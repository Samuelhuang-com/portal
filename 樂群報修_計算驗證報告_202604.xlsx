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完整分析明細" sheetId="1" state="visible" r:id="rId3"/>
    <sheet name="統計摘要" sheetId="2" state="visible" r:id="rId4"/>
    <sheet name="結案明細（6筆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<sst xmlns="http://schemas.openxmlformats.org/spreadsheetml/2006/main" count="381" uniqueCount="154">
  <si>
    <t xml:space="preserve">基本資訊</t>
  </si>
  <si>
    <t xml:space="preserve">狀態判斷</t>
  </si>
  <si>
    <t xml:space="preserve">時間計算</t>
  </si>
  <si>
    <t xml:space="preserve">金額欄位</t>
  </si>
  <si>
    <t xml:space="preserve">報修編號</t>
  </si>
  <si>
    <t xml:space="preserve">發生時間</t>
  </si>
  <si>
    <t xml:space="preserve">完工時間來源</t>
  </si>
  <si>
    <t xml:space="preserve">完工時間</t>
  </si>
  <si>
    <t xml:space="preserve">狀態欄位</t>
  </si>
  <si>
    <t xml:space="preserve">狀態值</t>
  </si>
  <si>
    <t xml:space="preserve">系統結案</t>
  </si>
  <si>
    <t xml:space="preserve">驗收欄值</t>
  </si>
  <si>
    <t xml:space="preserve">驗收欄結案</t>
  </si>
  <si>
    <t xml:space="preserve">結案天數
系統邏輯</t>
  </si>
  <si>
    <t xml:space="preserve">結案天數
驗收欄邏輯</t>
  </si>
  <si>
    <t xml:space="preserve">委外費用</t>
  </si>
  <si>
    <t xml:space="preserve">維修費用</t>
  </si>
  <si>
    <r>
      <rPr>
        <b val="true"/>
        <sz val="10"/>
        <color rgb="FFFFFFFF"/>
        <rFont val="DejaVu Sans"/>
        <family val="2"/>
      </rPr>
      <t xml:space="preserve">委外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DejaVu Sans"/>
        <family val="2"/>
      </rPr>
      <t xml:space="preserve">維修
合計</t>
    </r>
  </si>
  <si>
    <t xml:space="preserve">扣款費用</t>
  </si>
  <si>
    <t xml:space="preserve">扣款專櫃</t>
  </si>
  <si>
    <t xml:space="preserve">202604-001</t>
  </si>
  <si>
    <t xml:space="preserve">2026-04-16 15:53</t>
  </si>
  <si>
    <t xml:space="preserve">（空）</t>
  </si>
  <si>
    <t xml:space="preserve">否</t>
  </si>
  <si>
    <t xml:space="preserve">202604-002</t>
  </si>
  <si>
    <t xml:space="preserve">2026-04-15 16:51</t>
  </si>
  <si>
    <t xml:space="preserve">202604-003</t>
  </si>
  <si>
    <t xml:space="preserve">2026-04-15 11:46</t>
  </si>
  <si>
    <t xml:space="preserve">202604-004</t>
  </si>
  <si>
    <t xml:space="preserve">2026-04-13 15:05</t>
  </si>
  <si>
    <t xml:space="preserve">2026-04-16 15:55</t>
  </si>
  <si>
    <t xml:space="preserve">處理狀況</t>
  </si>
  <si>
    <t xml:space="preserve">待辦驗</t>
  </si>
  <si>
    <t xml:space="preserve">202604-005</t>
  </si>
  <si>
    <t xml:space="preserve">2026-04-13 10:22</t>
  </si>
  <si>
    <t xml:space="preserve">2026-04-13 10:51</t>
  </si>
  <si>
    <t xml:space="preserve">202604-006</t>
  </si>
  <si>
    <t xml:space="preserve">2026-04-12 19:51</t>
  </si>
  <si>
    <t xml:space="preserve">2026-04-13 09:10</t>
  </si>
  <si>
    <t xml:space="preserve">202604-007</t>
  </si>
  <si>
    <t xml:space="preserve">2026-04-12 19:48</t>
  </si>
  <si>
    <t xml:space="preserve">202604-008</t>
  </si>
  <si>
    <t xml:space="preserve">2026-04-10 16:30</t>
  </si>
  <si>
    <t xml:space="preserve">2026-04-13 10:39</t>
  </si>
  <si>
    <t xml:space="preserve">處理中</t>
  </si>
  <si>
    <t xml:space="preserve">202604-009</t>
  </si>
  <si>
    <t xml:space="preserve">2026-04-10 16:29</t>
  </si>
  <si>
    <t xml:space="preserve">2026-04-13 17:00</t>
  </si>
  <si>
    <t xml:space="preserve">202604-010</t>
  </si>
  <si>
    <t xml:space="preserve">2026-04-10 16:27</t>
  </si>
  <si>
    <t xml:space="preserve">202604-011</t>
  </si>
  <si>
    <t xml:space="preserve">2026-04-10 16:25</t>
  </si>
  <si>
    <t xml:space="preserve">202604-012</t>
  </si>
  <si>
    <t xml:space="preserve">2026-04-10 16:24</t>
  </si>
  <si>
    <t xml:space="preserve">202604-013</t>
  </si>
  <si>
    <t xml:space="preserve">2026-04-10 16:21</t>
  </si>
  <si>
    <t xml:space="preserve">202604-014</t>
  </si>
  <si>
    <t xml:space="preserve">2026-04-10 16:15</t>
  </si>
  <si>
    <t xml:space="preserve">2026-04-11 18:34</t>
  </si>
  <si>
    <t xml:space="preserve">202604-015</t>
  </si>
  <si>
    <t xml:space="preserve">2026-03-24 10:06</t>
  </si>
  <si>
    <t xml:space="preserve">2026-04-13 11:40</t>
  </si>
  <si>
    <t xml:space="preserve">202604-016</t>
  </si>
  <si>
    <t xml:space="preserve">2026-04-10 10:58</t>
  </si>
  <si>
    <t xml:space="preserve">2026-04-13 10:28</t>
  </si>
  <si>
    <t xml:space="preserve">已辦驗</t>
  </si>
  <si>
    <t xml:space="preserve">結案</t>
  </si>
  <si>
    <t xml:space="preserve">是</t>
  </si>
  <si>
    <t xml:space="preserve">202604-017</t>
  </si>
  <si>
    <t xml:space="preserve">2026-04-07 13:57</t>
  </si>
  <si>
    <t xml:space="preserve">2026-04-13 10:29</t>
  </si>
  <si>
    <t xml:space="preserve">202604-018</t>
  </si>
  <si>
    <t xml:space="preserve">2026-04-06 11:15</t>
  </si>
  <si>
    <t xml:space="preserve">2026-04-10 17:22</t>
  </si>
  <si>
    <t xml:space="preserve">202604-019</t>
  </si>
  <si>
    <t xml:space="preserve">2026-04-05 10:30</t>
  </si>
  <si>
    <t xml:space="preserve">2026-04-13 11:41</t>
  </si>
  <si>
    <t xml:space="preserve">202604-020</t>
  </si>
  <si>
    <t xml:space="preserve">2026-04-04 21:22</t>
  </si>
  <si>
    <t xml:space="preserve">2026-04-07 13:30</t>
  </si>
  <si>
    <t xml:space="preserve">202604-021</t>
  </si>
  <si>
    <t xml:space="preserve">2026-04-02 15:14</t>
  </si>
  <si>
    <t xml:space="preserve">2026-04-10 10:10</t>
  </si>
  <si>
    <t xml:space="preserve">202604-022</t>
  </si>
  <si>
    <t xml:space="preserve">2026-04-02 11:27</t>
  </si>
  <si>
    <t xml:space="preserve">2026-04-13 11:17</t>
  </si>
  <si>
    <t xml:space="preserve">202604-023</t>
  </si>
  <si>
    <t xml:space="preserve">2026-03-30 18:23</t>
  </si>
  <si>
    <t xml:space="preserve">2026-04-13 10:21</t>
  </si>
  <si>
    <r>
      <rPr>
        <sz val="10"/>
        <rFont val="DejaVu Sans"/>
        <family val="2"/>
      </rPr>
      <t xml:space="preserve">待營業回應</t>
    </r>
    <r>
      <rPr>
        <sz val="10"/>
        <rFont val="Arial"/>
        <family val="0"/>
        <charset val="1"/>
      </rPr>
      <t xml:space="preserve">.</t>
    </r>
  </si>
  <si>
    <t xml:space="preserve">202604-024</t>
  </si>
  <si>
    <t xml:space="preserve">2026-03-30 11:37</t>
  </si>
  <si>
    <t xml:space="preserve">2026-04-10 10:08</t>
  </si>
  <si>
    <t xml:space="preserve">202604-025</t>
  </si>
  <si>
    <t xml:space="preserve">2026-03-25 20:09</t>
  </si>
  <si>
    <t xml:space="preserve">2026-04-10 10:15</t>
  </si>
  <si>
    <t xml:space="preserve">202604-026</t>
  </si>
  <si>
    <t xml:space="preserve">202604-027</t>
  </si>
  <si>
    <t xml:space="preserve">2026-03-18 16:24</t>
  </si>
  <si>
    <t xml:space="preserve">202604-028</t>
  </si>
  <si>
    <t xml:space="preserve">2026-03-16 16:45</t>
  </si>
  <si>
    <t xml:space="preserve">2026-04-13 10:18</t>
  </si>
  <si>
    <t xml:space="preserve">202604-029</t>
  </si>
  <si>
    <t xml:space="preserve">2026-03-16 11:17</t>
  </si>
  <si>
    <t xml:space="preserve">2026-04-10 10:16</t>
  </si>
  <si>
    <t xml:space="preserve">202604-030</t>
  </si>
  <si>
    <t xml:space="preserve">2026-03-09 14:50</t>
  </si>
  <si>
    <t xml:space="preserve">委外處理</t>
  </si>
  <si>
    <t xml:space="preserve">202604-031</t>
  </si>
  <si>
    <t xml:space="preserve">2026-02-14 13:44</t>
  </si>
  <si>
    <t xml:space="preserve">2026-03-23 15:28</t>
  </si>
  <si>
    <t xml:space="preserve">202604-032</t>
  </si>
  <si>
    <t xml:space="preserve">2026-01-18 11:25</t>
  </si>
  <si>
    <t xml:space="preserve">2026-04-10 10:17</t>
  </si>
  <si>
    <t xml:space="preserve">小後苑</t>
  </si>
  <si>
    <t xml:space="preserve">📋 資料基本資訊</t>
  </si>
  <si>
    <t xml:space="preserve">匯出工作表</t>
  </si>
  <si>
    <r>
      <rPr>
        <b val="true"/>
        <sz val="10"/>
        <color rgb="FF1D6A35"/>
        <rFont val="DejaVu Sans"/>
        <family val="2"/>
      </rPr>
      <t xml:space="preserve">春大直 </t>
    </r>
    <r>
      <rPr>
        <b val="true"/>
        <sz val="10"/>
        <color rgb="FF1D6A35"/>
        <rFont val="Arial"/>
        <family val="0"/>
        <charset val="1"/>
      </rPr>
      <t xml:space="preserve">- </t>
    </r>
    <r>
      <rPr>
        <b val="true"/>
        <sz val="10"/>
        <color rgb="FF1D6A35"/>
        <rFont val="DejaVu Sans"/>
        <family val="2"/>
      </rPr>
      <t xml:space="preserve">報修清單總表</t>
    </r>
  </si>
  <si>
    <t xml:space="preserve">總案件數</t>
  </si>
  <si>
    <t xml:space="preserve">發生時間來源欄</t>
  </si>
  <si>
    <r>
      <rPr>
        <b val="true"/>
        <sz val="10"/>
        <color rgb="FF1D6A35"/>
        <rFont val="DejaVu Sans"/>
        <family val="2"/>
      </rPr>
      <t xml:space="preserve">發生時間（所有 </t>
    </r>
    <r>
      <rPr>
        <b val="true"/>
        <sz val="10"/>
        <color rgb="FF1D6A35"/>
        <rFont val="Arial"/>
        <family val="0"/>
        <charset val="1"/>
      </rPr>
      <t xml:space="preserve">32 </t>
    </r>
    <r>
      <rPr>
        <b val="true"/>
        <sz val="10"/>
        <color rgb="FF1D6A35"/>
        <rFont val="DejaVu Sans"/>
        <family val="2"/>
      </rPr>
      <t xml:space="preserve">筆均有）</t>
    </r>
  </si>
  <si>
    <t xml:space="preserve">完工時間有值</t>
  </si>
  <si>
    <r>
      <rPr>
        <b val="true"/>
        <sz val="10"/>
        <color rgb="FFFFFFFF"/>
        <rFont val="DejaVu Sans"/>
        <family val="2"/>
      </rPr>
      <t xml:space="preserve">⚠️ 結案判斷 — 系統邏輯 </t>
    </r>
    <r>
      <rPr>
        <b val="true"/>
        <sz val="10"/>
        <color rgb="FFFFFFFF"/>
        <rFont val="Arial"/>
        <family val="0"/>
        <charset val="1"/>
      </rPr>
      <t xml:space="preserve">vs. </t>
    </r>
    <r>
      <rPr>
        <b val="true"/>
        <sz val="10"/>
        <color rgb="FFFFFFFF"/>
        <rFont val="DejaVu Sans"/>
        <family val="2"/>
      </rPr>
      <t xml:space="preserve">實際</t>
    </r>
  </si>
  <si>
    <t xml:space="preserve">系統讀取狀態欄位</t>
  </si>
  <si>
    <t xml:space="preserve">處理狀況（優先）→ 問題狀態</t>
  </si>
  <si>
    <t xml:space="preserve">系統完成狀態集合</t>
  </si>
  <si>
    <r>
      <rPr>
        <b val="true"/>
        <sz val="10"/>
        <color rgb="FF1D6A35"/>
        <rFont val="DejaVu Sans"/>
        <family val="2"/>
      </rPr>
      <t xml:space="preserve">已驗收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已結案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結案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完修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已完成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完成</t>
    </r>
  </si>
  <si>
    <t xml:space="preserve">處理狀況 現有值</t>
  </si>
  <si>
    <r>
      <rPr>
        <b val="true"/>
        <sz val="10"/>
        <color rgb="FF1D6A35"/>
        <rFont val="DejaVu Sans"/>
        <family val="2"/>
      </rPr>
      <t xml:space="preserve">待辦驗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處理中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已辦驗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待營業回應</t>
    </r>
    <r>
      <rPr>
        <b val="true"/>
        <sz val="10"/>
        <color rgb="FF1D6A35"/>
        <rFont val="Arial"/>
        <family val="0"/>
        <charset val="1"/>
      </rPr>
      <t xml:space="preserve">./</t>
    </r>
    <r>
      <rPr>
        <b val="true"/>
        <sz val="10"/>
        <color rgb="FF1D6A35"/>
        <rFont val="DejaVu Sans"/>
        <family val="2"/>
      </rPr>
      <t xml:space="preserve">委外處理</t>
    </r>
    <r>
      <rPr>
        <b val="true"/>
        <sz val="10"/>
        <color rgb="FF1D6A35"/>
        <rFont val="Arial"/>
        <family val="0"/>
        <charset val="1"/>
      </rPr>
      <t xml:space="preserve">/</t>
    </r>
    <r>
      <rPr>
        <b val="true"/>
        <sz val="10"/>
        <color rgb="FF1D6A35"/>
        <rFont val="DejaVu Sans"/>
        <family val="2"/>
      </rPr>
      <t xml:space="preserve">急單</t>
    </r>
  </si>
  <si>
    <t xml:space="preserve">系統判定結案案件數</t>
  </si>
  <si>
    <r>
      <rPr>
        <b val="true"/>
        <sz val="10"/>
        <color rgb="FF1B3A5C"/>
        <rFont val="DejaVu Sans"/>
        <family val="2"/>
      </rPr>
      <t xml:space="preserve">驗收欄</t>
    </r>
    <r>
      <rPr>
        <b val="true"/>
        <sz val="10"/>
        <color rgb="FF1B3A5C"/>
        <rFont val="Arial"/>
        <family val="0"/>
        <charset val="1"/>
      </rPr>
      <t xml:space="preserve">=</t>
    </r>
    <r>
      <rPr>
        <b val="true"/>
        <sz val="10"/>
        <color rgb="FF1B3A5C"/>
        <rFont val="DejaVu Sans"/>
        <family val="2"/>
      </rPr>
      <t xml:space="preserve">結案 案件數</t>
    </r>
  </si>
  <si>
    <t xml:space="preserve">⚠️ 發現問題</t>
  </si>
  <si>
    <r>
      <rPr>
        <b val="true"/>
        <sz val="10"/>
        <color rgb="FFC0392B"/>
        <rFont val="DejaVu Sans"/>
        <family val="2"/>
      </rPr>
      <t xml:space="preserve">「已辦驗」不在系統結案清單中，但實際已結案（驗收</t>
    </r>
    <r>
      <rPr>
        <b val="true"/>
        <sz val="10"/>
        <color rgb="FFC0392B"/>
        <rFont val="Arial"/>
        <family val="0"/>
        <charset val="1"/>
      </rPr>
      <t xml:space="preserve">=</t>
    </r>
    <r>
      <rPr>
        <b val="true"/>
        <sz val="10"/>
        <color rgb="FFC0392B"/>
        <rFont val="DejaVu Sans"/>
        <family val="2"/>
      </rPr>
      <t xml:space="preserve">結案）→ </t>
    </r>
    <r>
      <rPr>
        <b val="true"/>
        <sz val="10"/>
        <color rgb="FFC0392B"/>
        <rFont val="Arial"/>
        <family val="0"/>
        <charset val="1"/>
      </rPr>
      <t xml:space="preserve">close_days </t>
    </r>
    <r>
      <rPr>
        <b val="true"/>
        <sz val="10"/>
        <color rgb="FFC0392B"/>
        <rFont val="DejaVu Sans"/>
        <family val="2"/>
      </rPr>
      <t xml:space="preserve">系統計算為 </t>
    </r>
    <r>
      <rPr>
        <b val="true"/>
        <sz val="10"/>
        <color rgb="FFC0392B"/>
        <rFont val="Arial"/>
        <family val="0"/>
        <charset val="1"/>
      </rPr>
      <t xml:space="preserve">0 </t>
    </r>
    <r>
      <rPr>
        <b val="true"/>
        <sz val="10"/>
        <color rgb="FFC0392B"/>
        <rFont val="DejaVu Sans"/>
        <family val="2"/>
      </rPr>
      <t xml:space="preserve">筆</t>
    </r>
  </si>
  <si>
    <t xml:space="preserve">✅ 修正建議</t>
  </si>
  <si>
    <r>
      <rPr>
        <b val="true"/>
        <sz val="10"/>
        <color rgb="FF1D6A35"/>
        <rFont val="DejaVu Sans"/>
        <family val="2"/>
      </rPr>
      <t xml:space="preserve">將「已辦驗」加入 </t>
    </r>
    <r>
      <rPr>
        <b val="true"/>
        <sz val="10"/>
        <color rgb="FF1D6A35"/>
        <rFont val="Arial"/>
        <family val="0"/>
        <charset val="1"/>
      </rPr>
      <t xml:space="preserve">COMPLETED_STATUSES</t>
    </r>
    <r>
      <rPr>
        <b val="true"/>
        <sz val="10"/>
        <color rgb="FF1D6A35"/>
        <rFont val="DejaVu Sans"/>
        <family val="2"/>
      </rPr>
      <t xml:space="preserve">，或改讀「驗收」欄位判斷結案</t>
    </r>
  </si>
  <si>
    <r>
      <rPr>
        <b val="true"/>
        <sz val="10"/>
        <color rgb="FFFFFFFF"/>
        <rFont val="DejaVu Sans"/>
        <family val="2"/>
      </rPr>
      <t xml:space="preserve">⏱ 結案天數（基於驗收欄</t>
    </r>
    <r>
      <rPr>
        <b val="true"/>
        <sz val="10"/>
        <color rgb="FFFFFFFF"/>
        <rFont val="Arial"/>
        <family val="0"/>
        <charset val="1"/>
      </rPr>
      <t xml:space="preserve">=</t>
    </r>
    <r>
      <rPr>
        <b val="true"/>
        <sz val="10"/>
        <color rgb="FFFFFFFF"/>
        <rFont val="DejaVu Sans"/>
        <family val="2"/>
      </rPr>
      <t xml:space="preserve">結案 的 </t>
    </r>
    <r>
      <rPr>
        <b val="true"/>
        <sz val="10"/>
        <color rgb="FFFFFFFF"/>
        <rFont val="Arial"/>
        <family val="0"/>
        <charset val="1"/>
      </rPr>
      <t xml:space="preserve">6 </t>
    </r>
    <r>
      <rPr>
        <b val="true"/>
        <sz val="10"/>
        <color rgb="FFFFFFFF"/>
        <rFont val="DejaVu Sans"/>
        <family val="2"/>
      </rPr>
      <t xml:space="preserve">筆）</t>
    </r>
  </si>
  <si>
    <t xml:space="preserve">結案天數計算公式</t>
  </si>
  <si>
    <r>
      <rPr>
        <b val="true"/>
        <sz val="10"/>
        <color rgb="FF1D6A35"/>
        <rFont val="Arial"/>
        <family val="0"/>
        <charset val="1"/>
      </rPr>
      <t xml:space="preserve">( </t>
    </r>
    <r>
      <rPr>
        <b val="true"/>
        <sz val="10"/>
        <color rgb="FF1D6A35"/>
        <rFont val="DejaVu Sans"/>
        <family val="2"/>
      </rPr>
      <t xml:space="preserve">完工時間 − 發生時間 </t>
    </r>
    <r>
      <rPr>
        <b val="true"/>
        <sz val="10"/>
        <color rgb="FF1D6A35"/>
        <rFont val="Arial"/>
        <family val="0"/>
        <charset val="1"/>
      </rPr>
      <t xml:space="preserve">) ÷ 86400 </t>
    </r>
    <r>
      <rPr>
        <b val="true"/>
        <sz val="10"/>
        <color rgb="FF1D6A35"/>
        <rFont val="DejaVu Sans"/>
        <family val="2"/>
      </rPr>
      <t xml:space="preserve">秒，四捨五入 </t>
    </r>
    <r>
      <rPr>
        <b val="true"/>
        <sz val="10"/>
        <color rgb="FF1D6A35"/>
        <rFont val="Arial"/>
        <family val="0"/>
        <charset val="1"/>
      </rPr>
      <t xml:space="preserve">2 </t>
    </r>
    <r>
      <rPr>
        <b val="true"/>
        <sz val="10"/>
        <color rgb="FF1D6A35"/>
        <rFont val="DejaVu Sans"/>
        <family val="2"/>
      </rPr>
      <t xml:space="preserve">位</t>
    </r>
  </si>
  <si>
    <t xml:space="preserve">結案案件數</t>
  </si>
  <si>
    <t xml:space="preserve">平均結案天數</t>
  </si>
  <si>
    <t xml:space="preserve">最短結案天數</t>
  </si>
  <si>
    <t xml:space="preserve">最長結案天數</t>
  </si>
  <si>
    <t xml:space="preserve">結案天數來源欄</t>
  </si>
  <si>
    <r>
      <rPr>
        <b val="true"/>
        <sz val="10"/>
        <color rgb="FF1D6A35"/>
        <rFont val="DejaVu Sans"/>
        <family val="2"/>
      </rPr>
      <t xml:space="preserve">完工時間（所有 </t>
    </r>
    <r>
      <rPr>
        <b val="true"/>
        <sz val="10"/>
        <color rgb="FF1D6A35"/>
        <rFont val="Arial"/>
        <family val="0"/>
        <charset val="1"/>
      </rPr>
      <t xml:space="preserve">6 </t>
    </r>
    <r>
      <rPr>
        <b val="true"/>
        <sz val="10"/>
        <color rgb="FF1D6A35"/>
        <rFont val="DejaVu Sans"/>
        <family val="2"/>
      </rPr>
      <t xml:space="preserve">筆的 </t>
    </r>
    <r>
      <rPr>
        <b val="true"/>
        <sz val="10"/>
        <color rgb="FF1D6A35"/>
        <rFont val="Arial"/>
        <family val="0"/>
        <charset val="1"/>
      </rPr>
      <t xml:space="preserve">completed_at</t>
    </r>
    <r>
      <rPr>
        <b val="true"/>
        <sz val="10"/>
        <color rgb="FF1D6A35"/>
        <rFont val="DejaVu Sans"/>
        <family val="2"/>
      </rPr>
      <t xml:space="preserve">）</t>
    </r>
  </si>
  <si>
    <t xml:space="preserve">💰 金額統計</t>
  </si>
  <si>
    <t xml:space="preserve">委外費用 合計</t>
  </si>
  <si>
    <t xml:space="preserve">維修費用 合計</t>
  </si>
  <si>
    <r>
      <rPr>
        <b val="true"/>
        <sz val="10"/>
        <color rgb="FF1B3A5C"/>
        <rFont val="DejaVu Sans"/>
        <family val="2"/>
      </rPr>
      <t xml:space="preserve">委外</t>
    </r>
    <r>
      <rPr>
        <b val="true"/>
        <sz val="10"/>
        <color rgb="FF1B3A5C"/>
        <rFont val="Arial"/>
        <family val="0"/>
        <charset val="1"/>
      </rPr>
      <t xml:space="preserve">+</t>
    </r>
    <r>
      <rPr>
        <b val="true"/>
        <sz val="10"/>
        <color rgb="FF1B3A5C"/>
        <rFont val="DejaVu Sans"/>
        <family val="2"/>
      </rPr>
      <t xml:space="preserve">維修 合計 </t>
    </r>
    <r>
      <rPr>
        <b val="true"/>
        <sz val="10"/>
        <color rgb="FF1B3A5C"/>
        <rFont val="Arial"/>
        <family val="0"/>
        <charset val="1"/>
      </rPr>
      <t xml:space="preserve">(total_fee)</t>
    </r>
  </si>
  <si>
    <t xml:space="preserve">扣款費用 合計</t>
  </si>
  <si>
    <t xml:space="preserve">扣款專櫃 有值筆數</t>
  </si>
  <si>
    <t xml:space="preserve">注意</t>
  </si>
  <si>
    <r>
      <rPr>
        <sz val="9"/>
        <color rgb="FF555555"/>
        <rFont val="Arial"/>
        <family val="0"/>
        <charset val="1"/>
      </rPr>
      <t xml:space="preserve">total_fee = </t>
    </r>
    <r>
      <rPr>
        <sz val="9"/>
        <color rgb="FF555555"/>
        <rFont val="DejaVu Sans"/>
        <family val="2"/>
      </rPr>
      <t xml:space="preserve">委外費用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DejaVu Sans"/>
        <family val="2"/>
      </rPr>
      <t xml:space="preserve">維修費用（扣款費用不計入）；金額已過濾 </t>
    </r>
    <r>
      <rPr>
        <sz val="9"/>
        <color rgb="FF555555"/>
        <rFont val="Arial"/>
        <family val="0"/>
        <charset val="1"/>
      </rPr>
      <t xml:space="preserve">NT$</t>
    </r>
    <r>
      <rPr>
        <sz val="9"/>
        <color rgb="FF555555"/>
        <rFont val="DejaVu Sans"/>
        <family val="2"/>
      </rPr>
      <t xml:space="preserve">、逗號等格式字元</t>
    </r>
  </si>
  <si>
    <t xml:space="preserve">結案天數（天）</t>
  </si>
  <si>
    <r>
      <rPr>
        <b val="true"/>
        <sz val="10"/>
        <color rgb="FFFFFFFF"/>
        <rFont val="DejaVu Sans"/>
        <family val="2"/>
      </rPr>
      <t xml:space="preserve">合計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平均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</si>
</sst>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;\(0.00\);\-"/>
    <numFmt numFmtId="166" formatCode="#,##0;\(#,##0\);\-"/>
    <numFmt numFmtId="167" formatCode="0"/>
    <numFmt numFmtId="168" formatCode="0.00"/>
    <numFmt numFmtId="169" formatCode="0&quot; 筆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color rgb="FFC0392B"/>
      <name val="DejaVu Sans"/>
      <family val="2"/>
    </font>
    <font>
      <sz val="9"/>
      <color rgb="FF555555"/>
      <name val="DejaVu Sans"/>
      <family val="2"/>
    </font>
    <font>
      <b val="true"/>
      <sz val="10"/>
      <color rgb="FF1D6A35"/>
      <name val="DejaVu Sans"/>
      <family val="2"/>
    </font>
    <font>
      <b val="true"/>
      <sz val="10"/>
      <color rgb="FF1B3A5C"/>
      <name val="DejaVu Sans"/>
      <family val="2"/>
    </font>
    <font>
      <b val="true"/>
      <sz val="10"/>
      <color rgb="FF1D6A3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9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C0392B"/>
        <bgColor rgb="FF993366"/>
      </patternFill>
    </fill>
    <fill>
      <patternFill patternType="solid">
        <fgColor rgb="FF1D6A35"/>
        <bgColor rgb="FF4B5563"/>
      </patternFill>
    </fill>
    <fill>
      <patternFill patternType="solid">
        <fgColor rgb="FF4B5563"/>
        <bgColor rgb="FF555555"/>
      </patternFill>
    </fill>
    <fill>
      <patternFill patternType="solid">
        <fgColor rgb="FFEFF6FF"/>
        <bgColor rgb="FFF0F4F8"/>
      </patternFill>
    </fill>
    <fill>
      <patternFill patternType="solid">
        <fgColor rgb="FFF0FFF4"/>
        <bgColor rgb="FFEFF6FF"/>
      </patternFill>
    </fill>
    <fill>
      <patternFill patternType="solid">
        <fgColor rgb="FFFFF8F0"/>
        <bgColor rgb="FFFFF5F5"/>
      </patternFill>
    </fill>
    <fill>
      <patternFill patternType="solid">
        <fgColor rgb="FFF0F4F8"/>
        <bgColor rgb="FFEFF6FF"/>
      </patternFill>
    </fill>
    <fill>
      <patternFill patternType="solid">
        <fgColor rgb="FFFFF5F5"/>
        <bgColor rgb="FFFFF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5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F0"/>
      <rgbColor rgb="FFF0FF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0F4F8"/>
      <rgbColor rgb="FFFF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1B3A5C"/>
      <rgbColor rgb="FF339966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5" min="12" style="0" width="13"/>
    <col collapsed="false" customWidth="true" hidden="false" outlineLevel="0" max="16" min="16" style="0" width="10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3" t="s">
        <v>2</v>
      </c>
      <c r="K1" s="3"/>
      <c r="L1" s="4" t="s">
        <v>3</v>
      </c>
      <c r="M1" s="4"/>
      <c r="N1" s="4"/>
      <c r="O1" s="4"/>
      <c r="P1" s="4"/>
    </row>
    <row r="2" customFormat="false" ht="31.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3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/>
      <c r="D3" s="5"/>
      <c r="E3" s="6" t="s">
        <v>22</v>
      </c>
      <c r="F3" s="6" t="s">
        <v>22</v>
      </c>
      <c r="G3" s="7" t="s">
        <v>23</v>
      </c>
      <c r="H3" s="6" t="s">
        <v>22</v>
      </c>
      <c r="I3" s="8" t="s">
        <v>23</v>
      </c>
      <c r="J3" s="9"/>
      <c r="K3" s="9"/>
      <c r="L3" s="10" t="n">
        <v>0</v>
      </c>
      <c r="M3" s="10" t="n">
        <v>0</v>
      </c>
      <c r="N3" s="10" t="n">
        <v>0</v>
      </c>
      <c r="O3" s="10" t="n">
        <v>0</v>
      </c>
      <c r="P3" s="5"/>
    </row>
    <row r="4" customFormat="false" ht="15" hidden="false" customHeight="false" outlineLevel="0" collapsed="false">
      <c r="A4" s="5" t="s">
        <v>24</v>
      </c>
      <c r="B4" s="5" t="s">
        <v>25</v>
      </c>
      <c r="C4" s="5"/>
      <c r="D4" s="5"/>
      <c r="E4" s="6" t="s">
        <v>22</v>
      </c>
      <c r="F4" s="6" t="s">
        <v>22</v>
      </c>
      <c r="G4" s="7" t="s">
        <v>23</v>
      </c>
      <c r="H4" s="6" t="s">
        <v>22</v>
      </c>
      <c r="I4" s="8" t="s">
        <v>23</v>
      </c>
      <c r="J4" s="9"/>
      <c r="K4" s="9"/>
      <c r="L4" s="10" t="n">
        <v>0</v>
      </c>
      <c r="M4" s="10" t="n">
        <v>0</v>
      </c>
      <c r="N4" s="10" t="n">
        <v>0</v>
      </c>
      <c r="O4" s="10" t="n">
        <v>0</v>
      </c>
      <c r="P4" s="5"/>
    </row>
    <row r="5" customFormat="false" ht="15" hidden="false" customHeight="false" outlineLevel="0" collapsed="false">
      <c r="A5" s="5" t="s">
        <v>26</v>
      </c>
      <c r="B5" s="5" t="s">
        <v>27</v>
      </c>
      <c r="C5" s="5"/>
      <c r="D5" s="5"/>
      <c r="E5" s="6" t="s">
        <v>22</v>
      </c>
      <c r="F5" s="6" t="s">
        <v>22</v>
      </c>
      <c r="G5" s="7" t="s">
        <v>23</v>
      </c>
      <c r="H5" s="6" t="s">
        <v>22</v>
      </c>
      <c r="I5" s="8" t="s">
        <v>23</v>
      </c>
      <c r="J5" s="9"/>
      <c r="K5" s="9"/>
      <c r="L5" s="10" t="n">
        <v>0</v>
      </c>
      <c r="M5" s="10" t="n">
        <v>0</v>
      </c>
      <c r="N5" s="10" t="n">
        <v>0</v>
      </c>
      <c r="O5" s="10" t="n">
        <v>0</v>
      </c>
      <c r="P5" s="5"/>
    </row>
    <row r="6" customFormat="false" ht="15" hidden="false" customHeight="false" outlineLevel="0" collapsed="false">
      <c r="A6" s="5" t="s">
        <v>28</v>
      </c>
      <c r="B6" s="5" t="s">
        <v>29</v>
      </c>
      <c r="C6" s="6" t="s">
        <v>7</v>
      </c>
      <c r="D6" s="5" t="s">
        <v>30</v>
      </c>
      <c r="E6" s="6" t="s">
        <v>31</v>
      </c>
      <c r="F6" s="6" t="s">
        <v>32</v>
      </c>
      <c r="G6" s="7" t="s">
        <v>23</v>
      </c>
      <c r="H6" s="6" t="s">
        <v>22</v>
      </c>
      <c r="I6" s="8" t="s">
        <v>23</v>
      </c>
      <c r="J6" s="9"/>
      <c r="K6" s="9"/>
      <c r="L6" s="10" t="n">
        <v>0</v>
      </c>
      <c r="M6" s="10" t="n">
        <v>0</v>
      </c>
      <c r="N6" s="10" t="n">
        <v>0</v>
      </c>
      <c r="O6" s="10" t="n">
        <v>0</v>
      </c>
      <c r="P6" s="5"/>
    </row>
    <row r="7" customFormat="false" ht="15" hidden="false" customHeight="false" outlineLevel="0" collapsed="false">
      <c r="A7" s="5" t="s">
        <v>33</v>
      </c>
      <c r="B7" s="5" t="s">
        <v>34</v>
      </c>
      <c r="C7" s="6" t="s">
        <v>7</v>
      </c>
      <c r="D7" s="5" t="s">
        <v>35</v>
      </c>
      <c r="E7" s="6" t="s">
        <v>31</v>
      </c>
      <c r="F7" s="6" t="s">
        <v>32</v>
      </c>
      <c r="G7" s="7" t="s">
        <v>23</v>
      </c>
      <c r="H7" s="6" t="s">
        <v>22</v>
      </c>
      <c r="I7" s="8" t="s">
        <v>23</v>
      </c>
      <c r="J7" s="9"/>
      <c r="K7" s="9"/>
      <c r="L7" s="10" t="n">
        <v>0</v>
      </c>
      <c r="M7" s="10" t="n">
        <v>0</v>
      </c>
      <c r="N7" s="10" t="n">
        <v>0</v>
      </c>
      <c r="O7" s="10" t="n">
        <v>0</v>
      </c>
      <c r="P7" s="5"/>
    </row>
    <row r="8" customFormat="false" ht="15" hidden="false" customHeight="false" outlineLevel="0" collapsed="false">
      <c r="A8" s="5" t="s">
        <v>36</v>
      </c>
      <c r="B8" s="5" t="s">
        <v>37</v>
      </c>
      <c r="C8" s="6" t="s">
        <v>7</v>
      </c>
      <c r="D8" s="5" t="s">
        <v>38</v>
      </c>
      <c r="E8" s="6" t="s">
        <v>31</v>
      </c>
      <c r="F8" s="6" t="s">
        <v>32</v>
      </c>
      <c r="G8" s="7" t="s">
        <v>23</v>
      </c>
      <c r="H8" s="6" t="s">
        <v>22</v>
      </c>
      <c r="I8" s="8" t="s">
        <v>23</v>
      </c>
      <c r="J8" s="9"/>
      <c r="K8" s="9"/>
      <c r="L8" s="10" t="n">
        <v>0</v>
      </c>
      <c r="M8" s="10" t="n">
        <v>0</v>
      </c>
      <c r="N8" s="10" t="n">
        <v>0</v>
      </c>
      <c r="O8" s="10" t="n">
        <v>0</v>
      </c>
      <c r="P8" s="5"/>
    </row>
    <row r="9" customFormat="false" ht="15" hidden="false" customHeight="false" outlineLevel="0" collapsed="false">
      <c r="A9" s="5" t="s">
        <v>39</v>
      </c>
      <c r="B9" s="5" t="s">
        <v>40</v>
      </c>
      <c r="C9" s="6" t="s">
        <v>7</v>
      </c>
      <c r="D9" s="5" t="s">
        <v>21</v>
      </c>
      <c r="E9" s="6" t="s">
        <v>31</v>
      </c>
      <c r="F9" s="6" t="s">
        <v>32</v>
      </c>
      <c r="G9" s="7" t="s">
        <v>23</v>
      </c>
      <c r="H9" s="6" t="s">
        <v>22</v>
      </c>
      <c r="I9" s="8" t="s">
        <v>23</v>
      </c>
      <c r="J9" s="9"/>
      <c r="K9" s="9"/>
      <c r="L9" s="10" t="n">
        <v>0</v>
      </c>
      <c r="M9" s="10" t="n">
        <v>0</v>
      </c>
      <c r="N9" s="10" t="n">
        <v>0</v>
      </c>
      <c r="O9" s="10" t="n">
        <v>0</v>
      </c>
      <c r="P9" s="5"/>
    </row>
    <row r="10" customFormat="false" ht="15" hidden="false" customHeight="false" outlineLevel="0" collapsed="false">
      <c r="A10" s="5" t="s">
        <v>41</v>
      </c>
      <c r="B10" s="5" t="s">
        <v>42</v>
      </c>
      <c r="C10" s="6" t="s">
        <v>7</v>
      </c>
      <c r="D10" s="5" t="s">
        <v>43</v>
      </c>
      <c r="E10" s="6" t="s">
        <v>31</v>
      </c>
      <c r="F10" s="6" t="s">
        <v>44</v>
      </c>
      <c r="G10" s="7" t="s">
        <v>23</v>
      </c>
      <c r="H10" s="6" t="s">
        <v>22</v>
      </c>
      <c r="I10" s="8" t="s">
        <v>23</v>
      </c>
      <c r="J10" s="9"/>
      <c r="K10" s="9"/>
      <c r="L10" s="10" t="n">
        <v>0</v>
      </c>
      <c r="M10" s="10" t="n">
        <v>0</v>
      </c>
      <c r="N10" s="10" t="n">
        <v>0</v>
      </c>
      <c r="O10" s="10" t="n">
        <v>0</v>
      </c>
      <c r="P10" s="5"/>
    </row>
    <row r="11" customFormat="false" ht="15" hidden="false" customHeight="false" outlineLevel="0" collapsed="false">
      <c r="A11" s="5" t="s">
        <v>45</v>
      </c>
      <c r="B11" s="5" t="s">
        <v>46</v>
      </c>
      <c r="C11" s="6" t="s">
        <v>7</v>
      </c>
      <c r="D11" s="5" t="s">
        <v>47</v>
      </c>
      <c r="E11" s="6" t="s">
        <v>31</v>
      </c>
      <c r="F11" s="6" t="s">
        <v>32</v>
      </c>
      <c r="G11" s="7" t="s">
        <v>23</v>
      </c>
      <c r="H11" s="6" t="s">
        <v>22</v>
      </c>
      <c r="I11" s="8" t="s">
        <v>23</v>
      </c>
      <c r="J11" s="9"/>
      <c r="K11" s="9"/>
      <c r="L11" s="10" t="n">
        <v>0</v>
      </c>
      <c r="M11" s="10" t="n">
        <v>0</v>
      </c>
      <c r="N11" s="10" t="n">
        <v>0</v>
      </c>
      <c r="O11" s="10" t="n">
        <v>0</v>
      </c>
      <c r="P11" s="5"/>
    </row>
    <row r="12" customFormat="false" ht="15" hidden="false" customHeight="false" outlineLevel="0" collapsed="false">
      <c r="A12" s="5" t="s">
        <v>48</v>
      </c>
      <c r="B12" s="5" t="s">
        <v>49</v>
      </c>
      <c r="C12" s="5"/>
      <c r="D12" s="5"/>
      <c r="E12" s="6" t="s">
        <v>22</v>
      </c>
      <c r="F12" s="6" t="s">
        <v>22</v>
      </c>
      <c r="G12" s="7" t="s">
        <v>23</v>
      </c>
      <c r="H12" s="6" t="s">
        <v>22</v>
      </c>
      <c r="I12" s="8" t="s">
        <v>23</v>
      </c>
      <c r="J12" s="9"/>
      <c r="K12" s="9"/>
      <c r="L12" s="10" t="n">
        <v>0</v>
      </c>
      <c r="M12" s="10" t="n">
        <v>0</v>
      </c>
      <c r="N12" s="10" t="n">
        <v>0</v>
      </c>
      <c r="O12" s="10" t="n">
        <v>0</v>
      </c>
      <c r="P12" s="5"/>
    </row>
    <row r="13" customFormat="false" ht="15" hidden="false" customHeight="false" outlineLevel="0" collapsed="false">
      <c r="A13" s="5" t="s">
        <v>50</v>
      </c>
      <c r="B13" s="5" t="s">
        <v>51</v>
      </c>
      <c r="C13" s="5"/>
      <c r="D13" s="5"/>
      <c r="E13" s="6" t="s">
        <v>22</v>
      </c>
      <c r="F13" s="6" t="s">
        <v>22</v>
      </c>
      <c r="G13" s="7" t="s">
        <v>23</v>
      </c>
      <c r="H13" s="6" t="s">
        <v>22</v>
      </c>
      <c r="I13" s="8" t="s">
        <v>23</v>
      </c>
      <c r="J13" s="9"/>
      <c r="K13" s="9"/>
      <c r="L13" s="10" t="n">
        <v>0</v>
      </c>
      <c r="M13" s="10" t="n">
        <v>0</v>
      </c>
      <c r="N13" s="10" t="n">
        <v>0</v>
      </c>
      <c r="O13" s="10" t="n">
        <v>0</v>
      </c>
      <c r="P13" s="5"/>
    </row>
    <row r="14" customFormat="false" ht="15" hidden="false" customHeight="false" outlineLevel="0" collapsed="false">
      <c r="A14" s="5" t="s">
        <v>52</v>
      </c>
      <c r="B14" s="5" t="s">
        <v>53</v>
      </c>
      <c r="C14" s="5"/>
      <c r="D14" s="5"/>
      <c r="E14" s="6" t="s">
        <v>22</v>
      </c>
      <c r="F14" s="6" t="s">
        <v>22</v>
      </c>
      <c r="G14" s="7" t="s">
        <v>23</v>
      </c>
      <c r="H14" s="6" t="s">
        <v>22</v>
      </c>
      <c r="I14" s="8" t="s">
        <v>23</v>
      </c>
      <c r="J14" s="9"/>
      <c r="K14" s="9"/>
      <c r="L14" s="10" t="n">
        <v>0</v>
      </c>
      <c r="M14" s="10" t="n">
        <v>0</v>
      </c>
      <c r="N14" s="10" t="n">
        <v>0</v>
      </c>
      <c r="O14" s="10" t="n">
        <v>0</v>
      </c>
      <c r="P14" s="5"/>
    </row>
    <row r="15" customFormat="false" ht="15" hidden="false" customHeight="false" outlineLevel="0" collapsed="false">
      <c r="A15" s="5" t="s">
        <v>54</v>
      </c>
      <c r="B15" s="5" t="s">
        <v>55</v>
      </c>
      <c r="C15" s="5"/>
      <c r="D15" s="5"/>
      <c r="E15" s="6" t="s">
        <v>22</v>
      </c>
      <c r="F15" s="6" t="s">
        <v>22</v>
      </c>
      <c r="G15" s="7" t="s">
        <v>23</v>
      </c>
      <c r="H15" s="6" t="s">
        <v>22</v>
      </c>
      <c r="I15" s="8" t="s">
        <v>23</v>
      </c>
      <c r="J15" s="9"/>
      <c r="K15" s="9"/>
      <c r="L15" s="10" t="n">
        <v>0</v>
      </c>
      <c r="M15" s="10" t="n">
        <v>0</v>
      </c>
      <c r="N15" s="10" t="n">
        <v>0</v>
      </c>
      <c r="O15" s="10" t="n">
        <v>0</v>
      </c>
      <c r="P15" s="5"/>
    </row>
    <row r="16" customFormat="false" ht="15" hidden="false" customHeight="false" outlineLevel="0" collapsed="false">
      <c r="A16" s="5" t="s">
        <v>56</v>
      </c>
      <c r="B16" s="5" t="s">
        <v>57</v>
      </c>
      <c r="C16" s="6" t="s">
        <v>7</v>
      </c>
      <c r="D16" s="5" t="s">
        <v>58</v>
      </c>
      <c r="E16" s="6" t="s">
        <v>31</v>
      </c>
      <c r="F16" s="6" t="s">
        <v>44</v>
      </c>
      <c r="G16" s="7" t="s">
        <v>23</v>
      </c>
      <c r="H16" s="6" t="s">
        <v>22</v>
      </c>
      <c r="I16" s="8" t="s">
        <v>23</v>
      </c>
      <c r="J16" s="9"/>
      <c r="K16" s="9"/>
      <c r="L16" s="10" t="n">
        <v>0</v>
      </c>
      <c r="M16" s="10" t="n">
        <v>0</v>
      </c>
      <c r="N16" s="10" t="n">
        <v>0</v>
      </c>
      <c r="O16" s="10" t="n">
        <v>0</v>
      </c>
      <c r="P16" s="5"/>
    </row>
    <row r="17" customFormat="false" ht="15" hidden="false" customHeight="false" outlineLevel="0" collapsed="false">
      <c r="A17" s="5" t="s">
        <v>59</v>
      </c>
      <c r="B17" s="5" t="s">
        <v>60</v>
      </c>
      <c r="C17" s="6" t="s">
        <v>7</v>
      </c>
      <c r="D17" s="5" t="s">
        <v>61</v>
      </c>
      <c r="E17" s="6" t="s">
        <v>31</v>
      </c>
      <c r="F17" s="6" t="s">
        <v>32</v>
      </c>
      <c r="G17" s="7" t="s">
        <v>23</v>
      </c>
      <c r="H17" s="6" t="s">
        <v>22</v>
      </c>
      <c r="I17" s="8" t="s">
        <v>23</v>
      </c>
      <c r="J17" s="9"/>
      <c r="K17" s="9"/>
      <c r="L17" s="11" t="n">
        <v>25000</v>
      </c>
      <c r="M17" s="10" t="n">
        <v>0</v>
      </c>
      <c r="N17" s="11" t="n">
        <v>25000</v>
      </c>
      <c r="O17" s="10" t="n">
        <v>0</v>
      </c>
      <c r="P17" s="5"/>
    </row>
    <row r="18" customFormat="false" ht="15" hidden="false" customHeight="false" outlineLevel="0" collapsed="false">
      <c r="A18" s="12" t="s">
        <v>62</v>
      </c>
      <c r="B18" s="12" t="s">
        <v>63</v>
      </c>
      <c r="C18" s="13" t="s">
        <v>7</v>
      </c>
      <c r="D18" s="12" t="s">
        <v>64</v>
      </c>
      <c r="E18" s="6" t="s">
        <v>31</v>
      </c>
      <c r="F18" s="6" t="s">
        <v>65</v>
      </c>
      <c r="G18" s="7" t="s">
        <v>23</v>
      </c>
      <c r="H18" s="6" t="s">
        <v>66</v>
      </c>
      <c r="I18" s="14" t="s">
        <v>67</v>
      </c>
      <c r="J18" s="9"/>
      <c r="K18" s="9" t="n">
        <v>2.98</v>
      </c>
      <c r="L18" s="10" t="n">
        <v>0</v>
      </c>
      <c r="M18" s="11" t="n">
        <v>137</v>
      </c>
      <c r="N18" s="11" t="n">
        <v>137</v>
      </c>
      <c r="O18" s="10" t="n">
        <v>0</v>
      </c>
      <c r="P18" s="5"/>
    </row>
    <row r="19" customFormat="false" ht="15" hidden="false" customHeight="false" outlineLevel="0" collapsed="false">
      <c r="A19" s="5" t="s">
        <v>68</v>
      </c>
      <c r="B19" s="5" t="s">
        <v>69</v>
      </c>
      <c r="C19" s="6" t="s">
        <v>7</v>
      </c>
      <c r="D19" s="5" t="s">
        <v>70</v>
      </c>
      <c r="E19" s="6" t="s">
        <v>31</v>
      </c>
      <c r="F19" s="6" t="s">
        <v>44</v>
      </c>
      <c r="G19" s="7" t="s">
        <v>23</v>
      </c>
      <c r="H19" s="6" t="s">
        <v>22</v>
      </c>
      <c r="I19" s="8" t="s">
        <v>23</v>
      </c>
      <c r="J19" s="9"/>
      <c r="K19" s="9"/>
      <c r="L19" s="10" t="n">
        <v>0</v>
      </c>
      <c r="M19" s="11" t="n">
        <v>499</v>
      </c>
      <c r="N19" s="11" t="n">
        <v>499</v>
      </c>
      <c r="O19" s="10" t="n">
        <v>0</v>
      </c>
      <c r="P19" s="5"/>
    </row>
    <row r="20" customFormat="false" ht="15" hidden="false" customHeight="false" outlineLevel="0" collapsed="false">
      <c r="A20" s="5" t="s">
        <v>71</v>
      </c>
      <c r="B20" s="5" t="s">
        <v>72</v>
      </c>
      <c r="C20" s="6" t="s">
        <v>7</v>
      </c>
      <c r="D20" s="5" t="s">
        <v>73</v>
      </c>
      <c r="E20" s="6" t="s">
        <v>31</v>
      </c>
      <c r="F20" s="6" t="s">
        <v>32</v>
      </c>
      <c r="G20" s="7" t="s">
        <v>23</v>
      </c>
      <c r="H20" s="6" t="s">
        <v>22</v>
      </c>
      <c r="I20" s="8" t="s">
        <v>23</v>
      </c>
      <c r="J20" s="9"/>
      <c r="K20" s="9"/>
      <c r="L20" s="10" t="n">
        <v>0</v>
      </c>
      <c r="M20" s="10" t="n">
        <v>0</v>
      </c>
      <c r="N20" s="10" t="n">
        <v>0</v>
      </c>
      <c r="O20" s="10" t="n">
        <v>0</v>
      </c>
      <c r="P20" s="5"/>
    </row>
    <row r="21" customFormat="false" ht="15" hidden="false" customHeight="false" outlineLevel="0" collapsed="false">
      <c r="A21" s="5" t="s">
        <v>74</v>
      </c>
      <c r="B21" s="5" t="s">
        <v>75</v>
      </c>
      <c r="C21" s="6" t="s">
        <v>7</v>
      </c>
      <c r="D21" s="5" t="s">
        <v>76</v>
      </c>
      <c r="E21" s="6" t="s">
        <v>31</v>
      </c>
      <c r="F21" s="6" t="s">
        <v>65</v>
      </c>
      <c r="G21" s="7" t="s">
        <v>23</v>
      </c>
      <c r="H21" s="6" t="s">
        <v>22</v>
      </c>
      <c r="I21" s="8" t="s">
        <v>23</v>
      </c>
      <c r="J21" s="9"/>
      <c r="K21" s="9"/>
      <c r="L21" s="10" t="n">
        <v>0</v>
      </c>
      <c r="M21" s="11" t="n">
        <v>137</v>
      </c>
      <c r="N21" s="11" t="n">
        <v>137</v>
      </c>
      <c r="O21" s="10" t="n">
        <v>0</v>
      </c>
      <c r="P21" s="5"/>
    </row>
    <row r="22" customFormat="false" ht="15" hidden="false" customHeight="false" outlineLevel="0" collapsed="false">
      <c r="A22" s="5" t="s">
        <v>77</v>
      </c>
      <c r="B22" s="5" t="s">
        <v>78</v>
      </c>
      <c r="C22" s="6" t="s">
        <v>7</v>
      </c>
      <c r="D22" s="5" t="s">
        <v>79</v>
      </c>
      <c r="E22" s="6" t="s">
        <v>31</v>
      </c>
      <c r="F22" s="6" t="s">
        <v>32</v>
      </c>
      <c r="G22" s="7" t="s">
        <v>23</v>
      </c>
      <c r="H22" s="6" t="s">
        <v>22</v>
      </c>
      <c r="I22" s="8" t="s">
        <v>23</v>
      </c>
      <c r="J22" s="9"/>
      <c r="K22" s="9"/>
      <c r="L22" s="10" t="n">
        <v>0</v>
      </c>
      <c r="M22" s="10" t="n">
        <v>0</v>
      </c>
      <c r="N22" s="10" t="n">
        <v>0</v>
      </c>
      <c r="O22" s="10" t="n">
        <v>0</v>
      </c>
      <c r="P22" s="5"/>
    </row>
    <row r="23" customFormat="false" ht="15" hidden="false" customHeight="false" outlineLevel="0" collapsed="false">
      <c r="A23" s="12" t="s">
        <v>80</v>
      </c>
      <c r="B23" s="12" t="s">
        <v>81</v>
      </c>
      <c r="C23" s="13" t="s">
        <v>7</v>
      </c>
      <c r="D23" s="12" t="s">
        <v>82</v>
      </c>
      <c r="E23" s="6" t="s">
        <v>31</v>
      </c>
      <c r="F23" s="6" t="s">
        <v>65</v>
      </c>
      <c r="G23" s="7" t="s">
        <v>23</v>
      </c>
      <c r="H23" s="6" t="s">
        <v>66</v>
      </c>
      <c r="I23" s="14" t="s">
        <v>67</v>
      </c>
      <c r="J23" s="9"/>
      <c r="K23" s="9" t="n">
        <v>7.79</v>
      </c>
      <c r="L23" s="10" t="n">
        <v>0</v>
      </c>
      <c r="M23" s="10" t="n">
        <v>0</v>
      </c>
      <c r="N23" s="10" t="n">
        <v>0</v>
      </c>
      <c r="O23" s="10" t="n">
        <v>0</v>
      </c>
      <c r="P23" s="5"/>
    </row>
    <row r="24" customFormat="false" ht="15" hidden="false" customHeight="false" outlineLevel="0" collapsed="false">
      <c r="A24" s="5" t="s">
        <v>83</v>
      </c>
      <c r="B24" s="5" t="s">
        <v>84</v>
      </c>
      <c r="C24" s="6" t="s">
        <v>7</v>
      </c>
      <c r="D24" s="5" t="s">
        <v>85</v>
      </c>
      <c r="E24" s="6" t="s">
        <v>31</v>
      </c>
      <c r="F24" s="6" t="s">
        <v>44</v>
      </c>
      <c r="G24" s="7" t="s">
        <v>23</v>
      </c>
      <c r="H24" s="6" t="s">
        <v>22</v>
      </c>
      <c r="I24" s="8" t="s">
        <v>23</v>
      </c>
      <c r="J24" s="9"/>
      <c r="K24" s="9"/>
      <c r="L24" s="11" t="n">
        <v>31300</v>
      </c>
      <c r="M24" s="10" t="n">
        <v>0</v>
      </c>
      <c r="N24" s="11" t="n">
        <v>31300</v>
      </c>
      <c r="O24" s="10" t="n">
        <v>0</v>
      </c>
      <c r="P24" s="5"/>
    </row>
    <row r="25" customFormat="false" ht="15" hidden="false" customHeight="false" outlineLevel="0" collapsed="false">
      <c r="A25" s="5" t="s">
        <v>86</v>
      </c>
      <c r="B25" s="5" t="s">
        <v>87</v>
      </c>
      <c r="C25" s="6" t="s">
        <v>7</v>
      </c>
      <c r="D25" s="5" t="s">
        <v>88</v>
      </c>
      <c r="E25" s="6" t="s">
        <v>31</v>
      </c>
      <c r="F25" s="6" t="s">
        <v>89</v>
      </c>
      <c r="G25" s="7" t="s">
        <v>23</v>
      </c>
      <c r="H25" s="6" t="s">
        <v>22</v>
      </c>
      <c r="I25" s="8" t="s">
        <v>23</v>
      </c>
      <c r="J25" s="9"/>
      <c r="K25" s="9"/>
      <c r="L25" s="10" t="n">
        <v>0</v>
      </c>
      <c r="M25" s="10" t="n">
        <v>0</v>
      </c>
      <c r="N25" s="10" t="n">
        <v>0</v>
      </c>
      <c r="O25" s="10" t="n">
        <v>0</v>
      </c>
      <c r="P25" s="5"/>
    </row>
    <row r="26" customFormat="false" ht="15" hidden="false" customHeight="false" outlineLevel="0" collapsed="false">
      <c r="A26" s="12" t="s">
        <v>90</v>
      </c>
      <c r="B26" s="12" t="s">
        <v>91</v>
      </c>
      <c r="C26" s="13" t="s">
        <v>7</v>
      </c>
      <c r="D26" s="12" t="s">
        <v>92</v>
      </c>
      <c r="E26" s="6" t="s">
        <v>31</v>
      </c>
      <c r="F26" s="6" t="s">
        <v>65</v>
      </c>
      <c r="G26" s="7" t="s">
        <v>23</v>
      </c>
      <c r="H26" s="6" t="s">
        <v>66</v>
      </c>
      <c r="I26" s="14" t="s">
        <v>67</v>
      </c>
      <c r="J26" s="9"/>
      <c r="K26" s="9" t="n">
        <v>10.94</v>
      </c>
      <c r="L26" s="10" t="n">
        <v>0</v>
      </c>
      <c r="M26" s="10" t="n">
        <v>0</v>
      </c>
      <c r="N26" s="10" t="n">
        <v>0</v>
      </c>
      <c r="O26" s="10" t="n">
        <v>0</v>
      </c>
      <c r="P26" s="5"/>
    </row>
    <row r="27" customFormat="false" ht="15" hidden="false" customHeight="false" outlineLevel="0" collapsed="false">
      <c r="A27" s="12" t="s">
        <v>93</v>
      </c>
      <c r="B27" s="12" t="s">
        <v>94</v>
      </c>
      <c r="C27" s="13" t="s">
        <v>7</v>
      </c>
      <c r="D27" s="12" t="s">
        <v>95</v>
      </c>
      <c r="E27" s="6" t="s">
        <v>31</v>
      </c>
      <c r="F27" s="6" t="s">
        <v>65</v>
      </c>
      <c r="G27" s="7" t="s">
        <v>23</v>
      </c>
      <c r="H27" s="6" t="s">
        <v>66</v>
      </c>
      <c r="I27" s="14" t="s">
        <v>67</v>
      </c>
      <c r="J27" s="9"/>
      <c r="K27" s="9" t="n">
        <v>15.59</v>
      </c>
      <c r="L27" s="10" t="n">
        <v>0</v>
      </c>
      <c r="M27" s="10" t="n">
        <v>0</v>
      </c>
      <c r="N27" s="10" t="n">
        <v>0</v>
      </c>
      <c r="O27" s="10" t="n">
        <v>0</v>
      </c>
      <c r="P27" s="5"/>
    </row>
    <row r="28" customFormat="false" ht="15" hidden="false" customHeight="false" outlineLevel="0" collapsed="false">
      <c r="A28" s="5" t="s">
        <v>96</v>
      </c>
      <c r="B28" s="5" t="s">
        <v>60</v>
      </c>
      <c r="C28" s="6" t="s">
        <v>7</v>
      </c>
      <c r="D28" s="5" t="s">
        <v>76</v>
      </c>
      <c r="E28" s="6" t="s">
        <v>31</v>
      </c>
      <c r="F28" s="6" t="s">
        <v>32</v>
      </c>
      <c r="G28" s="7" t="s">
        <v>23</v>
      </c>
      <c r="H28" s="6" t="s">
        <v>22</v>
      </c>
      <c r="I28" s="8" t="s">
        <v>23</v>
      </c>
      <c r="J28" s="9"/>
      <c r="K28" s="9"/>
      <c r="L28" s="11" t="n">
        <v>25000</v>
      </c>
      <c r="M28" s="10" t="n">
        <v>0</v>
      </c>
      <c r="N28" s="11" t="n">
        <v>25000</v>
      </c>
      <c r="O28" s="10" t="n">
        <v>0</v>
      </c>
      <c r="P28" s="5"/>
    </row>
    <row r="29" customFormat="false" ht="15" hidden="false" customHeight="false" outlineLevel="0" collapsed="false">
      <c r="A29" s="5" t="s">
        <v>97</v>
      </c>
      <c r="B29" s="5" t="s">
        <v>98</v>
      </c>
      <c r="C29" s="6" t="s">
        <v>7</v>
      </c>
      <c r="D29" s="5" t="s">
        <v>76</v>
      </c>
      <c r="E29" s="6" t="s">
        <v>31</v>
      </c>
      <c r="F29" s="6" t="s">
        <v>44</v>
      </c>
      <c r="G29" s="7" t="s">
        <v>23</v>
      </c>
      <c r="H29" s="6" t="s">
        <v>22</v>
      </c>
      <c r="I29" s="8" t="s">
        <v>23</v>
      </c>
      <c r="J29" s="9"/>
      <c r="K29" s="9"/>
      <c r="L29" s="11" t="n">
        <v>126084</v>
      </c>
      <c r="M29" s="10" t="n">
        <v>0</v>
      </c>
      <c r="N29" s="11" t="n">
        <v>126084</v>
      </c>
      <c r="O29" s="10" t="n">
        <v>0</v>
      </c>
      <c r="P29" s="5"/>
    </row>
    <row r="30" customFormat="false" ht="15" hidden="false" customHeight="false" outlineLevel="0" collapsed="false">
      <c r="A30" s="5" t="s">
        <v>99</v>
      </c>
      <c r="B30" s="5" t="s">
        <v>100</v>
      </c>
      <c r="C30" s="6" t="s">
        <v>7</v>
      </c>
      <c r="D30" s="5" t="s">
        <v>101</v>
      </c>
      <c r="E30" s="6" t="s">
        <v>31</v>
      </c>
      <c r="F30" s="6" t="s">
        <v>44</v>
      </c>
      <c r="G30" s="7" t="s">
        <v>23</v>
      </c>
      <c r="H30" s="6" t="s">
        <v>22</v>
      </c>
      <c r="I30" s="8" t="s">
        <v>23</v>
      </c>
      <c r="J30" s="9"/>
      <c r="K30" s="9"/>
      <c r="L30" s="10" t="n">
        <v>0</v>
      </c>
      <c r="M30" s="10" t="n">
        <v>0</v>
      </c>
      <c r="N30" s="10" t="n">
        <v>0</v>
      </c>
      <c r="O30" s="10" t="n">
        <v>0</v>
      </c>
      <c r="P30" s="5"/>
    </row>
    <row r="31" customFormat="false" ht="15" hidden="false" customHeight="false" outlineLevel="0" collapsed="false">
      <c r="A31" s="12" t="s">
        <v>102</v>
      </c>
      <c r="B31" s="12" t="s">
        <v>103</v>
      </c>
      <c r="C31" s="13" t="s">
        <v>7</v>
      </c>
      <c r="D31" s="12" t="s">
        <v>104</v>
      </c>
      <c r="E31" s="6" t="s">
        <v>31</v>
      </c>
      <c r="F31" s="6" t="s">
        <v>65</v>
      </c>
      <c r="G31" s="7" t="s">
        <v>23</v>
      </c>
      <c r="H31" s="6" t="s">
        <v>66</v>
      </c>
      <c r="I31" s="14" t="s">
        <v>67</v>
      </c>
      <c r="J31" s="9"/>
      <c r="K31" s="9" t="n">
        <v>24.96</v>
      </c>
      <c r="L31" s="11" t="n">
        <v>9975</v>
      </c>
      <c r="M31" s="10" t="n">
        <v>0</v>
      </c>
      <c r="N31" s="11" t="n">
        <v>9975</v>
      </c>
      <c r="O31" s="10" t="n">
        <v>0</v>
      </c>
      <c r="P31" s="5"/>
    </row>
    <row r="32" customFormat="false" ht="15" hidden="false" customHeight="false" outlineLevel="0" collapsed="false">
      <c r="A32" s="5" t="s">
        <v>105</v>
      </c>
      <c r="B32" s="5" t="s">
        <v>106</v>
      </c>
      <c r="C32" s="6" t="s">
        <v>7</v>
      </c>
      <c r="D32" s="5" t="s">
        <v>76</v>
      </c>
      <c r="E32" s="6" t="s">
        <v>31</v>
      </c>
      <c r="F32" s="6" t="s">
        <v>107</v>
      </c>
      <c r="G32" s="7" t="s">
        <v>23</v>
      </c>
      <c r="H32" s="6" t="s">
        <v>22</v>
      </c>
      <c r="I32" s="8" t="s">
        <v>23</v>
      </c>
      <c r="J32" s="9"/>
      <c r="K32" s="9"/>
      <c r="L32" s="11" t="n">
        <v>210000</v>
      </c>
      <c r="M32" s="10" t="n">
        <v>0</v>
      </c>
      <c r="N32" s="11" t="n">
        <v>210000</v>
      </c>
      <c r="O32" s="10" t="n">
        <v>0</v>
      </c>
      <c r="P32" s="5"/>
    </row>
    <row r="33" customFormat="false" ht="15" hidden="false" customHeight="false" outlineLevel="0" collapsed="false">
      <c r="A33" s="5" t="s">
        <v>108</v>
      </c>
      <c r="B33" s="5" t="s">
        <v>109</v>
      </c>
      <c r="C33" s="6" t="s">
        <v>7</v>
      </c>
      <c r="D33" s="5" t="s">
        <v>110</v>
      </c>
      <c r="E33" s="6" t="s">
        <v>31</v>
      </c>
      <c r="F33" s="6" t="s">
        <v>44</v>
      </c>
      <c r="G33" s="7" t="s">
        <v>23</v>
      </c>
      <c r="H33" s="6" t="s">
        <v>22</v>
      </c>
      <c r="I33" s="8" t="s">
        <v>23</v>
      </c>
      <c r="J33" s="9"/>
      <c r="K33" s="9"/>
      <c r="L33" s="10" t="n">
        <v>0</v>
      </c>
      <c r="M33" s="10" t="n">
        <v>0</v>
      </c>
      <c r="N33" s="10" t="n">
        <v>0</v>
      </c>
      <c r="O33" s="10" t="n">
        <v>0</v>
      </c>
      <c r="P33" s="5"/>
    </row>
    <row r="34" customFormat="false" ht="15" hidden="false" customHeight="false" outlineLevel="0" collapsed="false">
      <c r="A34" s="12" t="s">
        <v>111</v>
      </c>
      <c r="B34" s="12" t="s">
        <v>112</v>
      </c>
      <c r="C34" s="13" t="s">
        <v>7</v>
      </c>
      <c r="D34" s="12" t="s">
        <v>113</v>
      </c>
      <c r="E34" s="6" t="s">
        <v>31</v>
      </c>
      <c r="F34" s="6" t="s">
        <v>65</v>
      </c>
      <c r="G34" s="7" t="s">
        <v>23</v>
      </c>
      <c r="H34" s="6" t="s">
        <v>66</v>
      </c>
      <c r="I34" s="14" t="s">
        <v>67</v>
      </c>
      <c r="J34" s="9"/>
      <c r="K34" s="9" t="n">
        <v>81.95</v>
      </c>
      <c r="L34" s="11" t="n">
        <v>13150</v>
      </c>
      <c r="M34" s="10" t="n">
        <v>0</v>
      </c>
      <c r="N34" s="11" t="n">
        <v>13150</v>
      </c>
      <c r="O34" s="15" t="n">
        <v>17955</v>
      </c>
      <c r="P34" s="6" t="s">
        <v>114</v>
      </c>
    </row>
  </sheetData>
  <mergeCells count="4">
    <mergeCell ref="A1:D1"/>
    <mergeCell ref="E1:I1"/>
    <mergeCell ref="J1:K1"/>
    <mergeCell ref="L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4" min="3" style="0" width="6"/>
  </cols>
  <sheetData>
    <row r="1" customFormat="false" ht="15" hidden="false" customHeight="true" outlineLevel="0" collapsed="false">
      <c r="A1" s="16" t="s">
        <v>115</v>
      </c>
      <c r="B1" s="16"/>
      <c r="C1" s="16"/>
      <c r="D1" s="16"/>
    </row>
    <row r="2" customFormat="false" ht="15" hidden="false" customHeight="false" outlineLevel="0" collapsed="false">
      <c r="A2" s="17" t="s">
        <v>116</v>
      </c>
      <c r="B2" s="18" t="s">
        <v>117</v>
      </c>
    </row>
    <row r="3" customFormat="false" ht="15" hidden="false" customHeight="false" outlineLevel="0" collapsed="false">
      <c r="A3" s="17" t="s">
        <v>118</v>
      </c>
      <c r="B3" s="18" t="n">
        <v>32</v>
      </c>
    </row>
    <row r="4" customFormat="false" ht="15" hidden="false" customHeight="false" outlineLevel="0" collapsed="false">
      <c r="A4" s="17" t="s">
        <v>119</v>
      </c>
      <c r="B4" s="18" t="s">
        <v>120</v>
      </c>
    </row>
    <row r="5" customFormat="false" ht="15" hidden="false" customHeight="false" outlineLevel="0" collapsed="false">
      <c r="A5" s="17" t="s">
        <v>121</v>
      </c>
      <c r="B5" s="19" t="n">
        <v>25</v>
      </c>
    </row>
    <row r="7" customFormat="false" ht="15" hidden="false" customHeight="true" outlineLevel="0" collapsed="false">
      <c r="A7" s="16" t="s">
        <v>122</v>
      </c>
      <c r="B7" s="16"/>
      <c r="C7" s="16"/>
      <c r="D7" s="16"/>
    </row>
    <row r="8" customFormat="false" ht="15" hidden="false" customHeight="false" outlineLevel="0" collapsed="false">
      <c r="A8" s="17" t="s">
        <v>123</v>
      </c>
      <c r="B8" s="18" t="s">
        <v>124</v>
      </c>
    </row>
    <row r="9" customFormat="false" ht="15" hidden="false" customHeight="false" outlineLevel="0" collapsed="false">
      <c r="A9" s="17" t="s">
        <v>125</v>
      </c>
      <c r="B9" s="18" t="s">
        <v>126</v>
      </c>
    </row>
    <row r="10" customFormat="false" ht="15" hidden="false" customHeight="false" outlineLevel="0" collapsed="false">
      <c r="A10" s="17" t="s">
        <v>127</v>
      </c>
      <c r="B10" s="18" t="s">
        <v>128</v>
      </c>
    </row>
    <row r="11" customFormat="false" ht="15" hidden="false" customHeight="false" outlineLevel="0" collapsed="false">
      <c r="A11" s="17" t="s">
        <v>129</v>
      </c>
      <c r="B11" s="20" t="n">
        <v>0</v>
      </c>
    </row>
    <row r="12" customFormat="false" ht="15" hidden="false" customHeight="false" outlineLevel="0" collapsed="false">
      <c r="A12" s="17" t="s">
        <v>130</v>
      </c>
      <c r="B12" s="18" t="n">
        <v>6</v>
      </c>
    </row>
    <row r="13" customFormat="false" ht="23.85" hidden="false" customHeight="true" outlineLevel="0" collapsed="false">
      <c r="A13" s="21" t="s">
        <v>131</v>
      </c>
      <c r="B13" s="21" t="s">
        <v>132</v>
      </c>
      <c r="C13" s="21"/>
      <c r="D13" s="21"/>
    </row>
    <row r="14" customFormat="false" ht="23.85" hidden="false" customHeight="true" outlineLevel="0" collapsed="false">
      <c r="A14" s="22" t="s">
        <v>133</v>
      </c>
      <c r="B14" s="22" t="s">
        <v>134</v>
      </c>
      <c r="C14" s="22"/>
      <c r="D14" s="22"/>
    </row>
    <row r="16" customFormat="false" ht="15" hidden="false" customHeight="true" outlineLevel="0" collapsed="false">
      <c r="A16" s="16" t="s">
        <v>135</v>
      </c>
      <c r="B16" s="16"/>
      <c r="C16" s="16"/>
      <c r="D16" s="16"/>
    </row>
    <row r="17" customFormat="false" ht="15" hidden="false" customHeight="false" outlineLevel="0" collapsed="false">
      <c r="A17" s="17" t="s">
        <v>136</v>
      </c>
      <c r="B17" s="23" t="s">
        <v>137</v>
      </c>
    </row>
    <row r="18" customFormat="false" ht="15" hidden="false" customHeight="false" outlineLevel="0" collapsed="false">
      <c r="A18" s="17" t="s">
        <v>138</v>
      </c>
      <c r="B18" s="19" t="n">
        <v>6</v>
      </c>
    </row>
    <row r="19" customFormat="false" ht="15" hidden="false" customHeight="false" outlineLevel="0" collapsed="false">
      <c r="A19" s="17" t="s">
        <v>139</v>
      </c>
      <c r="B19" s="24" t="n">
        <v>24.04</v>
      </c>
    </row>
    <row r="20" customFormat="false" ht="15" hidden="false" customHeight="false" outlineLevel="0" collapsed="false">
      <c r="A20" s="17" t="s">
        <v>140</v>
      </c>
      <c r="B20" s="24" t="n">
        <v>2.98</v>
      </c>
    </row>
    <row r="21" customFormat="false" ht="15" hidden="false" customHeight="false" outlineLevel="0" collapsed="false">
      <c r="A21" s="17" t="s">
        <v>141</v>
      </c>
      <c r="B21" s="24" t="n">
        <v>81.95</v>
      </c>
    </row>
    <row r="22" customFormat="false" ht="15" hidden="false" customHeight="false" outlineLevel="0" collapsed="false">
      <c r="A22" s="17" t="s">
        <v>142</v>
      </c>
      <c r="B22" s="18" t="s">
        <v>143</v>
      </c>
    </row>
    <row r="24" customFormat="false" ht="15" hidden="false" customHeight="true" outlineLevel="0" collapsed="false">
      <c r="A24" s="16" t="s">
        <v>144</v>
      </c>
      <c r="B24" s="16"/>
      <c r="C24" s="16"/>
      <c r="D24" s="16"/>
    </row>
    <row r="25" customFormat="false" ht="15" hidden="false" customHeight="false" outlineLevel="0" collapsed="false">
      <c r="A25" s="17" t="s">
        <v>145</v>
      </c>
      <c r="B25" s="25" t="n">
        <v>440509</v>
      </c>
    </row>
    <row r="26" customFormat="false" ht="15" hidden="false" customHeight="false" outlineLevel="0" collapsed="false">
      <c r="A26" s="17" t="s">
        <v>146</v>
      </c>
      <c r="B26" s="25" t="n">
        <v>773</v>
      </c>
    </row>
    <row r="27" customFormat="false" ht="23.85" hidden="false" customHeight="false" outlineLevel="0" collapsed="false">
      <c r="A27" s="17" t="s">
        <v>147</v>
      </c>
      <c r="B27" s="25" t="n">
        <v>441282</v>
      </c>
    </row>
    <row r="28" customFormat="false" ht="15" hidden="false" customHeight="false" outlineLevel="0" collapsed="false">
      <c r="A28" s="17" t="s">
        <v>148</v>
      </c>
      <c r="B28" s="25" t="n">
        <v>17955</v>
      </c>
    </row>
    <row r="29" customFormat="false" ht="15" hidden="false" customHeight="false" outlineLevel="0" collapsed="false">
      <c r="A29" s="17" t="s">
        <v>149</v>
      </c>
      <c r="B29" s="26" t="n">
        <v>1</v>
      </c>
    </row>
    <row r="30" customFormat="false" ht="22.35" hidden="false" customHeight="true" outlineLevel="0" collapsed="false">
      <c r="A30" s="17" t="s">
        <v>150</v>
      </c>
      <c r="B30" s="27" t="s">
        <v>151</v>
      </c>
      <c r="C30" s="27"/>
      <c r="D30" s="27"/>
    </row>
  </sheetData>
  <mergeCells count="7">
    <mergeCell ref="A1:D1"/>
    <mergeCell ref="A7:D7"/>
    <mergeCell ref="B13:D13"/>
    <mergeCell ref="B14:D14"/>
    <mergeCell ref="A16:D16"/>
    <mergeCell ref="A24:D24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10" min="7" style="0" width="14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152</v>
      </c>
      <c r="H1" s="1" t="s">
        <v>15</v>
      </c>
      <c r="I1" s="1" t="s">
        <v>16</v>
      </c>
      <c r="J1" s="1" t="s">
        <v>18</v>
      </c>
      <c r="K1" s="1" t="s">
        <v>19</v>
      </c>
    </row>
    <row r="2" customFormat="false" ht="19.5" hidden="false" customHeight="true" outlineLevel="0" collapsed="false">
      <c r="A2" s="12" t="s">
        <v>62</v>
      </c>
      <c r="B2" s="12" t="s">
        <v>63</v>
      </c>
      <c r="C2" s="13" t="s">
        <v>7</v>
      </c>
      <c r="D2" s="12" t="s">
        <v>64</v>
      </c>
      <c r="E2" s="13" t="s">
        <v>65</v>
      </c>
      <c r="F2" s="13" t="s">
        <v>66</v>
      </c>
      <c r="G2" s="28" t="n">
        <v>2.98</v>
      </c>
      <c r="H2" s="29" t="n">
        <v>0</v>
      </c>
      <c r="I2" s="29" t="n">
        <v>137</v>
      </c>
      <c r="J2" s="29" t="n">
        <v>0</v>
      </c>
      <c r="K2" s="12"/>
    </row>
    <row r="3" customFormat="false" ht="19.5" hidden="false" customHeight="true" outlineLevel="0" collapsed="false">
      <c r="A3" s="12" t="s">
        <v>80</v>
      </c>
      <c r="B3" s="12" t="s">
        <v>81</v>
      </c>
      <c r="C3" s="13" t="s">
        <v>7</v>
      </c>
      <c r="D3" s="12" t="s">
        <v>82</v>
      </c>
      <c r="E3" s="13" t="s">
        <v>65</v>
      </c>
      <c r="F3" s="13" t="s">
        <v>66</v>
      </c>
      <c r="G3" s="28" t="n">
        <v>7.79</v>
      </c>
      <c r="H3" s="29" t="n">
        <v>0</v>
      </c>
      <c r="I3" s="29" t="n">
        <v>0</v>
      </c>
      <c r="J3" s="29" t="n">
        <v>0</v>
      </c>
      <c r="K3" s="12"/>
    </row>
    <row r="4" customFormat="false" ht="19.5" hidden="false" customHeight="true" outlineLevel="0" collapsed="false">
      <c r="A4" s="12" t="s">
        <v>90</v>
      </c>
      <c r="B4" s="12" t="s">
        <v>91</v>
      </c>
      <c r="C4" s="13" t="s">
        <v>7</v>
      </c>
      <c r="D4" s="12" t="s">
        <v>92</v>
      </c>
      <c r="E4" s="13" t="s">
        <v>65</v>
      </c>
      <c r="F4" s="13" t="s">
        <v>66</v>
      </c>
      <c r="G4" s="28" t="n">
        <v>10.94</v>
      </c>
      <c r="H4" s="29" t="n">
        <v>0</v>
      </c>
      <c r="I4" s="29" t="n">
        <v>0</v>
      </c>
      <c r="J4" s="29" t="n">
        <v>0</v>
      </c>
      <c r="K4" s="12"/>
    </row>
    <row r="5" customFormat="false" ht="19.5" hidden="false" customHeight="true" outlineLevel="0" collapsed="false">
      <c r="A5" s="12" t="s">
        <v>93</v>
      </c>
      <c r="B5" s="12" t="s">
        <v>94</v>
      </c>
      <c r="C5" s="13" t="s">
        <v>7</v>
      </c>
      <c r="D5" s="12" t="s">
        <v>95</v>
      </c>
      <c r="E5" s="13" t="s">
        <v>65</v>
      </c>
      <c r="F5" s="13" t="s">
        <v>66</v>
      </c>
      <c r="G5" s="28" t="n">
        <v>15.59</v>
      </c>
      <c r="H5" s="29" t="n">
        <v>0</v>
      </c>
      <c r="I5" s="29" t="n">
        <v>0</v>
      </c>
      <c r="J5" s="29" t="n">
        <v>0</v>
      </c>
      <c r="K5" s="12"/>
    </row>
    <row r="6" customFormat="false" ht="19.5" hidden="false" customHeight="true" outlineLevel="0" collapsed="false">
      <c r="A6" s="12" t="s">
        <v>102</v>
      </c>
      <c r="B6" s="12" t="s">
        <v>103</v>
      </c>
      <c r="C6" s="13" t="s">
        <v>7</v>
      </c>
      <c r="D6" s="12" t="s">
        <v>104</v>
      </c>
      <c r="E6" s="13" t="s">
        <v>65</v>
      </c>
      <c r="F6" s="13" t="s">
        <v>66</v>
      </c>
      <c r="G6" s="28" t="n">
        <v>24.96</v>
      </c>
      <c r="H6" s="29" t="n">
        <v>9975</v>
      </c>
      <c r="I6" s="29" t="n">
        <v>0</v>
      </c>
      <c r="J6" s="29" t="n">
        <v>0</v>
      </c>
      <c r="K6" s="12"/>
    </row>
    <row r="7" customFormat="false" ht="19.5" hidden="false" customHeight="true" outlineLevel="0" collapsed="false">
      <c r="A7" s="12" t="s">
        <v>111</v>
      </c>
      <c r="B7" s="12" t="s">
        <v>112</v>
      </c>
      <c r="C7" s="13" t="s">
        <v>7</v>
      </c>
      <c r="D7" s="12" t="s">
        <v>113</v>
      </c>
      <c r="E7" s="13" t="s">
        <v>65</v>
      </c>
      <c r="F7" s="13" t="s">
        <v>66</v>
      </c>
      <c r="G7" s="28" t="n">
        <v>81.95</v>
      </c>
      <c r="H7" s="29" t="n">
        <v>13150</v>
      </c>
      <c r="I7" s="29" t="n">
        <v>0</v>
      </c>
      <c r="J7" s="29" t="n">
        <v>17955</v>
      </c>
      <c r="K7" s="13" t="s">
        <v>114</v>
      </c>
    </row>
    <row r="8" customFormat="false" ht="24" hidden="false" customHeight="true" outlineLevel="0" collapsed="false">
      <c r="A8" s="16" t="s">
        <v>153</v>
      </c>
      <c r="B8" s="30"/>
      <c r="C8" s="30"/>
      <c r="D8" s="30"/>
      <c r="E8" s="30"/>
      <c r="F8" s="30"/>
      <c r="G8" s="31" t="n">
        <f aca="false">G2+G3+G4+G5+G6+G7/6</f>
        <v>75.9183333333333</v>
      </c>
      <c r="H8" s="32" t="n">
        <f aca="false">SUM(H2:H7)</f>
        <v>23125</v>
      </c>
      <c r="I8" s="32" t="n">
        <f aca="false">SUM(I2:I7)</f>
        <v>137</v>
      </c>
      <c r="J8" s="32" t="n">
        <f aca="false">SUM(J2:J7)</f>
        <v>17955</v>
      </c>
      <c r="K8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2026-04-16T21:57:23Z</dcterms:created>
  <dc:creator>openpyxl</dc:creator>
  <dc:description/>
  <dc:language>en-US</dc:language>
  <cp:lastModifiedBy/>
  <dcterms:modified xsi:type="dcterms:W3CDTF">2026-04-16T21:57:23Z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