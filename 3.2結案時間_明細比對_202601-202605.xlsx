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3d14d3036a2a384b/_Ragic/portal/"/>
    </mc:Choice>
  </mc:AlternateContent>
  <xr:revisionPtr revIDLastSave="17" documentId="11_3D6B639DF0F9F6EB34CAA0EECFD5DF21C6D81513" xr6:coauthVersionLast="47" xr6:coauthVersionMax="47" xr10:uidLastSave="{7680C7DE-5C9C-4FBB-B976-FE0D8BB765EC}"/>
  <bookViews>
    <workbookView xWindow="-108" yWindow="-108" windowWidth="24792" windowHeight="14856" xr2:uid="{00000000-000D-0000-FFFF-FFFF00000000}"/>
  </bookViews>
  <sheets>
    <sheet name="工程維修單 房務部查閱用" sheetId="7" r:id="rId1"/>
    <sheet name="比對摘要" sheetId="1" r:id="rId2"/>
    <sheet name="1月明細" sheetId="2" r:id="rId3"/>
    <sheet name="2月明細" sheetId="3" r:id="rId4"/>
    <sheet name="3月明細" sheetId="4" r:id="rId5"/>
    <sheet name="4月明細" sheetId="5" r:id="rId6"/>
    <sheet name="5月明細" sheetId="6" r:id="rId7"/>
  </sheets>
  <definedNames>
    <definedName name="_xlnm._FilterDatabase" localSheetId="0" hidden="1">'工程維修單 房務部查閱用'!$A$1:$AK$2497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489" i="7" l="1"/>
  <c r="AK489" i="7" s="1"/>
  <c r="AJ376" i="7"/>
  <c r="AK376" i="7" s="1"/>
  <c r="AJ336" i="7"/>
  <c r="AK336" i="7" s="1"/>
  <c r="AJ315" i="7"/>
  <c r="AK315" i="7" s="1"/>
  <c r="AJ293" i="7"/>
  <c r="AK293" i="7" s="1"/>
  <c r="AJ292" i="7"/>
  <c r="AK292" i="7" s="1"/>
  <c r="AJ291" i="7"/>
  <c r="AK291" i="7" s="1"/>
  <c r="AJ290" i="7"/>
  <c r="AK290" i="7" s="1"/>
  <c r="AJ289" i="7"/>
  <c r="AK289" i="7" s="1"/>
  <c r="AJ288" i="7"/>
  <c r="AK288" i="7" s="1"/>
  <c r="AJ287" i="7"/>
  <c r="AK287" i="7" s="1"/>
  <c r="AJ277" i="7"/>
  <c r="AK277" i="7" s="1"/>
  <c r="AJ276" i="7"/>
  <c r="AK276" i="7" s="1"/>
  <c r="AJ275" i="7"/>
  <c r="AK275" i="7" s="1"/>
  <c r="AJ274" i="7"/>
  <c r="AK274" i="7" s="1"/>
  <c r="AJ273" i="7"/>
  <c r="AK273" i="7" s="1"/>
  <c r="AJ265" i="7"/>
  <c r="AK265" i="7" s="1"/>
  <c r="AJ264" i="7"/>
  <c r="AK264" i="7" s="1"/>
  <c r="AJ263" i="7"/>
  <c r="AK263" i="7" s="1"/>
  <c r="AJ262" i="7"/>
  <c r="AK262" i="7" s="1"/>
  <c r="AJ261" i="7"/>
  <c r="AK261" i="7" s="1"/>
  <c r="AJ260" i="7"/>
  <c r="AK260" i="7" s="1"/>
  <c r="AJ259" i="7"/>
  <c r="AK259" i="7" s="1"/>
  <c r="AJ258" i="7"/>
  <c r="AK258" i="7" s="1"/>
  <c r="AJ257" i="7"/>
  <c r="AK257" i="7" s="1"/>
  <c r="AJ256" i="7"/>
  <c r="AK256" i="7" s="1"/>
  <c r="AJ255" i="7"/>
  <c r="AK255" i="7" s="1"/>
  <c r="AJ254" i="7"/>
  <c r="AK254" i="7" s="1"/>
  <c r="AJ253" i="7"/>
  <c r="AK253" i="7" s="1"/>
  <c r="AJ251" i="7"/>
  <c r="AK251" i="7" s="1"/>
  <c r="AJ250" i="7"/>
  <c r="AK250" i="7" s="1"/>
  <c r="AJ249" i="7"/>
  <c r="AK249" i="7" s="1"/>
  <c r="AJ248" i="7"/>
  <c r="AK248" i="7" s="1"/>
  <c r="AJ247" i="7"/>
  <c r="AK247" i="7" s="1"/>
  <c r="AJ246" i="7"/>
  <c r="AK246" i="7" s="1"/>
  <c r="AJ245" i="7"/>
  <c r="AK245" i="7" s="1"/>
  <c r="AJ244" i="7"/>
  <c r="AK244" i="7" s="1"/>
  <c r="AJ243" i="7"/>
  <c r="AK243" i="7" s="1"/>
  <c r="AJ242" i="7"/>
  <c r="AK242" i="7" s="1"/>
  <c r="AJ241" i="7"/>
  <c r="AK241" i="7" s="1"/>
  <c r="AJ240" i="7"/>
  <c r="AK240" i="7" s="1"/>
  <c r="AJ239" i="7"/>
  <c r="AK239" i="7" s="1"/>
  <c r="AJ237" i="7"/>
  <c r="AK237" i="7" s="1"/>
  <c r="AJ236" i="7"/>
  <c r="AK236" i="7" s="1"/>
  <c r="AJ235" i="7"/>
  <c r="AK235" i="7" s="1"/>
  <c r="AJ234" i="7"/>
  <c r="AK234" i="7" s="1"/>
  <c r="AJ233" i="7"/>
  <c r="AK233" i="7" s="1"/>
  <c r="AJ232" i="7"/>
  <c r="AK232" i="7" s="1"/>
  <c r="AJ231" i="7"/>
  <c r="AK231" i="7" s="1"/>
  <c r="AJ230" i="7"/>
  <c r="AK230" i="7" s="1"/>
  <c r="AJ229" i="7"/>
  <c r="AK229" i="7" s="1"/>
  <c r="AJ228" i="7"/>
  <c r="AK228" i="7" s="1"/>
  <c r="AJ227" i="7"/>
  <c r="AK227" i="7" s="1"/>
  <c r="AJ226" i="7"/>
  <c r="AK226" i="7" s="1"/>
  <c r="AJ225" i="7"/>
  <c r="AK225" i="7" s="1"/>
  <c r="AJ224" i="7"/>
  <c r="AK224" i="7" s="1"/>
  <c r="AJ223" i="7"/>
  <c r="AK223" i="7" s="1"/>
  <c r="AJ222" i="7"/>
  <c r="AK222" i="7" s="1"/>
  <c r="AJ221" i="7"/>
  <c r="AK221" i="7" s="1"/>
  <c r="AJ220" i="7"/>
  <c r="AK220" i="7" s="1"/>
  <c r="AJ219" i="7"/>
  <c r="AK219" i="7" s="1"/>
  <c r="AJ218" i="7"/>
  <c r="AK218" i="7" s="1"/>
  <c r="AJ217" i="7"/>
  <c r="AK217" i="7" s="1"/>
  <c r="AJ216" i="7"/>
  <c r="AK216" i="7" s="1"/>
  <c r="AJ214" i="7"/>
  <c r="AK214" i="7" s="1"/>
  <c r="AJ213" i="7"/>
  <c r="AK213" i="7" s="1"/>
  <c r="AJ212" i="7"/>
  <c r="AK212" i="7" s="1"/>
  <c r="AJ211" i="7"/>
  <c r="AK211" i="7" s="1"/>
  <c r="AJ209" i="7"/>
  <c r="AK209" i="7" s="1"/>
  <c r="AJ208" i="7"/>
  <c r="AK208" i="7" s="1"/>
  <c r="AJ206" i="7"/>
  <c r="AK206" i="7" s="1"/>
  <c r="AJ205" i="7"/>
  <c r="AK205" i="7" s="1"/>
  <c r="AJ204" i="7"/>
  <c r="AK204" i="7" s="1"/>
  <c r="AJ203" i="7"/>
  <c r="AK203" i="7" s="1"/>
  <c r="AJ202" i="7"/>
  <c r="AK202" i="7" s="1"/>
  <c r="AJ201" i="7"/>
  <c r="AK201" i="7" s="1"/>
  <c r="AJ200" i="7"/>
  <c r="AK200" i="7" s="1"/>
  <c r="AJ199" i="7"/>
  <c r="AK199" i="7" s="1"/>
  <c r="AJ198" i="7"/>
  <c r="AK198" i="7" s="1"/>
  <c r="AJ197" i="7"/>
  <c r="AK197" i="7" s="1"/>
  <c r="AJ195" i="7"/>
  <c r="AK195" i="7" s="1"/>
  <c r="AJ194" i="7"/>
  <c r="AK194" i="7" s="1"/>
  <c r="AJ193" i="7"/>
  <c r="AK193" i="7" s="1"/>
  <c r="AJ169" i="7"/>
  <c r="AK169" i="7" s="1"/>
  <c r="AJ168" i="7"/>
  <c r="AK168" i="7" s="1"/>
  <c r="AJ167" i="7"/>
  <c r="AK167" i="7" s="1"/>
  <c r="AJ166" i="7"/>
  <c r="AK166" i="7" s="1"/>
  <c r="AJ165" i="7"/>
  <c r="AK165" i="7" s="1"/>
  <c r="AJ164" i="7"/>
  <c r="AK164" i="7" s="1"/>
  <c r="AJ162" i="7"/>
  <c r="AK162" i="7" s="1"/>
  <c r="AJ161" i="7"/>
  <c r="AK161" i="7" s="1"/>
  <c r="AJ160" i="7"/>
  <c r="AK160" i="7" s="1"/>
  <c r="AJ159" i="7"/>
  <c r="AK159" i="7" s="1"/>
  <c r="AJ158" i="7"/>
  <c r="AK158" i="7" s="1"/>
  <c r="AJ155" i="7"/>
  <c r="AK155" i="7" s="1"/>
  <c r="AJ154" i="7"/>
  <c r="AK154" i="7" s="1"/>
  <c r="AJ153" i="7"/>
  <c r="AK153" i="7" s="1"/>
  <c r="AJ152" i="7"/>
  <c r="AK152" i="7" s="1"/>
  <c r="AJ151" i="7"/>
  <c r="AK151" i="7" s="1"/>
  <c r="AJ150" i="7"/>
  <c r="AK150" i="7" s="1"/>
  <c r="AJ149" i="7"/>
  <c r="AK149" i="7" s="1"/>
  <c r="AJ148" i="7"/>
  <c r="AK148" i="7" s="1"/>
  <c r="AJ147" i="7"/>
  <c r="AK147" i="7" s="1"/>
  <c r="AJ145" i="7"/>
  <c r="AK145" i="7" s="1"/>
  <c r="AJ144" i="7"/>
  <c r="AK144" i="7" s="1"/>
  <c r="AJ143" i="7"/>
  <c r="AK143" i="7" s="1"/>
  <c r="AJ142" i="7"/>
  <c r="AK142" i="7" s="1"/>
  <c r="AJ141" i="7"/>
  <c r="AK141" i="7" s="1"/>
  <c r="AJ140" i="7"/>
  <c r="AK140" i="7" s="1"/>
  <c r="AJ139" i="7"/>
  <c r="AK139" i="7" s="1"/>
  <c r="AJ138" i="7"/>
  <c r="AK138" i="7" s="1"/>
  <c r="AJ137" i="7"/>
  <c r="AK137" i="7" s="1"/>
  <c r="AJ136" i="7"/>
  <c r="AK136" i="7" s="1"/>
  <c r="AJ135" i="7"/>
  <c r="AK135" i="7" s="1"/>
  <c r="AJ134" i="7"/>
  <c r="AK134" i="7" s="1"/>
  <c r="AJ133" i="7"/>
  <c r="AK133" i="7" s="1"/>
  <c r="AJ132" i="7"/>
  <c r="AK132" i="7" s="1"/>
  <c r="AJ131" i="7"/>
  <c r="AK131" i="7" s="1"/>
  <c r="AJ129" i="7"/>
  <c r="AK129" i="7" s="1"/>
  <c r="AJ127" i="7"/>
  <c r="AK127" i="7" s="1"/>
  <c r="AJ124" i="7"/>
  <c r="AK124" i="7" s="1"/>
  <c r="AI3" i="7"/>
  <c r="AI4" i="7"/>
  <c r="AI5" i="7"/>
  <c r="AI6" i="7"/>
  <c r="AI7" i="7"/>
  <c r="AI8" i="7"/>
  <c r="AI9" i="7"/>
  <c r="AI10" i="7"/>
  <c r="AI11" i="7"/>
  <c r="AI12" i="7"/>
  <c r="AI13" i="7"/>
  <c r="AI14" i="7"/>
  <c r="AI15" i="7"/>
  <c r="AI16" i="7"/>
  <c r="AI17" i="7"/>
  <c r="AI18" i="7"/>
  <c r="AI19" i="7"/>
  <c r="AI20" i="7"/>
  <c r="AI21" i="7"/>
  <c r="AI22" i="7"/>
  <c r="AI23" i="7"/>
  <c r="AI24" i="7"/>
  <c r="AI25" i="7"/>
  <c r="AI26" i="7"/>
  <c r="AI27" i="7"/>
  <c r="AI28" i="7"/>
  <c r="AI29" i="7"/>
  <c r="AI30" i="7"/>
  <c r="AI31" i="7"/>
  <c r="AI32" i="7"/>
  <c r="AI33" i="7"/>
  <c r="AI34" i="7"/>
  <c r="AI35" i="7"/>
  <c r="AI36" i="7"/>
  <c r="AI37" i="7"/>
  <c r="AI38" i="7"/>
  <c r="AI39" i="7"/>
  <c r="AI40" i="7"/>
  <c r="AI41" i="7"/>
  <c r="AI42" i="7"/>
  <c r="AI43" i="7"/>
  <c r="AI44" i="7"/>
  <c r="AI45" i="7"/>
  <c r="AI46" i="7"/>
  <c r="AI47" i="7"/>
  <c r="AI48" i="7"/>
  <c r="AI49" i="7"/>
  <c r="AI50" i="7"/>
  <c r="AI51" i="7"/>
  <c r="AI52" i="7"/>
  <c r="AI53" i="7"/>
  <c r="AI54" i="7"/>
  <c r="AI55" i="7"/>
  <c r="AI56" i="7"/>
  <c r="AI57" i="7"/>
  <c r="AI58" i="7"/>
  <c r="AI59" i="7"/>
  <c r="AI60" i="7"/>
  <c r="AI61" i="7"/>
  <c r="AI62" i="7"/>
  <c r="AI63" i="7"/>
  <c r="AI64" i="7"/>
  <c r="AI65" i="7"/>
  <c r="AI66" i="7"/>
  <c r="AI67" i="7"/>
  <c r="AI68" i="7"/>
  <c r="AI69" i="7"/>
  <c r="AI70" i="7"/>
  <c r="AI71" i="7"/>
  <c r="AI72" i="7"/>
  <c r="AI73" i="7"/>
  <c r="AI74" i="7"/>
  <c r="AI75" i="7"/>
  <c r="AI76" i="7"/>
  <c r="AI77" i="7"/>
  <c r="AI78" i="7"/>
  <c r="AI79" i="7"/>
  <c r="AI80" i="7"/>
  <c r="AI81" i="7"/>
  <c r="AI82" i="7"/>
  <c r="AI83" i="7"/>
  <c r="AI84" i="7"/>
  <c r="AI85" i="7"/>
  <c r="AI86" i="7"/>
  <c r="AI87" i="7"/>
  <c r="AI88" i="7"/>
  <c r="AI89" i="7"/>
  <c r="AI90" i="7"/>
  <c r="AI91" i="7"/>
  <c r="AI92" i="7"/>
  <c r="AI93" i="7"/>
  <c r="AI94" i="7"/>
  <c r="AI95" i="7"/>
  <c r="AI96" i="7"/>
  <c r="AI97" i="7"/>
  <c r="AI98" i="7"/>
  <c r="AI99" i="7"/>
  <c r="AI100" i="7"/>
  <c r="AI101" i="7"/>
  <c r="AI102" i="7"/>
  <c r="AI103" i="7"/>
  <c r="AI104" i="7"/>
  <c r="AI105" i="7"/>
  <c r="AI106" i="7"/>
  <c r="AI107" i="7"/>
  <c r="AI108" i="7"/>
  <c r="AI109" i="7"/>
  <c r="AI110" i="7"/>
  <c r="AI111" i="7"/>
  <c r="AI112" i="7"/>
  <c r="AI113" i="7"/>
  <c r="AI114" i="7"/>
  <c r="AI115" i="7"/>
  <c r="AI116" i="7"/>
  <c r="AI117" i="7"/>
  <c r="AI118" i="7"/>
  <c r="AI119" i="7"/>
  <c r="AI120" i="7"/>
  <c r="AI121" i="7"/>
  <c r="AI122" i="7"/>
  <c r="AI123" i="7"/>
  <c r="AI124" i="7"/>
  <c r="AI125" i="7"/>
  <c r="AI126" i="7"/>
  <c r="AI127" i="7"/>
  <c r="AI128" i="7"/>
  <c r="AI129" i="7"/>
  <c r="AI130" i="7"/>
  <c r="AI131" i="7"/>
  <c r="AI132" i="7"/>
  <c r="AI133" i="7"/>
  <c r="AI134" i="7"/>
  <c r="AI135" i="7"/>
  <c r="AI136" i="7"/>
  <c r="AI137" i="7"/>
  <c r="AI138" i="7"/>
  <c r="AI139" i="7"/>
  <c r="AI140" i="7"/>
  <c r="AI141" i="7"/>
  <c r="AI142" i="7"/>
  <c r="AI143" i="7"/>
  <c r="AI144" i="7"/>
  <c r="AI145" i="7"/>
  <c r="AI146" i="7"/>
  <c r="AI147" i="7"/>
  <c r="AI148" i="7"/>
  <c r="AI149" i="7"/>
  <c r="AI150" i="7"/>
  <c r="AI151" i="7"/>
  <c r="AI152" i="7"/>
  <c r="AI153" i="7"/>
  <c r="AI154" i="7"/>
  <c r="AI155" i="7"/>
  <c r="AI156" i="7"/>
  <c r="AI157" i="7"/>
  <c r="AI158" i="7"/>
  <c r="AI159" i="7"/>
  <c r="AI160" i="7"/>
  <c r="AI161" i="7"/>
  <c r="AI162" i="7"/>
  <c r="AI163" i="7"/>
  <c r="AI164" i="7"/>
  <c r="AI165" i="7"/>
  <c r="AI166" i="7"/>
  <c r="AI167" i="7"/>
  <c r="AI168" i="7"/>
  <c r="AI169" i="7"/>
  <c r="AI170" i="7"/>
  <c r="AI171" i="7"/>
  <c r="AI172" i="7"/>
  <c r="AI173" i="7"/>
  <c r="AI174" i="7"/>
  <c r="AI175" i="7"/>
  <c r="AI176" i="7"/>
  <c r="AI177" i="7"/>
  <c r="AI178" i="7"/>
  <c r="AI179" i="7"/>
  <c r="AI180" i="7"/>
  <c r="AI181" i="7"/>
  <c r="AI182" i="7"/>
  <c r="AI183" i="7"/>
  <c r="AI184" i="7"/>
  <c r="AI185" i="7"/>
  <c r="AI186" i="7"/>
  <c r="AI187" i="7"/>
  <c r="AI188" i="7"/>
  <c r="AI189" i="7"/>
  <c r="AI190" i="7"/>
  <c r="AI191" i="7"/>
  <c r="AI192" i="7"/>
  <c r="AI193" i="7"/>
  <c r="AI194" i="7"/>
  <c r="AI195" i="7"/>
  <c r="AI196" i="7"/>
  <c r="AI197" i="7"/>
  <c r="AI198" i="7"/>
  <c r="AI199" i="7"/>
  <c r="AI200" i="7"/>
  <c r="AI201" i="7"/>
  <c r="AI202" i="7"/>
  <c r="AI203" i="7"/>
  <c r="AI204" i="7"/>
  <c r="AI205" i="7"/>
  <c r="AI206" i="7"/>
  <c r="AI207" i="7"/>
  <c r="AI208" i="7"/>
  <c r="AI209" i="7"/>
  <c r="AI210" i="7"/>
  <c r="AI211" i="7"/>
  <c r="AI212" i="7"/>
  <c r="AI213" i="7"/>
  <c r="AI214" i="7"/>
  <c r="AI215" i="7"/>
  <c r="AI216" i="7"/>
  <c r="AI217" i="7"/>
  <c r="AI218" i="7"/>
  <c r="AI219" i="7"/>
  <c r="AI220" i="7"/>
  <c r="AI221" i="7"/>
  <c r="AI222" i="7"/>
  <c r="AI223" i="7"/>
  <c r="AI224" i="7"/>
  <c r="AI225" i="7"/>
  <c r="AI226" i="7"/>
  <c r="AI227" i="7"/>
  <c r="AI228" i="7"/>
  <c r="AI229" i="7"/>
  <c r="AI230" i="7"/>
  <c r="AI231" i="7"/>
  <c r="AI232" i="7"/>
  <c r="AI233" i="7"/>
  <c r="AI234" i="7"/>
  <c r="AI235" i="7"/>
  <c r="AI236" i="7"/>
  <c r="AI237" i="7"/>
  <c r="AI238" i="7"/>
  <c r="AI239" i="7"/>
  <c r="AI240" i="7"/>
  <c r="AI241" i="7"/>
  <c r="AI242" i="7"/>
  <c r="AI243" i="7"/>
  <c r="AI244" i="7"/>
  <c r="AI245" i="7"/>
  <c r="AI246" i="7"/>
  <c r="AI247" i="7"/>
  <c r="AI248" i="7"/>
  <c r="AI249" i="7"/>
  <c r="AI250" i="7"/>
  <c r="AI251" i="7"/>
  <c r="AI252" i="7"/>
  <c r="AI253" i="7"/>
  <c r="AI254" i="7"/>
  <c r="AI255" i="7"/>
  <c r="AI256" i="7"/>
  <c r="AI257" i="7"/>
  <c r="AI258" i="7"/>
  <c r="AI259" i="7"/>
  <c r="AI260" i="7"/>
  <c r="AI261" i="7"/>
  <c r="AI262" i="7"/>
  <c r="AI263" i="7"/>
  <c r="AI264" i="7"/>
  <c r="AI265" i="7"/>
  <c r="AI266" i="7"/>
  <c r="AI267" i="7"/>
  <c r="AI268" i="7"/>
  <c r="AI269" i="7"/>
  <c r="AI270" i="7"/>
  <c r="AI271" i="7"/>
  <c r="AI272" i="7"/>
  <c r="AI273" i="7"/>
  <c r="AI274" i="7"/>
  <c r="AI275" i="7"/>
  <c r="AI276" i="7"/>
  <c r="AI277" i="7"/>
  <c r="AI278" i="7"/>
  <c r="AI279" i="7"/>
  <c r="AI280" i="7"/>
  <c r="AI281" i="7"/>
  <c r="AI282" i="7"/>
  <c r="AI283" i="7"/>
  <c r="AI284" i="7"/>
  <c r="AI285" i="7"/>
  <c r="AI286" i="7"/>
  <c r="AI287" i="7"/>
  <c r="AI288" i="7"/>
  <c r="AI289" i="7"/>
  <c r="AI290" i="7"/>
  <c r="AI291" i="7"/>
  <c r="AI292" i="7"/>
  <c r="AI293" i="7"/>
  <c r="AI294" i="7"/>
  <c r="AI295" i="7"/>
  <c r="AI296" i="7"/>
  <c r="AI297" i="7"/>
  <c r="AI298" i="7"/>
  <c r="AI299" i="7"/>
  <c r="AI300" i="7"/>
  <c r="AI301" i="7"/>
  <c r="AI302" i="7"/>
  <c r="AI303" i="7"/>
  <c r="AI304" i="7"/>
  <c r="AI305" i="7"/>
  <c r="AI306" i="7"/>
  <c r="AI307" i="7"/>
  <c r="AI308" i="7"/>
  <c r="AI309" i="7"/>
  <c r="AI310" i="7"/>
  <c r="AI311" i="7"/>
  <c r="AI312" i="7"/>
  <c r="AI313" i="7"/>
  <c r="AI314" i="7"/>
  <c r="AI315" i="7"/>
  <c r="AI316" i="7"/>
  <c r="AI317" i="7"/>
  <c r="AI318" i="7"/>
  <c r="AI319" i="7"/>
  <c r="AI320" i="7"/>
  <c r="AI321" i="7"/>
  <c r="AI322" i="7"/>
  <c r="AI323" i="7"/>
  <c r="AI324" i="7"/>
  <c r="AI325" i="7"/>
  <c r="AI326" i="7"/>
  <c r="AI327" i="7"/>
  <c r="AI328" i="7"/>
  <c r="AI329" i="7"/>
  <c r="AI330" i="7"/>
  <c r="AI331" i="7"/>
  <c r="AI332" i="7"/>
  <c r="AI333" i="7"/>
  <c r="AI334" i="7"/>
  <c r="AI335" i="7"/>
  <c r="AI336" i="7"/>
  <c r="AI337" i="7"/>
  <c r="AI338" i="7"/>
  <c r="AI339" i="7"/>
  <c r="AI340" i="7"/>
  <c r="AI341" i="7"/>
  <c r="AI342" i="7"/>
  <c r="AI343" i="7"/>
  <c r="AI344" i="7"/>
  <c r="AI345" i="7"/>
  <c r="AI346" i="7"/>
  <c r="AI347" i="7"/>
  <c r="AI348" i="7"/>
  <c r="AI349" i="7"/>
  <c r="AI350" i="7"/>
  <c r="AI351" i="7"/>
  <c r="AI352" i="7"/>
  <c r="AI353" i="7"/>
  <c r="AI354" i="7"/>
  <c r="AI355" i="7"/>
  <c r="AI356" i="7"/>
  <c r="AI357" i="7"/>
  <c r="AI358" i="7"/>
  <c r="AI359" i="7"/>
  <c r="AI360" i="7"/>
  <c r="AI361" i="7"/>
  <c r="AI362" i="7"/>
  <c r="AI363" i="7"/>
  <c r="AI364" i="7"/>
  <c r="AI365" i="7"/>
  <c r="AI366" i="7"/>
  <c r="AI367" i="7"/>
  <c r="AI368" i="7"/>
  <c r="AI369" i="7"/>
  <c r="AI370" i="7"/>
  <c r="AI371" i="7"/>
  <c r="AI372" i="7"/>
  <c r="AI373" i="7"/>
  <c r="AI374" i="7"/>
  <c r="AI375" i="7"/>
  <c r="AI376" i="7"/>
  <c r="AI377" i="7"/>
  <c r="AI378" i="7"/>
  <c r="AI379" i="7"/>
  <c r="AI380" i="7"/>
  <c r="AI381" i="7"/>
  <c r="AI382" i="7"/>
  <c r="AI383" i="7"/>
  <c r="AI384" i="7"/>
  <c r="AI385" i="7"/>
  <c r="AI386" i="7"/>
  <c r="AI387" i="7"/>
  <c r="AI388" i="7"/>
  <c r="AI389" i="7"/>
  <c r="AI390" i="7"/>
  <c r="AI391" i="7"/>
  <c r="AI392" i="7"/>
  <c r="AI393" i="7"/>
  <c r="AI394" i="7"/>
  <c r="AI395" i="7"/>
  <c r="AI396" i="7"/>
  <c r="AI397" i="7"/>
  <c r="AI398" i="7"/>
  <c r="AI399" i="7"/>
  <c r="AI400" i="7"/>
  <c r="AI401" i="7"/>
  <c r="AI402" i="7"/>
  <c r="AI403" i="7"/>
  <c r="AI404" i="7"/>
  <c r="AI405" i="7"/>
  <c r="AI406" i="7"/>
  <c r="AI407" i="7"/>
  <c r="AI408" i="7"/>
  <c r="AI409" i="7"/>
  <c r="AI410" i="7"/>
  <c r="AI411" i="7"/>
  <c r="AI412" i="7"/>
  <c r="AI413" i="7"/>
  <c r="AI414" i="7"/>
  <c r="AI415" i="7"/>
  <c r="AI416" i="7"/>
  <c r="AI417" i="7"/>
  <c r="AI418" i="7"/>
  <c r="AI419" i="7"/>
  <c r="AI420" i="7"/>
  <c r="AI421" i="7"/>
  <c r="AI422" i="7"/>
  <c r="AI423" i="7"/>
  <c r="AI424" i="7"/>
  <c r="AI425" i="7"/>
  <c r="AI426" i="7"/>
  <c r="AI427" i="7"/>
  <c r="AI428" i="7"/>
  <c r="AI429" i="7"/>
  <c r="AI430" i="7"/>
  <c r="AI431" i="7"/>
  <c r="AI432" i="7"/>
  <c r="AI433" i="7"/>
  <c r="AI434" i="7"/>
  <c r="AI435" i="7"/>
  <c r="AI436" i="7"/>
  <c r="AI437" i="7"/>
  <c r="AI438" i="7"/>
  <c r="AI439" i="7"/>
  <c r="AI440" i="7"/>
  <c r="AI441" i="7"/>
  <c r="AI442" i="7"/>
  <c r="AI443" i="7"/>
  <c r="AI444" i="7"/>
  <c r="AI445" i="7"/>
  <c r="AI446" i="7"/>
  <c r="AI447" i="7"/>
  <c r="AI448" i="7"/>
  <c r="AI449" i="7"/>
  <c r="AI450" i="7"/>
  <c r="AI451" i="7"/>
  <c r="AI452" i="7"/>
  <c r="AI453" i="7"/>
  <c r="AI454" i="7"/>
  <c r="AI455" i="7"/>
  <c r="AI456" i="7"/>
  <c r="AI457" i="7"/>
  <c r="AI458" i="7"/>
  <c r="AI459" i="7"/>
  <c r="AI460" i="7"/>
  <c r="AI461" i="7"/>
  <c r="AI462" i="7"/>
  <c r="AI463" i="7"/>
  <c r="AI464" i="7"/>
  <c r="AI465" i="7"/>
  <c r="AI466" i="7"/>
  <c r="AI467" i="7"/>
  <c r="AI468" i="7"/>
  <c r="AI469" i="7"/>
  <c r="AI470" i="7"/>
  <c r="AI471" i="7"/>
  <c r="AI472" i="7"/>
  <c r="AI473" i="7"/>
  <c r="AI474" i="7"/>
  <c r="AI475" i="7"/>
  <c r="AI476" i="7"/>
  <c r="AI477" i="7"/>
  <c r="AI478" i="7"/>
  <c r="AI479" i="7"/>
  <c r="AI480" i="7"/>
  <c r="AI481" i="7"/>
  <c r="AI482" i="7"/>
  <c r="AI483" i="7"/>
  <c r="AI484" i="7"/>
  <c r="AI485" i="7"/>
  <c r="AI486" i="7"/>
  <c r="AI487" i="7"/>
  <c r="AI488" i="7"/>
  <c r="AI489" i="7"/>
  <c r="AI490" i="7"/>
  <c r="AI491" i="7"/>
  <c r="AI492" i="7"/>
  <c r="AI493" i="7"/>
  <c r="AI494" i="7"/>
  <c r="AI495" i="7"/>
  <c r="AI496" i="7"/>
  <c r="AI497" i="7"/>
  <c r="AI498" i="7"/>
  <c r="AI499" i="7"/>
  <c r="AI500" i="7"/>
  <c r="AI501" i="7"/>
  <c r="AI502" i="7"/>
  <c r="AI503" i="7"/>
  <c r="AI504" i="7"/>
  <c r="AI505" i="7"/>
  <c r="AI506" i="7"/>
  <c r="AI507" i="7"/>
  <c r="AI508" i="7"/>
  <c r="AI509" i="7"/>
  <c r="AI510" i="7"/>
  <c r="AI511" i="7"/>
  <c r="AI512" i="7"/>
  <c r="AI513" i="7"/>
  <c r="AI514" i="7"/>
  <c r="AI515" i="7"/>
  <c r="AI516" i="7"/>
  <c r="AI517" i="7"/>
  <c r="AI518" i="7"/>
  <c r="AI519" i="7"/>
  <c r="AI520" i="7"/>
  <c r="AI521" i="7"/>
  <c r="AI522" i="7"/>
  <c r="AI523" i="7"/>
  <c r="AI524" i="7"/>
  <c r="AI525" i="7"/>
  <c r="AI526" i="7"/>
  <c r="AI527" i="7"/>
  <c r="AI528" i="7"/>
  <c r="AI529" i="7"/>
  <c r="AI530" i="7"/>
  <c r="AI531" i="7"/>
  <c r="AI532" i="7"/>
  <c r="AI533" i="7"/>
  <c r="AI534" i="7"/>
  <c r="AI535" i="7"/>
  <c r="AI536" i="7"/>
  <c r="AI537" i="7"/>
  <c r="AI538" i="7"/>
  <c r="AI539" i="7"/>
  <c r="AI540" i="7"/>
  <c r="AI541" i="7"/>
  <c r="AI542" i="7"/>
  <c r="AI543" i="7"/>
  <c r="AI544" i="7"/>
  <c r="AI545" i="7"/>
  <c r="AI546" i="7"/>
  <c r="AI547" i="7"/>
  <c r="AI548" i="7"/>
  <c r="AI549" i="7"/>
  <c r="AI550" i="7"/>
  <c r="AI551" i="7"/>
  <c r="AI552" i="7"/>
  <c r="AI553" i="7"/>
  <c r="AI554" i="7"/>
  <c r="AI555" i="7"/>
  <c r="AI556" i="7"/>
  <c r="AI557" i="7"/>
  <c r="AI558" i="7"/>
  <c r="AI559" i="7"/>
  <c r="AI560" i="7"/>
  <c r="AI561" i="7"/>
  <c r="AI562" i="7"/>
  <c r="AI563" i="7"/>
  <c r="AI564" i="7"/>
  <c r="AI565" i="7"/>
  <c r="AI566" i="7"/>
  <c r="AI567" i="7"/>
  <c r="AI568" i="7"/>
  <c r="AI569" i="7"/>
  <c r="AI570" i="7"/>
  <c r="AI571" i="7"/>
  <c r="AI572" i="7"/>
  <c r="AI573" i="7"/>
  <c r="AI574" i="7"/>
  <c r="AI575" i="7"/>
  <c r="AI576" i="7"/>
  <c r="AI577" i="7"/>
  <c r="AI578" i="7"/>
  <c r="AI579" i="7"/>
  <c r="AI580" i="7"/>
  <c r="AI581" i="7"/>
  <c r="AI582" i="7"/>
  <c r="AI583" i="7"/>
  <c r="AI584" i="7"/>
  <c r="AI585" i="7"/>
  <c r="AI586" i="7"/>
  <c r="AI587" i="7"/>
  <c r="AI588" i="7"/>
  <c r="AI589" i="7"/>
  <c r="AI590" i="7"/>
  <c r="AI591" i="7"/>
  <c r="AI592" i="7"/>
  <c r="AI593" i="7"/>
  <c r="AI594" i="7"/>
  <c r="AI595" i="7"/>
  <c r="AI596" i="7"/>
  <c r="AI597" i="7"/>
  <c r="AI598" i="7"/>
  <c r="AI599" i="7"/>
  <c r="AI600" i="7"/>
  <c r="AI601" i="7"/>
  <c r="AI602" i="7"/>
  <c r="AI603" i="7"/>
  <c r="AI604" i="7"/>
  <c r="AI605" i="7"/>
  <c r="AI606" i="7"/>
  <c r="AI607" i="7"/>
  <c r="AI608" i="7"/>
  <c r="AI609" i="7"/>
  <c r="AI610" i="7"/>
  <c r="AI611" i="7"/>
  <c r="AI612" i="7"/>
  <c r="AI613" i="7"/>
  <c r="AI614" i="7"/>
  <c r="AI615" i="7"/>
  <c r="AI616" i="7"/>
  <c r="AI617" i="7"/>
  <c r="AI618" i="7"/>
  <c r="AI619" i="7"/>
  <c r="AI620" i="7"/>
  <c r="AI621" i="7"/>
  <c r="AI622" i="7"/>
  <c r="AI623" i="7"/>
  <c r="AI624" i="7"/>
  <c r="AI625" i="7"/>
  <c r="AI626" i="7"/>
  <c r="AI627" i="7"/>
  <c r="AI628" i="7"/>
  <c r="AI629" i="7"/>
  <c r="AI630" i="7"/>
  <c r="AI631" i="7"/>
  <c r="AI632" i="7"/>
  <c r="AI633" i="7"/>
  <c r="AI634" i="7"/>
  <c r="AI635" i="7"/>
  <c r="AI636" i="7"/>
  <c r="AI637" i="7"/>
  <c r="AI638" i="7"/>
  <c r="AI639" i="7"/>
  <c r="AI640" i="7"/>
  <c r="AI641" i="7"/>
  <c r="AI642" i="7"/>
  <c r="AI643" i="7"/>
  <c r="AI644" i="7"/>
  <c r="AI645" i="7"/>
  <c r="AI646" i="7"/>
  <c r="AI647" i="7"/>
  <c r="AI648" i="7"/>
  <c r="AI649" i="7"/>
  <c r="AI650" i="7"/>
  <c r="AI651" i="7"/>
  <c r="AI652" i="7"/>
  <c r="AI653" i="7"/>
  <c r="AI654" i="7"/>
  <c r="AI655" i="7"/>
  <c r="AI656" i="7"/>
  <c r="AI657" i="7"/>
  <c r="AI658" i="7"/>
  <c r="AI659" i="7"/>
  <c r="AI660" i="7"/>
  <c r="AI661" i="7"/>
  <c r="AI662" i="7"/>
  <c r="AI663" i="7"/>
  <c r="AI664" i="7"/>
  <c r="AI665" i="7"/>
  <c r="AI666" i="7"/>
  <c r="AI667" i="7"/>
  <c r="AI668" i="7"/>
  <c r="AI669" i="7"/>
  <c r="AI670" i="7"/>
  <c r="AI671" i="7"/>
  <c r="AI672" i="7"/>
  <c r="AI673" i="7"/>
  <c r="AI674" i="7"/>
  <c r="AI675" i="7"/>
  <c r="AI676" i="7"/>
  <c r="AI677" i="7"/>
  <c r="AI678" i="7"/>
  <c r="AI679" i="7"/>
  <c r="AI680" i="7"/>
  <c r="AI681" i="7"/>
  <c r="AI682" i="7"/>
  <c r="AI683" i="7"/>
  <c r="AI684" i="7"/>
  <c r="AI685" i="7"/>
  <c r="AI686" i="7"/>
  <c r="AI687" i="7"/>
  <c r="AI688" i="7"/>
  <c r="AI689" i="7"/>
  <c r="AI690" i="7"/>
  <c r="AI691" i="7"/>
  <c r="AI692" i="7"/>
  <c r="AI693" i="7"/>
  <c r="AI694" i="7"/>
  <c r="AI695" i="7"/>
  <c r="AI696" i="7"/>
  <c r="AI697" i="7"/>
  <c r="AI698" i="7"/>
  <c r="AI699" i="7"/>
  <c r="AI700" i="7"/>
  <c r="AI701" i="7"/>
  <c r="AI702" i="7"/>
  <c r="AI703" i="7"/>
  <c r="AI704" i="7"/>
  <c r="AI705" i="7"/>
  <c r="AI706" i="7"/>
  <c r="AI707" i="7"/>
  <c r="AI708" i="7"/>
  <c r="AI709" i="7"/>
  <c r="AI710" i="7"/>
  <c r="AI711" i="7"/>
  <c r="AI712" i="7"/>
  <c r="AI713" i="7"/>
  <c r="AI714" i="7"/>
  <c r="AI715" i="7"/>
  <c r="AI716" i="7"/>
  <c r="AI717" i="7"/>
  <c r="AI718" i="7"/>
  <c r="AI719" i="7"/>
  <c r="AI720" i="7"/>
  <c r="AI721" i="7"/>
  <c r="AI722" i="7"/>
  <c r="AI723" i="7"/>
  <c r="AI724" i="7"/>
  <c r="AI725" i="7"/>
  <c r="AI726" i="7"/>
  <c r="AI727" i="7"/>
  <c r="AI728" i="7"/>
  <c r="AI729" i="7"/>
  <c r="AI730" i="7"/>
  <c r="AI731" i="7"/>
  <c r="AI732" i="7"/>
  <c r="AI733" i="7"/>
  <c r="AI734" i="7"/>
  <c r="AI735" i="7"/>
  <c r="AI736" i="7"/>
  <c r="AI737" i="7"/>
  <c r="AI738" i="7"/>
  <c r="AI739" i="7"/>
  <c r="AI740" i="7"/>
  <c r="AI741" i="7"/>
  <c r="AI742" i="7"/>
  <c r="AI743" i="7"/>
  <c r="AI744" i="7"/>
  <c r="AI745" i="7"/>
  <c r="AI746" i="7"/>
  <c r="AI747" i="7"/>
  <c r="AI748" i="7"/>
  <c r="AI749" i="7"/>
  <c r="AI750" i="7"/>
  <c r="AI751" i="7"/>
  <c r="AI752" i="7"/>
  <c r="AI753" i="7"/>
  <c r="AI754" i="7"/>
  <c r="AI755" i="7"/>
  <c r="AI756" i="7"/>
  <c r="AI757" i="7"/>
  <c r="AI758" i="7"/>
  <c r="AI759" i="7"/>
  <c r="AI760" i="7"/>
  <c r="AI761" i="7"/>
  <c r="AI762" i="7"/>
  <c r="AI763" i="7"/>
  <c r="AI764" i="7"/>
  <c r="AI765" i="7"/>
  <c r="AI766" i="7"/>
  <c r="AI767" i="7"/>
  <c r="AI768" i="7"/>
  <c r="AI769" i="7"/>
  <c r="AI770" i="7"/>
  <c r="AI771" i="7"/>
  <c r="AI772" i="7"/>
  <c r="AI773" i="7"/>
  <c r="AI774" i="7"/>
  <c r="AI775" i="7"/>
  <c r="AI776" i="7"/>
  <c r="AI777" i="7"/>
  <c r="AI778" i="7"/>
  <c r="AI779" i="7"/>
  <c r="AI780" i="7"/>
  <c r="AI781" i="7"/>
  <c r="AI782" i="7"/>
  <c r="AI783" i="7"/>
  <c r="AI784" i="7"/>
  <c r="AI785" i="7"/>
  <c r="AI786" i="7"/>
  <c r="AI787" i="7"/>
  <c r="AI788" i="7"/>
  <c r="AI789" i="7"/>
  <c r="AI790" i="7"/>
  <c r="AI791" i="7"/>
  <c r="AI792" i="7"/>
  <c r="AI793" i="7"/>
  <c r="AI794" i="7"/>
  <c r="AI795" i="7"/>
  <c r="AI796" i="7"/>
  <c r="AI797" i="7"/>
  <c r="AI798" i="7"/>
  <c r="AI799" i="7"/>
  <c r="AI800" i="7"/>
  <c r="AI801" i="7"/>
  <c r="AI802" i="7"/>
  <c r="AI803" i="7"/>
  <c r="AI804" i="7"/>
  <c r="AI805" i="7"/>
  <c r="AI806" i="7"/>
  <c r="AI807" i="7"/>
  <c r="AI808" i="7"/>
  <c r="AI809" i="7"/>
  <c r="AI810" i="7"/>
  <c r="AI811" i="7"/>
  <c r="AI812" i="7"/>
  <c r="AI813" i="7"/>
  <c r="AI814" i="7"/>
  <c r="AI815" i="7"/>
  <c r="AI816" i="7"/>
  <c r="AI817" i="7"/>
  <c r="AI818" i="7"/>
  <c r="AI819" i="7"/>
  <c r="AI820" i="7"/>
  <c r="AI821" i="7"/>
  <c r="AI822" i="7"/>
  <c r="AI823" i="7"/>
  <c r="AI824" i="7"/>
  <c r="AI825" i="7"/>
  <c r="AI826" i="7"/>
  <c r="AI827" i="7"/>
  <c r="AI828" i="7"/>
  <c r="AI829" i="7"/>
  <c r="AI830" i="7"/>
  <c r="AI831" i="7"/>
  <c r="AI832" i="7"/>
  <c r="AI833" i="7"/>
  <c r="AI834" i="7"/>
  <c r="AI835" i="7"/>
  <c r="AI836" i="7"/>
  <c r="AI837" i="7"/>
  <c r="AI838" i="7"/>
  <c r="AI839" i="7"/>
  <c r="AI840" i="7"/>
  <c r="AI841" i="7"/>
  <c r="AI842" i="7"/>
  <c r="AI843" i="7"/>
  <c r="AI844" i="7"/>
  <c r="AI845" i="7"/>
  <c r="AI846" i="7"/>
  <c r="AI847" i="7"/>
  <c r="AI848" i="7"/>
  <c r="AI849" i="7"/>
  <c r="AI850" i="7"/>
  <c r="AI851" i="7"/>
  <c r="AI852" i="7"/>
  <c r="AI853" i="7"/>
  <c r="AI854" i="7"/>
  <c r="AI855" i="7"/>
  <c r="AI856" i="7"/>
  <c r="AI857" i="7"/>
  <c r="AI858" i="7"/>
  <c r="AI859" i="7"/>
  <c r="AI860" i="7"/>
  <c r="AI861" i="7"/>
  <c r="AI862" i="7"/>
  <c r="AI863" i="7"/>
  <c r="AI864" i="7"/>
  <c r="AI865" i="7"/>
  <c r="AI866" i="7"/>
  <c r="AI867" i="7"/>
  <c r="AI868" i="7"/>
  <c r="AI869" i="7"/>
  <c r="AI870" i="7"/>
  <c r="AI871" i="7"/>
  <c r="AI872" i="7"/>
  <c r="AI873" i="7"/>
  <c r="AI874" i="7"/>
  <c r="AI875" i="7"/>
  <c r="AI876" i="7"/>
  <c r="AI877" i="7"/>
  <c r="AI878" i="7"/>
  <c r="AI879" i="7"/>
  <c r="AI880" i="7"/>
  <c r="AI881" i="7"/>
  <c r="AI882" i="7"/>
  <c r="AI883" i="7"/>
  <c r="AI884" i="7"/>
  <c r="AI885" i="7"/>
  <c r="AI886" i="7"/>
  <c r="AI887" i="7"/>
  <c r="AI888" i="7"/>
  <c r="AI889" i="7"/>
  <c r="AI890" i="7"/>
  <c r="AI891" i="7"/>
  <c r="AI892" i="7"/>
  <c r="AI893" i="7"/>
  <c r="AI894" i="7"/>
  <c r="AI895" i="7"/>
  <c r="AI896" i="7"/>
  <c r="AI897" i="7"/>
  <c r="AI898" i="7"/>
  <c r="AI899" i="7"/>
  <c r="AI900" i="7"/>
  <c r="AI901" i="7"/>
  <c r="AI902" i="7"/>
  <c r="AI903" i="7"/>
  <c r="AI904" i="7"/>
  <c r="AI905" i="7"/>
  <c r="AI906" i="7"/>
  <c r="AI907" i="7"/>
  <c r="AI908" i="7"/>
  <c r="AI909" i="7"/>
  <c r="AI910" i="7"/>
  <c r="AI911" i="7"/>
  <c r="AI912" i="7"/>
  <c r="AI913" i="7"/>
  <c r="AI914" i="7"/>
  <c r="AI915" i="7"/>
  <c r="AI916" i="7"/>
  <c r="AI917" i="7"/>
  <c r="AI918" i="7"/>
  <c r="AI919" i="7"/>
  <c r="AI920" i="7"/>
  <c r="AI921" i="7"/>
  <c r="AI922" i="7"/>
  <c r="AI923" i="7"/>
  <c r="AI924" i="7"/>
  <c r="AI925" i="7"/>
  <c r="AI926" i="7"/>
  <c r="AI927" i="7"/>
  <c r="AI928" i="7"/>
  <c r="AI929" i="7"/>
  <c r="AI930" i="7"/>
  <c r="AI931" i="7"/>
  <c r="AI932" i="7"/>
  <c r="AI933" i="7"/>
  <c r="AI934" i="7"/>
  <c r="AI935" i="7"/>
  <c r="AI936" i="7"/>
  <c r="AI937" i="7"/>
  <c r="AI938" i="7"/>
  <c r="AI939" i="7"/>
  <c r="AI940" i="7"/>
  <c r="AI941" i="7"/>
  <c r="AI942" i="7"/>
  <c r="AI943" i="7"/>
  <c r="AI944" i="7"/>
  <c r="AI945" i="7"/>
  <c r="AI946" i="7"/>
  <c r="AI947" i="7"/>
  <c r="AI948" i="7"/>
  <c r="AI949" i="7"/>
  <c r="AI950" i="7"/>
  <c r="AI951" i="7"/>
  <c r="AI952" i="7"/>
  <c r="AI953" i="7"/>
  <c r="AI954" i="7"/>
  <c r="AI955" i="7"/>
  <c r="AI956" i="7"/>
  <c r="AI957" i="7"/>
  <c r="AI958" i="7"/>
  <c r="AI959" i="7"/>
  <c r="AI960" i="7"/>
  <c r="AI961" i="7"/>
  <c r="AI962" i="7"/>
  <c r="AI963" i="7"/>
  <c r="AI964" i="7"/>
  <c r="AI965" i="7"/>
  <c r="AI966" i="7"/>
  <c r="AI967" i="7"/>
  <c r="AI968" i="7"/>
  <c r="AI969" i="7"/>
  <c r="AI970" i="7"/>
  <c r="AI971" i="7"/>
  <c r="AI972" i="7"/>
  <c r="AI973" i="7"/>
  <c r="AI974" i="7"/>
  <c r="AI975" i="7"/>
  <c r="AI976" i="7"/>
  <c r="AI977" i="7"/>
  <c r="AI978" i="7"/>
  <c r="AI979" i="7"/>
  <c r="AI980" i="7"/>
  <c r="AI981" i="7"/>
  <c r="AI982" i="7"/>
  <c r="AI983" i="7"/>
  <c r="AI984" i="7"/>
  <c r="AI985" i="7"/>
  <c r="AI986" i="7"/>
  <c r="AI987" i="7"/>
  <c r="AI988" i="7"/>
  <c r="AI989" i="7"/>
  <c r="AI990" i="7"/>
  <c r="AI991" i="7"/>
  <c r="AI992" i="7"/>
  <c r="AI993" i="7"/>
  <c r="AI994" i="7"/>
  <c r="AI995" i="7"/>
  <c r="AI996" i="7"/>
  <c r="AI997" i="7"/>
  <c r="AI998" i="7"/>
  <c r="AI999" i="7"/>
  <c r="AI1000" i="7"/>
  <c r="AI1001" i="7"/>
  <c r="AI1002" i="7"/>
  <c r="AI1003" i="7"/>
  <c r="AI1004" i="7"/>
  <c r="AI1005" i="7"/>
  <c r="AI1006" i="7"/>
  <c r="AI1007" i="7"/>
  <c r="AI1008" i="7"/>
  <c r="AI1009" i="7"/>
  <c r="AI1010" i="7"/>
  <c r="AI1011" i="7"/>
  <c r="AI1012" i="7"/>
  <c r="AI1013" i="7"/>
  <c r="AI1014" i="7"/>
  <c r="AI1015" i="7"/>
  <c r="AI1016" i="7"/>
  <c r="AI1017" i="7"/>
  <c r="AI1018" i="7"/>
  <c r="AI1019" i="7"/>
  <c r="AI1020" i="7"/>
  <c r="AI1021" i="7"/>
  <c r="AI1022" i="7"/>
  <c r="AI1023" i="7"/>
  <c r="AI1024" i="7"/>
  <c r="AI1025" i="7"/>
  <c r="AI1026" i="7"/>
  <c r="AI1027" i="7"/>
  <c r="AI1028" i="7"/>
  <c r="AI1029" i="7"/>
  <c r="AI1030" i="7"/>
  <c r="AI1031" i="7"/>
  <c r="AI1032" i="7"/>
  <c r="AI1033" i="7"/>
  <c r="AI1034" i="7"/>
  <c r="AI1035" i="7"/>
  <c r="AI1036" i="7"/>
  <c r="AI1037" i="7"/>
  <c r="AI1038" i="7"/>
  <c r="AI1039" i="7"/>
  <c r="AI1040" i="7"/>
  <c r="AI1041" i="7"/>
  <c r="AI1042" i="7"/>
  <c r="AI1043" i="7"/>
  <c r="AI1044" i="7"/>
  <c r="AI1045" i="7"/>
  <c r="AI1046" i="7"/>
  <c r="AI1047" i="7"/>
  <c r="AI1048" i="7"/>
  <c r="AI1049" i="7"/>
  <c r="AI1050" i="7"/>
  <c r="AI1051" i="7"/>
  <c r="AI1052" i="7"/>
  <c r="AI1053" i="7"/>
  <c r="AI1054" i="7"/>
  <c r="AI1055" i="7"/>
  <c r="AI1056" i="7"/>
  <c r="AI1057" i="7"/>
  <c r="AI1058" i="7"/>
  <c r="AI1059" i="7"/>
  <c r="AI1060" i="7"/>
  <c r="AI1061" i="7"/>
  <c r="AI1062" i="7"/>
  <c r="AI1063" i="7"/>
  <c r="AI1064" i="7"/>
  <c r="AI1065" i="7"/>
  <c r="AI1066" i="7"/>
  <c r="AI1067" i="7"/>
  <c r="AI1068" i="7"/>
  <c r="AI1069" i="7"/>
  <c r="AI1070" i="7"/>
  <c r="AI1071" i="7"/>
  <c r="AI1072" i="7"/>
  <c r="AI1073" i="7"/>
  <c r="AI1074" i="7"/>
  <c r="AI1075" i="7"/>
  <c r="AI1076" i="7"/>
  <c r="AI1077" i="7"/>
  <c r="AI1078" i="7"/>
  <c r="AI1079" i="7"/>
  <c r="AI1080" i="7"/>
  <c r="AI1081" i="7"/>
  <c r="AI1082" i="7"/>
  <c r="AI1083" i="7"/>
  <c r="AI1084" i="7"/>
  <c r="AI1085" i="7"/>
  <c r="AI1086" i="7"/>
  <c r="AI1087" i="7"/>
  <c r="AI1088" i="7"/>
  <c r="AI1089" i="7"/>
  <c r="AI1090" i="7"/>
  <c r="AI1091" i="7"/>
  <c r="AI1092" i="7"/>
  <c r="AI1093" i="7"/>
  <c r="AI1094" i="7"/>
  <c r="AI1095" i="7"/>
  <c r="AI1096" i="7"/>
  <c r="AI1097" i="7"/>
  <c r="AI1098" i="7"/>
  <c r="AI1099" i="7"/>
  <c r="AI1100" i="7"/>
  <c r="AI1101" i="7"/>
  <c r="AI1102" i="7"/>
  <c r="AI1103" i="7"/>
  <c r="AI1104" i="7"/>
  <c r="AI1105" i="7"/>
  <c r="AI1106" i="7"/>
  <c r="AI1107" i="7"/>
  <c r="AI1108" i="7"/>
  <c r="AI1109" i="7"/>
  <c r="AI1110" i="7"/>
  <c r="AI1111" i="7"/>
  <c r="AI1112" i="7"/>
  <c r="AI1113" i="7"/>
  <c r="AI1114" i="7"/>
  <c r="AI1115" i="7"/>
  <c r="AI1116" i="7"/>
  <c r="AI1117" i="7"/>
  <c r="AI1118" i="7"/>
  <c r="AI1119" i="7"/>
  <c r="AI1120" i="7"/>
  <c r="AI1121" i="7"/>
  <c r="AI1122" i="7"/>
  <c r="AI1123" i="7"/>
  <c r="AI1124" i="7"/>
  <c r="AI1125" i="7"/>
  <c r="AI1126" i="7"/>
  <c r="AI1127" i="7"/>
  <c r="AI1128" i="7"/>
  <c r="AI1129" i="7"/>
  <c r="AI1130" i="7"/>
  <c r="AI1131" i="7"/>
  <c r="AI1132" i="7"/>
  <c r="AI1133" i="7"/>
  <c r="AI1134" i="7"/>
  <c r="AI1135" i="7"/>
  <c r="AI1136" i="7"/>
  <c r="AI1137" i="7"/>
  <c r="AI1138" i="7"/>
  <c r="AI1139" i="7"/>
  <c r="AI1140" i="7"/>
  <c r="AI1141" i="7"/>
  <c r="AI1142" i="7"/>
  <c r="AI1143" i="7"/>
  <c r="AI1144" i="7"/>
  <c r="AI1145" i="7"/>
  <c r="AI1146" i="7"/>
  <c r="AI1147" i="7"/>
  <c r="AI1148" i="7"/>
  <c r="AI1149" i="7"/>
  <c r="AI1150" i="7"/>
  <c r="AI1151" i="7"/>
  <c r="AI1152" i="7"/>
  <c r="AI1153" i="7"/>
  <c r="AI1154" i="7"/>
  <c r="AI1155" i="7"/>
  <c r="AI1156" i="7"/>
  <c r="AI1157" i="7"/>
  <c r="AI1158" i="7"/>
  <c r="AI1159" i="7"/>
  <c r="AI1160" i="7"/>
  <c r="AI1161" i="7"/>
  <c r="AI1162" i="7"/>
  <c r="AI1163" i="7"/>
  <c r="AI1164" i="7"/>
  <c r="AI1165" i="7"/>
  <c r="AI1166" i="7"/>
  <c r="AI1167" i="7"/>
  <c r="AI1168" i="7"/>
  <c r="AI1169" i="7"/>
  <c r="AI1170" i="7"/>
  <c r="AI1171" i="7"/>
  <c r="AI1172" i="7"/>
  <c r="AI1173" i="7"/>
  <c r="AI1174" i="7"/>
  <c r="AI1175" i="7"/>
  <c r="AI1176" i="7"/>
  <c r="AI1177" i="7"/>
  <c r="AI1178" i="7"/>
  <c r="AI1179" i="7"/>
  <c r="AI1180" i="7"/>
  <c r="AI1181" i="7"/>
  <c r="AI1182" i="7"/>
  <c r="AI1183" i="7"/>
  <c r="AI1184" i="7"/>
  <c r="AI1185" i="7"/>
  <c r="AI1186" i="7"/>
  <c r="AI1187" i="7"/>
  <c r="AI1188" i="7"/>
  <c r="AI1189" i="7"/>
  <c r="AI1190" i="7"/>
  <c r="AI1191" i="7"/>
  <c r="AI1192" i="7"/>
  <c r="AI1193" i="7"/>
  <c r="AI1194" i="7"/>
  <c r="AI1195" i="7"/>
  <c r="AI1196" i="7"/>
  <c r="AI1197" i="7"/>
  <c r="AI1198" i="7"/>
  <c r="AI1199" i="7"/>
  <c r="AI1200" i="7"/>
  <c r="AI1201" i="7"/>
  <c r="AI1202" i="7"/>
  <c r="AI1203" i="7"/>
  <c r="AI1204" i="7"/>
  <c r="AI1205" i="7"/>
  <c r="AI1206" i="7"/>
  <c r="AI1207" i="7"/>
  <c r="AI1208" i="7"/>
  <c r="AI1209" i="7"/>
  <c r="AI1210" i="7"/>
  <c r="AI1211" i="7"/>
  <c r="AI1212" i="7"/>
  <c r="AI1213" i="7"/>
  <c r="AI1214" i="7"/>
  <c r="AI1215" i="7"/>
  <c r="AI1216" i="7"/>
  <c r="AI1217" i="7"/>
  <c r="AI1218" i="7"/>
  <c r="AI1219" i="7"/>
  <c r="AI1220" i="7"/>
  <c r="AI1221" i="7"/>
  <c r="AI1222" i="7"/>
  <c r="AI1223" i="7"/>
  <c r="AI1224" i="7"/>
  <c r="AI1225" i="7"/>
  <c r="AI1226" i="7"/>
  <c r="AI1227" i="7"/>
  <c r="AI1228" i="7"/>
  <c r="AI1229" i="7"/>
  <c r="AI1230" i="7"/>
  <c r="AI1231" i="7"/>
  <c r="AI1232" i="7"/>
  <c r="AI1233" i="7"/>
  <c r="AI1234" i="7"/>
  <c r="AI1235" i="7"/>
  <c r="AI1236" i="7"/>
  <c r="AI1237" i="7"/>
  <c r="AI1238" i="7"/>
  <c r="AI1239" i="7"/>
  <c r="AI1240" i="7"/>
  <c r="AI1241" i="7"/>
  <c r="AI1242" i="7"/>
  <c r="AI1243" i="7"/>
  <c r="AI1244" i="7"/>
  <c r="AI1245" i="7"/>
  <c r="AI1246" i="7"/>
  <c r="AI1247" i="7"/>
  <c r="AI1248" i="7"/>
  <c r="AI1249" i="7"/>
  <c r="AI1250" i="7"/>
  <c r="AI1251" i="7"/>
  <c r="AI1252" i="7"/>
  <c r="AI1253" i="7"/>
  <c r="AI1254" i="7"/>
  <c r="AI1255" i="7"/>
  <c r="AI1256" i="7"/>
  <c r="AI1257" i="7"/>
  <c r="AI1258" i="7"/>
  <c r="AI1259" i="7"/>
  <c r="AI1260" i="7"/>
  <c r="AI1261" i="7"/>
  <c r="AI1262" i="7"/>
  <c r="AI1263" i="7"/>
  <c r="AI1264" i="7"/>
  <c r="AI1265" i="7"/>
  <c r="AI1266" i="7"/>
  <c r="AI1267" i="7"/>
  <c r="AI1268" i="7"/>
  <c r="AI1269" i="7"/>
  <c r="AI1270" i="7"/>
  <c r="AI1271" i="7"/>
  <c r="AI1272" i="7"/>
  <c r="AI1273" i="7"/>
  <c r="AI1274" i="7"/>
  <c r="AI1275" i="7"/>
  <c r="AI1276" i="7"/>
  <c r="AI1277" i="7"/>
  <c r="AI1278" i="7"/>
  <c r="AI1279" i="7"/>
  <c r="AI1280" i="7"/>
  <c r="AI1281" i="7"/>
  <c r="AI1282" i="7"/>
  <c r="AI1283" i="7"/>
  <c r="AI1284" i="7"/>
  <c r="AI1285" i="7"/>
  <c r="AI1286" i="7"/>
  <c r="AI1287" i="7"/>
  <c r="AI1288" i="7"/>
  <c r="AI1289" i="7"/>
  <c r="AI1290" i="7"/>
  <c r="AI1291" i="7"/>
  <c r="AI1292" i="7"/>
  <c r="AI1293" i="7"/>
  <c r="AI1294" i="7"/>
  <c r="AI1295" i="7"/>
  <c r="AI1296" i="7"/>
  <c r="AI1297" i="7"/>
  <c r="AI1298" i="7"/>
  <c r="AI1299" i="7"/>
  <c r="AI1300" i="7"/>
  <c r="AI1301" i="7"/>
  <c r="AI1302" i="7"/>
  <c r="AI1303" i="7"/>
  <c r="AI1304" i="7"/>
  <c r="AI1305" i="7"/>
  <c r="AI1306" i="7"/>
  <c r="AI1307" i="7"/>
  <c r="AI1308" i="7"/>
  <c r="AI1309" i="7"/>
  <c r="AI1310" i="7"/>
  <c r="AI1311" i="7"/>
  <c r="AI1312" i="7"/>
  <c r="AI1313" i="7"/>
  <c r="AI1314" i="7"/>
  <c r="AI1315" i="7"/>
  <c r="AI1316" i="7"/>
  <c r="AI1317" i="7"/>
  <c r="AI1318" i="7"/>
  <c r="AI1319" i="7"/>
  <c r="AI1320" i="7"/>
  <c r="AI1321" i="7"/>
  <c r="AI1322" i="7"/>
  <c r="AI1323" i="7"/>
  <c r="AI1324" i="7"/>
  <c r="AI1325" i="7"/>
  <c r="AI1326" i="7"/>
  <c r="AI1327" i="7"/>
  <c r="AI1328" i="7"/>
  <c r="AI1329" i="7"/>
  <c r="AI1330" i="7"/>
  <c r="AI1331" i="7"/>
  <c r="AI1332" i="7"/>
  <c r="AI1333" i="7"/>
  <c r="AI1334" i="7"/>
  <c r="AI1335" i="7"/>
  <c r="AI1336" i="7"/>
  <c r="AI1337" i="7"/>
  <c r="AI1338" i="7"/>
  <c r="AI1339" i="7"/>
  <c r="AI1340" i="7"/>
  <c r="AI1341" i="7"/>
  <c r="AI1342" i="7"/>
  <c r="AI1343" i="7"/>
  <c r="AI1344" i="7"/>
  <c r="AI1345" i="7"/>
  <c r="AI1346" i="7"/>
  <c r="AI1347" i="7"/>
  <c r="AI1348" i="7"/>
  <c r="AI1349" i="7"/>
  <c r="AI1350" i="7"/>
  <c r="AI1351" i="7"/>
  <c r="AI1352" i="7"/>
  <c r="AI1353" i="7"/>
  <c r="AI1354" i="7"/>
  <c r="AI1355" i="7"/>
  <c r="AI1356" i="7"/>
  <c r="AI1357" i="7"/>
  <c r="AI1358" i="7"/>
  <c r="AI1359" i="7"/>
  <c r="AI1360" i="7"/>
  <c r="AI1361" i="7"/>
  <c r="AI1362" i="7"/>
  <c r="AI1363" i="7"/>
  <c r="AI1364" i="7"/>
  <c r="AI1365" i="7"/>
  <c r="AI1366" i="7"/>
  <c r="AI1367" i="7"/>
  <c r="AI1368" i="7"/>
  <c r="AI1369" i="7"/>
  <c r="AI1370" i="7"/>
  <c r="AI1371" i="7"/>
  <c r="AI1372" i="7"/>
  <c r="AI1373" i="7"/>
  <c r="AI1374" i="7"/>
  <c r="AI1375" i="7"/>
  <c r="AI1376" i="7"/>
  <c r="AI1377" i="7"/>
  <c r="AI1378" i="7"/>
  <c r="AI1379" i="7"/>
  <c r="AI1380" i="7"/>
  <c r="AI1381" i="7"/>
  <c r="AI1382" i="7"/>
  <c r="AI1383" i="7"/>
  <c r="AI1384" i="7"/>
  <c r="AI1385" i="7"/>
  <c r="AI1386" i="7"/>
  <c r="AI1387" i="7"/>
  <c r="AI1388" i="7"/>
  <c r="AI1389" i="7"/>
  <c r="AI1390" i="7"/>
  <c r="AI1391" i="7"/>
  <c r="AI1392" i="7"/>
  <c r="AI1393" i="7"/>
  <c r="AI1394" i="7"/>
  <c r="AI1395" i="7"/>
  <c r="AI1396" i="7"/>
  <c r="AI1397" i="7"/>
  <c r="AI1398" i="7"/>
  <c r="AI1399" i="7"/>
  <c r="AI1400" i="7"/>
  <c r="AI1401" i="7"/>
  <c r="AI1402" i="7"/>
  <c r="AI1403" i="7"/>
  <c r="AI1404" i="7"/>
  <c r="AI1405" i="7"/>
  <c r="AI1406" i="7"/>
  <c r="AI1407" i="7"/>
  <c r="AI1408" i="7"/>
  <c r="AI1409" i="7"/>
  <c r="AI1410" i="7"/>
  <c r="AI1411" i="7"/>
  <c r="AI1412" i="7"/>
  <c r="AI1413" i="7"/>
  <c r="AI1414" i="7"/>
  <c r="AI1415" i="7"/>
  <c r="AI1416" i="7"/>
  <c r="AI1417" i="7"/>
  <c r="AI1418" i="7"/>
  <c r="AI1419" i="7"/>
  <c r="AI1420" i="7"/>
  <c r="AI1421" i="7"/>
  <c r="AI1422" i="7"/>
  <c r="AI1423" i="7"/>
  <c r="AI1424" i="7"/>
  <c r="AI1425" i="7"/>
  <c r="AI1426" i="7"/>
  <c r="AI1427" i="7"/>
  <c r="AI1428" i="7"/>
  <c r="AI1429" i="7"/>
  <c r="AI1430" i="7"/>
  <c r="AI1431" i="7"/>
  <c r="AI1432" i="7"/>
  <c r="AI1433" i="7"/>
  <c r="AI1434" i="7"/>
  <c r="AI1435" i="7"/>
  <c r="AI1436" i="7"/>
  <c r="AI1437" i="7"/>
  <c r="AI1438" i="7"/>
  <c r="AI1439" i="7"/>
  <c r="AI1440" i="7"/>
  <c r="AI1441" i="7"/>
  <c r="AI1442" i="7"/>
  <c r="AI1443" i="7"/>
  <c r="AI1444" i="7"/>
  <c r="AI1445" i="7"/>
  <c r="AI1446" i="7"/>
  <c r="AI1447" i="7"/>
  <c r="AI1448" i="7"/>
  <c r="AI1449" i="7"/>
  <c r="AI1450" i="7"/>
  <c r="AI1451" i="7"/>
  <c r="AI1452" i="7"/>
  <c r="AI1453" i="7"/>
  <c r="AI1454" i="7"/>
  <c r="AI1455" i="7"/>
  <c r="AI1456" i="7"/>
  <c r="AI1457" i="7"/>
  <c r="AI1458" i="7"/>
  <c r="AI1459" i="7"/>
  <c r="AI1460" i="7"/>
  <c r="AI1461" i="7"/>
  <c r="AI1462" i="7"/>
  <c r="AI1463" i="7"/>
  <c r="AI1464" i="7"/>
  <c r="AI1465" i="7"/>
  <c r="AI1466" i="7"/>
  <c r="AI1467" i="7"/>
  <c r="AI1468" i="7"/>
  <c r="AI1469" i="7"/>
  <c r="AI1470" i="7"/>
  <c r="AI1471" i="7"/>
  <c r="AI1472" i="7"/>
  <c r="AI1473" i="7"/>
  <c r="AI1474" i="7"/>
  <c r="AI1475" i="7"/>
  <c r="AI1476" i="7"/>
  <c r="AI1477" i="7"/>
  <c r="AI1478" i="7"/>
  <c r="AI1479" i="7"/>
  <c r="AI1480" i="7"/>
  <c r="AI1481" i="7"/>
  <c r="AI1482" i="7"/>
  <c r="AI1483" i="7"/>
  <c r="AI1484" i="7"/>
  <c r="AI1485" i="7"/>
  <c r="AI1486" i="7"/>
  <c r="AI1487" i="7"/>
  <c r="AI1488" i="7"/>
  <c r="AI1489" i="7"/>
  <c r="AI1490" i="7"/>
  <c r="AI1491" i="7"/>
  <c r="AI1492" i="7"/>
  <c r="AI1493" i="7"/>
  <c r="AI1494" i="7"/>
  <c r="AI1495" i="7"/>
  <c r="AI1496" i="7"/>
  <c r="AI1497" i="7"/>
  <c r="AI1498" i="7"/>
  <c r="AI1499" i="7"/>
  <c r="AI1500" i="7"/>
  <c r="AI1501" i="7"/>
  <c r="AI1502" i="7"/>
  <c r="AI1503" i="7"/>
  <c r="AI1504" i="7"/>
  <c r="AI1505" i="7"/>
  <c r="AI1506" i="7"/>
  <c r="AI1507" i="7"/>
  <c r="AI1508" i="7"/>
  <c r="AI1509" i="7"/>
  <c r="AI1510" i="7"/>
  <c r="AI1511" i="7"/>
  <c r="AI1512" i="7"/>
  <c r="AI1513" i="7"/>
  <c r="AI1514" i="7"/>
  <c r="AI1515" i="7"/>
  <c r="AI1516" i="7"/>
  <c r="AI1517" i="7"/>
  <c r="AI1518" i="7"/>
  <c r="AI1519" i="7"/>
  <c r="AI1520" i="7"/>
  <c r="AI1521" i="7"/>
  <c r="AI1522" i="7"/>
  <c r="AI1523" i="7"/>
  <c r="AI1524" i="7"/>
  <c r="AI1525" i="7"/>
  <c r="AI1526" i="7"/>
  <c r="AI1527" i="7"/>
  <c r="AI1528" i="7"/>
  <c r="AI1529" i="7"/>
  <c r="AI1530" i="7"/>
  <c r="AI1531" i="7"/>
  <c r="AI1532" i="7"/>
  <c r="AI1533" i="7"/>
  <c r="AI1534" i="7"/>
  <c r="AI1535" i="7"/>
  <c r="AI1536" i="7"/>
  <c r="AI1537" i="7"/>
  <c r="AI1538" i="7"/>
  <c r="AI1539" i="7"/>
  <c r="AI1540" i="7"/>
  <c r="AI1541" i="7"/>
  <c r="AI1542" i="7"/>
  <c r="AI1543" i="7"/>
  <c r="AI1544" i="7"/>
  <c r="AI1545" i="7"/>
  <c r="AI1546" i="7"/>
  <c r="AI1547" i="7"/>
  <c r="AI1548" i="7"/>
  <c r="AI1549" i="7"/>
  <c r="AI1550" i="7"/>
  <c r="AI1551" i="7"/>
  <c r="AI1552" i="7"/>
  <c r="AI1553" i="7"/>
  <c r="AI1554" i="7"/>
  <c r="AI1555" i="7"/>
  <c r="AI1556" i="7"/>
  <c r="AI1557" i="7"/>
  <c r="AI1558" i="7"/>
  <c r="AI1559" i="7"/>
  <c r="AI1560" i="7"/>
  <c r="AI1561" i="7"/>
  <c r="AI1562" i="7"/>
  <c r="AI1563" i="7"/>
  <c r="AI1564" i="7"/>
  <c r="AI1565" i="7"/>
  <c r="AI1566" i="7"/>
  <c r="AI1567" i="7"/>
  <c r="AI1568" i="7"/>
  <c r="AI1569" i="7"/>
  <c r="AI1570" i="7"/>
  <c r="AI1571" i="7"/>
  <c r="AI1572" i="7"/>
  <c r="AI1573" i="7"/>
  <c r="AI1574" i="7"/>
  <c r="AI1575" i="7"/>
  <c r="AI1576" i="7"/>
  <c r="AI1577" i="7"/>
  <c r="AI1578" i="7"/>
  <c r="AI1579" i="7"/>
  <c r="AI1580" i="7"/>
  <c r="AI1581" i="7"/>
  <c r="AI1582" i="7"/>
  <c r="AI1583" i="7"/>
  <c r="AI1584" i="7"/>
  <c r="AI1585" i="7"/>
  <c r="AI1586" i="7"/>
  <c r="AI1587" i="7"/>
  <c r="AI1588" i="7"/>
  <c r="AI1589" i="7"/>
  <c r="AI1590" i="7"/>
  <c r="AI1591" i="7"/>
  <c r="AI1592" i="7"/>
  <c r="AI1593" i="7"/>
  <c r="AI1594" i="7"/>
  <c r="AI1595" i="7"/>
  <c r="AI1596" i="7"/>
  <c r="AI1597" i="7"/>
  <c r="AI1598" i="7"/>
  <c r="AI1599" i="7"/>
  <c r="AI1600" i="7"/>
  <c r="AI1601" i="7"/>
  <c r="AI1602" i="7"/>
  <c r="AI1603" i="7"/>
  <c r="AI1604" i="7"/>
  <c r="AI1605" i="7"/>
  <c r="AI1606" i="7"/>
  <c r="AI1607" i="7"/>
  <c r="AI1608" i="7"/>
  <c r="AI1609" i="7"/>
  <c r="AI1610" i="7"/>
  <c r="AI1611" i="7"/>
  <c r="AI1612" i="7"/>
  <c r="AI1613" i="7"/>
  <c r="AI1614" i="7"/>
  <c r="AI1615" i="7"/>
  <c r="AI1616" i="7"/>
  <c r="AI1617" i="7"/>
  <c r="AI1618" i="7"/>
  <c r="AI1619" i="7"/>
  <c r="AI1620" i="7"/>
  <c r="AI1621" i="7"/>
  <c r="AI1622" i="7"/>
  <c r="AI1623" i="7"/>
  <c r="AI1624" i="7"/>
  <c r="AI1625" i="7"/>
  <c r="AI1626" i="7"/>
  <c r="AI1627" i="7"/>
  <c r="AI1628" i="7"/>
  <c r="AI1629" i="7"/>
  <c r="AI1630" i="7"/>
  <c r="AI1631" i="7"/>
  <c r="AI1632" i="7"/>
  <c r="AI1633" i="7"/>
  <c r="AI1634" i="7"/>
  <c r="AI1635" i="7"/>
  <c r="AI1636" i="7"/>
  <c r="AI1637" i="7"/>
  <c r="AI1638" i="7"/>
  <c r="AI1639" i="7"/>
  <c r="AI1640" i="7"/>
  <c r="AI1641" i="7"/>
  <c r="AI1642" i="7"/>
  <c r="AI1643" i="7"/>
  <c r="AI1644" i="7"/>
  <c r="AI1645" i="7"/>
  <c r="AI1646" i="7"/>
  <c r="AI1647" i="7"/>
  <c r="AI1648" i="7"/>
  <c r="AI1649" i="7"/>
  <c r="AI1650" i="7"/>
  <c r="AI1651" i="7"/>
  <c r="AI1652" i="7"/>
  <c r="AI1653" i="7"/>
  <c r="AI1654" i="7"/>
  <c r="AI1655" i="7"/>
  <c r="AI1656" i="7"/>
  <c r="AI1657" i="7"/>
  <c r="AI1658" i="7"/>
  <c r="AI1659" i="7"/>
  <c r="AI1660" i="7"/>
  <c r="AI1661" i="7"/>
  <c r="AI1662" i="7"/>
  <c r="AI1663" i="7"/>
  <c r="AI1664" i="7"/>
  <c r="AI1665" i="7"/>
  <c r="AI1666" i="7"/>
  <c r="AI1667" i="7"/>
  <c r="AI1668" i="7"/>
  <c r="AI1669" i="7"/>
  <c r="AI1670" i="7"/>
  <c r="AI1671" i="7"/>
  <c r="AI1672" i="7"/>
  <c r="AI1673" i="7"/>
  <c r="AI1674" i="7"/>
  <c r="AI1675" i="7"/>
  <c r="AI1676" i="7"/>
  <c r="AI1677" i="7"/>
  <c r="AI1678" i="7"/>
  <c r="AI1679" i="7"/>
  <c r="AI1680" i="7"/>
  <c r="AI1681" i="7"/>
  <c r="AI1682" i="7"/>
  <c r="AI1683" i="7"/>
  <c r="AI1684" i="7"/>
  <c r="AI1685" i="7"/>
  <c r="AI1686" i="7"/>
  <c r="AI1687" i="7"/>
  <c r="AI1688" i="7"/>
  <c r="AI1689" i="7"/>
  <c r="AI1690" i="7"/>
  <c r="AI1691" i="7"/>
  <c r="AI1692" i="7"/>
  <c r="AI1693" i="7"/>
  <c r="AI1694" i="7"/>
  <c r="AI1695" i="7"/>
  <c r="AI1696" i="7"/>
  <c r="AI1697" i="7"/>
  <c r="AI1698" i="7"/>
  <c r="AI1699" i="7"/>
  <c r="AI1700" i="7"/>
  <c r="AI1701" i="7"/>
  <c r="AI1702" i="7"/>
  <c r="AI1703" i="7"/>
  <c r="AI1704" i="7"/>
  <c r="AI1705" i="7"/>
  <c r="AI1706" i="7"/>
  <c r="AI1707" i="7"/>
  <c r="AI1708" i="7"/>
  <c r="AI1709" i="7"/>
  <c r="AI1710" i="7"/>
  <c r="AI1711" i="7"/>
  <c r="AI1712" i="7"/>
  <c r="AI1713" i="7"/>
  <c r="AI1714" i="7"/>
  <c r="AI1715" i="7"/>
  <c r="AI1716" i="7"/>
  <c r="AI1717" i="7"/>
  <c r="AI1718" i="7"/>
  <c r="AI1719" i="7"/>
  <c r="AI1720" i="7"/>
  <c r="AI1721" i="7"/>
  <c r="AI1722" i="7"/>
  <c r="AI1723" i="7"/>
  <c r="AI1724" i="7"/>
  <c r="AI1725" i="7"/>
  <c r="AI1726" i="7"/>
  <c r="AI1727" i="7"/>
  <c r="AI1728" i="7"/>
  <c r="AI1729" i="7"/>
  <c r="AI1730" i="7"/>
  <c r="AI1731" i="7"/>
  <c r="AI1732" i="7"/>
  <c r="AI1733" i="7"/>
  <c r="AI1734" i="7"/>
  <c r="AI1735" i="7"/>
  <c r="AI1736" i="7"/>
  <c r="AI1737" i="7"/>
  <c r="AI1738" i="7"/>
  <c r="AI1739" i="7"/>
  <c r="AI1740" i="7"/>
  <c r="AI1741" i="7"/>
  <c r="AI1742" i="7"/>
  <c r="AI1743" i="7"/>
  <c r="AI1744" i="7"/>
  <c r="AI1745" i="7"/>
  <c r="AI1746" i="7"/>
  <c r="AI1747" i="7"/>
  <c r="AI1748" i="7"/>
  <c r="AI1749" i="7"/>
  <c r="AI1750" i="7"/>
  <c r="AI1751" i="7"/>
  <c r="AI1752" i="7"/>
  <c r="AI1753" i="7"/>
  <c r="AI1754" i="7"/>
  <c r="AI1755" i="7"/>
  <c r="AI1756" i="7"/>
  <c r="AI1757" i="7"/>
  <c r="AI1758" i="7"/>
  <c r="AI1759" i="7"/>
  <c r="AI1760" i="7"/>
  <c r="AI1761" i="7"/>
  <c r="AI1762" i="7"/>
  <c r="AI1763" i="7"/>
  <c r="AI1764" i="7"/>
  <c r="AI1765" i="7"/>
  <c r="AI1766" i="7"/>
  <c r="AI1767" i="7"/>
  <c r="AI1768" i="7"/>
  <c r="AI1769" i="7"/>
  <c r="AI1770" i="7"/>
  <c r="AI1771" i="7"/>
  <c r="AI1772" i="7"/>
  <c r="AI1773" i="7"/>
  <c r="AI1774" i="7"/>
  <c r="AI1775" i="7"/>
  <c r="AI1776" i="7"/>
  <c r="AI1777" i="7"/>
  <c r="AI1778" i="7"/>
  <c r="AI1779" i="7"/>
  <c r="AI1780" i="7"/>
  <c r="AI1781" i="7"/>
  <c r="AI1782" i="7"/>
  <c r="AI1783" i="7"/>
  <c r="AI1784" i="7"/>
  <c r="AI1785" i="7"/>
  <c r="AI1786" i="7"/>
  <c r="AI1787" i="7"/>
  <c r="AI1788" i="7"/>
  <c r="AI1789" i="7"/>
  <c r="AI1790" i="7"/>
  <c r="AI1791" i="7"/>
  <c r="AI1792" i="7"/>
  <c r="AI1793" i="7"/>
  <c r="AI1794" i="7"/>
  <c r="AI1795" i="7"/>
  <c r="AI1796" i="7"/>
  <c r="AI1797" i="7"/>
  <c r="AI1798" i="7"/>
  <c r="AI1799" i="7"/>
  <c r="AI1800" i="7"/>
  <c r="AI1801" i="7"/>
  <c r="AI1802" i="7"/>
  <c r="AI1803" i="7"/>
  <c r="AI1804" i="7"/>
  <c r="AI1805" i="7"/>
  <c r="AI1806" i="7"/>
  <c r="AI1807" i="7"/>
  <c r="AI1808" i="7"/>
  <c r="AI1809" i="7"/>
  <c r="AI1810" i="7"/>
  <c r="AI1811" i="7"/>
  <c r="AI1812" i="7"/>
  <c r="AI1813" i="7"/>
  <c r="AI1814" i="7"/>
  <c r="AI1815" i="7"/>
  <c r="AI1816" i="7"/>
  <c r="AI1817" i="7"/>
  <c r="AI1818" i="7"/>
  <c r="AI1819" i="7"/>
  <c r="AI1820" i="7"/>
  <c r="AI1821" i="7"/>
  <c r="AI1822" i="7"/>
  <c r="AI1823" i="7"/>
  <c r="AI1824" i="7"/>
  <c r="AI1825" i="7"/>
  <c r="AI1826" i="7"/>
  <c r="AI1827" i="7"/>
  <c r="AI1828" i="7"/>
  <c r="AI1829" i="7"/>
  <c r="AI1830" i="7"/>
  <c r="AI1831" i="7"/>
  <c r="AI1832" i="7"/>
  <c r="AI1833" i="7"/>
  <c r="AI1834" i="7"/>
  <c r="AI1835" i="7"/>
  <c r="AI1836" i="7"/>
  <c r="AI1837" i="7"/>
  <c r="AI1838" i="7"/>
  <c r="AI1839" i="7"/>
  <c r="AI1840" i="7"/>
  <c r="AI1841" i="7"/>
  <c r="AI1842" i="7"/>
  <c r="AI1843" i="7"/>
  <c r="AI1844" i="7"/>
  <c r="AI1845" i="7"/>
  <c r="AI1846" i="7"/>
  <c r="AI1847" i="7"/>
  <c r="AI1848" i="7"/>
  <c r="AI1849" i="7"/>
  <c r="AI1850" i="7"/>
  <c r="AI1851" i="7"/>
  <c r="AI1852" i="7"/>
  <c r="AI1853" i="7"/>
  <c r="AI1854" i="7"/>
  <c r="AI1855" i="7"/>
  <c r="AI1856" i="7"/>
  <c r="AI1857" i="7"/>
  <c r="AI1858" i="7"/>
  <c r="AI1859" i="7"/>
  <c r="AI1860" i="7"/>
  <c r="AI1861" i="7"/>
  <c r="AI1862" i="7"/>
  <c r="AI1863" i="7"/>
  <c r="AI1864" i="7"/>
  <c r="AI1865" i="7"/>
  <c r="AI1866" i="7"/>
  <c r="AI1867" i="7"/>
  <c r="AI1868" i="7"/>
  <c r="AI1869" i="7"/>
  <c r="AI1870" i="7"/>
  <c r="AI1871" i="7"/>
  <c r="AI1872" i="7"/>
  <c r="AI1873" i="7"/>
  <c r="AI1874" i="7"/>
  <c r="AI1875" i="7"/>
  <c r="AI1876" i="7"/>
  <c r="AI1877" i="7"/>
  <c r="AI1878" i="7"/>
  <c r="AI1879" i="7"/>
  <c r="AI1880" i="7"/>
  <c r="AI1881" i="7"/>
  <c r="AI1882" i="7"/>
  <c r="AI1883" i="7"/>
  <c r="AI1884" i="7"/>
  <c r="AI1885" i="7"/>
  <c r="AI1886" i="7"/>
  <c r="AI1887" i="7"/>
  <c r="AI1888" i="7"/>
  <c r="AI1889" i="7"/>
  <c r="AI1890" i="7"/>
  <c r="AI1891" i="7"/>
  <c r="AI1892" i="7"/>
  <c r="AI1893" i="7"/>
  <c r="AI1894" i="7"/>
  <c r="AI1895" i="7"/>
  <c r="AI1896" i="7"/>
  <c r="AI1897" i="7"/>
  <c r="AI1898" i="7"/>
  <c r="AI1899" i="7"/>
  <c r="AI1900" i="7"/>
  <c r="AI1901" i="7"/>
  <c r="AI1902" i="7"/>
  <c r="AI1903" i="7"/>
  <c r="AI1904" i="7"/>
  <c r="AI1905" i="7"/>
  <c r="AI1906" i="7"/>
  <c r="AI1907" i="7"/>
  <c r="AI1908" i="7"/>
  <c r="AI1909" i="7"/>
  <c r="AI1910" i="7"/>
  <c r="AI1911" i="7"/>
  <c r="AI1912" i="7"/>
  <c r="AI1913" i="7"/>
  <c r="AI1914" i="7"/>
  <c r="AI1915" i="7"/>
  <c r="AI1916" i="7"/>
  <c r="AI1917" i="7"/>
  <c r="AI1918" i="7"/>
  <c r="AI1919" i="7"/>
  <c r="AI1920" i="7"/>
  <c r="AI1921" i="7"/>
  <c r="AI1922" i="7"/>
  <c r="AI1923" i="7"/>
  <c r="AI1924" i="7"/>
  <c r="AI1925" i="7"/>
  <c r="AI1926" i="7"/>
  <c r="AI1927" i="7"/>
  <c r="AI1928" i="7"/>
  <c r="AI1929" i="7"/>
  <c r="AI1930" i="7"/>
  <c r="AI1931" i="7"/>
  <c r="AI1932" i="7"/>
  <c r="AI1933" i="7"/>
  <c r="AI1934" i="7"/>
  <c r="AI1935" i="7"/>
  <c r="AI1936" i="7"/>
  <c r="AI1937" i="7"/>
  <c r="AI1938" i="7"/>
  <c r="AI1939" i="7"/>
  <c r="AI1940" i="7"/>
  <c r="AI1941" i="7"/>
  <c r="AI1942" i="7"/>
  <c r="AI1943" i="7"/>
  <c r="AI1944" i="7"/>
  <c r="AI1945" i="7"/>
  <c r="AI1946" i="7"/>
  <c r="AI1947" i="7"/>
  <c r="AI1948" i="7"/>
  <c r="AI1949" i="7"/>
  <c r="AI1950" i="7"/>
  <c r="AI1951" i="7"/>
  <c r="AI1952" i="7"/>
  <c r="AI1953" i="7"/>
  <c r="AI1954" i="7"/>
  <c r="AI1955" i="7"/>
  <c r="AI1956" i="7"/>
  <c r="AI1957" i="7"/>
  <c r="AI1958" i="7"/>
  <c r="AI1959" i="7"/>
  <c r="AI1960" i="7"/>
  <c r="AI1961" i="7"/>
  <c r="AI1962" i="7"/>
  <c r="AI1963" i="7"/>
  <c r="AI1964" i="7"/>
  <c r="AI1965" i="7"/>
  <c r="AI1966" i="7"/>
  <c r="AI1967" i="7"/>
  <c r="AI1968" i="7"/>
  <c r="AI1969" i="7"/>
  <c r="AI1970" i="7"/>
  <c r="AI1971" i="7"/>
  <c r="AI1972" i="7"/>
  <c r="AI1973" i="7"/>
  <c r="AI1974" i="7"/>
  <c r="AI1975" i="7"/>
  <c r="AI1976" i="7"/>
  <c r="AI1977" i="7"/>
  <c r="AI1978" i="7"/>
  <c r="AI1979" i="7"/>
  <c r="AI1980" i="7"/>
  <c r="AI1981" i="7"/>
  <c r="AI1982" i="7"/>
  <c r="AI1983" i="7"/>
  <c r="AI1984" i="7"/>
  <c r="AI1985" i="7"/>
  <c r="AI1986" i="7"/>
  <c r="AI1987" i="7"/>
  <c r="AI1988" i="7"/>
  <c r="AI1989" i="7"/>
  <c r="AI1990" i="7"/>
  <c r="AI1991" i="7"/>
  <c r="AI1992" i="7"/>
  <c r="AI1993" i="7"/>
  <c r="AI1994" i="7"/>
  <c r="AI1995" i="7"/>
  <c r="AI1996" i="7"/>
  <c r="AI1997" i="7"/>
  <c r="AI1998" i="7"/>
  <c r="AI1999" i="7"/>
  <c r="AI2000" i="7"/>
  <c r="AI2001" i="7"/>
  <c r="AI2002" i="7"/>
  <c r="AI2003" i="7"/>
  <c r="AI2004" i="7"/>
  <c r="AI2005" i="7"/>
  <c r="AI2006" i="7"/>
  <c r="AI2007" i="7"/>
  <c r="AI2008" i="7"/>
  <c r="AI2009" i="7"/>
  <c r="AI2010" i="7"/>
  <c r="AI2011" i="7"/>
  <c r="AI2012" i="7"/>
  <c r="AI2013" i="7"/>
  <c r="AI2014" i="7"/>
  <c r="AI2015" i="7"/>
  <c r="AI2016" i="7"/>
  <c r="AI2017" i="7"/>
  <c r="AI2018" i="7"/>
  <c r="AI2019" i="7"/>
  <c r="AI2020" i="7"/>
  <c r="AI2021" i="7"/>
  <c r="AI2022" i="7"/>
  <c r="AI2023" i="7"/>
  <c r="AI2024" i="7"/>
  <c r="AI2025" i="7"/>
  <c r="AI2026" i="7"/>
  <c r="AI2027" i="7"/>
  <c r="AI2028" i="7"/>
  <c r="AI2029" i="7"/>
  <c r="AI2030" i="7"/>
  <c r="AI2031" i="7"/>
  <c r="AI2032" i="7"/>
  <c r="AI2033" i="7"/>
  <c r="AI2034" i="7"/>
  <c r="AI2035" i="7"/>
  <c r="AI2036" i="7"/>
  <c r="AI2037" i="7"/>
  <c r="AI2038" i="7"/>
  <c r="AI2039" i="7"/>
  <c r="AI2040" i="7"/>
  <c r="AI2041" i="7"/>
  <c r="AI2042" i="7"/>
  <c r="AI2043" i="7"/>
  <c r="AI2044" i="7"/>
  <c r="AI2045" i="7"/>
  <c r="AI2046" i="7"/>
  <c r="AI2047" i="7"/>
  <c r="AI2048" i="7"/>
  <c r="AI2049" i="7"/>
  <c r="AI2050" i="7"/>
  <c r="AI2051" i="7"/>
  <c r="AI2052" i="7"/>
  <c r="AI2053" i="7"/>
  <c r="AI2054" i="7"/>
  <c r="AI2055" i="7"/>
  <c r="AI2056" i="7"/>
  <c r="AI2057" i="7"/>
  <c r="AI2058" i="7"/>
  <c r="AI2059" i="7"/>
  <c r="AI2060" i="7"/>
  <c r="AI2061" i="7"/>
  <c r="AI2062" i="7"/>
  <c r="AI2063" i="7"/>
  <c r="AI2064" i="7"/>
  <c r="AI2065" i="7"/>
  <c r="AI2066" i="7"/>
  <c r="AI2067" i="7"/>
  <c r="AI2068" i="7"/>
  <c r="AI2069" i="7"/>
  <c r="AI2070" i="7"/>
  <c r="AI2071" i="7"/>
  <c r="AI2072" i="7"/>
  <c r="AI2073" i="7"/>
  <c r="AI2074" i="7"/>
  <c r="AI2075" i="7"/>
  <c r="AI2076" i="7"/>
  <c r="AI2077" i="7"/>
  <c r="AI2078" i="7"/>
  <c r="AI2079" i="7"/>
  <c r="AI2080" i="7"/>
  <c r="AI2081" i="7"/>
  <c r="AI2082" i="7"/>
  <c r="AI2083" i="7"/>
  <c r="AI2084" i="7"/>
  <c r="AI2085" i="7"/>
  <c r="AI2086" i="7"/>
  <c r="AI2087" i="7"/>
  <c r="AI2088" i="7"/>
  <c r="AI2089" i="7"/>
  <c r="AI2090" i="7"/>
  <c r="AI2091" i="7"/>
  <c r="AI2092" i="7"/>
  <c r="AI2093" i="7"/>
  <c r="AI2094" i="7"/>
  <c r="AI2095" i="7"/>
  <c r="AI2096" i="7"/>
  <c r="AI2097" i="7"/>
  <c r="AI2098" i="7"/>
  <c r="AI2099" i="7"/>
  <c r="AI2100" i="7"/>
  <c r="AI2101" i="7"/>
  <c r="AI2102" i="7"/>
  <c r="AI2103" i="7"/>
  <c r="AI2104" i="7"/>
  <c r="AI2105" i="7"/>
  <c r="AI2106" i="7"/>
  <c r="AI2107" i="7"/>
  <c r="AI2108" i="7"/>
  <c r="AI2109" i="7"/>
  <c r="AI2110" i="7"/>
  <c r="AI2111" i="7"/>
  <c r="AI2112" i="7"/>
  <c r="AI2113" i="7"/>
  <c r="AI2114" i="7"/>
  <c r="AI2115" i="7"/>
  <c r="AI2116" i="7"/>
  <c r="AI2117" i="7"/>
  <c r="AI2118" i="7"/>
  <c r="AI2119" i="7"/>
  <c r="AI2120" i="7"/>
  <c r="AI2121" i="7"/>
  <c r="AI2122" i="7"/>
  <c r="AI2123" i="7"/>
  <c r="AI2124" i="7"/>
  <c r="AI2125" i="7"/>
  <c r="AI2126" i="7"/>
  <c r="AI2127" i="7"/>
  <c r="AI2128" i="7"/>
  <c r="AI2129" i="7"/>
  <c r="AI2130" i="7"/>
  <c r="AI2131" i="7"/>
  <c r="AI2132" i="7"/>
  <c r="AI2133" i="7"/>
  <c r="AI2134" i="7"/>
  <c r="AI2135" i="7"/>
  <c r="AI2136" i="7"/>
  <c r="AI2137" i="7"/>
  <c r="AI2138" i="7"/>
  <c r="AI2139" i="7"/>
  <c r="AI2140" i="7"/>
  <c r="AI2141" i="7"/>
  <c r="AI2142" i="7"/>
  <c r="AI2143" i="7"/>
  <c r="AI2144" i="7"/>
  <c r="AI2145" i="7"/>
  <c r="AI2146" i="7"/>
  <c r="AI2147" i="7"/>
  <c r="AI2148" i="7"/>
  <c r="AI2149" i="7"/>
  <c r="AI2150" i="7"/>
  <c r="AI2151" i="7"/>
  <c r="AI2152" i="7"/>
  <c r="AI2153" i="7"/>
  <c r="AI2154" i="7"/>
  <c r="AI2155" i="7"/>
  <c r="AI2156" i="7"/>
  <c r="AI2157" i="7"/>
  <c r="AI2158" i="7"/>
  <c r="AI2159" i="7"/>
  <c r="AI2160" i="7"/>
  <c r="AI2161" i="7"/>
  <c r="AI2162" i="7"/>
  <c r="AI2163" i="7"/>
  <c r="AI2164" i="7"/>
  <c r="AI2165" i="7"/>
  <c r="AI2166" i="7"/>
  <c r="AI2167" i="7"/>
  <c r="AI2168" i="7"/>
  <c r="AI2169" i="7"/>
  <c r="AI2170" i="7"/>
  <c r="AI2171" i="7"/>
  <c r="AI2172" i="7"/>
  <c r="AI2173" i="7"/>
  <c r="AI2174" i="7"/>
  <c r="AI2175" i="7"/>
  <c r="AI2176" i="7"/>
  <c r="AI2177" i="7"/>
  <c r="AI2178" i="7"/>
  <c r="AI2179" i="7"/>
  <c r="AI2180" i="7"/>
  <c r="AI2181" i="7"/>
  <c r="AI2182" i="7"/>
  <c r="AI2183" i="7"/>
  <c r="AI2184" i="7"/>
  <c r="AI2185" i="7"/>
  <c r="AI2186" i="7"/>
  <c r="AI2187" i="7"/>
  <c r="AI2188" i="7"/>
  <c r="AI2189" i="7"/>
  <c r="AI2190" i="7"/>
  <c r="AI2191" i="7"/>
  <c r="AI2192" i="7"/>
  <c r="AI2193" i="7"/>
  <c r="AI2194" i="7"/>
  <c r="AI2195" i="7"/>
  <c r="AI2196" i="7"/>
  <c r="AI2197" i="7"/>
  <c r="AI2198" i="7"/>
  <c r="AI2199" i="7"/>
  <c r="AI2200" i="7"/>
  <c r="AI2201" i="7"/>
  <c r="AI2202" i="7"/>
  <c r="AI2203" i="7"/>
  <c r="AI2204" i="7"/>
  <c r="AI2205" i="7"/>
  <c r="AI2206" i="7"/>
  <c r="AI2207" i="7"/>
  <c r="AI2208" i="7"/>
  <c r="AI2209" i="7"/>
  <c r="AI2210" i="7"/>
  <c r="AI2211" i="7"/>
  <c r="AI2212" i="7"/>
  <c r="AI2213" i="7"/>
  <c r="AI2214" i="7"/>
  <c r="AI2215" i="7"/>
  <c r="AI2216" i="7"/>
  <c r="AI2217" i="7"/>
  <c r="AI2218" i="7"/>
  <c r="AI2219" i="7"/>
  <c r="AI2220" i="7"/>
  <c r="AI2221" i="7"/>
  <c r="AI2222" i="7"/>
  <c r="AI2223" i="7"/>
  <c r="AI2224" i="7"/>
  <c r="AI2225" i="7"/>
  <c r="AI2226" i="7"/>
  <c r="AI2227" i="7"/>
  <c r="AI2228" i="7"/>
  <c r="AI2229" i="7"/>
  <c r="AI2230" i="7"/>
  <c r="AI2231" i="7"/>
  <c r="AI2232" i="7"/>
  <c r="AI2233" i="7"/>
  <c r="AI2234" i="7"/>
  <c r="AI2235" i="7"/>
  <c r="AI2236" i="7"/>
  <c r="AI2237" i="7"/>
  <c r="AI2238" i="7"/>
  <c r="AI2239" i="7"/>
  <c r="AI2240" i="7"/>
  <c r="AI2241" i="7"/>
  <c r="AI2242" i="7"/>
  <c r="AI2243" i="7"/>
  <c r="AI2244" i="7"/>
  <c r="AI2245" i="7"/>
  <c r="AI2246" i="7"/>
  <c r="AI2247" i="7"/>
  <c r="AI2248" i="7"/>
  <c r="AI2249" i="7"/>
  <c r="AI2250" i="7"/>
  <c r="AI2251" i="7"/>
  <c r="AI2252" i="7"/>
  <c r="AI2253" i="7"/>
  <c r="AI2254" i="7"/>
  <c r="AI2255" i="7"/>
  <c r="AI2256" i="7"/>
  <c r="AI2257" i="7"/>
  <c r="AI2258" i="7"/>
  <c r="AI2259" i="7"/>
  <c r="AI2260" i="7"/>
  <c r="AI2261" i="7"/>
  <c r="AI2262" i="7"/>
  <c r="AI2263" i="7"/>
  <c r="AI2264" i="7"/>
  <c r="AI2265" i="7"/>
  <c r="AI2266" i="7"/>
  <c r="AI2267" i="7"/>
  <c r="AI2268" i="7"/>
  <c r="AI2269" i="7"/>
  <c r="AI2270" i="7"/>
  <c r="AI2271" i="7"/>
  <c r="AI2272" i="7"/>
  <c r="AI2273" i="7"/>
  <c r="AI2274" i="7"/>
  <c r="AI2275" i="7"/>
  <c r="AI2276" i="7"/>
  <c r="AI2277" i="7"/>
  <c r="AI2278" i="7"/>
  <c r="AI2279" i="7"/>
  <c r="AI2280" i="7"/>
  <c r="AI2281" i="7"/>
  <c r="AI2282" i="7"/>
  <c r="AI2283" i="7"/>
  <c r="AI2284" i="7"/>
  <c r="AI2285" i="7"/>
  <c r="AI2286" i="7"/>
  <c r="AI2287" i="7"/>
  <c r="AI2288" i="7"/>
  <c r="AI2289" i="7"/>
  <c r="AI2290" i="7"/>
  <c r="AI2291" i="7"/>
  <c r="AI2292" i="7"/>
  <c r="AI2293" i="7"/>
  <c r="AI2294" i="7"/>
  <c r="AI2295" i="7"/>
  <c r="AI2296" i="7"/>
  <c r="AI2297" i="7"/>
  <c r="AI2298" i="7"/>
  <c r="AI2299" i="7"/>
  <c r="AI2300" i="7"/>
  <c r="AI2301" i="7"/>
  <c r="AI2302" i="7"/>
  <c r="AI2303" i="7"/>
  <c r="AI2304" i="7"/>
  <c r="AI2305" i="7"/>
  <c r="AI2306" i="7"/>
  <c r="AI2307" i="7"/>
  <c r="AI2308" i="7"/>
  <c r="AI2309" i="7"/>
  <c r="AI2310" i="7"/>
  <c r="AI2311" i="7"/>
  <c r="AI2312" i="7"/>
  <c r="AI2313" i="7"/>
  <c r="AI2314" i="7"/>
  <c r="AI2315" i="7"/>
  <c r="AI2316" i="7"/>
  <c r="AI2317" i="7"/>
  <c r="AI2318" i="7"/>
  <c r="AI2319" i="7"/>
  <c r="AI2320" i="7"/>
  <c r="AI2321" i="7"/>
  <c r="AI2322" i="7"/>
  <c r="AI2323" i="7"/>
  <c r="AI2324" i="7"/>
  <c r="AI2325" i="7"/>
  <c r="AI2326" i="7"/>
  <c r="AI2327" i="7"/>
  <c r="AI2328" i="7"/>
  <c r="AI2329" i="7"/>
  <c r="AI2330" i="7"/>
  <c r="AI2331" i="7"/>
  <c r="AI2332" i="7"/>
  <c r="AI2333" i="7"/>
  <c r="AI2334" i="7"/>
  <c r="AI2335" i="7"/>
  <c r="AI2336" i="7"/>
  <c r="AI2337" i="7"/>
  <c r="AI2338" i="7"/>
  <c r="AI2339" i="7"/>
  <c r="AI2340" i="7"/>
  <c r="AI2341" i="7"/>
  <c r="AI2342" i="7"/>
  <c r="AI2343" i="7"/>
  <c r="AI2344" i="7"/>
  <c r="AI2345" i="7"/>
  <c r="AI2346" i="7"/>
  <c r="AI2347" i="7"/>
  <c r="AI2348" i="7"/>
  <c r="AI2349" i="7"/>
  <c r="AI2350" i="7"/>
  <c r="AI2351" i="7"/>
  <c r="AI2352" i="7"/>
  <c r="AI2353" i="7"/>
  <c r="AI2354" i="7"/>
  <c r="AI2355" i="7"/>
  <c r="AI2356" i="7"/>
  <c r="AI2357" i="7"/>
  <c r="AI2358" i="7"/>
  <c r="AI2359" i="7"/>
  <c r="AI2360" i="7"/>
  <c r="AI2361" i="7"/>
  <c r="AI2362" i="7"/>
  <c r="AI2363" i="7"/>
  <c r="AI2364" i="7"/>
  <c r="AI2365" i="7"/>
  <c r="AI2366" i="7"/>
  <c r="AI2367" i="7"/>
  <c r="AI2368" i="7"/>
  <c r="AI2369" i="7"/>
  <c r="AI2370" i="7"/>
  <c r="AI2371" i="7"/>
  <c r="AI2372" i="7"/>
  <c r="AI2373" i="7"/>
  <c r="AI2374" i="7"/>
  <c r="AI2375" i="7"/>
  <c r="AI2376" i="7"/>
  <c r="AI2377" i="7"/>
  <c r="AI2378" i="7"/>
  <c r="AI2379" i="7"/>
  <c r="AI2380" i="7"/>
  <c r="AI2381" i="7"/>
  <c r="AI2382" i="7"/>
  <c r="AI2383" i="7"/>
  <c r="AI2384" i="7"/>
  <c r="AI2385" i="7"/>
  <c r="AI2386" i="7"/>
  <c r="AI2387" i="7"/>
  <c r="AI2388" i="7"/>
  <c r="AI2389" i="7"/>
  <c r="AI2390" i="7"/>
  <c r="AI2391" i="7"/>
  <c r="AI2392" i="7"/>
  <c r="AI2393" i="7"/>
  <c r="AI2394" i="7"/>
  <c r="AI2395" i="7"/>
  <c r="AI2396" i="7"/>
  <c r="AI2397" i="7"/>
  <c r="AI2398" i="7"/>
  <c r="AI2399" i="7"/>
  <c r="AI2400" i="7"/>
  <c r="AI2401" i="7"/>
  <c r="AI2402" i="7"/>
  <c r="AI2403" i="7"/>
  <c r="AI2404" i="7"/>
  <c r="AI2405" i="7"/>
  <c r="AI2406" i="7"/>
  <c r="AI2407" i="7"/>
  <c r="AI2408" i="7"/>
  <c r="AI2409" i="7"/>
  <c r="AI2410" i="7"/>
  <c r="AI2411" i="7"/>
  <c r="AI2412" i="7"/>
  <c r="AI2413" i="7"/>
  <c r="AI2414" i="7"/>
  <c r="AI2415" i="7"/>
  <c r="AI2416" i="7"/>
  <c r="AI2417" i="7"/>
  <c r="AI2418" i="7"/>
  <c r="AI2419" i="7"/>
  <c r="AI2420" i="7"/>
  <c r="AI2421" i="7"/>
  <c r="AI2422" i="7"/>
  <c r="AI2423" i="7"/>
  <c r="AI2424" i="7"/>
  <c r="AI2425" i="7"/>
  <c r="AI2426" i="7"/>
  <c r="AI2427" i="7"/>
  <c r="AI2428" i="7"/>
  <c r="AI2429" i="7"/>
  <c r="AI2430" i="7"/>
  <c r="AI2431" i="7"/>
  <c r="AI2432" i="7"/>
  <c r="AI2433" i="7"/>
  <c r="AI2434" i="7"/>
  <c r="AI2435" i="7"/>
  <c r="AI2436" i="7"/>
  <c r="AI2437" i="7"/>
  <c r="AI2438" i="7"/>
  <c r="AI2439" i="7"/>
  <c r="AI2440" i="7"/>
  <c r="AI2441" i="7"/>
  <c r="AI2442" i="7"/>
  <c r="AI2443" i="7"/>
  <c r="AI2444" i="7"/>
  <c r="AI2445" i="7"/>
  <c r="AI2446" i="7"/>
  <c r="AI2447" i="7"/>
  <c r="AI2448" i="7"/>
  <c r="AI2449" i="7"/>
  <c r="AI2450" i="7"/>
  <c r="AI2451" i="7"/>
  <c r="AI2452" i="7"/>
  <c r="AI2453" i="7"/>
  <c r="AI2454" i="7"/>
  <c r="AI2455" i="7"/>
  <c r="AI2456" i="7"/>
  <c r="AI2457" i="7"/>
  <c r="AI2458" i="7"/>
  <c r="AI2459" i="7"/>
  <c r="AI2460" i="7"/>
  <c r="AI2461" i="7"/>
  <c r="AI2462" i="7"/>
  <c r="AI2463" i="7"/>
  <c r="AI2464" i="7"/>
  <c r="AI2465" i="7"/>
  <c r="AI2466" i="7"/>
  <c r="AI2467" i="7"/>
  <c r="AI2468" i="7"/>
  <c r="AI2469" i="7"/>
  <c r="AI2470" i="7"/>
  <c r="AI2471" i="7"/>
  <c r="AI2472" i="7"/>
  <c r="AI2473" i="7"/>
  <c r="AI2474" i="7"/>
  <c r="AI2475" i="7"/>
  <c r="AI2476" i="7"/>
  <c r="AI2477" i="7"/>
  <c r="AI2478" i="7"/>
  <c r="AI2479" i="7"/>
  <c r="AI2480" i="7"/>
  <c r="AI2481" i="7"/>
  <c r="AI2482" i="7"/>
  <c r="AI2483" i="7"/>
  <c r="AI2484" i="7"/>
  <c r="AI2485" i="7"/>
  <c r="AI2486" i="7"/>
  <c r="AI2487" i="7"/>
  <c r="AI2488" i="7"/>
  <c r="AI2489" i="7"/>
  <c r="AI2490" i="7"/>
  <c r="AI2491" i="7"/>
  <c r="AI2492" i="7"/>
  <c r="AI2493" i="7"/>
  <c r="AI2494" i="7"/>
  <c r="AI2495" i="7"/>
  <c r="AI2496" i="7"/>
  <c r="AI2497" i="7"/>
  <c r="AI2" i="7"/>
  <c r="C2497" i="7"/>
  <c r="C2496" i="7"/>
  <c r="C2495" i="7"/>
  <c r="C2494" i="7"/>
  <c r="C2493" i="7"/>
  <c r="C2492" i="7"/>
  <c r="C2491" i="7"/>
  <c r="C2490" i="7"/>
  <c r="C2489" i="7"/>
  <c r="C2488" i="7"/>
  <c r="C2487" i="7"/>
  <c r="C2486" i="7"/>
  <c r="C2485" i="7"/>
  <c r="C2484" i="7"/>
  <c r="C2483" i="7"/>
  <c r="C2482" i="7"/>
  <c r="C2481" i="7"/>
  <c r="C2480" i="7"/>
  <c r="C2479" i="7"/>
  <c r="C2478" i="7"/>
  <c r="C2477" i="7"/>
  <c r="C2476" i="7"/>
  <c r="C2475" i="7"/>
  <c r="C2474" i="7"/>
  <c r="C2473" i="7"/>
  <c r="C2472" i="7"/>
  <c r="C2471" i="7"/>
  <c r="C2470" i="7"/>
  <c r="C2469" i="7"/>
  <c r="C2468" i="7"/>
  <c r="C2467" i="7"/>
  <c r="C2466" i="7"/>
  <c r="C2465" i="7"/>
  <c r="C2464" i="7"/>
  <c r="C2463" i="7"/>
  <c r="C2462" i="7"/>
  <c r="C2461" i="7"/>
  <c r="C2460" i="7"/>
  <c r="C2459" i="7"/>
  <c r="C2458" i="7"/>
  <c r="C2457" i="7"/>
  <c r="C2456" i="7"/>
  <c r="C2455" i="7"/>
  <c r="C2454" i="7"/>
  <c r="C2453" i="7"/>
  <c r="C2452" i="7"/>
  <c r="C2451" i="7"/>
  <c r="C2450" i="7"/>
  <c r="C2449" i="7"/>
  <c r="C2448" i="7"/>
  <c r="C2447" i="7"/>
  <c r="C2446" i="7"/>
  <c r="C2445" i="7"/>
  <c r="C2444" i="7"/>
  <c r="C2443" i="7"/>
  <c r="C2442" i="7"/>
  <c r="C2441" i="7"/>
  <c r="C2440" i="7"/>
  <c r="C2439" i="7"/>
  <c r="C2438" i="7"/>
  <c r="C2437" i="7"/>
  <c r="C2436" i="7"/>
  <c r="C2435" i="7"/>
  <c r="C2434" i="7"/>
  <c r="C2433" i="7"/>
  <c r="C2432" i="7"/>
  <c r="C2431" i="7"/>
  <c r="C2430" i="7"/>
  <c r="C2429" i="7"/>
  <c r="C2428" i="7"/>
  <c r="C2427" i="7"/>
  <c r="C2426" i="7"/>
  <c r="C2425" i="7"/>
  <c r="C2424" i="7"/>
  <c r="C2423" i="7"/>
  <c r="C2422" i="7"/>
  <c r="C2421" i="7"/>
  <c r="C2420" i="7"/>
  <c r="C2419" i="7"/>
  <c r="C2418" i="7"/>
  <c r="C2417" i="7"/>
  <c r="C2416" i="7"/>
  <c r="C2415" i="7"/>
  <c r="C2414" i="7"/>
  <c r="C2413" i="7"/>
  <c r="C2412" i="7"/>
  <c r="C2411" i="7"/>
  <c r="C2410" i="7"/>
  <c r="C2409" i="7"/>
  <c r="C2408" i="7"/>
  <c r="C2407" i="7"/>
  <c r="C2406" i="7"/>
  <c r="C2405" i="7"/>
  <c r="C2404" i="7"/>
  <c r="C2403" i="7"/>
  <c r="C2402" i="7"/>
  <c r="C2401" i="7"/>
  <c r="C2400" i="7"/>
  <c r="C2399" i="7"/>
  <c r="C2398" i="7"/>
  <c r="C2397" i="7"/>
  <c r="C2396" i="7"/>
  <c r="C2395" i="7"/>
  <c r="C2394" i="7"/>
  <c r="C2393" i="7"/>
  <c r="C2392" i="7"/>
  <c r="C2391" i="7"/>
  <c r="C2390" i="7"/>
  <c r="C2389" i="7"/>
  <c r="C2388" i="7"/>
  <c r="C2387" i="7"/>
  <c r="C2386" i="7"/>
  <c r="C2385" i="7"/>
  <c r="C2384" i="7"/>
  <c r="C2383" i="7"/>
  <c r="C2382" i="7"/>
  <c r="C2381" i="7"/>
  <c r="C2380" i="7"/>
  <c r="C2379" i="7"/>
  <c r="C2378" i="7"/>
  <c r="C2377" i="7"/>
  <c r="C2376" i="7"/>
  <c r="C2375" i="7"/>
  <c r="C2374" i="7"/>
  <c r="C2373" i="7"/>
  <c r="C2372" i="7"/>
  <c r="C2371" i="7"/>
  <c r="C2370" i="7"/>
  <c r="C2369" i="7"/>
  <c r="C2368" i="7"/>
  <c r="C2367" i="7"/>
  <c r="C2366" i="7"/>
  <c r="C2365" i="7"/>
  <c r="C2364" i="7"/>
  <c r="C2363" i="7"/>
  <c r="C2362" i="7"/>
  <c r="C2361" i="7"/>
  <c r="C2360" i="7"/>
  <c r="C2359" i="7"/>
  <c r="C2358" i="7"/>
  <c r="C2357" i="7"/>
  <c r="C2356" i="7"/>
  <c r="C2355" i="7"/>
  <c r="C2354" i="7"/>
  <c r="C2353" i="7"/>
  <c r="C2352" i="7"/>
  <c r="C2351" i="7"/>
  <c r="C2350" i="7"/>
  <c r="C2349" i="7"/>
  <c r="C2348" i="7"/>
  <c r="C2347" i="7"/>
  <c r="C2346" i="7"/>
  <c r="C2345" i="7"/>
  <c r="C2344" i="7"/>
  <c r="C2343" i="7"/>
  <c r="C2342" i="7"/>
  <c r="C2341" i="7"/>
  <c r="C2340" i="7"/>
  <c r="C2339" i="7"/>
  <c r="C2338" i="7"/>
  <c r="C2337" i="7"/>
  <c r="C2336" i="7"/>
  <c r="C2335" i="7"/>
  <c r="C2334" i="7"/>
  <c r="C2333" i="7"/>
  <c r="C2332" i="7"/>
  <c r="C2331" i="7"/>
  <c r="C2330" i="7"/>
  <c r="C2329" i="7"/>
  <c r="C2328" i="7"/>
  <c r="C2327" i="7"/>
  <c r="C2326" i="7"/>
  <c r="C2325" i="7"/>
  <c r="C2324" i="7"/>
  <c r="C2323" i="7"/>
  <c r="C2322" i="7"/>
  <c r="C2321" i="7"/>
  <c r="C2320" i="7"/>
  <c r="C2319" i="7"/>
  <c r="C2318" i="7"/>
  <c r="C2317" i="7"/>
  <c r="C2316" i="7"/>
  <c r="C2315" i="7"/>
  <c r="C2314" i="7"/>
  <c r="C2313" i="7"/>
  <c r="C2312" i="7"/>
  <c r="C2311" i="7"/>
  <c r="C2310" i="7"/>
  <c r="C2309" i="7"/>
  <c r="C2308" i="7"/>
  <c r="C2307" i="7"/>
  <c r="C2306" i="7"/>
  <c r="C2305" i="7"/>
  <c r="C2304" i="7"/>
  <c r="C2303" i="7"/>
  <c r="C2302" i="7"/>
  <c r="C2301" i="7"/>
  <c r="C2300" i="7"/>
  <c r="C2299" i="7"/>
  <c r="C2298" i="7"/>
  <c r="C2297" i="7"/>
  <c r="C2296" i="7"/>
  <c r="C2295" i="7"/>
  <c r="C2294" i="7"/>
  <c r="C2293" i="7"/>
  <c r="C2292" i="7"/>
  <c r="C2291" i="7"/>
  <c r="C2290" i="7"/>
  <c r="C2289" i="7"/>
  <c r="C2288" i="7"/>
  <c r="C2287" i="7"/>
  <c r="C2286" i="7"/>
  <c r="C2285" i="7"/>
  <c r="C2284" i="7"/>
  <c r="C2283" i="7"/>
  <c r="C2282" i="7"/>
  <c r="C2281" i="7"/>
  <c r="C2280" i="7"/>
  <c r="C2279" i="7"/>
  <c r="C2278" i="7"/>
  <c r="C2277" i="7"/>
  <c r="C2276" i="7"/>
  <c r="C2275" i="7"/>
  <c r="C2274" i="7"/>
  <c r="C2273" i="7"/>
  <c r="C2272" i="7"/>
  <c r="C2271" i="7"/>
  <c r="C2270" i="7"/>
  <c r="C2269" i="7"/>
  <c r="C2268" i="7"/>
  <c r="C2267" i="7"/>
  <c r="C2266" i="7"/>
  <c r="C2265" i="7"/>
  <c r="C2264" i="7"/>
  <c r="C2263" i="7"/>
  <c r="C2262" i="7"/>
  <c r="C2261" i="7"/>
  <c r="C2260" i="7"/>
  <c r="C2259" i="7"/>
  <c r="C2258" i="7"/>
  <c r="C2257" i="7"/>
  <c r="C2256" i="7"/>
  <c r="C2255" i="7"/>
  <c r="C2254" i="7"/>
  <c r="C2253" i="7"/>
  <c r="C2252" i="7"/>
  <c r="C2251" i="7"/>
  <c r="C2250" i="7"/>
  <c r="C2249" i="7"/>
  <c r="C2248" i="7"/>
  <c r="C2247" i="7"/>
  <c r="C2246" i="7"/>
  <c r="C2245" i="7"/>
  <c r="C2244" i="7"/>
  <c r="C2243" i="7"/>
  <c r="C2242" i="7"/>
  <c r="C2241" i="7"/>
  <c r="C2240" i="7"/>
  <c r="C2239" i="7"/>
  <c r="C2238" i="7"/>
  <c r="C2237" i="7"/>
  <c r="C2236" i="7"/>
  <c r="C2235" i="7"/>
  <c r="C2234" i="7"/>
  <c r="C2233" i="7"/>
  <c r="C2232" i="7"/>
  <c r="C2231" i="7"/>
  <c r="C2230" i="7"/>
  <c r="C2229" i="7"/>
  <c r="C2228" i="7"/>
  <c r="C2227" i="7"/>
  <c r="C2226" i="7"/>
  <c r="C2225" i="7"/>
  <c r="C2224" i="7"/>
  <c r="C2223" i="7"/>
  <c r="C2222" i="7"/>
  <c r="C2221" i="7"/>
  <c r="C2220" i="7"/>
  <c r="C2219" i="7"/>
  <c r="C2218" i="7"/>
  <c r="C2217" i="7"/>
  <c r="C2216" i="7"/>
  <c r="C2215" i="7"/>
  <c r="C2214" i="7"/>
  <c r="C2213" i="7"/>
  <c r="C2212" i="7"/>
  <c r="C2211" i="7"/>
  <c r="C2210" i="7"/>
  <c r="C2209" i="7"/>
  <c r="C2208" i="7"/>
  <c r="C2207" i="7"/>
  <c r="C2206" i="7"/>
  <c r="C2205" i="7"/>
  <c r="C2204" i="7"/>
  <c r="C2203" i="7"/>
  <c r="C2202" i="7"/>
  <c r="C2201" i="7"/>
  <c r="C2200" i="7"/>
  <c r="C2199" i="7"/>
  <c r="C2198" i="7"/>
  <c r="C2197" i="7"/>
  <c r="C2196" i="7"/>
  <c r="C2195" i="7"/>
  <c r="C2194" i="7"/>
  <c r="C2193" i="7"/>
  <c r="C2192" i="7"/>
  <c r="C2191" i="7"/>
  <c r="C2190" i="7"/>
  <c r="C2189" i="7"/>
  <c r="C2188" i="7"/>
  <c r="C2187" i="7"/>
  <c r="C2186" i="7"/>
  <c r="C2185" i="7"/>
  <c r="C2184" i="7"/>
  <c r="C2183" i="7"/>
  <c r="C2182" i="7"/>
  <c r="C2181" i="7"/>
  <c r="C2180" i="7"/>
  <c r="C2179" i="7"/>
  <c r="C2178" i="7"/>
  <c r="C2177" i="7"/>
  <c r="C2176" i="7"/>
  <c r="C2175" i="7"/>
  <c r="C2174" i="7"/>
  <c r="C2173" i="7"/>
  <c r="C2172" i="7"/>
  <c r="C2171" i="7"/>
  <c r="C2170" i="7"/>
  <c r="C2169" i="7"/>
  <c r="C2168" i="7"/>
  <c r="C2167" i="7"/>
  <c r="C2166" i="7"/>
  <c r="C2165" i="7"/>
  <c r="C2164" i="7"/>
  <c r="C2163" i="7"/>
  <c r="C2162" i="7"/>
  <c r="C2161" i="7"/>
  <c r="C2160" i="7"/>
  <c r="C2159" i="7"/>
  <c r="C2158" i="7"/>
  <c r="C2157" i="7"/>
  <c r="C2156" i="7"/>
  <c r="C2155" i="7"/>
  <c r="C2154" i="7"/>
  <c r="C2153" i="7"/>
  <c r="C2152" i="7"/>
  <c r="C2151" i="7"/>
  <c r="C2150" i="7"/>
  <c r="C2149" i="7"/>
  <c r="C2148" i="7"/>
  <c r="C2147" i="7"/>
  <c r="C2146" i="7"/>
  <c r="C2145" i="7"/>
  <c r="C2144" i="7"/>
  <c r="C2143" i="7"/>
  <c r="C2142" i="7"/>
  <c r="C2141" i="7"/>
  <c r="C2140" i="7"/>
  <c r="C2139" i="7"/>
  <c r="C2138" i="7"/>
  <c r="C2137" i="7"/>
  <c r="C2136" i="7"/>
  <c r="C2135" i="7"/>
  <c r="C2134" i="7"/>
  <c r="C2133" i="7"/>
  <c r="C2132" i="7"/>
  <c r="C2131" i="7"/>
  <c r="C2130" i="7"/>
  <c r="C2129" i="7"/>
  <c r="C2128" i="7"/>
  <c r="C2127" i="7"/>
  <c r="C2126" i="7"/>
  <c r="C2125" i="7"/>
  <c r="C2124" i="7"/>
  <c r="C2123" i="7"/>
  <c r="C2122" i="7"/>
  <c r="C2121" i="7"/>
  <c r="C2120" i="7"/>
  <c r="C2119" i="7"/>
  <c r="C2118" i="7"/>
  <c r="C2117" i="7"/>
  <c r="C2116" i="7"/>
  <c r="C2115" i="7"/>
  <c r="C2114" i="7"/>
  <c r="C2113" i="7"/>
  <c r="C2112" i="7"/>
  <c r="C2111" i="7"/>
  <c r="C2110" i="7"/>
  <c r="C2109" i="7"/>
  <c r="C2108" i="7"/>
  <c r="C2107" i="7"/>
  <c r="C2106" i="7"/>
  <c r="C2105" i="7"/>
  <c r="C2104" i="7"/>
  <c r="C2103" i="7"/>
  <c r="C2102" i="7"/>
  <c r="C2101" i="7"/>
  <c r="C2100" i="7"/>
  <c r="C2099" i="7"/>
  <c r="C2098" i="7"/>
  <c r="C2097" i="7"/>
  <c r="C2096" i="7"/>
  <c r="C2095" i="7"/>
  <c r="C2094" i="7"/>
  <c r="C2093" i="7"/>
  <c r="C2092" i="7"/>
  <c r="C2091" i="7"/>
  <c r="C2090" i="7"/>
  <c r="C2089" i="7"/>
  <c r="C2088" i="7"/>
  <c r="C2087" i="7"/>
  <c r="C2086" i="7"/>
  <c r="C2085" i="7"/>
  <c r="C2084" i="7"/>
  <c r="C2083" i="7"/>
  <c r="C2082" i="7"/>
  <c r="C2081" i="7"/>
  <c r="C2080" i="7"/>
  <c r="C2079" i="7"/>
  <c r="C2078" i="7"/>
  <c r="C2077" i="7"/>
  <c r="C2076" i="7"/>
  <c r="C2075" i="7"/>
  <c r="C2074" i="7"/>
  <c r="C2073" i="7"/>
  <c r="C2072" i="7"/>
  <c r="C2071" i="7"/>
  <c r="C2070" i="7"/>
  <c r="C2069" i="7"/>
  <c r="C2068" i="7"/>
  <c r="C2067" i="7"/>
  <c r="C2066" i="7"/>
  <c r="C2065" i="7"/>
  <c r="C2064" i="7"/>
  <c r="C2063" i="7"/>
  <c r="C2062" i="7"/>
  <c r="C2061" i="7"/>
  <c r="C2060" i="7"/>
  <c r="C2059" i="7"/>
  <c r="C2058" i="7"/>
  <c r="C2057" i="7"/>
  <c r="C2056" i="7"/>
  <c r="C2055" i="7"/>
  <c r="C2054" i="7"/>
  <c r="C2053" i="7"/>
  <c r="C2052" i="7"/>
  <c r="C2051" i="7"/>
  <c r="C2050" i="7"/>
  <c r="C2049" i="7"/>
  <c r="C2048" i="7"/>
  <c r="C2047" i="7"/>
  <c r="C2046" i="7"/>
  <c r="C2045" i="7"/>
  <c r="C2044" i="7"/>
  <c r="C2043" i="7"/>
  <c r="C2042" i="7"/>
  <c r="C2041" i="7"/>
  <c r="C2040" i="7"/>
  <c r="C2039" i="7"/>
  <c r="C2038" i="7"/>
  <c r="C2037" i="7"/>
  <c r="C2036" i="7"/>
  <c r="C2035" i="7"/>
  <c r="C2034" i="7"/>
  <c r="C2033" i="7"/>
  <c r="C2032" i="7"/>
  <c r="C2031" i="7"/>
  <c r="C2030" i="7"/>
  <c r="C2029" i="7"/>
  <c r="C2028" i="7"/>
  <c r="C2027" i="7"/>
  <c r="C2026" i="7"/>
  <c r="C2025" i="7"/>
  <c r="C2024" i="7"/>
  <c r="C2023" i="7"/>
  <c r="C2022" i="7"/>
  <c r="C2021" i="7"/>
  <c r="C2020" i="7"/>
  <c r="C2019" i="7"/>
  <c r="C2018" i="7"/>
  <c r="C2017" i="7"/>
  <c r="C2016" i="7"/>
  <c r="C2015" i="7"/>
  <c r="C2014" i="7"/>
  <c r="C2013" i="7"/>
  <c r="C2012" i="7"/>
  <c r="C2011" i="7"/>
  <c r="C2010" i="7"/>
  <c r="C2009" i="7"/>
  <c r="C2008" i="7"/>
  <c r="C2007" i="7"/>
  <c r="C2006" i="7"/>
  <c r="C2005" i="7"/>
  <c r="C2004" i="7"/>
  <c r="C2003" i="7"/>
  <c r="C2002" i="7"/>
  <c r="C2001" i="7"/>
  <c r="C2000" i="7"/>
  <c r="C1999" i="7"/>
  <c r="C1998" i="7"/>
  <c r="C1997" i="7"/>
  <c r="C1996" i="7"/>
  <c r="C1995" i="7"/>
  <c r="C1994" i="7"/>
  <c r="C1993" i="7"/>
  <c r="C1992" i="7"/>
  <c r="C1991" i="7"/>
  <c r="C1990" i="7"/>
  <c r="C1989" i="7"/>
  <c r="C1988" i="7"/>
  <c r="C1987" i="7"/>
  <c r="C1986" i="7"/>
  <c r="C1985" i="7"/>
  <c r="C1984" i="7"/>
  <c r="C1983" i="7"/>
  <c r="C1982" i="7"/>
  <c r="C1981" i="7"/>
  <c r="C1980" i="7"/>
  <c r="C1979" i="7"/>
  <c r="C1978" i="7"/>
  <c r="C1977" i="7"/>
  <c r="C1976" i="7"/>
  <c r="C1975" i="7"/>
  <c r="C1974" i="7"/>
  <c r="C1973" i="7"/>
  <c r="C1972" i="7"/>
  <c r="C1971" i="7"/>
  <c r="C1970" i="7"/>
  <c r="C1969" i="7"/>
  <c r="C1968" i="7"/>
  <c r="C1967" i="7"/>
  <c r="C1966" i="7"/>
  <c r="C1965" i="7"/>
  <c r="C1964" i="7"/>
  <c r="C1963" i="7"/>
  <c r="C1962" i="7"/>
  <c r="C1961" i="7"/>
  <c r="C1960" i="7"/>
  <c r="C1959" i="7"/>
  <c r="C1958" i="7"/>
  <c r="C1957" i="7"/>
  <c r="C1956" i="7"/>
  <c r="C1955" i="7"/>
  <c r="C1954" i="7"/>
  <c r="C1953" i="7"/>
  <c r="C1952" i="7"/>
  <c r="C1951" i="7"/>
  <c r="C1950" i="7"/>
  <c r="C1949" i="7"/>
  <c r="C1948" i="7"/>
  <c r="C1947" i="7"/>
  <c r="C1946" i="7"/>
  <c r="C1945" i="7"/>
  <c r="C1944" i="7"/>
  <c r="C1943" i="7"/>
  <c r="C1942" i="7"/>
  <c r="C1941" i="7"/>
  <c r="C1940" i="7"/>
  <c r="C1939" i="7"/>
  <c r="C1938" i="7"/>
  <c r="C1937" i="7"/>
  <c r="C1936" i="7"/>
  <c r="C1935" i="7"/>
  <c r="C1934" i="7"/>
  <c r="C1933" i="7"/>
  <c r="C1932" i="7"/>
  <c r="C1931" i="7"/>
  <c r="C1930" i="7"/>
  <c r="C1929" i="7"/>
  <c r="C1928" i="7"/>
  <c r="C1927" i="7"/>
  <c r="C1926" i="7"/>
  <c r="C1925" i="7"/>
  <c r="C1924" i="7"/>
  <c r="C1923" i="7"/>
  <c r="C1922" i="7"/>
  <c r="C1921" i="7"/>
  <c r="C1920" i="7"/>
  <c r="C1919" i="7"/>
  <c r="C1918" i="7"/>
  <c r="C1917" i="7"/>
  <c r="C1916" i="7"/>
  <c r="C1915" i="7"/>
  <c r="C1914" i="7"/>
  <c r="C1913" i="7"/>
  <c r="C1912" i="7"/>
  <c r="C1911" i="7"/>
  <c r="C1910" i="7"/>
  <c r="C1909" i="7"/>
  <c r="C1908" i="7"/>
  <c r="C1907" i="7"/>
  <c r="C1906" i="7"/>
  <c r="C1905" i="7"/>
  <c r="C1904" i="7"/>
  <c r="C1903" i="7"/>
  <c r="C1902" i="7"/>
  <c r="C1901" i="7"/>
  <c r="C1900" i="7"/>
  <c r="C1899" i="7"/>
  <c r="C1898" i="7"/>
  <c r="C1897" i="7"/>
  <c r="C1896" i="7"/>
  <c r="C1895" i="7"/>
  <c r="C1894" i="7"/>
  <c r="C1893" i="7"/>
  <c r="C1892" i="7"/>
  <c r="C1891" i="7"/>
  <c r="C1890" i="7"/>
  <c r="C1889" i="7"/>
  <c r="C1888" i="7"/>
  <c r="C1887" i="7"/>
  <c r="C1886" i="7"/>
  <c r="C1885" i="7"/>
  <c r="C1884" i="7"/>
  <c r="C1883" i="7"/>
  <c r="C1882" i="7"/>
  <c r="C1881" i="7"/>
  <c r="C1880" i="7"/>
  <c r="C1879" i="7"/>
  <c r="C1878" i="7"/>
  <c r="C1877" i="7"/>
  <c r="C1876" i="7"/>
  <c r="C1875" i="7"/>
  <c r="C1874" i="7"/>
  <c r="C1873" i="7"/>
  <c r="C1872" i="7"/>
  <c r="C1871" i="7"/>
  <c r="C1870" i="7"/>
  <c r="C1869" i="7"/>
  <c r="C1868" i="7"/>
  <c r="C1867" i="7"/>
  <c r="C1866" i="7"/>
  <c r="C1865" i="7"/>
  <c r="C1864" i="7"/>
  <c r="C1863" i="7"/>
  <c r="C1862" i="7"/>
  <c r="C1861" i="7"/>
  <c r="C1860" i="7"/>
  <c r="C1859" i="7"/>
  <c r="C1858" i="7"/>
  <c r="C1857" i="7"/>
  <c r="C1856" i="7"/>
  <c r="C1855" i="7"/>
  <c r="C1854" i="7"/>
  <c r="C1853" i="7"/>
  <c r="C1852" i="7"/>
  <c r="C1851" i="7"/>
  <c r="C1850" i="7"/>
  <c r="C1849" i="7"/>
  <c r="C1848" i="7"/>
  <c r="C1847" i="7"/>
  <c r="C1846" i="7"/>
  <c r="C1845" i="7"/>
  <c r="C1844" i="7"/>
  <c r="C1843" i="7"/>
  <c r="C1842" i="7"/>
  <c r="C1841" i="7"/>
  <c r="C1840" i="7"/>
  <c r="C1839" i="7"/>
  <c r="C1838" i="7"/>
  <c r="C1837" i="7"/>
  <c r="C1836" i="7"/>
  <c r="C1835" i="7"/>
  <c r="C1834" i="7"/>
  <c r="C1833" i="7"/>
  <c r="C1832" i="7"/>
  <c r="C1831" i="7"/>
  <c r="C1830" i="7"/>
  <c r="C1829" i="7"/>
  <c r="C1828" i="7"/>
  <c r="C1827" i="7"/>
  <c r="C1826" i="7"/>
  <c r="C1825" i="7"/>
  <c r="C1824" i="7"/>
  <c r="C1823" i="7"/>
  <c r="C1822" i="7"/>
  <c r="C1821" i="7"/>
  <c r="C1820" i="7"/>
  <c r="C1819" i="7"/>
  <c r="C1818" i="7"/>
  <c r="C1817" i="7"/>
  <c r="C1816" i="7"/>
  <c r="C1815" i="7"/>
  <c r="C1814" i="7"/>
  <c r="C1813" i="7"/>
  <c r="C1812" i="7"/>
  <c r="C1811" i="7"/>
  <c r="C1810" i="7"/>
  <c r="C1809" i="7"/>
  <c r="C1808" i="7"/>
  <c r="C1807" i="7"/>
  <c r="C1806" i="7"/>
  <c r="C1805" i="7"/>
  <c r="C1804" i="7"/>
  <c r="C1803" i="7"/>
  <c r="C1802" i="7"/>
  <c r="C1801" i="7"/>
  <c r="C1800" i="7"/>
  <c r="C1799" i="7"/>
  <c r="C1798" i="7"/>
  <c r="C1797" i="7"/>
  <c r="C1796" i="7"/>
  <c r="C1795" i="7"/>
  <c r="C1794" i="7"/>
  <c r="C1793" i="7"/>
  <c r="C1792" i="7"/>
  <c r="C1791" i="7"/>
  <c r="C1790" i="7"/>
  <c r="C1789" i="7"/>
  <c r="C1788" i="7"/>
  <c r="C1787" i="7"/>
  <c r="C1786" i="7"/>
  <c r="C1785" i="7"/>
  <c r="C1784" i="7"/>
  <c r="C1783" i="7"/>
  <c r="C1782" i="7"/>
  <c r="C1781" i="7"/>
  <c r="C1780" i="7"/>
  <c r="C1779" i="7"/>
  <c r="C1778" i="7"/>
  <c r="C1777" i="7"/>
  <c r="C1776" i="7"/>
  <c r="C1775" i="7"/>
  <c r="C1774" i="7"/>
  <c r="C1773" i="7"/>
  <c r="C1772" i="7"/>
  <c r="C1771" i="7"/>
  <c r="C1770" i="7"/>
  <c r="C1769" i="7"/>
  <c r="C1768" i="7"/>
  <c r="C1767" i="7"/>
  <c r="C1766" i="7"/>
  <c r="C1765" i="7"/>
  <c r="C1764" i="7"/>
  <c r="C1763" i="7"/>
  <c r="C1762" i="7"/>
  <c r="C1761" i="7"/>
  <c r="C1760" i="7"/>
  <c r="C1759" i="7"/>
  <c r="C1758" i="7"/>
  <c r="C1757" i="7"/>
  <c r="C1756" i="7"/>
  <c r="C1755" i="7"/>
  <c r="C1754" i="7"/>
  <c r="C1753" i="7"/>
  <c r="C1752" i="7"/>
  <c r="C1751" i="7"/>
  <c r="C1750" i="7"/>
  <c r="C1749" i="7"/>
  <c r="C1748" i="7"/>
  <c r="C1747" i="7"/>
  <c r="C1746" i="7"/>
  <c r="C1745" i="7"/>
  <c r="C1744" i="7"/>
  <c r="C1743" i="7"/>
  <c r="C1742" i="7"/>
  <c r="C1741" i="7"/>
  <c r="C1740" i="7"/>
  <c r="C1739" i="7"/>
  <c r="C1738" i="7"/>
  <c r="C1737" i="7"/>
  <c r="C1736" i="7"/>
  <c r="C1735" i="7"/>
  <c r="C1734" i="7"/>
  <c r="C1733" i="7"/>
  <c r="C1732" i="7"/>
  <c r="C1731" i="7"/>
  <c r="C1730" i="7"/>
  <c r="C1729" i="7"/>
  <c r="C1728" i="7"/>
  <c r="C1727" i="7"/>
  <c r="C1726" i="7"/>
  <c r="C1725" i="7"/>
  <c r="C1724" i="7"/>
  <c r="C1723" i="7"/>
  <c r="C1722" i="7"/>
  <c r="C1721" i="7"/>
  <c r="C1720" i="7"/>
  <c r="C1719" i="7"/>
  <c r="C1718" i="7"/>
  <c r="C1717" i="7"/>
  <c r="C1716" i="7"/>
  <c r="C1715" i="7"/>
  <c r="C1714" i="7"/>
  <c r="C1713" i="7"/>
  <c r="C1712" i="7"/>
  <c r="C1711" i="7"/>
  <c r="C1710" i="7"/>
  <c r="C1709" i="7"/>
  <c r="C1708" i="7"/>
  <c r="C1707" i="7"/>
  <c r="C1706" i="7"/>
  <c r="C1705" i="7"/>
  <c r="C1704" i="7"/>
  <c r="C1703" i="7"/>
  <c r="C1702" i="7"/>
  <c r="C1701" i="7"/>
  <c r="C1700" i="7"/>
  <c r="C1699" i="7"/>
  <c r="C1698" i="7"/>
  <c r="C1697" i="7"/>
  <c r="C1696" i="7"/>
  <c r="C1695" i="7"/>
  <c r="C1694" i="7"/>
  <c r="C1693" i="7"/>
  <c r="C1692" i="7"/>
  <c r="C1691" i="7"/>
  <c r="C1690" i="7"/>
  <c r="C1689" i="7"/>
  <c r="C1688" i="7"/>
  <c r="C1687" i="7"/>
  <c r="C1686" i="7"/>
  <c r="C1685" i="7"/>
  <c r="C1684" i="7"/>
  <c r="C1683" i="7"/>
  <c r="C1682" i="7"/>
  <c r="C1681" i="7"/>
  <c r="C1680" i="7"/>
  <c r="C1679" i="7"/>
  <c r="C1678" i="7"/>
  <c r="C1677" i="7"/>
  <c r="C1676" i="7"/>
  <c r="C1675" i="7"/>
  <c r="C1674" i="7"/>
  <c r="C1673" i="7"/>
  <c r="C1672" i="7"/>
  <c r="C1671" i="7"/>
  <c r="C1670" i="7"/>
  <c r="C1669" i="7"/>
  <c r="C1668" i="7"/>
  <c r="C1667" i="7"/>
  <c r="C1666" i="7"/>
  <c r="C1665" i="7"/>
  <c r="C1664" i="7"/>
  <c r="C1663" i="7"/>
  <c r="C1662" i="7"/>
  <c r="C1661" i="7"/>
  <c r="C1660" i="7"/>
  <c r="C1659" i="7"/>
  <c r="C1658" i="7"/>
  <c r="C1657" i="7"/>
  <c r="C1656" i="7"/>
  <c r="C1655" i="7"/>
  <c r="C1654" i="7"/>
  <c r="C1653" i="7"/>
  <c r="C1652" i="7"/>
  <c r="C1651" i="7"/>
  <c r="C1650" i="7"/>
  <c r="C1649" i="7"/>
  <c r="C1648" i="7"/>
  <c r="C1647" i="7"/>
  <c r="C1646" i="7"/>
  <c r="C1645" i="7"/>
  <c r="C1644" i="7"/>
  <c r="C1643" i="7"/>
  <c r="C1642" i="7"/>
  <c r="C1641" i="7"/>
  <c r="C1640" i="7"/>
  <c r="C1639" i="7"/>
  <c r="C1638" i="7"/>
  <c r="C1637" i="7"/>
  <c r="C1636" i="7"/>
  <c r="C1635" i="7"/>
  <c r="C1634" i="7"/>
  <c r="C1633" i="7"/>
  <c r="C1632" i="7"/>
  <c r="C1631" i="7"/>
  <c r="C1630" i="7"/>
  <c r="C1629" i="7"/>
  <c r="C1628" i="7"/>
  <c r="C1627" i="7"/>
  <c r="C1626" i="7"/>
  <c r="C1625" i="7"/>
  <c r="C1624" i="7"/>
  <c r="C1623" i="7"/>
  <c r="C1622" i="7"/>
  <c r="C1621" i="7"/>
  <c r="C1620" i="7"/>
  <c r="C1619" i="7"/>
  <c r="C1618" i="7"/>
  <c r="C1617" i="7"/>
  <c r="C1616" i="7"/>
  <c r="C1615" i="7"/>
  <c r="C1614" i="7"/>
  <c r="C1613" i="7"/>
  <c r="C1612" i="7"/>
  <c r="C1611" i="7"/>
  <c r="C1610" i="7"/>
  <c r="C1609" i="7"/>
  <c r="C1608" i="7"/>
  <c r="C1607" i="7"/>
  <c r="C1606" i="7"/>
  <c r="C1605" i="7"/>
  <c r="C1604" i="7"/>
  <c r="C1603" i="7"/>
  <c r="C1602" i="7"/>
  <c r="C1601" i="7"/>
  <c r="C1600" i="7"/>
  <c r="C1599" i="7"/>
  <c r="C1598" i="7"/>
  <c r="C1597" i="7"/>
  <c r="C1596" i="7"/>
  <c r="C1595" i="7"/>
  <c r="C1594" i="7"/>
  <c r="C1593" i="7"/>
  <c r="C1592" i="7"/>
  <c r="C1591" i="7"/>
  <c r="C1590" i="7"/>
  <c r="C1589" i="7"/>
  <c r="C1588" i="7"/>
  <c r="C1587" i="7"/>
  <c r="C1586" i="7"/>
  <c r="C1585" i="7"/>
  <c r="C1584" i="7"/>
  <c r="C1583" i="7"/>
  <c r="C1582" i="7"/>
  <c r="C1581" i="7"/>
  <c r="C1580" i="7"/>
  <c r="C1579" i="7"/>
  <c r="C1578" i="7"/>
  <c r="C1577" i="7"/>
  <c r="C1576" i="7"/>
  <c r="C1575" i="7"/>
  <c r="C1574" i="7"/>
  <c r="C1573" i="7"/>
  <c r="C1572" i="7"/>
  <c r="C1571" i="7"/>
  <c r="C1570" i="7"/>
  <c r="C1569" i="7"/>
  <c r="C1568" i="7"/>
  <c r="C1567" i="7"/>
  <c r="C1566" i="7"/>
  <c r="C1565" i="7"/>
  <c r="C1564" i="7"/>
  <c r="C1563" i="7"/>
  <c r="C1562" i="7"/>
  <c r="C1561" i="7"/>
  <c r="C1560" i="7"/>
  <c r="C1559" i="7"/>
  <c r="C1558" i="7"/>
  <c r="C1557" i="7"/>
  <c r="C1556" i="7"/>
  <c r="C1555" i="7"/>
  <c r="C1554" i="7"/>
  <c r="C1553" i="7"/>
  <c r="C1552" i="7"/>
  <c r="C1551" i="7"/>
  <c r="C1550" i="7"/>
  <c r="C1549" i="7"/>
  <c r="C1548" i="7"/>
  <c r="C1547" i="7"/>
  <c r="C1546" i="7"/>
  <c r="C1545" i="7"/>
  <c r="C1544" i="7"/>
  <c r="C1543" i="7"/>
  <c r="C1542" i="7"/>
  <c r="C1541" i="7"/>
  <c r="C1540" i="7"/>
  <c r="C1539" i="7"/>
  <c r="C1538" i="7"/>
  <c r="C1537" i="7"/>
  <c r="C1536" i="7"/>
  <c r="C1535" i="7"/>
  <c r="C1534" i="7"/>
  <c r="C1533" i="7"/>
  <c r="C1532" i="7"/>
  <c r="C1531" i="7"/>
  <c r="C1530" i="7"/>
  <c r="C1529" i="7"/>
  <c r="C1528" i="7"/>
  <c r="C1527" i="7"/>
  <c r="C1526" i="7"/>
  <c r="C1525" i="7"/>
  <c r="C1524" i="7"/>
  <c r="C1523" i="7"/>
  <c r="C1522" i="7"/>
  <c r="C1521" i="7"/>
  <c r="C1520" i="7"/>
  <c r="C1519" i="7"/>
  <c r="C1518" i="7"/>
  <c r="C1517" i="7"/>
  <c r="C1516" i="7"/>
  <c r="C1515" i="7"/>
  <c r="C1514" i="7"/>
  <c r="C1513" i="7"/>
  <c r="C1512" i="7"/>
  <c r="C1511" i="7"/>
  <c r="C1510" i="7"/>
  <c r="C1509" i="7"/>
  <c r="C1508" i="7"/>
  <c r="C1507" i="7"/>
  <c r="C1506" i="7"/>
  <c r="C1505" i="7"/>
  <c r="C1504" i="7"/>
  <c r="C1503" i="7"/>
  <c r="C1502" i="7"/>
  <c r="C1501" i="7"/>
  <c r="C1500" i="7"/>
  <c r="C1499" i="7"/>
  <c r="C1498" i="7"/>
  <c r="C1497" i="7"/>
  <c r="C1496" i="7"/>
  <c r="C1495" i="7"/>
  <c r="C1494" i="7"/>
  <c r="C1493" i="7"/>
  <c r="C1492" i="7"/>
  <c r="C1491" i="7"/>
  <c r="C1490" i="7"/>
  <c r="C1489" i="7"/>
  <c r="C1488" i="7"/>
  <c r="C1487" i="7"/>
  <c r="C1486" i="7"/>
  <c r="C1485" i="7"/>
  <c r="C1484" i="7"/>
  <c r="C1483" i="7"/>
  <c r="C1482" i="7"/>
  <c r="C1481" i="7"/>
  <c r="C1480" i="7"/>
  <c r="C1479" i="7"/>
  <c r="C1478" i="7"/>
  <c r="C1477" i="7"/>
  <c r="C1476" i="7"/>
  <c r="C1475" i="7"/>
  <c r="C1474" i="7"/>
  <c r="C1473" i="7"/>
  <c r="C1472" i="7"/>
  <c r="C1471" i="7"/>
  <c r="C1470" i="7"/>
  <c r="C1469" i="7"/>
  <c r="C1468" i="7"/>
  <c r="C1467" i="7"/>
  <c r="C1466" i="7"/>
  <c r="C1465" i="7"/>
  <c r="C1464" i="7"/>
  <c r="C1463" i="7"/>
  <c r="C1462" i="7"/>
  <c r="C1461" i="7"/>
  <c r="C1460" i="7"/>
  <c r="C1459" i="7"/>
  <c r="C1458" i="7"/>
  <c r="C1457" i="7"/>
  <c r="C1456" i="7"/>
  <c r="C1455" i="7"/>
  <c r="C1454" i="7"/>
  <c r="C1453" i="7"/>
  <c r="C1452" i="7"/>
  <c r="C1451" i="7"/>
  <c r="C1450" i="7"/>
  <c r="C1449" i="7"/>
  <c r="C1448" i="7"/>
  <c r="C1447" i="7"/>
  <c r="C1446" i="7"/>
  <c r="C1445" i="7"/>
  <c r="C1444" i="7"/>
  <c r="C1443" i="7"/>
  <c r="C1442" i="7"/>
  <c r="C1441" i="7"/>
  <c r="C1440" i="7"/>
  <c r="C1439" i="7"/>
  <c r="C1438" i="7"/>
  <c r="C1437" i="7"/>
  <c r="C1436" i="7"/>
  <c r="C1435" i="7"/>
  <c r="C1434" i="7"/>
  <c r="C1433" i="7"/>
  <c r="C1432" i="7"/>
  <c r="C1431" i="7"/>
  <c r="C1430" i="7"/>
  <c r="C1429" i="7"/>
  <c r="C1428" i="7"/>
  <c r="C1427" i="7"/>
  <c r="C1426" i="7"/>
  <c r="C1425" i="7"/>
  <c r="C1424" i="7"/>
  <c r="C1423" i="7"/>
  <c r="C1422" i="7"/>
  <c r="C1421" i="7"/>
  <c r="C1420" i="7"/>
  <c r="C1419" i="7"/>
  <c r="C1418" i="7"/>
  <c r="C1417" i="7"/>
  <c r="C1416" i="7"/>
  <c r="C1415" i="7"/>
  <c r="C1414" i="7"/>
  <c r="C1413" i="7"/>
  <c r="C1412" i="7"/>
  <c r="C1411" i="7"/>
  <c r="C1410" i="7"/>
  <c r="C1409" i="7"/>
  <c r="C1408" i="7"/>
  <c r="C1407" i="7"/>
  <c r="C1406" i="7"/>
  <c r="C1405" i="7"/>
  <c r="C1404" i="7"/>
  <c r="C1403" i="7"/>
  <c r="C1402" i="7"/>
  <c r="C1401" i="7"/>
  <c r="C1400" i="7"/>
  <c r="C1399" i="7"/>
  <c r="C1398" i="7"/>
  <c r="C1397" i="7"/>
  <c r="C1396" i="7"/>
  <c r="C1395" i="7"/>
  <c r="C1394" i="7"/>
  <c r="C1393" i="7"/>
  <c r="C1392" i="7"/>
  <c r="C1391" i="7"/>
  <c r="C1390" i="7"/>
  <c r="C1389" i="7"/>
  <c r="C1388" i="7"/>
  <c r="C1387" i="7"/>
  <c r="C1386" i="7"/>
  <c r="C1385" i="7"/>
  <c r="C1384" i="7"/>
  <c r="C1383" i="7"/>
  <c r="C1382" i="7"/>
  <c r="C1381" i="7"/>
  <c r="C1380" i="7"/>
  <c r="C1379" i="7"/>
  <c r="C1378" i="7"/>
  <c r="C1377" i="7"/>
  <c r="C1376" i="7"/>
  <c r="C1375" i="7"/>
  <c r="C1374" i="7"/>
  <c r="C1373" i="7"/>
  <c r="C1372" i="7"/>
  <c r="C1371" i="7"/>
  <c r="C1370" i="7"/>
  <c r="C1369" i="7"/>
  <c r="C1368" i="7"/>
  <c r="C1367" i="7"/>
  <c r="C1366" i="7"/>
  <c r="C1365" i="7"/>
  <c r="C1364" i="7"/>
  <c r="C1363" i="7"/>
  <c r="C1362" i="7"/>
  <c r="C1361" i="7"/>
  <c r="C1360" i="7"/>
  <c r="C1359" i="7"/>
  <c r="C1358" i="7"/>
  <c r="C1357" i="7"/>
  <c r="C1356" i="7"/>
  <c r="C1355" i="7"/>
  <c r="C1354" i="7"/>
  <c r="C1353" i="7"/>
  <c r="C1352" i="7"/>
  <c r="C1351" i="7"/>
  <c r="C1350" i="7"/>
  <c r="C1349" i="7"/>
  <c r="C1348" i="7"/>
  <c r="C1347" i="7"/>
  <c r="C1346" i="7"/>
  <c r="C1345" i="7"/>
  <c r="C1344" i="7"/>
  <c r="C1343" i="7"/>
  <c r="C1342" i="7"/>
  <c r="C1341" i="7"/>
  <c r="C1340" i="7"/>
  <c r="C1339" i="7"/>
  <c r="C1338" i="7"/>
  <c r="C1337" i="7"/>
  <c r="C1336" i="7"/>
  <c r="C1335" i="7"/>
  <c r="C1334" i="7"/>
  <c r="C1333" i="7"/>
  <c r="C1332" i="7"/>
  <c r="C1331" i="7"/>
  <c r="C1330" i="7"/>
  <c r="C1329" i="7"/>
  <c r="C1328" i="7"/>
  <c r="C1327" i="7"/>
  <c r="C1326" i="7"/>
  <c r="C1325" i="7"/>
  <c r="C1324" i="7"/>
  <c r="C1323" i="7"/>
  <c r="C1322" i="7"/>
  <c r="C1321" i="7"/>
  <c r="C1320" i="7"/>
  <c r="C1319" i="7"/>
  <c r="C1318" i="7"/>
  <c r="C1317" i="7"/>
  <c r="C1316" i="7"/>
  <c r="C1315" i="7"/>
  <c r="C1314" i="7"/>
  <c r="C1313" i="7"/>
  <c r="C1312" i="7"/>
  <c r="C1311" i="7"/>
  <c r="C1310" i="7"/>
  <c r="C1309" i="7"/>
  <c r="C1308" i="7"/>
  <c r="C1307" i="7"/>
  <c r="C1306" i="7"/>
  <c r="C1305" i="7"/>
  <c r="C1304" i="7"/>
  <c r="C1303" i="7"/>
  <c r="C1302" i="7"/>
  <c r="C1301" i="7"/>
  <c r="C1300" i="7"/>
  <c r="C1299" i="7"/>
  <c r="C1298" i="7"/>
  <c r="C1297" i="7"/>
  <c r="C1296" i="7"/>
  <c r="C1295" i="7"/>
  <c r="C1294" i="7"/>
  <c r="C1293" i="7"/>
  <c r="C1292" i="7"/>
  <c r="C1291" i="7"/>
  <c r="C1290" i="7"/>
  <c r="C1289" i="7"/>
  <c r="C1288" i="7"/>
  <c r="C1287" i="7"/>
  <c r="C1286" i="7"/>
  <c r="C1285" i="7"/>
  <c r="C1284" i="7"/>
  <c r="C1283" i="7"/>
  <c r="C1282" i="7"/>
  <c r="C1281" i="7"/>
  <c r="C1280" i="7"/>
  <c r="C1279" i="7"/>
  <c r="C1278" i="7"/>
  <c r="C1277" i="7"/>
  <c r="C1276" i="7"/>
  <c r="C1275" i="7"/>
  <c r="C1274" i="7"/>
  <c r="C1273" i="7"/>
  <c r="C1272" i="7"/>
  <c r="C1271" i="7"/>
  <c r="C1270" i="7"/>
  <c r="C1269" i="7"/>
  <c r="C1268" i="7"/>
  <c r="C1267" i="7"/>
  <c r="C1266" i="7"/>
  <c r="C1265" i="7"/>
  <c r="C1264" i="7"/>
  <c r="C1263" i="7"/>
  <c r="C1262" i="7"/>
  <c r="C1261" i="7"/>
  <c r="C1260" i="7"/>
  <c r="C1259" i="7"/>
  <c r="C1258" i="7"/>
  <c r="C1257" i="7"/>
  <c r="C1256" i="7"/>
  <c r="C1255" i="7"/>
  <c r="C1254" i="7"/>
  <c r="C1253" i="7"/>
  <c r="C1252" i="7"/>
  <c r="C1251" i="7"/>
  <c r="C1250" i="7"/>
  <c r="C1249" i="7"/>
  <c r="C1248" i="7"/>
  <c r="C1247" i="7"/>
  <c r="C1246" i="7"/>
  <c r="C1245" i="7"/>
  <c r="C1244" i="7"/>
  <c r="C1243" i="7"/>
  <c r="C1242" i="7"/>
  <c r="C1241" i="7"/>
  <c r="C1240" i="7"/>
  <c r="C1239" i="7"/>
  <c r="C1238" i="7"/>
  <c r="C1237" i="7"/>
  <c r="C1236" i="7"/>
  <c r="C1235" i="7"/>
  <c r="C1234" i="7"/>
  <c r="C1233" i="7"/>
  <c r="C1232" i="7"/>
  <c r="C1231" i="7"/>
  <c r="C1230" i="7"/>
  <c r="C1229" i="7"/>
  <c r="C1228" i="7"/>
  <c r="C1227" i="7"/>
  <c r="C1226" i="7"/>
  <c r="C1225" i="7"/>
  <c r="C1224" i="7"/>
  <c r="C1223" i="7"/>
  <c r="C1222" i="7"/>
  <c r="C1221" i="7"/>
  <c r="C1220" i="7"/>
  <c r="C1219" i="7"/>
  <c r="C1218" i="7"/>
  <c r="C1217" i="7"/>
  <c r="C1216" i="7"/>
  <c r="C1215" i="7"/>
  <c r="C1214" i="7"/>
  <c r="C1213" i="7"/>
  <c r="C1212" i="7"/>
  <c r="C1211" i="7"/>
  <c r="C1210" i="7"/>
  <c r="C1209" i="7"/>
  <c r="C1208" i="7"/>
  <c r="C1207" i="7"/>
  <c r="C1206" i="7"/>
  <c r="C1205" i="7"/>
  <c r="C1204" i="7"/>
  <c r="C1203" i="7"/>
  <c r="C1202" i="7"/>
  <c r="C1201" i="7"/>
  <c r="C1200" i="7"/>
  <c r="C1199" i="7"/>
  <c r="C1198" i="7"/>
  <c r="C1197" i="7"/>
  <c r="C1196" i="7"/>
  <c r="C1195" i="7"/>
  <c r="C1194" i="7"/>
  <c r="C1193" i="7"/>
  <c r="C1192" i="7"/>
  <c r="C1191" i="7"/>
  <c r="C1190" i="7"/>
  <c r="C1189" i="7"/>
  <c r="C1188" i="7"/>
  <c r="C1187" i="7"/>
  <c r="C1186" i="7"/>
  <c r="C1185" i="7"/>
  <c r="C1184" i="7"/>
  <c r="C1183" i="7"/>
  <c r="C1182" i="7"/>
  <c r="C1181" i="7"/>
  <c r="C1180" i="7"/>
  <c r="C1179" i="7"/>
  <c r="C1178" i="7"/>
  <c r="C1177" i="7"/>
  <c r="C1176" i="7"/>
  <c r="C1175" i="7"/>
  <c r="C1174" i="7"/>
  <c r="C1173" i="7"/>
  <c r="C1172" i="7"/>
  <c r="C1171" i="7"/>
  <c r="C1170" i="7"/>
  <c r="C1169" i="7"/>
  <c r="C1168" i="7"/>
  <c r="C1167" i="7"/>
  <c r="C1166" i="7"/>
  <c r="C1165" i="7"/>
  <c r="C1164" i="7"/>
  <c r="C1163" i="7"/>
  <c r="C1162" i="7"/>
  <c r="C1161" i="7"/>
  <c r="C1160" i="7"/>
  <c r="C1159" i="7"/>
  <c r="C1158" i="7"/>
  <c r="C1157" i="7"/>
  <c r="C1156" i="7"/>
  <c r="C1155" i="7"/>
  <c r="C1154" i="7"/>
  <c r="C1153" i="7"/>
  <c r="C1152" i="7"/>
  <c r="C1151" i="7"/>
  <c r="C1150" i="7"/>
  <c r="C1149" i="7"/>
  <c r="C1148" i="7"/>
  <c r="C1147" i="7"/>
  <c r="C1146" i="7"/>
  <c r="C1145" i="7"/>
  <c r="C1144" i="7"/>
  <c r="C1143" i="7"/>
  <c r="C1142" i="7"/>
  <c r="C1141" i="7"/>
  <c r="C1140" i="7"/>
  <c r="C1139" i="7"/>
  <c r="C1138" i="7"/>
  <c r="C1137" i="7"/>
  <c r="C1136" i="7"/>
  <c r="C1135" i="7"/>
  <c r="C1134" i="7"/>
  <c r="C1133" i="7"/>
  <c r="C1132" i="7"/>
  <c r="C1131" i="7"/>
  <c r="C1130" i="7"/>
  <c r="C1129" i="7"/>
  <c r="C1128" i="7"/>
  <c r="C1127" i="7"/>
  <c r="C1126" i="7"/>
  <c r="C1125" i="7"/>
  <c r="C1124" i="7"/>
  <c r="C1123" i="7"/>
  <c r="C1122" i="7"/>
  <c r="C1121" i="7"/>
  <c r="C1120" i="7"/>
  <c r="C1119" i="7"/>
  <c r="C1118" i="7"/>
  <c r="C1117" i="7"/>
  <c r="C1116" i="7"/>
  <c r="C1115" i="7"/>
  <c r="C1114" i="7"/>
  <c r="C1113" i="7"/>
  <c r="C1112" i="7"/>
  <c r="C1111" i="7"/>
  <c r="C1110" i="7"/>
  <c r="C1109" i="7"/>
  <c r="C1108" i="7"/>
  <c r="C1107" i="7"/>
  <c r="C1106" i="7"/>
  <c r="C1105" i="7"/>
  <c r="C1104" i="7"/>
  <c r="C1103" i="7"/>
  <c r="C1102" i="7"/>
  <c r="C1101" i="7"/>
  <c r="C1100" i="7"/>
  <c r="C1099" i="7"/>
  <c r="C1098" i="7"/>
  <c r="C1097" i="7"/>
  <c r="C1096" i="7"/>
  <c r="C1095" i="7"/>
  <c r="C1094" i="7"/>
  <c r="C1093" i="7"/>
  <c r="C1092" i="7"/>
  <c r="C1091" i="7"/>
  <c r="C1090" i="7"/>
  <c r="C1089" i="7"/>
  <c r="C1088" i="7"/>
  <c r="C1087" i="7"/>
  <c r="C1086" i="7"/>
  <c r="C1085" i="7"/>
  <c r="C1084" i="7"/>
  <c r="C1083" i="7"/>
  <c r="C1082" i="7"/>
  <c r="C1081" i="7"/>
  <c r="C1080" i="7"/>
  <c r="C1079" i="7"/>
  <c r="C1078" i="7"/>
  <c r="C1077" i="7"/>
  <c r="C1076" i="7"/>
  <c r="C1075" i="7"/>
  <c r="C1074" i="7"/>
  <c r="C1073" i="7"/>
  <c r="C1072" i="7"/>
  <c r="C1071" i="7"/>
  <c r="C1070" i="7"/>
  <c r="C1069" i="7"/>
  <c r="C1068" i="7"/>
  <c r="C1067" i="7"/>
  <c r="C1066" i="7"/>
  <c r="C1065" i="7"/>
  <c r="C1064" i="7"/>
  <c r="C1063" i="7"/>
  <c r="C1062" i="7"/>
  <c r="C1061" i="7"/>
  <c r="C1060" i="7"/>
  <c r="C1059" i="7"/>
  <c r="C1058" i="7"/>
  <c r="C1057" i="7"/>
  <c r="C1056" i="7"/>
  <c r="C1055" i="7"/>
  <c r="C1054" i="7"/>
  <c r="C1053" i="7"/>
  <c r="C1052" i="7"/>
  <c r="C1051" i="7"/>
  <c r="C1050" i="7"/>
  <c r="C1049" i="7"/>
  <c r="C1048" i="7"/>
  <c r="C1047" i="7"/>
  <c r="C1046" i="7"/>
  <c r="C1045" i="7"/>
  <c r="C1044" i="7"/>
  <c r="C1043" i="7"/>
  <c r="C1042" i="7"/>
  <c r="C1041" i="7"/>
  <c r="C1040" i="7"/>
  <c r="C1039" i="7"/>
  <c r="C1038" i="7"/>
  <c r="C1037" i="7"/>
  <c r="C1036" i="7"/>
  <c r="C1035" i="7"/>
  <c r="C1034" i="7"/>
  <c r="C1033" i="7"/>
  <c r="C1032" i="7"/>
  <c r="C1031" i="7"/>
  <c r="C1030" i="7"/>
  <c r="C1029" i="7"/>
  <c r="C1028" i="7"/>
  <c r="C1027" i="7"/>
  <c r="C1026" i="7"/>
  <c r="C1025" i="7"/>
  <c r="C1024" i="7"/>
  <c r="C1023" i="7"/>
  <c r="C1022" i="7"/>
  <c r="C1021" i="7"/>
  <c r="C1020" i="7"/>
  <c r="C1019" i="7"/>
  <c r="C1018" i="7"/>
  <c r="C1017" i="7"/>
  <c r="C1016" i="7"/>
  <c r="C1015" i="7"/>
  <c r="C1014" i="7"/>
  <c r="C1013" i="7"/>
  <c r="C1012" i="7"/>
  <c r="C1011" i="7"/>
  <c r="C1010" i="7"/>
  <c r="C1009" i="7"/>
  <c r="C1008" i="7"/>
  <c r="C1007" i="7"/>
  <c r="C1006" i="7"/>
  <c r="C1005" i="7"/>
  <c r="C1004" i="7"/>
  <c r="C1003" i="7"/>
  <c r="C1002" i="7"/>
  <c r="C1001" i="7"/>
  <c r="C1000" i="7"/>
  <c r="C999" i="7"/>
  <c r="C998" i="7"/>
  <c r="C997" i="7"/>
  <c r="C996" i="7"/>
  <c r="C995" i="7"/>
  <c r="C994" i="7"/>
  <c r="C993" i="7"/>
  <c r="C992" i="7"/>
  <c r="C991" i="7"/>
  <c r="C990" i="7"/>
  <c r="C989" i="7"/>
  <c r="C988" i="7"/>
  <c r="C987" i="7"/>
  <c r="C986" i="7"/>
  <c r="C985" i="7"/>
  <c r="C984" i="7"/>
  <c r="C983" i="7"/>
  <c r="C982" i="7"/>
  <c r="C981" i="7"/>
  <c r="C980" i="7"/>
  <c r="C979" i="7"/>
  <c r="C978" i="7"/>
  <c r="C977" i="7"/>
  <c r="C976" i="7"/>
  <c r="C975" i="7"/>
  <c r="C974" i="7"/>
  <c r="C973" i="7"/>
  <c r="C972" i="7"/>
  <c r="C971" i="7"/>
  <c r="C970" i="7"/>
  <c r="C969" i="7"/>
  <c r="C968" i="7"/>
  <c r="C967" i="7"/>
  <c r="C966" i="7"/>
  <c r="C965" i="7"/>
  <c r="C964" i="7"/>
  <c r="C963" i="7"/>
  <c r="C962" i="7"/>
  <c r="C961" i="7"/>
  <c r="C960" i="7"/>
  <c r="C959" i="7"/>
  <c r="C958" i="7"/>
  <c r="C957" i="7"/>
  <c r="C956" i="7"/>
  <c r="C955" i="7"/>
  <c r="C954" i="7"/>
  <c r="C953" i="7"/>
  <c r="C952" i="7"/>
  <c r="C951" i="7"/>
  <c r="C950" i="7"/>
  <c r="C949" i="7"/>
  <c r="C948" i="7"/>
  <c r="C947" i="7"/>
  <c r="C946" i="7"/>
  <c r="C945" i="7"/>
  <c r="C944" i="7"/>
  <c r="C943" i="7"/>
  <c r="C942" i="7"/>
  <c r="C941" i="7"/>
  <c r="C940" i="7"/>
  <c r="C939" i="7"/>
  <c r="C938" i="7"/>
  <c r="C937" i="7"/>
  <c r="C936" i="7"/>
  <c r="C935" i="7"/>
  <c r="C934" i="7"/>
  <c r="C933" i="7"/>
  <c r="C932" i="7"/>
  <c r="C931" i="7"/>
  <c r="C930" i="7"/>
  <c r="C929" i="7"/>
  <c r="C928" i="7"/>
  <c r="C927" i="7"/>
  <c r="C926" i="7"/>
  <c r="C925" i="7"/>
  <c r="C924" i="7"/>
  <c r="C923" i="7"/>
  <c r="C922" i="7"/>
  <c r="C921" i="7"/>
  <c r="C920" i="7"/>
  <c r="C919" i="7"/>
  <c r="C918" i="7"/>
  <c r="C917" i="7"/>
  <c r="C916" i="7"/>
  <c r="C915" i="7"/>
  <c r="C914" i="7"/>
  <c r="C913" i="7"/>
  <c r="C912" i="7"/>
  <c r="C911" i="7"/>
  <c r="C910" i="7"/>
  <c r="C909" i="7"/>
  <c r="C908" i="7"/>
  <c r="C907" i="7"/>
  <c r="C906" i="7"/>
  <c r="C905" i="7"/>
  <c r="C904" i="7"/>
  <c r="C903" i="7"/>
  <c r="C902" i="7"/>
  <c r="C901" i="7"/>
  <c r="C900" i="7"/>
  <c r="C899" i="7"/>
  <c r="C898" i="7"/>
  <c r="C897" i="7"/>
  <c r="C896" i="7"/>
  <c r="C895" i="7"/>
  <c r="C894" i="7"/>
  <c r="C893" i="7"/>
  <c r="C892" i="7"/>
  <c r="C891" i="7"/>
  <c r="C890" i="7"/>
  <c r="C889" i="7"/>
  <c r="C888" i="7"/>
  <c r="C887" i="7"/>
  <c r="C886" i="7"/>
  <c r="C885" i="7"/>
  <c r="C884" i="7"/>
  <c r="C883" i="7"/>
  <c r="C882" i="7"/>
  <c r="C881" i="7"/>
  <c r="C880" i="7"/>
  <c r="C879" i="7"/>
  <c r="C878" i="7"/>
  <c r="C877" i="7"/>
  <c r="C876" i="7"/>
  <c r="C875" i="7"/>
  <c r="C874" i="7"/>
  <c r="C873" i="7"/>
  <c r="C872" i="7"/>
  <c r="C871" i="7"/>
  <c r="C870" i="7"/>
  <c r="C869" i="7"/>
  <c r="C868" i="7"/>
  <c r="C867" i="7"/>
  <c r="C866" i="7"/>
  <c r="C865" i="7"/>
  <c r="C864" i="7"/>
  <c r="C863" i="7"/>
  <c r="C862" i="7"/>
  <c r="C861" i="7"/>
  <c r="C860" i="7"/>
  <c r="C859" i="7"/>
  <c r="C858" i="7"/>
  <c r="C857" i="7"/>
  <c r="C856" i="7"/>
  <c r="C855" i="7"/>
  <c r="C854" i="7"/>
  <c r="C853" i="7"/>
  <c r="C852" i="7"/>
  <c r="C851" i="7"/>
  <c r="C850" i="7"/>
  <c r="C849" i="7"/>
  <c r="C848" i="7"/>
  <c r="C847" i="7"/>
  <c r="C846" i="7"/>
  <c r="C845" i="7"/>
  <c r="C844" i="7"/>
  <c r="C843" i="7"/>
  <c r="C842" i="7"/>
  <c r="C841" i="7"/>
  <c r="C840" i="7"/>
  <c r="C839" i="7"/>
  <c r="C838" i="7"/>
  <c r="C837" i="7"/>
  <c r="C836" i="7"/>
  <c r="C835" i="7"/>
  <c r="C834" i="7"/>
  <c r="C833" i="7"/>
  <c r="C832" i="7"/>
  <c r="C831" i="7"/>
  <c r="C830" i="7"/>
  <c r="C829" i="7"/>
  <c r="C828" i="7"/>
  <c r="C827" i="7"/>
  <c r="C826" i="7"/>
  <c r="C825" i="7"/>
  <c r="C824" i="7"/>
  <c r="C823" i="7"/>
  <c r="C822" i="7"/>
  <c r="C821" i="7"/>
  <c r="C820" i="7"/>
  <c r="C819" i="7"/>
  <c r="C818" i="7"/>
  <c r="C817" i="7"/>
  <c r="C816" i="7"/>
  <c r="C815" i="7"/>
  <c r="C814" i="7"/>
  <c r="C813" i="7"/>
  <c r="C812" i="7"/>
  <c r="C811" i="7"/>
  <c r="C810" i="7"/>
  <c r="C809" i="7"/>
  <c r="C808" i="7"/>
  <c r="C807" i="7"/>
  <c r="C806" i="7"/>
  <c r="C805" i="7"/>
  <c r="C804" i="7"/>
  <c r="C803" i="7"/>
  <c r="C802" i="7"/>
  <c r="C801" i="7"/>
  <c r="C800" i="7"/>
  <c r="C799" i="7"/>
  <c r="C798" i="7"/>
  <c r="C797" i="7"/>
  <c r="C796" i="7"/>
  <c r="C795" i="7"/>
  <c r="C794" i="7"/>
  <c r="C793" i="7"/>
  <c r="C792" i="7"/>
  <c r="C791" i="7"/>
  <c r="C790" i="7"/>
  <c r="C789" i="7"/>
  <c r="C788" i="7"/>
  <c r="C787" i="7"/>
  <c r="C786" i="7"/>
  <c r="C785" i="7"/>
  <c r="C784" i="7"/>
  <c r="C783" i="7"/>
  <c r="C782" i="7"/>
  <c r="C781" i="7"/>
  <c r="C780" i="7"/>
  <c r="C779" i="7"/>
  <c r="C778" i="7"/>
  <c r="C777" i="7"/>
  <c r="C776" i="7"/>
  <c r="C775" i="7"/>
  <c r="C774" i="7"/>
  <c r="C773" i="7"/>
  <c r="C772" i="7"/>
  <c r="C771" i="7"/>
  <c r="C770" i="7"/>
  <c r="C769" i="7"/>
  <c r="C768" i="7"/>
  <c r="C767" i="7"/>
  <c r="C766" i="7"/>
  <c r="C765" i="7"/>
  <c r="C764" i="7"/>
  <c r="C763" i="7"/>
  <c r="C762" i="7"/>
  <c r="C761" i="7"/>
  <c r="C760" i="7"/>
  <c r="C759" i="7"/>
  <c r="C758" i="7"/>
  <c r="C757" i="7"/>
  <c r="C756" i="7"/>
  <c r="C755" i="7"/>
  <c r="C754" i="7"/>
  <c r="C753" i="7"/>
  <c r="C752" i="7"/>
  <c r="C751" i="7"/>
  <c r="C750" i="7"/>
  <c r="C749" i="7"/>
  <c r="C748" i="7"/>
  <c r="C747" i="7"/>
  <c r="C746" i="7"/>
  <c r="C745" i="7"/>
  <c r="C744" i="7"/>
  <c r="C743" i="7"/>
  <c r="C742" i="7"/>
  <c r="C741" i="7"/>
  <c r="C740" i="7"/>
  <c r="C739" i="7"/>
  <c r="C738" i="7"/>
  <c r="C737" i="7"/>
  <c r="C736" i="7"/>
  <c r="C735" i="7"/>
  <c r="C734" i="7"/>
  <c r="C733" i="7"/>
  <c r="C732" i="7"/>
  <c r="C731" i="7"/>
  <c r="C730" i="7"/>
  <c r="C729" i="7"/>
  <c r="C728" i="7"/>
  <c r="C727" i="7"/>
  <c r="C726" i="7"/>
  <c r="C725" i="7"/>
  <c r="C724" i="7"/>
  <c r="C723" i="7"/>
  <c r="C722" i="7"/>
  <c r="C721" i="7"/>
  <c r="C720" i="7"/>
  <c r="C719" i="7"/>
  <c r="C718" i="7"/>
  <c r="C717" i="7"/>
  <c r="C716" i="7"/>
  <c r="C715" i="7"/>
  <c r="C714" i="7"/>
  <c r="C713" i="7"/>
  <c r="C712" i="7"/>
  <c r="C711" i="7"/>
  <c r="C710" i="7"/>
  <c r="C709" i="7"/>
  <c r="C708" i="7"/>
  <c r="C707" i="7"/>
  <c r="C706" i="7"/>
  <c r="C705" i="7"/>
  <c r="C704" i="7"/>
  <c r="C703" i="7"/>
  <c r="C702" i="7"/>
  <c r="C701" i="7"/>
  <c r="C700" i="7"/>
  <c r="C699" i="7"/>
  <c r="C698" i="7"/>
  <c r="C697" i="7"/>
  <c r="C696" i="7"/>
  <c r="C695" i="7"/>
  <c r="C694" i="7"/>
  <c r="C693" i="7"/>
  <c r="C692" i="7"/>
  <c r="C691" i="7"/>
  <c r="C690" i="7"/>
  <c r="C689" i="7"/>
  <c r="C688" i="7"/>
  <c r="C687" i="7"/>
  <c r="C686" i="7"/>
  <c r="C685" i="7"/>
  <c r="C684" i="7"/>
  <c r="C683" i="7"/>
  <c r="C682" i="7"/>
  <c r="C681" i="7"/>
  <c r="C680" i="7"/>
  <c r="C679" i="7"/>
  <c r="C678" i="7"/>
  <c r="C677" i="7"/>
  <c r="C676" i="7"/>
  <c r="C675" i="7"/>
  <c r="C674" i="7"/>
  <c r="C673" i="7"/>
  <c r="C672" i="7"/>
  <c r="C671" i="7"/>
  <c r="C670" i="7"/>
  <c r="C669" i="7"/>
  <c r="C668" i="7"/>
  <c r="C667" i="7"/>
  <c r="C666" i="7"/>
  <c r="C665" i="7"/>
  <c r="C664" i="7"/>
  <c r="C663" i="7"/>
  <c r="C662" i="7"/>
  <c r="C661" i="7"/>
  <c r="C660" i="7"/>
  <c r="C659" i="7"/>
  <c r="C658" i="7"/>
  <c r="C657" i="7"/>
  <c r="C656" i="7"/>
  <c r="C655" i="7"/>
  <c r="C654" i="7"/>
  <c r="C653" i="7"/>
  <c r="C652" i="7"/>
  <c r="C651" i="7"/>
  <c r="C650" i="7"/>
  <c r="C649" i="7"/>
  <c r="C648" i="7"/>
  <c r="C647" i="7"/>
  <c r="C646" i="7"/>
  <c r="C645" i="7"/>
  <c r="C644" i="7"/>
  <c r="C643" i="7"/>
  <c r="C642" i="7"/>
  <c r="C641" i="7"/>
  <c r="C640" i="7"/>
  <c r="C639" i="7"/>
  <c r="C638" i="7"/>
  <c r="C637" i="7"/>
  <c r="C636" i="7"/>
  <c r="C635" i="7"/>
  <c r="C634" i="7"/>
  <c r="C633" i="7"/>
  <c r="C632" i="7"/>
  <c r="C631" i="7"/>
  <c r="C630" i="7"/>
  <c r="C629" i="7"/>
  <c r="C628" i="7"/>
  <c r="C627" i="7"/>
  <c r="C626" i="7"/>
  <c r="C625" i="7"/>
  <c r="C624" i="7"/>
  <c r="C623" i="7"/>
  <c r="C622" i="7"/>
  <c r="C621" i="7"/>
  <c r="C620" i="7"/>
  <c r="C619" i="7"/>
  <c r="C618" i="7"/>
  <c r="C617" i="7"/>
  <c r="C616" i="7"/>
  <c r="C615" i="7"/>
  <c r="C614" i="7"/>
  <c r="C613" i="7"/>
  <c r="C612" i="7"/>
  <c r="C611" i="7"/>
  <c r="C610" i="7"/>
  <c r="C609" i="7"/>
  <c r="C608" i="7"/>
  <c r="C607" i="7"/>
  <c r="C606" i="7"/>
  <c r="C605" i="7"/>
  <c r="C604" i="7"/>
  <c r="C603" i="7"/>
  <c r="C602" i="7"/>
  <c r="C601" i="7"/>
  <c r="C600" i="7"/>
  <c r="C599" i="7"/>
  <c r="C598" i="7"/>
  <c r="C597" i="7"/>
  <c r="C596" i="7"/>
  <c r="C595" i="7"/>
  <c r="C594" i="7"/>
  <c r="C593" i="7"/>
  <c r="C592" i="7"/>
  <c r="C591" i="7"/>
  <c r="C590" i="7"/>
  <c r="C589" i="7"/>
  <c r="C588" i="7"/>
  <c r="C587" i="7"/>
  <c r="C586" i="7"/>
  <c r="C585" i="7"/>
  <c r="C584" i="7"/>
  <c r="C583" i="7"/>
  <c r="C582" i="7"/>
  <c r="C581" i="7"/>
  <c r="C580" i="7"/>
  <c r="C579" i="7"/>
  <c r="C578" i="7"/>
  <c r="C577" i="7"/>
  <c r="C576" i="7"/>
  <c r="C575" i="7"/>
  <c r="C574" i="7"/>
  <c r="C573" i="7"/>
  <c r="C572" i="7"/>
  <c r="C571" i="7"/>
  <c r="C570" i="7"/>
  <c r="C569" i="7"/>
  <c r="C568" i="7"/>
  <c r="C567" i="7"/>
  <c r="C566" i="7"/>
  <c r="C565" i="7"/>
  <c r="C564" i="7"/>
  <c r="C563" i="7"/>
  <c r="C562" i="7"/>
  <c r="C561" i="7"/>
  <c r="C560" i="7"/>
  <c r="C559" i="7"/>
  <c r="C558" i="7"/>
  <c r="C557" i="7"/>
  <c r="C556" i="7"/>
  <c r="C555" i="7"/>
  <c r="C554" i="7"/>
  <c r="C553" i="7"/>
  <c r="C552" i="7"/>
  <c r="C551" i="7"/>
  <c r="C550" i="7"/>
  <c r="C549" i="7"/>
  <c r="C548" i="7"/>
  <c r="C547" i="7"/>
  <c r="C546" i="7"/>
  <c r="C545" i="7"/>
  <c r="C544" i="7"/>
  <c r="C543" i="7"/>
  <c r="C542" i="7"/>
  <c r="C541" i="7"/>
  <c r="C540" i="7"/>
  <c r="C539" i="7"/>
  <c r="C538" i="7"/>
  <c r="C537" i="7"/>
  <c r="C536" i="7"/>
  <c r="C535" i="7"/>
  <c r="C534" i="7"/>
  <c r="C533" i="7"/>
  <c r="C532" i="7"/>
  <c r="C531" i="7"/>
  <c r="C530" i="7"/>
  <c r="C529" i="7"/>
  <c r="C528" i="7"/>
  <c r="C527" i="7"/>
  <c r="C526" i="7"/>
  <c r="C525" i="7"/>
  <c r="C524" i="7"/>
  <c r="C523" i="7"/>
  <c r="C522" i="7"/>
  <c r="C521" i="7"/>
  <c r="C520" i="7"/>
  <c r="C519" i="7"/>
  <c r="C518" i="7"/>
  <c r="C517" i="7"/>
  <c r="C516" i="7"/>
  <c r="C515" i="7"/>
  <c r="C514" i="7"/>
  <c r="C513" i="7"/>
  <c r="C512" i="7"/>
  <c r="C511" i="7"/>
  <c r="C510" i="7"/>
  <c r="C509" i="7"/>
  <c r="C508" i="7"/>
  <c r="C507" i="7"/>
  <c r="C506" i="7"/>
  <c r="C505" i="7"/>
  <c r="C504" i="7"/>
  <c r="C503" i="7"/>
  <c r="C502" i="7"/>
  <c r="C501" i="7"/>
  <c r="C500" i="7"/>
  <c r="C499" i="7"/>
  <c r="C498" i="7"/>
  <c r="C497" i="7"/>
  <c r="C496" i="7"/>
  <c r="C495" i="7"/>
  <c r="C494" i="7"/>
  <c r="C493" i="7"/>
  <c r="C492" i="7"/>
  <c r="C491" i="7"/>
  <c r="C490" i="7"/>
  <c r="C489" i="7"/>
  <c r="C488" i="7"/>
  <c r="C487" i="7"/>
  <c r="C486" i="7"/>
  <c r="C485" i="7"/>
  <c r="C484" i="7"/>
  <c r="C483" i="7"/>
  <c r="C482" i="7"/>
  <c r="C481" i="7"/>
  <c r="C480" i="7"/>
  <c r="C479" i="7"/>
  <c r="C478" i="7"/>
  <c r="C477" i="7"/>
  <c r="C476" i="7"/>
  <c r="C475" i="7"/>
  <c r="C474" i="7"/>
  <c r="C473" i="7"/>
  <c r="C472" i="7"/>
  <c r="C471" i="7"/>
  <c r="C470" i="7"/>
  <c r="C469" i="7"/>
  <c r="C468" i="7"/>
  <c r="C467" i="7"/>
  <c r="C466" i="7"/>
  <c r="C465" i="7"/>
  <c r="C464" i="7"/>
  <c r="C463" i="7"/>
  <c r="C462" i="7"/>
  <c r="C461" i="7"/>
  <c r="C460" i="7"/>
  <c r="C459" i="7"/>
  <c r="C458" i="7"/>
  <c r="C457" i="7"/>
  <c r="C456" i="7"/>
  <c r="C455" i="7"/>
  <c r="C454" i="7"/>
  <c r="C453" i="7"/>
  <c r="C452" i="7"/>
  <c r="C451" i="7"/>
  <c r="C450" i="7"/>
  <c r="C449" i="7"/>
  <c r="C448" i="7"/>
  <c r="C447" i="7"/>
  <c r="C446" i="7"/>
  <c r="C445" i="7"/>
  <c r="C444" i="7"/>
  <c r="C443" i="7"/>
  <c r="C442" i="7"/>
  <c r="C441" i="7"/>
  <c r="C440" i="7"/>
  <c r="C439" i="7"/>
  <c r="C438" i="7"/>
  <c r="C437" i="7"/>
  <c r="C436" i="7"/>
  <c r="C435" i="7"/>
  <c r="C434" i="7"/>
  <c r="C433" i="7"/>
  <c r="C432" i="7"/>
  <c r="C431" i="7"/>
  <c r="C430" i="7"/>
  <c r="C429" i="7"/>
  <c r="C428" i="7"/>
  <c r="C427" i="7"/>
  <c r="C426" i="7"/>
  <c r="C425" i="7"/>
  <c r="C424" i="7"/>
  <c r="C423" i="7"/>
  <c r="C422" i="7"/>
  <c r="C421" i="7"/>
  <c r="C420" i="7"/>
  <c r="C419" i="7"/>
  <c r="C418" i="7"/>
  <c r="C417" i="7"/>
  <c r="C416" i="7"/>
  <c r="C415" i="7"/>
  <c r="C414" i="7"/>
  <c r="C413" i="7"/>
  <c r="C412" i="7"/>
  <c r="C411" i="7"/>
  <c r="C410" i="7"/>
  <c r="C409" i="7"/>
  <c r="C408" i="7"/>
  <c r="C407" i="7"/>
  <c r="C406" i="7"/>
  <c r="C405" i="7"/>
  <c r="C404" i="7"/>
  <c r="C403" i="7"/>
  <c r="C402" i="7"/>
  <c r="C401" i="7"/>
  <c r="C400" i="7"/>
  <c r="C399" i="7"/>
  <c r="C398" i="7"/>
  <c r="C397" i="7"/>
  <c r="C396" i="7"/>
  <c r="C395" i="7"/>
  <c r="C394" i="7"/>
  <c r="C393" i="7"/>
  <c r="C392" i="7"/>
  <c r="C391" i="7"/>
  <c r="C390" i="7"/>
  <c r="C389" i="7"/>
  <c r="C388" i="7"/>
  <c r="C387" i="7"/>
  <c r="C386" i="7"/>
  <c r="C385" i="7"/>
  <c r="C384" i="7"/>
  <c r="C383" i="7"/>
  <c r="C382" i="7"/>
  <c r="C381" i="7"/>
  <c r="C380" i="7"/>
  <c r="C379" i="7"/>
  <c r="C378" i="7"/>
  <c r="C377" i="7"/>
  <c r="C376" i="7"/>
  <c r="C375" i="7"/>
  <c r="C374" i="7"/>
  <c r="C373" i="7"/>
  <c r="C372" i="7"/>
  <c r="C371" i="7"/>
  <c r="C370" i="7"/>
  <c r="C369" i="7"/>
  <c r="C368" i="7"/>
  <c r="C367" i="7"/>
  <c r="C366" i="7"/>
  <c r="C365" i="7"/>
  <c r="C364" i="7"/>
  <c r="C363" i="7"/>
  <c r="C362" i="7"/>
  <c r="C361" i="7"/>
  <c r="C360" i="7"/>
  <c r="C359" i="7"/>
  <c r="C358" i="7"/>
  <c r="C357" i="7"/>
  <c r="C356" i="7"/>
  <c r="C355" i="7"/>
  <c r="C354" i="7"/>
  <c r="C353" i="7"/>
  <c r="C352" i="7"/>
  <c r="C351" i="7"/>
  <c r="C350" i="7"/>
  <c r="C349" i="7"/>
  <c r="C348" i="7"/>
  <c r="C347" i="7"/>
  <c r="C346" i="7"/>
  <c r="C345" i="7"/>
  <c r="C344" i="7"/>
  <c r="C343" i="7"/>
  <c r="C342" i="7"/>
  <c r="C341" i="7"/>
  <c r="C340" i="7"/>
  <c r="C339" i="7"/>
  <c r="C338" i="7"/>
  <c r="C337" i="7"/>
  <c r="C336" i="7"/>
  <c r="C335" i="7"/>
  <c r="C334" i="7"/>
  <c r="C333" i="7"/>
  <c r="C332" i="7"/>
  <c r="C331" i="7"/>
  <c r="C330" i="7"/>
  <c r="C329" i="7"/>
  <c r="C328" i="7"/>
  <c r="C327" i="7"/>
  <c r="C326" i="7"/>
  <c r="C325" i="7"/>
  <c r="C324" i="7"/>
  <c r="C323" i="7"/>
  <c r="C322" i="7"/>
  <c r="C321" i="7"/>
  <c r="C320" i="7"/>
  <c r="C319" i="7"/>
  <c r="C318" i="7"/>
  <c r="C317" i="7"/>
  <c r="C316" i="7"/>
  <c r="C315" i="7"/>
  <c r="C314" i="7"/>
  <c r="C313" i="7"/>
  <c r="C312" i="7"/>
  <c r="C311" i="7"/>
  <c r="C310" i="7"/>
  <c r="C309" i="7"/>
  <c r="C308" i="7"/>
  <c r="C307" i="7"/>
  <c r="C306" i="7"/>
  <c r="C305" i="7"/>
  <c r="C304" i="7"/>
  <c r="C303" i="7"/>
  <c r="C302" i="7"/>
  <c r="C301" i="7"/>
  <c r="C300" i="7"/>
  <c r="C299" i="7"/>
  <c r="C298" i="7"/>
  <c r="C297" i="7"/>
  <c r="C296" i="7"/>
  <c r="C295" i="7"/>
  <c r="C294" i="7"/>
  <c r="C293" i="7"/>
  <c r="C292" i="7"/>
  <c r="C291" i="7"/>
  <c r="C290" i="7"/>
  <c r="C289" i="7"/>
  <c r="C288" i="7"/>
  <c r="C287" i="7"/>
  <c r="C286" i="7"/>
  <c r="C285" i="7"/>
  <c r="C284" i="7"/>
  <c r="C283" i="7"/>
  <c r="C282" i="7"/>
  <c r="C281" i="7"/>
  <c r="C280" i="7"/>
  <c r="C279" i="7"/>
  <c r="C278" i="7"/>
  <c r="C277" i="7"/>
  <c r="C276" i="7"/>
  <c r="C275" i="7"/>
  <c r="C274" i="7"/>
  <c r="C273" i="7"/>
  <c r="C272" i="7"/>
  <c r="C271" i="7"/>
  <c r="C270" i="7"/>
  <c r="C269" i="7"/>
  <c r="C268" i="7"/>
  <c r="C267" i="7"/>
  <c r="C266" i="7"/>
  <c r="C265" i="7"/>
  <c r="C264" i="7"/>
  <c r="C263" i="7"/>
  <c r="C262" i="7"/>
  <c r="C261" i="7"/>
  <c r="C260" i="7"/>
  <c r="C259" i="7"/>
  <c r="C258" i="7"/>
  <c r="C257" i="7"/>
  <c r="C256" i="7"/>
  <c r="C255" i="7"/>
  <c r="C254" i="7"/>
  <c r="C253" i="7"/>
  <c r="C252" i="7"/>
  <c r="C251" i="7"/>
  <c r="C250" i="7"/>
  <c r="C249" i="7"/>
  <c r="C248" i="7"/>
  <c r="C247" i="7"/>
  <c r="C246" i="7"/>
  <c r="C245" i="7"/>
  <c r="C244" i="7"/>
  <c r="C243" i="7"/>
  <c r="C242" i="7"/>
  <c r="C241" i="7"/>
  <c r="C240" i="7"/>
  <c r="C239" i="7"/>
  <c r="C238" i="7"/>
  <c r="C237" i="7"/>
  <c r="C236" i="7"/>
  <c r="C235" i="7"/>
  <c r="C234" i="7"/>
  <c r="C233" i="7"/>
  <c r="C232" i="7"/>
  <c r="C231" i="7"/>
  <c r="C230" i="7"/>
  <c r="C229" i="7"/>
  <c r="C228" i="7"/>
  <c r="C227" i="7"/>
  <c r="C226" i="7"/>
  <c r="C225" i="7"/>
  <c r="C224" i="7"/>
  <c r="C223" i="7"/>
  <c r="C222" i="7"/>
  <c r="C221" i="7"/>
  <c r="C220" i="7"/>
  <c r="C219" i="7"/>
  <c r="C218" i="7"/>
  <c r="C217" i="7"/>
  <c r="C216" i="7"/>
  <c r="C215" i="7"/>
  <c r="C214" i="7"/>
  <c r="C213" i="7"/>
  <c r="C212" i="7"/>
  <c r="C211" i="7"/>
  <c r="C210" i="7"/>
  <c r="C209" i="7"/>
  <c r="C208" i="7"/>
  <c r="C207" i="7"/>
  <c r="C206" i="7"/>
  <c r="C205" i="7"/>
  <c r="C204" i="7"/>
  <c r="C203" i="7"/>
  <c r="C202" i="7"/>
  <c r="C201" i="7"/>
  <c r="C200" i="7"/>
  <c r="C199" i="7"/>
  <c r="C198" i="7"/>
  <c r="C197" i="7"/>
  <c r="C196" i="7"/>
  <c r="C195" i="7"/>
  <c r="C194" i="7"/>
  <c r="C193" i="7"/>
  <c r="C192" i="7"/>
  <c r="C191" i="7"/>
  <c r="C190" i="7"/>
  <c r="C189" i="7"/>
  <c r="C188" i="7"/>
  <c r="C187" i="7"/>
  <c r="C186" i="7"/>
  <c r="C185" i="7"/>
  <c r="C184" i="7"/>
  <c r="C183" i="7"/>
  <c r="C182" i="7"/>
  <c r="C181" i="7"/>
  <c r="C180" i="7"/>
  <c r="C179" i="7"/>
  <c r="C178" i="7"/>
  <c r="C177" i="7"/>
  <c r="C176" i="7"/>
  <c r="C175" i="7"/>
  <c r="C174" i="7"/>
  <c r="C173" i="7"/>
  <c r="C172" i="7"/>
  <c r="C171" i="7"/>
  <c r="C170" i="7"/>
  <c r="C169" i="7"/>
  <c r="C168" i="7"/>
  <c r="C167" i="7"/>
  <c r="C166" i="7"/>
  <c r="C165" i="7"/>
  <c r="C164" i="7"/>
  <c r="C163" i="7"/>
  <c r="C162" i="7"/>
  <c r="C161" i="7"/>
  <c r="C160" i="7"/>
  <c r="C159" i="7"/>
  <c r="C158" i="7"/>
  <c r="C157" i="7"/>
  <c r="C156" i="7"/>
  <c r="C155" i="7"/>
  <c r="C154" i="7"/>
  <c r="C153" i="7"/>
  <c r="C152" i="7"/>
  <c r="C151" i="7"/>
  <c r="C150" i="7"/>
  <c r="C149" i="7"/>
  <c r="C148" i="7"/>
  <c r="C147" i="7"/>
  <c r="C146" i="7"/>
  <c r="C145" i="7"/>
  <c r="C144" i="7"/>
  <c r="C143" i="7"/>
  <c r="C142" i="7"/>
  <c r="C141" i="7"/>
  <c r="C140" i="7"/>
  <c r="C139" i="7"/>
  <c r="C138" i="7"/>
  <c r="C137" i="7"/>
  <c r="C136" i="7"/>
  <c r="C135" i="7"/>
  <c r="C134" i="7"/>
  <c r="C133" i="7"/>
  <c r="C132" i="7"/>
  <c r="C131" i="7"/>
  <c r="C130" i="7"/>
  <c r="C129" i="7"/>
  <c r="C128" i="7"/>
  <c r="C127" i="7"/>
  <c r="C126" i="7"/>
  <c r="C125" i="7"/>
  <c r="C124" i="7"/>
  <c r="C123" i="7"/>
  <c r="C122" i="7"/>
  <c r="C121" i="7"/>
  <c r="C120" i="7"/>
  <c r="C119" i="7"/>
  <c r="C118" i="7"/>
  <c r="C117" i="7"/>
  <c r="C116" i="7"/>
  <c r="C115" i="7"/>
  <c r="C114" i="7"/>
  <c r="C113" i="7"/>
  <c r="C112" i="7"/>
  <c r="C111" i="7"/>
  <c r="C110" i="7"/>
  <c r="C109" i="7"/>
  <c r="C108" i="7"/>
  <c r="C107" i="7"/>
  <c r="C106" i="7"/>
  <c r="C105" i="7"/>
  <c r="C104" i="7"/>
  <c r="C103" i="7"/>
  <c r="C102" i="7"/>
  <c r="C101" i="7"/>
  <c r="C100" i="7"/>
  <c r="C99" i="7"/>
  <c r="C98" i="7"/>
  <c r="C97" i="7"/>
  <c r="C96" i="7"/>
  <c r="C95" i="7"/>
  <c r="C94" i="7"/>
  <c r="C93" i="7"/>
  <c r="C92" i="7"/>
  <c r="C91" i="7"/>
  <c r="C90" i="7"/>
  <c r="C89" i="7"/>
  <c r="C88" i="7"/>
  <c r="C87" i="7"/>
  <c r="C86" i="7"/>
  <c r="C85" i="7"/>
  <c r="C84" i="7"/>
  <c r="C83" i="7"/>
  <c r="C82" i="7"/>
  <c r="C81" i="7"/>
  <c r="C80" i="7"/>
  <c r="C79" i="7"/>
  <c r="C78" i="7"/>
  <c r="C77" i="7"/>
  <c r="C76" i="7"/>
  <c r="C75" i="7"/>
  <c r="C74" i="7"/>
  <c r="C73" i="7"/>
  <c r="C72" i="7"/>
  <c r="C71" i="7"/>
  <c r="C70" i="7"/>
  <c r="C69" i="7"/>
  <c r="C68" i="7"/>
  <c r="C67" i="7"/>
  <c r="C66" i="7"/>
  <c r="C65" i="7"/>
  <c r="C64" i="7"/>
  <c r="C63" i="7"/>
  <c r="C62" i="7"/>
  <c r="C61" i="7"/>
  <c r="C60" i="7"/>
  <c r="C59" i="7"/>
  <c r="C58" i="7"/>
  <c r="C57" i="7"/>
  <c r="C56" i="7"/>
  <c r="C55" i="7"/>
  <c r="C54" i="7"/>
  <c r="C53"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C4" i="7"/>
  <c r="C3" i="7"/>
  <c r="C2" i="7"/>
  <c r="F55" i="6"/>
  <c r="H7" i="1" s="1"/>
  <c r="J7" i="1" s="1"/>
  <c r="D55" i="6"/>
  <c r="E7" i="1" s="1"/>
  <c r="G7" i="1" s="1"/>
  <c r="B55" i="6"/>
  <c r="B7" i="1" s="1"/>
  <c r="D7" i="1" s="1"/>
  <c r="I54" i="6"/>
  <c r="H54" i="6"/>
  <c r="G54" i="6"/>
  <c r="F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6" i="6"/>
  <c r="H5" i="6"/>
  <c r="H4" i="6"/>
  <c r="H3" i="6"/>
  <c r="H2" i="6"/>
  <c r="F124" i="5"/>
  <c r="H6" i="1" s="1"/>
  <c r="J6" i="1" s="1"/>
  <c r="D124" i="5"/>
  <c r="E6" i="1" s="1"/>
  <c r="G6" i="1" s="1"/>
  <c r="B124" i="5"/>
  <c r="B6" i="1" s="1"/>
  <c r="D6" i="1" s="1"/>
  <c r="I123" i="5"/>
  <c r="G123" i="5"/>
  <c r="F123" i="5"/>
  <c r="H122" i="5"/>
  <c r="H121" i="5"/>
  <c r="H120" i="5"/>
  <c r="H119" i="5"/>
  <c r="H118" i="5"/>
  <c r="H117" i="5"/>
  <c r="H116" i="5"/>
  <c r="H115" i="5"/>
  <c r="H114" i="5"/>
  <c r="H113" i="5"/>
  <c r="H112" i="5"/>
  <c r="H111" i="5"/>
  <c r="H110" i="5"/>
  <c r="H109" i="5"/>
  <c r="H108" i="5"/>
  <c r="H107" i="5"/>
  <c r="H106" i="5"/>
  <c r="H105" i="5"/>
  <c r="H104" i="5"/>
  <c r="H103" i="5"/>
  <c r="H102" i="5"/>
  <c r="H101" i="5"/>
  <c r="H123" i="5" s="1"/>
  <c r="H100" i="5"/>
  <c r="H99" i="5"/>
  <c r="H98" i="5"/>
  <c r="H97" i="5"/>
  <c r="H96" i="5"/>
  <c r="H95" i="5"/>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6" i="5"/>
  <c r="H5" i="5"/>
  <c r="H4" i="5"/>
  <c r="H3" i="5"/>
  <c r="H2" i="5"/>
  <c r="F212" i="4"/>
  <c r="H5" i="1" s="1"/>
  <c r="J5" i="1" s="1"/>
  <c r="D212" i="4"/>
  <c r="E5" i="1" s="1"/>
  <c r="G5" i="1" s="1"/>
  <c r="B212" i="4"/>
  <c r="B5" i="1" s="1"/>
  <c r="D5" i="1" s="1"/>
  <c r="I211" i="4"/>
  <c r="G211" i="4"/>
  <c r="F211" i="4"/>
  <c r="H210" i="4"/>
  <c r="H209" i="4"/>
  <c r="H208" i="4"/>
  <c r="H207" i="4"/>
  <c r="H206" i="4"/>
  <c r="H205" i="4"/>
  <c r="H204" i="4"/>
  <c r="H203" i="4"/>
  <c r="H202" i="4"/>
  <c r="H201" i="4"/>
  <c r="H200" i="4"/>
  <c r="H199" i="4"/>
  <c r="H198" i="4"/>
  <c r="H197" i="4"/>
  <c r="H196" i="4"/>
  <c r="H195" i="4"/>
  <c r="H194" i="4"/>
  <c r="H193" i="4"/>
  <c r="H192" i="4"/>
  <c r="H191" i="4"/>
  <c r="H190" i="4"/>
  <c r="H189" i="4"/>
  <c r="H188" i="4"/>
  <c r="H187" i="4"/>
  <c r="H186" i="4"/>
  <c r="H185" i="4"/>
  <c r="H211" i="4" s="1"/>
  <c r="H184" i="4"/>
  <c r="H183" i="4"/>
  <c r="H182" i="4"/>
  <c r="H181" i="4"/>
  <c r="H180" i="4"/>
  <c r="H179" i="4"/>
  <c r="H178" i="4"/>
  <c r="H177" i="4"/>
  <c r="H176" i="4"/>
  <c r="H175" i="4"/>
  <c r="H174" i="4"/>
  <c r="H173" i="4"/>
  <c r="H172" i="4"/>
  <c r="H171" i="4"/>
  <c r="H170" i="4"/>
  <c r="H169" i="4"/>
  <c r="H168" i="4"/>
  <c r="H167" i="4"/>
  <c r="H166" i="4"/>
  <c r="H165" i="4"/>
  <c r="H164" i="4"/>
  <c r="H163" i="4"/>
  <c r="H162" i="4"/>
  <c r="H161" i="4"/>
  <c r="H160" i="4"/>
  <c r="H159" i="4"/>
  <c r="H158" i="4"/>
  <c r="H157" i="4"/>
  <c r="H156" i="4"/>
  <c r="H155" i="4"/>
  <c r="H154" i="4"/>
  <c r="H153" i="4"/>
  <c r="H152" i="4"/>
  <c r="H151" i="4"/>
  <c r="H150" i="4"/>
  <c r="H149" i="4"/>
  <c r="H148" i="4"/>
  <c r="H147" i="4"/>
  <c r="H146" i="4"/>
  <c r="H145" i="4"/>
  <c r="H144" i="4"/>
  <c r="H143" i="4"/>
  <c r="H142" i="4"/>
  <c r="H141" i="4"/>
  <c r="H140" i="4"/>
  <c r="H139" i="4"/>
  <c r="H138" i="4"/>
  <c r="H137" i="4"/>
  <c r="H136" i="4"/>
  <c r="H135" i="4"/>
  <c r="H134" i="4"/>
  <c r="H133" i="4"/>
  <c r="H132" i="4"/>
  <c r="H131" i="4"/>
  <c r="H130" i="4"/>
  <c r="H129" i="4"/>
  <c r="H128" i="4"/>
  <c r="H127" i="4"/>
  <c r="H126" i="4"/>
  <c r="H125" i="4"/>
  <c r="H124" i="4"/>
  <c r="H123" i="4"/>
  <c r="H122" i="4"/>
  <c r="H121" i="4"/>
  <c r="H120" i="4"/>
  <c r="H119" i="4"/>
  <c r="H118" i="4"/>
  <c r="H117" i="4"/>
  <c r="H116" i="4"/>
  <c r="H115" i="4"/>
  <c r="H114" i="4"/>
  <c r="H113" i="4"/>
  <c r="H112" i="4"/>
  <c r="H111" i="4"/>
  <c r="H110" i="4"/>
  <c r="H109" i="4"/>
  <c r="H108" i="4"/>
  <c r="H107" i="4"/>
  <c r="H106" i="4"/>
  <c r="H105" i="4"/>
  <c r="H104" i="4"/>
  <c r="H103" i="4"/>
  <c r="H102" i="4"/>
  <c r="H101" i="4"/>
  <c r="H100" i="4"/>
  <c r="H99" i="4"/>
  <c r="H98" i="4"/>
  <c r="H97" i="4"/>
  <c r="H96" i="4"/>
  <c r="H95" i="4"/>
  <c r="H94" i="4"/>
  <c r="H93" i="4"/>
  <c r="H92" i="4"/>
  <c r="H91" i="4"/>
  <c r="H90" i="4"/>
  <c r="H89" i="4"/>
  <c r="H88" i="4"/>
  <c r="H87" i="4"/>
  <c r="H86" i="4"/>
  <c r="H85" i="4"/>
  <c r="H84" i="4"/>
  <c r="H83" i="4"/>
  <c r="H82" i="4"/>
  <c r="H81" i="4"/>
  <c r="H80" i="4"/>
  <c r="H79" i="4"/>
  <c r="H78" i="4"/>
  <c r="H77" i="4"/>
  <c r="H76" i="4"/>
  <c r="H75" i="4"/>
  <c r="H74" i="4"/>
  <c r="H73" i="4"/>
  <c r="H72" i="4"/>
  <c r="H71" i="4"/>
  <c r="H70" i="4"/>
  <c r="H69" i="4"/>
  <c r="H68" i="4"/>
  <c r="H67" i="4"/>
  <c r="H66" i="4"/>
  <c r="H65" i="4"/>
  <c r="H64" i="4"/>
  <c r="H63" i="4"/>
  <c r="H62" i="4"/>
  <c r="H61" i="4"/>
  <c r="H60" i="4"/>
  <c r="H59" i="4"/>
  <c r="H58" i="4"/>
  <c r="H57" i="4"/>
  <c r="H56" i="4"/>
  <c r="H55" i="4"/>
  <c r="H54" i="4"/>
  <c r="H53" i="4"/>
  <c r="H52" i="4"/>
  <c r="H51" i="4"/>
  <c r="H50" i="4"/>
  <c r="H49" i="4"/>
  <c r="H48" i="4"/>
  <c r="H47" i="4"/>
  <c r="H46" i="4"/>
  <c r="H45" i="4"/>
  <c r="H44" i="4"/>
  <c r="H43" i="4"/>
  <c r="H42" i="4"/>
  <c r="H41" i="4"/>
  <c r="H40" i="4"/>
  <c r="H39" i="4"/>
  <c r="H3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H6" i="4"/>
  <c r="H5" i="4"/>
  <c r="H4" i="4"/>
  <c r="H3" i="4"/>
  <c r="H2" i="4"/>
  <c r="F233" i="3"/>
  <c r="H4" i="1" s="1"/>
  <c r="J4" i="1" s="1"/>
  <c r="D233" i="3"/>
  <c r="E4" i="1" s="1"/>
  <c r="G4" i="1" s="1"/>
  <c r="B233" i="3"/>
  <c r="B4" i="1" s="1"/>
  <c r="D4" i="1" s="1"/>
  <c r="I232" i="3"/>
  <c r="H232" i="3"/>
  <c r="G232" i="3"/>
  <c r="F232" i="3"/>
  <c r="H231" i="3"/>
  <c r="H230" i="3"/>
  <c r="H229" i="3"/>
  <c r="H228" i="3"/>
  <c r="H227" i="3"/>
  <c r="H226" i="3"/>
  <c r="H225" i="3"/>
  <c r="H224" i="3"/>
  <c r="H223" i="3"/>
  <c r="H222" i="3"/>
  <c r="H221" i="3"/>
  <c r="H220" i="3"/>
  <c r="H219" i="3"/>
  <c r="H218" i="3"/>
  <c r="H217" i="3"/>
  <c r="H216" i="3"/>
  <c r="H215" i="3"/>
  <c r="H214" i="3"/>
  <c r="H213" i="3"/>
  <c r="H212" i="3"/>
  <c r="H211" i="3"/>
  <c r="H210" i="3"/>
  <c r="H209" i="3"/>
  <c r="H208" i="3"/>
  <c r="H207" i="3"/>
  <c r="H206" i="3"/>
  <c r="H205" i="3"/>
  <c r="H204" i="3"/>
  <c r="H203" i="3"/>
  <c r="H202" i="3"/>
  <c r="H201" i="3"/>
  <c r="H200" i="3"/>
  <c r="H199" i="3"/>
  <c r="H198" i="3"/>
  <c r="H197" i="3"/>
  <c r="H196" i="3"/>
  <c r="H195" i="3"/>
  <c r="H194" i="3"/>
  <c r="H193" i="3"/>
  <c r="H192" i="3"/>
  <c r="H191" i="3"/>
  <c r="H190" i="3"/>
  <c r="H189" i="3"/>
  <c r="H188" i="3"/>
  <c r="H187" i="3"/>
  <c r="H186" i="3"/>
  <c r="H185" i="3"/>
  <c r="H184" i="3"/>
  <c r="H183" i="3"/>
  <c r="H182" i="3"/>
  <c r="H181" i="3"/>
  <c r="H180" i="3"/>
  <c r="H179" i="3"/>
  <c r="H178" i="3"/>
  <c r="H177" i="3"/>
  <c r="H176" i="3"/>
  <c r="H175" i="3"/>
  <c r="H174" i="3"/>
  <c r="H173" i="3"/>
  <c r="H172" i="3"/>
  <c r="H171" i="3"/>
  <c r="H170" i="3"/>
  <c r="H169" i="3"/>
  <c r="H168" i="3"/>
  <c r="H167" i="3"/>
  <c r="H166" i="3"/>
  <c r="H165" i="3"/>
  <c r="H164" i="3"/>
  <c r="H163" i="3"/>
  <c r="H162" i="3"/>
  <c r="H161" i="3"/>
  <c r="H160" i="3"/>
  <c r="H159" i="3"/>
  <c r="H158" i="3"/>
  <c r="H157" i="3"/>
  <c r="H156" i="3"/>
  <c r="H155" i="3"/>
  <c r="H154" i="3"/>
  <c r="H153" i="3"/>
  <c r="H152" i="3"/>
  <c r="H151" i="3"/>
  <c r="H150" i="3"/>
  <c r="H149" i="3"/>
  <c r="H148" i="3"/>
  <c r="H147" i="3"/>
  <c r="H146" i="3"/>
  <c r="H145" i="3"/>
  <c r="H144" i="3"/>
  <c r="H143" i="3"/>
  <c r="H142" i="3"/>
  <c r="H141" i="3"/>
  <c r="H140" i="3"/>
  <c r="H139" i="3"/>
  <c r="H138" i="3"/>
  <c r="H137" i="3"/>
  <c r="H136" i="3"/>
  <c r="H135" i="3"/>
  <c r="H134" i="3"/>
  <c r="H133" i="3"/>
  <c r="H132" i="3"/>
  <c r="H131" i="3"/>
  <c r="H130" i="3"/>
  <c r="H129" i="3"/>
  <c r="H128" i="3"/>
  <c r="H127" i="3"/>
  <c r="H126" i="3"/>
  <c r="H125" i="3"/>
  <c r="H124" i="3"/>
  <c r="H123" i="3"/>
  <c r="H122" i="3"/>
  <c r="H121" i="3"/>
  <c r="H120" i="3"/>
  <c r="H119" i="3"/>
  <c r="H118" i="3"/>
  <c r="H117" i="3"/>
  <c r="H116" i="3"/>
  <c r="H115" i="3"/>
  <c r="H114" i="3"/>
  <c r="H113" i="3"/>
  <c r="H112" i="3"/>
  <c r="H111" i="3"/>
  <c r="H110" i="3"/>
  <c r="H109" i="3"/>
  <c r="H108" i="3"/>
  <c r="H107" i="3"/>
  <c r="H106" i="3"/>
  <c r="H105" i="3"/>
  <c r="H104" i="3"/>
  <c r="H103" i="3"/>
  <c r="H102" i="3"/>
  <c r="H101" i="3"/>
  <c r="H100" i="3"/>
  <c r="H99" i="3"/>
  <c r="H98" i="3"/>
  <c r="H97" i="3"/>
  <c r="H96" i="3"/>
  <c r="H95" i="3"/>
  <c r="H94" i="3"/>
  <c r="H93" i="3"/>
  <c r="H92" i="3"/>
  <c r="H91" i="3"/>
  <c r="H90" i="3"/>
  <c r="H89" i="3"/>
  <c r="H88" i="3"/>
  <c r="H87" i="3"/>
  <c r="H86" i="3"/>
  <c r="H85" i="3"/>
  <c r="H84" i="3"/>
  <c r="H83" i="3"/>
  <c r="H82" i="3"/>
  <c r="H81" i="3"/>
  <c r="H80" i="3"/>
  <c r="H79" i="3"/>
  <c r="H78" i="3"/>
  <c r="H77" i="3"/>
  <c r="H76" i="3"/>
  <c r="H75" i="3"/>
  <c r="H74" i="3"/>
  <c r="H73" i="3"/>
  <c r="H72" i="3"/>
  <c r="H71" i="3"/>
  <c r="H70" i="3"/>
  <c r="H69" i="3"/>
  <c r="H68" i="3"/>
  <c r="H67" i="3"/>
  <c r="H66"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H4" i="3"/>
  <c r="H3" i="3"/>
  <c r="H2" i="3"/>
  <c r="F243" i="2"/>
  <c r="H3" i="1" s="1"/>
  <c r="J3" i="1" s="1"/>
  <c r="D243" i="2"/>
  <c r="E3" i="1" s="1"/>
  <c r="G3" i="1" s="1"/>
  <c r="B243" i="2"/>
  <c r="B3" i="1" s="1"/>
  <c r="D3" i="1" s="1"/>
  <c r="I242" i="2"/>
  <c r="H242" i="2"/>
  <c r="G242" i="2"/>
  <c r="F242" i="2"/>
  <c r="H241" i="2"/>
  <c r="H240" i="2"/>
  <c r="H239" i="2"/>
  <c r="H238" i="2"/>
  <c r="H237" i="2"/>
  <c r="H236" i="2"/>
  <c r="H235" i="2"/>
  <c r="H234" i="2"/>
  <c r="H233" i="2"/>
  <c r="H232" i="2"/>
  <c r="H231" i="2"/>
  <c r="H230" i="2"/>
  <c r="H229" i="2"/>
  <c r="H228" i="2"/>
  <c r="H227" i="2"/>
  <c r="H226" i="2"/>
  <c r="H225" i="2"/>
  <c r="H224" i="2"/>
  <c r="H223" i="2"/>
  <c r="H222" i="2"/>
  <c r="H221" i="2"/>
  <c r="H220" i="2"/>
  <c r="H219" i="2"/>
  <c r="H218" i="2"/>
  <c r="H217" i="2"/>
  <c r="H216" i="2"/>
  <c r="H215" i="2"/>
  <c r="H214" i="2"/>
  <c r="H213" i="2"/>
  <c r="H212" i="2"/>
  <c r="H211" i="2"/>
  <c r="H210" i="2"/>
  <c r="H209" i="2"/>
  <c r="H208" i="2"/>
  <c r="H207" i="2"/>
  <c r="H206" i="2"/>
  <c r="H205" i="2"/>
  <c r="H204" i="2"/>
  <c r="H203" i="2"/>
  <c r="H202" i="2"/>
  <c r="H201" i="2"/>
  <c r="H200" i="2"/>
  <c r="H199" i="2"/>
  <c r="H198" i="2"/>
  <c r="H197" i="2"/>
  <c r="H196" i="2"/>
  <c r="H195" i="2"/>
  <c r="H194" i="2"/>
  <c r="H193" i="2"/>
  <c r="H192" i="2"/>
  <c r="H191" i="2"/>
  <c r="H190" i="2"/>
  <c r="H189" i="2"/>
  <c r="H188" i="2"/>
  <c r="H187" i="2"/>
  <c r="H186" i="2"/>
  <c r="H185" i="2"/>
  <c r="H184" i="2"/>
  <c r="H183" i="2"/>
  <c r="H182" i="2"/>
  <c r="H181" i="2"/>
  <c r="H180" i="2"/>
  <c r="H179" i="2"/>
  <c r="H178" i="2"/>
  <c r="H177" i="2"/>
  <c r="H176" i="2"/>
  <c r="H175" i="2"/>
  <c r="H174" i="2"/>
  <c r="H173" i="2"/>
  <c r="H172" i="2"/>
  <c r="H171" i="2"/>
  <c r="H170" i="2"/>
  <c r="H169" i="2"/>
  <c r="H168" i="2"/>
  <c r="H167" i="2"/>
  <c r="H166" i="2"/>
  <c r="H165" i="2"/>
  <c r="H164" i="2"/>
  <c r="H163" i="2"/>
  <c r="H162" i="2"/>
  <c r="H161" i="2"/>
  <c r="H160" i="2"/>
  <c r="H159" i="2"/>
  <c r="H158" i="2"/>
  <c r="H157" i="2"/>
  <c r="H156" i="2"/>
  <c r="H155" i="2"/>
  <c r="H154" i="2"/>
  <c r="H153" i="2"/>
  <c r="H152" i="2"/>
  <c r="H151" i="2"/>
  <c r="H150" i="2"/>
  <c r="H149" i="2"/>
  <c r="H148" i="2"/>
  <c r="H147" i="2"/>
  <c r="H146" i="2"/>
  <c r="H145" i="2"/>
  <c r="H144" i="2"/>
  <c r="H143" i="2"/>
  <c r="H142" i="2"/>
  <c r="H141" i="2"/>
  <c r="H140" i="2"/>
  <c r="H139" i="2"/>
  <c r="H138" i="2"/>
  <c r="H137" i="2"/>
  <c r="H136" i="2"/>
  <c r="H135" i="2"/>
  <c r="H134" i="2"/>
  <c r="H133" i="2"/>
  <c r="H132" i="2"/>
  <c r="H131" i="2"/>
  <c r="H130" i="2"/>
  <c r="H129" i="2"/>
  <c r="H128" i="2"/>
  <c r="H127" i="2"/>
  <c r="H126" i="2"/>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H3" i="2"/>
  <c r="H2" i="2"/>
</calcChain>
</file>

<file path=xl/sharedStrings.xml><?xml version="1.0" encoding="utf-8"?>
<sst xmlns="http://schemas.openxmlformats.org/spreadsheetml/2006/main" count="61463" uniqueCount="8706">
  <si>
    <t>3.2 結案時間明細比對摘要 (2026年1月–5月，小型報修 total_fee=0)</t>
  </si>
  <si>
    <t>月份</t>
  </si>
  <si>
    <t>結案數(Excel)</t>
  </si>
  <si>
    <t>結案數(Portal)</t>
  </si>
  <si>
    <t>一致</t>
  </si>
  <si>
    <t>總天數(Excel)</t>
  </si>
  <si>
    <t>總天數(Portal)</t>
  </si>
  <si>
    <t>均天數(Excel)</t>
  </si>
  <si>
    <t>均天數(Portal)</t>
  </si>
  <si>
    <t>1月</t>
  </si>
  <si>
    <t>2月</t>
  </si>
  <si>
    <t>3月</t>
  </si>
  <si>
    <t>4月</t>
  </si>
  <si>
    <t>5月</t>
  </si>
  <si>
    <t>序號</t>
  </si>
  <si>
    <t>報修單編號</t>
  </si>
  <si>
    <t>報修日期</t>
  </si>
  <si>
    <t>完工時間</t>
  </si>
  <si>
    <t>處理狀態</t>
  </si>
  <si>
    <t>維修費用</t>
  </si>
  <si>
    <t>委外費用</t>
  </si>
  <si>
    <t>合計費用</t>
  </si>
  <si>
    <t>結案天數</t>
  </si>
  <si>
    <t>備註</t>
  </si>
  <si>
    <t>20260101-001</t>
  </si>
  <si>
    <t>已辦驗</t>
  </si>
  <si>
    <t>20260101-003</t>
  </si>
  <si>
    <t>20260101-004</t>
  </si>
  <si>
    <t>20260101-005</t>
  </si>
  <si>
    <t>20260101-006</t>
  </si>
  <si>
    <t>20260101-007</t>
  </si>
  <si>
    <t>20260101-008</t>
  </si>
  <si>
    <t>20260101-009</t>
  </si>
  <si>
    <t>20260101-011</t>
  </si>
  <si>
    <t>20260102-001</t>
  </si>
  <si>
    <t>20260102-002</t>
  </si>
  <si>
    <t>20260102-003</t>
  </si>
  <si>
    <t>20260102-004</t>
  </si>
  <si>
    <t>20260102-005</t>
  </si>
  <si>
    <t>20260102-006</t>
  </si>
  <si>
    <t>20260102-007</t>
  </si>
  <si>
    <t>20260102-008</t>
  </si>
  <si>
    <t>20260102-009</t>
  </si>
  <si>
    <t>20260103-001</t>
  </si>
  <si>
    <t>20260103-007</t>
  </si>
  <si>
    <t>20260103-003</t>
  </si>
  <si>
    <t>20260103-004</t>
  </si>
  <si>
    <t>20260103-005</t>
  </si>
  <si>
    <t>20260103-006</t>
  </si>
  <si>
    <t>20260103-008</t>
  </si>
  <si>
    <t>20260103-010</t>
  </si>
  <si>
    <t>20260103-011</t>
  </si>
  <si>
    <t>20260103-012</t>
  </si>
  <si>
    <t>20260103-013</t>
  </si>
  <si>
    <t>20260103-014</t>
  </si>
  <si>
    <t>20260103-015</t>
  </si>
  <si>
    <t>20260103-016</t>
  </si>
  <si>
    <t>20260103-017</t>
  </si>
  <si>
    <t>20260103-018</t>
  </si>
  <si>
    <t>20260103-019</t>
  </si>
  <si>
    <t>20260104-001</t>
  </si>
  <si>
    <t>20260104-002</t>
  </si>
  <si>
    <t>20260104-003</t>
  </si>
  <si>
    <t>20260104-004</t>
  </si>
  <si>
    <t>20260104-005</t>
  </si>
  <si>
    <t>20260105-001</t>
  </si>
  <si>
    <t>20260105-002</t>
  </si>
  <si>
    <t>20260105-004</t>
  </si>
  <si>
    <t>20260105-007</t>
  </si>
  <si>
    <t>20260105-009</t>
  </si>
  <si>
    <t>20260105-010</t>
  </si>
  <si>
    <t>20260105-011</t>
  </si>
  <si>
    <t>20260105-012</t>
  </si>
  <si>
    <t>20260105-013</t>
  </si>
  <si>
    <t>20260105-014</t>
  </si>
  <si>
    <t>20260105-015</t>
  </si>
  <si>
    <t>20260105-016</t>
  </si>
  <si>
    <t>20260105-018</t>
  </si>
  <si>
    <t>20260105-017</t>
  </si>
  <si>
    <t>20260105-019</t>
  </si>
  <si>
    <t>20260105-020</t>
  </si>
  <si>
    <t>20260106-001</t>
  </si>
  <si>
    <t>20260106-002</t>
  </si>
  <si>
    <t>20260106-003</t>
  </si>
  <si>
    <t>20260106-004</t>
  </si>
  <si>
    <t>20260107-001</t>
  </si>
  <si>
    <t>20260107-002</t>
  </si>
  <si>
    <t>20260107-003</t>
  </si>
  <si>
    <t>20260107-004</t>
  </si>
  <si>
    <t>20260107-005</t>
  </si>
  <si>
    <t>20260107-006</t>
  </si>
  <si>
    <t>20260107-007</t>
  </si>
  <si>
    <t>20260107-008</t>
  </si>
  <si>
    <t>20260107-009</t>
  </si>
  <si>
    <t>20260107-010</t>
  </si>
  <si>
    <t>20260107-011</t>
  </si>
  <si>
    <t>20260107-012</t>
  </si>
  <si>
    <t>20260108-001</t>
  </si>
  <si>
    <t>20260108-002</t>
  </si>
  <si>
    <t>20260108-003</t>
  </si>
  <si>
    <t>20260109-001</t>
  </si>
  <si>
    <t>20260109-002</t>
  </si>
  <si>
    <t>20260109-003</t>
  </si>
  <si>
    <t>20260109-004</t>
  </si>
  <si>
    <t>20260109-005</t>
  </si>
  <si>
    <t>20260109-006</t>
  </si>
  <si>
    <t>20260110-002</t>
  </si>
  <si>
    <t>20260110-003</t>
  </si>
  <si>
    <t>20260110-005</t>
  </si>
  <si>
    <t>20260110-004</t>
  </si>
  <si>
    <t>20260110-006</t>
  </si>
  <si>
    <t>20260110-007</t>
  </si>
  <si>
    <t>20260110-008</t>
  </si>
  <si>
    <t>20260110-009</t>
  </si>
  <si>
    <t>20260111-001</t>
  </si>
  <si>
    <t>20260111-002</t>
  </si>
  <si>
    <t>20260111-003</t>
  </si>
  <si>
    <t>20260111-004</t>
  </si>
  <si>
    <t>20260111-005</t>
  </si>
  <si>
    <t>20260111-006</t>
  </si>
  <si>
    <t>20260112-005</t>
  </si>
  <si>
    <t>20260112-008</t>
  </si>
  <si>
    <t>20260112-009</t>
  </si>
  <si>
    <t>20260112-010</t>
  </si>
  <si>
    <t>20260112-012</t>
  </si>
  <si>
    <t>20260112-013</t>
  </si>
  <si>
    <t>20260112-014</t>
  </si>
  <si>
    <t>20260112-015</t>
  </si>
  <si>
    <t>20260112-016</t>
  </si>
  <si>
    <t>20260112-017</t>
  </si>
  <si>
    <t>20260113-001</t>
  </si>
  <si>
    <t>20260113-002</t>
  </si>
  <si>
    <t>20260114-001</t>
  </si>
  <si>
    <t>20260114-002</t>
  </si>
  <si>
    <t>20260115-001</t>
  </si>
  <si>
    <t>20260115-002</t>
  </si>
  <si>
    <t>20260115-003</t>
  </si>
  <si>
    <t>20260115-006</t>
  </si>
  <si>
    <t>20260115-004</t>
  </si>
  <si>
    <t>20260115-005</t>
  </si>
  <si>
    <t>20260115-007</t>
  </si>
  <si>
    <t>20260115-008</t>
  </si>
  <si>
    <t>20260116-001</t>
  </si>
  <si>
    <t>20260116-002</t>
  </si>
  <si>
    <t>20260116-003</t>
  </si>
  <si>
    <t>20260116-004</t>
  </si>
  <si>
    <t>20260116-006</t>
  </si>
  <si>
    <t>20260116-007</t>
  </si>
  <si>
    <t>20260117-001</t>
  </si>
  <si>
    <t>20260117-002</t>
  </si>
  <si>
    <t>20260117-003</t>
  </si>
  <si>
    <t>20260117-004</t>
  </si>
  <si>
    <t>20260117-005</t>
  </si>
  <si>
    <t>20260117-006</t>
  </si>
  <si>
    <t>20260117-007</t>
  </si>
  <si>
    <t>20260117-008</t>
  </si>
  <si>
    <t>20260117-009</t>
  </si>
  <si>
    <t>20260118-001</t>
  </si>
  <si>
    <t>20260118-002</t>
  </si>
  <si>
    <t>20260118-003</t>
  </si>
  <si>
    <t>20260119-002</t>
  </si>
  <si>
    <t>20260119-003</t>
  </si>
  <si>
    <t>20260119-004</t>
  </si>
  <si>
    <t>20260119-005</t>
  </si>
  <si>
    <t>20260119-006</t>
  </si>
  <si>
    <t>20260119-008</t>
  </si>
  <si>
    <t>20260119-009</t>
  </si>
  <si>
    <t>20260119-010</t>
  </si>
  <si>
    <t>20260119-012</t>
  </si>
  <si>
    <t>20260119-013</t>
  </si>
  <si>
    <t>20260119-014</t>
  </si>
  <si>
    <t>20260119-015</t>
  </si>
  <si>
    <t>20260119-016</t>
  </si>
  <si>
    <t>20260119-017</t>
  </si>
  <si>
    <t>20260119-018</t>
  </si>
  <si>
    <t>20260119-019</t>
  </si>
  <si>
    <t>20260119-020</t>
  </si>
  <si>
    <t>20260119-021</t>
  </si>
  <si>
    <t>20260119-022</t>
  </si>
  <si>
    <t>20260119-023</t>
  </si>
  <si>
    <t>20260119-024</t>
  </si>
  <si>
    <t>20260119-025</t>
  </si>
  <si>
    <t>20260119-026</t>
  </si>
  <si>
    <t>20260119-027</t>
  </si>
  <si>
    <t>20260120-001</t>
  </si>
  <si>
    <t>20260120-002</t>
  </si>
  <si>
    <t>20260120-003</t>
  </si>
  <si>
    <t>20260120-004</t>
  </si>
  <si>
    <t>20260120-005</t>
  </si>
  <si>
    <t>20260120-006</t>
  </si>
  <si>
    <t>20260120-007</t>
  </si>
  <si>
    <t>20260120-008</t>
  </si>
  <si>
    <t>20260120-009</t>
  </si>
  <si>
    <t>20260120-010</t>
  </si>
  <si>
    <t>20260120-011</t>
  </si>
  <si>
    <t>20260121-001</t>
  </si>
  <si>
    <t>20260121-002</t>
  </si>
  <si>
    <t>20260121-004</t>
  </si>
  <si>
    <t>20260121-005</t>
  </si>
  <si>
    <t>20260121-006</t>
  </si>
  <si>
    <t>20260121-007</t>
  </si>
  <si>
    <t>20260121-008</t>
  </si>
  <si>
    <t>20260122-001</t>
  </si>
  <si>
    <t>20260122-003</t>
  </si>
  <si>
    <t>20260122-004</t>
  </si>
  <si>
    <t>20260122-005</t>
  </si>
  <si>
    <t>20260122-007</t>
  </si>
  <si>
    <t>20260122-008</t>
  </si>
  <si>
    <t>20260123-001</t>
  </si>
  <si>
    <t>20260123-002</t>
  </si>
  <si>
    <t>20260123-003</t>
  </si>
  <si>
    <t>20260123-004</t>
  </si>
  <si>
    <t>20260124-001</t>
  </si>
  <si>
    <t>20260124-002</t>
  </si>
  <si>
    <t>20260124-003</t>
  </si>
  <si>
    <t>20260124-004</t>
  </si>
  <si>
    <t>20260124-005</t>
  </si>
  <si>
    <t>20260124-006</t>
  </si>
  <si>
    <t>20260124-007</t>
  </si>
  <si>
    <t>20260124-008</t>
  </si>
  <si>
    <t>20260124-009</t>
  </si>
  <si>
    <t>20260124-010</t>
  </si>
  <si>
    <t>20260124-011</t>
  </si>
  <si>
    <t>20260125-002</t>
  </si>
  <si>
    <t>20260125-003</t>
  </si>
  <si>
    <t>20260125-004</t>
  </si>
  <si>
    <t>20260125-005</t>
  </si>
  <si>
    <t>20260125-006</t>
  </si>
  <si>
    <t>20260126-001</t>
  </si>
  <si>
    <t>20260126-003</t>
  </si>
  <si>
    <t>20260126-005</t>
  </si>
  <si>
    <t>20260127-001</t>
  </si>
  <si>
    <t>20260127-002</t>
  </si>
  <si>
    <t>20260127-003</t>
  </si>
  <si>
    <t>20260127-004</t>
  </si>
  <si>
    <t>20260127-005</t>
  </si>
  <si>
    <t>20260128-001</t>
  </si>
  <si>
    <t>20260128-002</t>
  </si>
  <si>
    <t>20260128-003</t>
  </si>
  <si>
    <t>20260128-004</t>
  </si>
  <si>
    <t>20260128-005</t>
  </si>
  <si>
    <t>20260128-007</t>
  </si>
  <si>
    <t>20260128-008</t>
  </si>
  <si>
    <t>20260128-009</t>
  </si>
  <si>
    <t>20260128-010</t>
  </si>
  <si>
    <t>20260128-012</t>
  </si>
  <si>
    <t>20260128-013</t>
  </si>
  <si>
    <t>20260128-014</t>
  </si>
  <si>
    <t>20260129-001</t>
  </si>
  <si>
    <t>20260129-002</t>
  </si>
  <si>
    <t>20260129-003</t>
  </si>
  <si>
    <t>20260129-004</t>
  </si>
  <si>
    <t>20260129-005</t>
  </si>
  <si>
    <t>20260129-006</t>
  </si>
  <si>
    <t>20260129-007</t>
  </si>
  <si>
    <t>20260129-009</t>
  </si>
  <si>
    <t>20260130-001</t>
  </si>
  <si>
    <t>20260130-002</t>
  </si>
  <si>
    <t>20260130-003</t>
  </si>
  <si>
    <t>20260130-004</t>
  </si>
  <si>
    <t>20260130-005</t>
  </si>
  <si>
    <t>20260130-007</t>
  </si>
  <si>
    <t>20260130-011</t>
  </si>
  <si>
    <t>20260130-012</t>
  </si>
  <si>
    <t>20260130-013</t>
  </si>
  <si>
    <t>小計</t>
  </si>
  <si>
    <t>結案數</t>
  </si>
  <si>
    <t>總天數</t>
  </si>
  <si>
    <t>平均天數</t>
  </si>
  <si>
    <t>20260101-012</t>
  </si>
  <si>
    <t>20260105-008</t>
  </si>
  <si>
    <t>20260110-010</t>
  </si>
  <si>
    <t>20260112-001</t>
  </si>
  <si>
    <t>20260112-002</t>
  </si>
  <si>
    <t>20260112-003</t>
  </si>
  <si>
    <t>20260112-004</t>
  </si>
  <si>
    <t>20260119-001</t>
  </si>
  <si>
    <t>20260130-010</t>
  </si>
  <si>
    <t>20260130-006</t>
  </si>
  <si>
    <t>20260130-008</t>
  </si>
  <si>
    <t>20260130-009</t>
  </si>
  <si>
    <t>20260130-014</t>
  </si>
  <si>
    <t>20260130-015</t>
  </si>
  <si>
    <t>20260130-016</t>
  </si>
  <si>
    <t>20260130-018</t>
  </si>
  <si>
    <t>20260130-019</t>
  </si>
  <si>
    <t>20260131-001</t>
  </si>
  <si>
    <t>20260131-002</t>
  </si>
  <si>
    <t>20260131-003</t>
  </si>
  <si>
    <t>20260131-004</t>
  </si>
  <si>
    <t>20260131-005</t>
  </si>
  <si>
    <t>20260131-006</t>
  </si>
  <si>
    <t>20260131-007</t>
  </si>
  <si>
    <t>20260131-008</t>
  </si>
  <si>
    <t>20260131-009</t>
  </si>
  <si>
    <t>20260131-011</t>
  </si>
  <si>
    <t>20260204-009</t>
  </si>
  <si>
    <t>20260201-001</t>
  </si>
  <si>
    <t>20260201-002</t>
  </si>
  <si>
    <t>20260201-003</t>
  </si>
  <si>
    <t>20260201-004</t>
  </si>
  <si>
    <t>20260201-005</t>
  </si>
  <si>
    <t>20260201-006</t>
  </si>
  <si>
    <t>20260201-007</t>
  </si>
  <si>
    <t>20260201-008</t>
  </si>
  <si>
    <t>20260202-001</t>
  </si>
  <si>
    <t>20260202-005</t>
  </si>
  <si>
    <t>20260202-006</t>
  </si>
  <si>
    <t>20260202-008</t>
  </si>
  <si>
    <t>20260202-009</t>
  </si>
  <si>
    <t>20260202-010</t>
  </si>
  <si>
    <t>20260202-011</t>
  </si>
  <si>
    <t>20260202-012</t>
  </si>
  <si>
    <t>20260202-013</t>
  </si>
  <si>
    <t>20260202-014</t>
  </si>
  <si>
    <t>20260202-015</t>
  </si>
  <si>
    <t>20260202-016</t>
  </si>
  <si>
    <t>20260202-017</t>
  </si>
  <si>
    <t>20260202-018</t>
  </si>
  <si>
    <t>20260202-019</t>
  </si>
  <si>
    <t>20260202-020</t>
  </si>
  <si>
    <t>20260202-021</t>
  </si>
  <si>
    <t>20260202-022</t>
  </si>
  <si>
    <t>20260203-002</t>
  </si>
  <si>
    <t>20260204-001</t>
  </si>
  <si>
    <t>20260204-002</t>
  </si>
  <si>
    <t>20260204-003</t>
  </si>
  <si>
    <t>20260204-005</t>
  </si>
  <si>
    <t>20260204-006</t>
  </si>
  <si>
    <t>20260204-007</t>
  </si>
  <si>
    <t>20260204-010</t>
  </si>
  <si>
    <t>20260204-011</t>
  </si>
  <si>
    <t>20260204-012</t>
  </si>
  <si>
    <t>20260204-013</t>
  </si>
  <si>
    <t>20260204-014</t>
  </si>
  <si>
    <t>20260204-015</t>
  </si>
  <si>
    <t>20260204-016</t>
  </si>
  <si>
    <t>20260204-017</t>
  </si>
  <si>
    <t>20260204-018</t>
  </si>
  <si>
    <t>20260204-019</t>
  </si>
  <si>
    <t>20260204-020</t>
  </si>
  <si>
    <t>20260204-021</t>
  </si>
  <si>
    <t>20260204-022</t>
  </si>
  <si>
    <t>20260204-023</t>
  </si>
  <si>
    <t>20260204-024</t>
  </si>
  <si>
    <t>20260205-002</t>
  </si>
  <si>
    <t>20260204-025</t>
  </si>
  <si>
    <t>20260205-003</t>
  </si>
  <si>
    <t>20260205-004</t>
  </si>
  <si>
    <t>20260205-005</t>
  </si>
  <si>
    <t>20260205-006</t>
  </si>
  <si>
    <t>20260205-007</t>
  </si>
  <si>
    <t>20260205-012</t>
  </si>
  <si>
    <t>20260205-013</t>
  </si>
  <si>
    <t>20260206-001</t>
  </si>
  <si>
    <t>20260206-002</t>
  </si>
  <si>
    <t>20260206-003</t>
  </si>
  <si>
    <t>20260207-001</t>
  </si>
  <si>
    <t>20260207-007</t>
  </si>
  <si>
    <t>20260207-008</t>
  </si>
  <si>
    <t>20260207-009</t>
  </si>
  <si>
    <t>20260207-010</t>
  </si>
  <si>
    <t>20260207-011</t>
  </si>
  <si>
    <t>20260207-012</t>
  </si>
  <si>
    <t>20260207-013</t>
  </si>
  <si>
    <t>20260208-001</t>
  </si>
  <si>
    <t>20260208-002</t>
  </si>
  <si>
    <t>20260208-004</t>
  </si>
  <si>
    <t>20260208-005</t>
  </si>
  <si>
    <t>20260208-006</t>
  </si>
  <si>
    <t>20260208-007</t>
  </si>
  <si>
    <t>20260209-001</t>
  </si>
  <si>
    <t>20260209-004</t>
  </si>
  <si>
    <t>20260209-008</t>
  </si>
  <si>
    <t>20260209-009</t>
  </si>
  <si>
    <t>20260209-010</t>
  </si>
  <si>
    <t>20260209-012</t>
  </si>
  <si>
    <t>20260209-013</t>
  </si>
  <si>
    <t>20260209-014</t>
  </si>
  <si>
    <t>20260209-017</t>
  </si>
  <si>
    <t>20260210-001</t>
  </si>
  <si>
    <t>20260211-001</t>
  </si>
  <si>
    <t>20260211-003</t>
  </si>
  <si>
    <t>20260211-004</t>
  </si>
  <si>
    <t>20260211-005</t>
  </si>
  <si>
    <t>20260211-006</t>
  </si>
  <si>
    <t>20260211-007</t>
  </si>
  <si>
    <t>20260211-008</t>
  </si>
  <si>
    <t>20260212-001</t>
  </si>
  <si>
    <t>20260212-002</t>
  </si>
  <si>
    <t>20260212-005</t>
  </si>
  <si>
    <t>20260212-006</t>
  </si>
  <si>
    <t>20260212-007</t>
  </si>
  <si>
    <t>20260212-008</t>
  </si>
  <si>
    <t>20260212-009</t>
  </si>
  <si>
    <t>20260212-010</t>
  </si>
  <si>
    <t>20260212-011</t>
  </si>
  <si>
    <t>20260212-012</t>
  </si>
  <si>
    <t>20260212-013</t>
  </si>
  <si>
    <t>20260212-014</t>
  </si>
  <si>
    <t>20260213-002</t>
  </si>
  <si>
    <t>20260213-003</t>
  </si>
  <si>
    <t>20260214-001</t>
  </si>
  <si>
    <t>20260214-002</t>
  </si>
  <si>
    <t>20260214-003</t>
  </si>
  <si>
    <t>20260214-004</t>
  </si>
  <si>
    <t>20260214-005</t>
  </si>
  <si>
    <t>20260214-006</t>
  </si>
  <si>
    <t>20260215-001</t>
  </si>
  <si>
    <t>20260215-003</t>
  </si>
  <si>
    <t>20260215-004</t>
  </si>
  <si>
    <t>20260215-009</t>
  </si>
  <si>
    <t>20260215-010</t>
  </si>
  <si>
    <t>20260215-011</t>
  </si>
  <si>
    <t>20260216-001</t>
  </si>
  <si>
    <t>20260216-002</t>
  </si>
  <si>
    <t>20260216-003</t>
  </si>
  <si>
    <t>20260216-004</t>
  </si>
  <si>
    <t>20260216-005</t>
  </si>
  <si>
    <t>20260216-006</t>
  </si>
  <si>
    <t>20260216-007</t>
  </si>
  <si>
    <t>20260216-008</t>
  </si>
  <si>
    <t>20260216-009</t>
  </si>
  <si>
    <t>20260216-010</t>
  </si>
  <si>
    <t>20260216-011</t>
  </si>
  <si>
    <t>20260216-012</t>
  </si>
  <si>
    <t>20260216-013</t>
  </si>
  <si>
    <t>20260217-001</t>
  </si>
  <si>
    <t>20260217-002</t>
  </si>
  <si>
    <t>20260217-003</t>
  </si>
  <si>
    <t>20260217-005</t>
  </si>
  <si>
    <t>20260217-006</t>
  </si>
  <si>
    <t>20260218-003</t>
  </si>
  <si>
    <t>20260218-004</t>
  </si>
  <si>
    <t>20260218-005</t>
  </si>
  <si>
    <t>20260218-006</t>
  </si>
  <si>
    <t>20260218-007</t>
  </si>
  <si>
    <t>20260218-009</t>
  </si>
  <si>
    <t>20260219-001</t>
  </si>
  <si>
    <t>20260219-003</t>
  </si>
  <si>
    <t>20260220-001</t>
  </si>
  <si>
    <t>20260220-003</t>
  </si>
  <si>
    <t>20260221-001</t>
  </si>
  <si>
    <t>20260221-002</t>
  </si>
  <si>
    <t>20260221-003</t>
  </si>
  <si>
    <t>20260221-004</t>
  </si>
  <si>
    <t>20260221-005</t>
  </si>
  <si>
    <t>20260221-006</t>
  </si>
  <si>
    <t>20260221-007</t>
  </si>
  <si>
    <t>20260221-008</t>
  </si>
  <si>
    <t>20260221-010</t>
  </si>
  <si>
    <t>20260222-001</t>
  </si>
  <si>
    <t>20260222-002</t>
  </si>
  <si>
    <t>20260222-003</t>
  </si>
  <si>
    <t>20260222-004</t>
  </si>
  <si>
    <t>20260222-005</t>
  </si>
  <si>
    <t>20260222-006</t>
  </si>
  <si>
    <t>20260222-007</t>
  </si>
  <si>
    <t>20260222-008</t>
  </si>
  <si>
    <t>20260222-009</t>
  </si>
  <si>
    <t>20260222-010</t>
  </si>
  <si>
    <t>20260223-001</t>
  </si>
  <si>
    <t>20260223-012</t>
  </si>
  <si>
    <t>20260223-017</t>
  </si>
  <si>
    <t>20260223-021</t>
  </si>
  <si>
    <t>20260223-022</t>
  </si>
  <si>
    <t>20260223-025</t>
  </si>
  <si>
    <t>20260223-042</t>
  </si>
  <si>
    <t>20260223-045</t>
  </si>
  <si>
    <t>20260223-046</t>
  </si>
  <si>
    <t>20260223-048</t>
  </si>
  <si>
    <t>20260223-051</t>
  </si>
  <si>
    <t>20260223-056</t>
  </si>
  <si>
    <t>20260223-061</t>
  </si>
  <si>
    <t>20260223-062</t>
  </si>
  <si>
    <t>20260223-067</t>
  </si>
  <si>
    <t>20260223-068</t>
  </si>
  <si>
    <t>20260223-077</t>
  </si>
  <si>
    <t>20260223-082</t>
  </si>
  <si>
    <t>20260223-081</t>
  </si>
  <si>
    <t>20260223-083</t>
  </si>
  <si>
    <t>20260223-094</t>
  </si>
  <si>
    <t>20260223-090</t>
  </si>
  <si>
    <t>20260223-091</t>
  </si>
  <si>
    <t>20260223-093</t>
  </si>
  <si>
    <t>20260223-096</t>
  </si>
  <si>
    <t>20260223-105</t>
  </si>
  <si>
    <t>20260223-106</t>
  </si>
  <si>
    <t>20260223-109</t>
  </si>
  <si>
    <t>20260224-003</t>
  </si>
  <si>
    <t>20260224-005</t>
  </si>
  <si>
    <t>20260225-002</t>
  </si>
  <si>
    <t>20260225-003</t>
  </si>
  <si>
    <t>20260225-004</t>
  </si>
  <si>
    <t>20260225-005</t>
  </si>
  <si>
    <t>20260225-006</t>
  </si>
  <si>
    <t>20260226-004</t>
  </si>
  <si>
    <t>20260226-006</t>
  </si>
  <si>
    <t>20260226-007</t>
  </si>
  <si>
    <t>20260130-017</t>
  </si>
  <si>
    <t>20260209-011</t>
  </si>
  <si>
    <t>20260208-003</t>
  </si>
  <si>
    <t>20260215-006</t>
  </si>
  <si>
    <t>20260215-012</t>
  </si>
  <si>
    <t>20260218-001</t>
  </si>
  <si>
    <t>20260218-008</t>
  </si>
  <si>
    <t>20260219-002</t>
  </si>
  <si>
    <t>20260220-002</t>
  </si>
  <si>
    <t>20260223-023</t>
  </si>
  <si>
    <t>20260223-047</t>
  </si>
  <si>
    <t>20260223-049</t>
  </si>
  <si>
    <t>20260223-052</t>
  </si>
  <si>
    <t>20260223-054</t>
  </si>
  <si>
    <t>20260223-058</t>
  </si>
  <si>
    <t>20260223-060</t>
  </si>
  <si>
    <t>20260223-066</t>
  </si>
  <si>
    <t>20260223-070</t>
  </si>
  <si>
    <t>20260223-089</t>
  </si>
  <si>
    <t>20260223-108</t>
  </si>
  <si>
    <t>20260224-001</t>
  </si>
  <si>
    <t>20260224-002</t>
  </si>
  <si>
    <t>20260224-004</t>
  </si>
  <si>
    <t>20260225-007</t>
  </si>
  <si>
    <t>20260226-003</t>
  </si>
  <si>
    <t>20260226-005</t>
  </si>
  <si>
    <t>20260227-001</t>
  </si>
  <si>
    <t>20260227-002</t>
  </si>
  <si>
    <t>20260228-001</t>
  </si>
  <si>
    <t>20260301-001</t>
  </si>
  <si>
    <t>20260301-002</t>
  </si>
  <si>
    <t>20260301-003</t>
  </si>
  <si>
    <t>20260301-004</t>
  </si>
  <si>
    <t>20260301-005</t>
  </si>
  <si>
    <t>20260302-002</t>
  </si>
  <si>
    <t>20260303-001</t>
  </si>
  <si>
    <t>20260303-002</t>
  </si>
  <si>
    <t>20260303-003</t>
  </si>
  <si>
    <t>20260303-004</t>
  </si>
  <si>
    <t>20260303-005</t>
  </si>
  <si>
    <t>20260303-006</t>
  </si>
  <si>
    <t>20260304-001</t>
  </si>
  <si>
    <t>20260304-002</t>
  </si>
  <si>
    <t>20260304-003</t>
  </si>
  <si>
    <t>20260304-004</t>
  </si>
  <si>
    <t>20260304-005</t>
  </si>
  <si>
    <t>20260304-006</t>
  </si>
  <si>
    <t>20260304-007</t>
  </si>
  <si>
    <t>20260304-008</t>
  </si>
  <si>
    <t>20260304-009</t>
  </si>
  <si>
    <t>20260304-010</t>
  </si>
  <si>
    <t>20260304-011</t>
  </si>
  <si>
    <t>20260305-002</t>
  </si>
  <si>
    <t>20260305-004</t>
  </si>
  <si>
    <t>20260305-003</t>
  </si>
  <si>
    <t>20260305-005</t>
  </si>
  <si>
    <t>20260305-006</t>
  </si>
  <si>
    <t>20260306-001</t>
  </si>
  <si>
    <t>20260307-001</t>
  </si>
  <si>
    <t>20260307-002</t>
  </si>
  <si>
    <t>20260307-003</t>
  </si>
  <si>
    <t>20260307-004</t>
  </si>
  <si>
    <t>20260308-001</t>
  </si>
  <si>
    <t>20260309-003</t>
  </si>
  <si>
    <t>20260309-005</t>
  </si>
  <si>
    <t>20260309-006</t>
  </si>
  <si>
    <t>20260309-013</t>
  </si>
  <si>
    <t>20260310-001</t>
  </si>
  <si>
    <t>20260310-002</t>
  </si>
  <si>
    <t>20260310-003</t>
  </si>
  <si>
    <t>20260311-002</t>
  </si>
  <si>
    <t>20260311-003</t>
  </si>
  <si>
    <t>20260311-004</t>
  </si>
  <si>
    <t>20260311-005</t>
  </si>
  <si>
    <t>20260311-008</t>
  </si>
  <si>
    <t>20260311-010</t>
  </si>
  <si>
    <t>20260311-011</t>
  </si>
  <si>
    <t>20260312-003</t>
  </si>
  <si>
    <t>20260312-004</t>
  </si>
  <si>
    <t>20260312-005</t>
  </si>
  <si>
    <t>20260312-006</t>
  </si>
  <si>
    <t>20260312-007</t>
  </si>
  <si>
    <t>20260312-008</t>
  </si>
  <si>
    <t>20260312-009</t>
  </si>
  <si>
    <t>20260312-010</t>
  </si>
  <si>
    <t>20260312-011</t>
  </si>
  <si>
    <t>20260312-012</t>
  </si>
  <si>
    <t>20260312-013</t>
  </si>
  <si>
    <t>20260312-014</t>
  </si>
  <si>
    <t>20260313-001</t>
  </si>
  <si>
    <t>20260313-002</t>
  </si>
  <si>
    <t>20260313-003</t>
  </si>
  <si>
    <t>20260313-005</t>
  </si>
  <si>
    <t>20260313-004</t>
  </si>
  <si>
    <t>20260313-006</t>
  </si>
  <si>
    <t>20260313-008</t>
  </si>
  <si>
    <t>20260313-009</t>
  </si>
  <si>
    <t>20260313-013</t>
  </si>
  <si>
    <t>20260313-014</t>
  </si>
  <si>
    <t>20260313-015</t>
  </si>
  <si>
    <t>20260313-016</t>
  </si>
  <si>
    <t>20260313-017</t>
  </si>
  <si>
    <t>20260314-001</t>
  </si>
  <si>
    <t>20260314-002</t>
  </si>
  <si>
    <t>20260314-003</t>
  </si>
  <si>
    <t>20260314-004</t>
  </si>
  <si>
    <t>20260314-005</t>
  </si>
  <si>
    <t>20260315-001</t>
  </si>
  <si>
    <t>20260315-002</t>
  </si>
  <si>
    <t>20260315-003</t>
  </si>
  <si>
    <t>20260315-004</t>
  </si>
  <si>
    <t>20260315-005</t>
  </si>
  <si>
    <t>20260315-006</t>
  </si>
  <si>
    <t>20260315-007</t>
  </si>
  <si>
    <t>20260315-008</t>
  </si>
  <si>
    <t>20260315-009</t>
  </si>
  <si>
    <t>20260316-001</t>
  </si>
  <si>
    <t>20260316-003</t>
  </si>
  <si>
    <t>20260316-004</t>
  </si>
  <si>
    <t>20260316-005</t>
  </si>
  <si>
    <t>20260316-009</t>
  </si>
  <si>
    <t>20260316-007</t>
  </si>
  <si>
    <t>20260316-008</t>
  </si>
  <si>
    <t>20260317-001</t>
  </si>
  <si>
    <t>20260317-003</t>
  </si>
  <si>
    <t>20260317-007</t>
  </si>
  <si>
    <t>20260318-001</t>
  </si>
  <si>
    <t>20260318-002</t>
  </si>
  <si>
    <t>20260318-003</t>
  </si>
  <si>
    <t>20260319-001</t>
  </si>
  <si>
    <t>20260319-002</t>
  </si>
  <si>
    <t>20260319-003</t>
  </si>
  <si>
    <t>20260319-005</t>
  </si>
  <si>
    <t>20260319-006</t>
  </si>
  <si>
    <t>20260320-001</t>
  </si>
  <si>
    <t>20260320-002</t>
  </si>
  <si>
    <t>20260320-003</t>
  </si>
  <si>
    <t>20260320-004</t>
  </si>
  <si>
    <t>20260320-005</t>
  </si>
  <si>
    <t>20260320-006</t>
  </si>
  <si>
    <t>20260320-007</t>
  </si>
  <si>
    <t>20260320-008</t>
  </si>
  <si>
    <t>20260321-001</t>
  </si>
  <si>
    <t>20260321-002</t>
  </si>
  <si>
    <t>20260321-003</t>
  </si>
  <si>
    <t>20260322-002</t>
  </si>
  <si>
    <t>20260322-003</t>
  </si>
  <si>
    <t>20260322-004</t>
  </si>
  <si>
    <t>20260322-006</t>
  </si>
  <si>
    <t>20260322-007</t>
  </si>
  <si>
    <t>20260322-008</t>
  </si>
  <si>
    <t>20260322-009</t>
  </si>
  <si>
    <t>20260322-010</t>
  </si>
  <si>
    <t>20260322-011</t>
  </si>
  <si>
    <t>20260322-012</t>
  </si>
  <si>
    <t>20260322-013</t>
  </si>
  <si>
    <t>20260322-014</t>
  </si>
  <si>
    <t>20260322-015</t>
  </si>
  <si>
    <t>20260323-001</t>
  </si>
  <si>
    <t>20260323-002</t>
  </si>
  <si>
    <t>20260323-003</t>
  </si>
  <si>
    <t>20260323-004</t>
  </si>
  <si>
    <t>20260323-006</t>
  </si>
  <si>
    <t>20260323-007</t>
  </si>
  <si>
    <t>20260323-008</t>
  </si>
  <si>
    <t>20260323-009</t>
  </si>
  <si>
    <t>20260323-010</t>
  </si>
  <si>
    <t>20260323-011</t>
  </si>
  <si>
    <t>20260324-009</t>
  </si>
  <si>
    <t>20260324-010</t>
  </si>
  <si>
    <t>20260324-011</t>
  </si>
  <si>
    <t>20260324-012</t>
  </si>
  <si>
    <t>20260324-013</t>
  </si>
  <si>
    <t>20260324-014</t>
  </si>
  <si>
    <t>20260324-016</t>
  </si>
  <si>
    <t>20260325-001</t>
  </si>
  <si>
    <t>20260326-001</t>
  </si>
  <si>
    <t>20260326-006</t>
  </si>
  <si>
    <t>20260326-007</t>
  </si>
  <si>
    <t>20260326-008</t>
  </si>
  <si>
    <t>20260326-009</t>
  </si>
  <si>
    <t>20260327-002</t>
  </si>
  <si>
    <t>20260327-003</t>
  </si>
  <si>
    <t>20260327-004</t>
  </si>
  <si>
    <t>20260327-005</t>
  </si>
  <si>
    <t>20260328-001</t>
  </si>
  <si>
    <t>20260328-002</t>
  </si>
  <si>
    <t>20260328-003</t>
  </si>
  <si>
    <t>20260328-004</t>
  </si>
  <si>
    <t>20260328-005</t>
  </si>
  <si>
    <t>20260329-001</t>
  </si>
  <si>
    <t>20260329-004</t>
  </si>
  <si>
    <t>20260329-005</t>
  </si>
  <si>
    <t>20260329-006</t>
  </si>
  <si>
    <t>20260329-007</t>
  </si>
  <si>
    <t>20260329-008</t>
  </si>
  <si>
    <t>20260329-009</t>
  </si>
  <si>
    <t>20260329-010</t>
  </si>
  <si>
    <t>20260329-011</t>
  </si>
  <si>
    <t>20260330-002</t>
  </si>
  <si>
    <t>20260330-003</t>
  </si>
  <si>
    <t>20260330-004</t>
  </si>
  <si>
    <t>20260330-005</t>
  </si>
  <si>
    <t>20260330-006</t>
  </si>
  <si>
    <t>20260330-007</t>
  </si>
  <si>
    <t>20260330-008</t>
  </si>
  <si>
    <t>20260330-010</t>
  </si>
  <si>
    <t>20260331-001</t>
  </si>
  <si>
    <t>20260331-002</t>
  </si>
  <si>
    <t>20260309-004</t>
  </si>
  <si>
    <t>20260322-005</t>
  </si>
  <si>
    <t>20260325-002</t>
  </si>
  <si>
    <t>20260329-002</t>
  </si>
  <si>
    <t>20260401-001</t>
  </si>
  <si>
    <t>20260401-002</t>
  </si>
  <si>
    <t>20260401-003</t>
  </si>
  <si>
    <t>20260401-004</t>
  </si>
  <si>
    <t>20260401-005</t>
  </si>
  <si>
    <t>20260401-006</t>
  </si>
  <si>
    <t>20260401-007</t>
  </si>
  <si>
    <t>20260402-002</t>
  </si>
  <si>
    <t>20260402-003</t>
  </si>
  <si>
    <t>20260402-004</t>
  </si>
  <si>
    <t>20260402-005</t>
  </si>
  <si>
    <t>20260402-006</t>
  </si>
  <si>
    <t>20260403-001</t>
  </si>
  <si>
    <t>20260403-002</t>
  </si>
  <si>
    <t>20260404-001</t>
  </si>
  <si>
    <t>20260404-002</t>
  </si>
  <si>
    <t>20260404-003</t>
  </si>
  <si>
    <t>20260404-004</t>
  </si>
  <si>
    <t>20260404-005</t>
  </si>
  <si>
    <t>20260405-001</t>
  </si>
  <si>
    <t>20260405-002</t>
  </si>
  <si>
    <t>20260405-003</t>
  </si>
  <si>
    <t>20260405-004</t>
  </si>
  <si>
    <t>20260405-005</t>
  </si>
  <si>
    <t>20260406-001</t>
  </si>
  <si>
    <t>20260407-001</t>
  </si>
  <si>
    <t>20260407-002</t>
  </si>
  <si>
    <t>20260408-001</t>
  </si>
  <si>
    <t>20260408-002</t>
  </si>
  <si>
    <t>20260408-003</t>
  </si>
  <si>
    <t>20260408-004</t>
  </si>
  <si>
    <t>20260408-005</t>
  </si>
  <si>
    <t>20260408-006</t>
  </si>
  <si>
    <t>20260408-007</t>
  </si>
  <si>
    <t>20260408-008</t>
  </si>
  <si>
    <t>20260408-009</t>
  </si>
  <si>
    <t>20260408-010</t>
  </si>
  <si>
    <t>20260408-011</t>
  </si>
  <si>
    <t>20260409-003</t>
  </si>
  <si>
    <t>20260409-004</t>
  </si>
  <si>
    <t>20260409-005</t>
  </si>
  <si>
    <t>20260409-006</t>
  </si>
  <si>
    <t>20260409-007</t>
  </si>
  <si>
    <t>20260411-001</t>
  </si>
  <si>
    <t>20260411-002</t>
  </si>
  <si>
    <t>20260411-003</t>
  </si>
  <si>
    <t>20260412-001</t>
  </si>
  <si>
    <t>20260412-002</t>
  </si>
  <si>
    <t>20260412-003</t>
  </si>
  <si>
    <t>20260413-001</t>
  </si>
  <si>
    <t>20260413-002</t>
  </si>
  <si>
    <t>20260413-003</t>
  </si>
  <si>
    <t>20260413-004</t>
  </si>
  <si>
    <t>20260413-005</t>
  </si>
  <si>
    <t>20260414-001</t>
  </si>
  <si>
    <t>20260414-002</t>
  </si>
  <si>
    <t>20260414-003</t>
  </si>
  <si>
    <t>20260414-004</t>
  </si>
  <si>
    <t>20260415-001</t>
  </si>
  <si>
    <t>20260415-002</t>
  </si>
  <si>
    <t>20260415-004</t>
  </si>
  <si>
    <t>20260415-005</t>
  </si>
  <si>
    <t>20260415-006</t>
  </si>
  <si>
    <t>20260415-007</t>
  </si>
  <si>
    <t>20260415-009</t>
  </si>
  <si>
    <t>20260415-010</t>
  </si>
  <si>
    <t>20260416-002</t>
  </si>
  <si>
    <t>In202604-001</t>
  </si>
  <si>
    <t>In202604-002</t>
  </si>
  <si>
    <t>In202604-003</t>
  </si>
  <si>
    <t>In202604-005</t>
  </si>
  <si>
    <t>In202604-004</t>
  </si>
  <si>
    <t>In202604-006</t>
  </si>
  <si>
    <t>In202604-007</t>
  </si>
  <si>
    <t>In202604-008</t>
  </si>
  <si>
    <t>In202604-009</t>
  </si>
  <si>
    <t>In202604-011</t>
  </si>
  <si>
    <t>In202604-012</t>
  </si>
  <si>
    <t>In202604-013</t>
  </si>
  <si>
    <t>In202604-036</t>
  </si>
  <si>
    <t>In202604-037</t>
  </si>
  <si>
    <t>In202604-038</t>
  </si>
  <si>
    <t>In202604-039</t>
  </si>
  <si>
    <t>In202604-040</t>
  </si>
  <si>
    <t>In202604-041</t>
  </si>
  <si>
    <t>In202604-043</t>
  </si>
  <si>
    <t>In202604-044</t>
  </si>
  <si>
    <t>In202604-045</t>
  </si>
  <si>
    <t>In202604-046</t>
  </si>
  <si>
    <t>In202604-047</t>
  </si>
  <si>
    <t>In202604-050</t>
  </si>
  <si>
    <t>In202604-051</t>
  </si>
  <si>
    <t>In202604-052</t>
  </si>
  <si>
    <t>In202604-053</t>
  </si>
  <si>
    <t>In202604-054</t>
  </si>
  <si>
    <t>In202604-055</t>
  </si>
  <si>
    <t>In202604-056</t>
  </si>
  <si>
    <t>In202604-057</t>
  </si>
  <si>
    <t>In202604-058</t>
  </si>
  <si>
    <t>In202604-060</t>
  </si>
  <si>
    <t>In202604-061</t>
  </si>
  <si>
    <t>In202604-062</t>
  </si>
  <si>
    <t>In202604-063</t>
  </si>
  <si>
    <t>In202604-064</t>
  </si>
  <si>
    <t>In202604-065</t>
  </si>
  <si>
    <t>In202604-066</t>
  </si>
  <si>
    <t>In202604-067</t>
  </si>
  <si>
    <t>In202604-068</t>
  </si>
  <si>
    <t>In202604-069</t>
  </si>
  <si>
    <t>In202604-070</t>
  </si>
  <si>
    <t>In202604-071</t>
  </si>
  <si>
    <t>In202604-072</t>
  </si>
  <si>
    <t>In202604-073</t>
  </si>
  <si>
    <t>In202604-074</t>
  </si>
  <si>
    <t>In202604-076</t>
  </si>
  <si>
    <t>In202604-078</t>
  </si>
  <si>
    <t>In202604-081</t>
  </si>
  <si>
    <t>In202604-075</t>
  </si>
  <si>
    <t>In202604-077</t>
  </si>
  <si>
    <t>In202604-079</t>
  </si>
  <si>
    <t>In202604-080</t>
  </si>
  <si>
    <t>In202604-082</t>
  </si>
  <si>
    <t>In202604-083</t>
  </si>
  <si>
    <t>In202604-084</t>
  </si>
  <si>
    <t>In202604-086</t>
  </si>
  <si>
    <t>In202604-085</t>
  </si>
  <si>
    <t>In202604-092</t>
  </si>
  <si>
    <t>In202604-093</t>
  </si>
  <si>
    <t>In202604-096</t>
  </si>
  <si>
    <t>In202604-097</t>
  </si>
  <si>
    <t>In202604-098</t>
  </si>
  <si>
    <t>In202604-108</t>
  </si>
  <si>
    <t>In202604-110</t>
  </si>
  <si>
    <t>In202604-111</t>
  </si>
  <si>
    <t>In202604-112</t>
  </si>
  <si>
    <t>In202604-114</t>
  </si>
  <si>
    <t>In202604-115</t>
  </si>
  <si>
    <t>In202604-116</t>
  </si>
  <si>
    <t>In202604-117</t>
  </si>
  <si>
    <t>In202605-001</t>
  </si>
  <si>
    <t>In202605-002</t>
  </si>
  <si>
    <t>In202605-003</t>
  </si>
  <si>
    <t>In202605-004</t>
  </si>
  <si>
    <t>In202605-005</t>
  </si>
  <si>
    <t>In202605-006</t>
  </si>
  <si>
    <t>In202605-008</t>
  </si>
  <si>
    <t>In202605-010</t>
  </si>
  <si>
    <t>In202605-011</t>
  </si>
  <si>
    <t>In202605-014</t>
  </si>
  <si>
    <t>In202605-015</t>
  </si>
  <si>
    <t>In202605-016</t>
  </si>
  <si>
    <t>In202605-017</t>
  </si>
  <si>
    <t>In202605-021</t>
  </si>
  <si>
    <t>In202605-022</t>
  </si>
  <si>
    <t>In202605-023</t>
  </si>
  <si>
    <t>In202605-024</t>
  </si>
  <si>
    <t>In202605-025</t>
  </si>
  <si>
    <t>In202605-028</t>
  </si>
  <si>
    <t>In202605-029</t>
  </si>
  <si>
    <t>In202605-030</t>
  </si>
  <si>
    <t>In202605-031</t>
  </si>
  <si>
    <t>In202605-032</t>
  </si>
  <si>
    <t>In202605-033</t>
  </si>
  <si>
    <t>In202605-034</t>
  </si>
  <si>
    <t>In202605-035</t>
  </si>
  <si>
    <t>In202605-038</t>
  </si>
  <si>
    <t>In202605-041</t>
  </si>
  <si>
    <t>In202605-044</t>
  </si>
  <si>
    <t>In202605-047</t>
  </si>
  <si>
    <t>YYYYMM</t>
    <phoneticPr fontId="7" type="noConversion"/>
  </si>
  <si>
    <t>報修人</t>
  </si>
  <si>
    <t>反應單位</t>
  </si>
  <si>
    <t>維修地點</t>
  </si>
  <si>
    <t>(備註/詳細說明)</t>
  </si>
  <si>
    <t>類型</t>
  </si>
  <si>
    <t>上傳圖片</t>
  </si>
  <si>
    <t>優先順序</t>
  </si>
  <si>
    <t>物件</t>
  </si>
  <si>
    <t>檢查處理狀態</t>
  </si>
  <si>
    <t>維修人員</t>
  </si>
  <si>
    <t>待修天數</t>
  </si>
  <si>
    <t>處理說明</t>
  </si>
  <si>
    <t>驗收說明</t>
  </si>
  <si>
    <t>進度</t>
  </si>
  <si>
    <t>報修日期+1天</t>
  </si>
  <si>
    <t>現在日期時間</t>
  </si>
  <si>
    <t>報修日期+4H</t>
  </si>
  <si>
    <t>提醒日期欄位</t>
  </si>
  <si>
    <t>提醒日期欄位+4H</t>
  </si>
  <si>
    <t>工作性質</t>
  </si>
  <si>
    <t>待修工時</t>
  </si>
  <si>
    <t>維修時數</t>
  </si>
  <si>
    <t>狀態</t>
  </si>
  <si>
    <t>結案時間</t>
  </si>
  <si>
    <t>維修工時</t>
  </si>
  <si>
    <t>客戶費用(其它用途)</t>
  </si>
  <si>
    <t>In202605-086</t>
  </si>
  <si>
    <t>Ann</t>
  </si>
  <si>
    <t>房務部</t>
  </si>
  <si>
    <t>813</t>
  </si>
  <si>
    <t>房內有點悶熱，麻煩調整（補單）</t>
  </si>
  <si>
    <t>空調</t>
  </si>
  <si>
    <t>有預進客人</t>
  </si>
  <si>
    <t>主機</t>
  </si>
  <si>
    <t/>
  </si>
  <si>
    <t>朱欽光</t>
  </si>
  <si>
    <t>待辦驗</t>
  </si>
  <si>
    <t>已調整</t>
  </si>
  <si>
    <t>In202605-085</t>
  </si>
  <si>
    <t>冷氣出風口有黏膠帶_x000D_
請幫忙移除</t>
  </si>
  <si>
    <t>IMG_1215.jpeg</t>
  </si>
  <si>
    <t>吳友仁</t>
  </si>
  <si>
    <t>已移除</t>
  </si>
  <si>
    <t>In202605-084</t>
  </si>
  <si>
    <t>806</t>
  </si>
  <si>
    <t>門鈴只有單音</t>
  </si>
  <si>
    <t>內裝</t>
  </si>
  <si>
    <t>空房</t>
  </si>
  <si>
    <t>門</t>
  </si>
  <si>
    <t>工單取消</t>
  </si>
  <si>
    <t>In202605-083</t>
  </si>
  <si>
    <t>車道哨</t>
  </si>
  <si>
    <t>工程部</t>
  </si>
  <si>
    <t>B1 後場</t>
  </si>
  <si>
    <t>昨天修好，今天早上門把又壞掉了</t>
  </si>
  <si>
    <t>1000015999.jpg</t>
  </si>
  <si>
    <t>一般</t>
  </si>
  <si>
    <t>待修中</t>
  </si>
  <si>
    <t>In202605-082</t>
  </si>
  <si>
    <t>Andy</t>
  </si>
  <si>
    <t>客人反應</t>
  </si>
  <si>
    <t>730</t>
  </si>
  <si>
    <t>730 的客人說房間溫度偏低 請協助前往查看</t>
  </si>
  <si>
    <t>客人在房內</t>
  </si>
  <si>
    <t>In202605-081</t>
  </si>
  <si>
    <t>607</t>
  </si>
  <si>
    <t>房門要黏貼木皮</t>
  </si>
  <si>
    <t>IMG_1199.jpeg</t>
  </si>
  <si>
    <t>In202605-080</t>
  </si>
  <si>
    <t>姿婷</t>
  </si>
  <si>
    <t>911</t>
  </si>
  <si>
    <t>911 馬桶零件鬆動 補單</t>
  </si>
  <si>
    <t>衛厠</t>
  </si>
  <si>
    <t>1000009947.jpg</t>
  </si>
  <si>
    <t>馬桶</t>
  </si>
  <si>
    <t>李宗銘</t>
  </si>
  <si>
    <t>已修復</t>
  </si>
  <si>
    <t>In202605-079</t>
  </si>
  <si>
    <t>Kevin</t>
  </si>
  <si>
    <t>707</t>
  </si>
  <si>
    <t>已請ENG調整過 但客人還是覺得房間太冷</t>
  </si>
  <si>
    <t>In202605-078</t>
  </si>
  <si>
    <t>1016</t>
  </si>
  <si>
    <t>1016 溫度一直在24度下不去 很熱</t>
  </si>
  <si>
    <t>1000009945.jpg</t>
  </si>
  <si>
    <t>In202605-077</t>
  </si>
  <si>
    <t>1016 淋浴間門把鬆動</t>
  </si>
  <si>
    <t>1000009946.jpg</t>
  </si>
  <si>
    <t>淋浴間</t>
  </si>
  <si>
    <t>In202605-076</t>
  </si>
  <si>
    <t>921</t>
  </si>
  <si>
    <t>921 浴缸旁大理石需填縫 有點刮手</t>
  </si>
  <si>
    <t xml:space="preserve">1000009940.jpg : https://ap12.ragic.com/sims/file.jsp?a=soutlet001&amp;f=9jedqImoeM%401000009940.jpg
1000009938.jpg : https://ap12.ragic.com/sims/file.jsp?a=soutlet001&amp;f=i9A4AVRbkp%401000009938.jpg
</t>
  </si>
  <si>
    <t>In202605-075</t>
  </si>
  <si>
    <t>513</t>
  </si>
  <si>
    <t>冰箱不冷</t>
  </si>
  <si>
    <t>凍&amp;藏類設備</t>
  </si>
  <si>
    <t>冰箱 (冷凍 &amp; 藏)</t>
  </si>
  <si>
    <t>In202605-074</t>
  </si>
  <si>
    <t>912</t>
  </si>
  <si>
    <t xml:space="preserve">912 淋浴間門把鬆動 </t>
  </si>
  <si>
    <t>1000009935.jpg</t>
  </si>
  <si>
    <t>已固定</t>
  </si>
  <si>
    <t>In202605-073</t>
  </si>
  <si>
    <t>Eric</t>
  </si>
  <si>
    <t>819</t>
  </si>
  <si>
    <t>浴缸出水龍頭會滴水</t>
  </si>
  <si>
    <t>給&amp;排水</t>
  </si>
  <si>
    <t>2192.jpg</t>
  </si>
  <si>
    <t>漏水</t>
  </si>
  <si>
    <t>In202605-072</t>
  </si>
  <si>
    <t>浴室天花板吸水</t>
  </si>
  <si>
    <t>已處理</t>
  </si>
  <si>
    <t>In202605-071</t>
  </si>
  <si>
    <t>Annya</t>
  </si>
  <si>
    <t>706</t>
  </si>
  <si>
    <t>門鈴沒有聲音</t>
  </si>
  <si>
    <t>In202605-070</t>
  </si>
  <si>
    <t>1018</t>
  </si>
  <si>
    <t>1018 馬桶按壓零件鬆動 有預進</t>
  </si>
  <si>
    <t>1000009931.jpg</t>
  </si>
  <si>
    <t>In202605-069</t>
  </si>
  <si>
    <t>522</t>
  </si>
  <si>
    <t>淋浴間天花板斑駁</t>
  </si>
  <si>
    <t xml:space="preserve">IMG_1174.jpeg : https://ap12.ragic.com/sims/file.jsp?a=soutlet001&amp;f=WMXoPaY43e%40IMG_1174.jpeg
IMG_1175.jpeg : https://ap12.ragic.com/sims/file.jsp?a=soutlet001&amp;f=iVxS0Aearf%40IMG_1175.jpeg
IMG_1176.jpeg : https://ap12.ragic.com/sims/file.jsp?a=soutlet001&amp;f=BctIMvXZmw%40IMG_1176.jpeg
</t>
  </si>
  <si>
    <t>天花板</t>
  </si>
  <si>
    <t>已補漆</t>
  </si>
  <si>
    <t>In202605-068</t>
  </si>
  <si>
    <t>501</t>
  </si>
  <si>
    <t>客廳冷氣面板顯示錯誤</t>
  </si>
  <si>
    <t>IMG_1173.jpeg</t>
  </si>
  <si>
    <t>In202605-067</t>
  </si>
  <si>
    <t>FO</t>
  </si>
  <si>
    <t>客人5/9早上反應冷氣太冷 溫度一直上不來</t>
  </si>
  <si>
    <t>In202605-066</t>
  </si>
  <si>
    <t>909</t>
  </si>
  <si>
    <t>止水條斷裂</t>
  </si>
  <si>
    <t>IMG_1582.jpeg</t>
  </si>
  <si>
    <t>In202605-065</t>
  </si>
  <si>
    <t>531</t>
  </si>
  <si>
    <t>床頭右球燈不亮</t>
  </si>
  <si>
    <t>照明</t>
  </si>
  <si>
    <t>IMG_1600.jpeg</t>
  </si>
  <si>
    <t>燈具</t>
  </si>
  <si>
    <t>In202605-064</t>
  </si>
  <si>
    <t>客房門房擋片補貼皮</t>
  </si>
  <si>
    <t>IMG_1599.jpeg</t>
  </si>
  <si>
    <t>In202605-063</t>
  </si>
  <si>
    <t>客房門補貼皮</t>
  </si>
  <si>
    <t>In202605-062</t>
  </si>
  <si>
    <t>825</t>
  </si>
  <si>
    <t>‼️同樣問題，第二次呈報工單_x000D_
天花板二側層板燈：不亮</t>
  </si>
  <si>
    <t xml:space="preserve">IMG_1594.jpeg : https://ap12.ragic.com/sims/file.jsp?a=soutlet001&amp;f=hBqc3HKTlQ%40IMG_1594.jpeg
IMG_1593.jpeg : https://ap12.ragic.com/sims/file.jsp?a=soutlet001&amp;f=P092p3Nkow%40IMG_1593.jpeg
</t>
  </si>
  <si>
    <t>In202605-061</t>
  </si>
  <si>
    <t>空調太熱</t>
  </si>
  <si>
    <t>分離式冷氣</t>
  </si>
  <si>
    <t>In202605-060</t>
  </si>
  <si>
    <t>黃梓灃</t>
  </si>
  <si>
    <t>In202605-059</t>
  </si>
  <si>
    <t>浴簾卡住</t>
  </si>
  <si>
    <t>IMG_1581.jpeg</t>
  </si>
  <si>
    <t>浴簾</t>
  </si>
  <si>
    <t>In202605-058</t>
  </si>
  <si>
    <t>507</t>
  </si>
  <si>
    <t>電視遙控器無法開啟關閉電視</t>
  </si>
  <si>
    <t>會議設備</t>
  </si>
  <si>
    <t>電視</t>
  </si>
  <si>
    <t>In202605-057</t>
  </si>
  <si>
    <t>505</t>
  </si>
  <si>
    <t>電視只能on/off，其他選項無法操作</t>
  </si>
  <si>
    <t>In202605-056</t>
  </si>
  <si>
    <t>電視遙控器 不能使用</t>
  </si>
  <si>
    <t>In202605-055</t>
  </si>
  <si>
    <t>823</t>
  </si>
  <si>
    <t>客房門卡電池弱電請更換</t>
  </si>
  <si>
    <t>IMG_1551.jpeg</t>
  </si>
  <si>
    <t>緊急</t>
  </si>
  <si>
    <t>In202605-054</t>
  </si>
  <si>
    <t>515</t>
  </si>
  <si>
    <t>淋浴間矽利康脫落，要重打</t>
  </si>
  <si>
    <t xml:space="preserve">S__93380627_0.jpg : https://ap12.ragic.com/sims/file.jsp?a=soutlet001&amp;f=XFVTxU3Crl%40S__93380627_0.jpg
S__93380628_0.jpg : https://ap12.ragic.com/sims/file.jsp?a=soutlet001&amp;f=MBBbahbRQX%40S__93380628_0.jpg
</t>
  </si>
  <si>
    <t>In202605-053</t>
  </si>
  <si>
    <t>606</t>
  </si>
  <si>
    <t>淋浴間地板矽利康斷裂發霉</t>
  </si>
  <si>
    <t xml:space="preserve">IMG_1487.jpeg : https://ap12.ragic.com/sims/file.jsp?a=soutlet001&amp;f=iNlKbSaupb%40IMG_1487.jpeg
IMG_1486.jpeg : https://ap12.ragic.com/sims/file.jsp?a=soutlet001&amp;f=hq8MfAYn1M%40IMG_1486.jpeg
IMG_1485.jpeg : https://ap12.ragic.com/sims/file.jsp?a=soutlet001&amp;f=2TYPxxFaVd%40IMG_1485.jpeg
</t>
  </si>
  <si>
    <t>In202605-052</t>
  </si>
  <si>
    <t>601</t>
  </si>
  <si>
    <t>床頭球燈：右邊不亮</t>
  </si>
  <si>
    <t>IMG_1483.jpeg</t>
  </si>
  <si>
    <t>已更換</t>
  </si>
  <si>
    <t>In202605-051</t>
  </si>
  <si>
    <t>盥洗用品架需更換</t>
  </si>
  <si>
    <t>IMG_1482.jpeg</t>
  </si>
  <si>
    <t>In202605-050</t>
  </si>
  <si>
    <t>715</t>
  </si>
  <si>
    <t>通話到一半斷訊</t>
  </si>
  <si>
    <t>弱電</t>
  </si>
  <si>
    <t>電話</t>
  </si>
  <si>
    <t>In202605-049</t>
  </si>
  <si>
    <t>507續住 電視需手動開啟、遙控器無法開 房務員正在續掃 客人不在 謝謝</t>
  </si>
  <si>
    <t>In202605-048</t>
  </si>
  <si>
    <t>806 續住報修 電話沒有聲音，按了沒反應。</t>
  </si>
  <si>
    <t>洗手槽底座需打矽利康</t>
  </si>
  <si>
    <t>IMG_1466.jpeg</t>
  </si>
  <si>
    <t>洗手槽</t>
  </si>
  <si>
    <t>已黏合</t>
  </si>
  <si>
    <t>In202605-046</t>
  </si>
  <si>
    <t>913</t>
  </si>
  <si>
    <t>913 門鈴沒聲音</t>
  </si>
  <si>
    <t>1000009776.jpg</t>
  </si>
  <si>
    <t>In202605-045</t>
  </si>
  <si>
    <t>718</t>
  </si>
  <si>
    <t>門鈴聲音不見又偶爾有</t>
  </si>
  <si>
    <t>622</t>
  </si>
  <si>
    <t>門鈴單音</t>
  </si>
  <si>
    <t>In202605-043</t>
  </si>
  <si>
    <t>衣櫥燈不亮，已重開電源還是不會亮</t>
  </si>
  <si>
    <t>S__93372443.jpg</t>
  </si>
  <si>
    <t>In202605-042</t>
  </si>
  <si>
    <t>郭良兆</t>
  </si>
  <si>
    <t>安全部</t>
  </si>
  <si>
    <t>B1 安全部</t>
  </si>
  <si>
    <t>中控室門的門弓器壞掉</t>
  </si>
  <si>
    <t>消防</t>
  </si>
  <si>
    <t>安全門</t>
  </si>
  <si>
    <t xml:space="preserve">Marva </t>
  </si>
  <si>
    <t>726</t>
  </si>
  <si>
    <t>客人反映過冷</t>
  </si>
  <si>
    <t>In202605-040</t>
  </si>
  <si>
    <t>VAN</t>
  </si>
  <si>
    <t>客務部</t>
  </si>
  <si>
    <t>遙控器沒反應</t>
  </si>
  <si>
    <t>其他</t>
  </si>
  <si>
    <t>人流計數器</t>
  </si>
  <si>
    <t>不允許</t>
  </si>
  <si>
    <t>辦驗未通過</t>
  </si>
  <si>
    <t>更換新的機上盒和遙控器</t>
  </si>
  <si>
    <t>還是無法控制電視開及關</t>
  </si>
  <si>
    <t>In202605-039</t>
  </si>
  <si>
    <t>509</t>
  </si>
  <si>
    <t>淋浴間天花板坎燈不亮</t>
  </si>
  <si>
    <t>508</t>
  </si>
  <si>
    <t>IMG_1445.jpeg</t>
  </si>
  <si>
    <t>房務領班告知取消此單</t>
  </si>
  <si>
    <t>In202605-037</t>
  </si>
  <si>
    <t>玻璃門沒有止水條</t>
  </si>
  <si>
    <t>IMG_1439.jpeg</t>
  </si>
  <si>
    <t>In202605-036</t>
  </si>
  <si>
    <t>613</t>
  </si>
  <si>
    <t>缺少門擋鐵片</t>
  </si>
  <si>
    <t>2174.jpg</t>
  </si>
  <si>
    <t>831</t>
  </si>
  <si>
    <t>831 熱水很溫 有預進_x000D_
請確認是否是鍋爐問題 _x000D_
剛領班已經報了好幾間沒熱水 _x000D_
謝謝</t>
  </si>
  <si>
    <t>孫志偉</t>
  </si>
  <si>
    <t>831 洗手台水壓很小 有預進</t>
  </si>
  <si>
    <t>1000009734.jpg</t>
  </si>
  <si>
    <t>818</t>
  </si>
  <si>
    <t>818 續住 從22度 手動調到28度 1個小時後還在22度 請協助檢查 謝謝 目前客人不在</t>
  </si>
  <si>
    <t>1000009733.jpg</t>
  </si>
  <si>
    <t>723</t>
  </si>
  <si>
    <t>自水條斷裂</t>
  </si>
  <si>
    <t>IMG_1435.jpeg</t>
  </si>
  <si>
    <t>沒有熱水</t>
  </si>
  <si>
    <t>725</t>
  </si>
  <si>
    <t>地板矽利康多處斷裂霉斑</t>
  </si>
  <si>
    <t xml:space="preserve">IMG_1421.jpeg : https://ap12.ragic.com/sims/file.jsp?a=soutlet001&amp;f=shNeJWbP3M%40IMG_1421.jpeg
IMG_1424.jpeg : https://ap12.ragic.com/sims/file.jsp?a=soutlet001&amp;f=p38ZVrFZmt%40IMG_1424.jpeg
IMG_1422.jpeg : https://ap12.ragic.com/sims/file.jsp?a=soutlet001&amp;f=lFYh4QPMgr%40IMG_1422.jpeg
IMG_1423.jpeg : https://ap12.ragic.com/sims/file.jsp?a=soutlet001&amp;f=nx7zxLt5dN%40IMG_1423.jpeg
</t>
  </si>
  <si>
    <t>In202605-027</t>
  </si>
  <si>
    <t>後勤辦公室</t>
  </si>
  <si>
    <t>1 樓大廳/櫃台</t>
  </si>
  <si>
    <t>一樓大廳有三盞燈不亮</t>
  </si>
  <si>
    <t>S__7561218.jpg</t>
  </si>
  <si>
    <t>5/8 上午廠商隆安達進場處理，非燈具變壓器問題。廠商另購材料請款，備品由工程部自行維修。</t>
  </si>
  <si>
    <t>In202605-026</t>
  </si>
  <si>
    <t>1 樓大門戶外</t>
  </si>
  <si>
    <t>車道旁看板傾斜</t>
  </si>
  <si>
    <t>建築 &amp;裝置藝術</t>
  </si>
  <si>
    <t>外觀玻璃</t>
  </si>
  <si>
    <t>已暫時支撐處理</t>
  </si>
  <si>
    <t>洗手槽已經移位且會移動</t>
  </si>
  <si>
    <t>708</t>
  </si>
  <si>
    <t>浴簾毛刷條掉了</t>
  </si>
  <si>
    <t>IMG_1413.jpeg</t>
  </si>
  <si>
    <t>FOMIKE</t>
  </si>
  <si>
    <t>客人會說中文，5/4 23:30 臨櫃反應房間溫度一直維持20度。有詢問是否要幫她檢測或者提供暖爐。由於客人急著外出，已告知待5/5外出前會請我們派工務去維修。請5/5日續整幫客人整修冷氣。 FOMIKEM050426</t>
  </si>
  <si>
    <t>4 樓酒吧座位區</t>
  </si>
  <si>
    <t>4樓男廁座式第一間壓水面板脫落。</t>
  </si>
  <si>
    <t>FOMEG</t>
  </si>
  <si>
    <t>1016 客人表示冷氣太冷不會調整，已先通知工務群也一起去協助查看，在麻煩陪同協助客人</t>
  </si>
  <si>
    <t>In202605-020</t>
  </si>
  <si>
    <t>Hunter Chen</t>
  </si>
  <si>
    <t>B1 男員工廁所</t>
  </si>
  <si>
    <t>左色第一個小便斗堵塞_x000D_
(溢出)</t>
  </si>
  <si>
    <t>已疏通</t>
  </si>
  <si>
    <t>In202605-019</t>
  </si>
  <si>
    <t>1樓FO辦公室冷氣不冷</t>
  </si>
  <si>
    <t>In202605-018</t>
  </si>
  <si>
    <t>HKTONF</t>
  </si>
  <si>
    <t>523</t>
  </si>
  <si>
    <t>523抽屜沒有緩衝</t>
  </si>
  <si>
    <t>IMG_2208.jpeg</t>
  </si>
  <si>
    <t>櫥子</t>
  </si>
  <si>
    <t>510</t>
  </si>
  <si>
    <t>沒熱水</t>
  </si>
  <si>
    <t>510 淋浴間放足部的架子 螺絲沒鎖緊 有預進</t>
  </si>
  <si>
    <t xml:space="preserve">1000009671.jpg : https://ap12.ragic.com/sims/file.jsp?a=soutlet001&amp;f=eycVQSDbuN%401000009671.jpg
1000009672.jpg : https://ap12.ragic.com/sims/file.jsp?a=soutlet001&amp;f=wPNmZP7B3K%401000009672.jpg
</t>
  </si>
  <si>
    <t>509 淋浴間門把鬆動</t>
  </si>
  <si>
    <t>1000009667.jpg</t>
  </si>
  <si>
    <t xml:space="preserve">509 洗手槽會移動 需打矽利康 </t>
  </si>
  <si>
    <t>1000009668.jpg</t>
  </si>
  <si>
    <t>In202605-013</t>
  </si>
  <si>
    <t>林昌立</t>
  </si>
  <si>
    <t>逃生梯</t>
  </si>
  <si>
    <t xml:space="preserve">C梯往上門禁損害_x000D_
</t>
  </si>
  <si>
    <t xml:space="preserve">1000015449.jpg : https://ap12.ragic.com/sims/file.jsp?a=soutlet001&amp;f=pnhCJdmLfC%401000015449.jpg
1000015450.jpg : https://ap12.ragic.com/sims/file.jsp?a=soutlet001&amp;f=wQB5Y58hkw%401000015450.jpg
</t>
  </si>
  <si>
    <t>入金機</t>
  </si>
  <si>
    <t>In202605-012</t>
  </si>
  <si>
    <t>Henry</t>
  </si>
  <si>
    <t>餐飲部</t>
  </si>
  <si>
    <t>4樓 B Bar</t>
  </si>
  <si>
    <t>電燈不亮</t>
  </si>
  <si>
    <t xml:space="preserve">IMG_0778.jpeg : https://ap12.ragic.com/sims/file.jsp?a=soutlet001&amp;f=PgVW0WcbzI%40IMG_0778.jpeg
IMG_0779.jpeg : https://ap12.ragic.com/sims/file.jsp?a=soutlet001&amp;f=I3AR9x7W8Y%40IMG_0779.jpeg
</t>
  </si>
  <si>
    <t>623</t>
  </si>
  <si>
    <t>623 淋浴間門把搖晃 有預進</t>
  </si>
  <si>
    <t>1000009660.jpg</t>
  </si>
  <si>
    <t xml:space="preserve">已固定_x000D_
</t>
  </si>
  <si>
    <t>503</t>
  </si>
  <si>
    <t>503 淋浴間門手把鬆動 有預進</t>
  </si>
  <si>
    <t>1000009659.jpg</t>
  </si>
  <si>
    <t>In202605-009</t>
  </si>
  <si>
    <t>客用電梯</t>
  </si>
  <si>
    <t>客人反應電梯(非無障礙電梯)停在四樓時，關門速度過快，有撞到電梯門，再請協助通知廠商檢修</t>
  </si>
  <si>
    <t>812</t>
  </si>
  <si>
    <t>812 續住 - 電話沒有訊號</t>
  </si>
  <si>
    <t>IMG_2154.jpeg</t>
  </si>
  <si>
    <t>In202605-007</t>
  </si>
  <si>
    <t>Johnny</t>
  </si>
  <si>
    <t>9樓廊道</t>
  </si>
  <si>
    <t>客人告知樓層電話不會通</t>
  </si>
  <si>
    <t>910</t>
  </si>
  <si>
    <t>客人房間電話不通</t>
  </si>
  <si>
    <t>603</t>
  </si>
  <si>
    <t>603 浴簾卡住 客在房內</t>
  </si>
  <si>
    <t>1000009643.jpg</t>
  </si>
  <si>
    <t>521</t>
  </si>
  <si>
    <t>521客人說房內熱水不熱 請協助查看</t>
  </si>
  <si>
    <t>608</t>
  </si>
  <si>
    <t>608 客人向房務員反應 浴缸水的溫度不夠熱 客人在房內 麻煩了 謝謝</t>
  </si>
  <si>
    <t>619</t>
  </si>
  <si>
    <t>619 洗手台下方燈條快掉下來了 膠帶黏回去還是會掉 需要更換膠帶 謝謝</t>
  </si>
  <si>
    <t>1000009641.jpg</t>
  </si>
  <si>
    <t>609</t>
  </si>
  <si>
    <t>609 淋浴間排水孔水下不去 堵塞</t>
  </si>
  <si>
    <t xml:space="preserve">1000009620.jpg : https://ap12.ragic.com/sims/file.jsp?a=soutlet001&amp;f=gIDCN1DkOb%401000009620.jpg
1000009619.jpg : https://ap12.ragic.com/sims/file.jsp?a=soutlet001&amp;f=8jd0Kj4P72%401000009619.jpg
</t>
  </si>
  <si>
    <t xml:space="preserve">531 淋浴間蓮蓬頭開關上方零件掉落 </t>
  </si>
  <si>
    <t>1000009617.jpg</t>
  </si>
  <si>
    <t>526</t>
  </si>
  <si>
    <t>526 洗手台需要打矽利康固定 會滑動</t>
  </si>
  <si>
    <t>1000009616.jpg</t>
  </si>
  <si>
    <t>719</t>
  </si>
  <si>
    <t>719 客人有反應浴缸排水旋鈕無法使用 房務員正在續掃 麻煩請現在過去處理 謝謝</t>
  </si>
  <si>
    <t>In202604-113</t>
  </si>
  <si>
    <t>宴會廳-窯</t>
  </si>
  <si>
    <t>窯廳電子看板故障 需要跟舟廳電子看板更換</t>
  </si>
  <si>
    <t>門擋貼片不見了</t>
  </si>
  <si>
    <t>2153.jpg</t>
  </si>
  <si>
    <t>馬桶上方須油漆</t>
  </si>
  <si>
    <t>606 淋浴間內門把+淋浴間門外門把 鬆動</t>
  </si>
  <si>
    <t xml:space="preserve">1000009591.jpg : https://ap12.ragic.com/sims/file.jsp?a=soutlet001&amp;f=UjdYUcr8N7%401000009591.jpg
1000009592.jpg : https://ap12.ragic.com/sims/file.jsp?a=soutlet001&amp;f=sX64zzZEKd%401000009592.jpg
</t>
  </si>
  <si>
    <t>In202604-109</t>
  </si>
  <si>
    <t>牆面須油漆(很多髒污處)</t>
  </si>
  <si>
    <t>連續壁</t>
  </si>
  <si>
    <t>525</t>
  </si>
  <si>
    <t>床頭靠窗鏡面轉角 生鏽</t>
  </si>
  <si>
    <t>S__36757525.jpg</t>
  </si>
  <si>
    <t>In202604-107</t>
  </si>
  <si>
    <t>閱讀燈需調整</t>
  </si>
  <si>
    <t>插座</t>
  </si>
  <si>
    <t>In202604-106</t>
  </si>
  <si>
    <t>519</t>
  </si>
  <si>
    <t>牆面須油漆</t>
  </si>
  <si>
    <t>S__36757519.jpg</t>
  </si>
  <si>
    <t>In202604-105</t>
  </si>
  <si>
    <t>In202604-104</t>
  </si>
  <si>
    <t>S__36741127_0.jpg</t>
  </si>
  <si>
    <t>In202604-103</t>
  </si>
  <si>
    <t>S__36741129_0.jpg</t>
  </si>
  <si>
    <t>In202604-102</t>
  </si>
  <si>
    <t>S__36741128_0.jpg</t>
  </si>
  <si>
    <t>In202604-101</t>
  </si>
  <si>
    <t>車道</t>
  </si>
  <si>
    <t>B1回收場的門把脫落</t>
  </si>
  <si>
    <t>1000015293.jpg</t>
  </si>
  <si>
    <t>In202604-100</t>
  </si>
  <si>
    <t>中控室</t>
  </si>
  <si>
    <t>5 樓客用梯廳</t>
  </si>
  <si>
    <t>五樓客梯cctv無畫面長達7分鐘，電腦系統重開也無畫面。</t>
  </si>
  <si>
    <t>監控</t>
  </si>
  <si>
    <t xml:space="preserve">1000015291.jpg : https://ap12.ragic.com/sims/file.jsp?a=soutlet001&amp;f=n6yCuifmDZ%401000015291.jpg
1000015292.jpg : https://ap12.ragic.com/sims/file.jsp?a=soutlet001&amp;f=iV6EOIiyK5%401000015292.jpg
</t>
  </si>
  <si>
    <t>CCTV</t>
  </si>
  <si>
    <t>In202604-099</t>
  </si>
  <si>
    <t>701</t>
  </si>
  <si>
    <t>房間拉門木板跟鐵條裂開</t>
  </si>
  <si>
    <t>IMG_1035.jpeg</t>
  </si>
  <si>
    <t>602</t>
  </si>
  <si>
    <t>淋浴間玻璃門上方蝴蝶扣開關門有異音</t>
  </si>
  <si>
    <t>IMG_0712.jpeg</t>
  </si>
  <si>
    <t>客房門防擋片掉落</t>
  </si>
  <si>
    <t xml:space="preserve">IMG_1033.jpeg : https://ap12.ragic.com/sims/file.jsp?a=soutlet001&amp;f=KbXpaP9SA8%40IMG_1033.jpeg
IMG_1034.jpeg : https://ap12.ragic.com/sims/file.jsp?a=soutlet001&amp;f=UhiYDg25Qn%40IMG_1034.jpeg
</t>
  </si>
  <si>
    <t>客房門木條脫皮</t>
  </si>
  <si>
    <t>已修補</t>
  </si>
  <si>
    <t>In202604-095</t>
  </si>
  <si>
    <t>電視無法開啟</t>
  </si>
  <si>
    <t>In202604-094</t>
  </si>
  <si>
    <t>1029</t>
  </si>
  <si>
    <t>夜床燈不亮</t>
  </si>
  <si>
    <t xml:space="preserve">IMG_0701.jpeg : https://ap12.ragic.com/sims/file.jsp?a=soutlet001&amp;f=HmwlrYR0cF%40IMG_0701.jpeg
IMG_0702.jpeg : https://ap12.ragic.com/sims/file.jsp?a=soutlet001&amp;f=GiiIcrnj2f%40IMG_0702.jpeg
</t>
  </si>
  <si>
    <t>馬桶上方給水盆的天花板出現水泡和斑駁請處理</t>
  </si>
  <si>
    <t>已補土</t>
  </si>
  <si>
    <t>馬桶上方及水盆需要吸水</t>
  </si>
  <si>
    <t>In202604-091</t>
  </si>
  <si>
    <t>客房門卡感應弱電需要的換電池</t>
  </si>
  <si>
    <t>In202604-090</t>
  </si>
  <si>
    <t>1030</t>
  </si>
  <si>
    <t>洗手台大圓鏡燈會自動關閉</t>
  </si>
  <si>
    <t>IMG_0697.jpeg</t>
  </si>
  <si>
    <t>5/4 1030 變壓器到貨_x000D_
4/29 1030 鏡燈變壓器缺料無法換</t>
  </si>
  <si>
    <t>In202604-089</t>
  </si>
  <si>
    <t>B1 員工樓梯廳</t>
  </si>
  <si>
    <t>商場員工出入口門無法自動關閉</t>
  </si>
  <si>
    <t xml:space="preserve">17774274487968422147990413777155.jpg : https://ap12.ragic.com/sims/file.jsp?a=soutlet001&amp;f=Vrw7AXxzGE%4017774274487968422147990413777155.jpg
17774274615281456021012093615176.jpg : https://ap12.ragic.com/sims/file.jsp?a=soutlet001&amp;f=G80r92Ky3o%4017774274615281456021012093615176.jpg
</t>
  </si>
  <si>
    <t>In202604-088</t>
  </si>
  <si>
    <t>洗手台上方崁燈不亮</t>
  </si>
  <si>
    <t>IMG_0690.jpeg</t>
  </si>
  <si>
    <t>In202604-087</t>
  </si>
  <si>
    <t>810</t>
  </si>
  <si>
    <t>貓眼鬆掉</t>
  </si>
  <si>
    <t>IMG_0991.jpeg</t>
  </si>
  <si>
    <t>房內天花板層板燈不亮</t>
  </si>
  <si>
    <t>IMG_0679.jpeg</t>
  </si>
  <si>
    <t>客房門沒有門擋片</t>
  </si>
  <si>
    <t>IMG_0799.jpeg</t>
  </si>
  <si>
    <t>門鈴有異音</t>
  </si>
  <si>
    <t>房內更換的備用遙控器無法使用</t>
  </si>
  <si>
    <t>馬桶後方水管會滴水</t>
  </si>
  <si>
    <t xml:space="preserve">IMG_0667.jpeg : https://ap12.ragic.com/sims/file.jsp?a=soutlet001&amp;f=g8WOfybxDJ%40IMG_0667.jpeg
IMG_0667.jpeg : https://ap12.ragic.com/sims/file.jsp?a=soutlet001&amp;f=l2dzhBws7f%40IMG_0667.jpeg
</t>
  </si>
  <si>
    <t>排水不良，客人將於1700外出，再請於1700後進房檢修</t>
  </si>
  <si>
    <t>已調整完成</t>
  </si>
  <si>
    <t>天花板坎燈不亮</t>
  </si>
  <si>
    <t>IMG_0666.jpeg</t>
  </si>
  <si>
    <t>屬於緊急電源，平時不亮燈，緊急時亮燈。</t>
  </si>
  <si>
    <t>911 淋浴間門外(放足布那邊)把手鬆動</t>
  </si>
  <si>
    <t>1000009549.jpg</t>
  </si>
  <si>
    <t>浴缸水龍頭一直滴水. 要修.客人現在不在</t>
  </si>
  <si>
    <t>709</t>
  </si>
  <si>
    <t>門擋片掉落</t>
  </si>
  <si>
    <t xml:space="preserve">IMG_0663.jpeg : https://ap12.ragic.com/sims/file.jsp?a=soutlet001&amp;f=ZT22MkNgcs%40IMG_0663.jpeg
IMG_0664.jpeg : https://ap12.ragic.com/sims/file.jsp?a=soutlet001&amp;f=D39JawagYs%40IMG_0664.jpeg
</t>
  </si>
  <si>
    <t>809</t>
  </si>
  <si>
    <t>浴缸下水塞旁污漬請協助處理_x000D_
房務已試過解決不了_x000D_
有KOL預進，請盡快處理</t>
  </si>
  <si>
    <t>IMG_0658.jpeg</t>
  </si>
  <si>
    <t>820</t>
  </si>
  <si>
    <t>衣櫃拉門上方阻擋器鬆動</t>
  </si>
  <si>
    <t>IMG_0657.jpeg</t>
  </si>
  <si>
    <t>612</t>
  </si>
  <si>
    <t>衣櫃鐵拉門軌道異音</t>
  </si>
  <si>
    <t>718 需要更換床頭燈燈罩。</t>
  </si>
  <si>
    <t>IMG_1964.jpeg</t>
  </si>
  <si>
    <t xml:space="preserve">825 淋浴間門把鬆動 </t>
  </si>
  <si>
    <t>1000009522.jpg</t>
  </si>
  <si>
    <t>1027</t>
  </si>
  <si>
    <t>電視無法開啟(遙控器換過電池)</t>
  </si>
  <si>
    <t>家具</t>
  </si>
  <si>
    <t>遙控器遺失，協助補備用機</t>
  </si>
  <si>
    <t>517</t>
  </si>
  <si>
    <t>517 續住 浴簾拉繩斷掉了 目前客人不在</t>
  </si>
  <si>
    <t>1000009508.jpg</t>
  </si>
  <si>
    <t>重新安裝完成</t>
  </si>
  <si>
    <t>831 洗手台水龍頭搖晃 有預進</t>
  </si>
  <si>
    <t>1000009507.jpg</t>
  </si>
  <si>
    <t>段光瓊</t>
  </si>
  <si>
    <t>機電</t>
  </si>
  <si>
    <t>image.jpg</t>
  </si>
  <si>
    <t>不斷電系統</t>
  </si>
  <si>
    <t>meg</t>
  </si>
  <si>
    <t>706 客人反映房間太冷，感覺冷氣溫度無法調整一直維持在21、22度，客人目前外出，請去房間檢查謝謝</t>
  </si>
  <si>
    <t>調整完成</t>
  </si>
  <si>
    <t>810門鈴單音</t>
  </si>
  <si>
    <t>1000009500.jpg</t>
  </si>
  <si>
    <t>重新調整完成</t>
  </si>
  <si>
    <t>620</t>
  </si>
  <si>
    <t>客人退房時反應冷氣很冷無法調整，需要關掉冷氣溫度才會回溫</t>
  </si>
  <si>
    <t>522 客人說電視無法開啟 晴協助查詢 客人在房內</t>
  </si>
  <si>
    <t>522已更換機上盒完成</t>
  </si>
  <si>
    <t xml:space="preserve">810 電話無法撥出/改房況 重設也是一樣無法 可能需要換電池 </t>
  </si>
  <si>
    <t>1000009494.jpg</t>
  </si>
  <si>
    <t>更換電池完成</t>
  </si>
  <si>
    <t>703</t>
  </si>
  <si>
    <t>淋浴間玻璃門開關時有異音_x000D_
客人到了 請盡快處理</t>
  </si>
  <si>
    <t>浴缸止水轉閥鬆脫</t>
  </si>
  <si>
    <t>In202604-059</t>
  </si>
  <si>
    <t>1023</t>
  </si>
  <si>
    <t>電話蓋卡筍斷</t>
  </si>
  <si>
    <t>IMG_0689.jpeg</t>
  </si>
  <si>
    <t>待料中</t>
  </si>
  <si>
    <t>4/25 待4/27請購</t>
  </si>
  <si>
    <t>826</t>
  </si>
  <si>
    <t>826 門鈴單音 有預進</t>
  </si>
  <si>
    <t>1000009484.jpg</t>
  </si>
  <si>
    <t>825 淋浴間門把手鬆動 有預進</t>
  </si>
  <si>
    <t>1000009482.jpg</t>
  </si>
  <si>
    <t>已重新安裝完成</t>
  </si>
  <si>
    <t>817</t>
  </si>
  <si>
    <t>817 馬桶噴嘴故障 (按下噴嘴開關後無法正常作用) 有預進</t>
  </si>
  <si>
    <t>1000009478.jpg</t>
  </si>
  <si>
    <t>已維修完成</t>
  </si>
  <si>
    <t>玻璃門反向開啟，需要調整</t>
  </si>
  <si>
    <t>1028</t>
  </si>
  <si>
    <t>衛生紙架</t>
  </si>
  <si>
    <t>IMG_0684.jpeg</t>
  </si>
  <si>
    <t>洗手槽水龍頭會移動</t>
  </si>
  <si>
    <t>客房大門上方門弓器異位、鬆動</t>
  </si>
  <si>
    <t>房門已處理完成</t>
  </si>
  <si>
    <t>1029 的門鎖壞掉了，關門一推就開，再麻煩去處理</t>
  </si>
  <si>
    <t>已完成</t>
  </si>
  <si>
    <t>In202604-049</t>
  </si>
  <si>
    <t>黑屏無反應</t>
  </si>
  <si>
    <t>IMG_0597.jpeg</t>
  </si>
  <si>
    <t>宴會顯示器</t>
  </si>
  <si>
    <t>餐飲部報修</t>
  </si>
  <si>
    <t>In202604-048</t>
  </si>
  <si>
    <t>1樓客用梯廳</t>
  </si>
  <si>
    <t>1樓梯廳有三個燈不亮，請協助更換</t>
  </si>
  <si>
    <t>孫志偉與黃梓灃，一同前往更換</t>
  </si>
  <si>
    <t>B1 員工餐廳</t>
  </si>
  <si>
    <t>員工餐廳咖啡機這裡地上無緣無故滲很大攤的水出來</t>
  </si>
  <si>
    <t xml:space="preserve">44810.jpg : https://ap12.ragic.com/sims/file.jsp?a=soutlet001&amp;f=lyOJb1MefO%4044810.jpg
44812.jpg : https://ap12.ragic.com/sims/file.jsp?a=soutlet001&amp;f=OhXH39Wl9s%4044812.jpg
</t>
  </si>
  <si>
    <t>衣櫃拉門卡住</t>
  </si>
  <si>
    <t>IMG_0508.jpeg</t>
  </si>
  <si>
    <t>627</t>
  </si>
  <si>
    <t>minibar上方裝飾玻璃脫落</t>
  </si>
  <si>
    <t>IMG_0569.jpeg</t>
  </si>
  <si>
    <t>已維修</t>
  </si>
  <si>
    <t>925</t>
  </si>
  <si>
    <t>蓄水香水流不止</t>
  </si>
  <si>
    <t>已解決</t>
  </si>
  <si>
    <t>826 請更換止水條</t>
  </si>
  <si>
    <t>IMG_1874.jpeg</t>
  </si>
  <si>
    <t>In202604-042</t>
  </si>
  <si>
    <t>4 樓酒吧區</t>
  </si>
  <si>
    <t>壁紙翹起</t>
  </si>
  <si>
    <t>S__3194883.jpg</t>
  </si>
  <si>
    <t>牆壁</t>
  </si>
  <si>
    <t>B1 廚房</t>
  </si>
  <si>
    <t>炮爐電源無法啟動開機</t>
  </si>
  <si>
    <t>廚房&amp;吧台設備</t>
  </si>
  <si>
    <t>S__105332762.jpg</t>
  </si>
  <si>
    <t>蒸烤爐</t>
  </si>
  <si>
    <t>已復電</t>
  </si>
  <si>
    <t xml:space="preserve">已完成_x000D_
</t>
  </si>
  <si>
    <t>衣櫃拉門需要潤滑油</t>
  </si>
  <si>
    <t>931</t>
  </si>
  <si>
    <t>客房門防擋片翹起來會割手</t>
  </si>
  <si>
    <t>IMG_0503.jpeg</t>
  </si>
  <si>
    <t>洗手槽會移動</t>
  </si>
  <si>
    <t>淋浴間天花板斑駁嚴重</t>
  </si>
  <si>
    <t>空調溫度太低 無暖氣</t>
  </si>
  <si>
    <t>導流風機</t>
  </si>
  <si>
    <t>In202604-035</t>
  </si>
  <si>
    <t>天花板夜坎燈不亮</t>
  </si>
  <si>
    <t>IMG_0459.jpeg</t>
  </si>
  <si>
    <t>此為緊急照明燈,平時不會亮,只有斷電時才會亮起</t>
  </si>
  <si>
    <t>In202604-034</t>
  </si>
  <si>
    <t>更換止水條</t>
  </si>
  <si>
    <t>IMG_0458.jpeg</t>
  </si>
  <si>
    <t>In202604-033</t>
  </si>
  <si>
    <t>洗手台水龍頭底座會移動</t>
  </si>
  <si>
    <t>IMG_0455.jpeg</t>
  </si>
  <si>
    <t>In202604-032</t>
  </si>
  <si>
    <t>門鈴聲音怪怪的 要調整</t>
  </si>
  <si>
    <t>In202604-031</t>
  </si>
  <si>
    <t>821</t>
  </si>
  <si>
    <t>房間有異味</t>
  </si>
  <si>
    <t>In202604-030</t>
  </si>
  <si>
    <t>客人反應房內有疑似菸味，經確認非吸菸及沼氣味道，再請協助確認</t>
  </si>
  <si>
    <t>In202604-029</t>
  </si>
  <si>
    <t>地板禿起</t>
  </si>
  <si>
    <t>1776677560108.jpg</t>
  </si>
  <si>
    <t>In202604-028</t>
  </si>
  <si>
    <t>617</t>
  </si>
  <si>
    <t>淋浴間玻璃門上方蝴蝶扣鬆動，開關門會搖晃</t>
  </si>
  <si>
    <t>In202604-027</t>
  </si>
  <si>
    <t>衛生紙架鬆動</t>
  </si>
  <si>
    <t>IMG_0417.jpeg</t>
  </si>
  <si>
    <t>In202604-026</t>
  </si>
  <si>
    <t>711</t>
  </si>
  <si>
    <t>衣櫃阻擋器鬆動</t>
  </si>
  <si>
    <t>IMG_0415.jpeg</t>
  </si>
  <si>
    <t>In202604-025</t>
  </si>
  <si>
    <t>710</t>
  </si>
  <si>
    <t>淋浴間天花板油漆斑駁</t>
  </si>
  <si>
    <t>IMG_0413.jpeg</t>
  </si>
  <si>
    <t>In202604-024</t>
  </si>
  <si>
    <t>IMG_0412.jpeg</t>
  </si>
  <si>
    <t>In202604-023</t>
  </si>
  <si>
    <t>B1倉庫內1號冰箱又故障</t>
  </si>
  <si>
    <t>In202604-022</t>
  </si>
  <si>
    <t>廚房煙罩的防爆燈不亮(整排)</t>
  </si>
  <si>
    <t>In202604-021</t>
  </si>
  <si>
    <t>新添購設備磁石刀架需安裝定位</t>
  </si>
  <si>
    <t>In202604-020</t>
  </si>
  <si>
    <t>禁煙排掉了</t>
  </si>
  <si>
    <t>IMG_0408.jpeg</t>
  </si>
  <si>
    <t>In202604-019</t>
  </si>
  <si>
    <t>門鈴聲音有噹沒叮</t>
  </si>
  <si>
    <t>In202604-018</t>
  </si>
  <si>
    <t>825 床頭櫃下方的燈沒有亮  (補單)</t>
  </si>
  <si>
    <t>4/28 更換完成_x000D_
4/27 變壓器到貨_x000D_
4/20 目前待料中，已請採購去跟廠商詢價，提供料號後會在SCM下單。</t>
  </si>
  <si>
    <t>In202604-017</t>
  </si>
  <si>
    <t>門鈴沒聲音</t>
  </si>
  <si>
    <t>In202604-016</t>
  </si>
  <si>
    <t>冷氣壓縮機故障，已經在漏油，且室內冷氣吹出來的風完全是熱風，中控室溫度已達27~30度，系統及機器容易故障或當機_x000D_
請盡速派人處理</t>
  </si>
  <si>
    <t>20260420-001</t>
  </si>
  <si>
    <t>中控室冷氣故障，吹出來的風完全是熱風_x000D_
目前室內溫度為27~30度，會極度影響中控室各項系統及設備運作</t>
  </si>
  <si>
    <t>待確認</t>
  </si>
  <si>
    <t>In202604-015</t>
  </si>
  <si>
    <t>fo</t>
  </si>
  <si>
    <t>803</t>
  </si>
  <si>
    <t>客人反應廊道有異味，疑似機器過熱產生的味道，再請協助確認</t>
  </si>
  <si>
    <t>In202604-014</t>
  </si>
  <si>
    <t>WILSON</t>
  </si>
  <si>
    <t>8樓廊道</t>
  </si>
  <si>
    <t>客人反應廊道冷氣不冷</t>
  </si>
  <si>
    <t>拉繩斷了</t>
  </si>
  <si>
    <t>浴室小圓鏡鬆動</t>
  </si>
  <si>
    <t>2099.jpg</t>
  </si>
  <si>
    <t>In202604-010</t>
  </si>
  <si>
    <t>宴會廳-磚</t>
  </si>
  <si>
    <t>拉220V電線(明線)4/27需要完成</t>
  </si>
  <si>
    <t>洗手台面櫃子會移動</t>
  </si>
  <si>
    <t>緊急按鈕蓋鬆脫</t>
  </si>
  <si>
    <t>712</t>
  </si>
  <si>
    <t>房門關閉會有摩擦聲音</t>
  </si>
  <si>
    <t>912 淋浴間排水孔水下不去  有預進</t>
  </si>
  <si>
    <t xml:space="preserve">1000008981.jpg : https://ap12.ragic.com/sims/file.jsp?a=soutlet001&amp;f=W0TfuWKNTa%401000008981.jpg
1000008982.jpg : https://ap12.ragic.com/sims/file.jsp?a=soutlet001&amp;f=ETRnYgH8mT%401000008982.jpg
</t>
  </si>
  <si>
    <t>保險箱油壓桿無緩衝</t>
  </si>
  <si>
    <t>IMG_0359.jpeg</t>
  </si>
  <si>
    <t xml:space="preserve">912 淋浴間門開關門會有很大的聲音 有預進 </t>
  </si>
  <si>
    <t>1000008979.jpg</t>
  </si>
  <si>
    <t>912 淋浴間門把手鬆動 有預進</t>
  </si>
  <si>
    <t>1000008978.jpg</t>
  </si>
  <si>
    <t>926</t>
  </si>
  <si>
    <t>926 淋浴間門把手鬆動 有預進</t>
  </si>
  <si>
    <t>1000008973.jpg</t>
  </si>
  <si>
    <t>807</t>
  </si>
  <si>
    <t>淋浴間玻璃門無法密合</t>
  </si>
  <si>
    <t>IMG_0533.jpeg</t>
  </si>
  <si>
    <t>731</t>
  </si>
  <si>
    <t>續住房_x000D_
工程進房維修，請先通知房務一起陪同_x000D_
電話完全無訊號，話機和座機紅燈一直閃爍</t>
  </si>
  <si>
    <t>20260416-001</t>
  </si>
  <si>
    <t>空調葉片需調整_x000D_
預進的客人不要對床頭吹</t>
  </si>
  <si>
    <t>蓮蓬頭裝飾帶鬆脫</t>
  </si>
  <si>
    <t>IMG_0303.jpeg</t>
  </si>
  <si>
    <t>蓋子裝回完成</t>
  </si>
  <si>
    <t>淋浴間玻璃門把手鬆動</t>
  </si>
  <si>
    <t>20260415-008</t>
  </si>
  <si>
    <t>625</t>
  </si>
  <si>
    <t>衣櫃拉門關閉會撞到玻璃面板，需要調整</t>
  </si>
  <si>
    <t>很接近但無撞擊之情形</t>
  </si>
  <si>
    <t>浴室玻璃門無法密合</t>
  </si>
  <si>
    <t>化妝鏡螺絲鬆脫</t>
  </si>
  <si>
    <t>IMG_0299.jpeg</t>
  </si>
  <si>
    <t>616</t>
  </si>
  <si>
    <t>衣櫃拉門笨重不好開啟+開啟關閉有很奇怪的異常聲音</t>
  </si>
  <si>
    <t>已更換油壓桿</t>
  </si>
  <si>
    <t>20260415-003</t>
  </si>
  <si>
    <t>洗杯機泄水孔阻塞 無法正常排水</t>
  </si>
  <si>
    <t>衣櫃手把鬆脫</t>
  </si>
  <si>
    <t>IMG_0289.jpeg</t>
  </si>
  <si>
    <t>910 電視無信號</t>
  </si>
  <si>
    <t>1000008915.jpg</t>
  </si>
  <si>
    <t>健身房</t>
  </si>
  <si>
    <t>運動的客人反應冷氣不冷</t>
  </si>
  <si>
    <t>尤俊德</t>
  </si>
  <si>
    <t>728</t>
  </si>
  <si>
    <t>728 續住 目前客人不在 客人希望溫度在18度 目前20度 但體感不涼 麻煩請檢查一下冷氣 謝謝</t>
  </si>
  <si>
    <t xml:space="preserve">1000008906.jpg : https://ap12.ragic.com/sims/file.jsp?a=soutlet001&amp;f=HsPnvEE7Bb%401000008906.jpg
1000008907.jpg : https://ap12.ragic.com/sims/file.jsp?a=soutlet001&amp;f=cWhQkblouE%401000008907.jpg
</t>
  </si>
  <si>
    <t>826 馬桶賭塞 再麻煩先過去處理 房務員正在打掃 謝謝</t>
  </si>
  <si>
    <t>717</t>
  </si>
  <si>
    <t>4/13晚上開始房內電話不會響，4/14續掃時請檢修</t>
  </si>
  <si>
    <t>已復歸完成，測試ok</t>
  </si>
  <si>
    <t>Y</t>
  </si>
  <si>
    <t>611</t>
  </si>
  <si>
    <t>客房門貼皮破損</t>
  </si>
  <si>
    <t>IMG_0252.jpeg</t>
  </si>
  <si>
    <t>沒有冷氣極度悶熱_x000D_
面板顯示27度，現在又升一度：28度</t>
  </si>
  <si>
    <t xml:space="preserve">711 淋浴間把手鬆動 </t>
  </si>
  <si>
    <t>1000008885.jpg</t>
  </si>
  <si>
    <t>Annys</t>
  </si>
  <si>
    <t>沒有冷氣極度悶熱</t>
  </si>
  <si>
    <t>遮光簾卡住</t>
  </si>
  <si>
    <t>1025</t>
  </si>
  <si>
    <t>門鈴已修復</t>
  </si>
  <si>
    <t>已施打矽利康完成</t>
  </si>
  <si>
    <t>1021</t>
  </si>
  <si>
    <t>遮光簾要調整</t>
  </si>
  <si>
    <t>IMG_0509.jpeg</t>
  </si>
  <si>
    <t>LEO</t>
  </si>
  <si>
    <t>829</t>
  </si>
  <si>
    <t>浴室的水有嚴重的漂白水的味道</t>
  </si>
  <si>
    <t>無異味</t>
  </si>
  <si>
    <t>631</t>
  </si>
  <si>
    <t>房內冷氣不冷，面板顯示24度_x000D_
觀察兩個小時都沒有降下來</t>
  </si>
  <si>
    <t>洗手槽水龍頭墊片斷裂</t>
  </si>
  <si>
    <t>IMG_0153.jpeg</t>
  </si>
  <si>
    <t>810 禁煙立牌掉落</t>
  </si>
  <si>
    <t xml:space="preserve">1000008725.jpg : https://ap12.ragic.com/sims/file.jsp?a=soutlet001&amp;f=eoPvJiDRLo%401000008725.jpg
1000008726.jpg : https://ap12.ragic.com/sims/file.jsp?a=soutlet001&amp;f=sOnsuaynLp%401000008726.jpg
</t>
  </si>
  <si>
    <t>Leo</t>
  </si>
  <si>
    <t xml:space="preserve"> 客廳靠近大門的崁燈壞</t>
  </si>
  <si>
    <t>此為緊急照明燈</t>
  </si>
  <si>
    <t>20260409-002</t>
  </si>
  <si>
    <t>油煙抽不動_x000D_
想檢查排煙與靜電機是否正常</t>
  </si>
  <si>
    <t>進行中</t>
  </si>
  <si>
    <t>4/10 經與原廚師傅溝通表示，今不會用到炮爐無法測試，預計4/13(星期一)測試</t>
  </si>
  <si>
    <t>櫃子貼皮翻起來，麻煩重新處理</t>
  </si>
  <si>
    <t>IMG_0111.jpeg</t>
  </si>
  <si>
    <t>1026</t>
  </si>
  <si>
    <t>沒有止水條</t>
  </si>
  <si>
    <t>遮光窗簾有髒污需要送洗_x000D_
請幫忙拆下來拿到房務辦公室</t>
  </si>
  <si>
    <t>洗手台水龍頭手把鬆動</t>
  </si>
  <si>
    <t>淋浴間玻璃門關不起來</t>
  </si>
  <si>
    <t>IMG_0491.jpeg</t>
  </si>
  <si>
    <t>705</t>
  </si>
  <si>
    <t>客人已退房 請檢查冰箱溫度 客人反應飲料放在冰箱變溫的</t>
  </si>
  <si>
    <t>溫度正常</t>
  </si>
  <si>
    <t>洗手台上方有破洞</t>
  </si>
  <si>
    <t>IMG_0486.jpeg</t>
  </si>
  <si>
    <t>右側床頭閱讀燈照射位置需要調整</t>
  </si>
  <si>
    <t>IMG_0489.jpeg</t>
  </si>
  <si>
    <t xml:space="preserve"> 客人反映房內有異音，請協助查詢</t>
  </si>
  <si>
    <t>無異音</t>
  </si>
  <si>
    <t>929</t>
  </si>
  <si>
    <t>電視無信號</t>
  </si>
  <si>
    <t>IMG_0484.jpeg</t>
  </si>
  <si>
    <t>N</t>
  </si>
  <si>
    <t>門鈴按3、4次才會響</t>
  </si>
  <si>
    <t>20260406-002</t>
  </si>
  <si>
    <t>Mike</t>
  </si>
  <si>
    <t>健身房滑步機沒電無法使用</t>
  </si>
  <si>
    <t>遙控器訊號無法跟機上盒連線操作轉台</t>
  </si>
  <si>
    <t>客人反映有聲音從天花板傳出，請協助確認</t>
  </si>
  <si>
    <t>617 門鈴單音 有預進</t>
  </si>
  <si>
    <t>631 淋浴間門無法關上 有預進</t>
  </si>
  <si>
    <t>1000008680.jpg</t>
  </si>
  <si>
    <t>919</t>
  </si>
  <si>
    <t>左邊的洗手台需要打矽利康固定</t>
  </si>
  <si>
    <t>IMG_0481.jpeg</t>
  </si>
  <si>
    <t>612 淋浴間把手鬆動 有預進</t>
  </si>
  <si>
    <t>1000008675.jpg</t>
  </si>
  <si>
    <t>1022</t>
  </si>
  <si>
    <t>天花板燈帶不亮</t>
  </si>
  <si>
    <t xml:space="preserve">IMG_0476.jpeg : https://ap12.ragic.com/sims/file.jsp?a=soutlet001&amp;f=tIykYGzjh5%40IMG_0476.jpeg
IMG_0477.jpeg : https://ap12.ragic.com/sims/file.jsp?a=soutlet001&amp;f=hjucIVMKFf%40IMG_0477.jpeg
</t>
  </si>
  <si>
    <t>819 天花板請吸個水 謝謝</t>
  </si>
  <si>
    <t xml:space="preserve">已吸水_x000D_
</t>
  </si>
  <si>
    <t>730 馬桶塞住了 續住 客人已外出16：00回</t>
  </si>
  <si>
    <t>1000008662.jpg</t>
  </si>
  <si>
    <t>817 馬桶沖水按鍵卡住無法彈回</t>
  </si>
  <si>
    <t>1000008658.jpg</t>
  </si>
  <si>
    <t>825 禁煙立牌掉落</t>
  </si>
  <si>
    <t>1000008656.jpg</t>
  </si>
  <si>
    <t>909電話撥櫃檯沒有聲音 請協助確認 客已外出</t>
  </si>
  <si>
    <t>929 電話壞了</t>
  </si>
  <si>
    <t>20260402-013</t>
  </si>
  <si>
    <t>Helen</t>
  </si>
  <si>
    <t>5.20 浴厠修復牆壁和天花板上所有破損的油漆和壁紙裂痕、污漬和明顯的色差</t>
  </si>
  <si>
    <t>IMG_2558.jpeg</t>
  </si>
  <si>
    <t>20260402-012</t>
  </si>
  <si>
    <t>1.7 客房門-門和框架油漆工作 - 補漆</t>
  </si>
  <si>
    <t>IMG_2557.jpeg</t>
  </si>
  <si>
    <t>20260402-011</t>
  </si>
  <si>
    <t>6.3 小冰箱-門、鉸鍊和把手無刮痕、無污染、無脫漆、無色差</t>
  </si>
  <si>
    <t>IMG_2559.jpeg</t>
  </si>
  <si>
    <t>20260402-010</t>
  </si>
  <si>
    <t>IMG_2560.jpeg</t>
  </si>
  <si>
    <t>20260402-009</t>
  </si>
  <si>
    <t>IMG_2563.jpeg</t>
  </si>
  <si>
    <t>20260402-008</t>
  </si>
  <si>
    <t>IMG_2566.jpeg</t>
  </si>
  <si>
    <t>20260402-007</t>
  </si>
  <si>
    <t xml:space="preserve">IMG_2564.jpeg : https://ap12.ragic.com/sims/file.jsp?a=soutlet001&amp;f=186L6Sz8Pr%40IMG_2564.jpeg
IMG_2565.jpeg : https://ap12.ragic.com/sims/file.jsp?a=soutlet001&amp;f=9pA99EOekK%40IMG_2565.jpeg
</t>
  </si>
  <si>
    <t>化妝鏡螺絲鬆</t>
  </si>
  <si>
    <t>已安裝</t>
  </si>
  <si>
    <t>528</t>
  </si>
  <si>
    <t>左側插座無法通電</t>
  </si>
  <si>
    <t>20260402-001</t>
  </si>
  <si>
    <t>6 樓員工樓梯廳</t>
  </si>
  <si>
    <t>6F 加床橫桿斷掉了 麻煩請協助處理 已上工單 謝謝</t>
  </si>
  <si>
    <t xml:space="preserve">853902_0.jpg : https://ap12.ragic.com/sims/file.jsp?a=soutlet001&amp;f=C70D9QUJky%40853902_0.jpg
853903_0.jpg : https://ap12.ragic.com/sims/file.jsp?a=soutlet001&amp;f=6PpmTj1zwE%40853903_0.jpg
</t>
  </si>
  <si>
    <t>20260401-015</t>
  </si>
  <si>
    <t>6.3 小冰箱-門、鉸鍊和把手刮痕脫漆</t>
  </si>
  <si>
    <t>IMG_2513.jpeg</t>
  </si>
  <si>
    <t>20260401-014</t>
  </si>
  <si>
    <t>1020</t>
  </si>
  <si>
    <t>IMG_2514.jpeg</t>
  </si>
  <si>
    <t>20260401-013</t>
  </si>
  <si>
    <t>20260401-012</t>
  </si>
  <si>
    <t>1013</t>
  </si>
  <si>
    <t>IMG_2540.jpeg</t>
  </si>
  <si>
    <t>20260401-011</t>
  </si>
  <si>
    <t>IMG_2539.jpeg</t>
  </si>
  <si>
    <t>20260401-010</t>
  </si>
  <si>
    <t>IMG_2541.jpeg</t>
  </si>
  <si>
    <t>20260401-009</t>
  </si>
  <si>
    <t>917</t>
  </si>
  <si>
    <t>IMG_2543.jpeg</t>
  </si>
  <si>
    <t>20260401-008</t>
  </si>
  <si>
    <t>IMG_2542.jpeg</t>
  </si>
  <si>
    <t>507 止水條需更換</t>
  </si>
  <si>
    <t>1000008603.jpg</t>
  </si>
  <si>
    <t>517 浴簾拉繩斷了</t>
  </si>
  <si>
    <t>1000008600.jpg</t>
  </si>
  <si>
    <t>當月完成</t>
  </si>
  <si>
    <t>507 退房 花灑一直漏水 麻煩請先處理  房務員在房內打掃 補單 謝謝</t>
  </si>
  <si>
    <t>631 遮光簾卡住</t>
  </si>
  <si>
    <t>1000008599.jpg</t>
  </si>
  <si>
    <t xml:space="preserve">4/3已修復完成_x000D_
</t>
  </si>
  <si>
    <t>下方金屬蓋脫落不見</t>
  </si>
  <si>
    <t xml:space="preserve">更換完成_x000D_
</t>
  </si>
  <si>
    <t>607 淋浴間門被往內推了 麻煩請協助處理 有預進 謝謝</t>
  </si>
  <si>
    <t>1000008595.jpg</t>
  </si>
  <si>
    <t>防水膠條斷</t>
  </si>
  <si>
    <t>已安裝完成</t>
  </si>
  <si>
    <t>淋浴間拉門把手脫落</t>
  </si>
  <si>
    <t>928</t>
  </si>
  <si>
    <t>928 空房 電視機上盒麻煩請協助賦歸 謝謝</t>
  </si>
  <si>
    <t>S__5619739.jpg</t>
  </si>
  <si>
    <t>客人說房間通風口會飄出油煙味</t>
  </si>
  <si>
    <t>20260330-009</t>
  </si>
  <si>
    <t>1031</t>
  </si>
  <si>
    <t>浴缸輔助桿：2個裝飾蓋鬆脫</t>
  </si>
  <si>
    <t>822</t>
  </si>
  <si>
    <t>空調不冷</t>
  </si>
  <si>
    <t xml:space="preserve">IMG_0456.jpeg : https://ap12.ragic.com/sims/file.jsp?a=soutlet001&amp;f=0UVZhfEJYY%40IMG_0456.jpeg
IMG_0457.jpeg : https://ap12.ragic.com/sims/file.jsp?a=soutlet001&amp;f=LNfS9yE08C%40IMG_0457.jpeg
</t>
  </si>
  <si>
    <t>722</t>
  </si>
  <si>
    <t>馬桶上方天花板掉下來</t>
  </si>
  <si>
    <t>床頭燈不亮</t>
  </si>
  <si>
    <t>浴缸下水塞轉不起來</t>
  </si>
  <si>
    <t>IMG_0453.jpeg</t>
  </si>
  <si>
    <t>門鈴聲音小</t>
  </si>
  <si>
    <t xml:space="preserve">已維修_x000D_
</t>
  </si>
  <si>
    <t>20260330-001</t>
  </si>
  <si>
    <t>811</t>
  </si>
  <si>
    <t>8.3 電話-確保有撥號聲和快捷呼叫鍵、測試話筒、免持撥號音聲音清晰、訊號有暢通</t>
  </si>
  <si>
    <t>床頭櫃需要貼片，會刮手</t>
  </si>
  <si>
    <t xml:space="preserve">IMG_0448.jpeg : https://ap12.ragic.com/sims/file.jsp?a=soutlet001&amp;f=C526ze1aJ7%40IMG_0448.jpeg
IMG_0449.jpeg : https://ap12.ragic.com/sims/file.jsp?a=soutlet001&amp;f=RnQsSO9wNi%40IMG_0449.jpeg
IMG_0450.jpeg : https://ap12.ragic.com/sims/file.jsp?a=soutlet001&amp;f=xff4N0nGEo%40IMG_0450.jpeg
</t>
  </si>
  <si>
    <t>洗臉盆會移動</t>
  </si>
  <si>
    <t>729</t>
  </si>
  <si>
    <t>天花板斑駁</t>
  </si>
  <si>
    <t>水龍頭搖晃</t>
  </si>
  <si>
    <t>已鎖緊</t>
  </si>
  <si>
    <t>618</t>
  </si>
  <si>
    <t>蓮蓬頭支架搖晃</t>
  </si>
  <si>
    <t>20260329-003</t>
  </si>
  <si>
    <t>615</t>
  </si>
  <si>
    <t>浴室玻璃門卡卡需要調整</t>
  </si>
  <si>
    <t>630</t>
  </si>
  <si>
    <t>門鈴聲音需調整</t>
  </si>
  <si>
    <t>Ricky</t>
  </si>
  <si>
    <t>520</t>
  </si>
  <si>
    <t>客反應空調不冷</t>
  </si>
  <si>
    <t>923</t>
  </si>
  <si>
    <t>脫軌了</t>
  </si>
  <si>
    <t>827</t>
  </si>
  <si>
    <t>827 浴室玻璃門手把鬆動</t>
  </si>
  <si>
    <t>1000008521.jpg</t>
  </si>
  <si>
    <t xml:space="preserve">Eric </t>
  </si>
  <si>
    <t>請協助安裝遮光</t>
  </si>
  <si>
    <t>822 門上的鐵片掉了 有預進</t>
  </si>
  <si>
    <t>1000008518.jpg</t>
  </si>
  <si>
    <t>709 淋浴間玻璃門手把鬆 有預進</t>
  </si>
  <si>
    <t>1000008496.jpg</t>
  </si>
  <si>
    <t>823 洗手台水龍頭搖晃 有預進</t>
  </si>
  <si>
    <t>819 天花板吸水</t>
  </si>
  <si>
    <t>已吸水</t>
  </si>
  <si>
    <t>20260327-001</t>
  </si>
  <si>
    <t>512</t>
  </si>
  <si>
    <t>淋浴間裝飾條燈不亮</t>
  </si>
  <si>
    <t>4/13 LED變壓器到，燈仍不亮。燈條斷裂需採購_x000D_
3/30 LED燈條變壓器採購中</t>
  </si>
  <si>
    <t>721</t>
  </si>
  <si>
    <t xml:space="preserve">反映房間有點冷 </t>
  </si>
  <si>
    <t>1015</t>
  </si>
  <si>
    <t xml:space="preserve">1015 淋浴間排水孔水下不去 </t>
  </si>
  <si>
    <t>已疏通完成</t>
  </si>
  <si>
    <t xml:space="preserve">1016 圓鏡上方燈沒有亮 有預進 </t>
  </si>
  <si>
    <t>1000008483.jpg</t>
  </si>
  <si>
    <t>現場調整後已正常燈亮</t>
  </si>
  <si>
    <t>窗簾髒污麻煩拆下來要送洗</t>
  </si>
  <si>
    <t>已裝回</t>
  </si>
  <si>
    <t>20260326-005</t>
  </si>
  <si>
    <t>IMG_2418.jpeg</t>
  </si>
  <si>
    <t>20260326-004</t>
  </si>
  <si>
    <t>IMG_2417.jpeg</t>
  </si>
  <si>
    <t>20260326-003</t>
  </si>
  <si>
    <t>920</t>
  </si>
  <si>
    <t>IMG_2419.jpeg</t>
  </si>
  <si>
    <t>20260326-002</t>
  </si>
  <si>
    <t>IMG_2436.jpeg</t>
  </si>
  <si>
    <t>出風口吹微風 房間悶熱</t>
  </si>
  <si>
    <t>3/26 已調整</t>
  </si>
  <si>
    <t>andy</t>
  </si>
  <si>
    <t>客反應房間太熱 情協助查詢</t>
  </si>
  <si>
    <t>3/26 現場溫度測試正常</t>
  </si>
  <si>
    <t>628</t>
  </si>
  <si>
    <t>冰箱溫度正常</t>
  </si>
  <si>
    <t>冰箱目前已經有變冷，房間已IP</t>
  </si>
  <si>
    <t>20260324-015</t>
  </si>
  <si>
    <t>浴室玻璃門卡住</t>
  </si>
  <si>
    <t>委外處理</t>
  </si>
  <si>
    <t>宣元隆明日進場修復</t>
  </si>
  <si>
    <t>930</t>
  </si>
  <si>
    <t>冰箱不冷、燈不亮</t>
  </si>
  <si>
    <t>IMG_0404.jpeg</t>
  </si>
  <si>
    <t>930冰箱已經OK</t>
  </si>
  <si>
    <t>門擋片掉了</t>
  </si>
  <si>
    <t>921擋片ok</t>
  </si>
  <si>
    <t>921擋片ok.jpg</t>
  </si>
  <si>
    <t>門鈴單因</t>
  </si>
  <si>
    <t>1018門鈴ok</t>
  </si>
  <si>
    <t>出風口導風閘片倒下，風量比較不集中，需拆下重裝</t>
  </si>
  <si>
    <t>912 冷氣出風口ok</t>
  </si>
  <si>
    <t>1025門鈴ok</t>
  </si>
  <si>
    <t>門鈴按3-4次才會響1次_x000D_
需要調整一下</t>
  </si>
  <si>
    <t>920 門鈴ok</t>
  </si>
  <si>
    <t>20260324-008</t>
  </si>
  <si>
    <t>IMG_2402.jpeg</t>
  </si>
  <si>
    <t>20260324-007</t>
  </si>
  <si>
    <t xml:space="preserve">IMG_2400.jpeg : https://ap12.ragic.com/sims/file.jsp?a=soutlet001&amp;f=OUC36Zz1CV%40IMG_2400.jpeg
IMG_2401.jpeg : https://ap12.ragic.com/sims/file.jsp?a=soutlet001&amp;f=9EbuDUztrA%40IMG_2401.jpeg
</t>
  </si>
  <si>
    <t>20260324-006</t>
  </si>
  <si>
    <t>IMG_2399.jpeg</t>
  </si>
  <si>
    <t>20260324-005</t>
  </si>
  <si>
    <t>IMG_2398.jpeg</t>
  </si>
  <si>
    <t>20260324-004</t>
  </si>
  <si>
    <t>IMG_2397.jpeg</t>
  </si>
  <si>
    <t>20260324-003</t>
  </si>
  <si>
    <t>IMG_2381.jpeg</t>
  </si>
  <si>
    <t>20260324-002</t>
  </si>
  <si>
    <t>IMG_2379.jpeg</t>
  </si>
  <si>
    <t>20260324-001</t>
  </si>
  <si>
    <t>IMG_2378.jpeg</t>
  </si>
  <si>
    <t>Van</t>
  </si>
  <si>
    <t>922</t>
  </si>
  <si>
    <t>客反映馬桶不通</t>
  </si>
  <si>
    <t>922疏通完成</t>
  </si>
  <si>
    <t>1019</t>
  </si>
  <si>
    <t>minibar 抽屜要貼皮</t>
  </si>
  <si>
    <t xml:space="preserve">IMG_0389.jpeg : https://ap12.ragic.com/sims/file.jsp?a=soutlet001&amp;f=QSfrHtXYEN%40IMG_0389.jpeg
IMG_0390.jpeg : https://ap12.ragic.com/sims/file.jsp?a=soutlet001&amp;f=bRALdYv9f1%40IMG_0390.jpeg
</t>
  </si>
  <si>
    <t>1019木皮貼回</t>
  </si>
  <si>
    <t>1019木皮貼回.jpg</t>
  </si>
  <si>
    <t>客人反應大廳燜熱</t>
  </si>
  <si>
    <t>大廳空調溫度及風量已調整</t>
  </si>
  <si>
    <t>Fomeg</t>
  </si>
  <si>
    <t>客人反應電視看不了，一直在laoding的畫面，客在房間等請派人去協助 謝謝</t>
  </si>
  <si>
    <t>612電視ok</t>
  </si>
  <si>
    <t>510門鈴ok</t>
  </si>
  <si>
    <t>床墊右上的輪子歪了</t>
  </si>
  <si>
    <t xml:space="preserve">IMG_0380.jpeg : https://ap12.ragic.com/sims/file.jsp?a=soutlet001&amp;f=tSl0WwQelh%40IMG_0380.jpeg
IMG_0379.jpeg : https://ap12.ragic.com/sims/file.jsp?a=soutlet001&amp;f=fWq8GadajT%40IMG_0379.jpeg
</t>
  </si>
  <si>
    <t>1031支撐角材已經裂開，無法加固恢復原狀，需要更換一直固定角材_x000D_
4/1 廠商已加固完成</t>
  </si>
  <si>
    <t>20260323-005</t>
  </si>
  <si>
    <t>椅子氣壓棒壞掉</t>
  </si>
  <si>
    <t>519椅子油壓頂桿漏油，需換整組目前無料</t>
  </si>
  <si>
    <t>519 衛生紙架ok</t>
  </si>
  <si>
    <t>519 衛生紙架ok.jpg</t>
  </si>
  <si>
    <t>911 門鈴ok</t>
  </si>
  <si>
    <t>512 門鎖電池沒電 麻煩請盡快處理 房務員要進房打掃 謝謝</t>
  </si>
  <si>
    <t>512門鎖電池已更換</t>
  </si>
  <si>
    <t>512門鎖電池已更換.jpg</t>
  </si>
  <si>
    <t>FOMITCH</t>
  </si>
  <si>
    <t>冷氣不冷，3/22晚班有調整過但還是覺得不冷</t>
  </si>
  <si>
    <t>912 出風口溫度，出風口導風閘片倒下，風量比較不集中，待客人退房後再拆下重裝</t>
  </si>
  <si>
    <t>20260322-016</t>
  </si>
  <si>
    <t>4樓 A Bar</t>
  </si>
  <si>
    <t>舟廳與磚瓦廳中間空調冷氣孔蓋不密合</t>
  </si>
  <si>
    <t>7樓廊道</t>
  </si>
  <si>
    <t>702門口崁燈閃爍</t>
  </si>
  <si>
    <t>客廳窗簾線掉落</t>
  </si>
  <si>
    <t>木櫃脫皮</t>
  </si>
  <si>
    <t>玻璃門手把鬆脫</t>
  </si>
  <si>
    <t>731 洗手台會移動 需固定 有預進</t>
  </si>
  <si>
    <t>1000008407.jpg</t>
  </si>
  <si>
    <t>手把鬆脫</t>
  </si>
  <si>
    <t>621</t>
  </si>
  <si>
    <t>浴巾掛架鬆脫</t>
  </si>
  <si>
    <t>電話機零件鬆脫</t>
  </si>
  <si>
    <t>725 床墊的左上角斷掉 有預進</t>
  </si>
  <si>
    <t>1000008401.jpg</t>
  </si>
  <si>
    <t>已於3/31維修完成</t>
  </si>
  <si>
    <t>淋浴間排水很慢</t>
  </si>
  <si>
    <t>房門沒電</t>
  </si>
  <si>
    <t>1016電池已更換</t>
  </si>
  <si>
    <t>浴室有臭味飄出</t>
  </si>
  <si>
    <t>811 浴室臭味已消</t>
  </si>
  <si>
    <t>20260322-001</t>
  </si>
  <si>
    <t>房間有低頻噪音</t>
  </si>
  <si>
    <t>503目前一切正常，無任何的異常聲音，持續觀察中。</t>
  </si>
  <si>
    <t>還是有低頻噪音</t>
  </si>
  <si>
    <t>1017</t>
  </si>
  <si>
    <t>客人反應請調整冷氣出風口方向</t>
  </si>
  <si>
    <t>已將出風口葉片方向調整完成</t>
  </si>
  <si>
    <t>電話沒有嘟嘟聲</t>
  </si>
  <si>
    <t>應為808，領班打錯工單房號</t>
  </si>
  <si>
    <t>808</t>
  </si>
  <si>
    <t>電話異常，退房後會再通知公務進房檢查</t>
  </si>
  <si>
    <t>已更換電池</t>
  </si>
  <si>
    <t>浴室拉門壞掉</t>
  </si>
  <si>
    <t>門需要重新貼皮</t>
  </si>
  <si>
    <t>IMG_0343.jpeg</t>
  </si>
  <si>
    <t>已貼皮</t>
  </si>
  <si>
    <t>電話完全沒有聲音</t>
  </si>
  <si>
    <t>805</t>
  </si>
  <si>
    <t>無法自動上鎖</t>
  </si>
  <si>
    <t>門已修復</t>
  </si>
  <si>
    <t>洗手台上方燈泡不亮</t>
  </si>
  <si>
    <t>IMG_0339.jpeg</t>
  </si>
  <si>
    <t>工單取消是接觸不良目前已恢復正常</t>
  </si>
  <si>
    <t>926門鈴ok</t>
  </si>
  <si>
    <t>浴室玻璃門手把鬆動</t>
  </si>
  <si>
    <t>526 手把已 鎖緊</t>
  </si>
  <si>
    <t>526 手把已 鎖緊.jpg</t>
  </si>
  <si>
    <t>短的遮光簾掉了</t>
  </si>
  <si>
    <t>IMG_0331.jpeg</t>
  </si>
  <si>
    <t>1020 電動窗簾調整ok</t>
  </si>
  <si>
    <t>1020 電動窗簾調整ok.jpg</t>
  </si>
  <si>
    <t>沒有冷氣</t>
  </si>
  <si>
    <t>708 調整完成</t>
  </si>
  <si>
    <t>708 調整完成.jpg</t>
  </si>
  <si>
    <t>蓮蓬頭裝飾蓋掉了</t>
  </si>
  <si>
    <t>730 飾蓋已裝上</t>
  </si>
  <si>
    <t>730 飾蓋已裝上.jpg</t>
  </si>
  <si>
    <t>20260319-004</t>
  </si>
  <si>
    <t>716</t>
  </si>
  <si>
    <t>取消</t>
  </si>
  <si>
    <t>房務取消</t>
  </si>
  <si>
    <t>819 空房 麻煩安排馬桶上方天花板集水盆吸水，今天有排預進，謝謝</t>
  </si>
  <si>
    <t>819 水已吸乾</t>
  </si>
  <si>
    <t>506</t>
  </si>
  <si>
    <t>天花板鏽斑已處理</t>
  </si>
  <si>
    <t>506 天花板鏽斑已ok.jpg</t>
  </si>
  <si>
    <t>套房房間電視無法觀看</t>
  </si>
  <si>
    <t>619 客人用錯遙控器</t>
  </si>
  <si>
    <t xml:space="preserve">619 客人用錯遙控器-1.jpg : https://ap12.ragic.com/sims/file.jsp?a=soutlet001&amp;f=wzLT0NCwI5%40619+%E5%AE%A2%E4%BA%BA%E7%94%A8%E9%8C%AF%E9%81%99%E6%8E%A7%E5%99%A8-1.jpg
619 客人用錯遙控器-2.jpg : https://ap12.ragic.com/sims/file.jsp?a=soutlet001&amp;f=ayjSbvLZdd%40619+%E5%AE%A2%E4%BA%BA%E7%94%A8%E9%8C%AF%E9%81%99%E6%8E%A7%E5%99%A8-2.jpg
</t>
  </si>
  <si>
    <t>貓眼鬆動</t>
  </si>
  <si>
    <t>IMG_0319.jpeg</t>
  </si>
  <si>
    <t>510貓眼已故定</t>
  </si>
  <si>
    <t>510貓眼已故定.jpg</t>
  </si>
  <si>
    <t>WILSN</t>
  </si>
  <si>
    <t>窗簾掉落</t>
  </si>
  <si>
    <t>523已裝回，測試正常</t>
  </si>
  <si>
    <t>523已裝回，測試正常.jpg</t>
  </si>
  <si>
    <t>529</t>
  </si>
  <si>
    <t>窗簾無法降落</t>
  </si>
  <si>
    <t>529窗簾卡住已調整完成</t>
  </si>
  <si>
    <t xml:space="preserve">空調有異音_x000D_
</t>
  </si>
  <si>
    <t>空調的運轉聲音，517 空調風扇已上油聲響已降低</t>
  </si>
  <si>
    <t>20260317-006</t>
  </si>
  <si>
    <t xml:space="preserve"> 517客人反應房間有異音，客人已換房請去房間檢查</t>
  </si>
  <si>
    <t>房務重複工單</t>
  </si>
  <si>
    <t>20260317-005</t>
  </si>
  <si>
    <t>816</t>
  </si>
  <si>
    <t xml:space="preserve">R0816 _x000D_
1. 浴簾破損 2.有電線電話機_x000D_
3. 入門處右邊下方插座裡面有水 無法使用_x000D_
4. 氯錠味 </t>
  </si>
  <si>
    <t>20260317-004</t>
  </si>
  <si>
    <t>815</t>
  </si>
  <si>
    <t xml:space="preserve">R0815 _x000D_
1.無浴簾 2.浴室玻璃門無法緊閉 _x000D_
3. 有線電話機無按鍵 4. 免治馬桶控制損壞_x000D_
5. 床頭吊燈被拆掉 6. 小冰箱 </t>
  </si>
  <si>
    <t xml:space="preserve">HKTONF </t>
  </si>
  <si>
    <t>607 冷氣顯示 18 度，但房間還是很熱  (補單)</t>
  </si>
  <si>
    <t>IMG_1252.jpeg</t>
  </si>
  <si>
    <t>607 出風口溫度18度</t>
  </si>
  <si>
    <t>607 出風口溫度18度.jpg</t>
  </si>
  <si>
    <t>20260317-002</t>
  </si>
  <si>
    <t>門工器沒有辦法卡住</t>
  </si>
  <si>
    <t>缺門檔片</t>
  </si>
  <si>
    <t>705 冷氣出風口好像沒風 溫度下不去 一直顯示25度 有預進</t>
  </si>
  <si>
    <t>1000008295.jpg</t>
  </si>
  <si>
    <t>705已確認水閥正常，現場溫度已經降低</t>
  </si>
  <si>
    <t>Victor</t>
  </si>
  <si>
    <t>客反映房內沒熱水，淋浴和洗手台都沒有</t>
  </si>
  <si>
    <t>已有熱水，開久一點</t>
  </si>
  <si>
    <t>1025門鈴oK</t>
  </si>
  <si>
    <t>927</t>
  </si>
  <si>
    <t>木皮脫落</t>
  </si>
  <si>
    <t>927 已處理</t>
  </si>
  <si>
    <t>927 已處理.jpg</t>
  </si>
  <si>
    <t>20260316-006</t>
  </si>
  <si>
    <t>四門冰箱運轉異音，溫度過高</t>
  </si>
  <si>
    <t>IMG_0275.jpeg</t>
  </si>
  <si>
    <t>廠商技師調整，請廚房師傅觀察後續使用狀況</t>
  </si>
  <si>
    <t>916</t>
  </si>
  <si>
    <t>水龍頭底座會移動</t>
  </si>
  <si>
    <t>福群侯經理代班更換底片重新固定完成</t>
  </si>
  <si>
    <t>更換底片重新固定完成.jpg</t>
  </si>
  <si>
    <t>盥洗用品架破損</t>
  </si>
  <si>
    <t>福群侯經理代班更換完成</t>
  </si>
  <si>
    <t>更換新品完成.jpg</t>
  </si>
  <si>
    <t>2.6 衣櫃-所有抽屜和滑軌不顺利、無能完好的自动闭合，需潤滑</t>
  </si>
  <si>
    <t>image (1).jpg</t>
  </si>
  <si>
    <t>福群侯經理代班值早班，檢查過狀態OK</t>
  </si>
  <si>
    <t>20260316-002</t>
  </si>
  <si>
    <t>1.9 客房門-缺貓眼</t>
  </si>
  <si>
    <t>image (2).jpg</t>
  </si>
  <si>
    <t>房內冷氣不會運作，溫度太高，請於3/16檢修</t>
  </si>
  <si>
    <t xml:space="preserve">福群侯經理 817調整後出風口溫度16度 </t>
  </si>
  <si>
    <t>817調整後出風口溫度16度.jpg</t>
  </si>
  <si>
    <t>無信號</t>
  </si>
  <si>
    <t>插座異常 換孔就已裝回原1030機上盒</t>
  </si>
  <si>
    <t>貓眼掉了</t>
  </si>
  <si>
    <t>631貓眼ok</t>
  </si>
  <si>
    <t>631貓眼ok.jpg</t>
  </si>
  <si>
    <t>水壺抽屜卡住，不容易開</t>
  </si>
  <si>
    <t>919櫃子ok</t>
  </si>
  <si>
    <t>蓮蓬頭架裝飾蓋鬆掉</t>
  </si>
  <si>
    <t>925 蓮蓬頭架飾蓋已整好</t>
  </si>
  <si>
    <t>925 蓮蓬頭架飾蓋已整好.jpg</t>
  </si>
  <si>
    <t>衛生紙捲筒架鬆動</t>
  </si>
  <si>
    <t>925 衛生紙架已整好</t>
  </si>
  <si>
    <t>925 衛生紙架ok.jpg</t>
  </si>
  <si>
    <t>門弓器有異音_x000D_
需要潤滑油</t>
  </si>
  <si>
    <t>503門弓器ok</t>
  </si>
  <si>
    <t>1022 門鈴ok</t>
  </si>
  <si>
    <t>715 床頭燈罩破洞 要換 有預進 早進14：00</t>
  </si>
  <si>
    <t>1000008266.jpg</t>
  </si>
  <si>
    <t>715已更換</t>
  </si>
  <si>
    <t>715已更換.jpg</t>
  </si>
  <si>
    <t>716 門鈴沒聲音 有預進 客人早進14：00</t>
  </si>
  <si>
    <t>716調整完成</t>
  </si>
  <si>
    <t>電視遙控器遺失，已先拿815整組替換</t>
  </si>
  <si>
    <t>已將815整組更換至602</t>
  </si>
  <si>
    <t>洗手台會移動</t>
  </si>
  <si>
    <t>洗手台下方水管脫落</t>
  </si>
  <si>
    <t>511</t>
  </si>
  <si>
    <t>淋浴間手把鬆動</t>
  </si>
  <si>
    <t>IMG_0300.jpeg</t>
  </si>
  <si>
    <t>靠近櫃檯的那台電梯鏡子掉下來 並且有異味</t>
  </si>
  <si>
    <t>公區</t>
  </si>
  <si>
    <t>福群侯經理代班602水龍頭鬆動重新固定</t>
  </si>
  <si>
    <t>602水龍頭鬆動重新固定.jpg</t>
  </si>
  <si>
    <t>819洗手台下方管子掉了</t>
  </si>
  <si>
    <t>1000008240.jpg</t>
  </si>
  <si>
    <t>819洗手台下方管子已裝好</t>
  </si>
  <si>
    <t xml:space="preserve">803 洗手台水龍頭搖晃 退房再處理 </t>
  </si>
  <si>
    <t>803 水龍頭鬆動已固定</t>
  </si>
  <si>
    <t>電視遙控器遺失</t>
  </si>
  <si>
    <t>已從815更換到602</t>
  </si>
  <si>
    <t>20260313-012</t>
  </si>
  <si>
    <t>FB-Ariel</t>
  </si>
  <si>
    <t>4樓A Bar B Bar 和咖啡機&amp;製冰機的濾心_x000D_
(3-6個月要換一次，並每個月至少清洗一次)</t>
  </si>
  <si>
    <t>4/7 更換完成_x000D_
3/30 數量修改_x000D_
3/13 CHECK系統已下單濾芯和PP第一道過濾。</t>
  </si>
  <si>
    <t>濾芯.jpg</t>
  </si>
  <si>
    <t>20260313-011</t>
  </si>
  <si>
    <t>淋浴門有異音</t>
  </si>
  <si>
    <t>20260313-010</t>
  </si>
  <si>
    <t>915</t>
  </si>
  <si>
    <t>915-小冰箱補漆.jpeg</t>
  </si>
  <si>
    <t>門弓器故障，卡不住</t>
  </si>
  <si>
    <t>716門弓器處理完成</t>
  </si>
  <si>
    <t>720</t>
  </si>
  <si>
    <t>720衣櫥電燈不會亮</t>
  </si>
  <si>
    <t>720 衣櫥燈已ok</t>
  </si>
  <si>
    <t>720 衣櫥燈已ok.jpg</t>
  </si>
  <si>
    <t>20260313-007</t>
  </si>
  <si>
    <t>5.20 浴厠修復牆壁和天花板上所有破損的油漆和壁紙無裂痕、污漬和明顯的色差</t>
  </si>
  <si>
    <t xml:space="preserve">913-浴廁天花板油漆 1.jpeg : https://ap12.ragic.com/sims/file.jsp?a=soutlet001&amp;f=dS4JCCCcYe%40913-%E6%B5%B4%E5%BB%81%E5%A4%A9%E8%8A%B1%E6%9D%BF%E6%B2%B9%E6%BC%86+1.jpeg
913-浴廁天花板油漆 2.jpeg : https://ap12.ragic.com/sims/file.jsp?a=soutlet001&amp;f=eKCsL5lZ45%40913-%E6%B5%B4%E5%BB%81%E5%A4%A9%E8%8A%B1%E6%9D%BF%E6%B2%B9%E6%BC%86+2.jpeg
</t>
  </si>
  <si>
    <t>房門側面，木皮剝落</t>
  </si>
  <si>
    <t>525 房門木皮修補完成</t>
  </si>
  <si>
    <t>525 房門木皮修補完成.jpg</t>
  </si>
  <si>
    <t>HR-Justin</t>
  </si>
  <si>
    <t>黑色微波爐，轉鈕卡住</t>
  </si>
  <si>
    <t>福群侯經理代班已調整處理完成</t>
  </si>
  <si>
    <t>529已鎖好</t>
  </si>
  <si>
    <t>621 貓眼已鎖緊</t>
  </si>
  <si>
    <t>621 貓眼已鎖緊.jpg</t>
  </si>
  <si>
    <t>801</t>
  </si>
  <si>
    <t xml:space="preserve">801 門鎖電池沒電 開不了 _x000D_
</t>
  </si>
  <si>
    <t>801已更換電池，測試正常！</t>
  </si>
  <si>
    <t>526 玻璃門手把已鎖緊</t>
  </si>
  <si>
    <t>526 玻璃門手把已鎖緊.jpg</t>
  </si>
  <si>
    <t>貓眼無法固定</t>
  </si>
  <si>
    <t>730 貓眼及浴室門處理完成</t>
  </si>
  <si>
    <t>730 貓眼 處理完成.jpg</t>
  </si>
  <si>
    <t>淋浴間門無法密合</t>
  </si>
  <si>
    <t>730  浴室門處理完成.jpg</t>
  </si>
  <si>
    <t>客人反映空調沒有在流通的感覺，麻煩去房間查看下，客在房間等</t>
  </si>
  <si>
    <t>920處理完成</t>
  </si>
  <si>
    <t>926 續住 門弓器需要維修 目前客人不在</t>
  </si>
  <si>
    <t>1000008213.jpg</t>
  </si>
  <si>
    <t>926 門弓器處理完成</t>
  </si>
  <si>
    <t>708 處理完成</t>
  </si>
  <si>
    <t>(昨天有通報客房內電話異常，沒有更換電池)_x000D_
房內電話沒有聲音(跟充電無關)，請更換電池</t>
  </si>
  <si>
    <t>福群侯經理代班處理電池拔重插後正常</t>
  </si>
  <si>
    <t>501 床頭櫃 木頭刮手</t>
  </si>
  <si>
    <t>1000008207.jpg</t>
  </si>
  <si>
    <t xml:space="preserve">已黏合。_x000D_
</t>
  </si>
  <si>
    <t>713</t>
  </si>
  <si>
    <t>蓮蓬頭接頭出漏水</t>
  </si>
  <si>
    <t>713 蓮蓬頭接頭已修復</t>
  </si>
  <si>
    <t>517 續住 窗簾拉線斷了</t>
  </si>
  <si>
    <t>AD281786-A1FE-4492-9D34-578AC26857D7.jpg</t>
  </si>
  <si>
    <t>517 窗簾拉線處理完成</t>
  </si>
  <si>
    <t>517 窗簾拉線處理完成.jpg</t>
  </si>
  <si>
    <t>631 馬桶疑似沒電  有預進</t>
  </si>
  <si>
    <t>1000008200.jpg</t>
  </si>
  <si>
    <t>631 處理完成</t>
  </si>
  <si>
    <t>B1 房務辦公室</t>
  </si>
  <si>
    <t>吸塵器在使用時出現火花，而且電線已經脫落，請幫忙檢查並維修。目前放在房務辦公室，謝謝. (補單)</t>
  </si>
  <si>
    <t xml:space="preserve">IMG_0932.jpeg : https://ap12.ragic.com/sims/file.jsp?a=soutlet001&amp;f=D7Y1XOiDg4%40IMG_0932.jpeg
IMG_0931.jpeg : https://ap12.ragic.com/sims/file.jsp?a=soutlet001&amp;f=fmwaWbpJsI%40IMG_0931.jpeg
</t>
  </si>
  <si>
    <t>房務吸塵器已修復</t>
  </si>
  <si>
    <t>1016 浴室玻璃門破裂</t>
  </si>
  <si>
    <t>3/12 玻璃已安裝</t>
  </si>
  <si>
    <t>20260312-002</t>
  </si>
  <si>
    <t>1013 浴室玻璃門破裂</t>
  </si>
  <si>
    <t>3/12 宣元隆已進場安裝玻璃，開閉有異音，有裝歪需再進場調整</t>
  </si>
  <si>
    <t>20260312-001</t>
  </si>
  <si>
    <t xml:space="preserve">601 客廳天花板間接燈 關閉後燈會閃爍 控制盤內 電容故障 會固定放電 </t>
  </si>
  <si>
    <t>保險絲規格不對，待料中。</t>
  </si>
  <si>
    <t>反應房間太冷 請協助查詢</t>
  </si>
  <si>
    <t>519 已協助客人調整</t>
  </si>
  <si>
    <t>房間悶熱、出風口要調整</t>
  </si>
  <si>
    <t>817 溫度已調整</t>
  </si>
  <si>
    <t>817 溫度已調整.jpg</t>
  </si>
  <si>
    <t>20260311-009</t>
  </si>
  <si>
    <t>1樓客梯 左手邊那台反應器壞掉卡片刷不了，麻煩請人來檢查</t>
  </si>
  <si>
    <t xml:space="preserve">和櫃檯確認後已正常，無須通知富士達來維修_x000D_
</t>
  </si>
  <si>
    <t>929門鈴處理完成</t>
  </si>
  <si>
    <t>20260311-007</t>
  </si>
  <si>
    <t>‼️麻煩3/13 確認退房，再請工程進行施工_x000D_
門工器壞掉</t>
  </si>
  <si>
    <t>IMG_8446.jpeg</t>
  </si>
  <si>
    <t>20260311-006</t>
  </si>
  <si>
    <t>‼️續住房：客人目前不在。_x000D_
工程進房，請通知房務部一同_x000D_
電話拿起完全沒有聲音</t>
  </si>
  <si>
    <t>3/12 房務重複上單</t>
  </si>
  <si>
    <t>床頭櫃條燈掉落</t>
  </si>
  <si>
    <t>712燈條處理完成</t>
  </si>
  <si>
    <t>712處理完成.jpg</t>
  </si>
  <si>
    <t>浴室天花板集水盆需處理</t>
  </si>
  <si>
    <t>819處理完成，接水盤已吸水</t>
  </si>
  <si>
    <t>浴缸水塞脫落</t>
  </si>
  <si>
    <t>IMG_0287.jpeg</t>
  </si>
  <si>
    <t>819處理完成</t>
  </si>
  <si>
    <t>水龍頭底座會搖晃</t>
  </si>
  <si>
    <t>618 水龍頭底座已鎖緊</t>
  </si>
  <si>
    <t>20260311-001</t>
  </si>
  <si>
    <t>客人反映溫度冷 請協助查詢</t>
  </si>
  <si>
    <t>IMG_0274.jpeg</t>
  </si>
  <si>
    <t>628 TV處理完成</t>
  </si>
  <si>
    <t>628 TV處理完成.jpg</t>
  </si>
  <si>
    <t>洗水台水塞彈不起來</t>
  </si>
  <si>
    <t>717洗手台水塞已修復</t>
  </si>
  <si>
    <t>717洗手台水塞已修復.jpg</t>
  </si>
  <si>
    <t>20260309-017</t>
  </si>
  <si>
    <t xml:space="preserve">1.餐盤保溫櫃2檯皆無法開機使用_x000D_
2.爐台前方臥式冰箱2檯皆無法開機使用_x000D_
3.冰箱溫度偏高，請工程部協助調整，_x000D_
使溫度常態保持在2～5度。_x000D_
4.蒸烤箱的濾芯要更換！_x000D_
</t>
  </si>
  <si>
    <t xml:space="preserve">S__103202827_0.jpg : https://ap12.ragic.com/sims/file.jsp?a=soutlet001&amp;f=GmzVTYX7uU%40S__103202827_0.jpg
S__103202828_0.jpg : https://ap12.ragic.com/sims/file.jsp?a=soutlet001&amp;f=eHv5IUUhKn%40S__103202828_0.jpg
S__103202831_0.jpg : https://ap12.ragic.com/sims/file.jsp?a=soutlet001&amp;f=356D1rkLLv%40S__103202831_0.jpg
S__103202832_0.jpg : https://ap12.ragic.com/sims/file.jsp?a=soutlet001&amp;f=IWMkH9hj35%40S__103202832_0.jpg
S__103202834.jpg : https://ap12.ragic.com/sims/file.jsp?a=soutlet001&amp;f=IRLK0aTCYf%40S__103202834.jpg
S__103202837.jpg : https://ap12.ragic.com/sims/file.jsp?a=soutlet001&amp;f=IT7ohVZjZq%40S__103202837.jpg
S__103202838.jpg : https://ap12.ragic.com/sims/file.jsp?a=soutlet001&amp;f=w2CUXEp6TB%40S__103202838.jpg
</t>
  </si>
  <si>
    <t>3/19 B1廚房水槽水管已鎖緊_x000D_
3/18 聯繫詮宸設備廠商，進場填充冷媒和更換蒸烤箱濾心。</t>
  </si>
  <si>
    <t xml:space="preserve">113586_0.jpg : https://ap12.ragic.com/sims/file.jsp?a=soutlet001&amp;f=VYtfh2ZFmC%40113586_0.jpg
113587_0.jpg : https://ap12.ragic.com/sims/file.jsp?a=soutlet001&amp;f=0U7Q9TOJER%40113587_0.jpg
113585_0.jpg : https://ap12.ragic.com/sims/file.jsp?a=soutlet001&amp;f=SGZUa7YrCC%40113585_0.jpg
113584_0.jpg : https://ap12.ragic.com/sims/file.jsp?a=soutlet001&amp;f=3hwXNfIlXw%40113584_0.jpg
113588_0.jpg : https://ap12.ragic.com/sims/file.jsp?a=soutlet001&amp;f=QHpQYqDVgj%40113588_0.jpg
113589_0.jpg : https://ap12.ragic.com/sims/file.jsp?a=soutlet001&amp;f=7vMX0TcMKI%40113589_0.jpg
113590_0.jpg : https://ap12.ragic.com/sims/file.jsp?a=soutlet001&amp;f=aZnT9aKGA4%40113590_0.jpg
113591_0.jpg : https://ap12.ragic.com/sims/file.jsp?a=soutlet001&amp;f=0yFsXHoNgR%40113591_0.jpg
113592_0.jpg : https://ap12.ragic.com/sims/file.jsp?a=soutlet001&amp;f=QTMgESp1ii%40113592_0.jpg
113593.jpg : https://ap12.ragic.com/sims/file.jsp?a=soutlet001&amp;f=jnY9G7daPG%40113593.jpg
</t>
  </si>
  <si>
    <t>20260309-016</t>
  </si>
  <si>
    <t>6.3 小冰箱-門、鉸鍊和把手無刮痕、無污染、無脫漆、無色差(大夜無提供照片)</t>
  </si>
  <si>
    <t>20260309-015</t>
  </si>
  <si>
    <t>6.3 小冰箱-門、鉸鍊和把手無刮痕、無污染、無脫漆、無色差 (大夜無提供照片)</t>
  </si>
  <si>
    <t>20260309-014</t>
  </si>
  <si>
    <t>1.7 客房門-門和框架油漆工作 - 補漆無變形、開裂、脫漆、污漬</t>
  </si>
  <si>
    <t>IMG_2120.jpeg</t>
  </si>
  <si>
    <t>IMG_2119.jpeg</t>
  </si>
  <si>
    <t>20260309-012</t>
  </si>
  <si>
    <t>IMG_2118.jpeg</t>
  </si>
  <si>
    <t>20260309-011</t>
  </si>
  <si>
    <t>6.5 mini bar-木製品和檯面在良好的狀態無刮痕、無污染、無脫漆、無色差</t>
  </si>
  <si>
    <t>IMG_2094.jpeg</t>
  </si>
  <si>
    <t>20260309-010</t>
  </si>
  <si>
    <t>IMG_2097.jpeg</t>
  </si>
  <si>
    <t>20260309-009</t>
  </si>
  <si>
    <t>IMG_2093.jpeg</t>
  </si>
  <si>
    <t>20260309-008</t>
  </si>
  <si>
    <t>IMG_2092.jpeg</t>
  </si>
  <si>
    <t>20260309-007</t>
  </si>
  <si>
    <t>IMG_2091.jpeg</t>
  </si>
  <si>
    <t>門鎖沒電打不開_x000D_
要更換電池</t>
  </si>
  <si>
    <t>IMG_0270.jpeg</t>
  </si>
  <si>
    <t>519 電池已更換</t>
  </si>
  <si>
    <t>519 電池已更換.jpg</t>
  </si>
  <si>
    <t>530</t>
  </si>
  <si>
    <t>下水塞按不起來</t>
  </si>
  <si>
    <t>530洗手檯止水閥已ok</t>
  </si>
  <si>
    <t>530洗手檯止水閥已ok.jpg</t>
  </si>
  <si>
    <t>502</t>
  </si>
  <si>
    <t>1.之前漏水，所有線路需要查修_x000D_
2.天花板要油漆_x000D_
3.電話需要裝機測試，之前漏水有泡水過</t>
  </si>
  <si>
    <t>已處理完成</t>
  </si>
  <si>
    <t>IMG_0264.jpeg</t>
  </si>
  <si>
    <t>627 已調整好</t>
  </si>
  <si>
    <t>627 已調整好.jpg</t>
  </si>
  <si>
    <t>20260309-002</t>
  </si>
  <si>
    <t>窗簾跟紗簾無法按一下就全放或全收，只能一直按著操作</t>
  </si>
  <si>
    <t>重複工單，已有更新在原有工單。</t>
  </si>
  <si>
    <t>20260309-001</t>
  </si>
  <si>
    <t>紗簾下不來</t>
  </si>
  <si>
    <t>客人反應馬桶無法沖水(使用) 請協助查詢</t>
  </si>
  <si>
    <t>現場測試馬桶沖水正常</t>
  </si>
  <si>
    <t>yoyo</t>
  </si>
  <si>
    <t>528床頭燈一個不亮 補單</t>
  </si>
  <si>
    <t>1000008167.jpg</t>
  </si>
  <si>
    <t>528床頭燈更換完成</t>
  </si>
  <si>
    <t>528床頭燈更換完成.jpg</t>
  </si>
  <si>
    <t>501HDMI要拔除 補單</t>
  </si>
  <si>
    <t>1000008166.jpg</t>
  </si>
  <si>
    <t>501HDMI已拔除</t>
  </si>
  <si>
    <t>501HDMI已拔除.jpg</t>
  </si>
  <si>
    <t>501電視沒辦法調整到主畫面</t>
  </si>
  <si>
    <t>501電視調到主畫面處理完成</t>
  </si>
  <si>
    <t>501電視調到主畫面處理完成.jpg</t>
  </si>
  <si>
    <t>722 門上的木片掉了 有預進 早進13：00</t>
  </si>
  <si>
    <t>1000008158.jpg</t>
  </si>
  <si>
    <t>已處理好</t>
  </si>
  <si>
    <t>馬桶堵塞</t>
  </si>
  <si>
    <t>空調面板顯示有問題</t>
  </si>
  <si>
    <t>處理完成</t>
  </si>
  <si>
    <t>客房門口天花板坎燈閃爍</t>
  </si>
  <si>
    <t>客廳天花板坎燈_x000D_
電源開啟第34秒才會亮_x000D_
電源關閉第12秒才會滅</t>
  </si>
  <si>
    <t>701燈具修復完成</t>
  </si>
  <si>
    <t xml:space="preserve">93884_0.jpg : https://ap12.ragic.com/sims/file.jsp?a=soutlet001&amp;f=yHDIZ4TdKp%4093884_0.jpg
93885_0.jpg : https://ap12.ragic.com/sims/file.jsp?a=soutlet001&amp;f=F9S5YP4qtr%4093885_0.jpg
93886_0.jpg : https://ap12.ragic.com/sims/file.jsp?a=soutlet001&amp;f=haJa0T6p9J%4093886_0.jpg
93887_0.jpg : https://ap12.ragic.com/sims/file.jsp?a=soutlet001&amp;f=Y0LEQ6p87e%4093887_0.jpg
</t>
  </si>
  <si>
    <t>門擋片後面缺小塊，請補貼皮</t>
  </si>
  <si>
    <t>IMG_0230.jpeg</t>
  </si>
  <si>
    <t>椅子下方螺絲掉了</t>
  </si>
  <si>
    <t>IMG_0227.jpeg</t>
  </si>
  <si>
    <t>831處理完成</t>
  </si>
  <si>
    <t>831處理完成.jpg</t>
  </si>
  <si>
    <t>20260305-001</t>
  </si>
  <si>
    <t>蓮蓬頭蓋裝飾扣：缺2</t>
  </si>
  <si>
    <t>IMG_7856.jpeg</t>
  </si>
  <si>
    <t>已下新單待到貨後更換</t>
  </si>
  <si>
    <t>客人說電視頻道都顯示沒信號</t>
  </si>
  <si>
    <t>房務辦公室有一台吸塵器需要換插頭 再麻煩了，謝謝</t>
  </si>
  <si>
    <t xml:space="preserve">1000008134.jpg : https://ap12.ragic.com/sims/file.jsp?a=soutlet001&amp;f=69H1BvYbKE%401000008134.jpg
1000008133.jpg : https://ap12.ragic.com/sims/file.jsp?a=soutlet001&amp;f=KkgcuEj1FC%401000008133.jpg
</t>
  </si>
  <si>
    <t>已更換完成</t>
  </si>
  <si>
    <t>5樓廊道</t>
  </si>
  <si>
    <t>507.508 之間走廊的插座 沒有通電 在麻煩協助一下 謝謝</t>
  </si>
  <si>
    <t>S__8036382.jpg</t>
  </si>
  <si>
    <t>止水條破裂</t>
  </si>
  <si>
    <t>關門巨大聲音需調整</t>
  </si>
  <si>
    <t>房門口天花板坎燈閃爍</t>
  </si>
  <si>
    <t>1013門口崁燈已更換</t>
  </si>
  <si>
    <t>918</t>
  </si>
  <si>
    <t>裝錯的止水條</t>
  </si>
  <si>
    <t>浴缸區的熱水管疑似破裂，水流到客房</t>
  </si>
  <si>
    <t>20260303-007</t>
  </si>
  <si>
    <t>水龍頭會移動</t>
  </si>
  <si>
    <t>重複工單</t>
  </si>
  <si>
    <t>915 水龍頭已固定，臉盆已打膠勿移動</t>
  </si>
  <si>
    <t>90087.jpg</t>
  </si>
  <si>
    <t>門鈴單音小聲</t>
  </si>
  <si>
    <t>蓮蓬頭架搖晃</t>
  </si>
  <si>
    <t>918 蓮蓬頭架已鎖緊</t>
  </si>
  <si>
    <t>門擋片翹起來</t>
  </si>
  <si>
    <t>813門擋片處理完成</t>
  </si>
  <si>
    <t>客人抱怨洗澡浴室無法正常排水 水淹得的到處都是</t>
  </si>
  <si>
    <t xml:space="preserve">820 淋浴間門要更換止水條 </t>
  </si>
  <si>
    <t>1000008110.jpg</t>
  </si>
  <si>
    <t>20260302-001</t>
  </si>
  <si>
    <t>1013房門口的燈、會閃</t>
  </si>
  <si>
    <t>客反應電視無法開啟</t>
  </si>
  <si>
    <t>809 電視已調整ok</t>
  </si>
  <si>
    <t>房間電話沒有嘟嘟聲_x000D_
可能需要更換電池</t>
  </si>
  <si>
    <t>IMG_0214.jpeg</t>
  </si>
  <si>
    <t>1019 電話電源重啟後ok</t>
  </si>
  <si>
    <t>528 門鈴沒聲音</t>
  </si>
  <si>
    <t>528 門鈴ok</t>
  </si>
  <si>
    <t xml:space="preserve">523 窗簾卡住 </t>
  </si>
  <si>
    <t>1000008096.jpg</t>
  </si>
  <si>
    <t>522 洗手台水龍頭鬆動</t>
  </si>
  <si>
    <t>1000008095.jpg</t>
  </si>
  <si>
    <t>522水龍頭已鎖緊</t>
  </si>
  <si>
    <t>522水龍頭已鎖緊.jpg</t>
  </si>
  <si>
    <t>920 洗手台止水塞彈不起來 續住 客在房內</t>
  </si>
  <si>
    <t>920處理完成。</t>
  </si>
  <si>
    <t>920處理完成。.jpg</t>
  </si>
  <si>
    <t xml:space="preserve">客人反映冷氣沒有風 </t>
  </si>
  <si>
    <t xml:space="preserve">房間出風口是往上往外吹，溫度20度，不是沒風，是客人坐窗邊，出風口往門口吹，當然窗邊沒風_x000D_
_x000D_
_x000D_
</t>
  </si>
  <si>
    <t>浴室天花板脫皮了</t>
  </si>
  <si>
    <t>IMG_0185.jpeg</t>
  </si>
  <si>
    <t>805浴室天花板已補漆完成，乳膠漆還乾</t>
  </si>
  <si>
    <t xml:space="preserve">92411_0.jpg : https://ap12.ragic.com/sims/file.jsp?a=soutlet001&amp;f=ILPyzOmylm%4092411_0.jpg
92412_1.jpg : https://ap12.ragic.com/sims/file.jsp?a=soutlet001&amp;f=KFAQk1mlYv%4092412_1.jpg
</t>
  </si>
  <si>
    <t>洗手槽水龍頭底座會搖晃</t>
  </si>
  <si>
    <t>已固定完成</t>
  </si>
  <si>
    <t>電話拿起5秒之後就斷訊</t>
  </si>
  <si>
    <t>門鈴單因處理完成</t>
  </si>
  <si>
    <t>門擋片不見</t>
  </si>
  <si>
    <t>607門擋片已裝上未乾，二小時才會乾固定</t>
  </si>
  <si>
    <t>89643.jpg</t>
  </si>
  <si>
    <t>20260226-002</t>
  </si>
  <si>
    <t>1。門工器無法卡住。_x000D_
2。門擋片不見。</t>
  </si>
  <si>
    <t>重複上單已完成</t>
  </si>
  <si>
    <t>門弓器待料尚未修復</t>
  </si>
  <si>
    <t>20260226-001</t>
  </si>
  <si>
    <t>門工器無法卡住</t>
  </si>
  <si>
    <t>Amber</t>
  </si>
  <si>
    <t>20230223-021 912冰箱不冷當時更換815的冰箱，故上815工單</t>
  </si>
  <si>
    <t>912冰箱已更換815好的冰箱</t>
  </si>
  <si>
    <t xml:space="preserve">810 保險櫃後方木橫條斷掉 </t>
  </si>
  <si>
    <t>1000008064.jpg</t>
  </si>
  <si>
    <t>斷裂木條已修復。</t>
  </si>
  <si>
    <t>浴簾調整完成</t>
  </si>
  <si>
    <t>化粧鏡固定完成</t>
  </si>
  <si>
    <t>門口崁燈已更新完成</t>
  </si>
  <si>
    <t>浴巾架搖晃</t>
  </si>
  <si>
    <t>毛巾架已固定</t>
  </si>
  <si>
    <t>20260225-001</t>
  </si>
  <si>
    <t>球燈閃爍，請更換燈泡</t>
  </si>
  <si>
    <t>512床頭燈已更換</t>
  </si>
  <si>
    <t>還是無法正常關閉會閃爍</t>
  </si>
  <si>
    <t>92043.jpg</t>
  </si>
  <si>
    <t>627 床頭櫃燈管掉落</t>
  </si>
  <si>
    <t>1000008043.jpg</t>
  </si>
  <si>
    <t>627燈條已裝上</t>
  </si>
  <si>
    <t>627燈條已裝上.jpg</t>
  </si>
  <si>
    <t>605</t>
  </si>
  <si>
    <t>IMG_1984.jpeg</t>
  </si>
  <si>
    <t>610</t>
  </si>
  <si>
    <t>610 淋浴間蓮蓬頭架子掉了</t>
  </si>
  <si>
    <t>S__76431365.jpg</t>
  </si>
  <si>
    <t>已重新固定完成</t>
  </si>
  <si>
    <t>10.4 床頭板- 安全, 軟包、做工飾面完好(大夜無提供照片)</t>
  </si>
  <si>
    <t>劉子良</t>
  </si>
  <si>
    <t>2.4 衣櫃-地板抛光無黴變、無刮痕(大夜無提供照片)</t>
  </si>
  <si>
    <t>已處裡完成</t>
  </si>
  <si>
    <t>Oscar</t>
  </si>
  <si>
    <t>四樓男廁第一間水箱蓋掉出</t>
  </si>
  <si>
    <t>MOD</t>
  </si>
  <si>
    <t>維修孔污漬</t>
  </si>
  <si>
    <t>54fea91fe9c93f8257e365338cf99934.png</t>
  </si>
  <si>
    <t>20260223-107</t>
  </si>
  <si>
    <t>門框需補漆</t>
  </si>
  <si>
    <t>3c52199f27b914b2f0b9946321bb5e0f.png</t>
  </si>
  <si>
    <t>缺黑色乳膠漆 (確認型號後系統下單)</t>
  </si>
  <si>
    <t>天花上東西鬆動</t>
  </si>
  <si>
    <t>4cb575abcae8af1cd5b6d703268ac66b.png</t>
  </si>
  <si>
    <t>dc33d34e04d133171a7a099f8cde552d.png</t>
  </si>
  <si>
    <t>20260223-104</t>
  </si>
  <si>
    <t>天花板龜裂</t>
  </si>
  <si>
    <t>2f4037acf00e8a30fed4c2661e1e7902.png</t>
  </si>
  <si>
    <t>已到貨得利A382-1501乳膠漆-白色(5加侖/桶) 2桶</t>
  </si>
  <si>
    <t>20260223-103</t>
  </si>
  <si>
    <t>403b7e2fc5b3442d71f853ddecc81d50.png</t>
  </si>
  <si>
    <t>20260223-102</t>
  </si>
  <si>
    <t>518</t>
  </si>
  <si>
    <t>天花裂縫</t>
  </si>
  <si>
    <t>636f75f44ac9504f64c1cf55ee0d36fe.png</t>
  </si>
  <si>
    <t>20260223-101</t>
  </si>
  <si>
    <t>門框色差</t>
  </si>
  <si>
    <t>f087b68e0096918f16e701b7049e8d6e.png</t>
  </si>
  <si>
    <t>20260223-100</t>
  </si>
  <si>
    <t xml:space="preserve">門框掉漆_x000D_
</t>
  </si>
  <si>
    <t>591e6626575a99d1b983cc407a0d291b.png</t>
  </si>
  <si>
    <t xml:space="preserve">缺黑色乳膠漆 (確認型號後系統下單)_x000D_
</t>
  </si>
  <si>
    <t>20260223-099</t>
  </si>
  <si>
    <t>15d6a281c0ee20471b9fe6154b32188c.png</t>
  </si>
  <si>
    <t>20260223-098</t>
  </si>
  <si>
    <t>74cc4540f1c5f48a30a23acdc27ccb92.png</t>
  </si>
  <si>
    <t>20260223-097</t>
  </si>
  <si>
    <t>天花裂</t>
  </si>
  <si>
    <t>71c5c0ce198ae6def1cb7d52237fc1b1.png</t>
  </si>
  <si>
    <t>電動窗簾維修孔沒蓋好</t>
  </si>
  <si>
    <t>1f335c9899aa48fed703e96fbc024657.png</t>
  </si>
  <si>
    <t>20260223-095</t>
  </si>
  <si>
    <t>掉漆</t>
  </si>
  <si>
    <t>5516e58cc99c1233c3757e6d31cdefa4.png</t>
  </si>
  <si>
    <t>補漆</t>
  </si>
  <si>
    <t>fe5510767bd387a668932d859e6eb46c.png</t>
  </si>
  <si>
    <t>930已補完成_x000D_
黃色的麥克油漆筆點漆已到貨</t>
  </si>
  <si>
    <t xml:space="preserve">89188_0.jpg : https://ap12.ragic.com/sims/file.jsp?a=soutlet001&amp;f=A63V4k7bIr%4089188_0.jpg
89189_0.jpg : https://ap12.ragic.com/sims/file.jsp?a=soutlet001&amp;f=imjeyqlGnK%4089189_0.jpg
</t>
  </si>
  <si>
    <t>20260223-092</t>
  </si>
  <si>
    <t>床頭燈閃爍</t>
  </si>
  <si>
    <t>IMG_0180.jpeg</t>
  </si>
  <si>
    <t>客廳冷氣不冷</t>
  </si>
  <si>
    <t>2/24晚間溫度24度，2/25早上溫度顯示22-23度，體感還是有點悶，請協助調整成可上可下調整的溫度。</t>
  </si>
  <si>
    <t>浴缸止水轉頭鬆掉</t>
  </si>
  <si>
    <t>浴缸止水閥處理完成</t>
  </si>
  <si>
    <t>防水膠條發霉天花裂</t>
  </si>
  <si>
    <t>2ae8cf34b04e41c518c811e1a78a1701.png</t>
  </si>
  <si>
    <t>1023止水條安裝完成</t>
  </si>
  <si>
    <t>20260223-088</t>
  </si>
  <si>
    <t>入口處門框</t>
  </si>
  <si>
    <t>cd3f76743b0b8ae7a3302a3e01c0d11b.png</t>
  </si>
  <si>
    <t>20260223-087</t>
  </si>
  <si>
    <t>A bar 維修孔髒旁邊兩條裂縫</t>
  </si>
  <si>
    <t>f35ea307c8e90dff341f4fa58a3289f5.png</t>
  </si>
  <si>
    <t>已到貨得利A382-1501乳膠漆-白色(5加侖/桶)</t>
  </si>
  <si>
    <t>20260223-086</t>
  </si>
  <si>
    <t>電視框生鏽電線外露</t>
  </si>
  <si>
    <t>d0a44aa21c3665d032498f41d9681688.png</t>
  </si>
  <si>
    <t>20260223-085</t>
  </si>
  <si>
    <t>壁紙翹起來</t>
  </si>
  <si>
    <t>c420e2c015efc70ff6a2289bd28127a1.png</t>
  </si>
  <si>
    <t>20260223-084</t>
  </si>
  <si>
    <t>天花油漆龜裂</t>
  </si>
  <si>
    <t>295329c7d5749fbcefe1a9c29c8dd781.png</t>
  </si>
  <si>
    <t>Silicon 發霉</t>
  </si>
  <si>
    <t>f97aec8f859232fbf7fbb809751a36fa.png</t>
  </si>
  <si>
    <t>512silicone修補完成</t>
  </si>
  <si>
    <t xml:space="preserve">89201_0.jpg : https://ap12.ragic.com/sims/file.jsp?a=soutlet001&amp;f=oZAyxUpoNJ%4089201_0.jpg
89202_0.jpg : https://ap12.ragic.com/sims/file.jsp?a=soutlet001&amp;f=Qec6QSragf%4089202_0.jpg
89203_0.jpg : https://ap12.ragic.com/sims/file.jsp?a=soutlet001&amp;f=51LQMTtG3b%4089203_0.jpg
89204_0.jpg : https://ap12.ragic.com/sims/file.jsp?a=soutlet001&amp;f=nEtVqw2z2l%4089204_0.jpg
89205_0.jpg : https://ap12.ragic.com/sims/file.jsp?a=soutlet001&amp;f=EiOwHKahil%4089205_0.jpg
89206_0.jpg : https://ap12.ragic.com/sims/file.jsp?a=soutlet001&amp;f=erTfdCJM8A%4089206_0.jpg
89207_0.jpg : https://ap12.ragic.com/sims/file.jsp?a=soutlet001&amp;f=goVvkf3awc%4089207_0.jpg
</t>
  </si>
  <si>
    <t>請工程換膠條已發霉</t>
  </si>
  <si>
    <t>bf6c9b836970748a29633c0a76ac1426.png</t>
  </si>
  <si>
    <t>修補完成</t>
  </si>
  <si>
    <t>浴巾掛架搖晃</t>
  </si>
  <si>
    <t>毛巾架已鎖緊</t>
  </si>
  <si>
    <t>20260223-080</t>
  </si>
  <si>
    <t>入口左邊牆面與衣櫃銜接處有裂縫</t>
  </si>
  <si>
    <t>0ff7412fe04965b484090a30a51a5e7d.png</t>
  </si>
  <si>
    <t>20260223-079</t>
  </si>
  <si>
    <t>行李架掉漆</t>
  </si>
  <si>
    <t>bf66bd5b70309d776c28feb2593cd489.png</t>
  </si>
  <si>
    <t>20260223-078</t>
  </si>
  <si>
    <t>a685077d5dfa19fd5271e9fda4f06606.png</t>
  </si>
  <si>
    <t>9e114592329dca16357650674c9de55c.png</t>
  </si>
  <si>
    <t>621silicone修補完成</t>
  </si>
  <si>
    <t xml:space="preserve">89211_0.jpg : https://ap12.ragic.com/sims/file.jsp?a=soutlet001&amp;f=Ga1pm0XvnR%4089211_0.jpg
89212_0.jpg : https://ap12.ragic.com/sims/file.jsp?a=soutlet001&amp;f=OC7RwS5nRa%4089212_0.jpg
89213_0.jpg : https://ap12.ragic.com/sims/file.jsp?a=soutlet001&amp;f=fw4B0ERuZo%4089213_0.jpg
89214_0.jpg : https://ap12.ragic.com/sims/file.jsp?a=soutlet001&amp;f=AQSvHDuhbE%4089214_0.jpg
89215_0.jpg : https://ap12.ragic.com/sims/file.jsp?a=soutlet001&amp;f=Z5O1wlXsHV%4089215_0.jpg
89216_0.jpg : https://ap12.ragic.com/sims/file.jsp?a=soutlet001&amp;f=yD94F0aVFB%4089216_0.jpg
</t>
  </si>
  <si>
    <t>20260223-076</t>
  </si>
  <si>
    <t>05283a1f3758c073dcf0879870a85552.png</t>
  </si>
  <si>
    <t>20260223-075</t>
  </si>
  <si>
    <t>電視下方牆壁污漬</t>
  </si>
  <si>
    <t>ebc8c5b8dc4feb630f0daa5dfee9e84b.png</t>
  </si>
  <si>
    <t>20260223-074</t>
  </si>
  <si>
    <t>進房後左上方天花裂</t>
  </si>
  <si>
    <t>bfbd577fee11148c958fda9bd3e50b75.png</t>
  </si>
  <si>
    <t>20260223-073</t>
  </si>
  <si>
    <t>門框掉漆</t>
  </si>
  <si>
    <t>32701605443862fbed9df8a0331e055a.png</t>
  </si>
  <si>
    <t>20260223-072</t>
  </si>
  <si>
    <t>A bar 牆角木皮脫落</t>
  </si>
  <si>
    <t>f74de17718345ec364be8b7083afc328.png</t>
  </si>
  <si>
    <t>20260223-071</t>
  </si>
  <si>
    <t>B bar 天花裂</t>
  </si>
  <si>
    <t>c13052c6842a11eb770ed957fcd8318e.png</t>
  </si>
  <si>
    <t>百葉不見管線外露</t>
  </si>
  <si>
    <t>0fcee19033d46358bcde10cf10fa7f89.png</t>
  </si>
  <si>
    <t>20260223-069</t>
  </si>
  <si>
    <t>員餐出風口髒</t>
  </si>
  <si>
    <t>de35cd07c470a30d61aef5f175c3d11e.png</t>
  </si>
  <si>
    <t>水龍頭會搖晃</t>
  </si>
  <si>
    <t>水龍頭已鎖緊</t>
  </si>
  <si>
    <t>Anmys</t>
  </si>
  <si>
    <t>918客房浴簾壞調，工程拆這間客房的浴簾更換，目前客房浴簾破損</t>
  </si>
  <si>
    <t>715 浴簾ok</t>
  </si>
  <si>
    <t>715 浴簾ok.jpg</t>
  </si>
  <si>
    <t>20260223-065</t>
  </si>
  <si>
    <t>牆面髒污</t>
  </si>
  <si>
    <t>b383b4fde321690fe712a4b73dc5c775.png</t>
  </si>
  <si>
    <t>20260223-064</t>
  </si>
  <si>
    <t>淋浴間門有異音</t>
  </si>
  <si>
    <t>f0d2d91658c44ff65716e13f420bb6b9.png</t>
  </si>
  <si>
    <t>20260223-063</t>
  </si>
  <si>
    <t>f440553fc6201a22e8578330e30cf011.png</t>
  </si>
  <si>
    <t>洗手槽止水，閥彈不起來</t>
  </si>
  <si>
    <t>717止水閥ok</t>
  </si>
  <si>
    <t>717止水閥ok.jpg</t>
  </si>
  <si>
    <t xml:space="preserve">表面破損_x000D_
</t>
  </si>
  <si>
    <t>f9bfc95ab67716c7e7b050ad1733a806.png</t>
  </si>
  <si>
    <t>黃色麥克筆已到貨，待通知進房修補</t>
  </si>
  <si>
    <t>10 樓員工樓梯廳</t>
  </si>
  <si>
    <t xml:space="preserve">10F D梯 燈閃爍_x000D_
</t>
  </si>
  <si>
    <t>e3cf791d776adb0fd11436025b49b8f2.png</t>
  </si>
  <si>
    <t>現場檢查未看到閃爍</t>
  </si>
  <si>
    <t>20260223-059</t>
  </si>
  <si>
    <t xml:space="preserve">維修孔黑色污漬_x000D_
</t>
  </si>
  <si>
    <t>ac43e66d817053ee20dcd769123990e4.png</t>
  </si>
  <si>
    <t>矽利康</t>
  </si>
  <si>
    <t>e6e9b54e792870beee40af86f952397d.png</t>
  </si>
  <si>
    <t xml:space="preserve">已處裡完成_x000D_
</t>
  </si>
  <si>
    <t>20260223-057</t>
  </si>
  <si>
    <t>刮痕</t>
  </si>
  <si>
    <t>2b2f0ebe27e3537e23fe306c28b1e667.png</t>
  </si>
  <si>
    <t>刮痕 掉漆</t>
  </si>
  <si>
    <t>0d260c88521b3234f03ec8415a4b8f9c.png</t>
  </si>
  <si>
    <t>20260223-055</t>
  </si>
  <si>
    <t>352253390ae9857eacdfcd4b800feef7.png</t>
  </si>
  <si>
    <t>3/12退房做</t>
  </si>
  <si>
    <t>黑痕</t>
  </si>
  <si>
    <t>21a4b8962f76625c73ee6e8c8de59dac.png</t>
  </si>
  <si>
    <t>處裡完成</t>
  </si>
  <si>
    <t>20260223-053</t>
  </si>
  <si>
    <t>915門框掉漆</t>
  </si>
  <si>
    <t>6d1cf2a8b850107538e260fccc098c12.png</t>
  </si>
  <si>
    <t>B1天花板裂痕</t>
  </si>
  <si>
    <t>8fa97fe28eee61122c45d22413c629e4.png</t>
  </si>
  <si>
    <t>床頭球燈不亮</t>
  </si>
  <si>
    <t>床頭燈ok</t>
  </si>
  <si>
    <t>20260223-050</t>
  </si>
  <si>
    <t>6fdcaae78cebeab183d42226b2420715.png</t>
  </si>
  <si>
    <t xml:space="preserve">矽利康_x000D_
</t>
  </si>
  <si>
    <t>03b512f66f3224882bc675b5cd1488b5.png</t>
  </si>
  <si>
    <t>地板需要填縫</t>
  </si>
  <si>
    <t xml:space="preserve">IMG_0177.jpeg : https://ap12.ragic.com/sims/file.jsp?a=soutlet001&amp;f=C5Cb4TyyTB%40IMG_0177.jpeg
IMG_0178.jpeg : https://ap12.ragic.com/sims/file.jsp?a=soutlet001&amp;f=GeS81zrncu%40IMG_0178.jpeg
</t>
  </si>
  <si>
    <t>915處理完成</t>
  </si>
  <si>
    <t>915處理完成.jpg</t>
  </si>
  <si>
    <t>脫落</t>
  </si>
  <si>
    <t>3ac5dfa307d1cb683224bcb56e72b131.png</t>
  </si>
  <si>
    <t>退房告知701的客廳空調故障，溫度維持在27度</t>
  </si>
  <si>
    <t>2/24 晚間溫度24度，2/25早上查22-23度，還是感覺有點悶，請協助調整成可上可下的溫度，謝謝</t>
  </si>
  <si>
    <t>710前維修孔不密合</t>
  </si>
  <si>
    <t>3bafe3efde6023ee06a370be3d6cae24.png</t>
  </si>
  <si>
    <t>710保養孔已確實裝好</t>
  </si>
  <si>
    <t>710保養孔已確實裝好.jpg</t>
  </si>
  <si>
    <t>20260223-044</t>
  </si>
  <si>
    <t>931前掉漆</t>
  </si>
  <si>
    <t>541ce12934373682ef276b57f1344d77.png</t>
  </si>
  <si>
    <t>20260223-043</t>
  </si>
  <si>
    <t>門口及電視下方牆面有明顯污痕</t>
  </si>
  <si>
    <t>cb0f9468478a3f6704aaf3b3b0bf8bec.png</t>
  </si>
  <si>
    <t>有掉漆</t>
  </si>
  <si>
    <t>55ddc0814745971f0370a7014da684fc.png</t>
  </si>
  <si>
    <t>20260223-041</t>
  </si>
  <si>
    <t>客房房門門把處，有明顯掉漆</t>
  </si>
  <si>
    <t>25e166ecfba90d9cb496cafa3fd21e3e.png</t>
  </si>
  <si>
    <t>20260223-040</t>
  </si>
  <si>
    <t>80d00165eb418462d3320e28639b6992.png</t>
  </si>
  <si>
    <t>20260223-039</t>
  </si>
  <si>
    <t>aef2e03ab0c5f206a21a16b6e04d78a1.png</t>
  </si>
  <si>
    <t>20260223-038</t>
  </si>
  <si>
    <t>527</t>
  </si>
  <si>
    <t>6d2cf80657bbd52539fdabab8c132135.png</t>
  </si>
  <si>
    <t>20260223-037</t>
  </si>
  <si>
    <t>f8f4978ad6a701f6c1f195a622efb1cc.png</t>
  </si>
  <si>
    <t>20260223-036</t>
  </si>
  <si>
    <t>fb665b33f02640792a322a37d89e237b.png</t>
  </si>
  <si>
    <t>20260223-035</t>
  </si>
  <si>
    <t>客房前木頭牆面掉漆</t>
  </si>
  <si>
    <t>5319d1f92fb8269d492ffe00dd497d7c.png</t>
  </si>
  <si>
    <t>20260223-034</t>
  </si>
  <si>
    <t>82c524544888565f36047b5c2232c95c.png</t>
  </si>
  <si>
    <t>20260223-033</t>
  </si>
  <si>
    <t>a61955e00d51c0f2a30da76a0ebea351.png</t>
  </si>
  <si>
    <t>20260223-032</t>
  </si>
  <si>
    <t>626</t>
  </si>
  <si>
    <t>128fc1b74afdf5f528c1c2e58636ed6e.png</t>
  </si>
  <si>
    <t>20260223-031</t>
  </si>
  <si>
    <t>6b0cce54be6b3240dbc8bff0d0130502.png</t>
  </si>
  <si>
    <t>20260223-030</t>
  </si>
  <si>
    <t>8862a4fa1ed59a8da1daa3f112249946.png</t>
  </si>
  <si>
    <t>20260223-029</t>
  </si>
  <si>
    <t>fd81c84e28d3ac7abc8ccb2ad55a4be1.png</t>
  </si>
  <si>
    <t>20260223-028</t>
  </si>
  <si>
    <t>29448891f110bd965a46973bd82863d0.png</t>
  </si>
  <si>
    <t>20260223-027</t>
  </si>
  <si>
    <t>3f21d775fb3d15d640af9d9ec1ad0754.png</t>
  </si>
  <si>
    <t>20260223-026</t>
  </si>
  <si>
    <t>20dbeb6421af9e857e5a85550eb4f6e1.png</t>
  </si>
  <si>
    <t>4 樓戶外</t>
  </si>
  <si>
    <t>戶外喇叭上鳥築巢</t>
  </si>
  <si>
    <t>24f4bc44fc8a593c089c7c5a1d7ff651.png</t>
  </si>
  <si>
    <t>請宣導此單無須再上工單，去年八月已致電給環保局，舉凡生態築巢是自然現象不能破壞，若被檢舉會受罰。</t>
  </si>
  <si>
    <t>20260223-024</t>
  </si>
  <si>
    <t>泰市場廚房外牆面油漆斑駁</t>
  </si>
  <si>
    <t>751877a5679a0355b5de343e7662b95a.png</t>
  </si>
  <si>
    <t>天花板靠員工出入口破洞</t>
  </si>
  <si>
    <t>69c8b64faea5115f0c6283519203f9e9.png</t>
  </si>
  <si>
    <t>淋浴間玻璃門開啟關閉巨大聲音</t>
  </si>
  <si>
    <t>更正：605處理完成</t>
  </si>
  <si>
    <t>還是有聲響，影片已傳群組</t>
  </si>
  <si>
    <t>605 浴門處理完成.jpg</t>
  </si>
  <si>
    <t>IMG_0176.jpeg</t>
  </si>
  <si>
    <t>冰箱已更換815好的冰箱</t>
  </si>
  <si>
    <t>20260223-020</t>
  </si>
  <si>
    <t>2.5 衣櫃-保險箱工作狀態外觀良好,安裝牢固、開關正常</t>
  </si>
  <si>
    <t>IMG_1907.jpeg</t>
  </si>
  <si>
    <t>20260223-019</t>
  </si>
  <si>
    <t>IMG_1908.jpeg</t>
  </si>
  <si>
    <t>20260223-018</t>
  </si>
  <si>
    <t>629</t>
  </si>
  <si>
    <t>10.9 天花板和牆壁 - 修理、補漆和牆紙飾面完好，無色差</t>
  </si>
  <si>
    <t>蓮蓬頭會漏水</t>
  </si>
  <si>
    <t>620花灑已鎖緊</t>
  </si>
  <si>
    <t>620花灑已鎖緊.jpg</t>
  </si>
  <si>
    <t>20260223-016</t>
  </si>
  <si>
    <t>20260223-015</t>
  </si>
  <si>
    <t>20260223-014</t>
  </si>
  <si>
    <t>9.3 地燈和檯燈的運作, 開關和燈罩外觀無鬆脫、燈開關正常</t>
  </si>
  <si>
    <t xml:space="preserve">image(1).jpg : https://ap12.ragic.com/sims/file.jsp?a=soutlet001&amp;f=iK2PeYHvyx%40image%281%29.jpg
image.jpg : https://ap12.ragic.com/sims/file.jsp?a=soutlet001&amp;f=ZuqmUC9IXD%40image.jpg
</t>
  </si>
  <si>
    <t>20260223-013</t>
  </si>
  <si>
    <t>11.4 陽台陽臺家俱外觀油漆無色差(大夜無提供照片)</t>
  </si>
  <si>
    <t>IMG_0173.jpeg</t>
  </si>
  <si>
    <t>518把手已鎖固定</t>
  </si>
  <si>
    <t>518把手已鎖固定.jpg</t>
  </si>
  <si>
    <t>20260223-011</t>
  </si>
  <si>
    <t>6.2 小冰箱-棚架無脫漆，無刮痕</t>
  </si>
  <si>
    <t>IMG_1971.jpeg</t>
  </si>
  <si>
    <t>20260223-010</t>
  </si>
  <si>
    <t>IMG_1970.jpeg</t>
  </si>
  <si>
    <t>20260223-009</t>
  </si>
  <si>
    <t>IMG_1973.jpeg</t>
  </si>
  <si>
    <t>20260223-008</t>
  </si>
  <si>
    <t>IMG_1972.jpeg</t>
  </si>
  <si>
    <t>20260223-007</t>
  </si>
  <si>
    <t>IMG_1974.jpeg</t>
  </si>
  <si>
    <t>20260223-006</t>
  </si>
  <si>
    <t>IMG_1889.jpeg</t>
  </si>
  <si>
    <t>20260223-005</t>
  </si>
  <si>
    <t>IMG_1888.jpeg</t>
  </si>
  <si>
    <t>20260223-004</t>
  </si>
  <si>
    <t>10.4 床頭板飾面完好,確保安全美觀(大夜無提供照片)</t>
  </si>
  <si>
    <t>20260223-003</t>
  </si>
  <si>
    <t>10.3 床 - 輪子, 支架, 和床架檢查床輪和支架確保床維持平衡無晃動，表面完好(大夜無提供照片)</t>
  </si>
  <si>
    <t>20260223-002</t>
  </si>
  <si>
    <t>10.9 天花板和牆壁 - 修理、補漆和牆紙</t>
  </si>
  <si>
    <t>IMG_3119.jpeg</t>
  </si>
  <si>
    <t>浴室門口的天花板在滴水 2/23 客人退房後再檢修</t>
  </si>
  <si>
    <t>冷卻水排水機沒作動，重啟後已正常</t>
  </si>
  <si>
    <t>天花板還會滴水(緩慢)，也需要補漆</t>
  </si>
  <si>
    <t>冷卻水排水機沒作動，重啟後已正常.jpg</t>
  </si>
  <si>
    <t>607 淋浴間門無法密合</t>
  </si>
  <si>
    <t>1000007988.jpg</t>
  </si>
  <si>
    <t>607淋浴拉門調整完成</t>
  </si>
  <si>
    <t>607淋浴拉門調整完成.jpg</t>
  </si>
  <si>
    <t>洗手台下方漏水</t>
  </si>
  <si>
    <t>819天花板水已吸乾，洗手台下方管子已裝好</t>
  </si>
  <si>
    <t>房內電視無信號</t>
  </si>
  <si>
    <t>919電視已調整完成</t>
  </si>
  <si>
    <t>919電視已調整完成.jpg</t>
  </si>
  <si>
    <t>828</t>
  </si>
  <si>
    <t>電話零件鬆掉</t>
  </si>
  <si>
    <t>828電話零件已固定完成</t>
  </si>
  <si>
    <t>828電話零件已固定完成.jpg</t>
  </si>
  <si>
    <t>609 淋浴間排水孔水下不去 有臭味 有預進</t>
  </si>
  <si>
    <t>1000007987.jpg</t>
  </si>
  <si>
    <t>609已通</t>
  </si>
  <si>
    <t>609已通.jpg</t>
  </si>
  <si>
    <t>721 窗簾不整齊 (補單)</t>
  </si>
  <si>
    <t>IMG_0628.jpeg</t>
  </si>
  <si>
    <t>721窗簾調整完成</t>
  </si>
  <si>
    <t>721窗簾調整完成.jpg</t>
  </si>
  <si>
    <t>909浴簾調整完成</t>
  </si>
  <si>
    <t>909浴簾調整完成.jpg</t>
  </si>
  <si>
    <t>830</t>
  </si>
  <si>
    <t>IMG_6825.jpeg</t>
  </si>
  <si>
    <t>830 貓眼ok</t>
  </si>
  <si>
    <t>830 貓眼ok.jpg</t>
  </si>
  <si>
    <t>825浴簾ok</t>
  </si>
  <si>
    <t>825浴簾ok.jpg</t>
  </si>
  <si>
    <t>洗水槽漏水</t>
  </si>
  <si>
    <t>IMG_6823.jpeg</t>
  </si>
  <si>
    <t>822漏水已處理</t>
  </si>
  <si>
    <t>822漏水已處理.jpg</t>
  </si>
  <si>
    <t>fomeg</t>
  </si>
  <si>
    <t xml:space="preserve">客反應房間太悶，請派人協助查看，客在房內_x000D_
</t>
  </si>
  <si>
    <t>調整感應器</t>
  </si>
  <si>
    <t>20260221-009</t>
  </si>
  <si>
    <t>櫃台分機無法轉上去</t>
  </si>
  <si>
    <t>彈不起來</t>
  </si>
  <si>
    <t>91548.jpg</t>
  </si>
  <si>
    <t>730 洗手台下燈管掉落</t>
  </si>
  <si>
    <t>1000007975.jpg</t>
  </si>
  <si>
    <t>重新黏貼完成</t>
  </si>
  <si>
    <t>小圓化妝鏡會旋轉</t>
  </si>
  <si>
    <t>鎖緊螺絲</t>
  </si>
  <si>
    <t>電視打不開</t>
  </si>
  <si>
    <t>電視當機，重置電源完成</t>
  </si>
  <si>
    <t>91529.jpg</t>
  </si>
  <si>
    <t>拉動的時候異音聲</t>
  </si>
  <si>
    <t>調整滑輪完成</t>
  </si>
  <si>
    <t>730 淋浴間門無法密合 有預進</t>
  </si>
  <si>
    <t>1000007972.jpg</t>
  </si>
  <si>
    <t>小圓鏡搖晃鬆動</t>
  </si>
  <si>
    <t>調整螺絲完成</t>
  </si>
  <si>
    <t>S__431194115.jpg</t>
  </si>
  <si>
    <t>819 續住  客人說左洗手台下方漏水 客人等一下就回來</t>
  </si>
  <si>
    <t>經查為噴濺的水非漏水</t>
  </si>
  <si>
    <t>電視無訊號</t>
  </si>
  <si>
    <t>IMG_0169.jpeg</t>
  </si>
  <si>
    <t>８２９已修復訊號</t>
  </si>
  <si>
    <t>91387.jpg</t>
  </si>
  <si>
    <t>冷氣溫度無法提高</t>
  </si>
  <si>
    <t>冷氣出風口會有異音傳出</t>
  </si>
  <si>
    <t>806 已完成</t>
  </si>
  <si>
    <t>浴室窗簾無法正常使用</t>
  </si>
  <si>
    <t>611 浴簾已調整</t>
  </si>
  <si>
    <t>客人反應其他房間關門時，1026房門會有震動聲</t>
  </si>
  <si>
    <t>客人已自己調整好</t>
  </si>
  <si>
    <t>四樓女客廁所第三間冲水按鍵有問題</t>
  </si>
  <si>
    <t>4樓女廁已調整</t>
  </si>
  <si>
    <t>91157.jpg</t>
  </si>
  <si>
    <t>5樓B梯逃生口門口走廊崁燈在閃爍</t>
  </si>
  <si>
    <t>D4EF1046-8196-4B9B-AC0D-D480E16E6C25.jpg</t>
  </si>
  <si>
    <t>短紗簾長度過長需調整</t>
  </si>
  <si>
    <t>IMG_0152.jpeg</t>
  </si>
  <si>
    <t>1028窗簾調整完成</t>
  </si>
  <si>
    <t>1028窗簾調整完成.jpg</t>
  </si>
  <si>
    <t>插座歪掉</t>
  </si>
  <si>
    <t>4樓吧檯插座ok</t>
  </si>
  <si>
    <t>91116.jpg</t>
  </si>
  <si>
    <t>沙發椅正上方的崁燈突然熄滅</t>
  </si>
  <si>
    <t>已重新處理，接觸不良已調整</t>
  </si>
  <si>
    <t>這是浴室的照片...</t>
  </si>
  <si>
    <t>浴室天花板集水盤要倒水</t>
  </si>
  <si>
    <t>819水已吸乾</t>
  </si>
  <si>
    <t>620 門鈴很小聲 有預進</t>
  </si>
  <si>
    <t>620門鈴ok</t>
  </si>
  <si>
    <t>20260218-002</t>
  </si>
  <si>
    <t>529/530下方2~3F位置，有被民眾投訴機器運轉聲，環保局已連續到現場稽查(1/22,1/29,2/18)，2/18 00:30有測量現場分貝數，超過深夜標準50分貝，下次再稽查超標則會有罰款。1/29已有發信告知孫副總工此事，孫副總工回覆會找時間查找噪音來源</t>
  </si>
  <si>
    <t>1771385352374.jpg</t>
  </si>
  <si>
    <t>2/25會議上討論，噪音是泰市場的排風機上面的馬達所產生出來的聲音，空調箱產生出來的聲音，在現場產生一個迴音的效果，所以在對面，他會產生很大的一個呃嘰嘰聲的聲音。先請廠商就風扇葉培林部分先請更換</t>
  </si>
  <si>
    <t>601 浴室玻璃門手把鬆動</t>
  </si>
  <si>
    <t>1000007944.jpg</t>
  </si>
  <si>
    <t>客反映不好拉</t>
  </si>
  <si>
    <t>810 拉門正常，客人不會使用</t>
  </si>
  <si>
    <t>客反映水箱一直在排水無法蓄水</t>
  </si>
  <si>
    <t>20260217-004</t>
  </si>
  <si>
    <t>浴缸水塞塞住</t>
  </si>
  <si>
    <t>房務浴缸的止水閥處理完畢（沒有問題，客人不知道轉的方向）</t>
  </si>
  <si>
    <t>IMG_6404.jpeg</t>
  </si>
  <si>
    <t>請工程將電視的線插回原本的位置</t>
  </si>
  <si>
    <t>Mitch已處理完成</t>
  </si>
  <si>
    <t>客人反應房內突然有個刺鼻的異味，疑似是冷氣發出的味道，麻煩協助查看</t>
  </si>
  <si>
    <t>616現場檢查且停留約20分鐘，未聞到異味，並將保養孔內啤酒罐移除。</t>
  </si>
  <si>
    <t xml:space="preserve">無法彈起_x000D_
</t>
  </si>
  <si>
    <t>IMG_6301.jpeg</t>
  </si>
  <si>
    <t>509 淋浴間門無法密合</t>
  </si>
  <si>
    <t>91106.jpg</t>
  </si>
  <si>
    <t>509 洗手台水龍頭搖晃</t>
  </si>
  <si>
    <t>1000007918.jpg</t>
  </si>
  <si>
    <t>91105.jpg</t>
  </si>
  <si>
    <t>電視畫面顯示無法連接網路，請去房內協助，客人在房間等</t>
  </si>
  <si>
    <t xml:space="preserve">517 浴簾脫軌 </t>
  </si>
  <si>
    <t>1000007916.jpg</t>
  </si>
  <si>
    <t>517 浴簾處理完成</t>
  </si>
  <si>
    <t>貓眼需要調整</t>
  </si>
  <si>
    <t>IMG_6295.jpeg</t>
  </si>
  <si>
    <t>浴簾破損嚴重</t>
  </si>
  <si>
    <t>IMG_6293.jpeg</t>
  </si>
  <si>
    <t>918浴簾是拆715 更換的</t>
  </si>
  <si>
    <t>已補上715ragic</t>
  </si>
  <si>
    <t>918 浴簾ok.jpg</t>
  </si>
  <si>
    <t>鉤針掉了 東西在客房桌上 需要復歸</t>
  </si>
  <si>
    <t>IMG_5435.jpeg</t>
  </si>
  <si>
    <t>已重新掛回</t>
  </si>
  <si>
    <t xml:space="preserve">718 門鈴單音 有預進 </t>
  </si>
  <si>
    <t>718門鈴單音，已調整好了</t>
  </si>
  <si>
    <t xml:space="preserve">618 門鈴單音 有預進 </t>
  </si>
  <si>
    <t>618單音o k</t>
  </si>
  <si>
    <t xml:space="preserve">710 床頭燈罩破洞需要更換 </t>
  </si>
  <si>
    <t>1000007899.jpg</t>
  </si>
  <si>
    <t>更換完成</t>
  </si>
  <si>
    <t>客反應關燈後客廳的燈泡會閃白光</t>
  </si>
  <si>
    <t>客2/15晚間靠櫃表示房間冷氣不冷，因有帶小朋友已睡著，客希望隔日2/16早上約11:00左右再去檢查</t>
  </si>
  <si>
    <t>617濾網清洗，出風溫度17.冰水閥已全開</t>
  </si>
  <si>
    <t xml:space="preserve"> 0620 客表示冷氣不冷，請派人協助查看，客在房間等</t>
  </si>
  <si>
    <t>冷氣已調整</t>
  </si>
  <si>
    <t>20260215-008</t>
  </si>
  <si>
    <t>電視機下方牆面需油漆</t>
  </si>
  <si>
    <t>20260215-007</t>
  </si>
  <si>
    <t>IMG_6238.jpeg</t>
  </si>
  <si>
    <t>客房門口木條破損</t>
  </si>
  <si>
    <t>IMG_6237.jpeg</t>
  </si>
  <si>
    <t>20260215-005</t>
  </si>
  <si>
    <t>IMG_6235.jpeg</t>
  </si>
  <si>
    <t>浴簾已調整完成</t>
  </si>
  <si>
    <t>20260215-002</t>
  </si>
  <si>
    <t>801 洗手台水龍頭搖晃</t>
  </si>
  <si>
    <t>1000007886.jpg</t>
  </si>
  <si>
    <t>801 水龍頭已固定</t>
  </si>
  <si>
    <t>左邊水龍頭還是搖晃，影片已傳群組</t>
  </si>
  <si>
    <t>801 水龍頭已固定.jpg</t>
  </si>
  <si>
    <t>健身房沒有音樂 麻煩查看一下</t>
  </si>
  <si>
    <t>遮光廉無法完全放下</t>
  </si>
  <si>
    <t>浴室窗簾有問題</t>
  </si>
  <si>
    <t>關門異音 ( mod查房 )</t>
  </si>
  <si>
    <t>923 請幫我把小金屬片黏回門上，謝謝。 (補單)</t>
  </si>
  <si>
    <t>IMG_0440.jpeg</t>
  </si>
  <si>
    <t>客反應空調好像壞掉</t>
  </si>
  <si>
    <t>檢查正常</t>
  </si>
  <si>
    <t>無聲音</t>
  </si>
  <si>
    <t>926電鈴微弱已處理完成。</t>
  </si>
  <si>
    <t>923 洗手台水龍頭搖晃 有預進</t>
  </si>
  <si>
    <t>1000007864.jpg</t>
  </si>
  <si>
    <t>員工餐廳的洗手台水流得很慢,應該有點塞住了</t>
  </si>
  <si>
    <t>20260213-001</t>
  </si>
  <si>
    <t>10.9 天花板和牆壁 - 修理補漆，飾面完好，無色差</t>
  </si>
  <si>
    <t xml:space="preserve">image.jpg : https://ap12.ragic.com/sims/file.jsp?a=soutlet001&amp;f=rDbEyI1ruo%40image.jpg
image(1).jpg : https://ap12.ragic.com/sims/file.jsp?a=soutlet001&amp;f=slhlUxwcFv%40image%281%29.jpg
</t>
  </si>
  <si>
    <t>5.12 檢查地磚和牆磚的接縫與填縫膠</t>
  </si>
  <si>
    <t>image_E70C944F-AFD6-40FA-AFE9-2752999D3E64_1770907405_compressed.jpeg</t>
  </si>
  <si>
    <t>已重新施打矽利康完成</t>
  </si>
  <si>
    <t>IMG_6165.jpeg</t>
  </si>
  <si>
    <t>810貓眼固定完成</t>
  </si>
  <si>
    <t>防撞片</t>
  </si>
  <si>
    <t>IMG_6158.jpeg</t>
  </si>
  <si>
    <t>812 淋浴門已調</t>
  </si>
  <si>
    <t>化妝鏡鬆動</t>
  </si>
  <si>
    <t>803 鏡架已固定</t>
  </si>
  <si>
    <t>721 洗手台水龍頭搖晃</t>
  </si>
  <si>
    <t>1000007846.jpg</t>
  </si>
  <si>
    <t>721 水龍頭已固定</t>
  </si>
  <si>
    <t>721 水龍頭已固定.jpg</t>
  </si>
  <si>
    <t>807洗臉盆下方有打矽利康固定，暫時不要移動</t>
  </si>
  <si>
    <t>蓮蓬頭水量很小</t>
  </si>
  <si>
    <t>810 花灑管更換已正常</t>
  </si>
  <si>
    <t xml:space="preserve">621 淋浴間架子下面壞掉 </t>
  </si>
  <si>
    <t>1000007835.jpg</t>
  </si>
  <si>
    <t>621 蓮蓬頭架已固定</t>
  </si>
  <si>
    <t>20260212-003</t>
  </si>
  <si>
    <t>10.5 床頭櫃 - 抽屜和轉輪和外觀飾面(大夜無提供照片)</t>
  </si>
  <si>
    <t>509 門鈴單音</t>
  </si>
  <si>
    <t>509 門鈴ok</t>
  </si>
  <si>
    <t>513 門鈴快沒聲音了 有預進</t>
  </si>
  <si>
    <t>513 門鈴ok</t>
  </si>
  <si>
    <t xml:space="preserve">718 洗手台旁矽利康需重打 </t>
  </si>
  <si>
    <t>1000007830.jpg</t>
  </si>
  <si>
    <t>718 洗手檯矽利康已補</t>
  </si>
  <si>
    <t>718 洗手檯矽利康已補.jpg</t>
  </si>
  <si>
    <t>929門鈴調整完成</t>
  </si>
  <si>
    <t>805 門鈴單音</t>
  </si>
  <si>
    <t>805電鈴已調整完成</t>
  </si>
  <si>
    <t>蓮蓬頭破損</t>
  </si>
  <si>
    <t>IMG_5289.jpeg</t>
  </si>
  <si>
    <t>823蓮蓬頭管已更新完成</t>
  </si>
  <si>
    <t>823蓮蓬頭管已更新完成.jpg</t>
  </si>
  <si>
    <t>531淋浴拉門內把手鬆動</t>
  </si>
  <si>
    <t>1000007825.jpg</t>
  </si>
  <si>
    <t>531淋浴間門把手固定完成</t>
  </si>
  <si>
    <t>511 洗手台旁矽利康需重打</t>
  </si>
  <si>
    <t>1000007824.jpg</t>
  </si>
  <si>
    <t>511 洗手檯矽利康已補</t>
  </si>
  <si>
    <t>511 洗手檯矽利康已補.jpg</t>
  </si>
  <si>
    <t>20260211-002</t>
  </si>
  <si>
    <t>516</t>
  </si>
  <si>
    <t xml:space="preserve">516 門無法卡住 </t>
  </si>
  <si>
    <t>一樓公播異常會跳針</t>
  </si>
  <si>
    <t>音樂已復歸</t>
  </si>
  <si>
    <t>20260210-002</t>
  </si>
  <si>
    <t>大門卡不住、浴室小圓鏡會旋轉</t>
  </si>
  <si>
    <t>空調出風口有很大的噪音</t>
  </si>
  <si>
    <t>501 空調風機已上油保養</t>
  </si>
  <si>
    <t>浴室小圓鏡會旋轉</t>
  </si>
  <si>
    <t>922小圓鏡固定正常</t>
  </si>
  <si>
    <t>20260209-016</t>
  </si>
  <si>
    <t>5.20 浴厠修復牆壁和天花板上所有破損的油漆裂痕、污漬和明顯的色差</t>
  </si>
  <si>
    <t xml:space="preserve">IMG_1813.jpeg : https://ap12.ragic.com/sims/file.jsp?a=soutlet001&amp;f=90SwP9QY4y%40IMG_1813.jpeg
IMG_1814.jpeg : https://ap12.ragic.com/sims/file.jsp?a=soutlet001&amp;f=7JqaUiTB9o%40IMG_1814.jpeg
IMG_1815.jpeg : https://ap12.ragic.com/sims/file.jsp?a=soutlet001&amp;f=0CNCCk34On%40IMG_1815.jpeg
</t>
  </si>
  <si>
    <t>20260209-015</t>
  </si>
  <si>
    <t>IMG_1812.jpeg</t>
  </si>
  <si>
    <t>10.8 鏡子和藝術品檢查狀態, 框架和鏡面，藝術品刮痕晃動(大夜無提供照片)</t>
  </si>
  <si>
    <t>經巡視後無異狀</t>
  </si>
  <si>
    <t>610.jpeg</t>
  </si>
  <si>
    <t>化妝鏡鬆動（不應該可以鏡體轉動）</t>
  </si>
  <si>
    <t>531馬桶噴嘴故障工單只先與816更換，未完成修復，額外補上816工單</t>
  </si>
  <si>
    <t>531馬桶噴嘴故障.png</t>
  </si>
  <si>
    <t>602 門鈴單音</t>
  </si>
  <si>
    <t>602門鈴測試正常</t>
  </si>
  <si>
    <t>門鈴還是單音</t>
  </si>
  <si>
    <t xml:space="preserve">電視下方櫃子破損_x000D_
</t>
  </si>
  <si>
    <t>c71221ae792065da5ebc31207c0ea007.png</t>
  </si>
  <si>
    <t>已重新處理完成</t>
  </si>
  <si>
    <t>破損未修復</t>
  </si>
  <si>
    <t>527電視下方木櫃已修復.jpg</t>
  </si>
  <si>
    <t>刮痕髒污</t>
  </si>
  <si>
    <t>d7ef553980694dbc6bad2c563b678f33.png</t>
  </si>
  <si>
    <t>黃色的麥克油漆筆點漆已到貨</t>
  </si>
  <si>
    <t>20260209-007</t>
  </si>
  <si>
    <t xml:space="preserve">戶外有鴿子築巢_x000D_
</t>
  </si>
  <si>
    <t>50dac16d7212a843d3ef4e97badd505b.png</t>
  </si>
  <si>
    <t>此工單無法處理，114年8月已聯繫過動保處，破壞自然生態築巢，業者會受罰。</t>
  </si>
  <si>
    <t>20260209-006</t>
  </si>
  <si>
    <t>8 樓員工樓梯廳</t>
  </si>
  <si>
    <t xml:space="preserve">8A逃生出入口燈沒亮_x000D_
</t>
  </si>
  <si>
    <t>df541dc6b0e4ac58b7e9d1739e809500.png</t>
  </si>
  <si>
    <t>PL 型省電燈為緊急照明才會亮，之後會一併汰換改成 LED 燈</t>
  </si>
  <si>
    <t>燈還未亮，無法驗收</t>
  </si>
  <si>
    <t>20260209-005</t>
  </si>
  <si>
    <t>浴缸有刮傷</t>
  </si>
  <si>
    <t>2d49d12982270342bfcd6bee36b3717c.png</t>
  </si>
  <si>
    <t xml:space="preserve">浴室細粒康發霉_x000D_
</t>
  </si>
  <si>
    <t>33a27c097213a22560fc5cae4aa8d901.png</t>
  </si>
  <si>
    <t>511 淋浴間矽利康已補</t>
  </si>
  <si>
    <t xml:space="preserve">89961_0.jpg : https://ap12.ragic.com/sims/file.jsp?a=soutlet001&amp;f=0CWnuXrrxE%4089961_0.jpg
89962_0.jpg : https://ap12.ragic.com/sims/file.jsp?a=soutlet001&amp;f=6RUOP4ZFXB%4089962_0.jpg
89963_0.jpg : https://ap12.ragic.com/sims/file.jsp?a=soutlet001&amp;f=GsFMzQQqc9%4089963_0.jpg
89964_0.jpg : https://ap12.ragic.com/sims/file.jsp?a=soutlet001&amp;f=s3FOK5DgVg%4089964_0.jpg
</t>
  </si>
  <si>
    <t>20260209-003</t>
  </si>
  <si>
    <t xml:space="preserve">床頭有掉漆色差_x000D_
</t>
  </si>
  <si>
    <t>e008a78498be0649725f8bd0d5dd17b7.png</t>
  </si>
  <si>
    <t>缺整片紋路貼皮</t>
  </si>
  <si>
    <t>20260209-002</t>
  </si>
  <si>
    <t xml:space="preserve">廁所門掉漆_x000D_
</t>
  </si>
  <si>
    <t>ec2ec51912e7627d40e837f16715889f.png</t>
  </si>
  <si>
    <t>已完成'</t>
  </si>
  <si>
    <t>客人覺得冷，請確認一下空調，客人已外出</t>
  </si>
  <si>
    <t>熱水閥沒開啟，已調整</t>
  </si>
  <si>
    <t>門上鐵片掉了</t>
  </si>
  <si>
    <t>719 臥室電視下方 需要黏一下 有預進</t>
  </si>
  <si>
    <t xml:space="preserve">1000007765.jpg : https://ap12.ragic.com/sims/file.jsp?a=soutlet001&amp;f=CL2tdiUivk%401000007765.jpg
1000007764.jpg : https://ap12.ragic.com/sims/file.jsp?a=soutlet001&amp;f=4AFeLp1sr9%401000007764.jpg
</t>
  </si>
  <si>
    <t>重新固定完成</t>
  </si>
  <si>
    <t>門無法自動關上</t>
  </si>
  <si>
    <t>已重新調整完成</t>
  </si>
  <si>
    <t>自姿婷</t>
  </si>
  <si>
    <t xml:space="preserve">730 淋浴間門無法密合 </t>
  </si>
  <si>
    <t>1000007761.jpg</t>
  </si>
  <si>
    <t>730浴室門處理完成</t>
  </si>
  <si>
    <t>715 鏡子上方+馬桶上方的燈都不會亮 有預進</t>
  </si>
  <si>
    <t xml:space="preserve">1000007757.jpg : https://ap12.ragic.com/sims/file.jsp?a=soutlet001&amp;f=WISbzzt90i%401000007757.jpg
1000007758.jpg : https://ap12.ragic.com/sims/file.jsp?a=soutlet001&amp;f=m3lzjJFDaN%401000007758.jpg
</t>
  </si>
  <si>
    <t>715浴室燈修復完成</t>
  </si>
  <si>
    <t>715浴室燈修復完成.jpg</t>
  </si>
  <si>
    <t>731 電話需維修 重設還是一樣無法撥 有預進</t>
  </si>
  <si>
    <t>1000007753.jpg</t>
  </si>
  <si>
    <t>2/8 經房務通報話機已可正常使用，先行銷單</t>
  </si>
  <si>
    <t>IMG_9930.jpeg</t>
  </si>
  <si>
    <t>2/8 已調整完成</t>
  </si>
  <si>
    <t>727</t>
  </si>
  <si>
    <t xml:space="preserve">727 洗手台水龍頭出水分岔 </t>
  </si>
  <si>
    <t>1000007747.jpg</t>
  </si>
  <si>
    <t>2/7 經房務告知已自行處理完成，先行銷單</t>
  </si>
  <si>
    <t>IMG_9926.jpeg</t>
  </si>
  <si>
    <t>衣櫃拉門掉了</t>
  </si>
  <si>
    <t>IMG_9925.jpeg</t>
  </si>
  <si>
    <t>721 淋浴間門無法密合 有預進</t>
  </si>
  <si>
    <t>1000007745.jpg</t>
  </si>
  <si>
    <t>721 浴室門已修復</t>
  </si>
  <si>
    <t>721 浴室門已修復.jpg</t>
  </si>
  <si>
    <t xml:space="preserve">713 冷氣面板需維修 25度一下子跳24度又跳23度 </t>
  </si>
  <si>
    <t>1000007738.jpg</t>
  </si>
  <si>
    <t>2/7經現場勘查，空調面板為正常狀態</t>
  </si>
  <si>
    <t xml:space="preserve">713 門鈴單音 </t>
  </si>
  <si>
    <t xml:space="preserve">已調整完成_x000D_
</t>
  </si>
  <si>
    <t>711 門鈴單音 有預進</t>
  </si>
  <si>
    <t>20260207-006</t>
  </si>
  <si>
    <t>淋浴間天花板掉皮</t>
  </si>
  <si>
    <t>IMG_9924.jpeg</t>
  </si>
  <si>
    <t>20260207-005</t>
  </si>
  <si>
    <t xml:space="preserve">IMG_9921.jpeg : https://ap12.ragic.com/sims/file.jsp?a=soutlet001&amp;f=JzKcFSklc7%40IMG_9921.jpeg
IMG_9922.jpeg : https://ap12.ragic.com/sims/file.jsp?a=soutlet001&amp;f=rUXH6YGd9e%40IMG_9922.jpeg
IMG_9923.jpeg : https://ap12.ragic.com/sims/file.jsp?a=soutlet001&amp;f=M1GUmfv9qT%40IMG_9923.jpeg
</t>
  </si>
  <si>
    <t>20260207-004</t>
  </si>
  <si>
    <t xml:space="preserve">IMG_9918.jpeg : https://ap12.ragic.com/sims/file.jsp?a=soutlet001&amp;f=MQfTTrqnYL%40IMG_9918.jpeg
IMG_9919.jpeg : https://ap12.ragic.com/sims/file.jsp?a=soutlet001&amp;f=tY1lJHA6yy%40IMG_9919.jpeg
IMG_9920.jpeg : https://ap12.ragic.com/sims/file.jsp?a=soutlet001&amp;f=Crd0FAAXeu%40IMG_9920.jpeg
</t>
  </si>
  <si>
    <t>20260207-003</t>
  </si>
  <si>
    <t xml:space="preserve">IMG_9916.jpeg : https://ap12.ragic.com/sims/file.jsp?a=soutlet001&amp;f=aJkLWc9tDi%40IMG_9916.jpeg
IMG_9917.jpeg : https://ap12.ragic.com/sims/file.jsp?a=soutlet001&amp;f=6LYOG6loGo%40IMG_9917.jpeg
</t>
  </si>
  <si>
    <t>20260207-002</t>
  </si>
  <si>
    <t>IMG_9915.jpeg</t>
  </si>
  <si>
    <t>吸塵器_x000D_
_x000D_
B1 房務員辦公室 - 吸塵器插頭與電線已脫落，需要重新接上。 (補單)</t>
  </si>
  <si>
    <t xml:space="preserve">IMG_0244.jpeg : https://ap12.ragic.com/sims/file.jsp?a=soutlet001&amp;f=AlxG6B57eX%40IMG_0244.jpeg
IMG_0243.jpeg : https://ap12.ragic.com/sims/file.jsp?a=soutlet001&amp;f=kJNKJhupcl%40IMG_0243.jpeg
</t>
  </si>
  <si>
    <t>已重新接線及測試完成</t>
  </si>
  <si>
    <t>房內電話沒有聲音</t>
  </si>
  <si>
    <t>501電話二支（房內、客廳）都正常</t>
  </si>
  <si>
    <t>溫度調高房間還是太冷</t>
  </si>
  <si>
    <t>703 空調已調整到23 度</t>
  </si>
  <si>
    <t>馬桶噴嘴故障</t>
  </si>
  <si>
    <t>已與816先行更換</t>
  </si>
  <si>
    <t>反映免治馬桶沖洗那支 不會縮回去 請過去協助謝謝 (我們會派人到房間陪同你)</t>
  </si>
  <si>
    <t>528免治馬桶座已換跟815房，測試正常</t>
  </si>
  <si>
    <t>2/6群組說是跟815互調</t>
  </si>
  <si>
    <t>浴厠修復牆壁和天花板上所有破損的油漆</t>
  </si>
  <si>
    <t>IMG_1764.jpeg</t>
  </si>
  <si>
    <t>20260205-011</t>
  </si>
  <si>
    <t>衣架, 領帶架, 架子和抽屜牢固、無生鏽	(大夜無提供照片)</t>
  </si>
  <si>
    <t>20260205-010</t>
  </si>
  <si>
    <t>IMG_1765.jpeg</t>
  </si>
  <si>
    <t>20260205-009</t>
  </si>
  <si>
    <t>客房門需補漆</t>
  </si>
  <si>
    <t>IMG_1769.jpeg</t>
  </si>
  <si>
    <t>油漆採購中</t>
  </si>
  <si>
    <t>20260205-008</t>
  </si>
  <si>
    <t>蓮蓬頭開關缺零件</t>
  </si>
  <si>
    <t>1829.jpg</t>
  </si>
  <si>
    <t xml:space="preserve">下週二 3/10 可安排送貨  _x000D_
</t>
  </si>
  <si>
    <t>水龍頭座會移動</t>
  </si>
  <si>
    <t>602 水龍頭已固定</t>
  </si>
  <si>
    <t>602 水龍頭已固定.jpg</t>
  </si>
  <si>
    <t>627 貓眼已固定</t>
  </si>
  <si>
    <t>627 貓眼已固定.jpg</t>
  </si>
  <si>
    <t>熱水需要放5分鐘左右才有</t>
  </si>
  <si>
    <t>熱水放1分鐘後就熱</t>
  </si>
  <si>
    <t>620 浴室門把手已鎖緊</t>
  </si>
  <si>
    <t>620 浴室門把手已鎖緊.jpg</t>
  </si>
  <si>
    <t>客房門緩衝，關閉太快請調整</t>
  </si>
  <si>
    <t>602 門弓器已調整完成。</t>
  </si>
  <si>
    <t>電話異常無聲響或是雜訊</t>
  </si>
  <si>
    <t>20260205-001</t>
  </si>
  <si>
    <t>連蓬頭開關缺零件</t>
  </si>
  <si>
    <t>下週二 3/10 可安排送貨</t>
  </si>
  <si>
    <t xml:space="preserve">5F 走廊 &amp; 客房 &amp; B2 都是化糞池味道 </t>
  </si>
  <si>
    <t>已找到來源，此案已處理。</t>
  </si>
  <si>
    <t>AMBER</t>
  </si>
  <si>
    <t>交換機廠商葉先生查修線路控制卡片當機，抽卡復歸並重置。</t>
  </si>
  <si>
    <t>520 維修孔 需補漆</t>
  </si>
  <si>
    <t>1000007700.jpg</t>
  </si>
  <si>
    <t>520維修口已粉刷</t>
  </si>
  <si>
    <t xml:space="preserve">維修孔四周外圍有髒汙(黑指印) 未完成_x000D_
</t>
  </si>
  <si>
    <t xml:space="preserve">89002_0.jpg : https://ap12.ragic.com/sims/file.jsp?a=soutlet001&amp;f=SUyafjrae0%4089002_0.jpg
89003_0.jpg : https://ap12.ragic.com/sims/file.jsp?a=soutlet001&amp;f=6dpi7FjVpI%4089003_0.jpg
89004_0.jpg : https://ap12.ragic.com/sims/file.jsp?a=soutlet001&amp;f=Fq2Bko5w0l%4089004_0.jpg
89005_0.jpg : https://ap12.ragic.com/sims/file.jsp?a=soutlet001&amp;f=7e8mf4yh9G%4089005_0.jpg
S__123879440_0.jpg : https://ap12.ragic.com/sims/file.jsp?a=soutlet001&amp;f=m8gCChoiyr%40S__123879440_0.jpg
</t>
  </si>
  <si>
    <t>520 牆面補漆</t>
  </si>
  <si>
    <t>1000007699.jpg</t>
  </si>
  <si>
    <t>520牆面漆已補粉刷</t>
  </si>
  <si>
    <t xml:space="preserve">89002_0.jpg : https://ap12.ragic.com/sims/file.jsp?a=soutlet001&amp;f=mw3PYj6cn2%4089002_0.jpg
89003_0.jpg : https://ap12.ragic.com/sims/file.jsp?a=soutlet001&amp;f=BfRy49xOMj%4089003_0.jpg
89004_0.jpg : https://ap12.ragic.com/sims/file.jsp?a=soutlet001&amp;f=Wg35u2HCQw%4089004_0.jpg
89005_0.jpg : https://ap12.ragic.com/sims/file.jsp?a=soutlet001&amp;f=7JAJkQKKD6%4089005_0.jpg
</t>
  </si>
  <si>
    <t xml:space="preserve">520 牆面裂縫 </t>
  </si>
  <si>
    <t>1000007698.jpg</t>
  </si>
  <si>
    <t>520 裂縫已修復</t>
  </si>
  <si>
    <t xml:space="preserve">89002_0.jpg : https://ap12.ragic.com/sims/file.jsp?a=soutlet001&amp;f=8WWiqiQlRd%4089002_0.jpg
89003_0.jpg : https://ap12.ragic.com/sims/file.jsp?a=soutlet001&amp;f=mdgQWxa1WQ%4089003_0.jpg
89004_0.jpg : https://ap12.ragic.com/sims/file.jsp?a=soutlet001&amp;f=sXIOUloOCs%4089004_0.jpg
89005_0.jpg : https://ap12.ragic.com/sims/file.jsp?a=soutlet001&amp;f=qSmQTqHabf%4089005_0.jpg
</t>
  </si>
  <si>
    <t>電視：沒有網路連接</t>
  </si>
  <si>
    <t>IMG_5525.jpeg</t>
  </si>
  <si>
    <t>716電視網路調整完成</t>
  </si>
  <si>
    <t>716電視網路調整完成.jpg</t>
  </si>
  <si>
    <t xml:space="preserve">828 續住 淋浴間排水有點慢 </t>
  </si>
  <si>
    <t>828  浴室排水正常</t>
  </si>
  <si>
    <t>20260204-008</t>
  </si>
  <si>
    <t>廁所天花板淋浴間天花板斑駁</t>
  </si>
  <si>
    <t xml:space="preserve">IMG_5521.jpeg : https://ap12.ragic.com/sims/file.jsp?a=soutlet001&amp;f=Sl8d57Zm0v%40IMG_5521.jpeg
IMG_5522.jpeg : https://ap12.ragic.com/sims/file.jsp?a=soutlet001&amp;f=nLqsOffDC9%40IMG_5522.jpeg
</t>
  </si>
  <si>
    <t xml:space="preserve">89021.jpg : https://ap12.ragic.com/sims/file.jsp?a=soutlet001&amp;f=rVsq5IoRsw%4089021.jpg
89022.jpg : https://ap12.ragic.com/sims/file.jsp?a=soutlet001&amp;f=lUogFRYEor%4089022.jpg
</t>
  </si>
  <si>
    <t>電話沒有聲音，麻煩換電池再做測試</t>
  </si>
  <si>
    <t>601 電話每次快要接通時就會自動關掉。 (補單)</t>
  </si>
  <si>
    <t>IMG_0166.jpeg</t>
  </si>
  <si>
    <t>話機沒有聲音，請換電池再做測試</t>
  </si>
  <si>
    <t>20260204-004</t>
  </si>
  <si>
    <t>客廳電視沒有信號</t>
  </si>
  <si>
    <t>IMG_5507.jpeg</t>
  </si>
  <si>
    <t>房務通知工單取消</t>
  </si>
  <si>
    <t>510 牆面有明顯色差哦</t>
  </si>
  <si>
    <t>1000007689.jpg</t>
  </si>
  <si>
    <t>510 已重新粉刷</t>
  </si>
  <si>
    <t>88946.jpg</t>
  </si>
  <si>
    <t>電話機雜訊之後沒有聲音。請更換電池之後做測試。</t>
  </si>
  <si>
    <t>電話沒有聲音，重置無效，請更新電池。_x000D_
在做測試（工程進房維修處理，請通知房務部一起前往）</t>
  </si>
  <si>
    <t>三盞壁燈，兩盞天花板崁燈不亮</t>
  </si>
  <si>
    <t>一樓梯廳 三盞壁燈，已修復完成。</t>
  </si>
  <si>
    <t>一樓梯廳 三盞壁燈，已修復完成。.jpg</t>
  </si>
  <si>
    <t>20260203-001</t>
  </si>
  <si>
    <t>520房間空調原本是因為冷，所以2/2有做過調整。但客人2/3退房時表示又變得比較悶熱，房間已是空房，可進房調整。麻煩冷熱水閥請開到一個合適位置，避免太冷或太熱的狀況發生</t>
  </si>
  <si>
    <t>空調主機板壞掉，需採購更換</t>
  </si>
  <si>
    <t>今日2/5客房巡檢溫度一直維持24度，調整設定為18度後，兩個小時後檢查溫度甚至上升至25度。此間紀錄一直是反應熱調整後便太冷，然後又在調整後便太熱，沒有辦法維持適中的舒服溫度。以下客人反應紀錄提供參考(詳細請搜尋ragic):_x000D_
1/22 過冷調整。_x000D_
1/28 過熱調整。_x000D_
2/2   過冷調整。_x000D_
2/3   過熱調整。</t>
  </si>
  <si>
    <t xml:space="preserve">520重新調整完成-冷氣.jpg : https://ap12.ragic.com/sims/file.jsp?a=soutlet001&amp;f=3ijGc9vtJZ%40520%E9%87%8D%E6%96%B0%E8%AA%BF%E6%95%B4%E5%AE%8C%E6%88%90-%E5%86%B7%E6%B0%A3.jpg
520重新調整完成-暖氣.jpg : https://ap12.ragic.com/sims/file.jsp?a=soutlet001&amp;f=qM7omO3sKF%40520%E9%87%8D%E6%96%B0%E8%AA%BF%E6%95%B4%E5%AE%8C%E6%88%90-%E6%9A%96%E6%B0%A3.jpg
</t>
  </si>
  <si>
    <t>水塞卡住</t>
  </si>
  <si>
    <t>726水塞和排水已正常。</t>
  </si>
  <si>
    <t>925 衣櫃門沒辦法推到底。 (補單)</t>
  </si>
  <si>
    <t>925調整完成</t>
  </si>
  <si>
    <t>ＦＯ</t>
  </si>
  <si>
    <t>客人反應4樓男廁有一間馬桶一直在沖水停不下來</t>
  </si>
  <si>
    <t>619更換完成</t>
  </si>
  <si>
    <t>619更換完成.jpg</t>
  </si>
  <si>
    <t>會漏水</t>
  </si>
  <si>
    <t>810更換蓮蓬頭完成</t>
  </si>
  <si>
    <t>810更換蓮蓬頭完成.jpg</t>
  </si>
  <si>
    <t>客房門-緊固所有相關的螺絲,待確認狀態</t>
  </si>
  <si>
    <t xml:space="preserve">經與大夜巡檢人員確認後，沒有故障需要維修_x000D_
</t>
  </si>
  <si>
    <t>水龍頭橡膠墊破損</t>
  </si>
  <si>
    <t>IMG_9887.jpeg</t>
  </si>
  <si>
    <t>513已修復。</t>
  </si>
  <si>
    <t>客人１／３１在房內不小心碰到了吊燈，導致燈具略微鬆動，當日已檢修過，但客人仍覺得吊燈相當不穩</t>
  </si>
  <si>
    <t>619處理完成。</t>
  </si>
  <si>
    <t>冷氣太冷(上星期空房因溫度降不下來有調整過，但2/1客人入住後覺得太冷)</t>
  </si>
  <si>
    <t>520溫度已調整完成</t>
  </si>
  <si>
    <t>520溫度已調整完成.jpg</t>
  </si>
  <si>
    <t>進房門的那一面門上蠻班駁/ 面對咖啡機的右手邊牆多有痕跡</t>
  </si>
  <si>
    <t>4fb0340d08fa17185767c6fd4c64de15.png</t>
  </si>
  <si>
    <t>510修補完成</t>
  </si>
  <si>
    <t xml:space="preserve">88859.jpg : https://ap12.ragic.com/sims/file.jsp?a=soutlet001&amp;f=OUOu2pZGjm%4088859.jpg
88860.jpg : https://ap12.ragic.com/sims/file.jsp?a=soutlet001&amp;f=wDXnXy06Qj%4088860.jpg
88861.jpg : https://ap12.ragic.com/sims/file.jsp?a=soutlet001&amp;f=GQSA6C2WJ8%4088861.jpg
</t>
  </si>
  <si>
    <t>523那邊的走道上午11點多很臭，但下午4點多就沒味道</t>
  </si>
  <si>
    <t>現場聞味道又消失，待繼續觀察</t>
  </si>
  <si>
    <t xml:space="preserve">矽利康發霉_x000D_
</t>
  </si>
  <si>
    <t>770776aecceb7199dc9188d8bda01ca5.png</t>
  </si>
  <si>
    <t>930修補完成</t>
  </si>
  <si>
    <t xml:space="preserve">88759_0.jpg : https://ap12.ragic.com/sims/file.jsp?a=soutlet001&amp;f=gMHOwhymOD%4088759_0.jpg
88760_0.jpg : https://ap12.ragic.com/sims/file.jsp?a=soutlet001&amp;f=fBDnzB4gKg%4088760_0.jpg
88761_0.jpg : https://ap12.ragic.com/sims/file.jsp?a=soutlet001&amp;f=pbHuKmrfwv%4088761_0.jpg
88762_0.jpg : https://ap12.ragic.com/sims/file.jsp?a=soutlet001&amp;f=fXzSeYac77%4088762_0.jpg
88850_0.jpg : https://ap12.ragic.com/sims/file.jsp?a=soutlet001&amp;f=o81gSCY3zX%4088850_0.jpg
</t>
  </si>
  <si>
    <t>7f20868605586d9d2713549ba26728d6.png</t>
  </si>
  <si>
    <t xml:space="preserve">88763_0.jpg : https://ap12.ragic.com/sims/file.jsp?a=soutlet001&amp;f=qyQamSVXPX%4088763_0.jpg
88764_0.jpg : https://ap12.ragic.com/sims/file.jsp?a=soutlet001&amp;f=yqq5MVKKEv%4088764_0.jpg
</t>
  </si>
  <si>
    <t>缺口需要補</t>
  </si>
  <si>
    <t>6820e7d41bbddd2b1b0cea788b3be2f7.png</t>
  </si>
  <si>
    <t>黃色的麥克油漆筆點漆已到貨，黃色麥克油漆比無法蓋過木頭棕色</t>
  </si>
  <si>
    <t xml:space="preserve">89189_0.jpg : https://ap12.ragic.com/sims/file.jsp?a=soutlet001&amp;f=E6LtkKNnmC%4089189_0.jpg
89188_0.jpg : https://ap12.ragic.com/sims/file.jsp?a=soutlet001&amp;f=PAtVlM459Z%4089188_0.jpg
</t>
  </si>
  <si>
    <t>矽利康發霉 止水閥黃</t>
  </si>
  <si>
    <t>3d0f8c414b263d96ac0d24691789c6b8.png</t>
  </si>
  <si>
    <t>718矽利康修補完成</t>
  </si>
  <si>
    <t xml:space="preserve">89990_0.jpg : https://ap12.ragic.com/sims/file.jsp?a=soutlet001&amp;f=VaUbyxs1uL%4089990_0.jpg
89991_0.jpg : https://ap12.ragic.com/sims/file.jsp?a=soutlet001&amp;f=0qvhqULsMe%4089991_0.jpg
89992_0.jpg : https://ap12.ragic.com/sims/file.jsp?a=soutlet001&amp;f=9rBJ2Qs2CG%4089992_0.jpg
89993_0.jpg : https://ap12.ragic.com/sims/file.jsp?a=soutlet001&amp;f=GTtQWeDd8o%4089993_0.jpg
89994_0.jpg : https://ap12.ragic.com/sims/file.jsp?a=soutlet001&amp;f=F2p2KRD3oY%4089994_0.jpg
89995_0.jpg : https://ap12.ragic.com/sims/file.jsp?a=soutlet001&amp;f=FIIYEVAWmx%4089995_0.jpg
</t>
  </si>
  <si>
    <t>20260202-007</t>
  </si>
  <si>
    <t>牆刮痕</t>
  </si>
  <si>
    <t>41b3377c5c76a55c7f483f2da42e5b5a.png</t>
  </si>
  <si>
    <t>缺油漆和麥克筆點漆</t>
  </si>
  <si>
    <t>9樓健身房外牆角掉漆</t>
  </si>
  <si>
    <t>d640f99002a7bbc4ae950130c918d053.png</t>
  </si>
  <si>
    <t>9樓健身房外牆補漆完成。</t>
  </si>
  <si>
    <t>9樓健身房外牆補漆完成.jpg</t>
  </si>
  <si>
    <t>10樓員工梯外牆角掉漆</t>
  </si>
  <si>
    <t>2af8d5e74699f69d4f11bd988718fbcf.png</t>
  </si>
  <si>
    <t>10樓梯廳外，補漆完成。</t>
  </si>
  <si>
    <t>10樓梯廳外補漆完成.jpg</t>
  </si>
  <si>
    <t>20260202-004</t>
  </si>
  <si>
    <t>8樓D梯門敞開</t>
  </si>
  <si>
    <t>22af58f97c21d91dcf0ad911be38bf35.png</t>
  </si>
  <si>
    <t>再檢查D梯門已正常關閉</t>
  </si>
  <si>
    <t>20260202-003</t>
  </si>
  <si>
    <t>C梯B4燈微弱、積水、一堆蛾蚋</t>
  </si>
  <si>
    <t>145ec1d908db2a49f2858798e32d05cb.png</t>
  </si>
  <si>
    <t>持續有漏水(公清處理完積水還是一直會有) 另外滋生蛾蚋，漏水問題尚未解決</t>
  </si>
  <si>
    <t>C梯燈泡已更換.jpg</t>
  </si>
  <si>
    <t>20260202-002</t>
  </si>
  <si>
    <t>8樓A梯燈不亮</t>
  </si>
  <si>
    <t>29dc1a5942c45e73c1c2fa05ce91b92c.png</t>
  </si>
  <si>
    <t>PL燈緊急照明感應才會亮，之後全部汰換LED燈</t>
  </si>
  <si>
    <t>B1 辦公室</t>
  </si>
  <si>
    <t>天花板破洞</t>
  </si>
  <si>
    <t>a568964e99f5510f0ccef53e5d3e6716.png</t>
  </si>
  <si>
    <t>已修補完成</t>
  </si>
  <si>
    <t>未完成</t>
  </si>
  <si>
    <t>S__123879427.jpg</t>
  </si>
  <si>
    <t>20260201-010</t>
  </si>
  <si>
    <t>客人反應房間很冷，最近這間客房被客人反應不能調整溫度，2/3客人退房後，請協助維修</t>
  </si>
  <si>
    <t>空調主機板壞，需採購更換</t>
  </si>
  <si>
    <t>20260201-009</t>
  </si>
  <si>
    <t>921 窗簾上下拉不動 (補單)</t>
  </si>
  <si>
    <t xml:space="preserve">IMG_0111.jpeg : https://ap12.ragic.com/sims/file.jsp?a=soutlet001&amp;f=3dHT6ZQNeu%40IMG_0111.jpeg
IMG_0112.jpeg : https://ap12.ragic.com/sims/file.jsp?a=soutlet001&amp;f=qafGuK2q50%40IMG_0112.jpeg
</t>
  </si>
  <si>
    <t xml:space="preserve">3/17 待廠商通知北上維修時間_x000D_
_x000D_
此案經過: _x000D_
3/10 辦驗未通過_x000D_
2/12 已調整完成_x000D_
1/26  工程員反映只能單邊動，已聯繫均辰祥提供設定。_x000D_
1/13  窗簾廠商回覆因為是客製CNC較費工，已經在製作中。_x000D_
12/26 已通知廠商出貨_x000D_
12/24 已下訂單簽核中_x000D_
12/23 收到原安裝廠商均辰祥報價_x000D_
12/21 先聯繫安裝的電動窗簾廠商均辰祥，再進行三家比議價後，由採購進行後續流程。_x000D_
12/20  因卡榫斷裂無法裝回，加上現場無材料更換，須與窗簾廠商確認維修事宜。_x000D_
12/19:  921窗簾的主支架已斷裂，目前無法修復。因安全考量，建請該房鎖房，以維護客戶安全，謝謝。_x000D_
_x000D_
</t>
  </si>
  <si>
    <t>窗簾無法下來</t>
  </si>
  <si>
    <t>客廳立燈掛架鬆脫</t>
  </si>
  <si>
    <t xml:space="preserve">IMG_5320.jpeg : https://ap12.ragic.com/sims/file.jsp?a=soutlet001&amp;f=SektSrYBIh%40IMG_5320.jpeg
IMG_5321.jpeg : https://ap12.ragic.com/sims/file.jsp?a=soutlet001&amp;f=enkQKmGJBA%40IMG_5321.jpeg
</t>
  </si>
  <si>
    <t>601燈具修復完成</t>
  </si>
  <si>
    <t>601燈具修復完成.jpg</t>
  </si>
  <si>
    <t>921 門打不開，需要更換電池</t>
  </si>
  <si>
    <t>IMG_0108.jpeg</t>
  </si>
  <si>
    <t>921 門電池已更換</t>
  </si>
  <si>
    <t>921 門電池已更換.jpg</t>
  </si>
  <si>
    <t>床頭閱讀燈位置不對（右側位置不對）</t>
  </si>
  <si>
    <t>IMG_5317.jpeg</t>
  </si>
  <si>
    <t>620電燈已調整</t>
  </si>
  <si>
    <t>620電燈已調整.jpg</t>
  </si>
  <si>
    <t>821固定完成</t>
  </si>
  <si>
    <t>821固定完成.jpg</t>
  </si>
  <si>
    <t>716 浴簾已ok</t>
  </si>
  <si>
    <t>716 浴簾已ok.jpg</t>
  </si>
  <si>
    <t>房內三個偵煙器外面有套塑膠袋，請協助移除</t>
  </si>
  <si>
    <t>1019已移除偵煙器外的塑膠套</t>
  </si>
  <si>
    <t xml:space="preserve">1019已移除偵煙器外的塑膠套.jpg : https://ap12.ragic.com/sims/file.jsp?a=soutlet001&amp;f=ZTLrhOdRj0%401019%E5%B7%B2%E7%A7%BB%E9%99%A4%E5%81%B5%E7%85%99%E5%99%A8%E5%A4%96%E7%9A%84%E5%A1%91%E8%86%A0%E5%A5%97.jpg
1019已移除偵煙器外的塑膠套-2.jpg : https://ap12.ragic.com/sims/file.jsp?a=soutlet001&amp;f=yOGBHym2NV%401019%E5%B7%B2%E7%A7%BB%E9%99%A4%E5%81%B5%E7%85%99%E5%99%A8%E5%A4%96%E7%9A%84%E5%A1%91%E8%86%A0%E5%A5%97-2.jpg
</t>
  </si>
  <si>
    <t>浴室玻璃門開啟關閉巨大的聲音</t>
  </si>
  <si>
    <t>631 已ok</t>
  </si>
  <si>
    <t>631 已ok.jpg</t>
  </si>
  <si>
    <t>IMG_5308.jpeg</t>
  </si>
  <si>
    <t>608 已處理ok</t>
  </si>
  <si>
    <t>608 已處理ok.jpg</t>
  </si>
  <si>
    <t>電話零件鬆脫聲音</t>
  </si>
  <si>
    <t>511電話零件已固定</t>
  </si>
  <si>
    <t>20260131-010</t>
  </si>
  <si>
    <t>連續三天不定時靠近B吧廁所的走道警報器發出異響</t>
  </si>
  <si>
    <t>尚在釐清是消防或是大台北瓦斯設備的問題</t>
  </si>
  <si>
    <t>IMG_5230.jpeg</t>
  </si>
  <si>
    <t>618貓眼已固定完成</t>
  </si>
  <si>
    <t>618貓眼已固定完成.jpg</t>
  </si>
  <si>
    <t>單音</t>
  </si>
  <si>
    <t>531電鈴已修復</t>
  </si>
  <si>
    <t>保險箱五緩衝</t>
  </si>
  <si>
    <t>501保險箱油壓桿已更新完成</t>
  </si>
  <si>
    <t>客廳電話沒電</t>
  </si>
  <si>
    <t>501電話電池已更換完成</t>
  </si>
  <si>
    <t xml:space="preserve">705 衣櫃燈管掉落 </t>
  </si>
  <si>
    <t>1000007642.jpg</t>
  </si>
  <si>
    <t>705 衣櫃燈管處理完成</t>
  </si>
  <si>
    <t>705處理完成.jpg</t>
  </si>
  <si>
    <t>611 電鈴已修復</t>
  </si>
  <si>
    <t>718 門鈴單音</t>
  </si>
  <si>
    <t>718 門鈴ok</t>
  </si>
  <si>
    <t>515 水龍頭已鎖緊</t>
  </si>
  <si>
    <t>515 水龍頭已鎖緊.jpg</t>
  </si>
  <si>
    <t>蓮蓬頭開熱水，會有打孔機咚咚咚咚咚咚的聲音</t>
  </si>
  <si>
    <t>526 已調整好</t>
  </si>
  <si>
    <t>客反映房間熱水出很慢 但一出來又瞬間很燙</t>
  </si>
  <si>
    <t>當天已有測試已調整</t>
  </si>
  <si>
    <t>客起身撞到燈，想確認燈是否能穩固</t>
  </si>
  <si>
    <t>1/31 619床頭燈修復完成。</t>
  </si>
  <si>
    <t>619床頭燈修復完成。.jpg</t>
  </si>
  <si>
    <t xml:space="preserve">窗簾被拔掉 </t>
  </si>
  <si>
    <t>客房沼氣味( 有測試把冷氣關掉味道會不見，冷氣打開又會有味道 )</t>
  </si>
  <si>
    <t>623、625正常，僅淡淡的氣味。</t>
  </si>
  <si>
    <t>冷氣溫度降不下來，需協助調適中溫度</t>
  </si>
  <si>
    <t>2/2 520溫度再調整24度_x000D_
1/31 520溫度已調整完成</t>
  </si>
  <si>
    <t>520溫度再次調整完成(0131有調整過).jpg</t>
  </si>
  <si>
    <t>浴簾無法正常使用</t>
  </si>
  <si>
    <t>611浴簾已修復完成</t>
  </si>
  <si>
    <t>916 要換燈泡</t>
  </si>
  <si>
    <t>1000007632.jpg</t>
  </si>
  <si>
    <t>916 燈泡已換。</t>
  </si>
  <si>
    <t>image_F07CC472-F071-4B4A-82BD-E371B4EF7580_1769774179_compressed.jpeg</t>
  </si>
  <si>
    <t>客廳電話沒有反應</t>
  </si>
  <si>
    <t>501客廳電話已更換電池，測試完成</t>
  </si>
  <si>
    <t>B1 女員工廁所</t>
  </si>
  <si>
    <t>最裡面那一間廁所沖完水之後，水會流很久流到兩、三分鐘才會停止</t>
  </si>
  <si>
    <t>B1女廁水箱已修復</t>
  </si>
  <si>
    <t>淋浴間地磚和牆磚的接縫與浴缸/淋浴/洗手台的矽利康破損裂痕發黴發黑脫落現象</t>
  </si>
  <si>
    <t xml:space="preserve">IMG_1677 (1).jpeg : https://ap12.ragic.com/sims/file.jsp?a=soutlet001&amp;f=voA65Owehy%40IMG_1677+%281%29.jpeg
IMG_1678.jpeg : https://ap12.ragic.com/sims/file.jsp?a=soutlet001&amp;f=wfdJwsroIL%40IMG_1678.jpeg
</t>
  </si>
  <si>
    <t>510 浴室矽利康已完成</t>
  </si>
  <si>
    <t xml:space="preserve">86150_0.jpg : https://ap12.ragic.com/sims/file.jsp?a=soutlet001&amp;f=lIdI2RYbeL%4086150_0.jpg
86151_0.jpg : https://ap12.ragic.com/sims/file.jsp?a=soutlet001&amp;f=C3QI2R6jem%4086151_0.jpg
86152_0.jpg : https://ap12.ragic.com/sims/file.jsp?a=soutlet001&amp;f=VTscA5uIel%4086152_0.jpg
</t>
  </si>
  <si>
    <t>小冰箱-門、鉸鍊和把手刮痕脫漆</t>
  </si>
  <si>
    <t>IMG_1679 (1).jpeg</t>
  </si>
  <si>
    <t>510補漆完成</t>
  </si>
  <si>
    <t>88723.jpg</t>
  </si>
  <si>
    <t>浴厠牆壁和天花板上所有破損的油漆和壁紙</t>
  </si>
  <si>
    <t>IMG_1695 (1).jpeg</t>
  </si>
  <si>
    <t>518修補完成。</t>
  </si>
  <si>
    <t xml:space="preserve">88251_0.jpg : https://ap12.ragic.com/sims/file.jsp?a=soutlet001&amp;f=mdSDF6Y0Z9%4088251_0.jpg
88252_0.jpg : https://ap12.ragic.com/sims/file.jsp?a=soutlet001&amp;f=sF67uf0wW3%4088252_0.jpg
88253_0.jpg : https://ap12.ragic.com/sims/file.jsp?a=soutlet001&amp;f=yX8Kb138vA%4088253_0.jpg
</t>
  </si>
  <si>
    <t xml:space="preserve">衣櫃脫漆、污漬、發黴、脫皮	</t>
  </si>
  <si>
    <t>IMG_1694 (1).jpeg</t>
  </si>
  <si>
    <t>518補漆完成</t>
  </si>
  <si>
    <t xml:space="preserve">88726_0.jpg : https://ap12.ragic.com/sims/file.jsp?a=soutlet001&amp;f=ssQ7NWNwdS%4088726_0.jpg
88727_0.jpg : https://ap12.ragic.com/sims/file.jsp?a=soutlet001&amp;f=CG4Yuorglb%4088727_0.jpg
88728_0.jpg : https://ap12.ragic.com/sims/file.jsp?a=soutlet001&amp;f=iFFO2yPhhA%4088728_0.jpg
88729_0.jpg : https://ap12.ragic.com/sims/file.jsp?a=soutlet001&amp;f=IJ2kJNTPGD%4088729_0.jpg
</t>
  </si>
  <si>
    <t>電視旁的牆面有刮痕脫漆</t>
  </si>
  <si>
    <t>IMG_1696 (1).jpeg</t>
  </si>
  <si>
    <t>88254_0.jpg</t>
  </si>
  <si>
    <t>地磚和牆磚的接縫與浴缸/淋浴/洗手台的矽利康發黴、發黑</t>
  </si>
  <si>
    <t>IMG_1691 (1).jpeg</t>
  </si>
  <si>
    <t>513修補完成。</t>
  </si>
  <si>
    <t xml:space="preserve">image_AACB64DE-6A2E-4DC4-9F1E-4C487668D286_1769773965_compressed.jpeg : https://ap12.ragic.com/sims/file.jsp?a=soutlet001&amp;f=YQPHDlRKeU%40image_AACB64DE-6A2E-4DC4-9F1E-4C487668D286_1769773965_compressed.jpeg
image_3593DAFD-D610-45EF-8217-27576CA20E53_1769773965_compressed.jpeg : https://ap12.ragic.com/sims/file.jsp?a=soutlet001&amp;f=yAoVrkuOB8%40image_3593DAFD-D610-45EF-8217-27576CA20E53_1769773965_compressed.jpeg
</t>
  </si>
  <si>
    <t xml:space="preserve">IMG_1692.jpeg : https://ap12.ragic.com/sims/file.jsp?a=soutlet001&amp;f=XqM2Y94LLt%40IMG_1692.jpeg
IMG_1693.jpeg : https://ap12.ragic.com/sims/file.jsp?a=soutlet001&amp;f=EpTPM3PNbV%40IMG_1693.jpeg
IMG_1695.jpeg : https://ap12.ragic.com/sims/file.jsp?a=soutlet001&amp;f=gpXU08AfNL%40IMG_1695.jpeg
</t>
  </si>
  <si>
    <t xml:space="preserve">image_9A0DFFB3-21F0-459C-89F0-D444A5C41292_1769773913_compressed.jpeg : https://ap12.ragic.com/sims/file.jsp?a=soutlet001&amp;f=cjhcjmShfh%40image_9A0DFFB3-21F0-459C-89F0-D444A5C41292_1769773913_compressed.jpeg
image_9FDA5A0B-99BE-4473-BA06-4E8A9CFF6B9A_1769773913_compressed.jpeg : https://ap12.ragic.com/sims/file.jsp?a=soutlet001&amp;f=r01GdOOd6R%40image_9FDA5A0B-99BE-4473-BA06-4E8A9CFF6B9A_1769773913_compressed.jpeg
image_C9C6613C-A471-4041-B3E8-36ACD7A78101_1769773913_compressed.jpeg : https://ap12.ragic.com/sims/file.jsp?a=soutlet001&amp;f=DyEwSZ1jM9%40image_C9C6613C-A471-4041-B3E8-36ACD7A78101_1769773913_compressed.jpeg
</t>
  </si>
  <si>
    <t>603 洗手台水龍頭搖晃</t>
  </si>
  <si>
    <t>603 水龍頭已固定</t>
  </si>
  <si>
    <t>603 水龍頭已固定.jpg</t>
  </si>
  <si>
    <t xml:space="preserve">IMG_9876.jpeg : https://ap12.ragic.com/sims/file.jsp?a=soutlet001&amp;f=wvOLilO3ao%40IMG_9876.jpeg
IMG_9877.jpeg : https://ap12.ragic.com/sims/file.jsp?a=soutlet001&amp;f=THUt4EEG3P%40IMG_9877.jpeg
</t>
  </si>
  <si>
    <t>515修補完成。</t>
  </si>
  <si>
    <t>image_323B215D-59D3-40EC-B157-A9EF0B8E4F60_1769774049_compressed.jpeg</t>
  </si>
  <si>
    <t>臥室天花板需補漆</t>
  </si>
  <si>
    <t>S__9601107.jpg</t>
  </si>
  <si>
    <t xml:space="preserve">501已補土補漆	</t>
  </si>
  <si>
    <t>20260129-008</t>
  </si>
  <si>
    <t>廁所壁燈不亮</t>
  </si>
  <si>
    <t>IMG_9861.jpeg</t>
  </si>
  <si>
    <t>接觸不良已亮，取消工單</t>
  </si>
  <si>
    <t>電話要更換電池</t>
  </si>
  <si>
    <t>IMG_9859.jpeg</t>
  </si>
  <si>
    <t>731電話電池已更換，測試正常</t>
  </si>
  <si>
    <t>IMG_9858.jpeg</t>
  </si>
  <si>
    <t>731門鈴已調整完成</t>
  </si>
  <si>
    <t>手把鬆脫需要調整</t>
  </si>
  <si>
    <t>526淋浴門把手固定完成</t>
  </si>
  <si>
    <t>image_6D682B51-B14A-4806-8B29-0C5CFB975B4F_1769686554_compressed.jpeg</t>
  </si>
  <si>
    <t>化妝鏡螺絲需要調整</t>
  </si>
  <si>
    <t>IMG_5116.jpeg</t>
  </si>
  <si>
    <t>525化粧鏡已固定完成</t>
  </si>
  <si>
    <t>525化粧鏡已固定完成.jpg</t>
  </si>
  <si>
    <t>止水條需更換+調整玻璃門開啟關閉的聲音</t>
  </si>
  <si>
    <t>525止水條已更新完成</t>
  </si>
  <si>
    <t>image_D179027D-402E-46BF-9198-83FE6E18C564_1769686340_compressed.jpeg</t>
  </si>
  <si>
    <t>盥洗用品架需要更換</t>
  </si>
  <si>
    <t>IMG_9856.jpeg</t>
  </si>
  <si>
    <t>727盥洗用品架已更新完成</t>
  </si>
  <si>
    <t>727盥洗用品架已更新完成.jpg</t>
  </si>
  <si>
    <t>浴室玻璃門開啟關閉有止水條卡住的磨擦怪聲音</t>
  </si>
  <si>
    <t>1/30 房務和櫃台經理通知需再做調整_x000D_
812玻璃淋浴門調整完成</t>
  </si>
  <si>
    <t>淋浴間天花板脫落 髒污補漆， 維修孔髒污 需補漆</t>
  </si>
  <si>
    <t xml:space="preserve">IMG_5058.jpeg : https://ap12.ragic.com/sims/file.jsp?a=soutlet001&amp;f=EY9Q2PqZUM%40IMG_5058.jpeg
IMG_5059.jpeg : https://ap12.ragic.com/sims/file.jsp?a=soutlet001&amp;f=1ILQAKjtCv%40IMG_5059.jpeg
IMG_5061.jpeg : https://ap12.ragic.com/sims/file.jsp?a=soutlet001&amp;f=GcpjbZTLSJ%40IMG_5061.jpeg
IMG_5062.jpeg : https://ap12.ragic.com/sims/file.jsp?a=soutlet001&amp;f=pMAyDtahma%40IMG_5062.jpeg
</t>
  </si>
  <si>
    <t>1/29 宣元隆會進場處理色差補漆，因到周末都已賣房，先請廠商把剝落處刮平直接上漆(因為下午還需要時間除油漆味)。加上這幾間工程也還尚未驗收完成，就待周末過後再檢視天花板狀況是否有需要請廠商進一步處理。</t>
  </si>
  <si>
    <t>油漆有刷痕 分不不均勻</t>
  </si>
  <si>
    <t xml:space="preserve">601.jpg : https://ap12.ragic.com/sims/file.jsp?a=soutlet001&amp;f=MQWK2udHLg%40601.jpg
601-1.jpg : https://ap12.ragic.com/sims/file.jsp?a=soutlet001&amp;f=33ikO0Lsq4%40601-1.jpg
</t>
  </si>
  <si>
    <t>淋浴間天花板脫落 補漆， 維修孔髒污 需補漆</t>
  </si>
  <si>
    <t xml:space="preserve">IMG_5055.jpeg : https://ap12.ragic.com/sims/file.jsp?a=soutlet001&amp;f=aU2005cenG%40IMG_5055.jpeg
IMG_5056.jpeg : https://ap12.ragic.com/sims/file.jsp?a=soutlet001&amp;f=gHCMlT34lt%40IMG_5056.jpeg
IMG_5057.jpeg : https://ap12.ragic.com/sims/file.jsp?a=soutlet001&amp;f=7ZLEcjHCMp%40IMG_5057.jpeg
</t>
  </si>
  <si>
    <t>油漆有刷痕 分不不均勻 有裂縫</t>
  </si>
  <si>
    <t xml:space="preserve">701.jpg : https://ap12.ragic.com/sims/file.jsp?a=soutlet001&amp;f=jKjfqPAEPE%40701.jpg
701-1.jpg : https://ap12.ragic.com/sims/file.jsp?a=soutlet001&amp;f=0DcYfRN1tH%40701-1.jpg
</t>
  </si>
  <si>
    <t>10樓廊道</t>
  </si>
  <si>
    <t>10樓梯廳崁燈閃爍</t>
  </si>
  <si>
    <t>十樓廳口崁燈已更新完成</t>
  </si>
  <si>
    <t>十樓廳口崁燈已更新完成.jpg</t>
  </si>
  <si>
    <t>20260128-011</t>
  </si>
  <si>
    <t>李聖畢，蔣伯仁和許全安，三位已經離職，從系統刪除名字。</t>
  </si>
  <si>
    <t xml:space="preserve">520 冷氣溫度好像一直下不來 </t>
  </si>
  <si>
    <t>1000007547.jpg</t>
  </si>
  <si>
    <t>520 更換冰水二通閥</t>
  </si>
  <si>
    <t>止水條需更換</t>
  </si>
  <si>
    <t>IMG_5070.jpeg</t>
  </si>
  <si>
    <t>925 止水條更換完成</t>
  </si>
  <si>
    <t>925 止水條更換完成.jpg</t>
  </si>
  <si>
    <t>711 洗手台水龍頭鬆動</t>
  </si>
  <si>
    <t>1000007546.jpg</t>
  </si>
  <si>
    <t>711洗手台水龍頭固定完成</t>
  </si>
  <si>
    <t>止水條裂需更換</t>
  </si>
  <si>
    <t>IMG_5068.jpeg</t>
  </si>
  <si>
    <t>921止水條已更新完成</t>
  </si>
  <si>
    <t>921止水條已更新完成.jpg</t>
  </si>
  <si>
    <t>20260128-006</t>
  </si>
  <si>
    <t>客房門木條剝落</t>
  </si>
  <si>
    <t>IMG_5067.jpeg</t>
  </si>
  <si>
    <t>大門為木紋貼皮，工程部目前無此物貼皮，目前只能暫時這樣處裡</t>
  </si>
  <si>
    <t>大門為木紋貼皮，工程部目前無此物貼皮，目前只能暫時這樣處裡.jpg</t>
  </si>
  <si>
    <t>610 馬桶無法感應沖水 有預進</t>
  </si>
  <si>
    <t>1000007538.jpg</t>
  </si>
  <si>
    <t>610感應器電池已更新完成</t>
  </si>
  <si>
    <t xml:space="preserve">519 需更換沐浴架下的墊片 </t>
  </si>
  <si>
    <t>1000007531.jpg</t>
  </si>
  <si>
    <t>519盥洗用品架已更新完成</t>
  </si>
  <si>
    <t>519盥洗用品架已更新完成.jpg</t>
  </si>
  <si>
    <t>522 床左側的燈罩有破洞 需更換</t>
  </si>
  <si>
    <t>1000007529.jpg</t>
  </si>
  <si>
    <t>522右床頭燈罩已更新完成</t>
  </si>
  <si>
    <t>522右床頭燈罩已更新完成.jpg</t>
  </si>
  <si>
    <t>717 木皮缺角</t>
  </si>
  <si>
    <t xml:space="preserve">1000007526.jpg : https://ap12.ragic.com/sims/file.jsp?a=soutlet001&amp;f=7pOdWCpem4%401000007526.jpg
1000007524.jpg : https://ap12.ragic.com/sims/file.jsp?a=soutlet001&amp;f=GJOAhC3fm0%401000007524.jpg
</t>
  </si>
  <si>
    <t>717貼皮完成</t>
  </si>
  <si>
    <t>717貼皮完成.jpg</t>
  </si>
  <si>
    <t>客人反應空調太冷，溫度已調整至28度但房內只有22度</t>
  </si>
  <si>
    <t>1030熱水閥已全開，溫度上升中</t>
  </si>
  <si>
    <t>1030熱水閥已全開，溫度上升中.jpg</t>
  </si>
  <si>
    <t>justin</t>
  </si>
  <si>
    <t>B1 廚房瓦斯斷線 警報器響 排風異常</t>
  </si>
  <si>
    <t xml:space="preserve">S__2302023_0.jpg : https://ap12.ragic.com/sims/file.jsp?a=soutlet001&amp;f=DoZtq6W2GL%40S__2302023_0.jpg
S__2302024_0.jpg : https://ap12.ragic.com/sims/file.jsp?a=soutlet001&amp;f=I3tsEEQYWK%40S__2302024_0.jpg
</t>
  </si>
  <si>
    <t>B1員餐瓦斯開關已復歸</t>
  </si>
  <si>
    <t>B1員餐瓦斯開關已復歸.jpg</t>
  </si>
  <si>
    <t>電視下方及旁邊要油漆</t>
  </si>
  <si>
    <t>516電視下方、咖啡機後方已油漆完成</t>
  </si>
  <si>
    <t xml:space="preserve">87665_0.jpg : https://ap12.ragic.com/sims/file.jsp?a=soutlet001&amp;f=hMZhVxaysi%4087665_0.jpg
87666_0.jpg : https://ap12.ragic.com/sims/file.jsp?a=soutlet001&amp;f=9UMgFqzWJi%4087666_0.jpg
</t>
  </si>
  <si>
    <t>5樓廊道有沼氣味</t>
  </si>
  <si>
    <t>觀察中</t>
  </si>
  <si>
    <t>1023 噴頭漏水</t>
  </si>
  <si>
    <t>1023蓮蓬頭管已修復完成</t>
  </si>
  <si>
    <t>房務辦公室外面，後半部的走廊燈不亮</t>
  </si>
  <si>
    <t>跳電，電源開關</t>
  </si>
  <si>
    <t>四樓a bar無障礙廁所鎖不上</t>
  </si>
  <si>
    <t>1000017445.jpg</t>
  </si>
  <si>
    <t>已更換鎖，處理完成。</t>
  </si>
  <si>
    <t>710 的天花板已經乾裂、剝落了 (補單)</t>
  </si>
  <si>
    <t>710浴室天花板已油漆完成</t>
  </si>
  <si>
    <t>87629.jpg</t>
  </si>
  <si>
    <t>20260126-002</t>
  </si>
  <si>
    <t>面對A吧的右邊橘色邊條有刮傷</t>
  </si>
  <si>
    <t>c706f78bd58c8ccc827648a0255f9c94.png</t>
  </si>
  <si>
    <t xml:space="preserve">須鋼琴烤漆修補	</t>
  </si>
  <si>
    <t>D梯8樓及5樓間燈不亮或昏暗。</t>
  </si>
  <si>
    <t>75bb34feaf0d3564699ba8f9dd2cfd49.png</t>
  </si>
  <si>
    <t>現場已確認換吸頂燈泡</t>
  </si>
  <si>
    <t>1030 淋浴間零件需修理</t>
  </si>
  <si>
    <t>1000007491.jpg</t>
  </si>
  <si>
    <t>1030 淋浴間零件處理完成。</t>
  </si>
  <si>
    <t>1030 淋浴間零件處理完成。.jpg</t>
  </si>
  <si>
    <t>HDMI 已被拔掉，電視也沒有訊號 (補單)</t>
  </si>
  <si>
    <t>IMG_20260125_144352.jpg</t>
  </si>
  <si>
    <t>831 電視ok</t>
  </si>
  <si>
    <t>831 電視ok.jpg</t>
  </si>
  <si>
    <t>右側床頭燈不亮</t>
  </si>
  <si>
    <t>528 燈泡已更換</t>
  </si>
  <si>
    <t>528 燈泡已更換.jpg</t>
  </si>
  <si>
    <t>723 續住 門鎖快沒電了 目前客人不在</t>
  </si>
  <si>
    <t>723 門電池已更換</t>
  </si>
  <si>
    <t>門鈴單音音量小</t>
  </si>
  <si>
    <t>528 門鈴已修復</t>
  </si>
  <si>
    <t xml:space="preserve">625 突然有異音 已退 </t>
  </si>
  <si>
    <t>技術員去現場聽，已沒聽到，待觀察</t>
  </si>
  <si>
    <t>禁煙牌掉了</t>
  </si>
  <si>
    <t>IMG_9835.jpeg</t>
  </si>
  <si>
    <t>701 已裝上</t>
  </si>
  <si>
    <t>701 已裝上.jpg</t>
  </si>
  <si>
    <t>電話機有零件聲音需要鎖緊</t>
  </si>
  <si>
    <t>821電話機內鐵片固定完成</t>
  </si>
  <si>
    <t>713熱水二通閥更新完</t>
  </si>
  <si>
    <t>IMG_4725.jpeg</t>
  </si>
  <si>
    <t>830淋浴間止水條更新完成</t>
  </si>
  <si>
    <t>830淋浴間止水條更新完成.jpg</t>
  </si>
  <si>
    <t>IMG_4722.jpeg</t>
  </si>
  <si>
    <t>828淋浴間止水條已更新完成</t>
  </si>
  <si>
    <t>828淋浴間止水條已更新完成.jpg</t>
  </si>
  <si>
    <t>809 沐浴乳架已更換</t>
  </si>
  <si>
    <t>809 沐浴乳架已更換.jpg</t>
  </si>
  <si>
    <t>IMG_4720.jpeg</t>
  </si>
  <si>
    <t>805 沐浴乳架已更換</t>
  </si>
  <si>
    <t>805 沐浴乳架已更換.jpg</t>
  </si>
  <si>
    <t>629 門鈴單音</t>
  </si>
  <si>
    <t>629門鈴調整完成</t>
  </si>
  <si>
    <t>客人反應經過大廳會聞到一股臭味</t>
  </si>
  <si>
    <t>現場去聞沒味道</t>
  </si>
  <si>
    <t>IMG_4719.jpeg</t>
  </si>
  <si>
    <t>809 浴室止水條已更換</t>
  </si>
  <si>
    <t>809 浴室止水條已更換.jpg</t>
  </si>
  <si>
    <t>天花板不間斷的出現怪聲音(水滴聲)</t>
  </si>
  <si>
    <t>工程副理梓灃和嘉誠來了之後又沒聲音，經理大概待了幾分鐘 一直會有聲響不定時的。</t>
  </si>
  <si>
    <t>疑似阻塞，下水速度慢</t>
  </si>
  <si>
    <t>627沖水ok</t>
  </si>
  <si>
    <t>IMG_4644.jpeg</t>
  </si>
  <si>
    <t>818更換完成</t>
  </si>
  <si>
    <t>818更換完成.jpg</t>
  </si>
  <si>
    <t>淋浴間的排水以及暖氣有點問題</t>
  </si>
  <si>
    <t>排水較慢已疏通，暖氣已調整完成</t>
  </si>
  <si>
    <t>四樓男廁所工具間水龍頭開关壞掉</t>
  </si>
  <si>
    <t>四樓男廁所工具間水龍頭已修復。</t>
  </si>
  <si>
    <t>4樓女廁</t>
  </si>
  <si>
    <t>燈泡已更換完成。</t>
  </si>
  <si>
    <t xml:space="preserve">燈泡已更換完成-1.jpg : https://ap12.ragic.com/sims/file.jsp?a=soutlet001&amp;f=Kk6z3IxWJS%40%E7%87%88%E6%B3%A1%E5%B7%B2%E6%9B%B4%E6%8F%9B%E5%AE%8C%E6%88%90-1.jpg
燈泡已更換完成-2.jpg : https://ap12.ragic.com/sims/file.jsp?a=soutlet001&amp;f=vhgTNfxaTp%40%E7%87%88%E6%B3%A1%E5%B7%B2%E6%9B%B4%E6%8F%9B%E5%AE%8C%E6%88%90-2.jpg
</t>
  </si>
  <si>
    <t>20260122-006</t>
  </si>
  <si>
    <t>客房內異音(類似529內機器運作聲音)</t>
  </si>
  <si>
    <t>四樓泰市場外場煎爐排風扇噪音</t>
  </si>
  <si>
    <t>731 續住，房門無法打開，需要更換電池，客人不在房內。(補單)</t>
  </si>
  <si>
    <t>IMG_20260122_111613.jpg</t>
  </si>
  <si>
    <t>731 大門電池已更換</t>
  </si>
  <si>
    <t>衣櫃拉門需要上潤滑油</t>
  </si>
  <si>
    <t>520 客人表示房間的暖氣需要調整，客人目前在房內等待。 (補單)</t>
  </si>
  <si>
    <t>520溫度已調整，目前已上升至21 度</t>
  </si>
  <si>
    <t>20260122-002</t>
  </si>
  <si>
    <t>客房內有管路異音</t>
  </si>
  <si>
    <t>1/22 729 晚班在管道箱前觀察約20分鐘，目前無異狀，持續觀察。_x000D_
1/22 729現場目前無異音，會安排晚班工務以上述22:00-22:30之間再過去勘查</t>
  </si>
  <si>
    <t>大廳的自動門感應有點問題 請協助查看</t>
  </si>
  <si>
    <t>已聯繫廠商美德亞派技師查看，有更換大門感應器。</t>
  </si>
  <si>
    <t>客人反應五樓走廊異味</t>
  </si>
  <si>
    <t>現場去味道已散</t>
  </si>
  <si>
    <t xml:space="preserve">920 門鈴單音 </t>
  </si>
  <si>
    <t>下水塞壓不起來_x000D_
客人在房內 房務員正在打掃</t>
  </si>
  <si>
    <t>807水塞維修完成。</t>
  </si>
  <si>
    <t>807水塞維修完成。.jpg</t>
  </si>
  <si>
    <t>電話需要更換電池</t>
  </si>
  <si>
    <t>IMG_9800.jpeg</t>
  </si>
  <si>
    <t>810 電話電池已更換</t>
  </si>
  <si>
    <t>621 Bar台燈鬆掉 有預進</t>
  </si>
  <si>
    <t xml:space="preserve">1000007363.jpg : https://ap12.ragic.com/sims/file.jsp?a=soutlet001&amp;f=0qbpbPyFNQ%401000007363.jpg
1000007364.jpg : https://ap12.ragic.com/sims/file.jsp?a=soutlet001&amp;f=eSOZtJcaf9%401000007364.jpg
</t>
  </si>
  <si>
    <t>621燈已固定</t>
  </si>
  <si>
    <t>20260121-003</t>
  </si>
  <si>
    <t>馬桶上方電燈不亮</t>
  </si>
  <si>
    <t>IMG_9798.jpeg</t>
  </si>
  <si>
    <t>房務工單取消</t>
  </si>
  <si>
    <t>608 矽利康需重打 沒有處理到哦～</t>
  </si>
  <si>
    <t xml:space="preserve">1000007362.jpg : https://ap12.ragic.com/sims/file.jsp?a=soutlet001&amp;f=RQijpVMv1W%401000007362.jpg
1000007361.jpg : https://ap12.ragic.com/sims/file.jsp?a=soutlet001&amp;f=XJmz3ccxMp%401000007361.jpg
</t>
  </si>
  <si>
    <t>608 浴室1/20 已施工完成了</t>
  </si>
  <si>
    <t xml:space="preserve">84635_0.jpg : https://ap12.ragic.com/sims/file.jsp?a=soutlet001&amp;f=nyr8R40TtY%4084635_0.jpg
84636_0.jpg : https://ap12.ragic.com/sims/file.jsp?a=soutlet001&amp;f=fvuHKlO1sj%4084636_0.jpg
84637_0.jpg : https://ap12.ragic.com/sims/file.jsp?a=soutlet001&amp;f=Cl2HqFEc98%4084637_0.jpg
84638_0.jpg : https://ap12.ragic.com/sims/file.jsp?a=soutlet001&amp;f=MDgrB7dUUR%4084638_0.jpg
84639_0.jpg : https://ap12.ragic.com/sims/file.jsp?a=soutlet001&amp;f=nrbwhFCTFe%4084639_0.jpg
84640_0.jpg : https://ap12.ragic.com/sims/file.jsp?a=soutlet001&amp;f=FQ6B3fobDG%4084640_0.jpg
84641_0.jpg : https://ap12.ragic.com/sims/file.jsp?a=soutlet001&amp;f=w0WsHU8j40%4084641_0.jpg
84642_0.jpg : https://ap12.ragic.com/sims/file.jsp?a=soutlet001&amp;f=bdUYloopDt%4084642_0.jpg
84643_0.jpg : https://ap12.ragic.com/sims/file.jsp?a=soutlet001&amp;f=JkzoWML4Vy%4084643_0.jpg
84644_0.jpg : https://ap12.ragic.com/sims/file.jsp?a=soutlet001&amp;f=TMxEjHfYWF%4084644_0.jpg
84645_0.jpg : https://ap12.ragic.com/sims/file.jsp?a=soutlet001&amp;f=JeFuz5CMcr%4084645_0.jpg
84646_0.jpg : https://ap12.ragic.com/sims/file.jsp?a=soutlet001&amp;f=FP7C9rC9g1%4084646_0.jpg
</t>
  </si>
  <si>
    <t>IMG_9794.jpeg</t>
  </si>
  <si>
    <t>801 門鈴已處理</t>
  </si>
  <si>
    <t>矽利康發黴 浴</t>
  </si>
  <si>
    <t xml:space="preserve">IMG_4938.jpeg : https://ap12.ragic.com/sims/file.jsp?a=soutlet001&amp;f=Wn5DBZn65z%40IMG_4938.jpeg
IMG_4939.jpeg : https://ap12.ragic.com/sims/file.jsp?a=soutlet001&amp;f=E232DOgPuQ%40IMG_4939.jpeg
IMG_4940.jpeg : https://ap12.ragic.com/sims/file.jsp?a=soutlet001&amp;f=oslYmrIObd%40IMG_4940.jpeg
IMG_4941.jpeg : https://ap12.ragic.com/sims/file.jsp?a=soutlet001&amp;f=uYtgdNfD4C%40IMG_4941.jpeg
IMG_4942.jpeg : https://ap12.ragic.com/sims/file.jsp?a=soutlet001&amp;f=Y2wWkqFKX7%40IMG_4942.jpeg
IMG_4943.jpeg : https://ap12.ragic.com/sims/file.jsp?a=soutlet001&amp;f=hBjvNM0UY8%40IMG_4943.jpeg
IMG_4944.jpeg : https://ap12.ragic.com/sims/file.jsp?a=soutlet001&amp;f=M8Gho8tmCd%40IMG_4944.jpeg
IMG_4945.jpeg : https://ap12.ragic.com/sims/file.jsp?a=soutlet001&amp;f=WNrHRva37I%40IMG_4945.jpeg
IMG_4946.jpeg : https://ap12.ragic.com/sims/file.jsp?a=soutlet001&amp;f=O2RTqnEhTJ%40IMG_4946.jpeg
IMG_4947.jpeg : https://ap12.ragic.com/sims/file.jsp?a=soutlet001&amp;f=eLR84ndA0j%40IMG_4947.jpeg
</t>
  </si>
  <si>
    <t>矽利康已補</t>
  </si>
  <si>
    <t xml:space="preserve">84635_0.jpg : https://ap12.ragic.com/sims/file.jsp?a=soutlet001&amp;f=8rHgkYgrxG%4084635_0.jpg
84636_0.jpg : https://ap12.ragic.com/sims/file.jsp?a=soutlet001&amp;f=cUSL9JQJEg%4084636_0.jpg
84637_0.jpg : https://ap12.ragic.com/sims/file.jsp?a=soutlet001&amp;f=VMvOUXJY6D%4084637_0.jpg
84638_0.jpg : https://ap12.ragic.com/sims/file.jsp?a=soutlet001&amp;f=xsIjdfGzus%4084638_0.jpg
84639_0.jpg : https://ap12.ragic.com/sims/file.jsp?a=soutlet001&amp;f=jIGpww59ZV%4084639_0.jpg
84640_0.jpg : https://ap12.ragic.com/sims/file.jsp?a=soutlet001&amp;f=IxntvTuFP4%4084640_0.jpg
84641_0.jpg : https://ap12.ragic.com/sims/file.jsp?a=soutlet001&amp;f=BbFI3DocRE%4084641_0.jpg
84642_0.jpg : https://ap12.ragic.com/sims/file.jsp?a=soutlet001&amp;f=x4hFU3JQoF%4084642_0.jpg
84643_0.jpg : https://ap12.ragic.com/sims/file.jsp?a=soutlet001&amp;f=zG1ToH3oMX%4084643_0.jpg
84644_0.jpg : https://ap12.ragic.com/sims/file.jsp?a=soutlet001&amp;f=RESSmmW9na%4084644_0.jpg
84645_0.jpg : https://ap12.ragic.com/sims/file.jsp?a=soutlet001&amp;f=hneFwsclDA%4084645_0.jpg
84646_0.jpg : https://ap12.ragic.com/sims/file.jsp?a=soutlet001&amp;f=rMmudR1ZOT%4084646_0.jpg
</t>
  </si>
  <si>
    <t>608 門鈴ok</t>
  </si>
  <si>
    <t>806門鈴ok</t>
  </si>
  <si>
    <t xml:space="preserve">517 (目前空房)麻煩請協助將厚窗簾的勾勾勾上 並掛回 _x000D_
勾勾在辦公室 厚窗簾在辦公室外橘桶車內 謝謝 </t>
  </si>
  <si>
    <t xml:space="preserve">1000007344.jpg : https://ap12.ragic.com/sims/file.jsp?a=soutlet001&amp;f=CyhJPvQDe8%401000007344.jpg
1000007345.jpg : https://ap12.ragic.com/sims/file.jsp?a=soutlet001&amp;f=cLae7yrOfX%401000007345.jpg
</t>
  </si>
  <si>
    <t>517窗簾ok</t>
  </si>
  <si>
    <t xml:space="preserve">517窗簾ok.jpg : https://ap12.ragic.com/sims/file.jsp?a=soutlet001&amp;f=AP0N95D4Yl%40517%E7%AA%97%E7%B0%BEok.jpg
517窗簾ok2.jpg : https://ap12.ragic.com/sims/file.jsp?a=soutlet001&amp;f=JD0svWPwMi%40517%E7%AA%97%E7%B0%BEok2.jpg
</t>
  </si>
  <si>
    <t xml:space="preserve">511 (目前空房)麻煩請協助將厚窗簾的勾勾勾上 並掛回 _x000D_
勾勾在辦公室 厚窗簾在辦公室外橘桶車內 謝謝 </t>
  </si>
  <si>
    <t xml:space="preserve">1000007344.jpg : https://ap12.ragic.com/sims/file.jsp?a=soutlet001&amp;f=fxFenHtmZA%401000007344.jpg
1000007345.jpg : https://ap12.ragic.com/sims/file.jsp?a=soutlet001&amp;f=HrKN0UY1ld%401000007345.jpg
</t>
  </si>
  <si>
    <t>511窗簾ok</t>
  </si>
  <si>
    <t xml:space="preserve">511窗簾ok.jpg : https://ap12.ragic.com/sims/file.jsp?a=soutlet001&amp;f=EztGdDsJDx%40511%E7%AA%97%E7%B0%BEok.jpg
511窗簾ok-2.jpg : https://ap12.ragic.com/sims/file.jsp?a=soutlet001&amp;f=uopzSBKCip%40511%E7%AA%97%E7%B0%BEok-2.jpg
</t>
  </si>
  <si>
    <t xml:space="preserve">510 (目前空房) 麻煩請協助將厚窗簾的勾勾勾上 並掛回 _x000D_
勾勾在辦公室 厚窗簾在辦公室外橘桶車內 謝謝 </t>
  </si>
  <si>
    <t xml:space="preserve">1000007344.jpg : https://ap12.ragic.com/sims/file.jsp?a=soutlet001&amp;f=w3GIX0a0hm%401000007344.jpg
1000007345.jpg : https://ap12.ragic.com/sims/file.jsp?a=soutlet001&amp;f=UNjDLvVde9%401000007345.jpg
</t>
  </si>
  <si>
    <t>510窗簾ok</t>
  </si>
  <si>
    <t xml:space="preserve">510窗簾ok.jpg : https://ap12.ragic.com/sims/file.jsp?a=soutlet001&amp;f=7spMJfKPP4%40510%E7%AA%97%E7%B0%BEok.jpg
510窗簾ok-2.jpg : https://ap12.ragic.com/sims/file.jsp?a=soutlet001&amp;f=aig7L46z6I%40510%E7%AA%97%E7%B0%BEok-2.jpg
</t>
  </si>
  <si>
    <t xml:space="preserve">506 (目前空房)這四間麻煩請協助將厚窗簾的勾勾勾上 並掛回 _x000D_
勾勾在辦公室 厚窗簾在辦公室外橘桶車內 謝謝 </t>
  </si>
  <si>
    <t xml:space="preserve">1000007344.jpg : https://ap12.ragic.com/sims/file.jsp?a=soutlet001&amp;f=IxQzVQ04K6%401000007344.jpg
1000007345.jpg : https://ap12.ragic.com/sims/file.jsp?a=soutlet001&amp;f=DWUHDWCF24%401000007345.jpg
</t>
  </si>
  <si>
    <t>506 窗簾ok</t>
  </si>
  <si>
    <t>506 窗簾ok.jpg</t>
  </si>
  <si>
    <t xml:space="preserve">IMG_4930.jpeg : https://ap12.ragic.com/sims/file.jsp?a=soutlet001&amp;f=LvpF9KkPOX%40IMG_4930.jpeg
IMG_4931.jpeg : https://ap12.ragic.com/sims/file.jsp?a=soutlet001&amp;f=2iTqH5AKCZ%40IMG_4931.jpeg
IMG_4932.jpeg : https://ap12.ragic.com/sims/file.jsp?a=soutlet001&amp;f=ERfMP5sUWN%40IMG_4932.jpeg
</t>
  </si>
  <si>
    <t>717油漆完成</t>
  </si>
  <si>
    <t xml:space="preserve">86723_0.jpg : https://ap12.ragic.com/sims/file.jsp?a=soutlet001&amp;f=zWYBNqY6mb%4086723_0.jpg
86724_0.jpg : https://ap12.ragic.com/sims/file.jsp?a=soutlet001&amp;f=EOaUPc5Nvs%4086724_0.jpg
86725_0.jpg : https://ap12.ragic.com/sims/file.jsp?a=soutlet001&amp;f=NbQXG93Yuu%4086725_0.jpg
86726_0.jpg : https://ap12.ragic.com/sims/file.jsp?a=soutlet001&amp;f=13z5Aw8MOk%4086726_0.jpg
86727_0.jpg : https://ap12.ragic.com/sims/file.jsp?a=soutlet001&amp;f=3Aaqhfn820%4086727_0.jpg
86728_0.jpg : https://ap12.ragic.com/sims/file.jsp?a=soutlet001&amp;f=p7hnnV28tv%4086728_0.jpg
</t>
  </si>
  <si>
    <t>717門鈴ok</t>
  </si>
  <si>
    <t>513 厚窗簾已勾回勾勾 麻煩請協助掛回 有預進</t>
  </si>
  <si>
    <t>1000007331.jpg</t>
  </si>
  <si>
    <t>513 窗廉已裝上</t>
  </si>
  <si>
    <t>513 窗廉已裝上.jpg</t>
  </si>
  <si>
    <t>515 電視沒有電源 (補單)</t>
  </si>
  <si>
    <t>IMG_20260120_103723.jpg</t>
  </si>
  <si>
    <t>515 電視ok</t>
  </si>
  <si>
    <t>86662.jpg</t>
  </si>
  <si>
    <t xml:space="preserve">631 這面遮光簾下不來 </t>
  </si>
  <si>
    <t>1000007310.jpg</t>
  </si>
  <si>
    <t>631 電動窗簾ok_x000D_
631遮光簾處理完成</t>
  </si>
  <si>
    <t>86692.jpg</t>
  </si>
  <si>
    <t>619 客廳電話需更換電池 拿起來沒有嘟嘟聲</t>
  </si>
  <si>
    <t>1000007307.jpg</t>
  </si>
  <si>
    <t>619電話線脫落，已插上正常！完成</t>
  </si>
  <si>
    <t>619電話線脫落，已插上正常！完成.jpg</t>
  </si>
  <si>
    <t>浴室玻璃門_x000D_
1。無法密合_x000D_
2。玻璃門開啟關閉聲音非常巨大，需要調整。</t>
  </si>
  <si>
    <t>703淋浴玻璃門調整完成</t>
  </si>
  <si>
    <t>703洗手台已固定完成，有打矽力康，需要三小時才乾</t>
  </si>
  <si>
    <t>728盥洗用品架已更新完成</t>
  </si>
  <si>
    <t>728盥洗用品架已更新完成.jpg</t>
  </si>
  <si>
    <t>731門鈴調整完成</t>
  </si>
  <si>
    <t>卡住，下不來</t>
  </si>
  <si>
    <t>803浴簾已調整完成</t>
  </si>
  <si>
    <t>沒有門鈴聲</t>
  </si>
  <si>
    <t>730門鈴調整完成</t>
  </si>
  <si>
    <t>625 淋浴間門無法密合 有預進</t>
  </si>
  <si>
    <t>1000007306.jpg</t>
  </si>
  <si>
    <t>625調整完成</t>
  </si>
  <si>
    <t>625調整完成.jpg</t>
  </si>
  <si>
    <t>牆面油漆色差明顯,鏡面邊框灰色圖層不均勻</t>
  </si>
  <si>
    <t>323025f189e5c8fd33101172df30f0b7.png</t>
  </si>
  <si>
    <t>1/22 鏡框OK_x000D_
1/20 708 天花板&amp;牆面補漆完成</t>
  </si>
  <si>
    <t xml:space="preserve">86718_0.jpg : https://ap12.ragic.com/sims/file.jsp?a=soutlet001&amp;f=jjIJn4g50q%4086718_0.jpg
86719_0.jpg : https://ap12.ragic.com/sims/file.jsp?a=soutlet001&amp;f=6LwSTjpxOv%4086719_0.jpg
708 鏡面燈已補漆.jpg : https://ap12.ragic.com/sims/file.jsp?a=soutlet001&amp;f=81DwwcJWU4%40708+%E9%8F%A1%E9%9D%A2%E7%87%88%E5%B7%B2%E8%A3%9C%E6%BC%86.jpg
</t>
  </si>
  <si>
    <t>矽利康歐歐</t>
  </si>
  <si>
    <t>a0b0cdb7b394ac31cfa84c608d37e147.png</t>
  </si>
  <si>
    <t>720矽利康已修補。</t>
  </si>
  <si>
    <t xml:space="preserve">84716_0.jpg : https://ap12.ragic.com/sims/file.jsp?a=soutlet001&amp;f=VeLU2zFxEq%4084716_0.jpg
84717_0.jpg : https://ap12.ragic.com/sims/file.jsp?a=soutlet001&amp;f=Vx04vRX6qM%4084717_0.jpg
84718_0.jpg : https://ap12.ragic.com/sims/file.jsp?a=soutlet001&amp;f=51TrNpZPFr%4084718_0.jpg
84719_0.jpg : https://ap12.ragic.com/sims/file.jsp?a=soutlet001&amp;f=h6yLIPC267%4084719_0.jpg
84720_0.jpg : https://ap12.ragic.com/sims/file.jsp?a=soutlet001&amp;f=K3a1lnnPFV%4084720_0.jpg
84706_0.jpg : https://ap12.ragic.com/sims/file.jsp?a=soutlet001&amp;f=0cHpLoDXuB%4084706_0.jpg
84707_0.jpg : https://ap12.ragic.com/sims/file.jsp?a=soutlet001&amp;f=CAOuUfkVPU%4084707_0.jpg
84708_0.jpg : https://ap12.ragic.com/sims/file.jsp?a=soutlet001&amp;f=a3r9TysxNF%4084708_0.jpg
84709_0.jpg : https://ap12.ragic.com/sims/file.jsp?a=soutlet001&amp;f=XFBlxec0lj%4084709_0.jpg
84710_0.jpg : https://ap12.ragic.com/sims/file.jsp?a=soutlet001&amp;f=uvVPuVJk2Z%4084710_0.jpg
84711_0.jpg : https://ap12.ragic.com/sims/file.jsp?a=soutlet001&amp;f=DKyKzrQJJB%4084711_0.jpg
84712_0.jpg : https://ap12.ragic.com/sims/file.jsp?a=soutlet001&amp;f=gx3igEi2V6%4084712_0.jpg
84713_0.jpg : https://ap12.ragic.com/sims/file.jsp?a=soutlet001&amp;f=tdhOfWGUwb%4084713_0.jpg
84714_0.jpg : https://ap12.ragic.com/sims/file.jsp?a=soutlet001&amp;f=KcOlNRWuPQ%4084714_0.jpg
84715_0.jpg : https://ap12.ragic.com/sims/file.jsp?a=soutlet001&amp;f=dpNT6WbvCN%4084715_0.jpg
84716_0.jpg : https://ap12.ragic.com/sims/file.jsp?a=soutlet001&amp;f=JRXGynIhAQ%4084716_0.jpg
84717_0.jpg : https://ap12.ragic.com/sims/file.jsp?a=soutlet001&amp;f=0JsriWTwFL%4084717_0.jpg
84718_0.jpg : https://ap12.ragic.com/sims/file.jsp?a=soutlet001&amp;f=5uNCoYx4MS%4084718_0.jpg
84719_0.jpg : https://ap12.ragic.com/sims/file.jsp?a=soutlet001&amp;f=ADCBp2Vn9x%4084719_0.jpg
84720_0.jpg : https://ap12.ragic.com/sims/file.jsp?a=soutlet001&amp;f=yN9yn1zPLF%4084720_0.jpg
</t>
  </si>
  <si>
    <t>止水閥有鏽斑</t>
  </si>
  <si>
    <t>c8df25be97f86b8b696f171f92ec2e92.png</t>
  </si>
  <si>
    <t>720浴缸止水蓋已換</t>
  </si>
  <si>
    <t>有一個洞</t>
  </si>
  <si>
    <t>6426148be4233341708484705e988082.png</t>
  </si>
  <si>
    <t>720桌面補漆完成</t>
  </si>
  <si>
    <t>720桌面補漆完成.jpg</t>
  </si>
  <si>
    <t>天花板有掉漆現象、壁癌前兆</t>
  </si>
  <si>
    <t>2d8fa1e85320ab71dcaa8907e00d0928.png</t>
  </si>
  <si>
    <t>708補漆完成</t>
  </si>
  <si>
    <t xml:space="preserve">86714_0.jpg : https://ap12.ragic.com/sims/file.jsp?a=soutlet001&amp;f=7c9uc6jtqV%4086714_0.jpg
86715_0.jpg : https://ap12.ragic.com/sims/file.jsp?a=soutlet001&amp;f=PdNOafDaNX%4086715_0.jpg
86716_0.jpg : https://ap12.ragic.com/sims/file.jsp?a=soutlet001&amp;f=KfONOQr9uz%4086716_0.jpg
86717_0.jpg : https://ap12.ragic.com/sims/file.jsp?a=soutlet001&amp;f=mMvw594sKQ%4086717_0.jpg
86718_0.jpg : https://ap12.ragic.com/sims/file.jsp?a=soutlet001&amp;f=2AptAp5r9b%4086718_0.jpg
86719_0.jpg : https://ap12.ragic.com/sims/file.jsp?a=soutlet001&amp;f=4lyhlrY5SJ%4086719_0.jpg
</t>
  </si>
  <si>
    <t>逃生指示牌歪斜,已先口頭告知工程部</t>
  </si>
  <si>
    <t>0545e0af39eca38815394bc5b393c2ba.png</t>
  </si>
  <si>
    <t>9樓避難指示燈已調整好</t>
  </si>
  <si>
    <t xml:space="preserve">84583_0.jpg : https://ap12.ragic.com/sims/file.jsp?a=soutlet001&amp;f=BR4AQj6LvN%4084583_0.jpg
84584_0.jpg : https://ap12.ragic.com/sims/file.jsp?a=soutlet001&amp;f=kppmn2gIGn%4084584_0.jpg
</t>
  </si>
  <si>
    <t>b2f7a20c0bb56fc835fde074912407c4.png</t>
  </si>
  <si>
    <t>925門框下方補漆完成</t>
  </si>
  <si>
    <t>925門框下方補漆完成.jpg</t>
  </si>
  <si>
    <t>20260119-011</t>
  </si>
  <si>
    <t>98fd3e222cb98f17551555abee15b4c9.png</t>
  </si>
  <si>
    <t>整片門扇要重新油漆，缺亮光黑漆</t>
  </si>
  <si>
    <t>121600e1fe11efccf77e8a6e99c20153.png</t>
  </si>
  <si>
    <t>725門框補漆完成</t>
  </si>
  <si>
    <t>725門框補漆完成.jpg</t>
  </si>
  <si>
    <t>0d03b65335165de9f7b553f1f40148e1.png</t>
  </si>
  <si>
    <t>709門框下方補漆完成</t>
  </si>
  <si>
    <t>709門框下方補漆完成.jpg</t>
  </si>
  <si>
    <t>d650ebb406e8694b7c686ef2d888ca9a.png</t>
  </si>
  <si>
    <t xml:space="preserve">6樓員工梯廳牆面已補漆_x000D_
</t>
  </si>
  <si>
    <t>20260119-007</t>
  </si>
  <si>
    <t>客梯/1F-10F客梯廳</t>
  </si>
  <si>
    <t>68d26a8ff9bc066d103cf341996af8fb.png</t>
  </si>
  <si>
    <t>現場技術員勘查味道已散</t>
  </si>
  <si>
    <t>5樓不時有沼氣味，問題未解決</t>
  </si>
  <si>
    <t>油漆</t>
  </si>
  <si>
    <t>dc63b08acdcf9546ce98ba8c565df575.png</t>
  </si>
  <si>
    <t>827面板下方油漆完成</t>
  </si>
  <si>
    <t>827面板下方油漆完成.jpg</t>
  </si>
  <si>
    <t>桌子補漆</t>
  </si>
  <si>
    <t>133b24af8187a691ffa66f0a39d790bd.png</t>
  </si>
  <si>
    <t>827桌面補漆完成</t>
  </si>
  <si>
    <t>827桌面補漆完成.jpg</t>
  </si>
  <si>
    <t>酒吧廁所外天花</t>
  </si>
  <si>
    <t>58604538ab75e390c6b749af1b7fd768.png</t>
  </si>
  <si>
    <t>四樓酒吧廁所外天花板油漆完成</t>
  </si>
  <si>
    <t>四樓酒吧廁所外天花板油漆完成.jpg</t>
  </si>
  <si>
    <t>健身房門外天花板</t>
  </si>
  <si>
    <t>ad8b0af901fbdf7f2792c8c6c2e35ca5.png</t>
  </si>
  <si>
    <t>九樓健身房外天花板出風口清潔完成</t>
  </si>
  <si>
    <t xml:space="preserve">九樓健身房外天花板出風口清潔完成-1.jpg : https://ap12.ragic.com/sims/file.jsp?a=soutlet001&amp;f=0cWGZQXPbP%40%E4%B9%9D%E6%A8%93%E5%81%A5%E8%BA%AB%E6%88%BF%E5%A4%96%E5%A4%A9%E8%8A%B1%E6%9D%BF%E5%87%BA%E9%A2%A8%E5%8F%A3%E6%B8%85%E6%BD%94%E5%AE%8C%E6%88%90-1.jpg
九樓健身房外天花板出風口清潔完成-2.jpg : https://ap12.ragic.com/sims/file.jsp?a=soutlet001&amp;f=gsXqCFuP2D%40%E4%B9%9D%E6%A8%93%E5%81%A5%E8%BA%AB%E6%88%BF%E5%A4%96%E5%A4%A9%E8%8A%B1%E6%9D%BF%E5%87%BA%E9%A2%A8%E5%8F%A3%E6%B8%85%E6%BD%94%E5%AE%8C%E6%88%90-2.jpg
</t>
  </si>
  <si>
    <t>5 樓員工樓梯廳</t>
  </si>
  <si>
    <t>逃生梯巡視清潔與維護</t>
  </si>
  <si>
    <t>2be1e1dd5b68a8e9163d96d062fef140.png</t>
  </si>
  <si>
    <t>A梯五樓下四樓的轉角處，油漆完成</t>
  </si>
  <si>
    <t>A梯五樓下四樓的轉角處，油漆完成.jpg</t>
  </si>
  <si>
    <t>B1 巡視酒店後場清潔與維護</t>
  </si>
  <si>
    <t>942aaee566e59f3c0aa2cd3add81ee56.png</t>
  </si>
  <si>
    <t xml:space="preserve">B1廁所門口天花板已更新完成.jpg : https://ap12.ragic.com/sims/file.jsp?a=soutlet001&amp;f=2kXc5e006x%40B1%E5%BB%81%E6%89%80%E9%96%80%E5%8F%A3%E5%A4%A9%E8%8A%B1%E6%9D%BF%E5%B7%B2%E6%9B%B4%E6%96%B0%E5%AE%8C%E6%88%90.jpg
9BCEA531-CA17-4BF8-B0BC-0D3EEB4681D1.jpg : https://ap12.ragic.com/sims/file.jsp?a=soutlet001&amp;f=3K9prrKSiz%409BCEA531-CA17-4BF8-B0BC-0D3EEB4681D1.jpg
</t>
  </si>
  <si>
    <t>馬桶上方坎燈不亮</t>
  </si>
  <si>
    <t>IMG_4344.jpeg</t>
  </si>
  <si>
    <t>822馬桶上方崁燈已更新完成</t>
  </si>
  <si>
    <t>822馬桶上方崁燈已更新完成.jpg</t>
  </si>
  <si>
    <t>918 床左側的燈罩有破損 (補單)</t>
  </si>
  <si>
    <t xml:space="preserve">IMG_20260118_114351.jpg : https://ap12.ragic.com/sims/file.jsp?a=soutlet001&amp;f=PW9eY8Wxlq%40IMG_20260118_114351.jpg
IMG_20260118_114337.jpg : https://ap12.ragic.com/sims/file.jsp?a=soutlet001&amp;f=81oLrRfVri%40IMG_20260118_114337.jpg
</t>
  </si>
  <si>
    <t>918更換完成</t>
  </si>
  <si>
    <t>918更換完成.jpg</t>
  </si>
  <si>
    <t>客人告知房間沒熱水</t>
  </si>
  <si>
    <t>客人已未反映無熱水狀況</t>
  </si>
  <si>
    <t>客致電告知浴室門無法打開</t>
  </si>
  <si>
    <t>717浴室門已處理完成。</t>
  </si>
  <si>
    <t>反應不夠冷</t>
  </si>
  <si>
    <t>810出風口19度，床頭22度</t>
  </si>
  <si>
    <t xml:space="preserve">810出風口19度，床頭22度.jpg : https://ap12.ragic.com/sims/file.jsp?a=soutlet001&amp;f=sXSQjLJBj5%40810%E5%87%BA%E9%A2%A8%E5%8F%A319%E5%BA%A6%EF%BC%8C%E5%BA%8A%E9%A0%AD22%E5%BA%A6.jpg
86457.jpg : https://ap12.ragic.com/sims/file.jsp?a=soutlet001&amp;f=pzLhtMQEPu%4086457.jpg
86456.jpg : https://ap12.ragic.com/sims/file.jsp?a=soutlet001&amp;f=rA8fVXTqZW%4086456.jpg
</t>
  </si>
  <si>
    <t>關起來有一道 縫隙 關不緊</t>
  </si>
  <si>
    <t>810浴室門調整完成</t>
  </si>
  <si>
    <t xml:space="preserve">810浴室門調整完成.jpg : https://ap12.ragic.com/sims/file.jsp?a=soutlet001&amp;f=m568QyKpoZ%40810%E6%B5%B4%E5%AE%A4%E9%96%80%E8%AA%BF%E6%95%B4%E5%AE%8C%E6%88%90.jpg
810浴室門調整完成2.jpg : https://ap12.ragic.com/sims/file.jsp?a=soutlet001&amp;f=cNYdnK5yBA%40810%E6%B5%B4%E5%AE%A4%E9%96%80%E8%AA%BF%E6%95%B4%E5%AE%8C%E6%88%902.jpg
</t>
  </si>
  <si>
    <t>電視無法恢復狀態</t>
  </si>
  <si>
    <t>IMG_4302.jpeg</t>
  </si>
  <si>
    <t>720電視更新完成</t>
  </si>
  <si>
    <t>720電視更新完成.jpg</t>
  </si>
  <si>
    <t>淋浴間矽利康重打、房門旁牆面要油漆，下方插座需要固定、靠窗天花板要補土補漆</t>
  </si>
  <si>
    <t xml:space="preserve">1/21 矽利康，油漆修補及插座固定已完成。_x000D_
1/20 目前完成客房門旁的牆面油漆_x000D_
</t>
  </si>
  <si>
    <t xml:space="preserve">84786_0.jpg : https://ap12.ragic.com/sims/file.jsp?a=soutlet001&amp;f=npGHAdgJEu%4084786_0.jpg
84787_0.jpg : https://ap12.ragic.com/sims/file.jsp?a=soutlet001&amp;f=7xYLCzIGyD%4084787_0.jpg
84788_0.jpg : https://ap12.ragic.com/sims/file.jsp?a=soutlet001&amp;f=VlabkMNskG%4084788_0.jpg
84789_0.jpg : https://ap12.ragic.com/sims/file.jsp?a=soutlet001&amp;f=8PZ3bLMDM4%4084789_0.jpg
84790_0.jpg : https://ap12.ragic.com/sims/file.jsp?a=soutlet001&amp;f=hrTbAHFWjt%4084790_0.jpg
84791_0.jpg : https://ap12.ragic.com/sims/file.jsp?a=soutlet001&amp;f=inn96B9hE5%4084791_0.jpg
84792_0.jpg : https://ap12.ragic.com/sims/file.jsp?a=soutlet001&amp;f=IUTvmSEr3e%4084792_0.jpg
84793_0.jpg : https://ap12.ragic.com/sims/file.jsp?a=soutlet001&amp;f=eepacgl2Mk%4084793_0.jpg
84794_0.jpg : https://ap12.ragic.com/sims/file.jsp?a=soutlet001&amp;f=I4TUGL1Yqx%4084794_0.jpg
</t>
  </si>
  <si>
    <t>709浴簾調整完成</t>
  </si>
  <si>
    <t>門鈴聲音很小聲</t>
  </si>
  <si>
    <t>621門鈴調整完成</t>
  </si>
  <si>
    <t>客房門不能自動關上</t>
  </si>
  <si>
    <t>613調整完成</t>
  </si>
  <si>
    <t>吸塵器不過電</t>
  </si>
  <si>
    <t>黃副理已修裡完成</t>
  </si>
  <si>
    <t>洗手槽：水龍頭座會移動</t>
  </si>
  <si>
    <t>1017洗手台水龍頭固定完成</t>
  </si>
  <si>
    <t>電話話機零件鬆動</t>
  </si>
  <si>
    <t>911電話機內鐵片固定完成</t>
  </si>
  <si>
    <t>20260116-005</t>
  </si>
  <si>
    <t>缺兩個裝飾扣</t>
  </si>
  <si>
    <t xml:space="preserve">下週二 3/10 可安排送貨 </t>
  </si>
  <si>
    <t>蓮蓬頭裝飾蓋：鬆開</t>
  </si>
  <si>
    <t>IMG_4228.jpeg</t>
  </si>
  <si>
    <t>1030蓮蓬頭修飾蓋調整完成</t>
  </si>
  <si>
    <t>窗簾需要調整</t>
  </si>
  <si>
    <t>921已調整好</t>
  </si>
  <si>
    <t>IMG_4220.jpeg</t>
  </si>
  <si>
    <t>921門擋片已黏上</t>
  </si>
  <si>
    <t>86322.jpg</t>
  </si>
  <si>
    <t>701廁所壁燈不亮_x000D_
麻煩檢查一下</t>
  </si>
  <si>
    <t xml:space="preserve">IMG_9749.jpeg : https://ap12.ragic.com/sims/file.jsp?a=soutlet001&amp;f=GSTLtmNBuu%40IMG_9749.jpeg
IMG_9750.jpeg : https://ap12.ragic.com/sims/file.jsp?a=soutlet001&amp;f=DeY4ejKKlx%40IMG_9750.jpeg
</t>
  </si>
  <si>
    <t>壁燈都亮著，不會熄</t>
  </si>
  <si>
    <t>707 門鈴單音</t>
  </si>
  <si>
    <t>707門鈴已調整完成</t>
  </si>
  <si>
    <t>726 電話需更換電池 拿起來沒有嘟嘟聲 重設也一樣 有預進</t>
  </si>
  <si>
    <t>726電池已更換，測試正常完成</t>
  </si>
  <si>
    <t>86189.jpg</t>
  </si>
  <si>
    <t xml:space="preserve">707 退房 床頭吊燈罩破 </t>
  </si>
  <si>
    <t>1000007200.jpg</t>
  </si>
  <si>
    <t>707床頭燈罩已更新完成</t>
  </si>
  <si>
    <t>86174.jpg</t>
  </si>
  <si>
    <t>矽利康發霉 + 客房牆面補漆</t>
  </si>
  <si>
    <t xml:space="preserve">IMG_4830.jpeg : https://ap12.ragic.com/sims/file.jsp?a=soutlet001&amp;f=KyNtuaUidQ%40IMG_4830.jpeg
IMG_4831.jpeg : https://ap12.ragic.com/sims/file.jsp?a=soutlet001&amp;f=eoiAu7V83V%40IMG_4831.jpeg
IMG_4832.jpeg : https://ap12.ragic.com/sims/file.jsp?a=soutlet001&amp;f=kcgGKEofQm%40IMG_4832.jpeg
IMG_4833.jpeg : https://ap12.ragic.com/sims/file.jsp?a=soutlet001&amp;f=11Vndl6NuE%40IMG_4833.jpeg
IMG_4834.jpeg : https://ap12.ragic.com/sims/file.jsp?a=soutlet001&amp;f=Y0cPV0sXCP%40IMG_4834.jpeg
IMG_4836.jpeg : https://ap12.ragic.com/sims/file.jsp?a=soutlet001&amp;f=NCzOeSX44G%40IMG_4836.jpeg
IMG_4835.jpeg : https://ap12.ragic.com/sims/file.jsp?a=soutlet001&amp;f=O9HQOzkqW2%40IMG_4835.jpeg
</t>
  </si>
  <si>
    <t>矽利康已重補</t>
  </si>
  <si>
    <t xml:space="preserve">84255_0.jpg : https://ap12.ragic.com/sims/file.jsp?a=soutlet001&amp;f=Gwlol9EQwE%4084255_0.jpg
84256_0.jpg : https://ap12.ragic.com/sims/file.jsp?a=soutlet001&amp;f=5ZcLvZg4st%4084256_0.jpg
84257_0.jpg : https://ap12.ragic.com/sims/file.jsp?a=soutlet001&amp;f=htLuZ3maR1%4084257_0.jpg
84258_0.jpg : https://ap12.ragic.com/sims/file.jsp?a=soutlet001&amp;f=fAg6BIbShk%4084258_0.jpg
84259_0.jpg : https://ap12.ragic.com/sims/file.jsp?a=soutlet001&amp;f=FSH43E0V7O%4084259_0.jpg
84260_0.jpg : https://ap12.ragic.com/sims/file.jsp?a=soutlet001&amp;f=KMvNEaewqv%4084260_0.jpg
84261_0.jpg : https://ap12.ragic.com/sims/file.jsp?a=soutlet001&amp;f=XOvB2KEQT1%4084261_0.jpg
</t>
  </si>
  <si>
    <t>矽利康發霉 + 客房牆面補漆巡檢</t>
  </si>
  <si>
    <t xml:space="preserve">IMG_4820.jpeg : https://ap12.ragic.com/sims/file.jsp?a=soutlet001&amp;f=Iy9e0nte9p%40IMG_4820.jpeg
IMG_4821.jpeg : https://ap12.ragic.com/sims/file.jsp?a=soutlet001&amp;f=ihBsFz7rNy%40IMG_4821.jpeg
IMG_4822.jpeg : https://ap12.ragic.com/sims/file.jsp?a=soutlet001&amp;f=MwvUB4Wlxs%40IMG_4822.jpeg
IMG_4823.jpeg : https://ap12.ragic.com/sims/file.jsp?a=soutlet001&amp;f=RcunH77ScC%40IMG_4823.jpeg
IMG_4824.jpeg : https://ap12.ragic.com/sims/file.jsp?a=soutlet001&amp;f=en5DgNO504%40IMG_4824.jpeg
IMG_4825.jpeg : https://ap12.ragic.com/sims/file.jsp?a=soutlet001&amp;f=ixhPyWe3e8%40IMG_4825.jpeg
IMG_4826.jpeg : https://ap12.ragic.com/sims/file.jsp?a=soutlet001&amp;f=q6i4JxvnAu%40IMG_4826.jpeg
IMG_4827.jpeg : https://ap12.ragic.com/sims/file.jsp?a=soutlet001&amp;f=knMSVBhIIq%40IMG_4827.jpeg
IMG_4829.jpeg : https://ap12.ragic.com/sims/file.jsp?a=soutlet001&amp;f=e2FK7qdSmo%40IMG_4829.jpeg
</t>
  </si>
  <si>
    <t>已重補矽利康和補漆完成</t>
  </si>
  <si>
    <t xml:space="preserve">84112_0.jpg : https://ap12.ragic.com/sims/file.jsp?a=soutlet001&amp;f=bl5O1YIRjI%4084112_0.jpg
84113_0.jpg : https://ap12.ragic.com/sims/file.jsp?a=soutlet001&amp;f=MuGTfjJ6Jc%4084113_0.jpg
84114_0.jpg : https://ap12.ragic.com/sims/file.jsp?a=soutlet001&amp;f=zNv0oK5RWD%4084114_0.jpg
84115_0.jpg : https://ap12.ragic.com/sims/file.jsp?a=soutlet001&amp;f=2LwPT30iCY%4084115_0.jpg
84116_0.jpg : https://ap12.ragic.com/sims/file.jsp?a=soutlet001&amp;f=kFbKoU8zCa%4084116_0.jpg
84117_0.jpg : https://ap12.ragic.com/sims/file.jsp?a=soutlet001&amp;f=zgS5njTrZF%4084117_0.jpg
84118_0.jpg : https://ap12.ragic.com/sims/file.jsp?a=soutlet001&amp;f=x3hPCymPCj%4084118_0.jpg
84119_0.jpg : https://ap12.ragic.com/sims/file.jsp?a=soutlet001&amp;f=FOOiRTG4zV%4084119_0.jpg
84120_0.jpg : https://ap12.ragic.com/sims/file.jsp?a=soutlet001&amp;f=8LDgsHMIxF%4084120_0.jpg
84121_0.jpg : https://ap12.ragic.com/sims/file.jsp?a=soutlet001&amp;f=XJx6MxyBNG%4084121_0.jpg
84122_0.jpg : https://ap12.ragic.com/sims/file.jsp?a=soutlet001&amp;f=0pfJoLx87A%4084122_0.jpg
84123_0.jpg : https://ap12.ragic.com/sims/file.jsp?a=soutlet001&amp;f=0Bf2ZrdpNp%4084123_0.jpg
84124_0.jpg : https://ap12.ragic.com/sims/file.jsp?a=soutlet001&amp;f=wzkfv3O4ZJ%4084124_0.jpg
</t>
  </si>
  <si>
    <t>928 要更換沐浴架下的墊片 有預進</t>
  </si>
  <si>
    <t>1000007199.jpg</t>
  </si>
  <si>
    <t>928盥洗用品架已更新完成</t>
  </si>
  <si>
    <t>928 體重計上方櫃子 木皮裂開 有預進</t>
  </si>
  <si>
    <t>1000007198.jpg</t>
  </si>
  <si>
    <t>保險箱旁木櫃補漆完成</t>
  </si>
  <si>
    <t>86172.jpg</t>
  </si>
  <si>
    <t xml:space="preserve">708 暖氣之前開最大 之後沒有調回來 現在溫度降不下來 </t>
  </si>
  <si>
    <t>1000007196.jpg</t>
  </si>
  <si>
    <t>708出風口19度床頭24度，熱水二通閥壞了，更新完成</t>
  </si>
  <si>
    <t xml:space="preserve">86183_0.jpg : https://ap12.ragic.com/sims/file.jsp?a=soutlet001&amp;f=PzJP9lO5GN%4086183_0.jpg
86184_0.jpg : https://ap12.ragic.com/sims/file.jsp?a=soutlet001&amp;f=RrKatPoAYX%4086184_0.jpg
86185.jpg : https://ap12.ragic.com/sims/file.jsp?a=soutlet001&amp;f=ODr4D0vfl4%4086185.jpg
</t>
  </si>
  <si>
    <t>828 洗沐浴架子下墊要更換 有預進</t>
  </si>
  <si>
    <t>1000007170.jpg</t>
  </si>
  <si>
    <t>828盥洗用品架更新完成</t>
  </si>
  <si>
    <t>86053.jpg</t>
  </si>
  <si>
    <t>918 客人反應 靠近窗戶的吊燈 無法正常關閉 客人晚上才回來 再麻煩了 謝謝</t>
  </si>
  <si>
    <t>918 已處理完成</t>
  </si>
  <si>
    <t>客人反映浴室馬桶沖水時會濺水出來</t>
  </si>
  <si>
    <t>1029 馬桶已通</t>
  </si>
  <si>
    <t>1029 馬桶已通.jpg</t>
  </si>
  <si>
    <t xml:space="preserve">HKTOKF </t>
  </si>
  <si>
    <t>R603 工單:浴簾卡住  (補單)</t>
  </si>
  <si>
    <t>IMG_20260113_095512.jpg</t>
  </si>
  <si>
    <t>603維修完成。</t>
  </si>
  <si>
    <t>603維修完成.jpg</t>
  </si>
  <si>
    <t>930客人反應房間太熱，請去房間內協助檢查空調，客人在房間等</t>
  </si>
  <si>
    <t>930 目前出風口溫度16度，室溫21度。_x000D_
面板溫度有下降，持續觀察中。</t>
  </si>
  <si>
    <t xml:space="preserve">930 目前出風口溫度16度，室溫21度。(1).jpg : https://ap12.ragic.com/sims/file.jsp?a=soutlet001&amp;f=BxGuIFTmDN%40930+%E7%9B%AE%E5%89%8D%E5%87%BA%E9%A2%A8%E5%8F%A3%E6%BA%AB%E5%BA%A616%E5%BA%A6%EF%BC%8C%E5%AE%A4%E6%BA%AB21%E5%BA%A6%E3%80%82%281%29.jpg
930 目前出風口溫度16度，室溫21度。(2).jpg : https://ap12.ragic.com/sims/file.jsp?a=soutlet001&amp;f=LEnW1eBU5d%40930+%E7%9B%AE%E5%89%8D%E5%87%BA%E9%A2%A8%E5%8F%A3%E6%BA%AB%E5%BA%A616%E5%BA%A6%EF%BC%8C%E5%AE%A4%E6%BA%AB21%E5%BA%A6%E3%80%82%282%29.jpg
</t>
  </si>
  <si>
    <t>620 保險箱沒電</t>
  </si>
  <si>
    <t xml:space="preserve">1000007154.jpg : https://ap12.ragic.com/sims/file.jsp?a=soutlet001&amp;f=VDYpFPkWYK%401000007154.jpg
1000007155.jpg : https://ap12.ragic.com/sims/file.jsp?a=soutlet001&amp;f=mRZiCskbAa%401000007155.jpg
</t>
  </si>
  <si>
    <t>620 保險箱電池已更換</t>
  </si>
  <si>
    <t>620 保險箱電池已更換.jpg</t>
  </si>
  <si>
    <t>707 浴簾卡住</t>
  </si>
  <si>
    <t>1000007153.jpg</t>
  </si>
  <si>
    <t>707 浴簾已修復</t>
  </si>
  <si>
    <t>707 浴簾已修復.jpg</t>
  </si>
  <si>
    <t>客房門需要更換電池</t>
  </si>
  <si>
    <t>917電池已更換完成</t>
  </si>
  <si>
    <t>917電池已更換完成.jpg</t>
  </si>
  <si>
    <t>冷氣出風口灰塵</t>
  </si>
  <si>
    <t>701624b8cfdfee020ef7c0b999f1329b.png</t>
  </si>
  <si>
    <t>711出風口已清潔</t>
  </si>
  <si>
    <t xml:space="preserve">83890_0.jpg : https://ap12.ragic.com/sims/file.jsp?a=soutlet001&amp;f=bokWPVX6ji%4083890_0.jpg
83891_0.jpg : https://ap12.ragic.com/sims/file.jsp?a=soutlet001&amp;f=qgNk2vrEaf%4083891_0.jpg
83892_0.jpg : https://ap12.ragic.com/sims/file.jsp?a=soutlet001&amp;f=2HsnBldVKd%4083892_0.jpg
</t>
  </si>
  <si>
    <t xml:space="preserve">牆面髒_x000D_
</t>
  </si>
  <si>
    <t>d30a1fad09d8c0b073397fd8ad056ac3.png</t>
  </si>
  <si>
    <t>709補漆完成。</t>
  </si>
  <si>
    <t xml:space="preserve">83895_0.jpg : https://ap12.ragic.com/sims/file.jsp?a=soutlet001&amp;f=zhGrp7vaoI%4083895_0.jpg
83896_0.jpg : https://ap12.ragic.com/sims/file.jsp?a=soutlet001&amp;f=xrsW9z5U8h%4083896_0.jpg
83897_0.jpg : https://ap12.ragic.com/sims/file.jsp?a=soutlet001&amp;f=4xiXfqgXnG%4083897_0.jpg
83898_0.jpg : https://ap12.ragic.com/sims/file.jsp?a=soutlet001&amp;f=YTCDXa89lu%4083898_0.jpg
83899_0.jpg : https://ap12.ragic.com/sims/file.jsp?a=soutlet001&amp;f=pD9tRSjjNo%4083899_0.jpg
</t>
  </si>
  <si>
    <t>20260112-011</t>
  </si>
  <si>
    <t>櫃子及衣櫃有破損</t>
  </si>
  <si>
    <t>30d79c5917e49e62f1a0c5d31e66a9fb.png</t>
  </si>
  <si>
    <t xml:space="preserve">黃色的麥克油漆筆點漆已到貨，黃色麥克筆無法蓋過木頭棕色_x000D_
</t>
  </si>
  <si>
    <t>櫃子有破損</t>
  </si>
  <si>
    <t>6c1829000f7d4359ccab4091fd5c865b.png</t>
  </si>
  <si>
    <t>711補漆完成</t>
  </si>
  <si>
    <t xml:space="preserve">83901_0.jpg : https://ap12.ragic.com/sims/file.jsp?a=soutlet001&amp;f=XRLC40GsUA%4083901_0.jpg
83902_0.jpg : https://ap12.ragic.com/sims/file.jsp?a=soutlet001&amp;f=sKZkYkSNa8%4083902_0.jpg
</t>
  </si>
  <si>
    <t>表面破損</t>
  </si>
  <si>
    <t>5ad3b97adf1c8403e73dc76f12547093.png</t>
  </si>
  <si>
    <t>711補漆已完成</t>
  </si>
  <si>
    <t>1015 1016 房門刮傷明顯</t>
  </si>
  <si>
    <t>9b9cb5b4a0befa9787ffd46942107e45.png</t>
  </si>
  <si>
    <t>已補完</t>
  </si>
  <si>
    <t xml:space="preserve">1015 門框已補漆-1.jpg : https://ap12.ragic.com/sims/file.jsp?a=soutlet001&amp;f=58VV86LnDH%401015+%E9%96%80%E6%A1%86%E5%B7%B2%E8%A3%9C%E6%BC%86-1.jpg
1015 門框已補漆-2.jpg : https://ap12.ragic.com/sims/file.jsp?a=soutlet001&amp;f=kp0ESNPpBV%401015+%E9%96%80%E6%A1%86%E5%B7%B2%E8%A3%9C%E6%BC%86-2.jpg
</t>
  </si>
  <si>
    <t>20260112-007</t>
  </si>
  <si>
    <t>面對客梯左手邊 把手破損及刮傷</t>
  </si>
  <si>
    <t>8e4a2ad4a7d51a404a7c3c3d32d0e5e6.png</t>
  </si>
  <si>
    <t>櫃台經理AMBER跟採購轉達先不做。</t>
  </si>
  <si>
    <t>20260112-006</t>
  </si>
  <si>
    <t>面對客梯右手邊 把手破損</t>
  </si>
  <si>
    <t>c9ded305e1b3910d94fbddbf17266cdb.png</t>
  </si>
  <si>
    <t>8F D區 逃生梯 燈沒亮</t>
  </si>
  <si>
    <t>2ae971c0a5b226ec3464b9e412d30f52.png</t>
  </si>
  <si>
    <t>8 樓D梯逃生梯電燈更換</t>
  </si>
  <si>
    <t>8 樓D梯逃生梯電燈更換.jpg</t>
  </si>
  <si>
    <t>8F A區 逃生梯 燈閃爍</t>
  </si>
  <si>
    <t>fe806036a6e447da69257cda297a88be.png</t>
  </si>
  <si>
    <t>8F A區 逃生梯 靠近倉庫 燈沒亮</t>
  </si>
  <si>
    <t>鏡框下方有圓形傷痕掉漆</t>
  </si>
  <si>
    <t>b3ee80b5e14c6d64025eea9fe26bffb0.png</t>
  </si>
  <si>
    <t>Jenny</t>
  </si>
  <si>
    <t>抽屜有傷痕掉漆</t>
  </si>
  <si>
    <t>7d634544211da6e461f125e6f17f3547.png</t>
  </si>
  <si>
    <t>20260111-007</t>
  </si>
  <si>
    <t>FB Oscar</t>
  </si>
  <si>
    <t>地磚斷裂 踩到會突起</t>
  </si>
  <si>
    <t>1000017169.jpg</t>
  </si>
  <si>
    <t>副理告知須找廠商進場修復</t>
  </si>
  <si>
    <t>1022漏水 少止漏墊片 (補單)</t>
  </si>
  <si>
    <t>1768118980979.jpg</t>
  </si>
  <si>
    <t>1022水管已裝小濾網，止漏完成</t>
  </si>
  <si>
    <t>聽筒沒聲音</t>
  </si>
  <si>
    <t>620測試是正常</t>
  </si>
  <si>
    <t>803 淋浴間門無法關緊 有預進</t>
  </si>
  <si>
    <t>1000007144.jpg</t>
  </si>
  <si>
    <t>803淋浴門調整完成</t>
  </si>
  <si>
    <t>807 門鈴沒聲音</t>
  </si>
  <si>
    <t>807門鈴調整完成</t>
  </si>
  <si>
    <t>水管滲漏</t>
  </si>
  <si>
    <t>916蓮蓬頭水管修復完成</t>
  </si>
  <si>
    <t>出風口膠帶移除</t>
  </si>
  <si>
    <t>930出風口膠帶已拆除</t>
  </si>
  <si>
    <t>客房門無法保持開啟</t>
  </si>
  <si>
    <t>616 門鈴單音 有預進</t>
  </si>
  <si>
    <t>616門鈴調整完成</t>
  </si>
  <si>
    <t>617 門鈴沒聲音 有預進</t>
  </si>
  <si>
    <t>617門鈴調整完成</t>
  </si>
  <si>
    <t>620 貓眼卡住 有預進</t>
  </si>
  <si>
    <t>1000007126.jpg</t>
  </si>
  <si>
    <t>620貓眼調整完成</t>
  </si>
  <si>
    <t>620貓眼調整完成.jpg</t>
  </si>
  <si>
    <t>829門鈴調整完成</t>
  </si>
  <si>
    <t>521 門鈴單音 有預進</t>
  </si>
  <si>
    <t>521門鈴調整完成</t>
  </si>
  <si>
    <t>洗手台水龍頭歪了</t>
  </si>
  <si>
    <t>IMG_9708.jpeg</t>
  </si>
  <si>
    <t>1016調整完成</t>
  </si>
  <si>
    <t>1016調整完成.jpg</t>
  </si>
  <si>
    <t>505 門鈴單音 有預進</t>
  </si>
  <si>
    <t>505門鈴調整完成</t>
  </si>
  <si>
    <t>洗手台上方燈不亮</t>
  </si>
  <si>
    <t>IMG_9706.jpeg</t>
  </si>
  <si>
    <t>1016洗手台上方燈泡更新完成</t>
  </si>
  <si>
    <t>1016洗手台上方燈泡更新完成.jpg</t>
  </si>
  <si>
    <t>20260110-001</t>
  </si>
  <si>
    <t>無法彈起</t>
  </si>
  <si>
    <t>房務員自已弄好了，不用去</t>
  </si>
  <si>
    <t xml:space="preserve">客人反映房內有油煙味，請協助查詢_x000D_
</t>
  </si>
  <si>
    <t>509 有至房間檢查了，油煙味有稍微些，把房內空調降低了，還有味道就可能要換房</t>
  </si>
  <si>
    <t>客人反應房間有點熱，請協助查詢</t>
  </si>
  <si>
    <t>713出風口19度，床頭22度</t>
  </si>
  <si>
    <t xml:space="preserve">713出風口19度，床頭22度 (1).jpg : https://ap12.ragic.com/sims/file.jsp?a=soutlet001&amp;f=eAIgfxK9QL%40713%E5%87%BA%E9%A2%A8%E5%8F%A319%E5%BA%A6%EF%BC%8C%E5%BA%8A%E9%A0%AD22%E5%BA%A6+%281%29.jpg
713出風口19度，床頭22度.jpg : https://ap12.ragic.com/sims/file.jsp?a=soutlet001&amp;f=pCOxYpVP7o%40713%E5%87%BA%E9%A2%A8%E5%8F%A319%E5%BA%A6%EF%BC%8C%E5%BA%8A%E9%A0%AD22%E5%BA%A6.jpg
</t>
  </si>
  <si>
    <t>矽利康發霉</t>
  </si>
  <si>
    <t xml:space="preserve">IMG_4712.jpeg : https://ap12.ragic.com/sims/file.jsp?a=soutlet001&amp;f=gvy4R5bHIU%40IMG_4712.jpeg
IMG_4711.jpeg : https://ap12.ragic.com/sims/file.jsp?a=soutlet001&amp;f=TRKXCzydeh%40IMG_4711.jpeg
IMG_4710.jpeg : https://ap12.ragic.com/sims/file.jsp?a=soutlet001&amp;f=E8sRTRLEuV%40IMG_4710.jpeg
IMG_4709.jpeg : https://ap12.ragic.com/sims/file.jsp?a=soutlet001&amp;f=lXDBCAd0jb%40IMG_4709.jpeg
IMG_4708.jpeg : https://ap12.ragic.com/sims/file.jsp?a=soutlet001&amp;f=xehpJf3uBq%40IMG_4708.jpeg
IMG_4707.jpeg : https://ap12.ragic.com/sims/file.jsp?a=soutlet001&amp;f=N96hlsEmGj%40IMG_4707.jpeg
IMG_4706.jpeg : https://ap12.ragic.com/sims/file.jsp?a=soutlet001&amp;f=qcAFhrPJYU%40IMG_4706.jpeg
</t>
  </si>
  <si>
    <t>1016 silicon is ok</t>
  </si>
  <si>
    <t xml:space="preserve">85558_0.jpg : https://ap12.ragic.com/sims/file.jsp?a=soutlet001&amp;f=D33tUpKj9A%4085558_0.jpg
85559_0.jpg : https://ap12.ragic.com/sims/file.jsp?a=soutlet001&amp;f=Dx7AQSnPKL%4085559_0.jpg
85560_0.jpg : https://ap12.ragic.com/sims/file.jsp?a=soutlet001&amp;f=U8CkcxaQSQ%4085560_0.jpg
85575_0.jpg : https://ap12.ragic.com/sims/file.jsp?a=soutlet001&amp;f=eP4AEjghgi%4085575_0.jpg
85576_0.jpg : https://ap12.ragic.com/sims/file.jsp?a=soutlet001&amp;f=NSfk3X9GfS%4085576_0.jpg
85577_0.jpg : https://ap12.ragic.com/sims/file.jsp?a=soutlet001&amp;f=x3oU9zbi3n%4085577_0.jpg
85578_0.jpg : https://ap12.ragic.com/sims/file.jsp?a=soutlet001&amp;f=xhqyLGL59J%4085578_0.jpg
85579_0.jpg : https://ap12.ragic.com/sims/file.jsp?a=soutlet001&amp;f=1jIankLyV3%4085579_0.jpg
85580_0.jpg : https://ap12.ragic.com/sims/file.jsp?a=soutlet001&amp;f=BIbajxpxJJ%4085580_0.jpg
85581_0.jpg : https://ap12.ragic.com/sims/file.jsp?a=soutlet001&amp;f=D7NschV9Xc%4085581_0.jpg
</t>
  </si>
  <si>
    <t xml:space="preserve">IMG_4696.jpeg : https://ap12.ragic.com/sims/file.jsp?a=soutlet001&amp;f=69zokwGvVg%40IMG_4696.jpeg
IMG_4697.jpeg : https://ap12.ragic.com/sims/file.jsp?a=soutlet001&amp;f=afUzj09tds%40IMG_4697.jpeg
IMG_4698.jpeg : https://ap12.ragic.com/sims/file.jsp?a=soutlet001&amp;f=BBsZdSLX9f%40IMG_4698.jpeg
IMG_4699.jpeg : https://ap12.ragic.com/sims/file.jsp?a=soutlet001&amp;f=sgAyql3ldr%40IMG_4699.jpeg
IMG_4700.jpeg : https://ap12.ragic.com/sims/file.jsp?a=soutlet001&amp;f=KPSDrJ6jOd%40IMG_4700.jpeg
</t>
  </si>
  <si>
    <t>1013 silicon is ok</t>
  </si>
  <si>
    <t xml:space="preserve">85558_0.jpg : https://ap12.ragic.com/sims/file.jsp?a=soutlet001&amp;f=4HNRx8vFkL%4085558_0.jpg
85559_0.jpg : https://ap12.ragic.com/sims/file.jsp?a=soutlet001&amp;f=H60WpOncW3%4085559_0.jpg
85560_0.jpg : https://ap12.ragic.com/sims/file.jsp?a=soutlet001&amp;f=ttfyCJeyTs%4085560_0.jpg
85561_0.jpg : https://ap12.ragic.com/sims/file.jsp?a=soutlet001&amp;f=9ALy2rrVLt%4085561_0.jpg
85562_0.jpg : https://ap12.ragic.com/sims/file.jsp?a=soutlet001&amp;f=1AVpzN247o%4085562_0.jpg
85563_0.jpg : https://ap12.ragic.com/sims/file.jsp?a=soutlet001&amp;f=6uXFBji9nY%4085563_0.jpg
85564_0.jpg : https://ap12.ragic.com/sims/file.jsp?a=soutlet001&amp;f=Azx4uG9QH1%4085564_0.jpg
85565_0.jpg : https://ap12.ragic.com/sims/file.jsp?a=soutlet001&amp;f=XblO6lLbGV%4085565_0.jpg
85566_0.jpg : https://ap12.ragic.com/sims/file.jsp?a=soutlet001&amp;f=rMpLtEdhbb%4085566_0.jpg
85567_0.jpg : https://ap12.ragic.com/sims/file.jsp?a=soutlet001&amp;f=SfP6XpEKFd%4085567_0.jpg
85568.jpg : https://ap12.ragic.com/sims/file.jsp?a=soutlet001&amp;f=DsgX8vU536%4085568.jpg
</t>
  </si>
  <si>
    <t>左側床頭燈不亮</t>
  </si>
  <si>
    <t>IMG_9695.jpeg</t>
  </si>
  <si>
    <t>已修好</t>
  </si>
  <si>
    <t>1030已修好.jpg</t>
  </si>
  <si>
    <t>溫度無法調高</t>
  </si>
  <si>
    <t>708冰水主機的冰水有關小點，暖氣有開最大，溫度回溫中</t>
  </si>
  <si>
    <t>外面無法感應, 且一直有撞擊聲</t>
  </si>
  <si>
    <t>1/8 昨天大門廠商檢查，副理轉達廠商提到皮帶鬆有再鎖緊。並觀察到馬達有老化現象，所以大門最近出現異音狀況會較頻繁。再繼續觀察看看有需要可能需要更換馬達零件。以上</t>
  </si>
  <si>
    <t>719 續住 浴缸水塞用旋鈕打不開 目前客人不在</t>
  </si>
  <si>
    <t>719浴缸水塞旋扭已調整完成</t>
  </si>
  <si>
    <t>522 洗手台下方維修門擋壞掉 門無法維持關上 有預進</t>
  </si>
  <si>
    <t>1000007102.jpg</t>
  </si>
  <si>
    <t>522洗手台下方維修門，調整完成</t>
  </si>
  <si>
    <t>image_EF734F84-9444-488C-BA3F-327795247C51_1767866757_compressed.jpeg</t>
  </si>
  <si>
    <t>大門開關異音</t>
  </si>
  <si>
    <t>大門廠商檢查，副理轉達廠商提到皮帶鬆有再鎖緊。並觀察到馬達有老化現象，所以大門最近出現異音狀況會較頻繁。再繼續觀察看看有需要可能需要更換馬達零件。以上_x000D_
1/8 通知廠商檢修</t>
  </si>
  <si>
    <t>511 馬桶沖水後會聽到水垂聲音 且聲音響得更久</t>
  </si>
  <si>
    <t>511 水閥已調整</t>
  </si>
  <si>
    <t xml:space="preserve">617 要更換沐浴架下的墊片 </t>
  </si>
  <si>
    <t>1000007066.jpg</t>
  </si>
  <si>
    <t>617 沐浴乳架墊片已更換</t>
  </si>
  <si>
    <t>85231.jpg</t>
  </si>
  <si>
    <t>門上鐵片脫落</t>
  </si>
  <si>
    <t>607 擋片已黏上</t>
  </si>
  <si>
    <t>85227.jpg</t>
  </si>
  <si>
    <t>617 需重打矽利康</t>
  </si>
  <si>
    <t>880391.jpg</t>
  </si>
  <si>
    <t>617 矽力康施工完成</t>
  </si>
  <si>
    <t xml:space="preserve">85234_0.jpg : https://ap12.ragic.com/sims/file.jsp?a=soutlet001&amp;f=9qfep46sO3%4085234_0.jpg
85235_0.jpg : https://ap12.ragic.com/sims/file.jsp?a=soutlet001&amp;f=Cw72YqJQHA%4085235_0.jpg
85236_0.jpg : https://ap12.ragic.com/sims/file.jsp?a=soutlet001&amp;f=n80iu3dBPX%4085236_0.jpg
85233_0.jpg : https://ap12.ragic.com/sims/file.jsp?a=soutlet001&amp;f=FLbqpQA926%4085233_0.jpg
85237_0.jpg : https://ap12.ragic.com/sims/file.jsp?a=soutlet001&amp;f=7otdSI41K9%4085237_0.jpg
85238_0.jpg : https://ap12.ragic.com/sims/file.jsp?a=soutlet001&amp;f=mKKv3Wod9N%4085238_0.jpg
85239_0.jpg : https://ap12.ragic.com/sims/file.jsp?a=soutlet001&amp;f=CtwYEJGYYY%4085239_0.jpg
85240_0.jpg : https://ap12.ragic.com/sims/file.jsp?a=soutlet001&amp;f=KorAW0aonR%4085240_0.jpg
</t>
  </si>
  <si>
    <t>616 需重打矽利康脫落跟發霉</t>
  </si>
  <si>
    <t xml:space="preserve">880412_0.jpg : https://ap12.ragic.com/sims/file.jsp?a=soutlet001&amp;f=89lqIlEFLV%40880412_0.jpg
880413_0.jpg : https://ap12.ragic.com/sims/file.jsp?a=soutlet001&amp;f=4BQIe5x0vD%40880413_0.jpg
880414_0.jpg : https://ap12.ragic.com/sims/file.jsp?a=soutlet001&amp;f=5OYk1uituD%40880414_0.jpg
880415_0.jpg : https://ap12.ragic.com/sims/file.jsp?a=soutlet001&amp;f=tObcTnei2N%40880415_0.jpg
880416_0.jpg : https://ap12.ragic.com/sims/file.jsp?a=soutlet001&amp;f=6ujsgWttSz%40880416_0.jpg
</t>
  </si>
  <si>
    <t>616矽利康已補好</t>
  </si>
  <si>
    <t xml:space="preserve">85381_0.jpg : https://ap12.ragic.com/sims/file.jsp?a=soutlet001&amp;f=kKufkvJVAN%4085381_0.jpg
85382_0.jpg : https://ap12.ragic.com/sims/file.jsp?a=soutlet001&amp;f=Rl8g5Ks86H%4085382_0.jpg
85383_0.jpg : https://ap12.ragic.com/sims/file.jsp?a=soutlet001&amp;f=zeKCgK7iQN%4085383_0.jpg
85384_0.jpg : https://ap12.ragic.com/sims/file.jsp?a=soutlet001&amp;f=RILTpZVOFR%4085384_0.jpg
</t>
  </si>
  <si>
    <t>矽利康發黴跟補打</t>
  </si>
  <si>
    <t>717已補矽利康完成</t>
  </si>
  <si>
    <t xml:space="preserve">image_74B230E1-FC1F-42EC-889C-47E5BDA475B7_1767870494_compressed.jpeg : https://ap12.ragic.com/sims/file.jsp?a=soutlet001&amp;f=kum8lHJS6f%40image_74B230E1-FC1F-42EC-889C-47E5BDA475B7_1767870494_compressed.jpeg
image_856786F2-F02E-4838-87C5-4DBF5FB776BE_1767870494_compressed.jpeg : https://ap12.ragic.com/sims/file.jsp?a=soutlet001&amp;f=YLi9bjveRA%40image_856786F2-F02E-4838-87C5-4DBF5FB776BE_1767870494_compressed.jpeg
image_034CE5A5-1BEE-4F57-9CF2-36206D6E4B13_1767870494_compressed.jpeg : https://ap12.ragic.com/sims/file.jsp?a=soutlet001&amp;f=rw1APcexF8%40image_034CE5A5-1BEE-4F57-9CF2-36206D6E4B13_1767870494_compressed.jpeg
image_02C5098F-E1DD-4175-9BBC-F20102E5C662_1767870494_compressed.jpeg : https://ap12.ragic.com/sims/file.jsp?a=soutlet001&amp;f=gx4XgtcNsU%40image_02C5098F-E1DD-4175-9BBC-F20102E5C662_1767870494_compressed.jpeg
image_61B5D315-B295-4AA9-A65A-90344777AB70_1767870494_compressed.jpeg : https://ap12.ragic.com/sims/file.jsp?a=soutlet001&amp;f=VY2JsnE4qE%40image_61B5D315-B295-4AA9-A65A-90344777AB70_1767870494_compressed.jpeg
image_4F3C7CDF-F891-4114-BB71-13A355B8AAB8_1767870494_compressed.jpeg : https://ap12.ragic.com/sims/file.jsp?a=soutlet001&amp;f=t4NSY75ocr%40image_4F3C7CDF-F891-4114-BB71-13A355B8AAB8_1767870494_compressed.jpeg
image_24EF2A5F-B4F6-41F2-B947-B4AF344036D8_1767870494_compressed.jpeg : https://ap12.ragic.com/sims/file.jsp?a=soutlet001&amp;f=A5IAUsUN5T%40image_24EF2A5F-B4F6-41F2-B947-B4AF344036D8_1767870494_compressed.jpeg
image_77400C10-1CB5-4400-B5CF-A95C0277B5E9_1767870494_compressed.jpeg : https://ap12.ragic.com/sims/file.jsp?a=soutlet001&amp;f=OMEw3F6v6G%40image_77400C10-1CB5-4400-B5CF-A95C0277B5E9_1767870494_compressed.jpeg
image_F78B5CD4-8CE9-4FB8-89E3-8E3E235F262B_1767870494_compressed.jpeg : https://ap12.ragic.com/sims/file.jsp?a=soutlet001&amp;f=vQ7w1k0I5W%40image_F78B5CD4-8CE9-4FB8-89E3-8E3E235F262B_1767870494_compressed.jpeg
</t>
  </si>
  <si>
    <t>620 續住 浴室門口的地上磁磚裂開 目前客人不在 不確定何時回來</t>
  </si>
  <si>
    <t>1000007056.jpg</t>
  </si>
  <si>
    <t>磁磚破裂處已先用矽利康填補（需等待2小時）</t>
  </si>
  <si>
    <t>233807.jpg</t>
  </si>
  <si>
    <t>520 小鏡子 搖晃 需固定 有預進</t>
  </si>
  <si>
    <t>1000007054.jpg</t>
  </si>
  <si>
    <t>520 化粧燈已固定</t>
  </si>
  <si>
    <t>85216.jpg</t>
  </si>
  <si>
    <t>5F 走道有臭味</t>
  </si>
  <si>
    <t>1/7 晚班再去現場走到勘查，未聞到異味。味道是不定時出現，需再觀察確認如何解</t>
  </si>
  <si>
    <t>今天511 沖馬桶後 還是有水垂聲</t>
  </si>
  <si>
    <t>511 水閥已調整，沒有水垂聲了</t>
  </si>
  <si>
    <t>727客反映房間太冷，請協助進房調整，客已外出，客表示可直接進房</t>
  </si>
  <si>
    <t>727熱水閥開啟，溫度已正常</t>
  </si>
  <si>
    <t>233745.jpg</t>
  </si>
  <si>
    <t>健身房電視無法顯示頻道畫面</t>
  </si>
  <si>
    <t>九樓健身房電視已更新完成</t>
  </si>
  <si>
    <t>85139.jpg</t>
  </si>
  <si>
    <t>關門有異音</t>
  </si>
  <si>
    <t>美德亞原廠大門廠商已進場檢查、已正常待觀察</t>
  </si>
  <si>
    <t>門內把手鬆動</t>
  </si>
  <si>
    <t>826浴室門把手固定完成</t>
  </si>
  <si>
    <t>門擋鐵片掉了</t>
  </si>
  <si>
    <t>IMG_9628.jpeg</t>
  </si>
  <si>
    <t>1013已安裝完成</t>
  </si>
  <si>
    <t>S__418512900.jpg</t>
  </si>
  <si>
    <t>客人反應看不到電視頻道 但youtube netfelix等正常</t>
  </si>
  <si>
    <t>820螢幕黑頻，拿鍵盤電視更新完成</t>
  </si>
  <si>
    <t>911牆面需補漆 (補單)</t>
  </si>
  <si>
    <t xml:space="preserve">1767603418908.jpg : https://ap12.ragic.com/sims/file.jsp?a=soutlet001&amp;f=ncJaRXanWr%401767603418908.jpg
1767603419126.jpg : https://ap12.ragic.com/sims/file.jsp?a=soutlet001&amp;f=olNfTet0f4%401767603419126.jpg
</t>
  </si>
  <si>
    <t>911牆面補漆完成</t>
  </si>
  <si>
    <t xml:space="preserve">911牆面補漆完成(1).jpg : https://ap12.ragic.com/sims/file.jsp?a=soutlet001&amp;f=C6BEl1nX2I%40911%E7%89%86%E9%9D%A2%E8%A3%9C%E6%BC%86%E5%AE%8C%E6%88%90%281%29.jpg
911牆面補漆完成(2).jpg : https://ap12.ragic.com/sims/file.jsp?a=soutlet001&amp;f=DsVj8JzTir%40911%E7%89%86%E9%9D%A2%E8%A3%9C%E6%BC%86%E5%AE%8C%E6%88%90%282%29.jpg
</t>
  </si>
  <si>
    <t>911房門無法保持開啟 (補單)</t>
  </si>
  <si>
    <t xml:space="preserve">1/9 門擋片已裝上_x000D_
1/8 無須更換門弓器，待叫料更換門擋器_x000D_
1/5 調整後仍無法保持開啟，需更換料件門弓器_x000D_
</t>
  </si>
  <si>
    <t>桌子上方燈泡不亮</t>
  </si>
  <si>
    <t>IMG_9625.jpeg</t>
  </si>
  <si>
    <t>911桌子上方燈泡已更新完成</t>
  </si>
  <si>
    <t>911桌子上方燈泡已更新完成.jpg</t>
  </si>
  <si>
    <t>R616 工單：止水條斷裂 (補單)</t>
  </si>
  <si>
    <t>1767601389609.jpg</t>
  </si>
  <si>
    <t>616止水條已修復完成</t>
  </si>
  <si>
    <t>84952.jpg</t>
  </si>
  <si>
    <t>矽利康發霉及破損，要重打</t>
  </si>
  <si>
    <t>706完成</t>
  </si>
  <si>
    <t xml:space="preserve">83127_0.jpg : https://ap12.ragic.com/sims/file.jsp?a=soutlet001&amp;f=uKRN23nOw1%4083127_0.jpg
83128_0.jpg : https://ap12.ragic.com/sims/file.jsp?a=soutlet001&amp;f=pnPLVCS2PX%4083128_0.jpg
83129_0.jpg : https://ap12.ragic.com/sims/file.jsp?a=soutlet001&amp;f=jK8X9SFyml%4083129_0.jpg
</t>
  </si>
  <si>
    <t>無法固定</t>
  </si>
  <si>
    <t>706貓眼固定完成</t>
  </si>
  <si>
    <t>706貓眼固定完成.jpg</t>
  </si>
  <si>
    <t>浴室天花板多處脫皮</t>
  </si>
  <si>
    <t>46c82cec91f23df6d3fb34687746ae65.png</t>
  </si>
  <si>
    <t>710 補漆完成</t>
  </si>
  <si>
    <t>床頭崁燈無法單獨開啟</t>
  </si>
  <si>
    <t>5be157930f47cdf8e36a3dbf630ed0b0.png</t>
  </si>
  <si>
    <t>按鍵分左右邊，按一個鍵只會亮一邊。屬正常</t>
  </si>
  <si>
    <t>床邊櫃有許多刻痕</t>
  </si>
  <si>
    <t>86891f67d804e9ab07fd1d3cc57e7523.png</t>
  </si>
  <si>
    <t>710 櫃子補漆完成</t>
  </si>
  <si>
    <t>710 櫃子補漆完成.jpg</t>
  </si>
  <si>
    <t>浴室天花板脫皮</t>
  </si>
  <si>
    <t>9f403d321bf8851d4c9b4431c11dd38a.png</t>
  </si>
  <si>
    <t>1/8 709、710尚有住客，住到10日退房後再處理</t>
  </si>
  <si>
    <t>按崁燈鈕時，只有一邊會亮</t>
  </si>
  <si>
    <t>82d57ef3fc23ec46c38451d034036853.png</t>
  </si>
  <si>
    <t>床邊櫃的櫃邊嚴重脫皮磨損</t>
  </si>
  <si>
    <t>51a69abe68205102483d0aef74dac73b.png</t>
  </si>
  <si>
    <t>靠近4樓女廁門邊的牆上有洞</t>
  </si>
  <si>
    <t>00a5b8c2a4d55e3602fc81e439a372a8.png</t>
  </si>
  <si>
    <t xml:space="preserve">1/6 牆面破損是之前洗手乳架易掉落，前總工同意鑽孔用螺絲孔固定。_x000D_
</t>
  </si>
  <si>
    <t>20260105-006</t>
  </si>
  <si>
    <t xml:space="preserve">客梯（非無障礙）內的把手皮套有破損_x000D_
</t>
  </si>
  <si>
    <t>e2163133dff01f8b460e359c57208924.png</t>
  </si>
  <si>
    <t>1/26 櫃台經理AMBER 告知採購先不用修_x000D_
1/9 採購有請廠商看過,等廠商回覆報價_x000D_
1/8 工程部只能將色差調整相似，損壞裂痕還在,已請採購找皮革廠商3家比議價，待報價和簽呈核准。</t>
  </si>
  <si>
    <t>20260105-005</t>
  </si>
  <si>
    <t>一樓大廳地板亀裂痕</t>
  </si>
  <si>
    <t>8903619b523953b0da512e65ec52ae13.png</t>
  </si>
  <si>
    <t>大理石材質需要廠商修補</t>
  </si>
  <si>
    <t>門擋鐵片不見了</t>
  </si>
  <si>
    <t>IMG_9619.jpeg</t>
  </si>
  <si>
    <t>931門擋鐵片已裝上，未乾，請二小時後再放房</t>
  </si>
  <si>
    <t>931門擋鐵片已裝上，未乾，請二小時後再放房.jpg</t>
  </si>
  <si>
    <t>20260105-003</t>
  </si>
  <si>
    <t>窗簾無法下降</t>
  </si>
  <si>
    <t xml:space="preserve">3/17 待廠商通知北上維修時間_x000D_
1/26  工程員反映只能單邊動，已聯繫均辰祥提供設定 _x000D_
1/8 窗簾廠商已來，待處理_x000D_
1/5 R530窗簾的沒辦法昇降_x000D_
12/29 技術上的問題沒有成功完成，窗簾沒有裝回去，須復歸R530的窗簾_x000D_
12/27 R530遮光簾拆不下來_x000D_
</t>
  </si>
  <si>
    <t>蓮蓬頭斷了</t>
  </si>
  <si>
    <t>IMG_9616.jpeg</t>
  </si>
  <si>
    <t>912蓮蓬頭、蓮蓬頭管已更新完成</t>
  </si>
  <si>
    <t>912蓮蓬頭、蓮蓬頭管已更新完成.jpg</t>
  </si>
  <si>
    <t>窗簾跟紗簾要拆，房務要送洗</t>
  </si>
  <si>
    <t>502窗簾&amp;紗簾已拆</t>
  </si>
  <si>
    <t>開門有異味</t>
  </si>
  <si>
    <t>到客房門口沒有聞到甚麼怪味，繼續觀察</t>
  </si>
  <si>
    <t>720 客人表示房間太冷 能麻煩去房間協助檢查嗎</t>
  </si>
  <si>
    <t>720 空調已調整</t>
  </si>
  <si>
    <t>矽利康重打</t>
  </si>
  <si>
    <t>717 矽利康已完成等4小時乾</t>
  </si>
  <si>
    <t xml:space="preserve">83000_0.jpg : https://ap12.ragic.com/sims/file.jsp?a=soutlet001&amp;f=qIzCk8Wk8k%4083000_0.jpg
83001_0.jpg : https://ap12.ragic.com/sims/file.jsp?a=soutlet001&amp;f=k4h45FPOBN%4083001_0.jpg
83002_0.jpg : https://ap12.ragic.com/sims/file.jsp?a=soutlet001&amp;f=TRmbWossy9%4083002_0.jpg
</t>
  </si>
  <si>
    <t>矽利康要重打</t>
  </si>
  <si>
    <t>712 矽利康已完成等4小時乾</t>
  </si>
  <si>
    <t xml:space="preserve">82953_0.jpg : https://ap12.ragic.com/sims/file.jsp?a=soutlet001&amp;f=S4XLp2eDYP%4082953_0.jpg
82954_0.jpg : https://ap12.ragic.com/sims/file.jsp?a=soutlet001&amp;f=craQXfsotm%4082954_0.jpg
82955_0.jpg : https://ap12.ragic.com/sims/file.jsp?a=soutlet001&amp;f=vDgqF2Vk51%4082955_0.jpg
</t>
  </si>
  <si>
    <t>電視遙控器按按鍵無反應</t>
  </si>
  <si>
    <t>IMG_9609.jpeg</t>
  </si>
  <si>
    <t>929 電視已修復</t>
  </si>
  <si>
    <t>929 電視已修復.jpg</t>
  </si>
  <si>
    <t>511洗手台水龍頭水壓不夠大</t>
  </si>
  <si>
    <t>1000007002.jpg</t>
  </si>
  <si>
    <t>511已修復完成</t>
  </si>
  <si>
    <t>511 沖馬桶後 有水垂聲</t>
  </si>
  <si>
    <t>511洗手台出水分岔</t>
  </si>
  <si>
    <t>冷氣溫度上不去 一直維持19度</t>
  </si>
  <si>
    <t>706 空調已調整</t>
  </si>
  <si>
    <t>706 空調已調整.jpg</t>
  </si>
  <si>
    <t xml:space="preserve">IMG_4606.jpeg : https://ap12.ragic.com/sims/file.jsp?a=soutlet001&amp;f=94Iik8XC5y%40IMG_4606.jpeg
IMG_4605.jpeg : https://ap12.ragic.com/sims/file.jsp?a=soutlet001&amp;f=FGxnGBlX72%40IMG_4605.jpeg
IMG_4604.jpeg : https://ap12.ragic.com/sims/file.jsp?a=soutlet001&amp;f=oZzsBBTXp7%40IMG_4604.jpeg
IMG_4603.jpeg : https://ap12.ragic.com/sims/file.jsp?a=soutlet001&amp;f=wu30t9ucoN%40IMG_4603.jpeg
IMG_4602.jpeg : https://ap12.ragic.com/sims/file.jsp?a=soutlet001&amp;f=Oik3lM3j3y%40IMG_4602.jpeg
IMG_4601.jpeg : https://ap12.ragic.com/sims/file.jsp?a=soutlet001&amp;f=uQy4D9fJa4%40IMG_4601.jpeg
IMG_4600.jpeg : https://ap12.ragic.com/sims/file.jsp?a=soutlet001&amp;f=LKjUnkfnBk%40IMG_4600.jpeg
</t>
  </si>
  <si>
    <t>710 矽力康已完成施工</t>
  </si>
  <si>
    <t xml:space="preserve">84650_0.jpg : https://ap12.ragic.com/sims/file.jsp?a=soutlet001&amp;f=FS0IILdQ72%4084650_0.jpg
84651_0.jpg : https://ap12.ragic.com/sims/file.jsp?a=soutlet001&amp;f=uMDvELsLvx%4084651_0.jpg
84652_0.jpg : https://ap12.ragic.com/sims/file.jsp?a=soutlet001&amp;f=ZjbLDqtitA%4084652_0.jpg
84653_0.jpg : https://ap12.ragic.com/sims/file.jsp?a=soutlet001&amp;f=ihcCrh38B0%4084653_0.jpg
84654_0.jpg : https://ap12.ragic.com/sims/file.jsp?a=soutlet001&amp;f=omLTqHuTSu%4084654_0.jpg
84655_0.jpg : https://ap12.ragic.com/sims/file.jsp?a=soutlet001&amp;f=6mYtAVRdlX%4084655_0.jpg
84656_0.jpg : https://ap12.ragic.com/sims/file.jsp?a=soutlet001&amp;f=ZiOWDEIjjR%4084656_0.jpg
84657_0.jpg : https://ap12.ragic.com/sims/file.jsp?a=soutlet001&amp;f=NNwhQKYl3n%4084657_0.jpg
84658_0.jpg : https://ap12.ragic.com/sims/file.jsp?a=soutlet001&amp;f=HtOJgoMgqt%4084658_0.jpg
84659_0.jpg : https://ap12.ragic.com/sims/file.jsp?a=soutlet001&amp;f=M2RgHVo80W%4084659_0.jpg
</t>
  </si>
  <si>
    <t>淋浴間矽利康發配</t>
  </si>
  <si>
    <t xml:space="preserve">IMG_4599.jpeg : https://ap12.ragic.com/sims/file.jsp?a=soutlet001&amp;f=LIkLGTjaqv%40IMG_4599.jpeg
IMG_4598.jpeg : https://ap12.ragic.com/sims/file.jsp?a=soutlet001&amp;f=c7PgmUNkId%40IMG_4598.jpeg
IMG_4597.jpeg : https://ap12.ragic.com/sims/file.jsp?a=soutlet001&amp;f=ylBo8hPuAe%40IMG_4597.jpeg
IMG_4596.jpeg : https://ap12.ragic.com/sims/file.jsp?a=soutlet001&amp;f=NBMh5KNwLG%40IMG_4596.jpeg
IMG_4595.jpeg : https://ap12.ragic.com/sims/file.jsp?a=soutlet001&amp;f=ci1BhIxZ6Q%40IMG_4595.jpeg
IMG_4594.jpeg : https://ap12.ragic.com/sims/file.jsp?a=soutlet001&amp;f=Si89JiWsD8%40IMG_4594.jpeg
IMG_4593.jpeg : https://ap12.ragic.com/sims/file.jsp?a=soutlet001&amp;f=HDloEmCSPI%40IMG_4593.jpeg
IMG_4592.jpeg : https://ap12.ragic.com/sims/file.jsp?a=soutlet001&amp;f=T4aGjEEczQ%40IMG_4592.jpeg
</t>
  </si>
  <si>
    <t>709 矽力康施工完成</t>
  </si>
  <si>
    <t xml:space="preserve">84661_0.jpg : https://ap12.ragic.com/sims/file.jsp?a=soutlet001&amp;f=EeeJSQqNGt%4084661_0.jpg
84662_0.jpg : https://ap12.ragic.com/sims/file.jsp?a=soutlet001&amp;f=K1CvrzOB5A%4084662_0.jpg
84663_0.jpg : https://ap12.ragic.com/sims/file.jsp?a=soutlet001&amp;f=D4BISD9dJI%4084663_0.jpg
84664_0.jpg : https://ap12.ragic.com/sims/file.jsp?a=soutlet001&amp;f=uPcOuiUOr9%4084664_0.jpg
84665_0.jpg : https://ap12.ragic.com/sims/file.jsp?a=soutlet001&amp;f=r6okSMwexy%4084665_0.jpg
84666_0.jpg : https://ap12.ragic.com/sims/file.jsp?a=soutlet001&amp;f=nXsKNFgITB%4084666_0.jpg
84667_0.jpg : https://ap12.ragic.com/sims/file.jsp?a=soutlet001&amp;f=fbXpAVoBhO%4084667_0.jpg
84668_0.jpg : https://ap12.ragic.com/sims/file.jsp?a=soutlet001&amp;f=Ncf9Q8wJh6%4084668_0.jpg
84669_0.jpg : https://ap12.ragic.com/sims/file.jsp?a=soutlet001&amp;f=uuHLeGB5ih%4084669_0.jpg
84670_0.jpg : https://ap12.ragic.com/sims/file.jsp?a=soutlet001&amp;f=MwAZy6IQ9R%4084670_0.jpg
</t>
  </si>
  <si>
    <t>515 夜床燈掉落</t>
  </si>
  <si>
    <t>1000006999.jpg</t>
  </si>
  <si>
    <t>515 夜燈已裝上</t>
  </si>
  <si>
    <t>515 夜燈已裝上.jpg</t>
  </si>
  <si>
    <t>門鈴單音，按了一兩次後沒有門鈴聲</t>
  </si>
  <si>
    <t>718 門鈴已正常</t>
  </si>
  <si>
    <t>HKTOKF</t>
  </si>
  <si>
    <t>1016 洗手台上方的燈泡不亮。(補單)</t>
  </si>
  <si>
    <t>IMG_20260103_144201.jpg</t>
  </si>
  <si>
    <t>1016 電燈已修復</t>
  </si>
  <si>
    <t>1016 電燈已修復.jpg</t>
  </si>
  <si>
    <t>711 門鈴已正常</t>
  </si>
  <si>
    <t>20260103-009</t>
  </si>
  <si>
    <t>FO MITCH</t>
  </si>
  <si>
    <t>925大門口右側牆面補漆</t>
  </si>
  <si>
    <t>S__8659019.jpg</t>
  </si>
  <si>
    <t>缺亮光黑油漆</t>
  </si>
  <si>
    <t>客人表示右手邊的洗手台以及浴缸水比較不好排下去</t>
  </si>
  <si>
    <t>819 浴室洗手檯及浴缸排水塞已調整，排水順暢</t>
  </si>
  <si>
    <t xml:space="preserve">819 浴室洗手檯及浴缸排水塞已調整，排水順暢(1).jpg : https://ap12.ragic.com/sims/file.jsp?a=soutlet001&amp;f=wW73mlJp5M%40819+%E6%B5%B4%E5%AE%A4%E6%B4%97%E6%89%8B%E6%AA%AF%E5%8F%8A%E6%B5%B4%E7%BC%B8%E6%8E%92%E6%B0%B4%E5%A1%9E%E5%B7%B2%E8%AA%BF%E6%95%B4%EF%BC%8C%E6%8E%92%E6%B0%B4%E9%A0%86%E6%9A%A2%281%29.jpg
819 浴室洗手檯及浴缸排水塞已調整，排水順暢(2).jpg : https://ap12.ragic.com/sims/file.jsp?a=soutlet001&amp;f=51nCKkVEGA%40819+%E6%B5%B4%E5%AE%A4%E6%B4%97%E6%89%8B%E6%AA%AF%E5%8F%8A%E6%B5%B4%E7%BC%B8%E6%8E%92%E6%B0%B4%E5%A1%9E%E5%B7%B2%E8%AA%BF%E6%95%B4%EF%BC%8C%E6%8E%92%E6%B0%B4%E9%A0%86%E6%9A%A2%282%29.jpg
</t>
  </si>
  <si>
    <t>C梯 B4燈很弱，需更換燈泡</t>
  </si>
  <si>
    <t>S__8659020.jpg</t>
  </si>
  <si>
    <t>C梯電燈已更換</t>
  </si>
  <si>
    <t>C梯電燈已更換.jpg</t>
  </si>
  <si>
    <t>關上沒有緩衝</t>
  </si>
  <si>
    <t>1/11 710保險箱油壓桿更新完成_x000D_
1/8 已到貨，710尚有住客，住到10日退房後再更換處理_x000D_
1/4 已下單叫料，目前尚未到貨無法更換_x000D_
1/3 710 保險箱緩沖是好的</t>
  </si>
  <si>
    <t>710 保險箱緩沖是好的.jpg</t>
  </si>
  <si>
    <t>Mitch</t>
  </si>
  <si>
    <t>702</t>
  </si>
  <si>
    <t>MOD 查房: 入口牆面須補漆</t>
  </si>
  <si>
    <t>S__8658987_0.jpg</t>
  </si>
  <si>
    <t>702 補漆ok</t>
  </si>
  <si>
    <t>702 補漆 ok.jpg</t>
  </si>
  <si>
    <t>MOD 查房: 床邊櫃補漆及黑色污漬, 需更換新禁菸牌</t>
  </si>
  <si>
    <t xml:space="preserve">S__8658990_0.jpg : https://ap12.ragic.com/sims/file.jsp?a=soutlet001&amp;f=J7rKYUPf2H%40S__8658990_0.jpg
S__8658991_0.jpg : https://ap12.ragic.com/sims/file.jsp?a=soutlet001&amp;f=SGGsPYQ0uB%40S__8658991_0.jpg
S__8658999_0.jpg : https://ap12.ragic.com/sims/file.jsp?a=soutlet001&amp;f=cClOcOfCWP%40S__8658999_0.jpg
</t>
  </si>
  <si>
    <t>713  ok</t>
  </si>
  <si>
    <t xml:space="preserve">713 禁菸排ok.jpg : https://ap12.ragic.com/sims/file.jsp?a=soutlet001&amp;f=PcNdo2L9ox%40713+%E7%A6%81%E8%8F%B8%E6%8E%92ok.jpg
713 櫃子補漆ok.jpg : https://ap12.ragic.com/sims/file.jsp?a=soutlet001&amp;f=ef3RAEDEl4%40713+%E6%AB%83%E5%AD%90%E8%A3%9C%E6%BC%86ok.jpg
</t>
  </si>
  <si>
    <t>MOD查房: 暖氣無作動，室內溫度皆在17度，已設定28度，溫度無變化。</t>
  </si>
  <si>
    <t>S__8658996_0.jpg</t>
  </si>
  <si>
    <t>713 空調溫度已上升</t>
  </si>
  <si>
    <t>713 空調溫度已上升.jpg</t>
  </si>
  <si>
    <t>20260103-002</t>
  </si>
  <si>
    <t>713暖氣無作動，室內溫度皆在17度，已設定28度，溫度無變化</t>
  </si>
  <si>
    <t>Mike Ma</t>
  </si>
  <si>
    <t>客人反應房間溫度無法上升，實際測得溫度21.9度。拔掉結電卡重插溫度依舊沒有上升，客人明天外出請協助檢查暖氣溫度。</t>
  </si>
  <si>
    <t>825 空調暖氣已調整</t>
  </si>
  <si>
    <t>825 空調暖氣已調整.jpg</t>
  </si>
  <si>
    <t>0912 客人反應房間偏冷，空調的溫度一直顯示23度，請去房間協助調整，客人在房間等</t>
  </si>
  <si>
    <t>912已和客人說明，處理完成。</t>
  </si>
  <si>
    <t>FOMeg</t>
  </si>
  <si>
    <t>707客人反應房間很冷，麻煩去房間內協助一下檢查空調暖氣</t>
  </si>
  <si>
    <t>進房測量出風口溫度31度</t>
  </si>
  <si>
    <t>707 溫度.jpg</t>
  </si>
  <si>
    <t>有客人反應 5樓走道 很臭</t>
  </si>
  <si>
    <t>1/5 晚上到現場去檢查沒有聞到異味，繼續觀察</t>
  </si>
  <si>
    <t>YOYO</t>
  </si>
  <si>
    <t>826反扣門的地方金屬壞掉了</t>
  </si>
  <si>
    <t>S__62685218.jpg</t>
  </si>
  <si>
    <t>826 鐵片已黏上</t>
  </si>
  <si>
    <t>826 鐵片已黏上.jpg</t>
  </si>
  <si>
    <t>819客廳電視回不到主畫面 有預進</t>
  </si>
  <si>
    <t>S__62685207.jpg</t>
  </si>
  <si>
    <t>819 電視已調整完成</t>
  </si>
  <si>
    <t>819 電視已調整完成.jpg</t>
  </si>
  <si>
    <t>516 貓眼卡住 有預進</t>
  </si>
  <si>
    <t>1000006968.jpg</t>
  </si>
  <si>
    <t>516 貓眼已更換</t>
  </si>
  <si>
    <t>516 貓眼已更換.jpg</t>
  </si>
  <si>
    <t>反應冷氣太冷 HEATER無作動</t>
  </si>
  <si>
    <t>926調整完成</t>
  </si>
  <si>
    <t>817 洗手台止水塞彈不起來</t>
  </si>
  <si>
    <t>S__54165550.jpg</t>
  </si>
  <si>
    <t>817已修復</t>
  </si>
  <si>
    <t>客人反映浴室洗手台水龍頭凱起後地板會滲水</t>
  </si>
  <si>
    <t>927排水管外路漏水，已修復</t>
  </si>
  <si>
    <t>客反應床頭床下墊靠頭部的床角斷掉(已先拿501代替)</t>
  </si>
  <si>
    <t xml:space="preserve">2/2 530 床腳已有請廠商宣元隆修復 _x000D_
1/27 NIC廠商回覆是---床板維修待確認該怎麼處理，目前501壞掉的床腳已經搬到530 _x000D_
1/22 床腳斷掉須請採購找廠商_x000D_
1/1 孫副代理總工確認後須請廠商修復。_x000D_
</t>
  </si>
  <si>
    <t xml:space="preserve">113421_0.jpg : https://ap12.ragic.com/sims/file.jsp?a=soutlet001&amp;f=0zVJVR5RcD%40113421_0.jpg
113422_0.jpg : https://ap12.ragic.com/sims/file.jsp?a=soutlet001&amp;f=VcAsIrLy5n%40113422_0.jpg
113429_0.jpg : https://ap12.ragic.com/sims/file.jsp?a=soutlet001&amp;f=wpBNUp3VCB%40113429_0.jpg
113430_0.jpg : https://ap12.ragic.com/sims/file.jsp?a=soutlet001&amp;f=ONjl7Oorrh%40113430_0.jpg
</t>
  </si>
  <si>
    <t>脫軌</t>
  </si>
  <si>
    <t>628浴簾已修復完成</t>
  </si>
  <si>
    <t>628浴簾已修復完成.jpg</t>
  </si>
  <si>
    <t>20260101-010</t>
  </si>
  <si>
    <t>610 續住 床下墊靠頭部的床腳斷掉 補單</t>
  </si>
  <si>
    <t xml:space="preserve">871907_0.jpg : https://ap12.ragic.com/sims/file.jsp?a=soutlet001&amp;f=irZz7LRJR1%40871907_0.jpg
871908_0.jpg : https://ap12.ragic.com/sims/file.jsp?a=soutlet001&amp;f=v28sl3h14J%40871908_0.jpg
</t>
  </si>
  <si>
    <t>門鎖電池沒電</t>
  </si>
  <si>
    <t>707門鎖電池已更新完成</t>
  </si>
  <si>
    <t>707門鎖電池已更新完成.jpg</t>
  </si>
  <si>
    <t>浴室拉門卡卡的</t>
  </si>
  <si>
    <t>IMG_9602.jpeg</t>
  </si>
  <si>
    <t>713浴室拉門已調整完成</t>
  </si>
  <si>
    <t>711浴簾調整完成.jpg</t>
  </si>
  <si>
    <t>浴簾拉繩斷了</t>
  </si>
  <si>
    <t>IMG_9599.jpeg</t>
  </si>
  <si>
    <t>517浴簾已修復完成</t>
  </si>
  <si>
    <t>517浴簾已修復完成.jpg</t>
  </si>
  <si>
    <t>梯廳燈不亮</t>
  </si>
  <si>
    <t>九樓走道崁燈開關被關掉，已開啟</t>
  </si>
  <si>
    <t>九樓走道崁燈開關被關掉，已開啟.jpg</t>
  </si>
  <si>
    <t>820 床頭燈泡 需更換 有預進</t>
  </si>
  <si>
    <t>1000006947.jpg</t>
  </si>
  <si>
    <t>820左側床頭燈泡已更新完成</t>
  </si>
  <si>
    <t>820左側床頭燈泡已更新完成.jpg</t>
  </si>
  <si>
    <t>820 浴簾卡住 有預進</t>
  </si>
  <si>
    <t>S__54149137.jpg</t>
  </si>
  <si>
    <t>820浴簾已調整完成</t>
  </si>
  <si>
    <t>820浴簾已調整完成.jpg</t>
  </si>
  <si>
    <t>門口上方燈閃碩</t>
  </si>
  <si>
    <t>621門口崁燈已更新完成</t>
  </si>
  <si>
    <t>621門口崁燈已更新完成.jpg</t>
  </si>
  <si>
    <t>20260101-002</t>
  </si>
  <si>
    <t>開關缺零件</t>
  </si>
  <si>
    <t>801 臥室左側床頭燈泡明顯較弱 麻煩請更換 有預進</t>
  </si>
  <si>
    <t>1000006944.jpg</t>
  </si>
  <si>
    <t>801 修復完成</t>
  </si>
  <si>
    <t>801 修復完成.jpg</t>
  </si>
  <si>
    <t>20251231-007</t>
  </si>
  <si>
    <t>門鈴太小聲</t>
  </si>
  <si>
    <t>房間門鈴</t>
  </si>
  <si>
    <t>IMG_9585.jpeg</t>
  </si>
  <si>
    <t>910 門鈴已修復</t>
  </si>
  <si>
    <t>結案</t>
  </si>
  <si>
    <t>20251231-006</t>
  </si>
  <si>
    <t>洗手台下方維修門擋壞掉_x000D_
門無法關上</t>
  </si>
  <si>
    <t>洗手台面</t>
  </si>
  <si>
    <t>IMG_9584.jpeg</t>
  </si>
  <si>
    <t>522房洗手台下房維修門修復完成</t>
  </si>
  <si>
    <t xml:space="preserve">84223_0.jpg : https://ap12.ragic.com/sims/file.jsp?a=soutlet001&amp;f=jeT6zxvCMo%4084223_0.jpg
84224_0.jpg : https://ap12.ragic.com/sims/file.jsp?a=soutlet001&amp;f=y74mMBuW9L%4084224_0.jpg
84225_0.jpg : https://ap12.ragic.com/sims/file.jsp?a=soutlet001&amp;f=NBfPwBQHxa%4084225_0.jpg
</t>
  </si>
  <si>
    <t>20251231-005</t>
  </si>
  <si>
    <t>客廳冷氣無法調暖_x000D_
_x000D_
浴缸灑水/水龍頭切換無法使用</t>
  </si>
  <si>
    <t>浴缸</t>
  </si>
  <si>
    <t>701房間29度客廳24度，蓮蓬頭已更新完成</t>
  </si>
  <si>
    <t xml:space="preserve">84215_0.jpg : https://ap12.ragic.com/sims/file.jsp?a=soutlet001&amp;f=Sa6TGJ5U7p%4084215_0.jpg
84216_0.jpg : https://ap12.ragic.com/sims/file.jsp?a=soutlet001&amp;f=bWCNKGqI8K%4084216_0.jpg
84217_0.jpg : https://ap12.ragic.com/sims/file.jsp?a=soutlet001&amp;f=BBfevrJqCt%4084217_0.jpg
</t>
  </si>
  <si>
    <t>20251231-004</t>
  </si>
  <si>
    <t>703 淋浴間門內門把需維修 有預進</t>
  </si>
  <si>
    <t>淋浴間門</t>
  </si>
  <si>
    <t>1000006928.jpg</t>
  </si>
  <si>
    <t>703處理完成。</t>
  </si>
  <si>
    <t>20251231-003</t>
  </si>
  <si>
    <t>IMG_9583.jpeg</t>
  </si>
  <si>
    <t>927處理完成。</t>
  </si>
  <si>
    <t>20251231-002</t>
  </si>
  <si>
    <t>臥室電話講到一半會變成雜音，請協助確認，謝謝。</t>
  </si>
  <si>
    <t>601線拔掉重插處理完成。</t>
  </si>
  <si>
    <t>20251231-001</t>
  </si>
  <si>
    <t>515床頭底燈條掉落</t>
  </si>
  <si>
    <t>床頭燈</t>
  </si>
  <si>
    <t>IMG_9580.jpeg</t>
  </si>
  <si>
    <t>檢查現場並無掉落</t>
  </si>
  <si>
    <t>20251230-005</t>
  </si>
  <si>
    <t>507 螺絲修飾蓋自己又掉下來了</t>
  </si>
  <si>
    <t>1000006908.jpg</t>
  </si>
  <si>
    <t>507已裝上螺絲修飾蓋</t>
  </si>
  <si>
    <t>84077.jpg</t>
  </si>
  <si>
    <t>20251230-004</t>
  </si>
  <si>
    <t>528 貓眼卡住 有預進</t>
  </si>
  <si>
    <t>貓眼</t>
  </si>
  <si>
    <t>1000006905.jpg</t>
  </si>
  <si>
    <t>528 貓眼已修復</t>
  </si>
  <si>
    <t>528 貓眼已修復.jpg</t>
  </si>
  <si>
    <t>20251230-003</t>
  </si>
  <si>
    <t xml:space="preserve">531 蓮蓬頭斷掉 </t>
  </si>
  <si>
    <t>蓮蓬頭</t>
  </si>
  <si>
    <t>1000006906.jpg</t>
  </si>
  <si>
    <t>531 蓮蓬頭已更換</t>
  </si>
  <si>
    <t>531 蓮蓬頭已更換.jpg</t>
  </si>
  <si>
    <t>20251230-002</t>
  </si>
  <si>
    <t>遮光簾固定零件掉了</t>
  </si>
  <si>
    <t>客房遮光簾/沙簾</t>
  </si>
  <si>
    <t>IMG_9563.jpeg</t>
  </si>
  <si>
    <t>1028已調整處理完成。</t>
  </si>
  <si>
    <t xml:space="preserve">1028 窗廉已修復.jpg : https://ap12.ragic.com/sims/file.jsp?a=soutlet001&amp;f=AzZjKzdb7d%401028+%E7%AA%97%E5%BB%89%E5%B7%B2%E4%BF%AE%E5%BE%A9.jpg
1028 窗廉已修復.jpg : https://ap12.ragic.com/sims/file.jsp?a=soutlet001&amp;f=mVPC0BRwlq%401028+%E7%AA%97%E5%BB%89%E5%B7%B2%E4%BF%AE%E5%BE%A9.jpg
</t>
  </si>
  <si>
    <t>20251230-001</t>
  </si>
  <si>
    <t>馬桶噴水器的水不熱</t>
  </si>
  <si>
    <t>913處理完成，水溫約攝氏29度，有把沖水溫度調到高了。</t>
  </si>
  <si>
    <t>20251229-003</t>
  </si>
  <si>
    <t>608報修，燈泡轉過了但不會亮 (補單)</t>
  </si>
  <si>
    <t>1766989900387.jpg</t>
  </si>
  <si>
    <t>608更換燈泡已亮</t>
  </si>
  <si>
    <t>608更換燈泡已亮.jpg</t>
  </si>
  <si>
    <t>20251229-002</t>
  </si>
  <si>
    <t>蓮蓬頭跟花灑溫度過熱</t>
  </si>
  <si>
    <t>507 熱水進水閥已調整，溫度有下降</t>
  </si>
  <si>
    <t>20251229-001</t>
  </si>
  <si>
    <t>浴簾線斷掉</t>
  </si>
  <si>
    <t>608左床頭燈已更新完成！浴簾拉鍊已修復完成</t>
  </si>
  <si>
    <t>608左床頭燈已更新完成！浴簾拉鍊已修復完成.jpg</t>
  </si>
  <si>
    <t>20251228-006</t>
  </si>
  <si>
    <t>927化粧鏡已固定</t>
  </si>
  <si>
    <t>927化粧鏡已固定.jpg</t>
  </si>
  <si>
    <t>20251228-005</t>
  </si>
  <si>
    <t>627 水龍頭固定</t>
  </si>
  <si>
    <t>627 水龍頭固定.jpg</t>
  </si>
  <si>
    <t>20251228-004</t>
  </si>
  <si>
    <t>拉繩斷</t>
  </si>
  <si>
    <t>701 窗廉拉鍊已修復</t>
  </si>
  <si>
    <t>701 窗廉拉鍊已修復.jpg</t>
  </si>
  <si>
    <t>20251228-003</t>
  </si>
  <si>
    <t>無法回彈</t>
  </si>
  <si>
    <t>洗手台水塞</t>
  </si>
  <si>
    <t>919止水塞已調整完成</t>
  </si>
  <si>
    <t>919止水塞已調整完成.jpg</t>
  </si>
  <si>
    <t>20251228-002</t>
  </si>
  <si>
    <t>浴室燈不亮</t>
  </si>
  <si>
    <t>燈泡不亮</t>
  </si>
  <si>
    <t>20251228-001</t>
  </si>
  <si>
    <t>FOHanson</t>
  </si>
  <si>
    <t>水龍頭跟花灑溫度很難調整 只要轉到一點點熱的就會非常燙</t>
  </si>
  <si>
    <t>507 已經去撿查，目前溫度適中，不建議調整</t>
  </si>
  <si>
    <t>20251227-007</t>
  </si>
  <si>
    <t>5-2 吸塵器 吸不起來 需維修 東西在B1房務辦公室</t>
  </si>
  <si>
    <t>1000006863.jpg</t>
  </si>
  <si>
    <t>管子阻塞清除處理完成。</t>
  </si>
  <si>
    <t>20251227-006</t>
  </si>
  <si>
    <t xml:space="preserve">續住浴缸水龍頭分岔 </t>
  </si>
  <si>
    <t>825 浴缸水龍頭已修復</t>
  </si>
  <si>
    <t>825 浴缸水龍頭已修復.jpg</t>
  </si>
  <si>
    <t>20251227-005</t>
  </si>
  <si>
    <t>客人反映浴室簾子拉不下來</t>
  </si>
  <si>
    <t>603 浴簾已修復</t>
  </si>
  <si>
    <t>20251227-004</t>
  </si>
  <si>
    <t>523 貓眼掉下來了 有預進</t>
  </si>
  <si>
    <t>S__40476741.jpg</t>
  </si>
  <si>
    <t>523 已修復</t>
  </si>
  <si>
    <t>523 已修復.jpg</t>
  </si>
  <si>
    <t>20251227-003</t>
  </si>
  <si>
    <t>進門靠窗沙發上方燈泡不亮</t>
  </si>
  <si>
    <t>IMG_9558.jpeg</t>
  </si>
  <si>
    <t>801 燈泡已更換</t>
  </si>
  <si>
    <t>801 燈泡已更換.jpg</t>
  </si>
  <si>
    <t>20251227-002</t>
  </si>
  <si>
    <t>房間電話有雜訊 請檢查一下</t>
  </si>
  <si>
    <t>IMG_9555.jpeg</t>
  </si>
  <si>
    <t>1019 電話測試沒有雜音</t>
  </si>
  <si>
    <t>20251227-001</t>
  </si>
  <si>
    <t>IMG_9546.jpeg</t>
  </si>
  <si>
    <t>1021 門鈴已修好</t>
  </si>
  <si>
    <t>20251226-008</t>
  </si>
  <si>
    <t>客人反映房內大漏水以及電話是壞的 請盡快協助處理</t>
  </si>
  <si>
    <t xml:space="preserve">12/28 早班檢查 501沒有繼續漏水。_x000D_
12/27 501、502有滴水爲天花板內積水，天花板都無維修孔可處理。_x000D_
_x000D_
</t>
  </si>
  <si>
    <t xml:space="preserve">501502漏水掃除處理4.jpg : https://ap12.ragic.com/sims/file.jsp?a=soutlet001&amp;f=CxuzrJSVeo%40501502%E6%BC%8F%E6%B0%B4%E6%8E%83%E9%99%A4%E8%99%95%E7%90%864.jpg
501502漏水掃除處理3.jpg : https://ap12.ragic.com/sims/file.jsp?a=soutlet001&amp;f=lxnaaz6M6Q%40501502%E6%BC%8F%E6%B0%B4%E6%8E%83%E9%99%A4%E8%99%95%E7%90%863.jpg
501502漏水掃除處理2.jpg : https://ap12.ragic.com/sims/file.jsp?a=soutlet001&amp;f=VBU6DQnvZv%40501502%E6%BC%8F%E6%B0%B4%E6%8E%83%E9%99%A4%E8%99%95%E7%90%862.jpg
501502漏水掃除處理1.jpg : https://ap12.ragic.com/sims/file.jsp?a=soutlet001&amp;f=RWFA22506z%40501502%E6%BC%8F%E6%B0%B4%E6%8E%83%E9%99%A4%E8%99%95%E7%90%861.jpg
</t>
  </si>
  <si>
    <t>20251226-007</t>
  </si>
  <si>
    <t>客反映浴室有一灘水，疑似漏水，請協助檢修</t>
  </si>
  <si>
    <t>12/28 早班檢查 601、602沒有繼續漏水。_x000D_
12/27 601研判熱水管線破裂，造成漏水，目前已關閉冷熱閥止水！將拆601浴缸大理石看破管情形再處理後續。</t>
  </si>
  <si>
    <t>20251226-006</t>
  </si>
  <si>
    <t>客人反應浴缸旁的排水一直有水在流動的聲音</t>
  </si>
  <si>
    <t>落水頭下水孔</t>
  </si>
  <si>
    <t>12/29  更換高壓管，601只剩下封大理石板 _x000D_
12/28 早班檢查 601、602沒有繼續漏水。_x000D_
12/27 601研判熱水管線破裂，造成漏水，目前已關閉冷熱閥止水！將拆601浴缸大理石看破管情形再處理後續。</t>
  </si>
  <si>
    <t>20251226-005</t>
  </si>
  <si>
    <t>郭蕙瑜</t>
  </si>
  <si>
    <t>B1男員工廁進去第一個小尿斗不通了 補單</t>
  </si>
  <si>
    <t>B1男廁小便斗已通</t>
  </si>
  <si>
    <t>B1男廁小便斗已通.jpg</t>
  </si>
  <si>
    <t>20251226-004</t>
  </si>
  <si>
    <t>601 客人反映浴缸一直有排水聲，客人房間內麻煩去協助檢查</t>
  </si>
  <si>
    <t>20251226-003</t>
  </si>
  <si>
    <t>沒有暖氣</t>
  </si>
  <si>
    <t>1029 出風口溫度31度</t>
  </si>
  <si>
    <t>1029 出風口溫度31度.jpg</t>
  </si>
  <si>
    <t>20251226-002</t>
  </si>
  <si>
    <t>電視沒有網路不能觀看</t>
  </si>
  <si>
    <t>房務撤單</t>
  </si>
  <si>
    <t>20251226-001</t>
  </si>
  <si>
    <t>補上工單：709 客人反應沒有暖氣</t>
  </si>
  <si>
    <t>709出風口測30度，濾網也更換完成</t>
  </si>
  <si>
    <t>709出風口測30度，濾網也更換完成.jpg</t>
  </si>
  <si>
    <t>20251225-011</t>
  </si>
  <si>
    <t>洗手槽上方燈不亮</t>
  </si>
  <si>
    <t>IMG_0580.jpeg</t>
  </si>
  <si>
    <t>接觸不良已調整好</t>
  </si>
  <si>
    <t>20251225-010</t>
  </si>
  <si>
    <t>螺絲修飾蓋少一顆</t>
  </si>
  <si>
    <t>IMG_9525.jpeg</t>
  </si>
  <si>
    <t>606螺絲修飾蓋已裝上完成</t>
  </si>
  <si>
    <t>606螺絲修飾蓋已裝上完成.jpg</t>
  </si>
  <si>
    <t>20251225-009</t>
  </si>
  <si>
    <t>825 浴缸缺螺絲修飾蓋*1</t>
  </si>
  <si>
    <t>1000006808.jpg</t>
  </si>
  <si>
    <t>825螺絲修飾蓋已裝上完成</t>
  </si>
  <si>
    <t>825螺絲修飾蓋已裝上完成.jpg</t>
  </si>
  <si>
    <t>20251225-008</t>
  </si>
  <si>
    <t>521 淋浴間缺螺絲修飾蓋*1</t>
  </si>
  <si>
    <t>1000006807.jpg</t>
  </si>
  <si>
    <t>521螺絲修飾蓋已裝上完成</t>
  </si>
  <si>
    <t>521螺絲修飾蓋已裝上完成.jpg</t>
  </si>
  <si>
    <t>20251225-007</t>
  </si>
  <si>
    <t>IMG_9522.jpeg</t>
  </si>
  <si>
    <t>608門鈴已調整完成</t>
  </si>
  <si>
    <t>20251225-006</t>
  </si>
  <si>
    <t xml:space="preserve">823 浴缸缺螺絲修飾蓋*2 </t>
  </si>
  <si>
    <t>1000006797.jpg</t>
  </si>
  <si>
    <t>823螺絲修飾蓋×2已裝上完成</t>
  </si>
  <si>
    <t>823螺絲修飾蓋×2已裝上完成.jpg</t>
  </si>
  <si>
    <t>20251225-005</t>
  </si>
  <si>
    <t>1025門鈴調整完成</t>
  </si>
  <si>
    <t>20251225-004</t>
  </si>
  <si>
    <t>淋浴間止水條</t>
  </si>
  <si>
    <t>1025止水條已更新完成</t>
  </si>
  <si>
    <t>1025止水條已更新完成.jpg</t>
  </si>
  <si>
    <t>20251225-003</t>
  </si>
  <si>
    <t>淋浴間玻璃門卡卡不好開，需要調整</t>
  </si>
  <si>
    <t>浴室玻璃門</t>
  </si>
  <si>
    <t>717淋浴門調整完成</t>
  </si>
  <si>
    <t>20251225-002</t>
  </si>
  <si>
    <t>IMG_0568.jpeg</t>
  </si>
  <si>
    <t>713貓眼調整完成</t>
  </si>
  <si>
    <t>713貓眼調整完成.jpg</t>
  </si>
  <si>
    <t>20251225-001</t>
  </si>
  <si>
    <t>門鈴按第二次之後，聲音消失不見</t>
  </si>
  <si>
    <t>723門鈴已調整完成</t>
  </si>
  <si>
    <t>20251224-008</t>
  </si>
  <si>
    <t>吸塵器需要維修 再房務辦公室 謝謝</t>
  </si>
  <si>
    <t>1000006763.jpg</t>
  </si>
  <si>
    <t>塑膠卡榫已無法固定，改鎖螺絲固定完成</t>
  </si>
  <si>
    <t>塑膠卡榫已無法固定，改鎖螺絲固定完成.jpg</t>
  </si>
  <si>
    <t>20251224-007</t>
  </si>
  <si>
    <t>507 淋浴間缺零件</t>
  </si>
  <si>
    <t>1000006760.jpg</t>
  </si>
  <si>
    <t>507螺絲修飾蓋已裝上完成</t>
  </si>
  <si>
    <t>507螺絲修飾蓋已裝上完成.jpg</t>
  </si>
  <si>
    <t>20251224-006</t>
  </si>
  <si>
    <t>726洗手台固定完成，矽力康未乾，請勿移動，三小時才會乾</t>
  </si>
  <si>
    <t>20251224-005</t>
  </si>
  <si>
    <t>門鎖沒電</t>
  </si>
  <si>
    <t>客房門</t>
  </si>
  <si>
    <t>1016門電池更新完成</t>
  </si>
  <si>
    <t>20251224-004</t>
  </si>
  <si>
    <t>528 洗手台水龍頭出水會分岔 有預進</t>
  </si>
  <si>
    <t>528水龍頭調整完成</t>
  </si>
  <si>
    <t>20251224-003</t>
  </si>
  <si>
    <t>501 電話充電充了很久 還是再閃紅燈 請問是否能換一下電池 有預進 謝謝</t>
  </si>
  <si>
    <t>1000006749.jpg</t>
  </si>
  <si>
    <t>501客廳電話的電池更換完成</t>
  </si>
  <si>
    <t>20251224-002</t>
  </si>
  <si>
    <t>油壓頂桿無作用</t>
  </si>
  <si>
    <t>保險箱</t>
  </si>
  <si>
    <t>921保險箱油壓桿已更新完成</t>
  </si>
  <si>
    <t>921保險箱油壓桿已更新完成.jpg</t>
  </si>
  <si>
    <t>20251224-001</t>
  </si>
  <si>
    <t>812門鈴調整完成</t>
  </si>
  <si>
    <t>20251223-011</t>
  </si>
  <si>
    <t>1015冰箱不冷，拿1022替換，目前不冷的冰箱@1022，再請協助修繕</t>
  </si>
  <si>
    <t>Mini Bar 冰箱</t>
  </si>
  <si>
    <t>12/24 現在1022冰箱溫度是一度正常</t>
  </si>
  <si>
    <t>1022冰箱溫度是一度正常.jpg</t>
  </si>
  <si>
    <t>20251223-010</t>
  </si>
  <si>
    <t>吸塵器轉接頭掉了</t>
  </si>
  <si>
    <t>吸塵器插頭已接好</t>
  </si>
  <si>
    <t>吸塵器插頭已接好.jpg</t>
  </si>
  <si>
    <t>20251223-009</t>
  </si>
  <si>
    <t>IMG_9500.jpeg</t>
  </si>
  <si>
    <t>610左床頭燈已更新完成</t>
  </si>
  <si>
    <t>610左床頭燈已更新完成.jpg</t>
  </si>
  <si>
    <t>20251223-008</t>
  </si>
  <si>
    <t>客廳電話搖動有聲響</t>
  </si>
  <si>
    <t>IMG_9498.jpeg</t>
  </si>
  <si>
    <t>601電話內鐵片固定完成，電話的電池沒電也更換完成</t>
  </si>
  <si>
    <t>20251223-007</t>
  </si>
  <si>
    <t>蓮蓬頭底座漏水</t>
  </si>
  <si>
    <t>812出水口螺絲鬆了，已鎖緊完成</t>
  </si>
  <si>
    <t>20251223-006</t>
  </si>
  <si>
    <t>請協助確認是否補齊矽利康或是同材質 謝謝</t>
  </si>
  <si>
    <t xml:space="preserve">IMG_4390.jpeg : https://ap12.ragic.com/sims/file.jsp?a=soutlet001&amp;f=rDNZPKgTMj%40IMG_4390.jpeg
IMG_4389.jpeg : https://ap12.ragic.com/sims/file.jsp?a=soutlet001&amp;f=j9BtMTIbRQ%40IMG_4389.jpeg
</t>
  </si>
  <si>
    <t>廠商進場修復時已告知此塊大理石有歪斜。若有避免突出，要整座浴缸換掉。</t>
  </si>
  <si>
    <t>20251223-005</t>
  </si>
  <si>
    <t>續住930報修淋浴門手把</t>
  </si>
  <si>
    <t>IMG_9495.jpeg</t>
  </si>
  <si>
    <t>930淋浴門把手固定完成</t>
  </si>
  <si>
    <t>20251223-004</t>
  </si>
  <si>
    <t>補12/16 傍晚 飯店大門</t>
  </si>
  <si>
    <t>已聯絡到廠商，大廳自動門廠商晚間9點多抵達維修完成</t>
  </si>
  <si>
    <t xml:space="preserve">505325_0_0.jpg : https://ap12.ragic.com/sims/file.jsp?a=soutlet001&amp;f=03ip2VvXNW%40505325_0_0.jpg
505326_0_0.jpg : https://ap12.ragic.com/sims/file.jsp?a=soutlet001&amp;f=bATcjcpUTj%40505326_0_0.jpg
505327_0_0.jpg : https://ap12.ragic.com/sims/file.jsp?a=soutlet001&amp;f=SPs7hssXsA%40505327_0_0.jpg
</t>
  </si>
  <si>
    <t>20251223-003</t>
  </si>
  <si>
    <t>側邊止水條斷了</t>
  </si>
  <si>
    <t>IMG_9488.jpeg</t>
  </si>
  <si>
    <t>623側邊止水條已裝上完成</t>
  </si>
  <si>
    <t>623側邊止水條已裝上完成.jpg</t>
  </si>
  <si>
    <t>20251223-002</t>
  </si>
  <si>
    <t>補 / 客外出反映房內及走廊有沼氣味</t>
  </si>
  <si>
    <t>異味</t>
  </si>
  <si>
    <t>大廳主管一同查看無異味</t>
  </si>
  <si>
    <t>20251223-001</t>
  </si>
  <si>
    <t>客房異味換房</t>
  </si>
  <si>
    <t>623現場確認後，目前正常，無異味。</t>
  </si>
  <si>
    <t>20251222-011</t>
  </si>
  <si>
    <t>淋浴間門下沒有防漏水條</t>
  </si>
  <si>
    <t>IMG_9485.jpeg</t>
  </si>
  <si>
    <t>1023止水條安裝完成.jpg</t>
  </si>
  <si>
    <t>20251222-010</t>
  </si>
  <si>
    <t>IMG_9483.jpeg</t>
  </si>
  <si>
    <t>911門鈴已修復完成</t>
  </si>
  <si>
    <t>20251222-009</t>
  </si>
  <si>
    <t>客人反應客廳的電視遙控器按下電視沒反應</t>
  </si>
  <si>
    <t>501已處理完成,客人拿房間遙控器看客廳的，當然無法操作</t>
  </si>
  <si>
    <t>20251222-008</t>
  </si>
  <si>
    <t>R709工單:洗手台水塞故障 (補單)</t>
  </si>
  <si>
    <t>1766377241935.jpg</t>
  </si>
  <si>
    <t>709洗手台水塞修復完成</t>
  </si>
  <si>
    <t>20251222-007</t>
  </si>
  <si>
    <t>門鎖沒電 要更換電池_x000D_
已進請櫃檯幫忙開門反扣了</t>
  </si>
  <si>
    <t>IMG_9479.jpeg</t>
  </si>
  <si>
    <t>921門鎖電池已更新完成</t>
  </si>
  <si>
    <t>20251222-006</t>
  </si>
  <si>
    <t>508門鈴已修復完成</t>
  </si>
  <si>
    <t>20251222-005</t>
  </si>
  <si>
    <t>門邊顏色不一樣需要重新上漆</t>
  </si>
  <si>
    <t>大門</t>
  </si>
  <si>
    <t>1766372877938.jpg</t>
  </si>
  <si>
    <t>20251222-004</t>
  </si>
  <si>
    <t>門邊底需要補漆</t>
  </si>
  <si>
    <t>1766372785439.jpg</t>
  </si>
  <si>
    <t>20251222-003</t>
  </si>
  <si>
    <t xml:space="preserve">天花板裂痕破洞 (20251220 MOD Report)_x000D_
</t>
  </si>
  <si>
    <t>1766372328645.jpg</t>
  </si>
  <si>
    <t>已下單10片平板燈，到貨後更換</t>
  </si>
  <si>
    <t>20251222-002</t>
  </si>
  <si>
    <t>電鈴聲小聲_x000D_
第二次按：電鈴鈴聲就消失了</t>
  </si>
  <si>
    <t>808電鈴已調整完成</t>
  </si>
  <si>
    <t>20251222-001</t>
  </si>
  <si>
    <t>IMG_4365.jpeg</t>
  </si>
  <si>
    <t>530已處理完成</t>
  </si>
  <si>
    <t>20251221-013</t>
  </si>
  <si>
    <t>電話有聲響</t>
  </si>
  <si>
    <t>1030電話內鐵片鬆動，已固定完成</t>
  </si>
  <si>
    <t>20251221-012</t>
  </si>
  <si>
    <t>628 冷氣開19度 但體感不冷 續住 目前客人不在 房務員已續掃完成</t>
  </si>
  <si>
    <t>S__6324287.jpg</t>
  </si>
  <si>
    <t>628出風口已測15度</t>
  </si>
  <si>
    <t>628出風口已測15度.jpg</t>
  </si>
  <si>
    <t>20251221-011</t>
  </si>
  <si>
    <t xml:space="preserve">Amber </t>
  </si>
  <si>
    <t>細粒康需重打</t>
  </si>
  <si>
    <t xml:space="preserve">IMG_4353.jpeg : https://ap12.ragic.com/sims/file.jsp?a=soutlet001&amp;f=0TGLnOOn5F%40IMG_4353.jpeg
IMG_4356.jpeg : https://ap12.ragic.com/sims/file.jsp?a=soutlet001&amp;f=xOt6zt55oY%40IMG_4356.jpeg
IMG_4355.jpeg : https://ap12.ragic.com/sims/file.jsp?a=soutlet001&amp;f=9ktMzh8QxM%40IMG_4355.jpeg
IMG_4354.jpeg : https://ap12.ragic.com/sims/file.jsp?a=soutlet001&amp;f=sadoZEE1qv%40IMG_4354.jpeg
</t>
  </si>
  <si>
    <t>1025 矽力康完成</t>
  </si>
  <si>
    <t xml:space="preserve">80948_0.jpg : https://ap12.ragic.com/sims/file.jsp?a=soutlet001&amp;f=7I4MqoE2n4%4080948_0.jpg
80949_0.jpg : https://ap12.ragic.com/sims/file.jsp?a=soutlet001&amp;f=F5UdcnHtSL%4080949_0.jpg
80950_0.jpg : https://ap12.ragic.com/sims/file.jsp?a=soutlet001&amp;f=M6TLqcxE1E%4080950_0.jpg
80951_0.jpg : https://ap12.ragic.com/sims/file.jsp?a=soutlet001&amp;f=AEhYA9gYHk%4080951_0.jpg
</t>
  </si>
  <si>
    <t>20251221-010</t>
  </si>
  <si>
    <t>油壓頂桿故障</t>
  </si>
  <si>
    <t>701 保險箱油壓桿更換完成</t>
  </si>
  <si>
    <t>20251221-009</t>
  </si>
  <si>
    <t>607/608中間的走廊燈會閃爍</t>
  </si>
  <si>
    <t>607和608廊道已更換燈泡</t>
  </si>
  <si>
    <t xml:space="preserve">607廊道已更換燈泡.jpg : https://ap12.ragic.com/sims/file.jsp?a=soutlet001&amp;f=YlF2rP2oRM%40607%E5%BB%8A%E9%81%93%E5%B7%B2%E6%9B%B4%E6%8F%9B%E7%87%88%E6%B3%A1.jpg
607廊道已更換燈泡2.jpg : https://ap12.ragic.com/sims/file.jsp?a=soutlet001&amp;f=8DU70ZKR1X%40607%E5%BB%8A%E9%81%93%E5%B7%B2%E6%9B%B4%E6%8F%9B%E7%87%88%E6%B3%A12.jpg
</t>
  </si>
  <si>
    <t>20251221-008</t>
  </si>
  <si>
    <t>化妝鏡轉動</t>
  </si>
  <si>
    <t>1028 化粧鏡已固定</t>
  </si>
  <si>
    <t>1028 化粧鏡已固定.jpg</t>
  </si>
  <si>
    <t>20251221-007</t>
  </si>
  <si>
    <t>Tracy</t>
  </si>
  <si>
    <t>門框皮翹起來</t>
  </si>
  <si>
    <t>S__143589462.jpg</t>
  </si>
  <si>
    <t>20251221-006</t>
  </si>
  <si>
    <t>窗簾故障下不來</t>
  </si>
  <si>
    <t>IMG_4336.jpeg</t>
  </si>
  <si>
    <t>1021窗簾調整完成</t>
  </si>
  <si>
    <t>20251221-005</t>
  </si>
  <si>
    <t>電話搖動有電池聲響</t>
  </si>
  <si>
    <t>1021電話內鐵塊固定完成</t>
  </si>
  <si>
    <t>20251221-004</t>
  </si>
  <si>
    <t>浴缸水塞放進去以後, 轉了上面的東西水塞不會起來</t>
  </si>
  <si>
    <t>619浴缸旋扭固定完成</t>
  </si>
  <si>
    <t>619浴缸旋扭固定完成.jpg</t>
  </si>
  <si>
    <t>20251221-003</t>
  </si>
  <si>
    <t>619 臥室床頭櫃 下方電線漏出需檢查一下是否沒接上  有預進 客到</t>
  </si>
  <si>
    <t>床頭</t>
  </si>
  <si>
    <t>S__6324263.jpg</t>
  </si>
  <si>
    <t>619線已接上完成</t>
  </si>
  <si>
    <t>619線已接上完成.jpg</t>
  </si>
  <si>
    <t>20251221-002</t>
  </si>
  <si>
    <t>拉不上去</t>
  </si>
  <si>
    <t>711浴簾調整完成</t>
  </si>
  <si>
    <t>20251221-001</t>
  </si>
  <si>
    <t>電話拿起來沒有嘟嘟聲 可能需要換電池</t>
  </si>
  <si>
    <t>IMG_9466.jpeg</t>
  </si>
  <si>
    <t>電話線卡榫斷了，沒辦法卡入線槽內，電話線換一條已重設，916電話測試正常</t>
  </si>
  <si>
    <t>916電話線卡榫斷了，沒辦法卡入線槽內，電話線換一條已重設，916電話測試正常.jpg</t>
  </si>
  <si>
    <t>20251220-003</t>
  </si>
  <si>
    <t>731 電話需要報修 按了沒聲音 目前客人不再</t>
  </si>
  <si>
    <t>731電話測試正常</t>
  </si>
  <si>
    <t>20251220-002</t>
  </si>
  <si>
    <t>726 續住客人反應馬桶有賭塞問題 客人外出了</t>
  </si>
  <si>
    <t>726馬桶順暢完成</t>
  </si>
  <si>
    <t>20251220-001</t>
  </si>
  <si>
    <t>705 淋浴間止水條斷掉 有預進</t>
  </si>
  <si>
    <t>S__83517457.jpg</t>
  </si>
  <si>
    <t>705止水條修復完成</t>
  </si>
  <si>
    <t>705止水條修復完成.jpg</t>
  </si>
  <si>
    <t>20251219-008</t>
  </si>
  <si>
    <t>客人反映電動窗簾不能使用，請協助</t>
  </si>
  <si>
    <t xml:space="preserve">2/12 已調整完成_x000D_
1/26  工程員反映只能單邊動，已聯繫均辰祥提供設定。_x000D_
1/13  窗簾廠商回覆因為是客製CNC較費工，已經在製作中。_x000D_
12/26 已通知廠商出貨_x000D_
12/24 已下訂單簽核中_x000D_
12/23 收到原安裝廠商均辰祥報價_x000D_
12/21 先聯繫安裝的電動窗簾廠商均辰祥，再進行三家比議價後，由採購進行後續流程。_x000D_
12/20  因卡榫斷裂無法裝回，加上現場無材料更換，須與窗簾廠商確認維修事宜。_x000D_
12/19:  921窗簾的主支架已斷裂，目前無法修復。因安全考量，建請該房鎖房，以維護客戶安全，謝謝。_x000D_
</t>
  </si>
  <si>
    <t xml:space="preserve">80732_0.jpg : https://ap12.ragic.com/sims/file.jsp?a=soutlet001&amp;f=JrVvffpmnE%4080732_0.jpg
80733_0.jpg : https://ap12.ragic.com/sims/file.jsp?a=soutlet001&amp;f=GezJaozxHT%4080733_0.jpg
80734_0.jpg : https://ap12.ragic.com/sims/file.jsp?a=soutlet001&amp;f=73yTXljiY4%4080734_0.jpg
</t>
  </si>
  <si>
    <t>20251219-007</t>
  </si>
  <si>
    <t>517門有點兒下陷,推開會和地板磨擦</t>
  </si>
  <si>
    <t>IMG_9460.jpeg</t>
  </si>
  <si>
    <t>熱脹冷縮現象，無法處理。</t>
  </si>
  <si>
    <t>20251219-006</t>
  </si>
  <si>
    <t xml:space="preserve">725 冷氣一直下不去(一直在25度) 有預進_x000D_
</t>
  </si>
  <si>
    <t>725處理完成。</t>
  </si>
  <si>
    <t>20251219-005</t>
  </si>
  <si>
    <t>12/8 工務維修浴缸水塞時大理石破裂，需修復大理石。</t>
  </si>
  <si>
    <t xml:space="preserve">12/18 廠商修復日程排定星期五進場，因內部流程安排和廠商施工人員行程異動，待廠商通知最快可進場日期_x000D_
12/11廠商進場查看，已報價_x000D_
</t>
  </si>
  <si>
    <t>719大理石廠商已修復完成.jpg</t>
  </si>
  <si>
    <t>20251219-004</t>
  </si>
  <si>
    <t xml:space="preserve">703 貓眼需維修 </t>
  </si>
  <si>
    <t>1000006617.jpg</t>
  </si>
  <si>
    <t>703貓眼修復完成</t>
  </si>
  <si>
    <t>703貓眼修復完成.jpg</t>
  </si>
  <si>
    <t>20251219-003</t>
  </si>
  <si>
    <t>蓮蓬頭接頭分開</t>
  </si>
  <si>
    <t>IMG_9453.jpeg</t>
  </si>
  <si>
    <t>916已修復</t>
  </si>
  <si>
    <t>916已修復.jpg</t>
  </si>
  <si>
    <t>20251219-002</t>
  </si>
  <si>
    <t>窗簾掉下來</t>
  </si>
  <si>
    <t>20251219-001</t>
  </si>
  <si>
    <t>1029調整二通閥處理完成。</t>
  </si>
  <si>
    <t>1029調整二通閥處理完成。.jpg</t>
  </si>
  <si>
    <t>20251218-008</t>
  </si>
  <si>
    <t>IMG_9440.jpeg</t>
  </si>
  <si>
    <t>1025門鈴聲音已處理完成。</t>
  </si>
  <si>
    <t>20251218-007</t>
  </si>
  <si>
    <t>701手把已修復完成</t>
  </si>
  <si>
    <t>20251218-006</t>
  </si>
  <si>
    <t>IMG_9833.jpeg</t>
  </si>
  <si>
    <t>701禁菸牌已固定</t>
  </si>
  <si>
    <t>701禁菸牌已固定.jpg</t>
  </si>
  <si>
    <t>20251218-005</t>
  </si>
  <si>
    <t>IMG_9439.jpeg</t>
  </si>
  <si>
    <t>603更新完成</t>
  </si>
  <si>
    <t>603已更新完成.jpg</t>
  </si>
  <si>
    <t>20251218-004</t>
  </si>
  <si>
    <t>5F#30~#19房間走廊上沼氣味很重</t>
  </si>
  <si>
    <t xml:space="preserve">工程員去現場又沒聞到，異味不時出現_x000D_
_x000D_
</t>
  </si>
  <si>
    <t>20251218-003</t>
  </si>
  <si>
    <t>615處理完成</t>
  </si>
  <si>
    <t>20251218-002</t>
  </si>
  <si>
    <t>保險箱沒有緩衝</t>
  </si>
  <si>
    <t>726緩衝處理完成。</t>
  </si>
  <si>
    <t>726緩衝處理完成。.jpg</t>
  </si>
  <si>
    <t>20251217-006</t>
  </si>
  <si>
    <t>A bar男廁第二間門內把手脫落</t>
  </si>
  <si>
    <t>浴廁拉門</t>
  </si>
  <si>
    <t>1000016767.jpg</t>
  </si>
  <si>
    <t>已鎖緊處理完成</t>
  </si>
  <si>
    <t>A bar男廁第二間已鎖緊處理完成.jpg</t>
  </si>
  <si>
    <t>20251217-005</t>
  </si>
  <si>
    <t>電話無法正常通話，請於退房後檢修，謝謝。</t>
  </si>
  <si>
    <t>12/29 截至客人退房後已5天，未有反應電話無法使用。_x000D_
12/24客人退房後，若有反應電話無法使用再進房查修。</t>
  </si>
  <si>
    <t>20251217-004</t>
  </si>
  <si>
    <t>客人反應暖氣溫度上不去</t>
  </si>
  <si>
    <t>1029冷暖氣調整完成</t>
  </si>
  <si>
    <t>82092.jpg</t>
  </si>
  <si>
    <t>20251217-003</t>
  </si>
  <si>
    <t>洗手槽水龍頭座鬆動</t>
  </si>
  <si>
    <t>IMG_9761.jpeg</t>
  </si>
  <si>
    <t>823水龍頭固定完成</t>
  </si>
  <si>
    <t>image_F0595EE3-6D22-4E00-9B67-D9038B681C60_1765950408_compressed.jpeg</t>
  </si>
  <si>
    <t>20251217-002</t>
  </si>
  <si>
    <t>926保險箱油壓桿更新完成</t>
  </si>
  <si>
    <t>image_451D5659-9FB1-42B9-8DD2-672CD6954B94_1765950372_compressed.jpeg</t>
  </si>
  <si>
    <t>20251217-001</t>
  </si>
  <si>
    <t>IMG_9738.jpeg</t>
  </si>
  <si>
    <t xml:space="preserve">923已調整完成	</t>
  </si>
  <si>
    <t>20251216-006</t>
  </si>
  <si>
    <t>文心</t>
  </si>
  <si>
    <t>717止水條已更新完成</t>
  </si>
  <si>
    <t>717止水條已更新完成.jpg</t>
  </si>
  <si>
    <t>20251216-005</t>
  </si>
  <si>
    <t>電視黑屏</t>
  </si>
  <si>
    <t>1025電視機上盒更新完成</t>
  </si>
  <si>
    <t>1025電視機上盒更新完成.jpg</t>
  </si>
  <si>
    <t>20251216-004</t>
  </si>
  <si>
    <t>929 已退 客人反應 電話無法撥櫃檯 回撥會直接掛斷 再麻煩協助修繕 謝謝</t>
  </si>
  <si>
    <t>929 測試電話正常</t>
  </si>
  <si>
    <t>20251216-003</t>
  </si>
  <si>
    <t xml:space="preserve">826 電視黑頻 有預進 </t>
  </si>
  <si>
    <t>1000006582.jpg</t>
  </si>
  <si>
    <t>826電視更新完成</t>
  </si>
  <si>
    <t>81959.jpg</t>
  </si>
  <si>
    <t>20251216-002</t>
  </si>
  <si>
    <t>926 告知洗手槽的水栓卡住，客人已外出，請再去房間內協助處理</t>
  </si>
  <si>
    <t>926 已修復</t>
  </si>
  <si>
    <t>80321.jpg</t>
  </si>
  <si>
    <t>20251216-001</t>
  </si>
  <si>
    <t>洗手台水塞卡住</t>
  </si>
  <si>
    <t>925已修復</t>
  </si>
  <si>
    <t>80323.jpg</t>
  </si>
  <si>
    <t>20251215-003</t>
  </si>
  <si>
    <t>客人反應電話無法撥至櫃檯，且FO回撥電話回去會直接掛斷，客表示請於退房後處理</t>
  </si>
  <si>
    <t>20251215-002</t>
  </si>
  <si>
    <t>822 電視黑頻 有預進 補單</t>
  </si>
  <si>
    <t>822 電視更新完成</t>
  </si>
  <si>
    <t>822 電視更新完成.jpg</t>
  </si>
  <si>
    <t>20251215-001</t>
  </si>
  <si>
    <t>911 冰箱不冷 補單</t>
  </si>
  <si>
    <t>1/8 十圖進廠維修更換零件，已正常_x000D_
12/15 911冰箱7度，跟815房的冰箱換。待找冰箱原廠確認維修零件</t>
  </si>
  <si>
    <t xml:space="preserve">911冰箱7度，跟815房的冰箱換.jpg : https://ap12.ragic.com/sims/file.jsp?a=soutlet001&amp;f=UEabUR3r7F%40911%E5%86%B0%E7%AE%B17%E5%BA%A6%EF%BC%8C%E8%B7%9F815%E6%88%BF%E7%9A%84%E5%86%B0%E7%AE%B1%E6%8F%9B.jpg
20260108 冰箱換冷管排溫度-2度正常.jpg : https://ap12.ragic.com/sims/file.jsp?a=soutlet001&amp;f=omJmTuNvVE%4020260108+%E5%86%B0%E7%AE%B1%E6%8F%9B%E5%86%B7%E7%AE%A1%E6%8E%92%E6%BA%AB%E5%BA%A6-2%E5%BA%A6%E6%AD%A3%E5%B8%B8.jpg
</t>
  </si>
  <si>
    <t>20251214-004</t>
  </si>
  <si>
    <t>616 馬桶後方一樣再漏水哦 已放乾擦毛*1</t>
  </si>
  <si>
    <t>1000006565.jpg</t>
  </si>
  <si>
    <t xml:space="preserve">1/9  兩人作業馬桶水箱墊片更新完成_x000D_
12/29 馬桶排汙套管和止水橡皮墊到貨，可進房安裝。_x000D_
12/22 已請採下單馬桶排汙套管_x000D_
12/16 已請採下單止水橡皮墊_x000D_
12/4   616馬桶下方滴水已先塗矽力康把溝槽抹上，並塞抹布。經觀察後仍漏水無效，12/15 副理下令須購買密封橡膠墊把馬桶拆卸裝整組更換_x000D_
</t>
  </si>
  <si>
    <t xml:space="preserve">616馬桶漏水是微漏，因為有預進，已先暫時放布在馬桶下方，等客退房後再處理.jpg : https://ap12.ragic.com/sims/file.jsp?a=soutlet001&amp;f=zpJsVeHqaW%40616%E9%A6%AC%E6%A1%B6%E6%BC%8F%E6%B0%B4%E6%98%AF%E5%BE%AE%E6%BC%8F%EF%BC%8C%E5%9B%A0%E7%82%BA%E6%9C%89%E9%A0%90%E9%80%B2%EF%BC%8C%E5%B7%B2%E5%85%88%E6%9A%AB%E6%99%82%E6%94%BE%E5%B8%83%E5%9C%A8%E9%A6%AC%E6%A1%B6%E4%B8%8B%E6%96%B9%EF%BC%8C%E7%AD%89%E5%AE%A2%E9%80%80%E6%88%BF%E5%BE%8C%E5%86%8D%E8%99%95%E7%90%86.jpg
124   616馬桶下方滴水已先塗矽力康把溝槽抹上，並塞抹布。經觀察後仍漏水無效，1215 副理下令須購買密封橡膠墊把馬桶拆卸裝整組更換.jpg : https://ap12.ragic.com/sims/file.jsp?a=soutlet001&amp;f=4qOvCcAekt%40124%C2%A0%C2%A0+616%E9%A6%AC%E6%A1%B6%E4%B8%8B%E6%96%B9%E6%BB%B4%E6%B0%B4%E5%B7%B2%E5%85%88%E5%A1%97%E7%9F%BD%E5%8A%9B%E5%BA%B7%E6%8A%8A%E6%BA%9D%E6%A7%BD%E6%8A%B9%E4%B8%8A%EF%BC%8C%E4%B8%A6%E5%A1%9E%E6%8A%B9%E5%B8%83%E3%80%82%E7%B6%93%E8%A7%80%E5%AF%9F%E5%BE%8C%E4%BB%8D%E6%BC%8F%E6%B0%B4%E7%84%A1%E6%95%88%EF%BC%8C1215+%E5%89%AF%E7%90%86%E4%B8%8B%E4%BB%A4%E9%A0%88%E8%B3%BC%E8%B2%B7%E5%AF%86%E5%B0%81%E6%A9%A1%E8%86%A0%E5%A2%8A%E6%8A%8A%E9%A6%AC%E6%A1%B6%E6%8B%86%E5%8D%B8%E8%A3%9D%E6%95%B4%E7%B5%84%E6%9B%B4%E6%8F%9B.jpg
</t>
  </si>
  <si>
    <t>20251214-003</t>
  </si>
  <si>
    <t>R1028 工單: 薄紗簾卡住了，無法再往上拉。 (補單)</t>
  </si>
  <si>
    <t>1765698785882.jpg</t>
  </si>
  <si>
    <t>1028 窗廉已修復</t>
  </si>
  <si>
    <t>1028 窗廉已修復.jpg</t>
  </si>
  <si>
    <t>20251214-002</t>
  </si>
  <si>
    <t>605 淋浴間門無法完全密合 有預進</t>
  </si>
  <si>
    <t>1000006560.jpg</t>
  </si>
  <si>
    <t>605 調整完成</t>
  </si>
  <si>
    <t>605 調整完成.jpg</t>
  </si>
  <si>
    <t>20251214-001</t>
  </si>
  <si>
    <t>有黑色物質衝出</t>
  </si>
  <si>
    <t>730水已排放五、六分，已沒看見有黑色物資，已更新蓮蓬頭、管內小濾網</t>
  </si>
  <si>
    <t>20251213-011</t>
  </si>
  <si>
    <t>拉不下來</t>
  </si>
  <si>
    <t>1013 浴簾修復</t>
  </si>
  <si>
    <t>1013 浴簾修復.jpg</t>
  </si>
  <si>
    <t>20251213-010</t>
  </si>
  <si>
    <t>有噪音</t>
  </si>
  <si>
    <t>衣櫃拉門</t>
  </si>
  <si>
    <t>811衣廚門已調整完成</t>
  </si>
  <si>
    <t>20251213-009</t>
  </si>
  <si>
    <t>右邊床燈泡不亮</t>
  </si>
  <si>
    <t>IMG_9514.jpeg</t>
  </si>
  <si>
    <t>622 電燈泡已更換</t>
  </si>
  <si>
    <t>622 電燈泡已更換.jpg</t>
  </si>
  <si>
    <t>20251213-008</t>
  </si>
  <si>
    <t>630水龍頭固定完成</t>
  </si>
  <si>
    <t>630水龍頭固定完成.jpg</t>
  </si>
  <si>
    <t>20251213-007</t>
  </si>
  <si>
    <t>712 電視黑頻 有預進</t>
  </si>
  <si>
    <t>1000006544.jpg</t>
  </si>
  <si>
    <t>電視復歸了 請再測試一下</t>
  </si>
  <si>
    <t>20251213-006</t>
  </si>
  <si>
    <t>客廳跟房間的電視黑頻</t>
  </si>
  <si>
    <t>機上盒</t>
  </si>
  <si>
    <t>20251213-005</t>
  </si>
  <si>
    <t>電視黑頻</t>
  </si>
  <si>
    <t>20251213-004</t>
  </si>
  <si>
    <t>門片裂開</t>
  </si>
  <si>
    <t>607 門飾片已修復</t>
  </si>
  <si>
    <t>607 門飾片已修復.jpg</t>
  </si>
  <si>
    <t>20251213-003</t>
  </si>
  <si>
    <t>房門開啟關閉鐵條的摩擦聲音</t>
  </si>
  <si>
    <t>607 門規道已潤滑，聲響排除</t>
  </si>
  <si>
    <t>20251213-002</t>
  </si>
  <si>
    <t>607 淋浴間門須維修 客人把門往內推了 有預進</t>
  </si>
  <si>
    <t>S__4857885.jpg</t>
  </si>
  <si>
    <t>607 門止水條先拆下，將門調整外推，已調整完成。</t>
  </si>
  <si>
    <t>20251213-001</t>
  </si>
  <si>
    <t>暖氣異常</t>
  </si>
  <si>
    <t xml:space="preserve">725出風口25、26度，熱水閥全開 _x000D_
</t>
  </si>
  <si>
    <t>725出風口25、26度.jpg</t>
  </si>
  <si>
    <t>20251212-005</t>
  </si>
  <si>
    <t>20251212-004</t>
  </si>
  <si>
    <t>電視HDMI 1 沒有畫面</t>
  </si>
  <si>
    <t>707 已經修好放IP了</t>
  </si>
  <si>
    <t>20251212-003</t>
  </si>
  <si>
    <t>淋浴間玻璃門，卡住不能關</t>
  </si>
  <si>
    <t>703浴門處理完成</t>
  </si>
  <si>
    <t>image_6D4A61C3-A864-4999-BDDD-81E8FF9CB514_1765611801_compressed.jpeg</t>
  </si>
  <si>
    <t>20251212-002</t>
  </si>
  <si>
    <t>畫面黑頻</t>
  </si>
  <si>
    <t>20251212-001</t>
  </si>
  <si>
    <t>527門鈴修復完</t>
  </si>
  <si>
    <t>20251211-009</t>
  </si>
  <si>
    <t>825處理完成。</t>
  </si>
  <si>
    <t>79768.jpg</t>
  </si>
  <si>
    <t>20251211-008</t>
  </si>
  <si>
    <t>R728 工單: 客房門框調木條破損 (補單)</t>
  </si>
  <si>
    <t>IMG_20251211_144454.jpg</t>
  </si>
  <si>
    <t>728處理完成。</t>
  </si>
  <si>
    <t>79757.jpg</t>
  </si>
  <si>
    <t>20251211-007</t>
  </si>
  <si>
    <t>807處理完成。</t>
  </si>
  <si>
    <t>20251211-006</t>
  </si>
  <si>
    <t>門鈴單音很小聲</t>
  </si>
  <si>
    <t>803門鈴處理完畢，已有雙音。</t>
  </si>
  <si>
    <t>20251211-005</t>
  </si>
  <si>
    <t>衣櫃抽屜木條需要固定</t>
  </si>
  <si>
    <t>抽屜</t>
  </si>
  <si>
    <t>IMG_8563.jpeg</t>
  </si>
  <si>
    <t>1019處理完成。</t>
  </si>
  <si>
    <t>79740.jpg</t>
  </si>
  <si>
    <t>20251211-004</t>
  </si>
  <si>
    <t>崁燈一直閃爍</t>
  </si>
  <si>
    <t>509現場確認，燈泡並無閃爍，但仍依照客人要求，更換一個新燈泡。</t>
  </si>
  <si>
    <t>20251211-003</t>
  </si>
  <si>
    <t>維修房號為511處理完成。</t>
  </si>
  <si>
    <t>79692.jpg</t>
  </si>
  <si>
    <t>20251211-002</t>
  </si>
  <si>
    <t>客房門框條木條破損</t>
  </si>
  <si>
    <t>IMG_9387.jpeg</t>
  </si>
  <si>
    <t>820處理完成。</t>
  </si>
  <si>
    <t>79689.jpg</t>
  </si>
  <si>
    <t>20251211-001</t>
  </si>
  <si>
    <t>浴簾繩子斷掉</t>
  </si>
  <si>
    <t>IMG_9384.jpeg</t>
  </si>
  <si>
    <t>813處理完成。</t>
  </si>
  <si>
    <t>20251210-005</t>
  </si>
  <si>
    <t>508 水龍頭鎖緊了</t>
  </si>
  <si>
    <t>20251210-004</t>
  </si>
  <si>
    <t>810 客人反映廁所拉門關起後很難拉開，請協助查詢</t>
  </si>
  <si>
    <t>810 浴室拉門調整完成</t>
  </si>
  <si>
    <t>image_464147F2-7D6F-4CF9-8D41-A6AB120E33B2_1765369337_compressed.jpeg</t>
  </si>
  <si>
    <t>20251210-003</t>
  </si>
  <si>
    <t>門鈴聲音小需調整</t>
  </si>
  <si>
    <t>IMG_8555.jpeg</t>
  </si>
  <si>
    <t>803已調整好</t>
  </si>
  <si>
    <t>20251210-002</t>
  </si>
  <si>
    <t>IMG_8553.jpeg</t>
  </si>
  <si>
    <t>921門擋片已裝上</t>
  </si>
  <si>
    <t>image_D1AAE93E-833A-43FC-BE7D-985E2A490CCF_1765363436_compressed.jpeg</t>
  </si>
  <si>
    <t>20251210-001</t>
  </si>
  <si>
    <t>R722 工單: 薄紗簾被客人拉壞了，請協助修理，謝謝  (補單)</t>
  </si>
  <si>
    <t>1765331071818.jpg</t>
  </si>
  <si>
    <t>722已裝上</t>
  </si>
  <si>
    <t>722已裝上.jpg</t>
  </si>
  <si>
    <t>20251209-007</t>
  </si>
  <si>
    <t>馬桶上方的排風網掉落, 客人表示 12/10 早上10:00後再進房維修, 掉落的排風網在櫃檯. 客人並無不悅的情緒.</t>
  </si>
  <si>
    <t>613已裝上</t>
  </si>
  <si>
    <t>613已裝上.jpg</t>
  </si>
  <si>
    <t>20251209-006</t>
  </si>
  <si>
    <t>IMG_8547.jpeg</t>
  </si>
  <si>
    <t>1022門鈴調整完成</t>
  </si>
  <si>
    <t>20251209-005</t>
  </si>
  <si>
    <t>保險箱沒電</t>
  </si>
  <si>
    <t>1013保險箱電池已更新完成</t>
  </si>
  <si>
    <t>1013保險箱電池已更新完成.jpg</t>
  </si>
  <si>
    <t>20251209-004</t>
  </si>
  <si>
    <t>IMG_8543.jpeg</t>
  </si>
  <si>
    <t>1028已修復</t>
  </si>
  <si>
    <t>20251209-003</t>
  </si>
  <si>
    <t>馬桶按壓把手鬆動</t>
  </si>
  <si>
    <t>IMG_8542.jpeg</t>
  </si>
  <si>
    <t>1029已修復</t>
  </si>
  <si>
    <t>1029已修復.jpg</t>
  </si>
  <si>
    <t>20251209-002</t>
  </si>
  <si>
    <t>續住房。客人目前不在。工程維修請先聯絡房務部一起進房。謝謝_x000D_
電話故障：完全沒有聲音可能需要換電池</t>
  </si>
  <si>
    <t>820已換電池</t>
  </si>
  <si>
    <t>20251209-001</t>
  </si>
  <si>
    <t>FO WILSON</t>
  </si>
  <si>
    <t>洗手台及免治馬桶沒有熱水</t>
  </si>
  <si>
    <t xml:space="preserve">調高便座坐墊溫度和出水溫度，只有溫溫的_x000D_
_x000D_
</t>
  </si>
  <si>
    <t>20251208-001</t>
  </si>
  <si>
    <t>浴缸水栓位置移位</t>
  </si>
  <si>
    <t>宣元隆已進場修補完成</t>
  </si>
  <si>
    <t>20251207-004</t>
  </si>
  <si>
    <t>927電話都是雜音</t>
  </si>
  <si>
    <t>927現場檢查及測試後，目前無雜音，謝謝。</t>
  </si>
  <si>
    <t>20251207-003</t>
  </si>
  <si>
    <t>913浴簾下不來</t>
  </si>
  <si>
    <t>913處理完成</t>
  </si>
  <si>
    <t>913處理完成.jpg</t>
  </si>
  <si>
    <t>20251207-002</t>
  </si>
  <si>
    <t>大廳展示燈閃爍</t>
  </si>
  <si>
    <t>無燈條，待確認備品材質。工程員調整有時因接觸不良而不亮。</t>
  </si>
  <si>
    <t>20251207-001</t>
  </si>
  <si>
    <t>浴缸窗簾無法拉動</t>
  </si>
  <si>
    <t>825 已處理完成</t>
  </si>
  <si>
    <t>20251206-005</t>
  </si>
  <si>
    <t>IMG_8531.jpeg</t>
  </si>
  <si>
    <t>505處理完成。</t>
  </si>
  <si>
    <t>20251206-004</t>
  </si>
  <si>
    <t>浴室玻璃門把手鬆動</t>
  </si>
  <si>
    <t>IMG_8530.jpeg</t>
  </si>
  <si>
    <t>526處理完成。</t>
  </si>
  <si>
    <t>526處理完成.jpg</t>
  </si>
  <si>
    <t>20251206-003</t>
  </si>
  <si>
    <t>630房馬桶處理完成</t>
  </si>
  <si>
    <t>630房馬桶處理完成.jpg</t>
  </si>
  <si>
    <t>20251206-002</t>
  </si>
  <si>
    <t>728花灑跟蓮蓬頭同時有出水</t>
  </si>
  <si>
    <t>728浴室處理完成</t>
  </si>
  <si>
    <t>728浴室處理完成.jpg</t>
  </si>
  <si>
    <t>20251206-001</t>
  </si>
  <si>
    <t>空調不會出風</t>
  </si>
  <si>
    <t>911髒的綠網已更換</t>
  </si>
  <si>
    <t>20251205-009</t>
  </si>
  <si>
    <t>925 化妝鏡沒電 有預進 補單</t>
  </si>
  <si>
    <t>1000006451.jpg</t>
  </si>
  <si>
    <t>電具壞了沒物料修，先更換815 燈具，925 目前可以亮了</t>
  </si>
  <si>
    <t>925燈亮了.jpg</t>
  </si>
  <si>
    <t>20251205-008</t>
  </si>
  <si>
    <t>931 遮光簾無法捲起 客到 補單</t>
  </si>
  <si>
    <t>1000006454.jpg</t>
  </si>
  <si>
    <t>931已可正常上下啟動</t>
  </si>
  <si>
    <t>20251205-007</t>
  </si>
  <si>
    <t>門把掉落</t>
  </si>
  <si>
    <t>IMG_9535.jpeg</t>
  </si>
  <si>
    <t>窯廳已修復門把</t>
  </si>
  <si>
    <t>窯廳已修復.jpg</t>
  </si>
  <si>
    <t>20251205-006</t>
  </si>
  <si>
    <t>洗手槽水龍頭開關壞掉</t>
  </si>
  <si>
    <t>830已修復</t>
  </si>
  <si>
    <t>20251205-005</t>
  </si>
  <si>
    <t>客廳捲簾拉鍊斷了</t>
  </si>
  <si>
    <t>IMG_8517.jpeg</t>
  </si>
  <si>
    <t>701已重新裝上</t>
  </si>
  <si>
    <t>image_263F69FA-86CE-40B8-ACEE-2145E9D78657_1764936396_compressed.jpeg</t>
  </si>
  <si>
    <t>20251205-004</t>
  </si>
  <si>
    <t>遮光窗簾升起來的時候會有異音 麻煩檢查一下</t>
  </si>
  <si>
    <t>IMG_8514.jpeg</t>
  </si>
  <si>
    <t>測試後不影響使用，可賣房</t>
  </si>
  <si>
    <t>20251205-003</t>
  </si>
  <si>
    <t>浴室玻璃門卡卡的 要調整</t>
  </si>
  <si>
    <t>IMG_8513.jpeg</t>
  </si>
  <si>
    <t>721已調整完成</t>
  </si>
  <si>
    <t>20251205-002</t>
  </si>
  <si>
    <t>610現在30度，暖氣正常，一樣冷熱面板控制即可</t>
  </si>
  <si>
    <t>image_C2AACE54-E102-4080-9CB6-C149D825614B_1764933506_compressed.jpeg</t>
  </si>
  <si>
    <t>20251205-001</t>
  </si>
  <si>
    <t>冷氣異常 無暖氣</t>
  </si>
  <si>
    <t>713已有暖氣，出風25度，熱水閥全開就正常了</t>
  </si>
  <si>
    <t xml:space="preserve">image_7D66BC7E-F852-433C-A4CE-2974CEE37A26_1764933394_compressed.jpeg : https://ap12.ragic.com/sims/file.jsp?a=soutlet001&amp;f=F5a5U6zF1U%40image_7D66BC7E-F852-433C-A4CE-2974CEE37A26_1764933394_compressed.jpeg
image_D8D221D2-0663-447F-BEF1-21322C6F05FB_1764933394_compressed.jpeg : https://ap12.ragic.com/sims/file.jsp?a=soutlet001&amp;f=pedzw94NWv%40image_D8D221D2-0663-447F-BEF1-21322C6F05FB_1764933394_compressed.jpeg
</t>
  </si>
  <si>
    <t>20251204-003</t>
  </si>
  <si>
    <t>話機沒電</t>
  </si>
  <si>
    <t>520已更換</t>
  </si>
  <si>
    <t>520已更換.jpg</t>
  </si>
  <si>
    <t>20251204-002</t>
  </si>
  <si>
    <t>插座蓋掉囉</t>
  </si>
  <si>
    <t>牆面破損</t>
  </si>
  <si>
    <t>525處理完成</t>
  </si>
  <si>
    <t>525處理完成.jpg</t>
  </si>
  <si>
    <t>20251204-001</t>
  </si>
  <si>
    <t>電話沒有聲音</t>
  </si>
  <si>
    <t>831電話完成，已與櫃檯雙方打電話測試ok</t>
  </si>
  <si>
    <t>20251203-006</t>
  </si>
  <si>
    <t xml:space="preserve"> 601 立燈燈罩掉下來了 麻煩請維修 完成後請協助 搬到601 退房房內 _x000D_
補單</t>
  </si>
  <si>
    <t>1000006420.jpg</t>
  </si>
  <si>
    <t>601立燈修復完成</t>
  </si>
  <si>
    <t>601立燈修復完成.jpg</t>
  </si>
  <si>
    <t>20251203-005</t>
  </si>
  <si>
    <t>629 水龍頭底座需固定 有預進 補單</t>
  </si>
  <si>
    <t>629水龍頭固定完成</t>
  </si>
  <si>
    <t>629水龍頭固定完成.jpg</t>
  </si>
  <si>
    <t>20251203-004</t>
  </si>
  <si>
    <t>703 淋浴間門關不密合 有預進 補單</t>
  </si>
  <si>
    <t>1000006412.jpg</t>
  </si>
  <si>
    <t>703 淋浴間門關不密合 有預進</t>
  </si>
  <si>
    <t>703 淋浴間門關不密合 有預進.jpg</t>
  </si>
  <si>
    <t>20251203-003</t>
  </si>
  <si>
    <t>洗手槽水龍頭架搖晃</t>
  </si>
  <si>
    <t>916洗手台水龍頭固定完成</t>
  </si>
  <si>
    <t>image_F0147685-74FD-4148-9AF7-144A809D1246_1764761900_compressed.jpeg</t>
  </si>
  <si>
    <t>20251203-002</t>
  </si>
  <si>
    <t>IMG_8435.jpeg</t>
  </si>
  <si>
    <t>803已裝上浴簾</t>
  </si>
  <si>
    <t>803已裝上浴簾.jpg</t>
  </si>
  <si>
    <t>20251203-001</t>
  </si>
  <si>
    <t>系統已重啟半小時 面板23度 出風24度</t>
  </si>
  <si>
    <t>631 出風口溫度16度，客人沒將面版設定調整至低溫及風量調太小</t>
  </si>
  <si>
    <t>20251202-005</t>
  </si>
  <si>
    <t>820 客反映房內空調不冷，請協助查詢</t>
  </si>
  <si>
    <t>820 房間出風口溫度,</t>
  </si>
  <si>
    <t>820 房間出風口溫度.jpg</t>
  </si>
  <si>
    <t>20251202-004</t>
  </si>
  <si>
    <t>客反映房內空調不冷，請協助查詢</t>
  </si>
  <si>
    <t>出風口測20度，客人説在等看看</t>
  </si>
  <si>
    <t>20251202-003</t>
  </si>
  <si>
    <t xml:space="preserve"> 馬桶上方燈不亮</t>
  </si>
  <si>
    <t>832111.jpg</t>
  </si>
  <si>
    <t>621已修好</t>
  </si>
  <si>
    <t>621已修好.jpg</t>
  </si>
  <si>
    <t>20251202-002</t>
  </si>
  <si>
    <t>冷氣不冷 12/1晚間測試溫度顯示25度，面板顯示25度</t>
  </si>
  <si>
    <t>813出風溫度13度，已正常</t>
  </si>
  <si>
    <t>813出風溫度13度，已正常.jpg</t>
  </si>
  <si>
    <t>20251202-001</t>
  </si>
  <si>
    <t>9 樓員工樓梯廳</t>
  </si>
  <si>
    <t>9樓之2倉庫的門擋鐵片需維修</t>
  </si>
  <si>
    <t>831768.jpg</t>
  </si>
  <si>
    <t>門擋鐵片已調整完成</t>
  </si>
  <si>
    <t>9樓門擋鐵片已調整完成.jpg</t>
  </si>
  <si>
    <t>20251201-004</t>
  </si>
  <si>
    <t>冷氣不冷</t>
  </si>
  <si>
    <t>815客人回館，有陪同客人上樓確認溫度，溫度槍顯示20度，出風狀況客人接受，有需要調整會再通知</t>
  </si>
  <si>
    <t>20251201-003</t>
  </si>
  <si>
    <t>813 客人回館，有陪同客人上樓確認溫度，溫度槍顯示20度，出風狀況客人接受，有需要調整會再通知</t>
  </si>
  <si>
    <t>813 客人回館，有陪同客人上樓確認溫度，溫度槍顯示20度，出風狀況客人接受，有需要調整會再通知.jpg</t>
  </si>
  <si>
    <t>20251201-002</t>
  </si>
  <si>
    <t>淋浴間的門往裡面推</t>
  </si>
  <si>
    <t>607淋浴門調整完成</t>
  </si>
  <si>
    <t>607淋浴門調整完成.jpg</t>
  </si>
  <si>
    <t>20251201-001</t>
  </si>
  <si>
    <t>洗漱盆有聲音</t>
  </si>
  <si>
    <t>726水滴水管聲，屬正常</t>
  </si>
  <si>
    <t>20251130-006</t>
  </si>
  <si>
    <t>門鈴完全沒聲音</t>
  </si>
  <si>
    <t>IMG_8478.jpeg</t>
  </si>
  <si>
    <t>508處理完成。</t>
  </si>
  <si>
    <t>20251130-005</t>
  </si>
  <si>
    <t>IMG_8476.jpeg</t>
  </si>
  <si>
    <t>531現場測試正常。</t>
  </si>
  <si>
    <t>20251130-004</t>
  </si>
  <si>
    <t>717修復完成</t>
  </si>
  <si>
    <t>717修復完成.jpg</t>
  </si>
  <si>
    <t>20251130-003</t>
  </si>
  <si>
    <t>馬桶後面漏水</t>
  </si>
  <si>
    <t xml:space="preserve">IMG_8472.jpeg : https://ap12.ragic.com/sims/file.jsp?a=soutlet001&amp;f=lYv7CSPncT%40IMG_8472.jpeg
IMG_8473.jpeg : https://ap12.ragic.com/sims/file.jsp?a=soutlet001&amp;f=pzGQw7CKpu%40IMG_8473.jpeg
</t>
  </si>
  <si>
    <t>616馬桶漏水是微漏，因為有預進，已先暫時放布在馬桶下方，等客退房後再處理</t>
  </si>
  <si>
    <t>616馬桶漏水是微漏，因為有預進，已先暫時放布在馬桶下方，等客退房後再處理.jpg</t>
  </si>
  <si>
    <t>20251130-002</t>
  </si>
  <si>
    <t>IMG_8471.jpeg</t>
  </si>
  <si>
    <t>503床頭燈已更新完成</t>
  </si>
  <si>
    <t>503床頭燈已更新完成.jpg</t>
  </si>
  <si>
    <t>20251130-001</t>
  </si>
  <si>
    <t>秀琳</t>
  </si>
  <si>
    <t>浴簾繩子斷了</t>
  </si>
  <si>
    <t>IMG_1056.jpeg</t>
  </si>
  <si>
    <t>608浴簾已修復完成</t>
  </si>
  <si>
    <t>608浴簾已修復完成.jpg</t>
  </si>
  <si>
    <t>20251129-004</t>
  </si>
  <si>
    <t>919 客人表示房間太冷，能麻煩去房間內協助嗎</t>
  </si>
  <si>
    <t>919目前已將室內溫度調至28度，並請客人等待數分鐘，如有問題再告知櫃台。</t>
  </si>
  <si>
    <t>20251129-003</t>
  </si>
  <si>
    <t>門擋鐵片掉落</t>
  </si>
  <si>
    <t>已用矽力康固定，但是要等矽力康乾要一小時左右</t>
  </si>
  <si>
    <t>20251129-002</t>
  </si>
  <si>
    <t>許秀琳</t>
  </si>
  <si>
    <t>出水量小</t>
  </si>
  <si>
    <t>501蓮蓬頭已調整完成</t>
  </si>
  <si>
    <t>20251129-001</t>
  </si>
  <si>
    <t>8樓加床橫桿快斷掉了 麻煩請協助處理 謝謝</t>
  </si>
  <si>
    <t xml:space="preserve">1000006335.jpg : https://ap12.ragic.com/sims/file.jsp?a=soutlet001&amp;f=bobpWRlWHF%401000006335.jpg
1000006334.jpg : https://ap12.ragic.com/sims/file.jsp?a=soutlet001&amp;f=AJTG6qPR2L%401000006334.jpg
</t>
  </si>
  <si>
    <t>書田已進場完成電焊</t>
  </si>
  <si>
    <t xml:space="preserve">加床稈電焊.jpg : https://ap12.ragic.com/sims/file.jsp?a=soutlet001&amp;f=0YoL7Eg7MK%40%E5%8A%A0%E5%BA%8A%E7%A8%88%E9%9B%BB%E7%84%8A.jpg
書田已進場完成電焊.jpg : https://ap12.ragic.com/sims/file.jsp?a=soutlet001&amp;f=Unz1Zclwea%40%E6%9B%B8%E7%94%B0%E5%B7%B2%E9%80%B2%E5%A0%B4%E5%AE%8C%E6%88%90%E9%9B%BB%E7%84%8A.jpg
</t>
  </si>
  <si>
    <t>20251128-007</t>
  </si>
  <si>
    <t>1022 漏水 沒有止漏墊片 有預進</t>
  </si>
  <si>
    <t>109264.jpg</t>
  </si>
  <si>
    <t>1022裝好止漏墊片，不會漏水了</t>
  </si>
  <si>
    <t>20251128-006</t>
  </si>
  <si>
    <t>920保險箱沒有緩衝 有預進</t>
  </si>
  <si>
    <t>920油壓桿已安裝完成</t>
  </si>
  <si>
    <t>920油壓桿已安裝完成.jpg</t>
  </si>
  <si>
    <t>20251128-005</t>
  </si>
  <si>
    <t>1016 續住 鏡上燈會熄掉 電卡重插亮後又滅 請再麻煩檢查一下 謝謝</t>
  </si>
  <si>
    <t>109202.jpg</t>
  </si>
  <si>
    <t>1016 燈裝好</t>
  </si>
  <si>
    <t>1016燈更換完成。.jpg</t>
  </si>
  <si>
    <t>20251128-004</t>
  </si>
  <si>
    <t xml:space="preserve">1019 衣櫃抽屜上方木條掉落 有預進 </t>
  </si>
  <si>
    <t>櫃子</t>
  </si>
  <si>
    <t>S__122765434.jpg</t>
  </si>
  <si>
    <t>1019暫時平整</t>
  </si>
  <si>
    <t>1019暫時平整.jpg</t>
  </si>
  <si>
    <t>20251128-003</t>
  </si>
  <si>
    <t>馬桶上方天花板坎燈不亮</t>
  </si>
  <si>
    <t>IMG_8135.jpeg</t>
  </si>
  <si>
    <t>621燈裝好</t>
  </si>
  <si>
    <t>621馬桶上的燈.jpg</t>
  </si>
  <si>
    <t>20251128-002</t>
  </si>
  <si>
    <t>電鈴單音</t>
  </si>
  <si>
    <t>測試後先不換 下禮拜再用</t>
  </si>
  <si>
    <t>20251128-001</t>
  </si>
  <si>
    <t>fobao</t>
  </si>
  <si>
    <t>房間感應器無法感應，疑似沒電。</t>
  </si>
  <si>
    <t>1016門電池換好了</t>
  </si>
  <si>
    <t>20251127-005</t>
  </si>
  <si>
    <t>蓮蓬頭水量過小</t>
  </si>
  <si>
    <t>506 水量可以</t>
  </si>
  <si>
    <t>20251127-004</t>
  </si>
  <si>
    <t>客反映房間太冷</t>
  </si>
  <si>
    <t>612進門有暖氣，測出風口是27度，暖氣正常</t>
  </si>
  <si>
    <t xml:space="preserve">612進門有暖氣，測出風口是27度，暖氣正常1.jpg : https://ap12.ragic.com/sims/file.jsp?a=soutlet001&amp;f=qmnEJPPBs3%40612%E9%80%B2%E9%96%80%E6%9C%89%E6%9A%96%E6%B0%A3%EF%BC%8C%E6%B8%AC%E5%87%BA%E9%A2%A8%E5%8F%A3%E6%98%AF27%E5%BA%A6%EF%BC%8C%E6%9A%96%E6%B0%A3%E6%AD%A3%E5%B8%B81.jpg
612進門有暖氣，測出風口是27度，暖氣正常-面板.jpg : https://ap12.ragic.com/sims/file.jsp?a=soutlet001&amp;f=LtbIdrq0IG%40612%E9%80%B2%E9%96%80%E6%9C%89%E6%9A%96%E6%B0%A3%EF%BC%8C%E6%B8%AC%E5%87%BA%E9%A2%A8%E5%8F%A3%E6%98%AF27%E5%BA%A6%EF%BC%8C%E6%9A%96%E6%B0%A3%E6%AD%A3%E5%B8%B8-%E9%9D%A2%E6%9D%BF.jpg
</t>
  </si>
  <si>
    <t>20251127-003</t>
  </si>
  <si>
    <t>客反映蓮蓬頭衝不出水，請協助</t>
  </si>
  <si>
    <t>717蓮蓬頭已修復完成</t>
  </si>
  <si>
    <t>20251127-002</t>
  </si>
  <si>
    <t>917盥洗用品架更新完成,浴缸、洗手台濾綿更新完成</t>
  </si>
  <si>
    <t>20251127-001</t>
  </si>
  <si>
    <t>電動紗網「按扭」沒有辦法開啟和關閉。</t>
  </si>
  <si>
    <t>919電動窗簾已修復完成</t>
  </si>
  <si>
    <t>20251126-008</t>
  </si>
  <si>
    <t>603暖氣已修復</t>
  </si>
  <si>
    <t>603墊片已拆除.jpg</t>
  </si>
  <si>
    <t>20251126-007</t>
  </si>
  <si>
    <t>710聯通門無法關閉</t>
  </si>
  <si>
    <t>重複上單</t>
  </si>
  <si>
    <t>20251126-006</t>
  </si>
  <si>
    <t>客人反應電話無法使用</t>
  </si>
  <si>
    <t>602剛剛與櫃檯通電話正常，櫃檯也有播至602正常通話</t>
  </si>
  <si>
    <t>S__29876243.jpg</t>
  </si>
  <si>
    <t>20251126-005</t>
  </si>
  <si>
    <t>沒暖氣</t>
  </si>
  <si>
    <t>931暖氣完成</t>
  </si>
  <si>
    <t>20251126-004</t>
  </si>
  <si>
    <t>710連通門沒辦法關閉</t>
  </si>
  <si>
    <t>710門已鎖上</t>
  </si>
  <si>
    <t>S__29876240.jpg</t>
  </si>
  <si>
    <t>20251126-003</t>
  </si>
  <si>
    <t>淋浴間沒有水</t>
  </si>
  <si>
    <t>931 已有水</t>
  </si>
  <si>
    <t>20251126-002</t>
  </si>
  <si>
    <t>床頭櫃要貼皮</t>
  </si>
  <si>
    <t>IMG_8459.jpeg</t>
  </si>
  <si>
    <t>1025已IP不用進去</t>
  </si>
  <si>
    <t>20251126-001</t>
  </si>
  <si>
    <t>IMG_8029.jpeg</t>
  </si>
  <si>
    <t>912已固定</t>
  </si>
  <si>
    <t>79061.jpg</t>
  </si>
  <si>
    <t>20251125-004</t>
  </si>
  <si>
    <t>IMG_8451.jpeg</t>
  </si>
  <si>
    <t>608門鈴調整完成</t>
  </si>
  <si>
    <t>20251125-003</t>
  </si>
  <si>
    <t>燈罩破裂</t>
  </si>
  <si>
    <t>521處理完成。</t>
  </si>
  <si>
    <t>77623.jpg</t>
  </si>
  <si>
    <t>20251125-002</t>
  </si>
  <si>
    <t>電話背蓋卡筍斷掉</t>
  </si>
  <si>
    <t>IMG_8005.jpeg</t>
  </si>
  <si>
    <t>719背蓋更換處理完成。</t>
  </si>
  <si>
    <t>77625.jpg</t>
  </si>
  <si>
    <t>20251125-001</t>
  </si>
  <si>
    <t>異音 11/24晚間已排除異音，補單</t>
  </si>
  <si>
    <t>喇叭</t>
  </si>
  <si>
    <t>601已處理完成</t>
  </si>
  <si>
    <t>20251124-006</t>
  </si>
  <si>
    <t xml:space="preserve">1027 洗手台水龍頭出水會分岔 </t>
  </si>
  <si>
    <t>1027洗手台水龍頭已調整完成</t>
  </si>
  <si>
    <t>20251124-005</t>
  </si>
  <si>
    <t>兩側的浴簾都卡住了</t>
  </si>
  <si>
    <t>IMG_7938.jpeg</t>
  </si>
  <si>
    <t>803已修復完成</t>
  </si>
  <si>
    <t>78830.jpg</t>
  </si>
  <si>
    <t>20251124-004</t>
  </si>
  <si>
    <t>貓眼鬆動要調整</t>
  </si>
  <si>
    <t>IMG_8440.jpeg</t>
  </si>
  <si>
    <t>610貓眼固定完成</t>
  </si>
  <si>
    <t>image_C0ED4CC5-7F84-4574-90AA-DCC8B9C49CC6_1763971035_compressed.jpeg</t>
  </si>
  <si>
    <t>20251124-003</t>
  </si>
  <si>
    <t>930 洗手台水龍頭有熱水 但水很小，浴室浴缸有熱水，正常 續住目前客不在</t>
  </si>
  <si>
    <t>930墊片拆除後正常</t>
  </si>
  <si>
    <t>20251124-002</t>
  </si>
  <si>
    <t>929 續住水很小，連續開很久了沒熱水 目前客人不在</t>
  </si>
  <si>
    <t>929處理完成。</t>
  </si>
  <si>
    <t>20251124-001</t>
  </si>
  <si>
    <t>IMG_7921.jpeg</t>
  </si>
  <si>
    <t>621處理完成。</t>
  </si>
  <si>
    <t>image_DF349BBB-AA41-4753-A2E2-EB71FA7EE1C7_1763970288_compressed.jpeg</t>
  </si>
  <si>
    <t>20251123-015</t>
  </si>
  <si>
    <t>連通門 開啟時卡卡的 開啟後就無法完全關起來 客11/26 退房 到時再派員檢修即可(客並不想要將門關起來)</t>
  </si>
  <si>
    <t>796762.jpg</t>
  </si>
  <si>
    <t>719把手左右轉間隙的關係，固定完成</t>
  </si>
  <si>
    <t>20251123-014</t>
  </si>
  <si>
    <t>牆面插座鬆脫</t>
  </si>
  <si>
    <t>IMG_9432.jpeg</t>
  </si>
  <si>
    <t>窯廳插座調整完成</t>
  </si>
  <si>
    <t>窯廳插座完成.jpg</t>
  </si>
  <si>
    <t>20251123-013</t>
  </si>
  <si>
    <t>房間天花板要油漆</t>
  </si>
  <si>
    <t>IMG_8431.jpeg</t>
  </si>
  <si>
    <t>501天花板油漆完成</t>
  </si>
  <si>
    <t>501天花板油漆完成.jpg</t>
  </si>
  <si>
    <t>20251123-012</t>
  </si>
  <si>
    <t>728 客人反映房間不冷，很悶，麻煩請人去協助查看，客在房間內</t>
  </si>
  <si>
    <t>已處理好了，客人退房</t>
  </si>
  <si>
    <t>20251123-011</t>
  </si>
  <si>
    <t>浴室天花板需要重新油漆</t>
  </si>
  <si>
    <t>IMG_8429.jpeg</t>
  </si>
  <si>
    <t>519天花板油漆完成</t>
  </si>
  <si>
    <t>519天花板油漆完成.jpg</t>
  </si>
  <si>
    <t>20251123-010</t>
  </si>
  <si>
    <t>IMG_8428.jpeg</t>
  </si>
  <si>
    <t>623左床頭燈更新完成</t>
  </si>
  <si>
    <t>623左床頭燈更新完成.jpg</t>
  </si>
  <si>
    <t>20251123-009</t>
  </si>
  <si>
    <t>床頭櫃子要貼皮</t>
  </si>
  <si>
    <t>IMG_8426.jpeg</t>
  </si>
  <si>
    <t>609床頭櫃已修復完成</t>
  </si>
  <si>
    <t>609床頭櫃已修復完成.jpg</t>
  </si>
  <si>
    <t>20251123-008</t>
  </si>
  <si>
    <t>710 浴室天花板油漆斑駁快掉落 需維修 有預進</t>
  </si>
  <si>
    <t>1000006255.jpg</t>
  </si>
  <si>
    <t>重新粉刷完成</t>
  </si>
  <si>
    <t>20251123-007</t>
  </si>
  <si>
    <t>710浴簾簾子拉繩斷掉 有預進</t>
  </si>
  <si>
    <t>1000006254.jpg</t>
  </si>
  <si>
    <t>20251123-006</t>
  </si>
  <si>
    <t>719 淋浴間把手鬆動 需維修 謝謝</t>
  </si>
  <si>
    <t>完成調整</t>
  </si>
  <si>
    <t>20251123-005</t>
  </si>
  <si>
    <t>821 蓮蓬頭會跑出黑色顆粒  補單</t>
  </si>
  <si>
    <t>1763870936228.jpg</t>
  </si>
  <si>
    <t>更換過濾棉完成</t>
  </si>
  <si>
    <t>20251123-004</t>
  </si>
  <si>
    <t>603 退房報修 蓮蓬頭無法固定在支架上</t>
  </si>
  <si>
    <t>20251123-003</t>
  </si>
  <si>
    <t>WENXIN</t>
  </si>
  <si>
    <t xml:space="preserve">707浴室簾子卡住 DONE </t>
  </si>
  <si>
    <t>21878.jpg</t>
  </si>
  <si>
    <t>20251123-002</t>
  </si>
  <si>
    <t xml:space="preserve">508 一邊拉簾跑進去了，一邊卡住 DONE </t>
  </si>
  <si>
    <t>20251123-001</t>
  </si>
  <si>
    <t>909拉簾跑進去了  補單</t>
  </si>
  <si>
    <t>S__144015440.jpg</t>
  </si>
  <si>
    <t>20251122-008</t>
  </si>
  <si>
    <t>607 客人表示房間的溫度不用涼，客人在房間內，再麻煩去查看</t>
  </si>
  <si>
    <t>607香港客人説冰箱問幾度，測給客人看到是1度，客人説沒問題了！</t>
  </si>
  <si>
    <t>20251122-007</t>
  </si>
  <si>
    <t>洗手台下方燈帶掉了</t>
  </si>
  <si>
    <t>IMG_8421.jpeg</t>
  </si>
  <si>
    <t>531燈條已調整完成</t>
  </si>
  <si>
    <t>image_88A15E93-4C7C-449D-A566-D2CBA3913AB6_1763822823_compressed.jpeg</t>
  </si>
  <si>
    <t>20251122-006</t>
  </si>
  <si>
    <t>浴缸上方天花板，熱水管漏水</t>
  </si>
  <si>
    <t>78542.jpg</t>
  </si>
  <si>
    <t>729沒有再滴了，浴缸的毛巾我先收到B1_x000D_
728的過濾棉已更新完成</t>
  </si>
  <si>
    <t>20251122-005</t>
  </si>
  <si>
    <t>浴室天花板滴水</t>
  </si>
  <si>
    <t>IMG_8419.jpeg</t>
  </si>
  <si>
    <t>519已處理</t>
  </si>
  <si>
    <t>20251122-004</t>
  </si>
  <si>
    <t>fo leo</t>
  </si>
  <si>
    <t>開熱水側 完全無出水</t>
  </si>
  <si>
    <t>其他房間因爲正常水壓都先關水了</t>
  </si>
  <si>
    <t>20251122-003</t>
  </si>
  <si>
    <t>有客人已處理</t>
  </si>
  <si>
    <t>20251122-002</t>
  </si>
  <si>
    <t>浴室沒熱水</t>
  </si>
  <si>
    <t>20251122-001</t>
  </si>
  <si>
    <t>無暖氣</t>
  </si>
  <si>
    <t>829暖氣正常</t>
  </si>
  <si>
    <t>20251121-005</t>
  </si>
  <si>
    <t>客反映水壓過小</t>
  </si>
  <si>
    <t>梓峰過去檢查1025 1027水量  房況先改PU</t>
  </si>
  <si>
    <t>20251121-004</t>
  </si>
  <si>
    <t>遙控器按按鍵無法回到首頁</t>
  </si>
  <si>
    <t>遙控器</t>
  </si>
  <si>
    <t>IMG_8406.jpeg</t>
  </si>
  <si>
    <t>工單取消不用過來</t>
  </si>
  <si>
    <t>20251121-003</t>
  </si>
  <si>
    <t>IMG_7705.jpeg</t>
  </si>
  <si>
    <t>621馬桶上方崁燈修復完成</t>
  </si>
  <si>
    <t>78284.jpg</t>
  </si>
  <si>
    <t>20251121-002</t>
  </si>
  <si>
    <t>洗手台水龍頭會晃</t>
  </si>
  <si>
    <t>IMG_8405.jpeg</t>
  </si>
  <si>
    <t>515水龍頭固定完成</t>
  </si>
  <si>
    <t>20251121-001</t>
  </si>
  <si>
    <t>IMG_7696.jpeg</t>
  </si>
  <si>
    <t>627盥洗用品架更新完成</t>
  </si>
  <si>
    <t>78286.jpg</t>
  </si>
  <si>
    <t>20251120-014</t>
  </si>
  <si>
    <t>812客人反應房間內太冷不夠溫暖，能麻煩去房間看一下嗎，客人在房間內</t>
  </si>
  <si>
    <t>20251120-013</t>
  </si>
  <si>
    <t>Wilson</t>
  </si>
  <si>
    <t>客反映水壓小，客告知於11/21早上外出時檢修</t>
  </si>
  <si>
    <t>927節水墊片已拆</t>
  </si>
  <si>
    <t>20251120-012</t>
  </si>
  <si>
    <t>水壓過低，請協助確認</t>
  </si>
  <si>
    <t>1018（客人外出）水壓問題，因今日洗水塔，管線有空氣，現二間都放水5分鐘。已跟客人解釋。</t>
  </si>
  <si>
    <t>20251120-011</t>
  </si>
  <si>
    <t>客人開空調反映沒有風，請協助處理</t>
  </si>
  <si>
    <t>已處理完成客人已退房</t>
  </si>
  <si>
    <t>20251120-010</t>
  </si>
  <si>
    <t>客反映水壓過低請協助確認</t>
  </si>
  <si>
    <t>1016客人在水壓問題，因今日洗水塔，管線有空氣，現二間都放水5分鐘。已跟因今日洗水塔，管線有空氣，現二間都放水5分鐘。已跟客人解釋。</t>
  </si>
  <si>
    <t>20251120-009</t>
  </si>
  <si>
    <t>631客人反應房間內太冷不夠溫暖，能麻煩去房間看一下嗎，客人在房間內</t>
  </si>
  <si>
    <t>631已調整，出風口也進行調整！已請房客再觀察。</t>
  </si>
  <si>
    <t>20251120-008</t>
  </si>
  <si>
    <t>冷氣過冷，請確認有無啟動暖氣</t>
  </si>
  <si>
    <t>922與GSM進房測溫，出風口調整左右不直吹。</t>
  </si>
  <si>
    <t>20251120-007</t>
  </si>
  <si>
    <t>IMG_7669.jpeg</t>
  </si>
  <si>
    <t>625已鎖緊。</t>
  </si>
  <si>
    <t>image_C6C95F5D-B548-429E-9B9A-71C74AE3146C_1763638463_compressed.jpeg</t>
  </si>
  <si>
    <t>20251120-006</t>
  </si>
  <si>
    <t>829 退房客人反應</t>
  </si>
  <si>
    <t>829 洗手台水龍頭水壓小 熱水放5分鐘 才有 在麻煩維修一下 有預進 謝謝</t>
  </si>
  <si>
    <t>829水壓正常。</t>
  </si>
  <si>
    <t>20251120-005</t>
  </si>
  <si>
    <t xml:space="preserve">808電話擴音會斷掉 有時候接觸不良 </t>
  </si>
  <si>
    <t>808已更換電池。</t>
  </si>
  <si>
    <t>20251120-004</t>
  </si>
  <si>
    <t>淋浴間玻璃門手把鬆脫</t>
  </si>
  <si>
    <t>已重新鎖緊完成</t>
  </si>
  <si>
    <t>20251120-003</t>
  </si>
  <si>
    <t>818 大門少鐵片 有預進 房內沒有屍體喔</t>
  </si>
  <si>
    <t>S__82575368.jpg</t>
  </si>
  <si>
    <t>818先暫時貼皮應急，材料（鐵片）需找，不影響開關門</t>
  </si>
  <si>
    <t>818先暫時貼皮應急，材料（鐵片）需找，不影響開關門.jpg</t>
  </si>
  <si>
    <t>20251120-002</t>
  </si>
  <si>
    <t>1027 淋浴間+洗手台水龍頭水量偏小 有預進</t>
  </si>
  <si>
    <t>已檢查1025 1027水量  房況先改PU</t>
  </si>
  <si>
    <t>20251120-001</t>
  </si>
  <si>
    <t>1025所有水龍頭出水量都偏小 有預進 再麻煩了 謝謝</t>
  </si>
  <si>
    <t>20251119-010</t>
  </si>
  <si>
    <t>化妝鏡異常(連桿不會跟著轉.鬆的)</t>
  </si>
  <si>
    <t>房務已確認OK不用修復</t>
  </si>
  <si>
    <t>20251119-009</t>
  </si>
  <si>
    <t>浴室玻璃門開啟》很大的怪聲音</t>
  </si>
  <si>
    <t>720淋浴間門異音完成</t>
  </si>
  <si>
    <t>20251119-008</t>
  </si>
  <si>
    <t>IMG_7622.jpeg</t>
  </si>
  <si>
    <t>608完成</t>
  </si>
  <si>
    <t xml:space="preserve">76744.jpg : https://ap12.ragic.com/sims/file.jsp?a=soutlet001&amp;f=xJgbnBWcOR%4076744.jpg
76745.jpg : https://ap12.ragic.com/sims/file.jsp?a=soutlet001&amp;f=MgNOGE6IUl%4076745.jpg
</t>
  </si>
  <si>
    <t>20251119-007</t>
  </si>
  <si>
    <t>20251119-006</t>
  </si>
  <si>
    <t>淋浴間天花板多處霉斑</t>
  </si>
  <si>
    <t>IMG_7620.jpeg</t>
  </si>
  <si>
    <t>602油漆完成，一小時後乾</t>
  </si>
  <si>
    <t>20251119-005</t>
  </si>
  <si>
    <t>1016 洗手台上方的燈 時好時壞 麻煩請修理 續住 客人14:00回來 房務員正在打掃</t>
  </si>
  <si>
    <t>238761.jpg</t>
  </si>
  <si>
    <t>燈更換完成。</t>
  </si>
  <si>
    <t>20251119-004</t>
  </si>
  <si>
    <t>客希望出風角度往上調</t>
  </si>
  <si>
    <t>509處理完成</t>
  </si>
  <si>
    <t>20251119-003</t>
  </si>
  <si>
    <t>815需要更換門鎖電池 已反扣</t>
  </si>
  <si>
    <t>520調整完成</t>
  </si>
  <si>
    <t>520調整完成.jpg</t>
  </si>
  <si>
    <t>20251119-002</t>
  </si>
  <si>
    <t>客廳立燈不亮</t>
  </si>
  <si>
    <t>IMG_6818.jpeg</t>
  </si>
  <si>
    <t>519現場檢查正常，燈泡長度未超出燈罩</t>
  </si>
  <si>
    <t xml:space="preserve">519現場檢查正常，燈泡長度未超出燈罩-1.jpg : https://ap12.ragic.com/sims/file.jsp?a=soutlet001&amp;f=8nkCuHU2di%40519%E7%8F%BE%E5%A0%B4%E6%AA%A2%E6%9F%A5%E6%AD%A3%E5%B8%B8%EF%BC%8C%E7%87%88%E6%B3%A1%E9%95%B7%E5%BA%A6%E6%9C%AA%E8%B6%85%E5%87%BA%E7%87%88%E7%BD%A9-1.jpg
519現場檢查正常，燈泡長度未超出燈罩-2.jpg : https://ap12.ragic.com/sims/file.jsp?a=soutlet001&amp;f=k10onphMKC%40519%E7%8F%BE%E5%A0%B4%E6%AA%A2%E6%9F%A5%E6%AD%A3%E5%B8%B8%EF%BC%8C%E7%87%88%E6%B3%A1%E9%95%B7%E5%BA%A6%E6%9C%AA%E8%B6%85%E5%87%BA%E7%87%88%E7%BD%A9-2.jpg
</t>
  </si>
  <si>
    <t>20251119-001</t>
  </si>
  <si>
    <t>10F-2吸塵器插頭🔌線斷裂</t>
  </si>
  <si>
    <t>備品架</t>
  </si>
  <si>
    <t>IMG_7600.jpeg</t>
  </si>
  <si>
    <t>財務部已完成匯款，廠商寄回機台報廢零件，並整組吸塵器寄回。</t>
  </si>
  <si>
    <t>20251118-004</t>
  </si>
  <si>
    <t>一側床頭燈不亮</t>
  </si>
  <si>
    <t>731燈泡已更新完成</t>
  </si>
  <si>
    <t>731燈泡已更新完成.jpg</t>
  </si>
  <si>
    <t>20251118-003</t>
  </si>
  <si>
    <t xml:space="preserve">IMG_6778.jpeg : https://ap12.ragic.com/sims/file.jsp?a=soutlet001&amp;f=N1ycVkPyMq%40IMG_6778.jpeg
IMG_6780.jpeg : https://ap12.ragic.com/sims/file.jsp?a=soutlet001&amp;f=EA92vo2dLB%40IMG_6780.jpeg
</t>
  </si>
  <si>
    <t>502電視調整完成</t>
  </si>
  <si>
    <t>502電視調整完成.jpg</t>
  </si>
  <si>
    <t>20251118-002</t>
  </si>
  <si>
    <t>化妝鏡不牢固有點鬆</t>
  </si>
  <si>
    <t>二個都正常，鏡面有點鬆可能要麻煩調整緊一點</t>
  </si>
  <si>
    <t>20251118-001</t>
  </si>
  <si>
    <t>客人反應冷氣要調整在25度沒辦法調整</t>
  </si>
  <si>
    <t>613明日才退房，故目前無法進房確認實際情況。經一樓櫃檯轉述，房客希望定溫在25度，待明日退房後確認實際情況。</t>
  </si>
  <si>
    <t>20251117-011</t>
  </si>
  <si>
    <t>客說明馬桶上方維修孔，約莫5分鐘會出現噪音，(客錄音疑似是機械運轉聲)</t>
  </si>
  <si>
    <t>維修孔</t>
  </si>
  <si>
    <t>異音要委外處理</t>
  </si>
  <si>
    <t>20251117-010</t>
  </si>
  <si>
    <t>客人反應房間內不定時會有答答答及咚咚咚的聲音</t>
  </si>
  <si>
    <t>異音</t>
  </si>
  <si>
    <t>異音要開孔處理</t>
  </si>
  <si>
    <t>20251117-009</t>
  </si>
  <si>
    <t>Hanson</t>
  </si>
  <si>
    <t>電視打不開 (電視遙控器會亮但電視不會啟動)</t>
  </si>
  <si>
    <t>627已處理完成</t>
  </si>
  <si>
    <t>627已處理完成.jpg</t>
  </si>
  <si>
    <t>20251117-008</t>
  </si>
  <si>
    <t>705電鈴已調整完成</t>
  </si>
  <si>
    <t>20251117-007</t>
  </si>
  <si>
    <t>Amnya</t>
  </si>
  <si>
    <t>盥洗用品架破裂</t>
  </si>
  <si>
    <t>725盥洗用品架已更新完成</t>
  </si>
  <si>
    <t>725盥洗用品架已更新完成.jpg</t>
  </si>
  <si>
    <t>20251117-006</t>
  </si>
  <si>
    <t>820浴簾已修復完成</t>
  </si>
  <si>
    <t>820浴簾已修復完成.jpg</t>
  </si>
  <si>
    <t>20251117-005</t>
  </si>
  <si>
    <t xml:space="preserve">熨斗燙版零件掉落_x000D_
</t>
  </si>
  <si>
    <t>IMG_8367.jpeg</t>
  </si>
  <si>
    <t>628熨斗架已更新完成</t>
  </si>
  <si>
    <t>628熨斗架已更新完成.jpg</t>
  </si>
  <si>
    <t>20251117-004</t>
  </si>
  <si>
    <t>bao</t>
  </si>
  <si>
    <t>熨斗燙版零件掉落</t>
  </si>
  <si>
    <t>26574.jpg</t>
  </si>
  <si>
    <t>509熨斗架已更新完成</t>
  </si>
  <si>
    <t>509熨斗架已更新完成.jpg</t>
  </si>
  <si>
    <t>20251117-003</t>
  </si>
  <si>
    <t>空調開強風會有異音</t>
  </si>
  <si>
    <t>509測試三個風量都沒有異音,都正常</t>
  </si>
  <si>
    <t>20251117-002</t>
  </si>
  <si>
    <t>蓮蓬頭無法切換調整水量</t>
  </si>
  <si>
    <t>725蓮蓬頭已更新完成</t>
  </si>
  <si>
    <t>725蓮蓬頭已更新完成.jpg</t>
  </si>
  <si>
    <t>20251117-001</t>
  </si>
  <si>
    <t>門鎖要更換電池</t>
  </si>
  <si>
    <t>IMG_8366.jpeg</t>
  </si>
  <si>
    <t>520門鎖電池已更新完成</t>
  </si>
  <si>
    <t>20251116-004</t>
  </si>
  <si>
    <t>電話拿起來沒有聲音</t>
  </si>
  <si>
    <t>IMG_8357.jpeg</t>
  </si>
  <si>
    <t>505電話已更換電池測試完成</t>
  </si>
  <si>
    <t>image_6C78BF88-58B0-43BF-B829-5D2CCF979237_1763293250_compressed.jpeg</t>
  </si>
  <si>
    <t>20251116-003</t>
  </si>
  <si>
    <t>側邊止水條斷裂</t>
  </si>
  <si>
    <t>IMG_8355.jpeg</t>
  </si>
  <si>
    <t>image_8C052CD4-9D8F-441F-946D-570D92B22C27_1763293198_compressed.jpeg</t>
  </si>
  <si>
    <t>20251116-002</t>
  </si>
  <si>
    <t>721 馬桶按壓零件有點鬆 有預進</t>
  </si>
  <si>
    <t>image_8CA02600-4053-4F8F-BE5E-F63E2CBBD681_1763293148_compressed.jpeg</t>
  </si>
  <si>
    <t>20251116-001</t>
  </si>
  <si>
    <t>浴缸簾下本來</t>
  </si>
  <si>
    <t>IMG_6677.jpeg</t>
  </si>
  <si>
    <t>image_9239A2C2-41E3-4D15-8A0B-BC3622568FB5_1763293087_compressed.jpeg</t>
  </si>
  <si>
    <t>20251115-006</t>
  </si>
  <si>
    <t>IMG_8343.jpeg</t>
  </si>
  <si>
    <t>525燈泡已更新</t>
  </si>
  <si>
    <t>image_1E489291-3AE6-4418-89BD-4EDB1D42E7F2_1763257892_compressed.jpeg</t>
  </si>
  <si>
    <t>20251115-005</t>
  </si>
  <si>
    <t>501 電話沒有聲音 無法撥出 有預進</t>
  </si>
  <si>
    <t>1000006111.jpg</t>
  </si>
  <si>
    <t>501電池已更換完成</t>
  </si>
  <si>
    <t>image_5C1C4F7B-4463-4FD6-AF70-D4F25AAAB5E9_1763257836_compressed.jpeg</t>
  </si>
  <si>
    <t>20251115-004</t>
  </si>
  <si>
    <t>621 淋浴間蓮蓬頭架搖晃需固定 有預進</t>
  </si>
  <si>
    <t>1000006110.jpg</t>
  </si>
  <si>
    <t>621蓮蓬頭架固定完成</t>
  </si>
  <si>
    <t>image_583A9D52-3F96-4894-B04A-17F58C9E532F_1763256577_compressed.jpeg</t>
  </si>
  <si>
    <t>20251115-003</t>
  </si>
  <si>
    <t>621 燈罩破掉 有預進</t>
  </si>
  <si>
    <t>1000006106.jpg</t>
  </si>
  <si>
    <t>621燈罩已更新完成</t>
  </si>
  <si>
    <t>image_23C1E4F1-DA8B-49B9-A3C6-59F9B718A710_1763256475_compressed.jpeg</t>
  </si>
  <si>
    <t>20251115-002</t>
  </si>
  <si>
    <t>蓮蓬頭脫落，空調異聲過大</t>
  </si>
  <si>
    <t xml:space="preserve">509蓮蓬頭管已更新_x000D_
空調應該變小了。4F我關閉一台 </t>
  </si>
  <si>
    <t>image_0D53E8F9-564F-4769-8559-1039E0AC8292_1763255012_compressed.jpeg</t>
  </si>
  <si>
    <t>20251115-001</t>
  </si>
  <si>
    <t>衣櫃拉門掉下來了</t>
  </si>
  <si>
    <t>IMG_8341.jpeg</t>
  </si>
  <si>
    <t>529拉門已調整固定完成</t>
  </si>
  <si>
    <t>image_6DC39BDC-5624-4911-96E0-6A3B7BF6BA50_1763254612_compressed.jpeg</t>
  </si>
  <si>
    <t>20251114-003</t>
  </si>
  <si>
    <t>蓮蓬頭水管斷掉了</t>
  </si>
  <si>
    <t>IMG_8329.jpeg</t>
  </si>
  <si>
    <t>610已更換完成</t>
  </si>
  <si>
    <t>20251114-002</t>
  </si>
  <si>
    <t>房門鈴完全沒有鈴聲</t>
  </si>
  <si>
    <t>808調整完成</t>
  </si>
  <si>
    <t>20251114-001</t>
  </si>
  <si>
    <t>房門無法關閉門工器需要調整</t>
  </si>
  <si>
    <t>722門弓器調整後無效,先恢復原狀,已調整完成</t>
  </si>
  <si>
    <t>20251113-007</t>
  </si>
  <si>
    <t>淋浴間玻璃門手把少零件</t>
  </si>
  <si>
    <t>IMG_8311.jpeg</t>
  </si>
  <si>
    <t>1015玻璃門手把零件已回裝完成</t>
  </si>
  <si>
    <t>image_8F9283F4-6404-4D77-920E-A0E2F636D7F2_1763033968_compressed.jpeg</t>
  </si>
  <si>
    <t>20251113-006</t>
  </si>
  <si>
    <t>809 浴簾卡住 有預進</t>
  </si>
  <si>
    <t>S__52576337.jpg</t>
  </si>
  <si>
    <t>809浴簾已修復完成</t>
  </si>
  <si>
    <t>image_B73CC7B6-AE4B-4367-A462-3B70D8771641_1763034248_compressed.jpeg</t>
  </si>
  <si>
    <t>20251113-005</t>
  </si>
  <si>
    <t>IMG_8309.jpeg</t>
  </si>
  <si>
    <t>508門鈴已調整完成</t>
  </si>
  <si>
    <t>20251113-004</t>
  </si>
  <si>
    <t>911門鈴已調整完成</t>
  </si>
  <si>
    <t>20251113-003</t>
  </si>
  <si>
    <t>洗手台下方燈帶掉下來了</t>
  </si>
  <si>
    <t>IMG_8306.jpeg</t>
  </si>
  <si>
    <t>1016燈帶已修復完成</t>
  </si>
  <si>
    <t>1016燈帶已修復完成.jpg</t>
  </si>
  <si>
    <t>20251113-002</t>
  </si>
  <si>
    <t>IMG_7300.jpeg</t>
  </si>
  <si>
    <t>811已黏回完成。</t>
  </si>
  <si>
    <t>811已黏回完成。.jpg</t>
  </si>
  <si>
    <t>20251113-001</t>
  </si>
  <si>
    <t>IMG_8303.jpeg</t>
  </si>
  <si>
    <t>703門鈴調整完成</t>
  </si>
  <si>
    <t>20251112-007</t>
  </si>
  <si>
    <t>IMG_7194.jpeg</t>
  </si>
  <si>
    <t>613天花板補土補漆完成</t>
  </si>
  <si>
    <t>613天花板補土補漆完成.jpg</t>
  </si>
  <si>
    <t>20251112-006</t>
  </si>
  <si>
    <t>很難開</t>
  </si>
  <si>
    <t>IMG_6642.jpeg</t>
  </si>
  <si>
    <t>817處理完成。</t>
  </si>
  <si>
    <t>20251112-005</t>
  </si>
  <si>
    <t>毛巾掛架鬆脫</t>
  </si>
  <si>
    <t>IMG_7192.jpeg</t>
  </si>
  <si>
    <t>619已修復完成</t>
  </si>
  <si>
    <t>20251112-004</t>
  </si>
  <si>
    <t>527 續住 房務員進房確認後 發現是洗手台下方漏水喔~~~</t>
  </si>
  <si>
    <t>1146633(1).jpg</t>
  </si>
  <si>
    <t>527已不漏水</t>
  </si>
  <si>
    <t>20251112-003</t>
  </si>
  <si>
    <t>505調整完成</t>
  </si>
  <si>
    <t>20251112-002</t>
  </si>
  <si>
    <t>IMG_7169.jpeg</t>
  </si>
  <si>
    <t>515盥洗架更換完成。</t>
  </si>
  <si>
    <t>515盥洗架更換完成.jpg</t>
  </si>
  <si>
    <t>20251112-001</t>
  </si>
  <si>
    <t>客人反應浴缸旁的浴缸排水時排水孔會有水滲出</t>
  </si>
  <si>
    <t>20251111-006</t>
  </si>
  <si>
    <t>IT：電視掛架鬆脫</t>
  </si>
  <si>
    <t>IMG_7136.jpeg</t>
  </si>
  <si>
    <t>電視是活動架，網路盒已黏上固定</t>
  </si>
  <si>
    <t>20251111-005</t>
  </si>
  <si>
    <t>701門鈴調整完成</t>
  </si>
  <si>
    <t>20251111-004</t>
  </si>
  <si>
    <t>電話故障不能通話</t>
  </si>
  <si>
    <t>523電話已更換電池測試正常</t>
  </si>
  <si>
    <t>523電話已更換電池測試正常.jpg</t>
  </si>
  <si>
    <t>20251111-003</t>
  </si>
  <si>
    <t>洗手台水龍頭座會移動</t>
  </si>
  <si>
    <t>826水龍頭固定完成</t>
  </si>
  <si>
    <t>826水龍頭固定完成.jpg</t>
  </si>
  <si>
    <t>20251111-002</t>
  </si>
  <si>
    <t>洗手槽水龍頭做會移動</t>
  </si>
  <si>
    <t>812水龍頭固定完成</t>
  </si>
  <si>
    <t>812水龍頭固定完成.jpg</t>
  </si>
  <si>
    <t>20251111-001</t>
  </si>
  <si>
    <t>盥洗用品價破裂</t>
  </si>
  <si>
    <t>IMG_7112.jpeg</t>
  </si>
  <si>
    <t>829盥洗用品架更新完成</t>
  </si>
  <si>
    <t>829盥洗用品架更新完成.jpg</t>
  </si>
  <si>
    <t>20251110-007</t>
  </si>
  <si>
    <t>電視顯示沒有網路連接</t>
  </si>
  <si>
    <t>IMG_8289.jpeg</t>
  </si>
  <si>
    <t>522電視網路已修復完成</t>
  </si>
  <si>
    <t>S__45359155.jpg</t>
  </si>
  <si>
    <t>20251110-006</t>
  </si>
  <si>
    <t>空調溫度調高有霉味</t>
  </si>
  <si>
    <t>928客人反應溫度升高時，通風口有霉味，在現場停留10多分鐘後，且溫度調高的狀況下，因為聞到任何的霉味。目前只有將濾網清洗，天花板內的啤酒罐拿走，將一切可能發生霉味的原因去除。</t>
  </si>
  <si>
    <t>76955.jpg</t>
  </si>
  <si>
    <t>20251110-005</t>
  </si>
  <si>
    <t>705出風10、床頭17、房間18，空調沒問題</t>
  </si>
  <si>
    <t xml:space="preserve">705 床頭17.jpg : https://ap12.ragic.com/sims/file.jsp?a=soutlet001&amp;f=6bonT3Ufq1%40705+%E5%BA%8A%E9%A0%AD17.jpg
705 房間18，空調沒問題.jpg : https://ap12.ragic.com/sims/file.jsp?a=soutlet001&amp;f=Z7YzEg2vfn%40705+%E6%88%BF%E9%96%9318%EF%BC%8C%E7%A9%BA%E8%AA%BF%E6%B2%92%E5%95%8F%E9%A1%8C.jpg
705出風10.jpg : https://ap12.ragic.com/sims/file.jsp?a=soutlet001&amp;f=03531bTVL0%40705%E5%87%BA%E9%A2%A810.jpg
</t>
  </si>
  <si>
    <t>20251110-004</t>
  </si>
  <si>
    <t>客靠櫃告知電話沒辦法撥打</t>
  </si>
  <si>
    <t>已可撥櫃台</t>
  </si>
  <si>
    <t>20251110-003</t>
  </si>
  <si>
    <t>洗手台會晃 要固定</t>
  </si>
  <si>
    <t>IMG_8279.jpeg</t>
  </si>
  <si>
    <t>609已打矽利康固定，3小時後放房</t>
  </si>
  <si>
    <t>609已打矽利康固定，3小時後放房.jpg</t>
  </si>
  <si>
    <t>20251110-002</t>
  </si>
  <si>
    <t>左側床頭燈燈泡不亮</t>
  </si>
  <si>
    <t>IMG_8278.jpeg</t>
  </si>
  <si>
    <t>628燈泡已更新</t>
  </si>
  <si>
    <t>628燈泡已更新.jpg</t>
  </si>
  <si>
    <t>20251110-001</t>
  </si>
  <si>
    <t>客反映空調不冷</t>
  </si>
  <si>
    <t>20251109-007</t>
  </si>
  <si>
    <t>FOWILSON</t>
  </si>
  <si>
    <t>客反映不冷 FO測出風21.6度</t>
  </si>
  <si>
    <t>1013清洗濾網後出風12床頭20度。</t>
  </si>
  <si>
    <t xml:space="preserve">1013清洗濾網後 床頭20度。.jpg : https://ap12.ragic.com/sims/file.jsp?a=soutlet001&amp;f=lI3i4qQm03%401013%E6%B8%85%E6%B4%97%E6%BF%BE%E7%B6%B2%E5%BE%8C+%E5%BA%8A%E9%A0%AD20%E5%BA%A6%E3%80%82.jpg
1013清洗濾網後出風12.jpg : https://ap12.ragic.com/sims/file.jsp?a=soutlet001&amp;f=0KHloVwGLW%401013%E6%B8%85%E6%B4%97%E6%BF%BE%E7%B6%B2%E5%BE%8C%E5%87%BA%E9%A2%A812.jpg
</t>
  </si>
  <si>
    <t>20251109-006</t>
  </si>
  <si>
    <t>客人反應空調不冷</t>
  </si>
  <si>
    <t>20251109-005</t>
  </si>
  <si>
    <t>IMG_0838.jpeg</t>
  </si>
  <si>
    <t>20251109-004</t>
  </si>
  <si>
    <t>空調不冷，面板23度，出風19度</t>
  </si>
  <si>
    <t>705目前調製至最低溫18度，風速為high，已調至極限。</t>
  </si>
  <si>
    <t>20251109-003</t>
  </si>
  <si>
    <t>燈條掉落</t>
  </si>
  <si>
    <t>S__36405252.jpg</t>
  </si>
  <si>
    <t>512燈條處理完成</t>
  </si>
  <si>
    <t>512燈條處理完成.jpg</t>
  </si>
  <si>
    <t>20251109-002</t>
  </si>
  <si>
    <t>605浴室簾子卡住</t>
  </si>
  <si>
    <t>IMG_0829.jpeg</t>
  </si>
  <si>
    <t>房務已處理好</t>
  </si>
  <si>
    <t>20251109-001</t>
  </si>
  <si>
    <t>洗手台水塞故障</t>
  </si>
  <si>
    <t>IMG_0827.jpeg</t>
  </si>
  <si>
    <t>719 水塞已修復</t>
  </si>
  <si>
    <t>20251108-007</t>
  </si>
  <si>
    <t>客反映冷氣溫度下不來</t>
  </si>
  <si>
    <t>出風口測19度、二個床頭測21度，冷氣正常</t>
  </si>
  <si>
    <t>20251108-006</t>
  </si>
  <si>
    <t>客反映房內熱，目前測量出風20度</t>
  </si>
  <si>
    <t>623已更換濾網及調整出風口完成</t>
  </si>
  <si>
    <t>20251108-005</t>
  </si>
  <si>
    <t>大廳行李車行動異常</t>
  </si>
  <si>
    <t>輪子固定完成</t>
  </si>
  <si>
    <t xml:space="preserve">輪子固定完成2.jpg : https://ap12.ragic.com/sims/file.jsp?a=soutlet001&amp;f=v5Dd1tZ47B%40%E8%BC%AA%E5%AD%90%E5%9B%BA%E5%AE%9A%E5%AE%8C%E6%88%902.jpg
輪子固定完成1.jpg : https://ap12.ragic.com/sims/file.jsp?a=soutlet001&amp;f=6A2mRtsJ5H%40%E8%BC%AA%E5%AD%90%E5%9B%BA%E5%AE%9A%E5%AE%8C%E6%88%901.jpg
</t>
  </si>
  <si>
    <t>20251108-004</t>
  </si>
  <si>
    <t>洗手台會晃動 要重新固定</t>
  </si>
  <si>
    <t>IMG_8244.jpeg</t>
  </si>
  <si>
    <t>527洗手台晃動矽力康固定二小時才會乾！</t>
  </si>
  <si>
    <t>20251108-003</t>
  </si>
  <si>
    <t>左側床頭燈燈罩破洞</t>
  </si>
  <si>
    <t>IMG_8243.jpeg</t>
  </si>
  <si>
    <t>已更換紙燈罩</t>
  </si>
  <si>
    <t xml:space="preserve">5A429299-A23F-4F6A-B50B-B1D4DABC5A6F.jpg : https://ap12.ragic.com/sims/file.jsp?a=soutlet001&amp;f=BK8jDsJEia%405A429299-A23F-4F6A-B50B-B1D4DABC5A6F.jpg
527R.jpg : https://ap12.ragic.com/sims/file.jsp?a=soutlet001&amp;f=EAm5cjhbD2%40527R.jpg
</t>
  </si>
  <si>
    <t>20251108-002</t>
  </si>
  <si>
    <t>IMG_8242.jpeg</t>
  </si>
  <si>
    <t>601燈罩已更新完成</t>
  </si>
  <si>
    <t>20251108-001</t>
  </si>
  <si>
    <t>門無法關緊 需要調整</t>
  </si>
  <si>
    <t>621門弓器調整完成</t>
  </si>
  <si>
    <t>20251107-013</t>
  </si>
  <si>
    <t>螺絲裝飾片不見了</t>
  </si>
  <si>
    <t>IMG_8219.jpeg</t>
  </si>
  <si>
    <t>506螺絲修飾蓋已裝上完成</t>
  </si>
  <si>
    <t>506螺絲修飾蓋已裝上完成.jpg</t>
  </si>
  <si>
    <t>20251107-012</t>
  </si>
  <si>
    <t>燈條掉</t>
  </si>
  <si>
    <t>IMG_6906.jpeg</t>
  </si>
  <si>
    <t xml:space="preserve">1023條燈已裝好 </t>
  </si>
  <si>
    <t>20251107-011</t>
  </si>
  <si>
    <t>1023 電話已換電池完成</t>
  </si>
  <si>
    <t>20251107-010</t>
  </si>
  <si>
    <t>有兩張工單：_x000D_
這是工單二：盥洗用品架破裂</t>
  </si>
  <si>
    <t>1018盥洗用品已更新完成</t>
  </si>
  <si>
    <t>1018盥洗用品已更新完成.jpg</t>
  </si>
  <si>
    <t>20251107-009</t>
  </si>
  <si>
    <t>Wnnya</t>
  </si>
  <si>
    <t>毛巾備品架晃動</t>
  </si>
  <si>
    <t>1018已上矽力康固定完成，需要二小時才會乾</t>
  </si>
  <si>
    <t>1018已上矽力康固定完成，需要二小時才會乾.jpg</t>
  </si>
  <si>
    <t>20251107-008</t>
  </si>
  <si>
    <t>1026門鈴已修復完成</t>
  </si>
  <si>
    <t>20251107-007</t>
  </si>
  <si>
    <t>電話零件脫落，無法通話</t>
  </si>
  <si>
    <t>20251107-006</t>
  </si>
  <si>
    <t>出熱水比較慢</t>
  </si>
  <si>
    <t>606蓮蓬頭出水一分鐘就45度</t>
  </si>
  <si>
    <t>20251107-005</t>
  </si>
  <si>
    <t>926門鈴已修復</t>
  </si>
  <si>
    <t>20251107-004</t>
  </si>
  <si>
    <t>HSKP Ann</t>
  </si>
  <si>
    <t>電話拿起來沒有任何聲音_x000D_
可能要更換電池</t>
  </si>
  <si>
    <t>IMG_8210.jpeg</t>
  </si>
  <si>
    <t>731電話已裝好，麻煩電話要重設，用529換掉</t>
  </si>
  <si>
    <t>20251107-003</t>
  </si>
  <si>
    <t>關門速度太快 可能會夾到</t>
  </si>
  <si>
    <t>20251107-002</t>
  </si>
  <si>
    <t>電話疑似零件脫落</t>
  </si>
  <si>
    <t>620電話已換電池完成</t>
  </si>
  <si>
    <t>20251107-001</t>
  </si>
  <si>
    <t xml:space="preserve"> 11/7 R919 書桌下方的插座有上個客人折斷的插頭碎片, 續整時請協助處理</t>
  </si>
  <si>
    <t>1762450520175.jpg</t>
  </si>
  <si>
    <t>919插頭已拔除</t>
  </si>
  <si>
    <t>919插頭已拔除.jpg</t>
  </si>
  <si>
    <t>20251106-013</t>
  </si>
  <si>
    <t>天花板燈閃爍</t>
  </si>
  <si>
    <t>LINE_P2025116_174857_new.jpg</t>
  </si>
  <si>
    <t>3米太高工程人員無法處理</t>
  </si>
  <si>
    <t>20251106-012</t>
  </si>
  <si>
    <t>盥洗用品架破損需更換</t>
  </si>
  <si>
    <t>IMG_6872.jpeg</t>
  </si>
  <si>
    <t>910更換完成。</t>
  </si>
  <si>
    <t>910更換完成.jpg</t>
  </si>
  <si>
    <t>20251106-011</t>
  </si>
  <si>
    <t>門鈴只有單音 而且音量很小</t>
  </si>
  <si>
    <t>IMG_8200.jpeg</t>
  </si>
  <si>
    <t>718 處理完成。</t>
  </si>
  <si>
    <t>20251106-010</t>
  </si>
  <si>
    <t>526 續住 馬桶缺零件 目前客人不再</t>
  </si>
  <si>
    <t>S__36184083.jpg</t>
  </si>
  <si>
    <t>526安裝完成。</t>
  </si>
  <si>
    <t>526安裝完成。.jpg</t>
  </si>
  <si>
    <t>20251106-009</t>
  </si>
  <si>
    <t>CAROL</t>
  </si>
  <si>
    <t>馬桶上的燈不亮</t>
  </si>
  <si>
    <t>621燈泡疑似接觸不良，現場亮燈，持續觀察中。</t>
  </si>
  <si>
    <t>621燈泡疑似接觸不良，現場亮燈，持續觀察中。.jpg</t>
  </si>
  <si>
    <t>20251106-008</t>
  </si>
  <si>
    <t>洗手台會移動 需固定</t>
  </si>
  <si>
    <t>721 已固定完成</t>
  </si>
  <si>
    <t>721 已固定完成.jpg</t>
  </si>
  <si>
    <t>20251106-007</t>
  </si>
  <si>
    <t>熱水來的很慢，後續熱水來了之後又會太燙無法調整到合適溫度，水壓太小須拆除節水墊片</t>
  </si>
  <si>
    <t>506實測約快4分鐘浴缸、51.1、水龍頭49.5、淋浴間49.8</t>
  </si>
  <si>
    <t xml:space="preserve">506實測約快4分鐘 水龍頭49.5.jpg : https://ap12.ragic.com/sims/file.jsp?a=soutlet001&amp;f=BJ29h72j8g%40506%E5%AF%A6%E6%B8%AC%E7%B4%84%E5%BF%AB4%E5%88%86%E9%90%98+%E6%B0%B4%E9%BE%8D%E9%A0%AD49.5.jpg
506實測約快4分鐘浴缸、51.1.jpg : https://ap12.ragic.com/sims/file.jsp?a=soutlet001&amp;f=m0c4b7zpf1%40506%E5%AF%A6%E6%B8%AC%E7%B4%84%E5%BF%AB4%E5%88%86%E9%90%98%E6%B5%B4%E7%BC%B8%E3%80%8151.1.jpg
506實測約快4分鐘淋浴間49.8.jpg : https://ap12.ragic.com/sims/file.jsp?a=soutlet001&amp;f=o7UT76SC1y%40506%E5%AF%A6%E6%B8%AC%E7%B4%84%E5%BF%AB4%E5%88%86%E9%90%98%E6%B7%8B%E6%B5%B4%E9%96%9349.8.jpg
</t>
  </si>
  <si>
    <t>20251106-006</t>
  </si>
  <si>
    <t>IMG_8197.jpeg</t>
  </si>
  <si>
    <t>708貼皮完成</t>
  </si>
  <si>
    <t>708完成.jpg</t>
  </si>
  <si>
    <t>20251106-005</t>
  </si>
  <si>
    <t>IMG_6853.jpeg</t>
  </si>
  <si>
    <t>801維修完成</t>
  </si>
  <si>
    <t>801維修完成.jpg</t>
  </si>
  <si>
    <t>20251106-004</t>
  </si>
  <si>
    <t>IMG_8196.jpeg</t>
  </si>
  <si>
    <t>708調整完成</t>
  </si>
  <si>
    <t>20251106-003</t>
  </si>
  <si>
    <t>房間電視側邊裝飾鐵片要重新黏貼</t>
  </si>
  <si>
    <t>IMG_8194.jpeg</t>
  </si>
  <si>
    <t>黏貼完成</t>
  </si>
  <si>
    <t>719.jpg</t>
  </si>
  <si>
    <t>20251106-002</t>
  </si>
  <si>
    <t>IMG_8193.jpeg</t>
  </si>
  <si>
    <t>門鈴單音調整完成</t>
  </si>
  <si>
    <t>20251106-001</t>
  </si>
  <si>
    <t>面板調至28度但出風還是22度</t>
  </si>
  <si>
    <t>出風口21、床頭20、面板21！面板都會不在出風口所以才會28度，但實際房內溫度20。</t>
  </si>
  <si>
    <t xml:space="preserve">809出風口21.jpg : https://ap12.ragic.com/sims/file.jsp?a=soutlet001&amp;f=ulm6b5Bub5%40809%E5%87%BA%E9%A2%A8%E5%8F%A321.jpg
809床頭20.jpg : https://ap12.ragic.com/sims/file.jsp?a=soutlet001&amp;f=SH1T25857v%40809%E5%BA%8A%E9%A0%AD20.jpg
809面板21.jpg : https://ap12.ragic.com/sims/file.jsp?a=soutlet001&amp;f=rL8nnD5s9r%40809%E9%9D%A2%E6%9D%BF21.jpg
</t>
  </si>
  <si>
    <t>20251105-007</t>
  </si>
  <si>
    <t>洗手台水龍頭是歪的 要調整</t>
  </si>
  <si>
    <t>IMG_8183.jpeg</t>
  </si>
  <si>
    <t>823水龍頭已固定完成</t>
  </si>
  <si>
    <t>image_B9DCBDA4-CAD2-427D-9962-73E069D439FA_1762345562_compressed.jpeg</t>
  </si>
  <si>
    <t>20251105-006</t>
  </si>
  <si>
    <t>819 浴缸水閥起不來 有預進</t>
  </si>
  <si>
    <t>S__73662551.jpg</t>
  </si>
  <si>
    <t>房務確認正常的不用過來</t>
  </si>
  <si>
    <t>20251105-005</t>
  </si>
  <si>
    <t>925淋浴門卡卡的</t>
  </si>
  <si>
    <t>925淋浴門已修復完成</t>
  </si>
  <si>
    <t>20251105-004</t>
  </si>
  <si>
    <t>IMG_8178.jpeg</t>
  </si>
  <si>
    <t>506門鈴調整完成</t>
  </si>
  <si>
    <t>20251105-003</t>
  </si>
  <si>
    <t>飯店畫面沒有資訊沒有音樂》IT</t>
  </si>
  <si>
    <t>電視頻道第一台酒店影片廠商已調整好了可正常播放</t>
  </si>
  <si>
    <t>20251105-002</t>
  </si>
  <si>
    <t>carol</t>
  </si>
  <si>
    <t>蓮蓬頭一直滴水</t>
  </si>
  <si>
    <t>919蓮蓬頭已鎖緊完成</t>
  </si>
  <si>
    <t>image_61F806A7-C79C-4E1E-889F-26117AFBA3C3_1762345138_compressed.jpeg</t>
  </si>
  <si>
    <t>20251105-001</t>
  </si>
  <si>
    <t>盥洗用品架破裂需更換</t>
  </si>
  <si>
    <t>IMG_6821.jpeg</t>
  </si>
  <si>
    <t>918盥洗用品架已更新完成</t>
  </si>
  <si>
    <t>image_ACD9CA97-5E81-4178-99F9-2C3F5F303E90_1762345092_compressed.jpeg</t>
  </si>
  <si>
    <t>20251104-005</t>
  </si>
  <si>
    <t>馬通不通障礙已排除</t>
  </si>
  <si>
    <t>20251104-004</t>
  </si>
  <si>
    <t>淋浴門難關+ 淋浴間止水條脫落</t>
  </si>
  <si>
    <t>723 工程人員去看止水條跟門都沒問題</t>
  </si>
  <si>
    <t>20251104-003</t>
  </si>
  <si>
    <t>熱水不熱</t>
  </si>
  <si>
    <t>熱水接近放4分鐘後溫度水龍頭48、淋浴間49.4、浴缸50.1_x000D_
測試是正常，水溫速度較慢</t>
  </si>
  <si>
    <t xml:space="preserve">506 熱水 浴缸.jpg : https://ap12.ragic.com/sims/file.jsp?a=soutlet001&amp;f=8oZf3EJ589%40506+%E7%86%B1%E6%B0%B4+%E6%B5%B4%E7%BC%B8.jpg
506 熱水 淋浴間.jpg : https://ap12.ragic.com/sims/file.jsp?a=soutlet001&amp;f=SAPmRfJuxZ%40506+%E7%86%B1%E6%B0%B4+%E6%B7%8B%E6%B5%B4%E9%96%93.jpg
506 熱水.jpg : https://ap12.ragic.com/sims/file.jsp?a=soutlet001&amp;f=yGf9kKeAB4%40506+%E7%86%B1%E6%B0%B4.jpg
</t>
  </si>
  <si>
    <t>20251104-002</t>
  </si>
  <si>
    <t>603續住蓮蓬頭管子斷了客人在 房務員正在打掃 緊急 再麻煩了</t>
  </si>
  <si>
    <t>603更新完成.jpg</t>
  </si>
  <si>
    <t>20251104-001</t>
  </si>
  <si>
    <t>客人把門內扣反鎖 故無法進入</t>
  </si>
  <si>
    <t>櫃台防盜鎖反扣已協助打開</t>
  </si>
  <si>
    <t>20251103-005</t>
  </si>
  <si>
    <t>911 淋浴間零件掉了 需固定 補單</t>
  </si>
  <si>
    <t>797961.jpg</t>
  </si>
  <si>
    <t>911淋浴間零件已修復完成</t>
  </si>
  <si>
    <t>911淋浴間零件已修復完成.jpg</t>
  </si>
  <si>
    <t>20251103-004</t>
  </si>
  <si>
    <t>710沐浴乳架子壞</t>
  </si>
  <si>
    <t>448841.jpg</t>
  </si>
  <si>
    <t>710 不用去了，房務已經修好了，只是螺絲鬆了，面板沒壞，所以不需要更換 。</t>
  </si>
  <si>
    <t>20251103-003</t>
  </si>
  <si>
    <t>馬桶不通  客人已外出</t>
  </si>
  <si>
    <t>919馬桶已通完成</t>
  </si>
  <si>
    <t>20251103-002</t>
  </si>
  <si>
    <t xml:space="preserve">浴簾拉不起來 </t>
  </si>
  <si>
    <t>707修復完成</t>
  </si>
  <si>
    <t>707修復完成.jpg</t>
  </si>
  <si>
    <t>20251103-001</t>
  </si>
  <si>
    <t>沙發區的橘色檯燈會閃爍 請麻煩更換燈泡</t>
  </si>
  <si>
    <t>飯店1樓大廳，燈泡已更換完成。</t>
  </si>
  <si>
    <t>飯店1樓大廳，燈泡已更換完成。.jpg</t>
  </si>
  <si>
    <t>20251102-010</t>
  </si>
  <si>
    <t>Sylvi</t>
  </si>
  <si>
    <t>需協助設定Auto開關</t>
  </si>
  <si>
    <t>IMG_3670.jpeg</t>
  </si>
  <si>
    <t>設備開關被關掉，現已開啟</t>
  </si>
  <si>
    <t xml:space="preserve">75607_0.jpg : https://ap12.ragic.com/sims/file.jsp?a=soutlet001&amp;f=l87OJKs3sf%4075607_0.jpg
75608_0.jpg : https://ap12.ragic.com/sims/file.jsp?a=soutlet001&amp;f=H8N1Eu56Sp%4075608_0.jpg
</t>
  </si>
  <si>
    <t>20251102-009</t>
  </si>
  <si>
    <t>洗手台沒熱水</t>
  </si>
  <si>
    <t>IMG_8164.jpeg</t>
  </si>
  <si>
    <t>528蓮蓬頭開了二分鐘，洗手台就會熱了</t>
  </si>
  <si>
    <t>75603.jpg</t>
  </si>
  <si>
    <t>20251102-008</t>
  </si>
  <si>
    <t>之稅條斷裂</t>
  </si>
  <si>
    <t>IMG_6502.jpeg</t>
  </si>
  <si>
    <t>1030止水條修復完成</t>
  </si>
  <si>
    <t>75591.jpg</t>
  </si>
  <si>
    <t>20251102-007</t>
  </si>
  <si>
    <t>淋浴間玻璃門卡卡的 要調整</t>
  </si>
  <si>
    <t>IMG_8160.jpeg</t>
  </si>
  <si>
    <t>606淋浴門調整完成</t>
  </si>
  <si>
    <t>20251102-006</t>
  </si>
  <si>
    <t>水龍頭脫落</t>
  </si>
  <si>
    <t>IMG_3667.jpeg</t>
  </si>
  <si>
    <t>四樓酒吧水龍頭固定完成</t>
  </si>
  <si>
    <t>75565.jpg</t>
  </si>
  <si>
    <t>20251102-005</t>
  </si>
  <si>
    <t>洗手台會移動 要固定</t>
  </si>
  <si>
    <t>IMG_8159.jpeg</t>
  </si>
  <si>
    <t>608洗水台底部矽力康固定未乾，二小時請勿移動</t>
  </si>
  <si>
    <t>75560.jpg</t>
  </si>
  <si>
    <t>20251102-004</t>
  </si>
  <si>
    <t>房門感應沒電</t>
  </si>
  <si>
    <t>IMG_6494.jpeg</t>
  </si>
  <si>
    <t>處理完成。</t>
  </si>
  <si>
    <t>20251102-003</t>
  </si>
  <si>
    <t>0916 客人反應洗澡是溫水，不夠熱，請五分鐘後去房間協助，客在房間內，謝謝</t>
  </si>
  <si>
    <t>916客人說水溫現在可以，現在不用過去</t>
  </si>
  <si>
    <t>20251102-002</t>
  </si>
  <si>
    <t>客人反應沒熱水</t>
  </si>
  <si>
    <t>525熱水開二分鐘就有38.4度</t>
  </si>
  <si>
    <t>75554.jpg</t>
  </si>
  <si>
    <t>20251102-001</t>
  </si>
  <si>
    <t>冷氣異常 出風口沒有風</t>
  </si>
  <si>
    <t>630測溫15度，已正常。</t>
  </si>
  <si>
    <t>S__29270099.jpg</t>
  </si>
  <si>
    <t>20251101-008</t>
  </si>
  <si>
    <t xml:space="preserve">客人入住時房門無法開啟, Master + 用筆電強制開啟也無法打開房門. (都有感應顯示綠燈, 但把手就是無法開啟) </t>
  </si>
  <si>
    <t>20251101-007</t>
  </si>
  <si>
    <t>IMG_8152.jpeg</t>
  </si>
  <si>
    <t>75389.jpg</t>
  </si>
  <si>
    <t>20251101-006</t>
  </si>
  <si>
    <t>惟仲</t>
  </si>
  <si>
    <t>會刮手</t>
  </si>
  <si>
    <t>IMG_9191.jpeg</t>
  </si>
  <si>
    <t>805處裡完成。</t>
  </si>
  <si>
    <t>75391.jpg</t>
  </si>
  <si>
    <t>20251101-005</t>
  </si>
  <si>
    <t>蓮蓬頭裝飾鬆脫</t>
  </si>
  <si>
    <t>IMG_6467.jpeg</t>
  </si>
  <si>
    <t>1030處理完成。</t>
  </si>
  <si>
    <t>20251101-004</t>
  </si>
  <si>
    <t>8樓梯口電燈不亮</t>
  </si>
  <si>
    <t>IMG_8145.jpeg</t>
  </si>
  <si>
    <t>換好後查看都有亮</t>
  </si>
  <si>
    <t>8樓員工梯廳.jpg</t>
  </si>
  <si>
    <t>20251101-003</t>
  </si>
  <si>
    <t>618房間的免治馬桶無法使用，已經重新插電過還是無法，客人應該還在房間內預計15分鐘後出門晚上才會回，再麻煩請人去協助處理，客人表示隨時去都可以</t>
  </si>
  <si>
    <t>618故障排除。</t>
  </si>
  <si>
    <t>20251101-002</t>
  </si>
  <si>
    <t>空調不冷, 出風口溫度為25度</t>
  </si>
  <si>
    <t>630測溫15度，已正常</t>
  </si>
  <si>
    <t>630測溫15度，已正常.jpg</t>
  </si>
  <si>
    <t>20251101-001</t>
  </si>
  <si>
    <t>員工電梯</t>
  </si>
  <si>
    <t>右邊員工電梯按B1沒反應</t>
  </si>
  <si>
    <t>電梯</t>
  </si>
  <si>
    <t>富士達已來檢修</t>
  </si>
  <si>
    <t>20251031-013</t>
  </si>
  <si>
    <t>需協助設定Auto開關(17:00-23:30)</t>
  </si>
  <si>
    <t>IMG_3656.jpeg</t>
  </si>
  <si>
    <t>已正常照亮</t>
  </si>
  <si>
    <t>75422.jpg</t>
  </si>
  <si>
    <t>20251031-012</t>
  </si>
  <si>
    <t>531 冰箱+電話故障，更換此間設備，需要維修</t>
  </si>
  <si>
    <t>909電話拆移到531，房務來重置測試</t>
  </si>
  <si>
    <t>20251031-011</t>
  </si>
  <si>
    <t>803 浴缸 缺零件</t>
  </si>
  <si>
    <t>1000005806.jpg</t>
  </si>
  <si>
    <t>已更換OK</t>
  </si>
  <si>
    <t>20251031-010</t>
  </si>
  <si>
    <t>828 淋浴間 缺零件</t>
  </si>
  <si>
    <t>1000005804.jpg</t>
  </si>
  <si>
    <t>828螺絲修飾蓋已裝上完成</t>
  </si>
  <si>
    <t>828螺絲修飾蓋已裝上完成.jpg</t>
  </si>
  <si>
    <t>20251031-009</t>
  </si>
  <si>
    <t>HDMI 1 當掉（(IT)</t>
  </si>
  <si>
    <t>IMG_6409.jpeg</t>
  </si>
  <si>
    <t>1017 已修復完成</t>
  </si>
  <si>
    <t>20251031-008</t>
  </si>
  <si>
    <t>910 電視無訊號</t>
  </si>
  <si>
    <t>910 已修復完成</t>
  </si>
  <si>
    <t>20251031-007</t>
  </si>
  <si>
    <t>1013電話零件已固定、測試電話正常</t>
  </si>
  <si>
    <t>20251031-006</t>
  </si>
  <si>
    <t>823 水龍頭鬆動 有預進</t>
  </si>
  <si>
    <t xml:space="preserve">1000005801.jpg : https://ap12.ragic.com/sims/file.jsp?a=soutlet001&amp;f=CxSj80A3o4%401000005801.jpg
1000005797.jpg : https://ap12.ragic.com/sims/file.jsp?a=soutlet001&amp;f=63gobfW0k8%401000005797.jpg
</t>
  </si>
  <si>
    <t>image_AD3834BA-7E93-47CF-9D84-72843AA27053_1761974027_compressed.jpeg</t>
  </si>
  <si>
    <t>20251031-005</t>
  </si>
  <si>
    <t>淋浴間及洗手台皆無熱水</t>
  </si>
  <si>
    <t>610蓮蓬頭開 二分鐘熱水達38.6度</t>
  </si>
  <si>
    <t>20251031-004</t>
  </si>
  <si>
    <t>Dany</t>
  </si>
  <si>
    <t>沒熱水 客很不爽</t>
  </si>
  <si>
    <t>20251031-003</t>
  </si>
  <si>
    <t>電動遮光簾無法完全關閉</t>
  </si>
  <si>
    <t>IMG_6399.jpeg</t>
  </si>
  <si>
    <t>只有我一個人在501弄窗簾</t>
  </si>
  <si>
    <t>20251031-002</t>
  </si>
  <si>
    <t>淋浴間止水條脫落</t>
  </si>
  <si>
    <t>S__43982863.jpg</t>
  </si>
  <si>
    <t>20251031-001</t>
  </si>
  <si>
    <t>客人反應浴室門難關</t>
  </si>
  <si>
    <t>20251030-006</t>
  </si>
  <si>
    <t>電動窗簾紗網不能捲起來</t>
  </si>
  <si>
    <t>IMG_6365.jpeg</t>
  </si>
  <si>
    <t>531 電動紗網工程完成檢查OK</t>
  </si>
  <si>
    <t>20251030-005</t>
  </si>
  <si>
    <t>1。電話拿起來沒有聲音_x000D_
2。櫃檯打進來，也聽不到聲音。</t>
  </si>
  <si>
    <t>909電話拆移到531，請房務來重置測試</t>
  </si>
  <si>
    <t>20251030-004</t>
  </si>
  <si>
    <t>電話無法使用</t>
  </si>
  <si>
    <t>631電話的電池已更新完成</t>
  </si>
  <si>
    <t>20251030-003</t>
  </si>
  <si>
    <t>IMG_6353.jpeg</t>
  </si>
  <si>
    <t>623下止水條已更新完成</t>
  </si>
  <si>
    <t>623下止水條已更新完成.jpg</t>
  </si>
  <si>
    <t>20251030-002</t>
  </si>
  <si>
    <t>下水道排水口異味，麻煩處理一個封口</t>
  </si>
  <si>
    <t>排水孔封起來</t>
  </si>
  <si>
    <t>image_FA72EE55-C318-4131-8436-2E2921C2963D_1761968081_compressed.jpeg</t>
  </si>
  <si>
    <t>20251030-001</t>
  </si>
  <si>
    <t>洗手台面化妝鏡螺絲鬆掉</t>
  </si>
  <si>
    <t>IMG_6352.jpeg</t>
  </si>
  <si>
    <t>803化粧鏡已鎖緊固定完成</t>
  </si>
  <si>
    <t>803化粧鏡已鎖緊固定完成.jpg</t>
  </si>
  <si>
    <t>20251029-011</t>
  </si>
  <si>
    <t xml:space="preserve">客10/29下午反應房間電話壞掉，沒辦法打下來，晚上又反應電話打上去接起來沒聲音，客人希望10/30續掃時處理 </t>
  </si>
  <si>
    <t>20251029-010</t>
  </si>
  <si>
    <t>馬桶零件無法收回需要調整</t>
  </si>
  <si>
    <t>IMG_6318.jpeg</t>
  </si>
  <si>
    <t>操作不影響有空再換即可</t>
  </si>
  <si>
    <t>20251029-009</t>
  </si>
  <si>
    <t>1015  續住 房務員不小心弄到 請問可以拔815或816的嗎？目前客人不在</t>
  </si>
  <si>
    <t>1000005769.jpg</t>
  </si>
  <si>
    <t>816已整片玻璃換過來</t>
  </si>
  <si>
    <t>20251029-008</t>
  </si>
  <si>
    <t>房門天花板坎燈不亮</t>
  </si>
  <si>
    <t>926門口天花板崁燈已更新完成</t>
  </si>
  <si>
    <t>926門口天花板崁燈已更新完成.jpg</t>
  </si>
  <si>
    <t>20251029-007</t>
  </si>
  <si>
    <t>客房內有沼氣味</t>
  </si>
  <si>
    <t>519倒了300cc的漂白水後又倒了二小桶的熱水，二十分後再倒漂白水150cc，再倒熱水一小桶完畢</t>
  </si>
  <si>
    <t>20251029-006</t>
  </si>
  <si>
    <t>923下止水條已更新完成</t>
  </si>
  <si>
    <t>923下止水條已更新完成.jpg</t>
  </si>
  <si>
    <t>20251029-005</t>
  </si>
  <si>
    <t>右邊客用電梯在滴水</t>
  </si>
  <si>
    <t>二台客梯都擦拭完成</t>
  </si>
  <si>
    <t>二台客梯都擦拭完成.jpg</t>
  </si>
  <si>
    <t>20251029-004</t>
  </si>
  <si>
    <t>IMG_6307.jpeg</t>
  </si>
  <si>
    <t>818下止水條已更新完成</t>
  </si>
  <si>
    <t>818下止水條已更新完成.jpg</t>
  </si>
  <si>
    <t>20251029-003</t>
  </si>
  <si>
    <t>感應沖水：無法感應</t>
  </si>
  <si>
    <t>510已修復完成</t>
  </si>
  <si>
    <t>20251029-002</t>
  </si>
  <si>
    <t>蓮蓬頭規格不符，沒有辦法掛在架子上</t>
  </si>
  <si>
    <t>IMG_6291.jpeg</t>
  </si>
  <si>
    <t>817蓮蓬頭已調整完成</t>
  </si>
  <si>
    <t>817蓮蓬頭已調整完成.jpg</t>
  </si>
  <si>
    <t>20251029-001</t>
  </si>
  <si>
    <t>930 預進客人不喜歡冷氣吹風口對床 再麻煩工程大哥做調整 謝謝</t>
  </si>
  <si>
    <t>20251028-009</t>
  </si>
  <si>
    <t>613浴簾已修復完成</t>
  </si>
  <si>
    <t>74664.jpg</t>
  </si>
  <si>
    <t>20251028-008</t>
  </si>
  <si>
    <t>衛生紙架斷掉</t>
  </si>
  <si>
    <t>522衛生紙架固定完成</t>
  </si>
  <si>
    <t>522衛生紙架固定完成.jpg</t>
  </si>
  <si>
    <t>20251028-007</t>
  </si>
  <si>
    <t xml:space="preserve">819 續住 電話*2可能需要更換電池  客不在 </t>
  </si>
  <si>
    <t>客廳插頭沒插，導致電話沒聲音</t>
  </si>
  <si>
    <t>20251028-006</t>
  </si>
  <si>
    <t>地下排水孔有異味</t>
  </si>
  <si>
    <t>先用孔蓋封住</t>
  </si>
  <si>
    <t>20251028-005</t>
  </si>
  <si>
    <t>浴缸排水孔有臭味飄出</t>
  </si>
  <si>
    <t>20251028-004</t>
  </si>
  <si>
    <t>807 浴簾卡住</t>
  </si>
  <si>
    <t>已修理</t>
  </si>
  <si>
    <t>20251028-003</t>
  </si>
  <si>
    <t>電動紗網異常</t>
  </si>
  <si>
    <t>701電動窗簾調整完成</t>
  </si>
  <si>
    <t xml:space="preserve">74618_0.jpg : https://ap12.ragic.com/sims/file.jsp?a=soutlet001&amp;f=7703oDI7xn%4074618_0.jpg
74619_0.jpg : https://ap12.ragic.com/sims/file.jsp?a=soutlet001&amp;f=e3DFol7KU7%4074619_0.jpg
</t>
  </si>
  <si>
    <t>20251028-002</t>
  </si>
  <si>
    <t>931 冷氣不冷 有預進</t>
  </si>
  <si>
    <t>931出風口16度、床頭19度</t>
  </si>
  <si>
    <t xml:space="preserve">74651_0.jpg : https://ap12.ragic.com/sims/file.jsp?a=soutlet001&amp;f=s2ZJL6bjh1%4074651_0.jpg
74652_0.jpg : https://ap12.ragic.com/sims/file.jsp?a=soutlet001&amp;f=rgd02886tB%4074652_0.jpg
74653_0.jpg : https://ap12.ragic.com/sims/file.jsp?a=soutlet001&amp;f=3jf811sZm3%4074653_0.jpg
74654_0.jpg : https://ap12.ragic.com/sims/file.jsp?a=soutlet001&amp;f=0NPW1PCR49%4074654_0.jpg
</t>
  </si>
  <si>
    <t>20251028-001</t>
  </si>
  <si>
    <t>IT：電視無信號</t>
  </si>
  <si>
    <t>資訊長515電視訊號恢復了，機上盒電源跟HDMI線有被拔起來已重插上</t>
  </si>
  <si>
    <t xml:space="preserve">7BBE9BE5-7C13-4DF8-B15B-7FA9EE844587.jpg : https://ap12.ragic.com/sims/file.jsp?a=soutlet001&amp;f=Qh4d43691s%407BBE9BE5-7C13-4DF8-B15B-7FA9EE844587.jpg
B8E380E5-34C9-4755-9B2D-979B01246C17.jpg : https://ap12.ragic.com/sims/file.jsp?a=soutlet001&amp;f=IYqHbVg88a%40B8E380E5-34C9-4755-9B2D-979B01246C17.jpg
CBB7DFB0-5507-4534-83BD-7200DB495D91.jpg : https://ap12.ragic.com/sims/file.jsp?a=soutlet001&amp;f=T0UR2Wg4hl%40CBB7DFB0-5507-4534-83BD-7200DB495D91.jpg
</t>
  </si>
  <si>
    <t>20251027-009</t>
  </si>
  <si>
    <t xml:space="preserve">馬桶堵塞無法立即排除，目前已先幫客人換房 FoWilson102725_x000D_
</t>
  </si>
  <si>
    <t>S__20234285.jpg</t>
  </si>
  <si>
    <t>總工825正常已疏通</t>
  </si>
  <si>
    <t>20251027-008</t>
  </si>
  <si>
    <t>客人反映洗澡時蓮蓬頭爆開</t>
  </si>
  <si>
    <t>蓮蓬頭整組更換</t>
  </si>
  <si>
    <t>20251027-007</t>
  </si>
  <si>
    <t>20251027-006</t>
  </si>
  <si>
    <t>IMG_6215.jpeg</t>
  </si>
  <si>
    <t>620浴簾、鍊條已修復完成</t>
  </si>
  <si>
    <t>20251027-005</t>
  </si>
  <si>
    <t>黃門鈴不會響</t>
  </si>
  <si>
    <t>1028電鈴已修復完成</t>
  </si>
  <si>
    <t>20251027-004</t>
  </si>
  <si>
    <t>洗手槽水龍頭出水孔異常</t>
  </si>
  <si>
    <t>IMG_6207.jpeg</t>
  </si>
  <si>
    <t>1027已修復完成</t>
  </si>
  <si>
    <t>20251027-003</t>
  </si>
  <si>
    <t>729 客人反應洗澡完排水孔有點堵塞，會有積水問題，客外出麻煩再協助查看</t>
  </si>
  <si>
    <t>RA已排除狀況目前排水已正常</t>
  </si>
  <si>
    <t>20251027-002</t>
  </si>
  <si>
    <t>客人表示浴簾卡住</t>
  </si>
  <si>
    <t>809浴簾已修復完成.jpg</t>
  </si>
  <si>
    <t>20251027-001</t>
  </si>
  <si>
    <t>707 客反應電視無法開啟，再麻煩去協助查看，客人在房間等</t>
  </si>
  <si>
    <t>707電視已調整完成</t>
  </si>
  <si>
    <t>20251026-012</t>
  </si>
  <si>
    <t>810 需要補矽利康 稽核房</t>
  </si>
  <si>
    <t>1000005711.jpg</t>
  </si>
  <si>
    <t>810矽利康處理完畢</t>
  </si>
  <si>
    <t>810矽利康處理完畢.jpg</t>
  </si>
  <si>
    <t>20251026-011</t>
  </si>
  <si>
    <t>電話線被拔掉了</t>
  </si>
  <si>
    <t>IMG_7930.jpeg</t>
  </si>
  <si>
    <t>531電話線安裝完畢</t>
  </si>
  <si>
    <t xml:space="preserve">531電話線安裝完畢(2).jpg : https://ap12.ragic.com/sims/file.jsp?a=soutlet001&amp;f=RmN8ND3pXk%40531%E9%9B%BB%E8%A9%B1%E7%B7%9A%E5%AE%89%E8%A3%9D%E5%AE%8C%E7%95%A2%282%29.jpg
531電話線安裝完畢(3).jpg : https://ap12.ragic.com/sims/file.jsp?a=soutlet001&amp;f=mpPCrfffqm%40531%E9%9B%BB%E8%A9%B1%E7%B7%9A%E5%AE%89%E8%A3%9D%E5%AE%8C%E7%95%A2%283%29.jpg
531電話線安裝完畢.jpg : https://ap12.ragic.com/sims/file.jsp?a=soutlet001&amp;f=6c6V5N5PGR%40531%E9%9B%BB%E8%A9%B1%E7%B7%9A%E5%AE%89%E8%A3%9D%E5%AE%8C%E7%95%A2.jpg
</t>
  </si>
  <si>
    <t>20251026-010</t>
  </si>
  <si>
    <t>衣櫃拉門卡卡的 需要潤滑油</t>
  </si>
  <si>
    <t>IMG_7929.jpeg</t>
  </si>
  <si>
    <t>衣櫃輪子破損已經更換完畢沒有異音</t>
  </si>
  <si>
    <t>20251026-009</t>
  </si>
  <si>
    <t xml:space="preserve">禁菸牌掉下需要黏_x000D_
</t>
  </si>
  <si>
    <t>821已經將牆面上的殘留膠撕下並重新貼上。</t>
  </si>
  <si>
    <t xml:space="preserve">821已經將牆面上的殘留膠撕下並重新貼上(1).jpg : https://ap12.ragic.com/sims/file.jsp?a=soutlet001&amp;f=8OI21Pt7Ez%40821%E5%B7%B2%E7%B6%93%E5%B0%87%E7%89%86%E9%9D%A2%E4%B8%8A%E7%9A%84%E6%AE%98%E7%95%99%E8%86%A0%E6%92%95%E4%B8%8B%E4%B8%A6%E9%87%8D%E6%96%B0%E8%B2%BC%E4%B8%8A%281%29.jpg
821已經將牆面上的殘留膠撕下並重新貼上(2).jpg : https://ap12.ragic.com/sims/file.jsp?a=soutlet001&amp;f=5N59aue7by%40821%E5%B7%B2%E7%B6%93%E5%B0%87%E7%89%86%E9%9D%A2%E4%B8%8A%E7%9A%84%E6%AE%98%E7%95%99%E8%86%A0%E6%92%95%E4%B8%8B%E4%B8%A6%E9%87%8D%E6%96%B0%E8%B2%BC%E4%B8%8A%282%29.jpg
</t>
  </si>
  <si>
    <t>20251026-008</t>
  </si>
  <si>
    <t>淋浴間全區補矽利康</t>
  </si>
  <si>
    <t>708矽利康處理完畢</t>
  </si>
  <si>
    <t xml:space="preserve">20251026 (1).jpg : https://ap12.ragic.com/sims/file.jsp?a=soutlet001&amp;f=tO2Q3tZ49X%4020251026+%281%29.jpg
20251026(2).jpg : https://ap12.ragic.com/sims/file.jsp?a=soutlet001&amp;f=uFh6Qpz30u%4020251026%282%29.jpg
20251026(3).jpg : https://ap12.ragic.com/sims/file.jsp?a=soutlet001&amp;f=DWojgUtvJZ%4020251026%283%29.jpg
20251026(4).jpg : https://ap12.ragic.com/sims/file.jsp?a=soutlet001&amp;f=6WxWQ8hGeL%4020251026%284%29.jpg
20251026(5).jpg : https://ap12.ragic.com/sims/file.jsp?a=soutlet001&amp;f=50E42FnT89%4020251026%285%29.jpg
20251026(6).jpg : https://ap12.ragic.com/sims/file.jsp?a=soutlet001&amp;f=47qK27Uq65%4020251026%286%29.jpg
</t>
  </si>
  <si>
    <t>20251026-007</t>
  </si>
  <si>
    <t>Amver</t>
  </si>
  <si>
    <t xml:space="preserve">異音 (補單)_x000D_
</t>
  </si>
  <si>
    <t>1023已完成</t>
  </si>
  <si>
    <t>20251026-006</t>
  </si>
  <si>
    <t>牆面污漬 油漆 (補單)</t>
  </si>
  <si>
    <t>1022牆壁髒污油漆完成</t>
  </si>
  <si>
    <t xml:space="preserve">20251026 (2).jpg : https://ap12.ragic.com/sims/file.jsp?a=soutlet001&amp;f=l1f2C2BC0i%4020251026+%282%29.jpg
20251026 (1).jpg : https://ap12.ragic.com/sims/file.jsp?a=soutlet001&amp;f=iKn2m3EI2D%4020251026+%281%29.jpg
</t>
  </si>
  <si>
    <t>20251026-005</t>
  </si>
  <si>
    <t>IMG_7928.jpeg</t>
  </si>
  <si>
    <t>已816小冰箱換至508，目前運轉正常</t>
  </si>
  <si>
    <t>816小冰箱換至508.jpg</t>
  </si>
  <si>
    <t>20251026-004</t>
  </si>
  <si>
    <t>918 續住 淋浴間玻璃門打不開 在麻煩了 客不在</t>
  </si>
  <si>
    <t>918完成</t>
  </si>
  <si>
    <t>20251026-003</t>
  </si>
  <si>
    <t>冷氣在滴水</t>
  </si>
  <si>
    <t>2台客電梯冷氣出風口冷凝水已清理乾淨</t>
  </si>
  <si>
    <t xml:space="preserve">2台客電梯冷氣出風口冷凝水已清理乾淨 (1).jpg : https://ap12.ragic.com/sims/file.jsp?a=soutlet001&amp;f=M5nQp7Jc56%402%E5%8F%B0%E5%AE%A2%E9%9B%BB%E6%A2%AF%E5%86%B7%E6%B0%A3%E5%87%BA%E9%A2%A8%E5%8F%A3%E5%86%B7%E5%87%9D%E6%B0%B4%E5%B7%B2%E6%B8%85%E7%90%86%E4%B9%BE%E6%B7%A8+%281%29.jpg
2台客電梯冷氣出風口冷凝水已清理乾淨 (2).jpg : https://ap12.ragic.com/sims/file.jsp?a=soutlet001&amp;f=MSiQZ1r3dX%402%E5%8F%B0%E5%AE%A2%E9%9B%BB%E6%A2%AF%E5%86%B7%E6%B0%A3%E5%87%BA%E9%A2%A8%E5%8F%A3%E5%86%B7%E5%87%9D%E6%B0%B4%E5%B7%B2%E6%B8%85%E7%90%86%E4%B9%BE%E6%B7%A8+%282%29.jpg
</t>
  </si>
  <si>
    <t>20251026-002</t>
  </si>
  <si>
    <t>723 禁菸立牌掉落 再麻煩了 謝謝</t>
  </si>
  <si>
    <t xml:space="preserve">S__4546643_0.jpg : https://ap12.ragic.com/sims/file.jsp?a=soutlet001&amp;f=L1qkd06P37%40S__4546643_0.jpg
S__4546644_0.jpg : https://ap12.ragic.com/sims/file.jsp?a=soutlet001&amp;f=ukxaZQ1scH%40S__4546644_0.jpg
</t>
  </si>
  <si>
    <t>723牆壁黏膠清除完畢並重新貼上</t>
  </si>
  <si>
    <t>723牆壁黏膠清除完畢並重新貼上.jpg</t>
  </si>
  <si>
    <t>20251026-001</t>
  </si>
  <si>
    <t>8F梯廳燈閃爍</t>
  </si>
  <si>
    <t>8樓廊道梯廳燈已換好</t>
  </si>
  <si>
    <t>8樓廊道梯廳燈換好後查看都有亮.jpg</t>
  </si>
  <si>
    <t>20251025-005</t>
  </si>
  <si>
    <t>A吧上方電燈不亮</t>
  </si>
  <si>
    <t>已更新完成</t>
  </si>
  <si>
    <t>74153.jpg</t>
  </si>
  <si>
    <t>20251025-004</t>
  </si>
  <si>
    <t>軌道已上清潔潤滑完成</t>
  </si>
  <si>
    <t>20251025-003</t>
  </si>
  <si>
    <t>門上方卡住關不起來</t>
  </si>
  <si>
    <t>IMG_7914.jpeg</t>
  </si>
  <si>
    <t>607門已先修復</t>
  </si>
  <si>
    <t>20251025-002</t>
  </si>
  <si>
    <t>1樓大廳音樂沒有聲音，中控有幫忙重開但還是一樣，再麻煩協助檢查</t>
  </si>
  <si>
    <t>20251025-001</t>
  </si>
  <si>
    <t>IMG_7913.jpeg</t>
  </si>
  <si>
    <t>522右側床頭燈已更新完成</t>
  </si>
  <si>
    <t>74109.jpg</t>
  </si>
  <si>
    <t>20251024-011</t>
  </si>
  <si>
    <t>右邊燈泡不亮</t>
  </si>
  <si>
    <t>20251024-010</t>
  </si>
  <si>
    <t>630熱水已正常</t>
  </si>
  <si>
    <t>73253.jpg</t>
  </si>
  <si>
    <t>20251024-009</t>
  </si>
  <si>
    <t>浴室沒熱水_x000D_
麻煩檢查一下</t>
  </si>
  <si>
    <t>521的熱水</t>
  </si>
  <si>
    <t>73250.jpg</t>
  </si>
  <si>
    <t>20251024-008</t>
  </si>
  <si>
    <t>客反應房內電話零件似乎壞掉了 拿起來會有零件碰撞的聲音</t>
  </si>
  <si>
    <t>603電話零件修理完畢</t>
  </si>
  <si>
    <t>20251024-007</t>
  </si>
  <si>
    <t>浴缸熱水不熱</t>
  </si>
  <si>
    <t>817熱水處理完畢</t>
  </si>
  <si>
    <t>20251024-006</t>
  </si>
  <si>
    <t>燈不亮</t>
  </si>
  <si>
    <t>103668.jpg</t>
  </si>
  <si>
    <t>525床頭燈更換完畢</t>
  </si>
  <si>
    <t>73905.jpg</t>
  </si>
  <si>
    <t>20251024-005</t>
  </si>
  <si>
    <t>房門關不上 要調整_x000D_
有預進麻煩先處理</t>
  </si>
  <si>
    <t>IMG_7899.jpeg</t>
  </si>
  <si>
    <t>502已經修復正常</t>
  </si>
  <si>
    <t>20251024-004</t>
  </si>
  <si>
    <t>6樓員工梯口燈泡不亮</t>
  </si>
  <si>
    <t>IMG_7897.jpeg</t>
  </si>
  <si>
    <t>73228.jpg</t>
  </si>
  <si>
    <t>20251024-003</t>
  </si>
  <si>
    <t>Carol</t>
  </si>
  <si>
    <t xml:space="preserve"> 8樓員工梯口燈不亮. 需要修理 因靠近員梯 所以選擇最近房號810</t>
  </si>
  <si>
    <t>73255.jpg</t>
  </si>
  <si>
    <t>20251024-002</t>
  </si>
  <si>
    <t>辦公室冷氣操控面板沒有過電無法操作</t>
  </si>
  <si>
    <t>已恢復正常</t>
  </si>
  <si>
    <t>20251024-001</t>
  </si>
  <si>
    <t>4樓客用梯廳</t>
  </si>
  <si>
    <t>4樓泰市場沒有冷氣</t>
  </si>
  <si>
    <t>20251023-007</t>
  </si>
  <si>
    <t>吸塵器壞掉2台 需修理</t>
  </si>
  <si>
    <t>房務小周和廠商視訊已經自行修復</t>
  </si>
  <si>
    <t>20251023-006</t>
  </si>
  <si>
    <t>717經測出風口19度 床21度</t>
  </si>
  <si>
    <t xml:space="preserve">72915.jpg : https://ap12.ragic.com/sims/file.jsp?a=soutlet001&amp;f=ew9o283pqO%4072915.jpg
72916.jpg : https://ap12.ragic.com/sims/file.jsp?a=soutlet001&amp;f=v9bESpO8ra%4072916.jpg
</t>
  </si>
  <si>
    <t>20251023-005</t>
  </si>
  <si>
    <t>IMG_6056.jpeg</t>
  </si>
  <si>
    <t>603貓眼調整完成</t>
  </si>
  <si>
    <t>20251023-004</t>
  </si>
  <si>
    <t xml:space="preserve">工單20251023-004_x000D_
電視旁坎燈_x000D_
1。燈泡燈座鬆動_x000D_
2。燈泡移位_x000D_
3。照明位置不對_x000D_
</t>
  </si>
  <si>
    <t>IMG_6055.jpeg</t>
  </si>
  <si>
    <t>623燈和燈座分離已修復完畢，照明位置也調整好了</t>
  </si>
  <si>
    <t>72886.jpg</t>
  </si>
  <si>
    <t>20251023-003</t>
  </si>
  <si>
    <t>IMG_6044.jpeg</t>
  </si>
  <si>
    <t>總工605完成,605衣櫃下方輪軌兩顆螺絲都補回</t>
  </si>
  <si>
    <t>20251023-002</t>
  </si>
  <si>
    <t>客房門頂部巨大的破裂聲響和灰塵</t>
  </si>
  <si>
    <t xml:space="preserve">IMG_6042.jpeg : https://ap12.ragic.com/sims/file.jsp?a=soutlet001&amp;f=c49KD15oYY%40IMG_6042.jpeg
IMG_6043.jpeg : https://ap12.ragic.com/sims/file.jsp?a=soutlet001&amp;f=86ZD4qvvct%40IMG_6043.jpeg
</t>
  </si>
  <si>
    <t>總工607完成</t>
  </si>
  <si>
    <t>20251023-001</t>
  </si>
  <si>
    <t>10/23早上反應客房電話無法使用</t>
  </si>
  <si>
    <t>927電話測試完成。可用。</t>
  </si>
  <si>
    <t>20251022-011</t>
  </si>
  <si>
    <t>客表示房間天花板出風口的燈會閃爍</t>
  </si>
  <si>
    <t>601天花板間接照明會閃爍，先線路斷開，客人退房時再行更換</t>
  </si>
  <si>
    <t>20251022-010</t>
  </si>
  <si>
    <t>洗手台旁層架要填縫</t>
  </si>
  <si>
    <t>IMG_7886.jpeg</t>
  </si>
  <si>
    <t>總工509已補縫</t>
  </si>
  <si>
    <t>image_5709235E-9979-4F72-B973-D0C97B86E27C_1761124175_compressed.jpeg</t>
  </si>
  <si>
    <t>20251022-009</t>
  </si>
  <si>
    <t>IMG_5973.jpeg</t>
  </si>
  <si>
    <t>823禁菸牌背面刮膠重貼完成</t>
  </si>
  <si>
    <t>image_8DF7FA1B-6CD3-46BF-8C59-E5AB7B737431_1761123966_compressed.jpeg</t>
  </si>
  <si>
    <t>20251022-008</t>
  </si>
  <si>
    <t>1018 貓眼需要維修 謝謝</t>
  </si>
  <si>
    <t>1000005606.jpg</t>
  </si>
  <si>
    <t>總工已完成</t>
  </si>
  <si>
    <t>image_3CA937BD-8809-4765-88DA-CC9643152142_1761123929_compressed.jpeg</t>
  </si>
  <si>
    <t>20251022-007</t>
  </si>
  <si>
    <t>淋浴間需要重打矽利康</t>
  </si>
  <si>
    <t>IMG_7884.jpeg</t>
  </si>
  <si>
    <t>518矽利康已經重打完成。*矽利康施作完畢最少待乾兩小時。</t>
  </si>
  <si>
    <t>image_D374FFFF-1DF9-489A-8964-1ED7F4511433_1761123774_compressed.jpeg</t>
  </si>
  <si>
    <t>20251022-006</t>
  </si>
  <si>
    <t>需協助浴室集水盤倒掉</t>
  </si>
  <si>
    <t>20251022-005</t>
  </si>
  <si>
    <t>洗手台會移動需固定</t>
  </si>
  <si>
    <t>IMG_7879.jpeg</t>
  </si>
  <si>
    <t>總工616已打膠固定，靜置3小時。</t>
  </si>
  <si>
    <t>20251022-004</t>
  </si>
  <si>
    <t>洗手台水龍頭鬆動</t>
  </si>
  <si>
    <t>IMG_5966.jpeg</t>
  </si>
  <si>
    <t>20251022-003</t>
  </si>
  <si>
    <t>矽力控嚴重脫落起霉斑</t>
  </si>
  <si>
    <t xml:space="preserve">IMG_5965.jpeg : https://ap12.ragic.com/sims/file.jsp?a=soutlet001&amp;f=3By0RkFCjx%40IMG_5965.jpeg
IMG_5964.jpeg : https://ap12.ragic.com/sims/file.jsp?a=soutlet001&amp;f=GtV68h9d3f%40IMG_5964.jpeg
</t>
  </si>
  <si>
    <t>總工916完成</t>
  </si>
  <si>
    <t xml:space="preserve">總工916完成.jpg : https://ap12.ragic.com/sims/file.jsp?a=soutlet001&amp;f=ef734lOjax%40%E7%B8%BD%E5%B7%A5916%E5%AE%8C%E6%88%90.jpg
總工916完成2.jpg : https://ap12.ragic.com/sims/file.jsp?a=soutlet001&amp;f=ro8F9GLYP2%40%E7%B8%BD%E5%B7%A5916%E5%AE%8C%E6%88%902.jpg
</t>
  </si>
  <si>
    <t>20251022-002</t>
  </si>
  <si>
    <t>床頭吊燈飾蓋鬆脫搖搖欲墜。</t>
  </si>
  <si>
    <t xml:space="preserve">IMG_5937.jpeg : https://ap12.ragic.com/sims/file.jsp?a=soutlet001&amp;f=tfH2KcadZD%40IMG_5937.jpeg
IMG_5938.jpeg : https://ap12.ragic.com/sims/file.jsp?a=soutlet001&amp;f=a5Lim910mP%40IMG_5938.jpeg
</t>
  </si>
  <si>
    <t>807已將螺絲及外蓋重新鎖緊進入牆壁內</t>
  </si>
  <si>
    <t>image_C009EC01-5FED-42DF-8444-EDCB18D028AE_1761123824_compressed.jpeg</t>
  </si>
  <si>
    <t>20251022-001</t>
  </si>
  <si>
    <t>吊燈飾蓋鬆動，搖搖欲墜</t>
  </si>
  <si>
    <t>IMG_5931.jpeg</t>
  </si>
  <si>
    <t>總工910完成</t>
  </si>
  <si>
    <t>總工910完成.jpg</t>
  </si>
  <si>
    <t>20251021-008</t>
  </si>
  <si>
    <t>床左側地板要填縫</t>
  </si>
  <si>
    <t>地板</t>
  </si>
  <si>
    <t>IMG_7872.jpeg</t>
  </si>
  <si>
    <t>519地板填縫，需待乾，明早9：00可以</t>
  </si>
  <si>
    <t>519地板填縫，需待乾，明早9：00可以.jpg</t>
  </si>
  <si>
    <t>20251021-007</t>
  </si>
  <si>
    <t>IMG_7870.jpeg</t>
  </si>
  <si>
    <t>622門鈴單音處理完畢</t>
  </si>
  <si>
    <t>20251021-006</t>
  </si>
  <si>
    <t>黃色櫃子要貼皮</t>
  </si>
  <si>
    <t>IMG_7867.jpeg</t>
  </si>
  <si>
    <t>506mini bar和門旁邊貼皮修補完成</t>
  </si>
  <si>
    <t>20251021-005</t>
  </si>
  <si>
    <t>Minibar 櫃子要貼皮</t>
  </si>
  <si>
    <t>Mini Bar 櫃子</t>
  </si>
  <si>
    <t>IMG_7866.jpeg</t>
  </si>
  <si>
    <t>20251021-004</t>
  </si>
  <si>
    <t>IMG_7864.jpeg</t>
  </si>
  <si>
    <t>20251021-003</t>
  </si>
  <si>
    <t>浴室拉門無緩衝</t>
  </si>
  <si>
    <t>IMG_7863.jpeg</t>
  </si>
  <si>
    <t>經調整，606的緩衝無法完全處理，有安裝防撞墊，減少門金屬撞擊力量</t>
  </si>
  <si>
    <t>20251021-002</t>
  </si>
  <si>
    <t>minibar 櫃子要貼皮</t>
  </si>
  <si>
    <t>IMG_7862.jpeg</t>
  </si>
  <si>
    <t>已貼皮完成</t>
  </si>
  <si>
    <t>20251021-001</t>
  </si>
  <si>
    <t>IMG_7861.jpeg</t>
  </si>
  <si>
    <t>20251020-007</t>
  </si>
  <si>
    <t>無訊號</t>
  </si>
  <si>
    <t>1000025043.jpg</t>
  </si>
  <si>
    <t>已修復完成</t>
  </si>
  <si>
    <t>20251020-006</t>
  </si>
  <si>
    <t>Edison</t>
  </si>
  <si>
    <t>915燈不亮 需要換燈泡</t>
  </si>
  <si>
    <t>S__156409882.jpg</t>
  </si>
  <si>
    <t>915 修復完成</t>
  </si>
  <si>
    <t>915 修復完成.jpg</t>
  </si>
  <si>
    <t>20251020-005</t>
  </si>
  <si>
    <t>IMG_7854.jpeg</t>
  </si>
  <si>
    <t>502 單音完成</t>
  </si>
  <si>
    <t>20251020-004</t>
  </si>
  <si>
    <t>820 浴簾有卡住</t>
  </si>
  <si>
    <t>1000005578.jpg</t>
  </si>
  <si>
    <t>820浴簾修復完成</t>
  </si>
  <si>
    <t>820浴簾修復完成.jpg</t>
  </si>
  <si>
    <t>20251020-003</t>
  </si>
  <si>
    <t>IMG_7853.jpeg</t>
  </si>
  <si>
    <t>612門鎖電池已更新完成</t>
  </si>
  <si>
    <t>20251020-002</t>
  </si>
  <si>
    <t>931 冷氣還是不冷 只有一點點涼 今天有預進</t>
  </si>
  <si>
    <t>總工進房查看31系列房本來冷氣就不太冷，所以才會更換所有31系列房的送風機，等執董簽核過才能換，目前等執董簽核。</t>
  </si>
  <si>
    <t>20251020-001</t>
  </si>
  <si>
    <t>709房門無緩衝 有預進</t>
  </si>
  <si>
    <t>20251019-009</t>
  </si>
  <si>
    <t>IMG_5842.jpeg</t>
  </si>
  <si>
    <t>717浴簾已修復完成</t>
  </si>
  <si>
    <t>72864.jpg</t>
  </si>
  <si>
    <t>20251019-008</t>
  </si>
  <si>
    <t>紗簾卡住，降不下來</t>
  </si>
  <si>
    <t>IMG_5841.jpeg</t>
  </si>
  <si>
    <t>722窗簾調整完成</t>
  </si>
  <si>
    <t>20251019-007</t>
  </si>
  <si>
    <t xml:space="preserve">客人使用電視看youtube會 lag, 連不上 </t>
  </si>
  <si>
    <t>819 經過測試YouTube使用沒有問題</t>
  </si>
  <si>
    <t>819 經過測試YouTube使用沒有問題.jpg</t>
  </si>
  <si>
    <t>20251019-006</t>
  </si>
  <si>
    <t>重新打的矽力控破損</t>
  </si>
  <si>
    <t>IMG_5838.jpeg</t>
  </si>
  <si>
    <t>已完成 房務已IP</t>
  </si>
  <si>
    <t>20251019-005</t>
  </si>
  <si>
    <t>蓮蓬頭水管破損</t>
  </si>
  <si>
    <t>IMG_5836.jpeg</t>
  </si>
  <si>
    <t>528蓮蓬頭管已更新完成</t>
  </si>
  <si>
    <t>20251019-004</t>
  </si>
  <si>
    <t>603 HDMI 1沒有訊號 有預進</t>
  </si>
  <si>
    <t>1000005553.jpg</t>
  </si>
  <si>
    <t>櫃檯已處理好</t>
  </si>
  <si>
    <t>20251019-003</t>
  </si>
  <si>
    <t>603 貓眼需修理 有預進</t>
  </si>
  <si>
    <t>1000005552.jpg</t>
  </si>
  <si>
    <t>20251019-002</t>
  </si>
  <si>
    <t>MAX</t>
  </si>
  <si>
    <t>4樓女廁洗手乳架脫落</t>
  </si>
  <si>
    <t>總工四樓女廁洗手乳架三個都已固定完成。</t>
  </si>
  <si>
    <t>20251019-001</t>
  </si>
  <si>
    <t>客反映洗手台的水堵住放不掉，客在房間等，再麻煩前往協助</t>
  </si>
  <si>
    <t>606已修復完成</t>
  </si>
  <si>
    <t>20251018-009</t>
  </si>
  <si>
    <t>浴室鏡子不穩需要重新固定</t>
  </si>
  <si>
    <t>IMG_7829.jpeg</t>
  </si>
  <si>
    <t>512化粧鏡固定完成</t>
  </si>
  <si>
    <t>72709.jpg</t>
  </si>
  <si>
    <t>20251018-008</t>
  </si>
  <si>
    <t>浴簾卡住：兩扇</t>
  </si>
  <si>
    <t>609浴簾調整完成</t>
  </si>
  <si>
    <t xml:space="preserve">72684_0.jpg : https://ap12.ragic.com/sims/file.jsp?a=soutlet001&amp;f=Zb8cxX8F2E%4072684_0.jpg
72685_0.jpg : https://ap12.ragic.com/sims/file.jsp?a=soutlet001&amp;f=10xT40V2Ju%4072685_0.jpg
</t>
  </si>
  <si>
    <t>20251018-007</t>
  </si>
  <si>
    <t>實際是807完成</t>
  </si>
  <si>
    <t>20251018-006</t>
  </si>
  <si>
    <t>止水條斷掉要更換</t>
  </si>
  <si>
    <t>IMG_7823.jpeg</t>
  </si>
  <si>
    <t>611止水條更新完成</t>
  </si>
  <si>
    <t>72681.jpg</t>
  </si>
  <si>
    <t>20251018-005</t>
  </si>
  <si>
    <t>IMG_5798.jpeg</t>
  </si>
  <si>
    <t>830盥洗用品架已更新完成</t>
  </si>
  <si>
    <t>72658.jpg</t>
  </si>
  <si>
    <t>20251018-004</t>
  </si>
  <si>
    <t>房門：門條多處剝落</t>
  </si>
  <si>
    <t xml:space="preserve">IMG_5791.jpeg : https://ap12.ragic.com/sims/file.jsp?a=soutlet001&amp;f=5IcjUOmfWf%40IMG_5791.jpeg
IMG_5792.jpeg : https://ap12.ragic.com/sims/file.jsp?a=soutlet001&amp;f=4Z18ZOF0Or%40IMG_5792.jpeg
IMG_5793.jpeg : https://ap12.ragic.com/sims/file.jsp?a=soutlet001&amp;f=u4Jy302Os4%40IMG_5793.jpeg
</t>
  </si>
  <si>
    <t>1029房門完成</t>
  </si>
  <si>
    <t>S__28770318.jpg</t>
  </si>
  <si>
    <t>20251018-003</t>
  </si>
  <si>
    <t>熨燙板卡不進去</t>
  </si>
  <si>
    <t>螢幕擷取畫面 2025-10-18 102856.jpg</t>
  </si>
  <si>
    <t>總工旁邊壓一下就好了</t>
  </si>
  <si>
    <t>S__28770312.jpg</t>
  </si>
  <si>
    <t>20251018-002</t>
  </si>
  <si>
    <t>淋浴間會漏水</t>
  </si>
  <si>
    <t>R930.jpg</t>
  </si>
  <si>
    <t>930排水順暢</t>
  </si>
  <si>
    <t>20251018-001</t>
  </si>
  <si>
    <t>淋浴時有黑色不明物質從蓮蓬頭噴出</t>
  </si>
  <si>
    <t>626蓮蓬頭、管已更新完成</t>
  </si>
  <si>
    <t>20251017-012</t>
  </si>
  <si>
    <t>IMG_7809.jpeg</t>
  </si>
  <si>
    <t>613浴室拉門緩衝處理完畢</t>
  </si>
  <si>
    <t>20251017-011</t>
  </si>
  <si>
    <t>衣櫃燈帶要重新固定</t>
  </si>
  <si>
    <t>IMG_7806.jpeg</t>
  </si>
  <si>
    <t>629衣櫃條燈處理完畢</t>
  </si>
  <si>
    <t>20251017-010</t>
  </si>
  <si>
    <t>IMG_5762.jpeg</t>
  </si>
  <si>
    <t>812 處理完成</t>
  </si>
  <si>
    <t>20251017-009</t>
  </si>
  <si>
    <t>電池更換完成</t>
  </si>
  <si>
    <t>20251017-008</t>
  </si>
  <si>
    <t>IMG_7803.jpeg</t>
  </si>
  <si>
    <t>20251017-007</t>
  </si>
  <si>
    <t>空調弱、冷氣不冷</t>
  </si>
  <si>
    <t>803出風口20度床頭測24度</t>
  </si>
  <si>
    <t xml:space="preserve">71884_0.jpg : https://ap12.ragic.com/sims/file.jsp?a=soutlet001&amp;f=T34EDgq2Ns%4071884_0.jpg
71885_0.jpg : https://ap12.ragic.com/sims/file.jsp?a=soutlet001&amp;f=2f89Ynw1fr%4071885_0.jpg
</t>
  </si>
  <si>
    <t>20251017-006</t>
  </si>
  <si>
    <t>貓眼蓋子掉落</t>
  </si>
  <si>
    <t>777011.jpg</t>
  </si>
  <si>
    <t>處理完畢</t>
  </si>
  <si>
    <t>20251017-005</t>
  </si>
  <si>
    <t>713 貓眼蓋子掉落 有預進</t>
  </si>
  <si>
    <t>1000005489.jpg</t>
  </si>
  <si>
    <t>20251017-004</t>
  </si>
  <si>
    <t>IMG_5752.jpeg</t>
  </si>
  <si>
    <t>913處理完畢</t>
  </si>
  <si>
    <t>20251017-003</t>
  </si>
  <si>
    <t>門上方要黏貼</t>
  </si>
  <si>
    <t>607已黏貼完成</t>
  </si>
  <si>
    <t>20251017-002</t>
  </si>
  <si>
    <t>20251017-001</t>
  </si>
  <si>
    <t>IMG_7797.jpeg</t>
  </si>
  <si>
    <t>20251016-010</t>
  </si>
  <si>
    <t xml:space="preserve">701 遮光簾卡住 </t>
  </si>
  <si>
    <t>701窗簾昨天我已經將方向導正，不影響住房。但是下時候他會一直不斷的下降沒停，導致過長徹底解決，明天另一位同事可以處理或我今天的在去試試。</t>
  </si>
  <si>
    <t>20251016-009</t>
  </si>
  <si>
    <t>IMG_7790.jpeg</t>
  </si>
  <si>
    <t>522緩衝完成</t>
  </si>
  <si>
    <t>522緩衝完成.jpg</t>
  </si>
  <si>
    <t>20251016-008</t>
  </si>
  <si>
    <t>黃色櫃子要黏皮</t>
  </si>
  <si>
    <t>IMG_7788.jpeg</t>
  </si>
  <si>
    <t>505 抽屜開縫已修復完成</t>
  </si>
  <si>
    <t>20251016-007</t>
  </si>
  <si>
    <t>衣櫃燈帶不亮</t>
  </si>
  <si>
    <t>IMG_7787.jpeg</t>
  </si>
  <si>
    <t>一個是抽屜下方黃色皮開口已經處理好。一個是衣櫥間接照明不亮，因衣櫥封板暫無法處理。需再安排</t>
  </si>
  <si>
    <t>20251016-006</t>
  </si>
  <si>
    <t>門鎖需要更換電池</t>
  </si>
  <si>
    <t>IMG_7785.jpeg</t>
  </si>
  <si>
    <t>522電池更換完成</t>
  </si>
  <si>
    <t>20251016-005</t>
  </si>
  <si>
    <t>黃色櫃子要貼皮、防撞墊</t>
  </si>
  <si>
    <t>IMG_7782.jpeg</t>
  </si>
  <si>
    <t>黃色櫃子要貼皮、防撞墊已完成</t>
  </si>
  <si>
    <t>616黃色櫃子要貼皮、防撞墊.jpg</t>
  </si>
  <si>
    <t>20251016-004</t>
  </si>
  <si>
    <t>926 熱水壺櫃子需貼皮 有預進</t>
  </si>
  <si>
    <t>1000005455.jpg</t>
  </si>
  <si>
    <t>926櫃子貼皮處理完畢</t>
  </si>
  <si>
    <t>926櫃子貼皮處理完畢.jpg</t>
  </si>
  <si>
    <t>20251016-003</t>
  </si>
  <si>
    <t>926 貓眼卡住 有預進</t>
  </si>
  <si>
    <t>1000005454.jpg</t>
  </si>
  <si>
    <t>20251016-002</t>
  </si>
  <si>
    <t>進門後黃色櫃子要貼皮、防撞墊</t>
  </si>
  <si>
    <t>IMG_7781.jpeg</t>
  </si>
  <si>
    <t>513已貼皮完成.jpg</t>
  </si>
  <si>
    <t>20251016-001</t>
  </si>
  <si>
    <t>Bao</t>
  </si>
  <si>
    <t>課10/15 晚間將冷氣調整至18度，10/16早上反映冷氣溫度還是降不下來，感覺還是很熱。</t>
  </si>
  <si>
    <t>1029副總工先把熱水閥關閉，出風口15度</t>
  </si>
  <si>
    <t>20251015-012</t>
  </si>
  <si>
    <t>Amber Lin</t>
  </si>
  <si>
    <t>9樓機房</t>
  </si>
  <si>
    <t>9樓員工專用3 洗手台會滴水</t>
  </si>
  <si>
    <t>水龍頭架已修好</t>
  </si>
  <si>
    <t>20251015-011</t>
  </si>
  <si>
    <t>馬桶上方燈不亮</t>
  </si>
  <si>
    <t>IMG_5673.jpeg</t>
  </si>
  <si>
    <t>20251015-010</t>
  </si>
  <si>
    <t>6樓機房</t>
  </si>
  <si>
    <t>6樓員工專用洗手台無法止水</t>
  </si>
  <si>
    <t>S__121954638.jpg</t>
  </si>
  <si>
    <t xml:space="preserve">6樓已修完成_x000D_
</t>
  </si>
  <si>
    <t>20251015-009</t>
  </si>
  <si>
    <t>續住房，電話故障</t>
  </si>
  <si>
    <t>525電話維修完成</t>
  </si>
  <si>
    <t>20251015-008</t>
  </si>
  <si>
    <t>櫃子掉漆</t>
  </si>
  <si>
    <t>IMG_5661.jpeg</t>
  </si>
  <si>
    <t>807櫃子補漆完成</t>
  </si>
  <si>
    <t xml:space="preserve">807櫃子補漆完成 (1).jpg : https://ap12.ragic.com/sims/file.jsp?a=soutlet001&amp;f=Ni0710Mq26%40807%E6%AB%83%E5%AD%90%E8%A3%9C%E6%BC%86%E5%AE%8C%E6%88%90+%281%29.jpg
807櫃子補漆完成 (2).jpg : https://ap12.ragic.com/sims/file.jsp?a=soutlet001&amp;f=Qttr7ebkhV%40807%E6%AB%83%E5%AD%90%E8%A3%9C%E6%BC%86%E5%AE%8C%E6%88%90+%282%29.jpg
</t>
  </si>
  <si>
    <t>20251015-007</t>
  </si>
  <si>
    <t>洗手槽水龍頭晃動</t>
  </si>
  <si>
    <t>721洗手台下方矽力康固定完成，需要三小時才會乾</t>
  </si>
  <si>
    <t>20251015-006</t>
  </si>
  <si>
    <t>洗水槽移位</t>
  </si>
  <si>
    <t>20251015-005</t>
  </si>
  <si>
    <t>水塞塞住</t>
  </si>
  <si>
    <t>527止水塞已修復完成</t>
  </si>
  <si>
    <t>527止水塞已修復完成.jpg</t>
  </si>
  <si>
    <t>20251015-004</t>
  </si>
  <si>
    <t>滲水處重新上漆</t>
  </si>
  <si>
    <t xml:space="preserve">已重新上漆_x000D_
</t>
  </si>
  <si>
    <t>20251015.jpg</t>
  </si>
  <si>
    <t>20251015-003</t>
  </si>
  <si>
    <t>客人反應冷氣對著頭吹，能否調整一下冷氣葉扇角度，麻煩去看一下，客人在房間等</t>
  </si>
  <si>
    <t>521已把出風口調整完成</t>
  </si>
  <si>
    <t>20251015-002</t>
  </si>
  <si>
    <t>洗手台周圍會漏水</t>
  </si>
  <si>
    <t>總工確認無漏水</t>
  </si>
  <si>
    <t>20251015-001</t>
  </si>
  <si>
    <t>冷氣二通閥故障 雖目前暫時關閉熱水 但因馬上會有寒流 所以還請帶客人外出進行維修</t>
  </si>
  <si>
    <t>關二通熱水閥</t>
  </si>
  <si>
    <t>20251014-013</t>
  </si>
  <si>
    <t>1028 遮光廉卡住</t>
  </si>
  <si>
    <t>1000005426.jpg</t>
  </si>
  <si>
    <t>20251014-012</t>
  </si>
  <si>
    <t>浴室水龍頭開關，左邊少螺絲飾蓋</t>
  </si>
  <si>
    <t xml:space="preserve">IMG_5634.jpeg : https://ap12.ragic.com/sims/file.jsp?a=soutlet001&amp;f=at7Ybn1fh7%40IMG_5634.jpeg
IMG_5635.jpeg : https://ap12.ragic.com/sims/file.jsp?a=soutlet001&amp;f=78YH864B3w%40IMG_5635.jpeg
</t>
  </si>
  <si>
    <t>螺絲修飾蓋817補料完成</t>
  </si>
  <si>
    <t>817補料完成.jpg</t>
  </si>
  <si>
    <t>20251014-011</t>
  </si>
  <si>
    <t>20251014-010</t>
  </si>
  <si>
    <t>1028 淋浴間小鏡子需要鎖緊 再麻煩了 謝謝</t>
  </si>
  <si>
    <t>1000005425.jpg</t>
  </si>
  <si>
    <t>1028鎖緊完成</t>
  </si>
  <si>
    <t>20251014-009</t>
  </si>
  <si>
    <t>化妝鏡開裂</t>
  </si>
  <si>
    <t>IMG_5631.jpeg</t>
  </si>
  <si>
    <t>831化妝鏡鎖好完成</t>
  </si>
  <si>
    <t>831化妝鏡鎖好完成.jpg</t>
  </si>
  <si>
    <t>20251014-008</t>
  </si>
  <si>
    <t>電視牆下+電卡下需補漆 有預進</t>
  </si>
  <si>
    <t>20251014-007</t>
  </si>
  <si>
    <t>923 電卡下需補漆 有預進</t>
  </si>
  <si>
    <t>1000005419.jpg</t>
  </si>
  <si>
    <t>923補漆完成</t>
  </si>
  <si>
    <t>20251014-006</t>
  </si>
  <si>
    <t>923 電視牆下需補漆 有預進</t>
  </si>
  <si>
    <t>1000005418.jpg</t>
  </si>
  <si>
    <t xml:space="preserve">923補漆完成.jpg : https://ap12.ragic.com/sims/file.jsp?a=soutlet001&amp;f=1552KB4vbr%40923%E8%A3%9C%E6%BC%86%E5%AE%8C%E6%88%90.jpg
923補漆完成2.jpg : https://ap12.ragic.com/sims/file.jsp?a=soutlet001&amp;f=JM9P2js4B3%40923%E8%A3%9C%E6%BC%86%E5%AE%8C%E6%88%902.jpg
</t>
  </si>
  <si>
    <t>20251014-005</t>
  </si>
  <si>
    <t>床頭燈很弱 麻煩請更換燈泡</t>
  </si>
  <si>
    <t>774227.jpg</t>
  </si>
  <si>
    <t>20251014-004</t>
  </si>
  <si>
    <t>918 左邊床頭燈很弱 麻煩請更換燈泡有預進 謝謝</t>
  </si>
  <si>
    <t>1000005416.jpg</t>
  </si>
  <si>
    <t>換燈泡</t>
  </si>
  <si>
    <t>918換燈泡.jpg</t>
  </si>
  <si>
    <t>20251014-003</t>
  </si>
  <si>
    <t>大門天花板坎燈閃爍，需要更換</t>
  </si>
  <si>
    <t>IMG_5617.jpeg</t>
  </si>
  <si>
    <t>826換燈泡.jpg</t>
  </si>
  <si>
    <t>20251014-002</t>
  </si>
  <si>
    <t>按所有臥室開關燈還是不亮</t>
  </si>
  <si>
    <t>99228.jpg</t>
  </si>
  <si>
    <t>619兩處燈光已經修復完成</t>
  </si>
  <si>
    <t xml:space="preserve">619兩處燈光已經修復完成 (1).jpg : https://ap12.ragic.com/sims/file.jsp?a=soutlet001&amp;f=fy6Rc16AHs%40619%E5%85%A9%E8%99%95%E7%87%88%E5%85%89%E5%B7%B2%E7%B6%93%E4%BF%AE%E5%BE%A9%E5%AE%8C%E6%88%90+%281%29.jpg
619兩處燈光已經修復完成 (2).jpg : https://ap12.ragic.com/sims/file.jsp?a=soutlet001&amp;f=D23RKVN20H%40619%E5%85%A9%E8%99%95%E7%87%88%E5%85%89%E5%B7%B2%E7%B6%93%E4%BF%AE%E5%BE%A9%E5%AE%8C%E6%88%90+%282%29.jpg
</t>
  </si>
  <si>
    <t>20251014-001</t>
  </si>
  <si>
    <t>馬桶的沖水把手鬆脫，免治馬桶沒電，麻煩九點過後客人外出時檢修。</t>
  </si>
  <si>
    <t>image_4B81583A-2284-4BD4-B0F9-241797571C9B_1760438510_compressed.jpeg</t>
  </si>
  <si>
    <t>20251013-006</t>
  </si>
  <si>
    <t>門鎖弱電</t>
  </si>
  <si>
    <t>20251013-005</t>
  </si>
  <si>
    <t>20251013-004</t>
  </si>
  <si>
    <t>20251013-003</t>
  </si>
  <si>
    <t>20251013-002</t>
  </si>
  <si>
    <t>20251013-001</t>
  </si>
  <si>
    <t>10/12 客人告知房間有異味(食用油味)</t>
  </si>
  <si>
    <t>檢查無異狀正常</t>
  </si>
  <si>
    <t>20251012-011</t>
  </si>
  <si>
    <t>FO-Van</t>
  </si>
  <si>
    <t>櫃子旁的插座沒電</t>
  </si>
  <si>
    <t>電線跳脫已回復</t>
  </si>
  <si>
    <t>20251012-010</t>
  </si>
  <si>
    <t>Netflix app 登陸後會閃退, 機上盒重啟+房內電源重開還是一樣</t>
  </si>
  <si>
    <t>廠商已提供備用機更換完成</t>
  </si>
  <si>
    <t>20251012-009</t>
  </si>
  <si>
    <t>冰箱旁櫃子要貼皮</t>
  </si>
  <si>
    <t>IMG_7768.jpeg</t>
  </si>
  <si>
    <t>605冰箱旁貼皮完成</t>
  </si>
  <si>
    <t>20251012-008</t>
  </si>
  <si>
    <t>房間天花板油漆變色</t>
  </si>
  <si>
    <t>IMG_7766.jpeg</t>
  </si>
  <si>
    <t>已重刷處理完畢</t>
  </si>
  <si>
    <t>71914_0.jpg</t>
  </si>
  <si>
    <t>20251012-007</t>
  </si>
  <si>
    <t>IMG_7759.jpeg</t>
  </si>
  <si>
    <t>20251012-006</t>
  </si>
  <si>
    <t>浴室拉門無緩衝 需調整</t>
  </si>
  <si>
    <t>IMG_7757.jpeg</t>
  </si>
  <si>
    <t>浴室拉門緩衝處理完畢</t>
  </si>
  <si>
    <t>20251012-005</t>
  </si>
  <si>
    <t>左側殘障電梯，門關上後又會自動打開，請再安排富士達檢查</t>
  </si>
  <si>
    <t>總工測試從4-10各樓層停都沒問題，再觀察</t>
  </si>
  <si>
    <t>20251012-004</t>
  </si>
  <si>
    <t>要重打矽利康填縫</t>
  </si>
  <si>
    <t>IMG_7754.jpeg</t>
  </si>
  <si>
    <t>矽利康重打已完成</t>
  </si>
  <si>
    <t>20251012-003</t>
  </si>
  <si>
    <t>需調整冷氣出風口，客人覺得還是有吹到風，希望調整的跟10/10 R811弄的一樣(有用膠帶黏出風口)</t>
  </si>
  <si>
    <t>811冷氣出風口已調整完成</t>
  </si>
  <si>
    <t>20251012-002</t>
  </si>
  <si>
    <t>房間要掛遮光簾</t>
  </si>
  <si>
    <t>IMG_7746.jpeg</t>
  </si>
  <si>
    <t>609窗簾已掛完成</t>
  </si>
  <si>
    <t>20251012-001</t>
  </si>
  <si>
    <t>無法外撥</t>
  </si>
  <si>
    <t>829話機更換完成清測試無雜音</t>
  </si>
  <si>
    <t>20251011-008</t>
  </si>
  <si>
    <t>923 浴缸有污漬 再麻煩工大哥 看能不能除掉 謝謝</t>
  </si>
  <si>
    <t>67926.jpg</t>
  </si>
  <si>
    <t>已去除。</t>
  </si>
  <si>
    <t>20251011-007</t>
  </si>
  <si>
    <t>509 馬桶缺零件</t>
  </si>
  <si>
    <t>S__34619399.jpg</t>
  </si>
  <si>
    <t xml:space="preserve">70840_0.jpg : https://ap12.ragic.com/sims/file.jsp?a=soutlet001&amp;f=SPRQm5YG8e%4070840_0.jpg
70841_0.jpg : https://ap12.ragic.com/sims/file.jsp?a=soutlet001&amp;f=5y72RQpSa5%4070841_0.jpg
</t>
  </si>
  <si>
    <t>20251011-006</t>
  </si>
  <si>
    <t>826 蓮蓬頭架鬆動</t>
  </si>
  <si>
    <t>826已修復。</t>
  </si>
  <si>
    <t xml:space="preserve">70824_0.jpg : https://ap12.ragic.com/sims/file.jsp?a=soutlet001&amp;f=Z3XHgqZoN6%4070824_0.jpg
70825_0.jpg : https://ap12.ragic.com/sims/file.jsp?a=soutlet001&amp;f=cn4Q79X6AH%4070825_0.jpg
</t>
  </si>
  <si>
    <t>20251011-005</t>
  </si>
  <si>
    <t xml:space="preserve">503 浴簾 拉繩掉下來了 </t>
  </si>
  <si>
    <t>S__34611208.jpg</t>
  </si>
  <si>
    <t xml:space="preserve">70821_0.jpg : https://ap12.ragic.com/sims/file.jsp?a=soutlet001&amp;f=Nt3ctQlcaW%4070821_0.jpg
70822_0.jpg : https://ap12.ragic.com/sims/file.jsp?a=soutlet001&amp;f=VvAgLHNc1y%4070822_0.jpg
</t>
  </si>
  <si>
    <t>20251011-004</t>
  </si>
  <si>
    <t>周</t>
  </si>
  <si>
    <t>打開不暢順</t>
  </si>
  <si>
    <t>1000007717.jpg</t>
  </si>
  <si>
    <t>702已完成</t>
  </si>
  <si>
    <t>20251011-003</t>
  </si>
  <si>
    <t>電話內部零件鬆脫</t>
  </si>
  <si>
    <t>20251011-002</t>
  </si>
  <si>
    <t>遮光簾需送洗_x000D_
麻煩拆下來拿到梯口</t>
  </si>
  <si>
    <t>IMG_7735.jpeg</t>
  </si>
  <si>
    <t>20251011-001</t>
  </si>
  <si>
    <t>房門門速過快</t>
  </si>
  <si>
    <t>709已重新安裝完成，調整到90度</t>
  </si>
  <si>
    <t>20251010-028</t>
  </si>
  <si>
    <t>728房門口右側牆面補漆</t>
  </si>
  <si>
    <t>728補漆完成</t>
  </si>
  <si>
    <t>20251010-027</t>
  </si>
  <si>
    <t>門的這片黑色感應片會掉落無法卡緊_x000D_
麻煩處理一下</t>
  </si>
  <si>
    <t>IMG_7728.jpeg</t>
  </si>
  <si>
    <t>921完成</t>
  </si>
  <si>
    <t>20251010-026</t>
  </si>
  <si>
    <t>921 續住 門鎖沒電 客人好像不在</t>
  </si>
  <si>
    <t>櫃檯Wilson自己更換好電池</t>
  </si>
  <si>
    <t>20251010-025</t>
  </si>
  <si>
    <t>IMG_7726.jpeg</t>
  </si>
  <si>
    <t>621已處理完成</t>
  </si>
  <si>
    <t>20251010-024</t>
  </si>
  <si>
    <t>920 空房需補淋浴間矽利康</t>
  </si>
  <si>
    <t>S__5841151.jpg</t>
  </si>
  <si>
    <t>920矽利康已重補</t>
  </si>
  <si>
    <t xml:space="preserve">920矽利康已重補.jpg : https://ap12.ragic.com/sims/file.jsp?a=soutlet001&amp;f=fP6y0mJu3A%40920%E7%9F%BD%E5%88%A9%E5%BA%B7%E5%B7%B2%E9%87%8D%E8%A3%9C.jpg
920矽利康已重補2.jpg : https://ap12.ragic.com/sims/file.jsp?a=soutlet001&amp;f=Lig1847Bn3%40920%E7%9F%BD%E5%88%A9%E5%BA%B7%E5%B7%B2%E9%87%8D%E8%A3%9C2.jpg
</t>
  </si>
  <si>
    <t>20251010-023</t>
  </si>
  <si>
    <t xml:space="preserve">620 木專裂掉 </t>
  </si>
  <si>
    <t>S__73220207.jpg</t>
  </si>
  <si>
    <t>620浴門瓷磚破裂處理完成</t>
  </si>
  <si>
    <t>20251010-022</t>
  </si>
  <si>
    <t>925 電視下方補漆 有預進</t>
  </si>
  <si>
    <t>S__5841106.jpg</t>
  </si>
  <si>
    <t>925白漆修補完成</t>
  </si>
  <si>
    <t>20251010-021</t>
  </si>
  <si>
    <t>925 進門旁節電卡下方補漆 有預進</t>
  </si>
  <si>
    <t>S__5841112.jpg</t>
  </si>
  <si>
    <t>20251010-020</t>
  </si>
  <si>
    <t>717 浴室門很難開</t>
  </si>
  <si>
    <t>717調整完成</t>
  </si>
  <si>
    <t>20251010-019</t>
  </si>
  <si>
    <t>806 淋浴間排水孔需重打矽利康</t>
  </si>
  <si>
    <t>S__5841090.jpg</t>
  </si>
  <si>
    <t>806 工單取消 對不起，時間差</t>
  </si>
  <si>
    <t>20251010-018</t>
  </si>
  <si>
    <t>805浴室拉門無緩衝 有預進</t>
  </si>
  <si>
    <t>805緩衝完成</t>
  </si>
  <si>
    <t>20251010-017</t>
  </si>
  <si>
    <t>805 進門旁黃色木皮需補漆 有預進</t>
  </si>
  <si>
    <t>S__5841062.jpg</t>
  </si>
  <si>
    <t>補漆已完成</t>
  </si>
  <si>
    <t>70647_0.jpg</t>
  </si>
  <si>
    <t>20251010-016</t>
  </si>
  <si>
    <t>房間遮光窗簾要送洗</t>
  </si>
  <si>
    <t>IMG_7720.jpeg</t>
  </si>
  <si>
    <t>609拆遮光簾</t>
  </si>
  <si>
    <t>20251010-015</t>
  </si>
  <si>
    <t>721 MOD查房 : 電視下房牆面污漬 需補漆</t>
  </si>
  <si>
    <t>S__7241772_0.jpg</t>
  </si>
  <si>
    <t>721白漆修補完成</t>
  </si>
  <si>
    <t>20251010-014</t>
  </si>
  <si>
    <t>721 MOD查房 :熱水壺抽屜掉漆</t>
  </si>
  <si>
    <t>S__7241773_0(1).jpg</t>
  </si>
  <si>
    <t>已補好</t>
  </si>
  <si>
    <t>20251010-013</t>
  </si>
  <si>
    <t>920 MOD 查房 : 大門口牆面髒污</t>
  </si>
  <si>
    <t>S__7241759_0(1).jpg</t>
  </si>
  <si>
    <t>920白漆修補完成</t>
  </si>
  <si>
    <t>20251010-012</t>
  </si>
  <si>
    <t xml:space="preserve">920 MOD 查房 :  床頭櫃掉漆 </t>
  </si>
  <si>
    <t>S__7241757_0(1).jpg</t>
  </si>
  <si>
    <t>920黃漆完成</t>
  </si>
  <si>
    <t>20251010-011</t>
  </si>
  <si>
    <t>920 MOD 查房 : 淋浴間門口及排水槽矽利康播落 須補矽利康</t>
  </si>
  <si>
    <t xml:space="preserve">S__7241760_0(1).jpg : https://ap12.ragic.com/sims/file.jsp?a=soutlet001&amp;f=Ktj1pAbIwb%40S__7241760_0%281%29.jpg
S__7241764_0(1).jpg : https://ap12.ragic.com/sims/file.jsp?a=soutlet001&amp;f=53utpgh2c8%40S__7241764_0%281%29.jpg
</t>
  </si>
  <si>
    <t>920矽利康完成</t>
  </si>
  <si>
    <t>20251010-010</t>
  </si>
  <si>
    <t>607 淋浴間門向內開 需維修 有預進</t>
  </si>
  <si>
    <t>97360.jpg</t>
  </si>
  <si>
    <t>20251010-009</t>
  </si>
  <si>
    <t>915進門旁黃色木皮需補漆 有預進</t>
  </si>
  <si>
    <t>S__5840995.jpg</t>
  </si>
  <si>
    <t>915掉漆已經處理完畢，另加了一個防撞裝置</t>
  </si>
  <si>
    <t>70627_0.jpg</t>
  </si>
  <si>
    <t>20251010-008</t>
  </si>
  <si>
    <t>709 淋浴門把鬆脫</t>
  </si>
  <si>
    <t>220076.jpg</t>
  </si>
  <si>
    <t>709淋浴門把鬆脫調整完成</t>
  </si>
  <si>
    <t>20251010-007</t>
  </si>
  <si>
    <t>泰市場廚房門口牆面班駁</t>
  </si>
  <si>
    <t>848E5B70-5A91-4EBF-831D-C0F5FAA887D1.jpg</t>
  </si>
  <si>
    <t>去現場察看推車需改位置放，否則重刷仍會髒</t>
  </si>
  <si>
    <t>20251010-006</t>
  </si>
  <si>
    <t>C梯B4樓梯下方漏水（多處水痕漏水處）</t>
  </si>
  <si>
    <t>查無漏水源頭</t>
  </si>
  <si>
    <t>20251010-005</t>
  </si>
  <si>
    <t>C梯B2&amp;B2往B3的電燈明顯比較暗</t>
  </si>
  <si>
    <t>71095.jpg</t>
  </si>
  <si>
    <t>20251010-004</t>
  </si>
  <si>
    <t>810 客反映浴室拉門無法緩衝，請於客人外出後協助修復。</t>
  </si>
  <si>
    <t>20251010-003</t>
  </si>
  <si>
    <t>客人反映昨天不小心撞到床頭櫃角落兩次。待客人外出後，請務必在床頭櫃角落貼上防撞條。客人目前仍在房內，等其外出後我們會在群組中通知。</t>
  </si>
  <si>
    <t>811防撞角已張貼完成</t>
  </si>
  <si>
    <t>20251010-002</t>
  </si>
  <si>
    <t>CHOW</t>
  </si>
  <si>
    <t>10F房務員反應燈暗暗</t>
  </si>
  <si>
    <t>10樓電梯口燈安裝完畢</t>
  </si>
  <si>
    <t xml:space="preserve">10樓電梯口燈安裝完畢 (1).jpg : https://ap12.ragic.com/sims/file.jsp?a=soutlet001&amp;f=1Al40eG6fd%4010%E6%A8%93%E9%9B%BB%E6%A2%AF%E5%8F%A3%E7%87%88%E5%AE%89%E8%A3%9D%E5%AE%8C%E7%95%A2+%281%29.jpg
10樓電梯口燈安裝完畢 (2).jpg : https://ap12.ragic.com/sims/file.jsp?a=soutlet001&amp;f=Xv1EOFGO5Y%4010%E6%A8%93%E9%9B%BB%E6%A2%AF%E5%8F%A3%E7%87%88%E5%AE%89%E8%A3%9D%E5%AE%8C%E7%95%A2+%282%29.jpg
10樓電梯口燈安裝完畢 (3).jpg : https://ap12.ragic.com/sims/file.jsp?a=soutlet001&amp;f=mZZp432xnz%4010%E6%A8%93%E9%9B%BB%E6%A2%AF%E5%8F%A3%E7%87%88%E5%AE%89%E8%A3%9D%E5%AE%8C%E7%95%A2+%283%29.jpg
</t>
  </si>
  <si>
    <t>20251010-001</t>
  </si>
  <si>
    <t>ＣＨＯＷ</t>
  </si>
  <si>
    <t>床頭櫃需補相同的顏色 有熱杯水印 群組有照片</t>
  </si>
  <si>
    <t>吹風機倒放導致熱風吹久褪色</t>
  </si>
  <si>
    <t>20251009-006</t>
  </si>
  <si>
    <t>洗手台下方維修孔漏水</t>
  </si>
  <si>
    <t>920洗手台已用矽力康固定完成，下方排水管已調整完成，水漬已清理乾淨</t>
  </si>
  <si>
    <t>20251009-005</t>
  </si>
  <si>
    <t>淋浴間門把脫落</t>
  </si>
  <si>
    <t>S__4972669.jpg</t>
  </si>
  <si>
    <t>1027 門把處理完成</t>
  </si>
  <si>
    <t>1027 門把處理完成.jpg</t>
  </si>
  <si>
    <t>20251009-004</t>
  </si>
  <si>
    <t>淋浴門無法密合</t>
  </si>
  <si>
    <t>517浴門處理完成</t>
  </si>
  <si>
    <t xml:space="preserve">517浴門處理完成 (1).jpg : https://ap12.ragic.com/sims/file.jsp?a=soutlet001&amp;f=L5mWTDu41x%40517%E6%B5%B4%E9%96%80%E8%99%95%E7%90%86%E5%AE%8C%E6%88%90+%281%29.jpg
517浴門處理完成 (2).jpg : https://ap12.ragic.com/sims/file.jsp?a=soutlet001&amp;f=m8BRLEWOX4%40517%E6%B5%B4%E9%96%80%E8%99%95%E7%90%86%E5%AE%8C%E6%88%90+%282%29.jpg
</t>
  </si>
  <si>
    <t>20251009-003</t>
  </si>
  <si>
    <t>衛生紙架晃動，要調整</t>
  </si>
  <si>
    <t>IMG_5434.jpeg</t>
  </si>
  <si>
    <t>519衛生紙架處理完畢</t>
  </si>
  <si>
    <t>519衛生紙架處理完畢.jpg</t>
  </si>
  <si>
    <t>20251009-002</t>
  </si>
  <si>
    <t>洗手槽水龍頭開大水感覺有點塞</t>
  </si>
  <si>
    <t>房務已自行處理好</t>
  </si>
  <si>
    <t>20251009-001</t>
  </si>
  <si>
    <t>708 窗簾送洗已回來，請幫忙掛窗簾（窗簾已在客房）</t>
  </si>
  <si>
    <t>IMG_5433.jpeg</t>
  </si>
  <si>
    <t>708窗簾掛好</t>
  </si>
  <si>
    <t>708窗簾掛好.jpg</t>
  </si>
  <si>
    <t>20251008-011</t>
  </si>
  <si>
    <t>淋浴間玻璃門無法關緊 要調整</t>
  </si>
  <si>
    <t>IMG_7707.jpeg</t>
  </si>
  <si>
    <t>807浴室玻璃門已經調整完成</t>
  </si>
  <si>
    <t>807浴室玻璃門已經調整完成.jpg</t>
  </si>
  <si>
    <t>20251008-010</t>
  </si>
  <si>
    <t>沙發椅腳不穩會晃</t>
  </si>
  <si>
    <t>IMG_7698.jpeg</t>
  </si>
  <si>
    <t>628 一椅腳固定完成</t>
  </si>
  <si>
    <t>628 一椅腳固定完成.jpg</t>
  </si>
  <si>
    <t>20251008-009</t>
  </si>
  <si>
    <t>下方止水條斷裂</t>
  </si>
  <si>
    <t>IMG_7697.jpeg</t>
  </si>
  <si>
    <t>807 止水條處理完成</t>
  </si>
  <si>
    <t>20251008-008</t>
  </si>
  <si>
    <t>門口走道地毯突起</t>
  </si>
  <si>
    <t>IMG_7694.jpeg</t>
  </si>
  <si>
    <t>地毯下方凝膠剝離需要地毯掀開才有辦法重新黏膠</t>
  </si>
  <si>
    <t xml:space="preserve">621走道地毯隆起(1).jpg : https://ap12.ragic.com/sims/file.jsp?a=soutlet001&amp;f=1y1V6eh2NA%40621%E8%B5%B0%E9%81%93%E5%9C%B0%E6%AF%AF%E9%9A%86%E8%B5%B7%281%29.jpg
621走道地毯隆起(2).jpg : https://ap12.ragic.com/sims/file.jsp?a=soutlet001&amp;f=M5OmRc5clM%40621%E8%B5%B0%E9%81%93%E5%9C%B0%E6%AF%AF%E9%9A%86%E8%B5%B7%282%29.jpg
</t>
  </si>
  <si>
    <t>20251008-007</t>
  </si>
  <si>
    <t>淋浴間要重打矽利康</t>
  </si>
  <si>
    <t xml:space="preserve">IMG_7689.jpeg : https://ap12.ragic.com/sims/file.jsp?a=soutlet001&amp;f=1g2n2i4COa%40IMG_7689.jpeg
IMG_7690.jpeg : https://ap12.ragic.com/sims/file.jsp?a=soutlet001&amp;f=hkLGj0js3d%40IMG_7690.jpeg
IMG_7691.jpeg : https://ap12.ragic.com/sims/file.jsp?a=soutlet001&amp;f=0Z0r0k3C6l%40IMG_7691.jpeg
IMG_7692.jpeg : https://ap12.ragic.com/sims/file.jsp?a=soutlet001&amp;f=Vet2d46LV9%40IMG_7692.jpeg
</t>
  </si>
  <si>
    <t>615浴室矽利康修整完畢</t>
  </si>
  <si>
    <t>615浴室矽利康修整完畢 - 複製.jpg</t>
  </si>
  <si>
    <t>20251008-006</t>
  </si>
  <si>
    <t>淋浴間磁磚破裂</t>
  </si>
  <si>
    <t>IMG_7688.jpeg</t>
  </si>
  <si>
    <t>605瓷磚處理完成</t>
  </si>
  <si>
    <t>20251008-005</t>
  </si>
  <si>
    <t>地板填縫</t>
  </si>
  <si>
    <t xml:space="preserve">IMG_7686.jpeg : https://ap12.ragic.com/sims/file.jsp?a=soutlet001&amp;f=Oc0sOyE548%40IMG_7686.jpeg
IMG_7687.jpeg : https://ap12.ragic.com/sims/file.jsp?a=soutlet001&amp;f=3973gHvlZa%40IMG_7687.jpeg
</t>
  </si>
  <si>
    <t>519地板填縫完成</t>
  </si>
  <si>
    <t>20251008.jpg</t>
  </si>
  <si>
    <t>20251008-004</t>
  </si>
  <si>
    <t>IMG_7685.jpeg</t>
  </si>
  <si>
    <t>519門擋黏貼完成</t>
  </si>
  <si>
    <t>519門擋黏貼完成.jpg</t>
  </si>
  <si>
    <t>20251008-003</t>
  </si>
  <si>
    <t>IMG_7682.jpeg</t>
  </si>
  <si>
    <t>527門鈴調整完成</t>
  </si>
  <si>
    <t>20251008-002</t>
  </si>
  <si>
    <t>電視下方牆面需要重新油漆</t>
  </si>
  <si>
    <t>IMG_7680.jpeg</t>
  </si>
  <si>
    <t>已重漆完成</t>
  </si>
  <si>
    <t>20251008-001</t>
  </si>
  <si>
    <t>10/6有工單：冷氣問題_x000D_
已觀察2天都一樣維持在23度_x000D_
麻煩再幫忙確認一下是什麼問題</t>
  </si>
  <si>
    <t>501有三台送風機，只有房間和入口處涼，客廳沒辦法涼，501/601/701都是一樣，需等業主同意後進行開孔。這問題很久了，但仍未同意，所以耐心等待。</t>
  </si>
  <si>
    <t>20251007-020</t>
  </si>
  <si>
    <t>抽屜需要貼皮</t>
  </si>
  <si>
    <t>IMG_7673.jpeg</t>
  </si>
  <si>
    <t>已補漆完成</t>
  </si>
  <si>
    <t>20251007-019</t>
  </si>
  <si>
    <t>IMG_5394.jpeg</t>
  </si>
  <si>
    <t>921盥洗用品架已更新</t>
  </si>
  <si>
    <t>921盥洗用品架已更新.jpg</t>
  </si>
  <si>
    <t>20251007-018</t>
  </si>
  <si>
    <t>R0921 淋浴門開關有異音</t>
  </si>
  <si>
    <t>921淋浴門調整完成</t>
  </si>
  <si>
    <t>20251007-017</t>
  </si>
  <si>
    <t>右邊床頭燈不亮</t>
  </si>
  <si>
    <t>618床頭燈泡已更新完成</t>
  </si>
  <si>
    <t>618床頭燈泡已更新完成.jpg</t>
  </si>
  <si>
    <t>20251007-016</t>
  </si>
  <si>
    <t>IMG_5391.jpeg</t>
  </si>
  <si>
    <t>930盥洗用品架已更新完成</t>
  </si>
  <si>
    <t>930盥洗用品架已更新完成.jpg</t>
  </si>
  <si>
    <t>20251007-015</t>
  </si>
  <si>
    <t>淋浴間玻璃門止水條破損：需更換</t>
  </si>
  <si>
    <t>IMG_5387.jpeg</t>
  </si>
  <si>
    <t>1029止水條更新完成</t>
  </si>
  <si>
    <t>1029止水條更新完成.jpg</t>
  </si>
  <si>
    <t>20251007-014</t>
  </si>
  <si>
    <t>浴室玻璃門開啟關閉有異音</t>
  </si>
  <si>
    <t>IMG_5385.jpeg</t>
  </si>
  <si>
    <t>1028浴室拉門調整完成</t>
  </si>
  <si>
    <t>1028浴室拉門調整完成.jpg</t>
  </si>
  <si>
    <t>20251007-013</t>
  </si>
  <si>
    <t>盥洗用品架破損，需更換</t>
  </si>
  <si>
    <t>IMG_5382.jpeg</t>
  </si>
  <si>
    <t>1028盥洗用品架更新完成</t>
  </si>
  <si>
    <t>1028盥洗用品架更新完成.jpg</t>
  </si>
  <si>
    <t>20251007-012</t>
  </si>
  <si>
    <t>止水條破損，需更換</t>
  </si>
  <si>
    <t>IMG_5379.jpeg</t>
  </si>
  <si>
    <t>1027止水條更新完成</t>
  </si>
  <si>
    <t>20251007-011</t>
  </si>
  <si>
    <t>浴缸扶手底座：上和下兩個都鬆脫。</t>
  </si>
  <si>
    <t xml:space="preserve">IMG_5377.jpeg : https://ap12.ragic.com/sims/file.jsp?a=soutlet001&amp;f=J5kpGY5174%40IMG_5377.jpeg
IMG_5378.jpeg : https://ap12.ragic.com/sims/file.jsp?a=soutlet001&amp;f=523S8r4EKX%40IMG_5378.jpeg
</t>
  </si>
  <si>
    <t>1027止水條更新完成.jpg</t>
  </si>
  <si>
    <t>20251007-010</t>
  </si>
  <si>
    <t>止水條破損，更換</t>
  </si>
  <si>
    <t>IMG_5374.jpeg</t>
  </si>
  <si>
    <t>1018止水條更新完成</t>
  </si>
  <si>
    <t>1018止水條更新完成.jpg</t>
  </si>
  <si>
    <t>20251007-009</t>
  </si>
  <si>
    <t>門鎖沒電要更換電池</t>
  </si>
  <si>
    <t>IMG_7656.jpeg</t>
  </si>
  <si>
    <t>513門鎖電池已更新</t>
  </si>
  <si>
    <t>20251007-008</t>
  </si>
  <si>
    <t>盥洗用品架破損，更換</t>
  </si>
  <si>
    <t>IMG_5373.jpeg</t>
  </si>
  <si>
    <t>1018盥洗用品架已更新完成</t>
  </si>
  <si>
    <t>1018盥洗用品架.jpg</t>
  </si>
  <si>
    <t>20251007-007</t>
  </si>
  <si>
    <t>IMG_5372.jpeg</t>
  </si>
  <si>
    <t>1020 貓眼調整完成</t>
  </si>
  <si>
    <t>1020 貓眼調整完成.jpg</t>
  </si>
  <si>
    <t>20251007-006</t>
  </si>
  <si>
    <t>需要更換電池</t>
  </si>
  <si>
    <t>812門鎖電池已更新</t>
  </si>
  <si>
    <t>20251007-005</t>
  </si>
  <si>
    <t>盥洗用品價破損，更換</t>
  </si>
  <si>
    <t>IMG_5371.jpeg</t>
  </si>
  <si>
    <t>1020盥洗用品架更新完成</t>
  </si>
  <si>
    <t>20251007-004</t>
  </si>
  <si>
    <t>浴簾捲上去</t>
  </si>
  <si>
    <t>807浴簾調整完成</t>
  </si>
  <si>
    <t>807浴簾調整完成.jpg</t>
  </si>
  <si>
    <t>20251007-003</t>
  </si>
  <si>
    <t>1000007545.jpg</t>
  </si>
  <si>
    <t>806浴簾調整完成</t>
  </si>
  <si>
    <t>806浴簾調整完成.jpg</t>
  </si>
  <si>
    <t>20251007-002</t>
  </si>
  <si>
    <t>淋浴間一開始沒熱水 但後來把洗手台/浴缸全部熱水打開就慢慢恢復正常 但洗手台/浴缸的熱水沒有很熱</t>
  </si>
  <si>
    <t>928房，熱水開了二分鐘就有38、39度，熱水正常</t>
  </si>
  <si>
    <t>20251007-001</t>
  </si>
  <si>
    <t>電話聽筒內部似有零件滾動</t>
  </si>
  <si>
    <t>928電話已重置測試完畢檢查OK</t>
  </si>
  <si>
    <t>20251006-013</t>
  </si>
  <si>
    <t>浴簾破損</t>
  </si>
  <si>
    <t>IMG_5346.jpeg</t>
  </si>
  <si>
    <t>已拆除送洗</t>
  </si>
  <si>
    <t>20251006-012</t>
  </si>
  <si>
    <t>IMG_5345.jpeg</t>
  </si>
  <si>
    <t>70530.jpg</t>
  </si>
  <si>
    <t>20251006-011</t>
  </si>
  <si>
    <t>需更換止水條</t>
  </si>
  <si>
    <t>IMG_5343.jpeg</t>
  </si>
  <si>
    <t>止水條更新完成</t>
  </si>
  <si>
    <t>70515.jpg</t>
  </si>
  <si>
    <t>20251006-010</t>
  </si>
  <si>
    <t>浴簾卡住，無法拉開</t>
  </si>
  <si>
    <t>IMG_5338.jpeg</t>
  </si>
  <si>
    <t>拆815浴簾更換</t>
  </si>
  <si>
    <t>70545.jpg</t>
  </si>
  <si>
    <t>20251006-009</t>
  </si>
  <si>
    <t>電視下方牆壁整片重漆</t>
  </si>
  <si>
    <t>油漆完成</t>
  </si>
  <si>
    <t>70506.jpg</t>
  </si>
  <si>
    <t>20251006-008</t>
  </si>
  <si>
    <t>819 請確認廁所上方集水箱是否滿水</t>
  </si>
  <si>
    <t>積水已吸乾</t>
  </si>
  <si>
    <t>70494.jpg</t>
  </si>
  <si>
    <t>20251006-007</t>
  </si>
  <si>
    <t>MOD 關淋浴間門時有巨大聲響</t>
  </si>
  <si>
    <t>屬正常現象</t>
  </si>
  <si>
    <t>20251006-006</t>
  </si>
  <si>
    <t>MOD 洗手台排水孔卡住</t>
  </si>
  <si>
    <t>20251006-005</t>
  </si>
  <si>
    <t>MOD 放浴袍的抽屜脫皮</t>
  </si>
  <si>
    <t>補漆完成</t>
  </si>
  <si>
    <t>70525.jpg</t>
  </si>
  <si>
    <t>20251006-004</t>
  </si>
  <si>
    <t>MOD 話筒拿起來有晃動聲</t>
  </si>
  <si>
    <t>603零件已固定修理完成</t>
  </si>
  <si>
    <t>20251006-003</t>
  </si>
  <si>
    <t>黃色櫃子邊角掉漆</t>
  </si>
  <si>
    <t>IMG_5329.jpeg</t>
  </si>
  <si>
    <t>70513.jpg</t>
  </si>
  <si>
    <t>20251006-002</t>
  </si>
  <si>
    <t>客廳和房間空調冷氣不冷，溫度顯示23度，麻煩檢查濾網狀態</t>
  </si>
  <si>
    <t>濾網更新</t>
  </si>
  <si>
    <t>62721_0.jpg</t>
  </si>
  <si>
    <t>20251006-001</t>
  </si>
  <si>
    <t>窗簾髒污，需要拆下送洗</t>
  </si>
  <si>
    <t>IMG_5325.jpeg</t>
  </si>
  <si>
    <t>20251005-006</t>
  </si>
  <si>
    <t>洗手槽區域地板疑似水泥乾掉的黑漬，請幫忙處理</t>
  </si>
  <si>
    <t>IMG_5304.jpeg</t>
  </si>
  <si>
    <t>擦拭完成</t>
  </si>
  <si>
    <t>69783.jpg</t>
  </si>
  <si>
    <t>20251005-005</t>
  </si>
  <si>
    <t>浴缸水塞旋鈕不易轉動</t>
  </si>
  <si>
    <t>浴室水栓旋鈕已修復</t>
  </si>
  <si>
    <t>20251005-004</t>
  </si>
  <si>
    <t>728窗頭溫度23度、出風口18度，正常</t>
  </si>
  <si>
    <t>20251005-003</t>
  </si>
  <si>
    <t>臥室的拉門鐵架脫落，浴缸水塞旋鈕不順暢</t>
  </si>
  <si>
    <t>20251005-002</t>
  </si>
  <si>
    <t>冰箱搖晃</t>
  </si>
  <si>
    <t>20251005-001</t>
  </si>
  <si>
    <t>天花板鄰近浴室入口的揚聲器發出噪音</t>
  </si>
  <si>
    <t>現場都沒有聽到任何聲音，要再觀查看看</t>
  </si>
  <si>
    <t>20251004-007</t>
  </si>
  <si>
    <t>Annnya</t>
  </si>
  <si>
    <t>浴室玻璃門手把鬆</t>
  </si>
  <si>
    <t>20251004-006</t>
  </si>
  <si>
    <t>706 洗沐潤架子螺絲掉了 再麻煩了 謝謝</t>
  </si>
  <si>
    <t>S__4423773.jpg</t>
  </si>
  <si>
    <t>20251004-005</t>
  </si>
  <si>
    <t>濾網已清洗，出風溫度18度</t>
  </si>
  <si>
    <t>20251004-004</t>
  </si>
  <si>
    <t>新禁煙卡掉下</t>
  </si>
  <si>
    <t>20251004-003</t>
  </si>
  <si>
    <t>IMG_7629.jpeg</t>
  </si>
  <si>
    <t>門鈴重新調整完成</t>
  </si>
  <si>
    <t>20251004-002</t>
  </si>
  <si>
    <t>窗簾送洗已回，麻煩掛窗簾(窗簾已在房內))</t>
  </si>
  <si>
    <t>IMG_5233.jpeg</t>
  </si>
  <si>
    <t>窗簾清洗後重新掛上完成</t>
  </si>
  <si>
    <t>20251004-001</t>
  </si>
  <si>
    <t>4樓酒吧區域廁所最後一間門把鬆動</t>
  </si>
  <si>
    <t>已鎖緊完成</t>
  </si>
  <si>
    <t>20251003-006</t>
  </si>
  <si>
    <t>沒電</t>
  </si>
  <si>
    <t>門鎖已經換電池</t>
  </si>
  <si>
    <t>20251003-005</t>
  </si>
  <si>
    <t>826浴缸旁檯面要填縫</t>
  </si>
  <si>
    <t>IMG_7624.jpeg</t>
  </si>
  <si>
    <t>浴缸旁檯面破洞修補完成</t>
  </si>
  <si>
    <t xml:space="preserve">20251003 (1).jpg : https://ap12.ragic.com/sims/file.jsp?a=soutlet001&amp;f=6b4FminB59%4020251003+%281%29.jpg
20251003 (2).jpg : https://ap12.ragic.com/sims/file.jsp?a=soutlet001&amp;f=rH8mFFAqhM%4020251003+%282%29.jpg
</t>
  </si>
  <si>
    <t>20251003-004</t>
  </si>
  <si>
    <t>衣櫃拉門會撞到鏡子</t>
  </si>
  <si>
    <t>IMG_7623.jpeg</t>
  </si>
  <si>
    <t>20251003-003</t>
  </si>
  <si>
    <t>水龍頭是斜的 需調整</t>
  </si>
  <si>
    <t>IMG_7613.jpeg</t>
  </si>
  <si>
    <t>洗手台水龍頭已調整好</t>
  </si>
  <si>
    <t>20251003-002</t>
  </si>
  <si>
    <t>蓮蓬頭組漏水</t>
  </si>
  <si>
    <t>蓮蓬頭修復完成</t>
  </si>
  <si>
    <t>717蓮蓬頭修復完成.jpg</t>
  </si>
  <si>
    <t>20251003-001</t>
  </si>
  <si>
    <t>員梯口燈不亮</t>
  </si>
  <si>
    <t>五樓梯口燈更新完成</t>
  </si>
  <si>
    <t>五樓梯口燈更新完成.jpg</t>
  </si>
  <si>
    <t>20251002-013</t>
  </si>
  <si>
    <t>1樓客用電梯(左邊)無法正常關門</t>
  </si>
  <si>
    <t>暫時先調整可用需更換零件</t>
  </si>
  <si>
    <t>20251002-012</t>
  </si>
  <si>
    <t>淋浴間天花板燈不亮</t>
  </si>
  <si>
    <t>IMG_5085.jpeg</t>
  </si>
  <si>
    <t>接觸不良更新完成</t>
  </si>
  <si>
    <t>20251002-011</t>
  </si>
  <si>
    <t>IMG_5086.jpeg</t>
  </si>
  <si>
    <t>拆815 O房更換</t>
  </si>
  <si>
    <t>20251002-010</t>
  </si>
  <si>
    <t>10 樓客用梯廳</t>
  </si>
  <si>
    <t>10樓員工2門鎖故障(補單)</t>
  </si>
  <si>
    <t>20251002-009</t>
  </si>
  <si>
    <t>要補矽利康</t>
  </si>
  <si>
    <t>IMG_7579.jpeg</t>
  </si>
  <si>
    <t xml:space="preserve">image_F0250BD0-7AEE-46A2-9272-B555AED077F3_1759413113_compressed.jpeg : https://ap12.ragic.com/sims/file.jsp?a=soutlet001&amp;f=3158rHpSRs%40image_F0250BD0-7AEE-46A2-9272-B555AED077F3_1759413113_compressed.jpeg
image_C7E5527A-86F9-4514-8D9E-E6A4E1F6AB93_1759413113_compressed.jpeg : https://ap12.ragic.com/sims/file.jsp?a=soutlet001&amp;f=6Wt2pOpZU8%40image_C7E5527A-86F9-4514-8D9E-E6A4E1F6AB93_1759413113_compressed.jpeg
</t>
  </si>
  <si>
    <t>20251002-008</t>
  </si>
  <si>
    <t>麻煩拆窗簾(髒污需要送洗)</t>
  </si>
  <si>
    <t>IMG_5081.jpeg</t>
  </si>
  <si>
    <t>已拆除</t>
  </si>
  <si>
    <t>20251002-007</t>
  </si>
  <si>
    <t>熱水壺抽屜軌道鬆脫</t>
  </si>
  <si>
    <t>20251002-006</t>
  </si>
  <si>
    <t>931出風口21度，床頭23.6度</t>
  </si>
  <si>
    <t xml:space="preserve">image_87157277-1465-4E19-837B-A96CCA978396_1759413738_compressed.jpeg : https://ap12.ragic.com/sims/file.jsp?a=soutlet001&amp;f=2d5993PhNI%40image_87157277-1465-4E19-837B-A96CCA978396_1759413738_compressed.jpeg
image_2F4BAF18-9E4A-4FB4-A1A3-B0CE623C89EE_1759413738_compressed.jpeg : https://ap12.ragic.com/sims/file.jsp?a=soutlet001&amp;f=275Od8Rn8Q%40image_2F4BAF18-9E4A-4FB4-A1A3-B0CE623C89EE_1759413738_compressed.jpeg
</t>
  </si>
  <si>
    <t>20251002-005</t>
  </si>
  <si>
    <t>窗簾回洗送回，麻煩安裝（窗簾已經在房內）</t>
  </si>
  <si>
    <t>已掛好</t>
  </si>
  <si>
    <t>20251002-004</t>
  </si>
  <si>
    <t>客廳窗簾最後面的固定掛勾掉了</t>
  </si>
  <si>
    <t>IMG_7575.jpeg</t>
  </si>
  <si>
    <t>已掛回</t>
  </si>
  <si>
    <t>20251002-003</t>
  </si>
  <si>
    <t>IMG_7573.jpeg</t>
  </si>
  <si>
    <t>20251002-002</t>
  </si>
  <si>
    <t>20251002-001</t>
  </si>
  <si>
    <t>熨斗版搖晃</t>
  </si>
  <si>
    <t>現場調整過本身商品歪斜</t>
  </si>
  <si>
    <t>20251001-018</t>
  </si>
  <si>
    <t>IMG_5034.jpeg</t>
  </si>
  <si>
    <t>插頭鬆脫已重新插電恢復正常</t>
  </si>
  <si>
    <t>20251001-017</t>
  </si>
  <si>
    <t>蓮蓬頭支架鬆掉了</t>
  </si>
  <si>
    <t>IMG_5032.jpeg</t>
  </si>
  <si>
    <t>image_FDEEA261-B67B-4DD7-BC3A-721A333C9B53_1759326725_compressed.jpeg</t>
  </si>
  <si>
    <t>20251001-016</t>
  </si>
  <si>
    <t>已加固</t>
  </si>
  <si>
    <t>20251001-015</t>
  </si>
  <si>
    <t>IMG_5029.jpeg</t>
  </si>
  <si>
    <t>安裝完成</t>
  </si>
  <si>
    <t>20251001-014</t>
  </si>
  <si>
    <t>重複工單因為很重要所以說三次</t>
  </si>
  <si>
    <t>20251001-013</t>
  </si>
  <si>
    <t>20251001-012</t>
  </si>
  <si>
    <t>缺腳墊椅子會搖晃</t>
  </si>
  <si>
    <t>沙發</t>
  </si>
  <si>
    <t>椅腳已固定</t>
  </si>
  <si>
    <t>20251001-011</t>
  </si>
  <si>
    <t>化妝鏡座鬆動</t>
  </si>
  <si>
    <t>image_B35F2B62-B8D8-4F6F-A444-36B7CE999933_1759303827_compressed.jpeg</t>
  </si>
  <si>
    <t>20251001-010</t>
  </si>
  <si>
    <t>IMG_5022.jpeg</t>
  </si>
  <si>
    <t>image_98AE4632-7A9D-4F53-9506-8346AF778BAB_1759303795_compressed.jpeg</t>
  </si>
  <si>
    <t>20251001-009</t>
  </si>
  <si>
    <t>20251001-008</t>
  </si>
  <si>
    <t>703浴室拉簾卡住了 再麻煩大哥們 謝謝</t>
  </si>
  <si>
    <t>60268.jpg</t>
  </si>
  <si>
    <t>20251001-007</t>
  </si>
  <si>
    <t>無禁煙牌</t>
  </si>
  <si>
    <t>20251001-006</t>
  </si>
  <si>
    <t>20251001-005</t>
  </si>
  <si>
    <t>20251001-004</t>
  </si>
  <si>
    <t>20251001-003</t>
  </si>
  <si>
    <t>20251001-002</t>
  </si>
  <si>
    <t>沒有禁煙牌</t>
  </si>
  <si>
    <t>20251001-001</t>
  </si>
  <si>
    <t>已關熱水閥</t>
  </si>
  <si>
    <t>20250930-021</t>
  </si>
  <si>
    <t>冷氣不冷，客房顯示26度</t>
  </si>
  <si>
    <t>重複內容</t>
  </si>
  <si>
    <t>20250930-020</t>
  </si>
  <si>
    <t>浴室門口地板需填縫</t>
  </si>
  <si>
    <t>IMG_7557.jpeg</t>
  </si>
  <si>
    <t>image_72E9B9A0-5107-4447-80EE-AA37A2C6BB0F_1759229902_compressed.jpeg</t>
  </si>
  <si>
    <t>20250930-019</t>
  </si>
  <si>
    <t>IMG_7556.jpeg</t>
  </si>
  <si>
    <t>20250930-018</t>
  </si>
  <si>
    <t>電視下方地板要填縫</t>
  </si>
  <si>
    <t>IMG_7549.jpeg</t>
  </si>
  <si>
    <t>image_CCC44A6B-4DFA-4FE0-880C-255AA7AEB428_1759231270_compressed.jpeg</t>
  </si>
  <si>
    <t>20250930-017</t>
  </si>
  <si>
    <t>IMG_7548.jpeg</t>
  </si>
  <si>
    <t>image_3063F2EE-AECC-45C4-B06F-71B47D8C23DC_1759231379_compressed.jpeg</t>
  </si>
  <si>
    <t>20250930-016</t>
  </si>
  <si>
    <t>地上磁磚缺角續填補</t>
  </si>
  <si>
    <t>IMG_7547.jpeg</t>
  </si>
  <si>
    <t>image_D2D4E811-EAAB-4893-8F08-703A922D9AD9_1759231402_compressed.jpeg</t>
  </si>
  <si>
    <t>20250930-015</t>
  </si>
  <si>
    <t>洗手台正下方的大理石有裂，以及淋浴間的矽利康大幅脫落</t>
  </si>
  <si>
    <t>該縫隙是拍拍門並不是裂縫</t>
  </si>
  <si>
    <t>20250930-014</t>
  </si>
  <si>
    <t>IMG_7542.jpeg</t>
  </si>
  <si>
    <t>20250930-013</t>
  </si>
  <si>
    <t>20250930-012</t>
  </si>
  <si>
    <t>房內沒有禁煙牌</t>
  </si>
  <si>
    <t>已貼上</t>
  </si>
  <si>
    <t>image_1F648B3B-4D20-4E44-A62C-F1B1CEDD307B_1759238099_compressed.jpeg</t>
  </si>
  <si>
    <t>20250930-011</t>
  </si>
  <si>
    <t>已重新固定</t>
  </si>
  <si>
    <t>image_BA3F36B7-5F56-4F1D-9E3F-7189DED3D94F_1759238280_compressed.jpeg</t>
  </si>
  <si>
    <t>20250930-010</t>
  </si>
  <si>
    <t>IMG_4962.jpeg</t>
  </si>
  <si>
    <t>已更新</t>
  </si>
  <si>
    <t>20250930-009</t>
  </si>
  <si>
    <t>淋浴間地面矽利康需要重打</t>
  </si>
  <si>
    <t>59616.jpg</t>
  </si>
  <si>
    <t>已重打完成</t>
  </si>
  <si>
    <t xml:space="preserve">image_2B79290C-0475-474D-B977-6B6C4322E06C_1759303075_compressed.jpeg : https://ap12.ragic.com/sims/file.jsp?a=soutlet001&amp;f=1T9CO1AAV3%40image_2B79290C-0475-474D-B977-6B6C4322E06C_1759303075_compressed.jpeg
image_A8FD7566-9651-440F-8D1F-6726A55947B9_1759303075_compressed.jpeg : https://ap12.ragic.com/sims/file.jsp?a=soutlet001&amp;f=q4s5yA06dp%40image_A8FD7566-9651-440F-8D1F-6726A55947B9_1759303075_compressed.jpeg
</t>
  </si>
  <si>
    <t>20250930-008</t>
  </si>
  <si>
    <t>水龍頭不穩會晃</t>
  </si>
  <si>
    <t>IMG_7538.jpeg</t>
  </si>
  <si>
    <t>image_FC94092C-9BED-46ED-B323-E53B9589D56A_1759238812_compressed.jpeg</t>
  </si>
  <si>
    <t>20250930-007</t>
  </si>
  <si>
    <t>房內沒有「禁煙牌」</t>
  </si>
  <si>
    <t>IMG_4958.jpeg</t>
  </si>
  <si>
    <t>818禁菸牌已貼上完成</t>
  </si>
  <si>
    <t>818禁菸牌已貼上完成.jpg</t>
  </si>
  <si>
    <t>20250930-006</t>
  </si>
  <si>
    <t>電視下方需要補漆</t>
  </si>
  <si>
    <t>59582.jpg</t>
  </si>
  <si>
    <t>已重漆</t>
  </si>
  <si>
    <t>20250930-005</t>
  </si>
  <si>
    <t>門鎖不穩會晃動 螺絲鬆動</t>
  </si>
  <si>
    <t xml:space="preserve">IMG_7536.jpeg : https://ap12.ragic.com/sims/file.jsp?a=soutlet001&amp;f=jOH11rQB91%40IMG_7536.jpeg
IMG_7537.jpeg : https://ap12.ragic.com/sims/file.jsp?a=soutlet001&amp;f=I3aVmmNp8b%40IMG_7537.jpeg
</t>
  </si>
  <si>
    <t>已鎖緊固定</t>
  </si>
  <si>
    <t>image_A8873C30-824B-4C3A-A274-C49133FF3C05_1759239070_compressed.jpeg</t>
  </si>
  <si>
    <t>20250930-004</t>
  </si>
  <si>
    <t>20250930-003</t>
  </si>
  <si>
    <t>浴室玻璃拉門五金手把搖晃</t>
  </si>
  <si>
    <t>image_0C2777CF-A831-4B78-9E01-E83AD7A4C0BB_1759238739_compressed.jpeg</t>
  </si>
  <si>
    <t>20250930-002</t>
  </si>
  <si>
    <t>浴室玻璃門五金手把搖晃</t>
  </si>
  <si>
    <t>image_4E4AE665-8635-43A2-931B-EDB616C259F3_1759239248_compressed.jpeg</t>
  </si>
  <si>
    <t>20250930-001</t>
  </si>
  <si>
    <t>門鈴單音，需調整</t>
  </si>
  <si>
    <t>20250929-013</t>
  </si>
  <si>
    <t>517洗手台旁的層架上有破洞和很多刮痕</t>
  </si>
  <si>
    <t>已清潔</t>
  </si>
  <si>
    <t>20250929-012</t>
  </si>
  <si>
    <t xml:space="preserve">517 淋浴間地面需重打矽利康 </t>
  </si>
  <si>
    <t>20250929-011</t>
  </si>
  <si>
    <t>517浴缸邊緣矽利康需重打</t>
  </si>
  <si>
    <t>S__30679110.jpg</t>
  </si>
  <si>
    <t>20250929-010</t>
  </si>
  <si>
    <t>517門邊鎖扣旁有嚴重刮痕 須補漆 補單</t>
  </si>
  <si>
    <t>S__30679101.jpg</t>
  </si>
  <si>
    <t>image_A09B3DE7-8734-4373-A6D2-7EDA38E7366E_1759239698_compressed.jpeg</t>
  </si>
  <si>
    <t>20250929-009</t>
  </si>
  <si>
    <t>507 窗簾需要大哥協助拆下來 謝謝</t>
  </si>
  <si>
    <t>S__30679075.jpg</t>
  </si>
  <si>
    <t>20250929-008</t>
  </si>
  <si>
    <t>507的單人沙發會晃不穩</t>
  </si>
  <si>
    <t>S__30679073.jpg</t>
  </si>
  <si>
    <t>沙發腳固定完成</t>
  </si>
  <si>
    <t>image_3C4DA7A8-CE47-4CCE-9F59-DC0EED25660E_1759231548_compressed.jpeg</t>
  </si>
  <si>
    <t>20250929-007</t>
  </si>
  <si>
    <t>517 單人沙發一樣不穩會晃</t>
  </si>
  <si>
    <t>沙發腳已鎖緊</t>
  </si>
  <si>
    <t>20250929-006</t>
  </si>
  <si>
    <t>507 淋浴間地面矽利康需重打</t>
  </si>
  <si>
    <t>S__30679085.jpg</t>
  </si>
  <si>
    <t>20250929-005</t>
  </si>
  <si>
    <t xml:space="preserve">姿婷 </t>
  </si>
  <si>
    <t>517保險箱抽屜嚴重脫皮 須貼皮 補單</t>
  </si>
  <si>
    <t>S__30679095.jpg</t>
  </si>
  <si>
    <t>20250929-004</t>
  </si>
  <si>
    <t>天花板油漆剝落</t>
  </si>
  <si>
    <t>IMG_7516.jpeg</t>
  </si>
  <si>
    <t>已修復。補土重刷。</t>
  </si>
  <si>
    <t>20250929-003</t>
  </si>
  <si>
    <t>衣櫃燈帶掉落</t>
  </si>
  <si>
    <t>IMG_7515.jpeg</t>
  </si>
  <si>
    <t xml:space="preserve">image_4B9D69B1-41B3-40B9-A7D4-9903C8F8C0AF_1759133099_compressed.jpeg : https://ap12.ragic.com/sims/file.jsp?a=soutlet001&amp;f=2ls8aL52G7%40image_4B9D69B1-41B3-40B9-A7D4-9903C8F8C0AF_1759133099_compressed.jpeg
image_83B16810-51C0-4818-893B-5C3906973B33_1759133099_compressed.jpeg : https://ap12.ragic.com/sims/file.jsp?a=soutlet001&amp;f=VjLT9dLqy9%40image_83B16810-51C0-4818-893B-5C3906973B33_1759133099_compressed.jpeg
image_8C7123B7-0B01-4720-8062-1CC7BF1EE97F_1759133099_compressed.jpeg : https://ap12.ragic.com/sims/file.jsp?a=soutlet001&amp;f=Wc7v5cObFn%40image_8C7123B7-0B01-4720-8062-1CC7BF1EE97F_1759133099_compressed.jpeg
image_25DACC6A-55F6-4189-A26A-3957B6C890DC_1759133100_compressed.jpeg : https://ap12.ragic.com/sims/file.jsp?a=soutlet001&amp;f=LLbF14gCdZ%40image_25DACC6A-55F6-4189-A26A-3957B6C890DC_1759133100_compressed.jpeg
image_4D579773-5C33-4E7B-9A29-A236E4091223_1759133100_compressed.jpeg : https://ap12.ragic.com/sims/file.jsp?a=soutlet001&amp;f=9usC9Wdqvw%40image_4D579773-5C33-4E7B-9A29-A236E4091223_1759133100_compressed.jpeg
</t>
  </si>
  <si>
    <t>20250929-002</t>
  </si>
  <si>
    <t>禁煙牌倒了</t>
  </si>
  <si>
    <t>20250929-001</t>
  </si>
  <si>
    <t>洗手槽上方左側化妝鏡座整個搖晃</t>
  </si>
  <si>
    <t>20250928-011</t>
  </si>
  <si>
    <t>佳富</t>
  </si>
  <si>
    <t>出水量異常</t>
  </si>
  <si>
    <t>蓮蓬頭更新</t>
  </si>
  <si>
    <t>image_88FF40E2-1891-4B79-98FA-7184856975E3_1759110159_compressed.jpeg</t>
  </si>
  <si>
    <t>20250928-010</t>
  </si>
  <si>
    <t>浴缸旁石板要填縫</t>
  </si>
  <si>
    <t>IMG_7502.jpeg</t>
  </si>
  <si>
    <t>矽利康已補完成</t>
  </si>
  <si>
    <t>image_D80A777B-DB2F-410C-A7E8-81C2CE9AFC6A_1759110280_compressed.jpeg</t>
  </si>
  <si>
    <t>20250928-009</t>
  </si>
  <si>
    <t>把手鬆動</t>
  </si>
  <si>
    <t>IMG_7493.jpeg</t>
  </si>
  <si>
    <t>image_E3AECBB7-DB18-46E8-952D-6F0D553316B7_1759110354_compressed.jpeg</t>
  </si>
  <si>
    <t>20250928-008</t>
  </si>
  <si>
    <t>浴缸下方石板破裂</t>
  </si>
  <si>
    <t>image_B8A1BCB4-19B2-4346-B75B-EA7618097581_1759110786_compressed.jpeg</t>
  </si>
  <si>
    <t>20250928-007</t>
  </si>
  <si>
    <t>浴簾捲過頭了！</t>
  </si>
  <si>
    <t>806已修復完成</t>
  </si>
  <si>
    <t>image_4B698D7A-7475-4391-958E-7CE13D1463E9_1759110927_compressed.jpeg</t>
  </si>
  <si>
    <t>20250928-006</t>
  </si>
  <si>
    <t>705 退房 客人自行併床 再麻煩大哥檢查一下後面線路是否有損壞 謝謝</t>
  </si>
  <si>
    <t>770674.jpg</t>
  </si>
  <si>
    <t>線路檢查正常</t>
  </si>
  <si>
    <t>image_35CE3905-3847-4F20-8402-3E92084B7E72_1759115996_compressed.jpeg</t>
  </si>
  <si>
    <t>20250928-005</t>
  </si>
  <si>
    <t>1026 退房 貓眼蓋掉了</t>
  </si>
  <si>
    <t>95267.jpg</t>
  </si>
  <si>
    <t>image_AE204F27-1858-406A-8E0F-E2DBC3709A18_1759116134_compressed.jpeg</t>
  </si>
  <si>
    <t>20250928-004</t>
  </si>
  <si>
    <t>小周</t>
  </si>
  <si>
    <t xml:space="preserve">931 禁煙立牌掉落 再麻煩了 謝謝 _x000D_
備註 : 1031 禁煙立牌掉落是錯的 (打錯房號) </t>
  </si>
  <si>
    <t>67515.jpg</t>
  </si>
  <si>
    <t>立牌已重新固定</t>
  </si>
  <si>
    <t>image_F2D5C6BC-7991-4634-8793-F4C3C9BE79E5_1759116235_compressed.jpeg</t>
  </si>
  <si>
    <t>20250928-003</t>
  </si>
  <si>
    <t>9/27 R912禁菸立牌掉下來了 再麻煩一下 有預進 補單</t>
  </si>
  <si>
    <t>57672.jpg</t>
  </si>
  <si>
    <t>image_7A2999AF-A0C3-4815-9B2B-EA789D46332F_1759116441_compressed.jpeg</t>
  </si>
  <si>
    <t>20250928-002</t>
  </si>
  <si>
    <t>1031 禁煙立牌掉落 再麻煩了 謝謝</t>
  </si>
  <si>
    <t>20250928-001</t>
  </si>
  <si>
    <t>水龍頭會晃動</t>
  </si>
  <si>
    <t>IMG_7488.jpeg</t>
  </si>
  <si>
    <t>image_3D3C00A3-4622-4513-85AA-F978E67A63B0_1759116819_compressed.jpeg</t>
  </si>
  <si>
    <t>20250927-009</t>
  </si>
  <si>
    <t>不彈</t>
  </si>
  <si>
    <t xml:space="preserve">image_2A1402E3-20DF-4C1B-962D-C214394DF5D2_1759118297_compressed.jpeg : https://ap12.ragic.com/sims/file.jsp?a=soutlet001&amp;f=nH1wZyYL39%40image_2A1402E3-20DF-4C1B-962D-C214394DF5D2_1759118297_compressed.jpeg
image_B5DE875E-017C-4DA3-BCD1-812FA3F00CD0_1759118297_compressed.jpeg : https://ap12.ragic.com/sims/file.jsp?a=soutlet001&amp;f=PRI279t7Ls%40image_B5DE875E-017C-4DA3-BCD1-812FA3F00CD0_1759118297_compressed.jpeg
image_750DD000-C64A-4FA8-9EC9-E386E1A3F605_1759118297_compressed.jpeg : https://ap12.ragic.com/sims/file.jsp?a=soutlet001&amp;f=8PWsem1h0B%40image_750DD000-C64A-4FA8-9EC9-E386E1A3F605_1759118297_compressed.jpeg
image_E451C679-0076-46A6-9B37-771508B1D646_1759118297_compressed.jpeg : https://ap12.ragic.com/sims/file.jsp?a=soutlet001&amp;f=53V0Yg6Uue%40image_E451C679-0076-46A6-9B37-771508B1D646_1759118297_compressed.jpeg
</t>
  </si>
  <si>
    <t>20250927-008</t>
  </si>
  <si>
    <t>819 續住 需要請大哥們幫忙倒馬桶上方天花板倒水 房務員正在續掃 客不再 謝謝</t>
  </si>
  <si>
    <t>image_CF58B62E-DC55-4611-8495-1F47CA656A38_1759118444_compressed.jpeg</t>
  </si>
  <si>
    <t>20250927-007</t>
  </si>
  <si>
    <t>621 淋浴間燈不亮 有預進 補單</t>
  </si>
  <si>
    <t>57451.jpg</t>
  </si>
  <si>
    <t>image_0791FD85-F5C0-4FBC-929C-6C63DA7A6C61_1759118538_compressed.jpeg</t>
  </si>
  <si>
    <t>20250927-006</t>
  </si>
  <si>
    <t>609 鏡子快掉下來了 有預進</t>
  </si>
  <si>
    <t>57398_0.jpg</t>
  </si>
  <si>
    <t>image_2027B3C8-A638-4794-8A9B-2AB0ABA39B94_1759118810_compressed.jpeg</t>
  </si>
  <si>
    <t>20250927-005</t>
  </si>
  <si>
    <t>609 淋浴間門被反推卡住 有預進</t>
  </si>
  <si>
    <t>57397_0.jpg</t>
  </si>
  <si>
    <t>image_0EFAE68C-C442-4CE6-9FF1-3E00CF2C5F5B_1759118837_compressed.jpeg</t>
  </si>
  <si>
    <t>20250927-004</t>
  </si>
  <si>
    <t>812 電視呈現黑畫面 有預進 再麻煩了 謝謝</t>
  </si>
  <si>
    <t>91872.jpg</t>
  </si>
  <si>
    <t>image_C5EC62C3-47A3-4AB1-88FC-0DD997B09479_1759118936_compressed.jpeg</t>
  </si>
  <si>
    <t>20250927-003</t>
  </si>
  <si>
    <t>617 續住 禁菸立牌掉下來了 再麻煩一下 謝謝</t>
  </si>
  <si>
    <t>57213.jpg</t>
  </si>
  <si>
    <t>image_0B1AB188-3E39-47E3-B13B-4700512CB7E9_1759133666_compressed.jpeg</t>
  </si>
  <si>
    <t>20250927-002</t>
  </si>
  <si>
    <t>807洗手台排水孔無法回彈 有預進 再麻煩大哥們了 謝謝</t>
  </si>
  <si>
    <t>image_AF261261-5F8B-4855-A811-69F95028682F_1759133809_compressed.jpeg</t>
  </si>
  <si>
    <t>20250927-001</t>
  </si>
  <si>
    <t xml:space="preserve"> 麻煩協助查看 已開工單</t>
  </si>
  <si>
    <t>查看正常</t>
  </si>
  <si>
    <t>image_0F8C3BEE-8E1D-4242-8D66-516C45CDE1EF_1759133295_compressed.jpeg</t>
  </si>
  <si>
    <t>20250926-010</t>
  </si>
  <si>
    <t>629衣櫥裡有這一排燈 有時會一閃一閃的 續住 目前客人不再</t>
  </si>
  <si>
    <t>B0744D05-03C1-48F1-A555-D2339A2A9EE0.jpg</t>
  </si>
  <si>
    <t>重複</t>
  </si>
  <si>
    <t>20250926-009</t>
  </si>
  <si>
    <t>629衣櫥裡有這一排燈 有時會一閃一閃的 續住 目前客人不再 補單</t>
  </si>
  <si>
    <t>629已處理好了</t>
  </si>
  <si>
    <t>629已處理好了.jpg</t>
  </si>
  <si>
    <t>20250926-008</t>
  </si>
  <si>
    <t>站吧邊條脫落</t>
  </si>
  <si>
    <t>IMG_8892.jpeg</t>
  </si>
  <si>
    <t>4樓吧台已重新固定</t>
  </si>
  <si>
    <t>4樓吧檯邊條已重新固定.jpg</t>
  </si>
  <si>
    <t>20250926-007</t>
  </si>
  <si>
    <t>電話閃爍</t>
  </si>
  <si>
    <t>已換電池</t>
  </si>
  <si>
    <t>20250926-006</t>
  </si>
  <si>
    <t>712已調整完成</t>
  </si>
  <si>
    <t>20250926-005</t>
  </si>
  <si>
    <t>洗手台水龍頭出水會分岔</t>
  </si>
  <si>
    <t>IMG_7460.jpeg</t>
  </si>
  <si>
    <t>511已安裝完成</t>
  </si>
  <si>
    <t>20250926-004</t>
  </si>
  <si>
    <t>713已調整完成</t>
  </si>
  <si>
    <t>713已調整完成.jpg</t>
  </si>
  <si>
    <t>20250926-003</t>
  </si>
  <si>
    <t>客人剛退房，客反應電燈快要掉下來，再麻煩去房間查看處理</t>
  </si>
  <si>
    <t>S__40755250.jpg</t>
  </si>
  <si>
    <t>721已調整完成.jpg</t>
  </si>
  <si>
    <t>20250926-002</t>
  </si>
  <si>
    <t>水龍頭是歪的 要調整</t>
  </si>
  <si>
    <t>IMG_7451.jpeg</t>
  </si>
  <si>
    <t>515已調整完成</t>
  </si>
  <si>
    <t>515已調整完成.jpg</t>
  </si>
  <si>
    <t>20250926-001</t>
  </si>
  <si>
    <t>浴缸旁需要填縫</t>
  </si>
  <si>
    <t>IMG_7450.jpeg</t>
  </si>
  <si>
    <t>521已補完成</t>
  </si>
  <si>
    <t>521已補完成.jpg</t>
  </si>
  <si>
    <t>20250925-005</t>
  </si>
  <si>
    <t>電視障礙</t>
  </si>
  <si>
    <t>IMG_4771.jpeg</t>
  </si>
  <si>
    <t>526 電視切換已處理完成.jpg</t>
  </si>
  <si>
    <t>20250925-004</t>
  </si>
  <si>
    <t>631 冷氣不冷 有預進</t>
  </si>
  <si>
    <t>床頭23.8出風口19</t>
  </si>
  <si>
    <t>20250925-003</t>
  </si>
  <si>
    <t>馬桶上方崁燈不亮</t>
  </si>
  <si>
    <t>image_B7EAD0D0-7AAB-4775-809C-D45BFB6251AA_1758801163_compressed.jpeg</t>
  </si>
  <si>
    <t>20250925-002</t>
  </si>
  <si>
    <t>831 冷氣不冷</t>
  </si>
  <si>
    <t>有客人，待退房通知</t>
  </si>
  <si>
    <t>20250925-001</t>
  </si>
  <si>
    <t>進門地板整條磁磚縫需要填補（補工單）</t>
  </si>
  <si>
    <t>已補透明色</t>
  </si>
  <si>
    <t xml:space="preserve">image_2698AED7-B4C0-4B65-91BB-2FA1F16EACEC_1758801254_compressed.jpeg : https://ap12.ragic.com/sims/file.jsp?a=soutlet001&amp;f=4w1zx12G9f%40image_2698AED7-B4C0-4B65-91BB-2FA1F16EACEC_1758801254_compressed.jpeg
image_7E412D0E-D142-449D-AAA0-BDD9C3367348_1758801254_compressed.jpeg : https://ap12.ragic.com/sims/file.jsp?a=soutlet001&amp;f=2p7inv20n1%40image_7E412D0E-D142-449D-AAA0-BDD9C3367348_1758801254_compressed.jpeg
</t>
  </si>
  <si>
    <t>20250924-006</t>
  </si>
  <si>
    <t>浴室天花板坎燈不亮(補工單）</t>
  </si>
  <si>
    <t>IMG_4734.jpeg</t>
  </si>
  <si>
    <t>621接觸不良已調整好</t>
  </si>
  <si>
    <t>621接觸不良已調整好.jpg</t>
  </si>
  <si>
    <t>20250924-005</t>
  </si>
  <si>
    <t>門鈴已調整完成</t>
  </si>
  <si>
    <t>20250924-004</t>
  </si>
  <si>
    <t>20250924-003</t>
  </si>
  <si>
    <t>衣櫃拉門會撞到鏡子，另一邊也凸出_x000D_
前後都要調整</t>
  </si>
  <si>
    <t xml:space="preserve">IMG_7427.jpeg : https://ap12.ragic.com/sims/file.jsp?a=soutlet001&amp;f=M43u2xf2NY%40IMG_7427.jpeg
IMG_7426.jpeg : https://ap12.ragic.com/sims/file.jsp?a=soutlet001&amp;f=YQn0GazQwi%40IMG_7426.jpeg
</t>
  </si>
  <si>
    <t>1016衣櫃已調整完成</t>
  </si>
  <si>
    <t xml:space="preserve">1016衣櫃已調整完成 (1).jpg : https://ap12.ragic.com/sims/file.jsp?a=soutlet001&amp;f=86W7v655D9%401016%E8%A1%A3%E6%AB%83%E5%B7%B2%E8%AA%BF%E6%95%B4%E5%AE%8C%E6%88%90+%281%29.jpg
1016衣櫃已調整完成 (2).jpg : https://ap12.ragic.com/sims/file.jsp?a=soutlet001&amp;f=988cUDFu1c%401016%E8%A1%A3%E6%AB%83%E5%B7%B2%E8%AA%BF%E6%95%B4%E5%AE%8C%E6%88%90+%282%29.jpg
</t>
  </si>
  <si>
    <t>20250924-002</t>
  </si>
  <si>
    <t>門後防撞貼</t>
  </si>
  <si>
    <t>IMG_4711.jpeg</t>
  </si>
  <si>
    <t>931貼了防撞貼</t>
  </si>
  <si>
    <t>931貼了防撞貼.jpg</t>
  </si>
  <si>
    <t>20250924-001</t>
  </si>
  <si>
    <t>客人告知已有2天沒有熱水</t>
  </si>
  <si>
    <t>檢測922房的蓮蓬頭跟洗手台溫度，發現客人把開關轉右邊跟中間，開關要轉左才會有熱水。開左邊熱水一開就有31度</t>
  </si>
  <si>
    <t xml:space="preserve">922房的熱水一開就有31度 (1).jpg : https://ap12.ragic.com/sims/file.jsp?a=soutlet001&amp;f=Gw7q8u3u2R%40922%E6%88%BF%E7%9A%84%E7%86%B1%E6%B0%B4%E4%B8%80%E9%96%8B%E5%B0%B1%E6%9C%8931%E5%BA%A6+%281%29.jpg
922房的熱水一開就有31度 (2).jpg : https://ap12.ragic.com/sims/file.jsp?a=soutlet001&amp;f=1i8VkqE6Kr%40922%E6%88%BF%E7%9A%84%E7%86%B1%E6%B0%B4%E4%B8%80%E9%96%8B%E5%B0%B1%E6%9C%8931%E5%BA%A6+%282%29.jpg
922房的熱水一開就有31度 (3).jpg : https://ap12.ragic.com/sims/file.jsp?a=soutlet001&amp;f=B5zlX15CHp%40922%E6%88%BF%E7%9A%84%E7%86%B1%E6%B0%B4%E4%B8%80%E9%96%8B%E5%B0%B1%E6%9C%8931%E5%BA%A6+%283%29.jpg
</t>
  </si>
  <si>
    <t>20250923-003</t>
  </si>
  <si>
    <t>客反映沒熱水，客表示現在不方便進屋檢查，待與客人確認何時去檢查。</t>
  </si>
  <si>
    <t>828查看熱水正常 開了3分鍾</t>
  </si>
  <si>
    <t xml:space="preserve">828查看熱水正常 開了3分鍾 (1).jpg : https://ap12.ragic.com/sims/file.jsp?a=soutlet001&amp;f=9CZ9IHN9hQ%40828%E6%9F%A5%E7%9C%8B%E7%86%B1%E6%B0%B4%E6%AD%A3%E5%B8%B8+%E9%96%8B%E4%BA%863%E5%88%86%E9%8D%BE+%281%29.jpg
828查看熱水正常 開了3分鍾 (2).jpg : https://ap12.ragic.com/sims/file.jsp?a=soutlet001&amp;f=K7501dwNJk%40828%E6%9F%A5%E7%9C%8B%E7%86%B1%E6%B0%B4%E6%AD%A3%E5%B8%B8+%E9%96%8B%E4%BA%863%E5%88%86%E9%8D%BE+%282%29.jpg
828查看熱水正常 開了3分鍾 (3).jpg : https://ap12.ragic.com/sims/file.jsp?a=soutlet001&amp;f=sl83GHIl5m%40828%E6%9F%A5%E7%9C%8B%E7%86%B1%E6%B0%B4%E6%AD%A3%E5%B8%B8+%E9%96%8B%E4%BA%863%E5%88%86%E9%8D%BE+%283%29.jpg
</t>
  </si>
  <si>
    <t>20250923-002</t>
  </si>
  <si>
    <t>客人今早淋浴時發現沒有熱水，但發現浴缸以及洗手台都有，請協助巡查。</t>
  </si>
  <si>
    <t>519熱水檢查正常</t>
  </si>
  <si>
    <t xml:space="preserve">519熱水檢查正常 (1).jpg : https://ap12.ragic.com/sims/file.jsp?a=soutlet001&amp;f=WqguDVx42V%40519%E7%86%B1%E6%B0%B4%E6%AA%A2%E6%9F%A5%E6%AD%A3%E5%B8%B8+%281%29.jpg
519熱水檢查正常 (2).jpg : https://ap12.ragic.com/sims/file.jsp?a=soutlet001&amp;f=hhB73QMCpY%40519%E7%86%B1%E6%B0%B4%E6%AA%A2%E6%9F%A5%E6%AD%A3%E5%B8%B8+%282%29.jpg
519熱水檢查正常 (3).jpg : https://ap12.ragic.com/sims/file.jsp?a=soutlet001&amp;f=m1zAr5GGLC%40519%E7%86%B1%E6%B0%B4%E6%AA%A2%E6%9F%A5%E6%AD%A3%E5%B8%B8+%283%29.jpg
</t>
  </si>
  <si>
    <t>20250923-001</t>
  </si>
  <si>
    <t>大廳音樂跳針</t>
  </si>
  <si>
    <t>中控良副理調整好，電腦記憶體容量問題，以後有跳針就找資訊</t>
  </si>
  <si>
    <t>20250922-006</t>
  </si>
  <si>
    <t>水塞需更換</t>
  </si>
  <si>
    <t>IMG_4647.jpeg</t>
  </si>
  <si>
    <t>623水塞更換完成</t>
  </si>
  <si>
    <t>623水塞更換完成.jpg</t>
  </si>
  <si>
    <t>20250922-005</t>
  </si>
  <si>
    <t>IMG_7397.jpeg</t>
  </si>
  <si>
    <t>527出水孔已經清潔完成</t>
  </si>
  <si>
    <t>527出水孔已經清潔完成.jpg</t>
  </si>
  <si>
    <t>20250922-004</t>
  </si>
  <si>
    <t>HKCHOW</t>
  </si>
  <si>
    <t>續住 浴室門內開 需調整</t>
  </si>
  <si>
    <t>807已修復完成</t>
  </si>
  <si>
    <t>807已修復完成.jpg</t>
  </si>
  <si>
    <t>20250922-003</t>
  </si>
  <si>
    <t>FO-GSM (CHOW代)</t>
  </si>
  <si>
    <t>洗手台無法排水 (補工單) 20SEP2025</t>
  </si>
  <si>
    <t>527已修復完成</t>
  </si>
  <si>
    <t>20250922-002</t>
  </si>
  <si>
    <t>浴廁拉門口矽力控需要重補</t>
  </si>
  <si>
    <t>象牙白待料，717先補相近顏色，40分鐘會乾</t>
  </si>
  <si>
    <t>象牙白待料，717先補相近顏色，40分鐘會乾.jpg</t>
  </si>
  <si>
    <t>20250922-001</t>
  </si>
  <si>
    <t>左邊閱讀燈打光位置不在枕頭上_x000D_
要調整</t>
  </si>
  <si>
    <t>IMG_7395.jpeg</t>
  </si>
  <si>
    <t>509已調整完成</t>
  </si>
  <si>
    <t>509已調整完成.jpg</t>
  </si>
  <si>
    <t>20250921-004</t>
  </si>
  <si>
    <t>洗手台水龍頭會搖晃</t>
  </si>
  <si>
    <t>IMG_7386.jpeg</t>
  </si>
  <si>
    <t>522已重新固定完成</t>
  </si>
  <si>
    <t>522已重新固定完成.jpg</t>
  </si>
  <si>
    <t>20250921-003</t>
  </si>
  <si>
    <t>于翔</t>
  </si>
  <si>
    <t>床頭櫃不穩會晃動</t>
  </si>
  <si>
    <t>1000024399.jpg</t>
  </si>
  <si>
    <t>705已調整完成</t>
  </si>
  <si>
    <t>705已調整完成.jpg</t>
  </si>
  <si>
    <t>20250921-002</t>
  </si>
  <si>
    <t>電視下方牆面需要重【七】</t>
  </si>
  <si>
    <t>電視下方整面牆油漆完成</t>
  </si>
  <si>
    <t>1028電視下方整面牆油漆完成.jpg</t>
  </si>
  <si>
    <t>20250921-001</t>
  </si>
  <si>
    <t>淋浴間排水慢</t>
  </si>
  <si>
    <t>排水正常</t>
  </si>
  <si>
    <t>20250920-009</t>
  </si>
  <si>
    <t>薄紗簾要調整 不同步</t>
  </si>
  <si>
    <t>IMG_7377.jpeg</t>
  </si>
  <si>
    <t>1021薄紗簾調整完成</t>
  </si>
  <si>
    <t>20250920-008</t>
  </si>
  <si>
    <t>水龍頭零件失蹤_x000D_
開水時會亂噴</t>
  </si>
  <si>
    <t>IMG_7372.jpeg</t>
  </si>
  <si>
    <t>512洗手台水龍頭已更新完成</t>
  </si>
  <si>
    <t>20250920-007</t>
  </si>
  <si>
    <t>IMG_7371.jpeg</t>
  </si>
  <si>
    <t>20250920-006</t>
  </si>
  <si>
    <t>HDMI1沒訊號</t>
  </si>
  <si>
    <t>1027已調整完成</t>
  </si>
  <si>
    <t>1027已調整完成.jpg</t>
  </si>
  <si>
    <t>20250920-005</t>
  </si>
  <si>
    <t>IMG_7368.jpeg</t>
  </si>
  <si>
    <t>527已調整完成</t>
  </si>
  <si>
    <t>20250920-004</t>
  </si>
  <si>
    <t>722 門外的燈有裂縫</t>
  </si>
  <si>
    <t>53148.jpg</t>
  </si>
  <si>
    <t>找到壓克力板已完成修復</t>
  </si>
  <si>
    <t>image_78616FD3-DE9F-4482-8D7C-F2DEE875B0C3_1764933242_compressed.jpeg</t>
  </si>
  <si>
    <t>20250920-003</t>
  </si>
  <si>
    <t>IMG_7367.jpeg</t>
  </si>
  <si>
    <t>607已調整完成</t>
  </si>
  <si>
    <t>20250920-002</t>
  </si>
  <si>
    <t>左邊燈泡不亮</t>
  </si>
  <si>
    <t>IMG_7366.jpeg</t>
  </si>
  <si>
    <t>620燈泡已更換完成</t>
  </si>
  <si>
    <t>620燈泡已更換完成.jpg</t>
  </si>
  <si>
    <t>20250920-001</t>
  </si>
  <si>
    <t>配件遺失</t>
  </si>
  <si>
    <t>1000006746.jpg</t>
  </si>
  <si>
    <t>福群侯經理代班已安裝完成</t>
  </si>
  <si>
    <t>1016 修飾蓋已裝好.jpg</t>
  </si>
  <si>
    <t>20250919-009</t>
  </si>
  <si>
    <t>止水栓無法彈起</t>
  </si>
  <si>
    <t>1000024369.jpg</t>
  </si>
  <si>
    <t>513止水栓處理完畢</t>
  </si>
  <si>
    <t>513止水栓處理完畢.jpg</t>
  </si>
  <si>
    <t>20250919-008</t>
  </si>
  <si>
    <t>進門開關下方牆面補漆（補工單）</t>
  </si>
  <si>
    <t>808整面油漆完成</t>
  </si>
  <si>
    <t>808整面油漆完成.jpg</t>
  </si>
  <si>
    <t>20250919-007</t>
  </si>
  <si>
    <t>電視下方牆面補漆（補工單）</t>
  </si>
  <si>
    <t>808電視下方油漆完成</t>
  </si>
  <si>
    <t>808電視下方油漆完成.jpg</t>
  </si>
  <si>
    <t>20250919-006</t>
  </si>
  <si>
    <t>球燈紙破需更換（補工單）</t>
  </si>
  <si>
    <t>紙燈籠更新</t>
  </si>
  <si>
    <t>808紙燈籠更新.jpg</t>
  </si>
  <si>
    <t>20250919-005</t>
  </si>
  <si>
    <t>需要補漆</t>
  </si>
  <si>
    <t>1000006717.jpg</t>
  </si>
  <si>
    <t>1025已補漆完成.jpg</t>
  </si>
  <si>
    <t>20250919-004</t>
  </si>
  <si>
    <t>812 洗手台彈不起來 有預進 補單</t>
  </si>
  <si>
    <t>B266146D-441B-49D4-8535-4625922689A3.jpg</t>
  </si>
  <si>
    <t>812止水塞修復完成</t>
  </si>
  <si>
    <t>20250919-003</t>
  </si>
  <si>
    <t>電視失去網路</t>
  </si>
  <si>
    <t>1000006715.jpg</t>
  </si>
  <si>
    <t>機上盒電源線更新完成</t>
  </si>
  <si>
    <t>1029機上盒電源線更新完成.jpg</t>
  </si>
  <si>
    <t>20250919-002</t>
  </si>
  <si>
    <t>重新設定HDMI2後，沒信號</t>
  </si>
  <si>
    <t>1000006713.jpg</t>
  </si>
  <si>
    <t>917已調整完成.jpg</t>
  </si>
  <si>
    <t>20250919-001</t>
  </si>
  <si>
    <t>抽屜軌道生鏽、木條發霉</t>
  </si>
  <si>
    <t>浴室抽屜櫃道更新完成</t>
  </si>
  <si>
    <t>826浴室抽屜櫃道更新完成.jpg</t>
  </si>
  <si>
    <t>20250918-019</t>
  </si>
  <si>
    <t>冰箱腳墊不穩</t>
  </si>
  <si>
    <t>冰箱腳墊已補上</t>
  </si>
  <si>
    <t>725冰箱腳墊已補上.jpg</t>
  </si>
  <si>
    <t>20250918-018</t>
  </si>
  <si>
    <t>開門不順有點緊需要調整</t>
  </si>
  <si>
    <t>IMG_7350.jpeg</t>
  </si>
  <si>
    <t>浴室拉門修復完成</t>
  </si>
  <si>
    <t>20250918-017</t>
  </si>
  <si>
    <t>浴室手把鬆脫</t>
  </si>
  <si>
    <t>把手調整完成</t>
  </si>
  <si>
    <t>709把手調整完成.jpg</t>
  </si>
  <si>
    <t>20250918-016</t>
  </si>
  <si>
    <t>水錘聲</t>
  </si>
  <si>
    <t>20250918-015</t>
  </si>
  <si>
    <t>開門時有異音 需要潤滑油</t>
  </si>
  <si>
    <t>IMG_7347.jpeg</t>
  </si>
  <si>
    <t>門已潤滑完成。無異音</t>
  </si>
  <si>
    <t>20250918-014</t>
  </si>
  <si>
    <t xml:space="preserve"> 天花板的燈看的到電線 不知道是不是有掉下來</t>
  </si>
  <si>
    <t>矽力康填縫完成</t>
  </si>
  <si>
    <t>721矽力康填縫完成.jpg</t>
  </si>
  <si>
    <t>20250918-013</t>
  </si>
  <si>
    <t>已關閉熱水閥，再觀察</t>
  </si>
  <si>
    <t>20250918-012</t>
  </si>
  <si>
    <t xml:space="preserve">603 淋浴間下方的燈掉下來了 續住 目前客人不再 </t>
  </si>
  <si>
    <t>S__4644968.jpg</t>
  </si>
  <si>
    <t>燈安裝完成</t>
  </si>
  <si>
    <t>20250918-011</t>
  </si>
  <si>
    <t>化妝鏡鬆脫</t>
  </si>
  <si>
    <t>化妝鏡安裝完成</t>
  </si>
  <si>
    <t>20250918-010</t>
  </si>
  <si>
    <t>IMG_7340.jpeg</t>
  </si>
  <si>
    <t>床頭燈修好</t>
  </si>
  <si>
    <t>619床頭燈修好.jpg</t>
  </si>
  <si>
    <t>20250918-009</t>
  </si>
  <si>
    <t>IMG_7337.jpeg</t>
  </si>
  <si>
    <t>洗手台水龍頭會晃- 已經鎖緊</t>
  </si>
  <si>
    <t>626洗手台水龍頭會晃- 已經鎖緊.jpg</t>
  </si>
  <si>
    <t>20250918-008</t>
  </si>
  <si>
    <t>IMG_7336.jpeg</t>
  </si>
  <si>
    <t>冰箱維護完成</t>
  </si>
  <si>
    <t>20250918-007</t>
  </si>
  <si>
    <t>B1房務辦公室放鑰匙的盒子快掉了 再麻煩大哥們 謝謝</t>
  </si>
  <si>
    <t>746375.jpg</t>
  </si>
  <si>
    <t>房務部辦公室鑰匙盒已鎖好</t>
  </si>
  <si>
    <t>20250918-006</t>
  </si>
  <si>
    <t>IMG_7332.jpeg</t>
  </si>
  <si>
    <t>823已鎖緊完成</t>
  </si>
  <si>
    <t>823已鎖緊完成.jpg</t>
  </si>
  <si>
    <t>20250918-005</t>
  </si>
  <si>
    <t>@賴定宏 716 沒有預進。不知道工程有沒有辦法處理？這種浴室天花板開始？因為潮濕即將要有斑駁的現象整個都不好看是不是跟討論擇日可以做處理？</t>
  </si>
  <si>
    <t>總工因需磨平後再進行上漆作業，施工天數再討論日期，可先賣不影響。</t>
  </si>
  <si>
    <t>20250918-004</t>
  </si>
  <si>
    <t>926浴簾卡住 再麻煩大哥們 謝謝</t>
  </si>
  <si>
    <t>91F12AA4-A97B-4642-B442-A688025A1831.jpg</t>
  </si>
  <si>
    <t>總工已修復</t>
  </si>
  <si>
    <t>926總工已修復.jpg</t>
  </si>
  <si>
    <t>20250918-003</t>
  </si>
  <si>
    <t>619 空房 IT 發現 臥室的電視上方框架有脫落 的現象 再麻煩大哥們評估是否能修理 謝謝</t>
  </si>
  <si>
    <t>B545B399-39D0-427A-BA2C-00F8201E7CD7.jpg</t>
  </si>
  <si>
    <t>20250918-002</t>
  </si>
  <si>
    <t xml:space="preserve">929 續住 窗台上方的坎燈不亮 目前客人不再 </t>
  </si>
  <si>
    <t>02364BAE-7032-441A-9395-8BC08DA4D1E4.jpg</t>
  </si>
  <si>
    <t>20250918-001</t>
  </si>
  <si>
    <t>客人至櫃台表示反應房間有異音，疑似是冷氣管線的聲音，客人已經準備要睡了，9/18 C/O後會再用LINE通知進房檢查</t>
  </si>
  <si>
    <t>王飛斌</t>
  </si>
  <si>
    <t>重複單號噪音房</t>
  </si>
  <si>
    <t>20250917-006</t>
  </si>
  <si>
    <t>員工餐廳咖啡機故障，電源正常但無法出咖啡且顯示異常。</t>
  </si>
  <si>
    <t>聯繫廠商瑞技</t>
  </si>
  <si>
    <t>20250917-005</t>
  </si>
  <si>
    <t>minibar抽屜需要補黑色漆</t>
  </si>
  <si>
    <t>補色完成</t>
  </si>
  <si>
    <t>831補色完成.jpg</t>
  </si>
  <si>
    <t>20250917-004</t>
  </si>
  <si>
    <t>李家銘</t>
  </si>
  <si>
    <t>浴缸上面的浴簾壞了</t>
  </si>
  <si>
    <t>S__2703653.jpg</t>
  </si>
  <si>
    <t>浴室窗簾已調整完成</t>
  </si>
  <si>
    <t>921浴室窗簾已調整完成.jpg</t>
  </si>
  <si>
    <t>20250917-003</t>
  </si>
  <si>
    <t>房內「閱讀燈」：左側按鈕》亮右側燈，需要調整</t>
  </si>
  <si>
    <t>閱讀燈調整完成</t>
  </si>
  <si>
    <t>20250917-002</t>
  </si>
  <si>
    <t>門鈴沒有反應和聲音</t>
  </si>
  <si>
    <t>20250917-001</t>
  </si>
  <si>
    <t>咖啡機上方燈條閃爍</t>
  </si>
  <si>
    <t>目前燈條都正常沒有閃爍，如果有再發生的話會再重新開工單報修</t>
  </si>
  <si>
    <t>20250916-006</t>
  </si>
  <si>
    <t>731 冷氣不涼 有預進 再麻煩大哥們 謝謝</t>
  </si>
  <si>
    <t>出風口16.5度，暖氣的熱水閥已全關閉</t>
  </si>
  <si>
    <t>20250916-005</t>
  </si>
  <si>
    <t>608 續住 窗簾卡住 客人目前不再 再麻煩了 謝謝</t>
  </si>
  <si>
    <t>S__4612191.jpg</t>
  </si>
  <si>
    <t>浴室窗簾調整完成</t>
  </si>
  <si>
    <t>608浴室窗簾調整完成.jpg</t>
  </si>
  <si>
    <t>20250916-004</t>
  </si>
  <si>
    <t>浴室門手把鬆動</t>
  </si>
  <si>
    <t>浴室手把固定完成</t>
  </si>
  <si>
    <t>20250916-003</t>
  </si>
  <si>
    <t>門鈴單音，需要調整</t>
  </si>
  <si>
    <t>門鈴調整完成</t>
  </si>
  <si>
    <t>20250916-002</t>
  </si>
  <si>
    <t>20250916-001</t>
  </si>
  <si>
    <t>20250915-008</t>
  </si>
  <si>
    <t xml:space="preserve">816 電話壞掉 </t>
  </si>
  <si>
    <t>816 電話0k</t>
  </si>
  <si>
    <t>816 電話0k.jpg</t>
  </si>
  <si>
    <t>20250915-007</t>
  </si>
  <si>
    <t xml:space="preserve">815 電話壞掉 </t>
  </si>
  <si>
    <t>已有新工單。_x000D_
815已更換為有線話機，但無法通話，話機暫時放著待繼續測試。</t>
  </si>
  <si>
    <t>20250915-006</t>
  </si>
  <si>
    <t xml:space="preserve">531 電話壞掉 </t>
  </si>
  <si>
    <t>530 為正確房號，安裝原本的有線話機。</t>
  </si>
  <si>
    <t>20250915-005</t>
  </si>
  <si>
    <t>521 電話要換電池 撥不出去 有預進</t>
  </si>
  <si>
    <t>66858.jpg</t>
  </si>
  <si>
    <t>20250915-004</t>
  </si>
  <si>
    <t>1030 HDMI 顯示黑畫面  有預進</t>
  </si>
  <si>
    <t>50027.jpg</t>
  </si>
  <si>
    <t>66845.jpg</t>
  </si>
  <si>
    <t>20250915-003</t>
  </si>
  <si>
    <t>709 門弓器需要調整 關門很大聲 再麻煩了 謝謝</t>
  </si>
  <si>
    <t>67210_0.jpg</t>
  </si>
  <si>
    <t>20250915-002</t>
  </si>
  <si>
    <t xml:space="preserve">822保險箱的電池盒 螺絲的牙崩掉了 無法打開換電池 麻煩協助一下並更換電池 </t>
  </si>
  <si>
    <t>66818.jpg</t>
  </si>
  <si>
    <t>20250915-001</t>
  </si>
  <si>
    <t>Wilison</t>
  </si>
  <si>
    <t>天花板漏水</t>
  </si>
  <si>
    <t>20250914-008</t>
  </si>
  <si>
    <t>天花板滴水</t>
  </si>
  <si>
    <t xml:space="preserve">3.jpg : https://ap12.ragic.com/sims/file.jsp?a=soutlet001&amp;f=9yK8a06Yf9%403.jpg
4.jpg : https://ap12.ragic.com/sims/file.jsp?a=soutlet001&amp;f=Tmo41jSV6D%404.jpg
</t>
  </si>
  <si>
    <t>20250914-007</t>
  </si>
  <si>
    <t>20250914-006</t>
  </si>
  <si>
    <t>20250914-005</t>
  </si>
  <si>
    <t>浴簾脫落</t>
  </si>
  <si>
    <t>66741.jpg</t>
  </si>
  <si>
    <t>20250914-004</t>
  </si>
  <si>
    <t xml:space="preserve">LINE_P2025914_165848_new.jpg : https://ap12.ragic.com/sims/file.jsp?a=soutlet001&amp;f=372K7f4MQ8%40LINE_P2025914_165848_new.jpg
LINE_P2025914_165859_new.jpg : https://ap12.ragic.com/sims/file.jsp?a=soutlet001&amp;f=9BMr9hgw49%40LINE_P2025914_165859_new.jpg
</t>
  </si>
  <si>
    <t>20250914-003</t>
  </si>
  <si>
    <t>手把鬆動</t>
  </si>
  <si>
    <t>1000008494.jpg</t>
  </si>
  <si>
    <t>20250914-002</t>
  </si>
  <si>
    <t>608 黃色床頭櫃須補漆 再麻煩大哥們 謝謝</t>
  </si>
  <si>
    <t>S__49881097_0(1).jpg</t>
  </si>
  <si>
    <t>62021.jpg</t>
  </si>
  <si>
    <t>20250914-001</t>
  </si>
  <si>
    <t>731 電話沒聲音 請換一下電池試試</t>
  </si>
  <si>
    <t>更新電話完成</t>
  </si>
  <si>
    <t>20250913-014</t>
  </si>
  <si>
    <t>陳俊瑋</t>
  </si>
  <si>
    <t>511浴室燈不亮 有預進 補單</t>
  </si>
  <si>
    <t>66969.jpg</t>
  </si>
  <si>
    <t>更換燈泡完成</t>
  </si>
  <si>
    <t>20250913-013</t>
  </si>
  <si>
    <t>717電視顯示這畫面，要麻煩處理 補單</t>
  </si>
  <si>
    <t>251581.jpg</t>
  </si>
  <si>
    <t>處理調整完成</t>
  </si>
  <si>
    <t>66662.jpg</t>
  </si>
  <si>
    <t>20250913-012</t>
  </si>
  <si>
    <t>馬桶堵住</t>
  </si>
  <si>
    <t>疏通完成</t>
  </si>
  <si>
    <t>20250913-011</t>
  </si>
  <si>
    <t>519浴缸旋轉的扭需協助鎖緊 補單_x000D_
有預進</t>
  </si>
  <si>
    <t>S__19660802.jpg</t>
  </si>
  <si>
    <t>20250913-010</t>
  </si>
  <si>
    <t xml:space="preserve">923沙發椅腳 會晃 補單_x000D_
有預進 </t>
  </si>
  <si>
    <t>已鎖緊調整完成</t>
  </si>
  <si>
    <t>20250913-009</t>
  </si>
  <si>
    <t xml:space="preserve">923熱水壺抽屜需補漆，再麻煩安排時間處理 </t>
  </si>
  <si>
    <t>251074.jpg</t>
  </si>
  <si>
    <t>20250913-008</t>
  </si>
  <si>
    <t>922浴缸龍頭 鬆了 需打矽利康 (擇日處理) 補單_x000D_
有預進</t>
  </si>
  <si>
    <t>先不要搖動它 若需要真的固定 就需要打矽利康 完成後需要6個小時待乾</t>
  </si>
  <si>
    <t>20250913-007</t>
  </si>
  <si>
    <t>509浴室玻璃門有異音_x000D_
有預進 補單</t>
  </si>
  <si>
    <t>20250913-006</t>
  </si>
  <si>
    <t>509浴室玻璃門無法密封 _x000D_
有預進 補單</t>
  </si>
  <si>
    <t>20250913-005</t>
  </si>
  <si>
    <t>1025蓮蓬頭刮痕 沒備品可換補單</t>
  </si>
  <si>
    <t>S__8822848.jpg</t>
  </si>
  <si>
    <t xml:space="preserve">67307_0.jpg : https://ap12.ragic.com/sims/file.jsp?a=soutlet001&amp;f=B21Js71nOZ%4067307_0.jpg
67308_0.jpg : https://ap12.ragic.com/sims/file.jsp?a=soutlet001&amp;f=rj2iAXgPUA%4067308_0.jpg
</t>
  </si>
  <si>
    <t>20250913-004</t>
  </si>
  <si>
    <t>622 蓮蓬頭刮痕 沒備品可換補單</t>
  </si>
  <si>
    <t>更新新品完成</t>
  </si>
  <si>
    <t>66965.jpg</t>
  </si>
  <si>
    <t>20250913-003</t>
  </si>
  <si>
    <t>10樓逃生梯 電燈閃錯</t>
  </si>
  <si>
    <t>已換燈座</t>
  </si>
  <si>
    <t>10樓逃生梯已換燈座.jpg</t>
  </si>
  <si>
    <t>20250913-002</t>
  </si>
  <si>
    <t>622 這個凸起來了 再麻煩工程大哥們檢查一下 謝謝</t>
  </si>
  <si>
    <t>S__8822843.jpg</t>
  </si>
  <si>
    <t>20250913-001</t>
  </si>
  <si>
    <t>馬桶上方有水從燈泡流出</t>
  </si>
  <si>
    <t>F7C8A388-9FF9-4E72-9942-E4453B286273.jpg</t>
  </si>
  <si>
    <t>積水已處理</t>
  </si>
  <si>
    <t>66595.jpg</t>
  </si>
  <si>
    <t>20250912-014</t>
  </si>
  <si>
    <t>客人反應沒有熱水，有讓水流超過5分鐘</t>
  </si>
  <si>
    <t>熱水正常</t>
  </si>
  <si>
    <t>66894.jpg</t>
  </si>
  <si>
    <t>20250912-013</t>
  </si>
  <si>
    <t>花瓶架上方照片玻璃層移位</t>
  </si>
  <si>
    <t>66884.jpg</t>
  </si>
  <si>
    <t>20250912-012</t>
  </si>
  <si>
    <t>故障</t>
  </si>
  <si>
    <t>20250912-011</t>
  </si>
  <si>
    <t>20250912-010</t>
  </si>
  <si>
    <t>品蓉</t>
  </si>
  <si>
    <t>630 馬桶塞住 馬桶沖水力很弱</t>
  </si>
  <si>
    <t>66887.jpg</t>
  </si>
  <si>
    <t>20250912-009</t>
  </si>
  <si>
    <t>行李推車輪子損壞</t>
  </si>
  <si>
    <t>631636.jpg</t>
  </si>
  <si>
    <t>20250912-008</t>
  </si>
  <si>
    <t>1樓辦公室</t>
  </si>
  <si>
    <t>一樓辦公室門 門弓器損壞</t>
  </si>
  <si>
    <t>S__6848548.jpg</t>
  </si>
  <si>
    <t>20250912-007</t>
  </si>
  <si>
    <t>浴室門傾斜、開關門聲音很大</t>
  </si>
  <si>
    <t>66833_0.jpg</t>
  </si>
  <si>
    <t>20250912-006</t>
  </si>
  <si>
    <t>1018 靠窗吊燈不亮  有預進</t>
  </si>
  <si>
    <t>46661.jpg</t>
  </si>
  <si>
    <t>66495.jpg</t>
  </si>
  <si>
    <t>20250912-005</t>
  </si>
  <si>
    <t>浴簾卷軸捲過頭</t>
  </si>
  <si>
    <t>S__27869331.jpg</t>
  </si>
  <si>
    <t>20250912-004</t>
  </si>
  <si>
    <t>電視總開關被客人關掉完全摸不到開關，無法開啟</t>
  </si>
  <si>
    <t>S__27869332.jpg</t>
  </si>
  <si>
    <t>20250912-003</t>
  </si>
  <si>
    <t>固定完成</t>
  </si>
  <si>
    <t>20250912-002</t>
  </si>
  <si>
    <t>827 退房 洗臉台的龍頭會鬆動</t>
  </si>
  <si>
    <t>216680.jpg</t>
  </si>
  <si>
    <t>已重新調整鎖緊</t>
  </si>
  <si>
    <t>20250912-001</t>
  </si>
  <si>
    <t>830洗手槽的水塞彈不起來 客再 再麻煩大哥們 謝謝</t>
  </si>
  <si>
    <t>20250911-019</t>
  </si>
  <si>
    <t>無法撥至櫃檯</t>
  </si>
  <si>
    <t>531換</t>
  </si>
  <si>
    <t>20250911-018</t>
  </si>
  <si>
    <t>電視訊號不好</t>
  </si>
  <si>
    <t>更新新款電視盒</t>
  </si>
  <si>
    <t>20250911-017</t>
  </si>
  <si>
    <t xml:space="preserve"> 608客人反應電視台畫面很多頻道都顯示無法撥放</t>
  </si>
  <si>
    <t>20250911-016</t>
  </si>
  <si>
    <t>HSKP 佳富</t>
  </si>
  <si>
    <t>門鈴已修復完成</t>
  </si>
  <si>
    <t>20250911-015</t>
  </si>
  <si>
    <t>麗安</t>
  </si>
  <si>
    <t xml:space="preserve">919 浴缸旁邊要填縫 </t>
  </si>
  <si>
    <t xml:space="preserve">S__4759838_0.jpg : https://ap12.ragic.com/sims/file.jsp?a=soutlet001&amp;f=FNY4frE0XX%40S__4759838_0.jpg
S__4759839_0.jpg : https://ap12.ragic.com/sims/file.jsp?a=soutlet001&amp;f=K7T05912ip%40S__4759839_0.jpg
</t>
  </si>
  <si>
    <t>已填縫完成，膠帶等晚上九點後再來拆除</t>
  </si>
  <si>
    <t>已填縫完成，膠帶等晚上九點後再來拆除.jpg</t>
  </si>
  <si>
    <t>20250911-014</t>
  </si>
  <si>
    <t>洗手槽水塞塞住</t>
  </si>
  <si>
    <t>止水賽修復完成</t>
  </si>
  <si>
    <t>20250911-013</t>
  </si>
  <si>
    <t>床頭圓桌電線外露 桌子搖晃</t>
  </si>
  <si>
    <t>20250911-012</t>
  </si>
  <si>
    <t>電話拿起沒有聲音，只能擴音_x000D_
和櫃檯通話30秒之後斷訊沒有電_x000D_
可能要換電池</t>
  </si>
  <si>
    <t>631電話聽筒故障，已拆531的電話換上，使用正常，修復完成</t>
  </si>
  <si>
    <t>20250911-011</t>
  </si>
  <si>
    <t>電視遙控器已更換電池_x000D_
但是無法選擇確認音量</t>
  </si>
  <si>
    <t>IMG_6495.jpeg</t>
  </si>
  <si>
    <t>工單取消，已恢復正常</t>
  </si>
  <si>
    <t>20250911-010</t>
  </si>
  <si>
    <t>IMG_6493.jpeg</t>
  </si>
  <si>
    <t>門鈴聲調整完畢</t>
  </si>
  <si>
    <t>20250911-009</t>
  </si>
  <si>
    <t>掛毛巾架鬆脫</t>
  </si>
  <si>
    <t>螺絲鎖緊OK</t>
  </si>
  <si>
    <t>20250911-008</t>
  </si>
  <si>
    <t>IMG_6491.jpeg</t>
  </si>
  <si>
    <t>門鈴修理完畢</t>
  </si>
  <si>
    <t>20250911-007</t>
  </si>
  <si>
    <t>房內裝飾燈架會晃動</t>
  </si>
  <si>
    <t>66668.jpg</t>
  </si>
  <si>
    <t>20250911-006</t>
  </si>
  <si>
    <t>IMG_6489.jpeg</t>
  </si>
  <si>
    <t>20250911-005</t>
  </si>
  <si>
    <t>520 床頭紙燈罩需維修 有預進</t>
  </si>
  <si>
    <t>S__32915468.jpg</t>
  </si>
  <si>
    <t>66620.jpg</t>
  </si>
  <si>
    <t>20250911-004</t>
  </si>
  <si>
    <t>淋浴間玻璃門微傾斜 下面關上上方會有開口_x000D_
需要調整</t>
  </si>
  <si>
    <t xml:space="preserve">IMG_6486.jpeg : https://ap12.ragic.com/sims/file.jsp?a=soutlet001&amp;f=kFwFK2t9Uh%40IMG_6486.jpeg
IMG_6487.jpeg : https://ap12.ragic.com/sims/file.jsp?a=soutlet001&amp;f=Ih08DWepJG%40IMG_6487.jpeg
</t>
  </si>
  <si>
    <t>20250911-003</t>
  </si>
  <si>
    <t>冷氣不冷，溫度顯示24度</t>
  </si>
  <si>
    <t>空調微涼列入觀察</t>
  </si>
  <si>
    <t>20250911-002</t>
  </si>
  <si>
    <t>IMG_6485.jpeg</t>
  </si>
  <si>
    <t>20250911-001</t>
  </si>
  <si>
    <t>門擋防撞片</t>
  </si>
  <si>
    <t>IMG_4207.jpeg</t>
  </si>
  <si>
    <t>修復完成</t>
  </si>
  <si>
    <t>20250910-015</t>
  </si>
  <si>
    <t>客人反應冷氣不冷</t>
  </si>
  <si>
    <t>加一台電風扇</t>
  </si>
  <si>
    <t>20250910-014</t>
  </si>
  <si>
    <t>有預進。門鈴單音，很小聲。需要調整。</t>
  </si>
  <si>
    <t>20250910-013</t>
  </si>
  <si>
    <t>610 馬桶內圈需補七</t>
  </si>
  <si>
    <t>S__4268062.jpg</t>
  </si>
  <si>
    <t>馬桶補漆完成</t>
  </si>
  <si>
    <t>610馬桶補漆完成.jpg</t>
  </si>
  <si>
    <t>20250910-012</t>
  </si>
  <si>
    <t>917 房門完全沒電</t>
  </si>
  <si>
    <t>917電池更換完成.jpg</t>
  </si>
  <si>
    <t>20250910-011</t>
  </si>
  <si>
    <t>1017 浴簾卡著</t>
  </si>
  <si>
    <t>窗簾維修完成</t>
  </si>
  <si>
    <t>20250910-010</t>
  </si>
  <si>
    <t>818 衛生紙架蓋了鬆脫</t>
  </si>
  <si>
    <t>鎖緊維修完成</t>
  </si>
  <si>
    <t>20250910-009</t>
  </si>
  <si>
    <t>919 水塞彈不起來</t>
  </si>
  <si>
    <t>919已調整完成.jpg</t>
  </si>
  <si>
    <t>20250910-008</t>
  </si>
  <si>
    <t>電話拿起來30秒之後開始雜訊</t>
  </si>
  <si>
    <t>房務工單撤銷房間IP不用過來</t>
  </si>
  <si>
    <t>20250910-007</t>
  </si>
  <si>
    <t>房內有低頻震動聲</t>
  </si>
  <si>
    <t>無異音列入觀察</t>
  </si>
  <si>
    <t>20250910-006</t>
  </si>
  <si>
    <t>洗手槽水塞卡住</t>
  </si>
  <si>
    <t>調整處理完畢</t>
  </si>
  <si>
    <t>20250910-005</t>
  </si>
  <si>
    <t>523 漏水</t>
  </si>
  <si>
    <t>S__50782427.jpg</t>
  </si>
  <si>
    <t>目前OK，若有退房需再好好檢查</t>
  </si>
  <si>
    <t>523退房需再好好檢查.jpg</t>
  </si>
  <si>
    <t>20250910-004</t>
  </si>
  <si>
    <t>開門的防撞片</t>
  </si>
  <si>
    <t>IMG_4152.jpeg</t>
  </si>
  <si>
    <t>831防撞 墊安裝完畢</t>
  </si>
  <si>
    <t>20250910-003</t>
  </si>
  <si>
    <t>門鈴單音，聲音非常小，需要調整</t>
  </si>
  <si>
    <t>門鈴修復完畢</t>
  </si>
  <si>
    <t>20250910-002</t>
  </si>
  <si>
    <t>紙燈罩左右2邊都有破洞</t>
  </si>
  <si>
    <t xml:space="preserve">IMG_6444.jpeg : https://ap12.ragic.com/sims/file.jsp?a=soutlet001&amp;f=P3hXD9d3Eo%40IMG_6444.jpeg
IMG_6445.jpeg : https://ap12.ragic.com/sims/file.jsp?a=soutlet001&amp;f=3S41764j0I%40IMG_6445.jpeg
</t>
  </si>
  <si>
    <t>燈罩更換完畢</t>
  </si>
  <si>
    <t>20250910.jpg</t>
  </si>
  <si>
    <t>20250910-001</t>
  </si>
  <si>
    <t>門鈴聲音小，只有單音</t>
  </si>
  <si>
    <t>IMG_6443.jpeg</t>
  </si>
  <si>
    <t>門鈴處理完畢</t>
  </si>
  <si>
    <t>20250909-004</t>
  </si>
  <si>
    <t>501 浴缸水塞 彈不起來 再麻煩大哥們 謝謝</t>
  </si>
  <si>
    <t>浴缸水塞</t>
  </si>
  <si>
    <t>215907.jpg</t>
  </si>
  <si>
    <t>螺絲已鎖緊</t>
  </si>
  <si>
    <t>501 螺絲已鎖緊.jpg</t>
  </si>
  <si>
    <t>20250909-003</t>
  </si>
  <si>
    <t>客房房號上方燈具玻璃破裂_x000D_
這間是續住 請盡快處理</t>
  </si>
  <si>
    <t xml:space="preserve">IMG_6426.jpeg : https://ap12.ragic.com/sims/file.jsp?a=soutlet001&amp;f=c1dE08Yd0Q%40IMG_6426.jpeg
IMG_6427.jpeg : https://ap12.ragic.com/sims/file.jsp?a=soutlet001&amp;f=N456hyM8BV%40IMG_6427.jpeg
</t>
  </si>
  <si>
    <t>已修完成</t>
  </si>
  <si>
    <t xml:space="preserve">518已修完成 (1).jpg : https://ap12.ragic.com/sims/file.jsp?a=soutlet001&amp;f=cg99WV7VAv%40518%E5%B7%B2%E4%BF%AE%E5%AE%8C%E6%88%90+%281%29.jpg
518已修完成 (2).jpg : https://ap12.ragic.com/sims/file.jsp?a=soutlet001&amp;f=Yb3P834CSa%40518%E5%B7%B2%E4%BF%AE%E5%AE%8C%E6%88%90+%282%29.jpg
</t>
  </si>
  <si>
    <t>20250909-002</t>
  </si>
  <si>
    <t>912 馬桶零件遺失  再麻煩大哥們拆815或816的零件 謝謝 ~</t>
  </si>
  <si>
    <t>51660.jpg</t>
  </si>
  <si>
    <t>馬桶零件已裝完成</t>
  </si>
  <si>
    <t>912馬桶零件已裝完成.jpg</t>
  </si>
  <si>
    <t>20250909-001</t>
  </si>
  <si>
    <t>523 淋浴間蓮蓬頭水管漏水 目前客人不再 再麻煩大哥們 謝謝</t>
  </si>
  <si>
    <t>退房後需要再進房查修，房務櫃檯再通知</t>
  </si>
  <si>
    <t>20250908-004</t>
  </si>
  <si>
    <t>請問大哥們 您們有這個的螺絲嗎? _x000D_
530 續住 bar櫃子上方 放花瓶下的鐵片沒有螺絲固定會鬆動</t>
  </si>
  <si>
    <t>216592.jpg</t>
  </si>
  <si>
    <t>花瓶架螺絲已鎖上</t>
  </si>
  <si>
    <t>花瓶架螺絲已鎖上.jpg</t>
  </si>
  <si>
    <t>20250908-003</t>
  </si>
  <si>
    <t>IMG_4062.jpeg</t>
  </si>
  <si>
    <t>止水條斷裂修復完畢</t>
  </si>
  <si>
    <t>817 止水條斷裂修復完畢.jpg</t>
  </si>
  <si>
    <t>20250908-002</t>
  </si>
  <si>
    <t>819 我們昨天查房時 沒有異狀 但今天巡空房時 浴室出現一攤水+馬桶上方漏水 我們有先收乾 再麻煩大哥們 過去查看 謝謝</t>
  </si>
  <si>
    <t>819剛剛帶樓梯進去檢查，天花板地上目前都沒有問題_x000D_
也有到維修孔上方看過目前也ok</t>
  </si>
  <si>
    <t xml:space="preserve">819 (1).jpg : https://ap12.ragic.com/sims/file.jsp?a=soutlet001&amp;f=8qmbaJnt78%40819+%281%29.jpg
819 (2).jpg : https://ap12.ragic.com/sims/file.jsp?a=soutlet001&amp;f=7S95iWGFlF%40819+%282%29.jpg
819 (3).jpg : https://ap12.ragic.com/sims/file.jsp?a=soutlet001&amp;f=04OGan3tq9%40819+%283%29.jpg
819 (4).jpg : https://ap12.ragic.com/sims/file.jsp?a=soutlet001&amp;f=XA3woXKNu7%40819+%284%29.jpg
819 (5).jpg : https://ap12.ragic.com/sims/file.jsp?a=soutlet001&amp;f=Bjn2lfcgbX%40819+%285%29.jpg
</t>
  </si>
  <si>
    <t>20250908-001</t>
  </si>
  <si>
    <t>連通門不能鎖上</t>
  </si>
  <si>
    <t>20250907-015</t>
  </si>
  <si>
    <t>電視突出微傾斜</t>
  </si>
  <si>
    <t>IMG_6400.jpeg</t>
  </si>
  <si>
    <t>電視後面是伸縮架的原因，導致無法推進到底</t>
  </si>
  <si>
    <t>20250907-014</t>
  </si>
  <si>
    <t>浴缸旁檯面跟側邊要填縫</t>
  </si>
  <si>
    <t xml:space="preserve">IMG_6398.jpeg : https://ap12.ragic.com/sims/file.jsp?a=soutlet001&amp;f=dE5K5N9ZYn%40IMG_6398.jpeg
IMG_6399.jpeg : https://ap12.ragic.com/sims/file.jsp?a=soutlet001&amp;f=72w3PYLRzN%40IMG_6399.jpeg
</t>
  </si>
  <si>
    <t xml:space="preserve">20250907.jpg : https://ap12.ragic.com/sims/file.jsp?a=soutlet001&amp;f=8pBJzkKzG1%4020250907.jpg
20250907-2.jpg : https://ap12.ragic.com/sims/file.jsp?a=soutlet001&amp;f=44Pg7U7nO3%4020250907-2.jpg
</t>
  </si>
  <si>
    <t>20250907-013</t>
  </si>
  <si>
    <t>冰箱不穩，會晃動</t>
  </si>
  <si>
    <t>冰箱少一腳，已補鎖上</t>
  </si>
  <si>
    <t>919冰箱.jpg</t>
  </si>
  <si>
    <t>20250907-012</t>
  </si>
  <si>
    <t>浴室毛巾掛架鬆脫</t>
  </si>
  <si>
    <t>IMG_3999.jpeg</t>
  </si>
  <si>
    <t>已鎖緊處理</t>
  </si>
  <si>
    <t>20250907-011</t>
  </si>
  <si>
    <t>止水條斷裂也需更換</t>
  </si>
  <si>
    <t>IMG_3998.jpeg</t>
  </si>
  <si>
    <t>20250907-010</t>
  </si>
  <si>
    <t>燈泡顏色暗，需要更換</t>
  </si>
  <si>
    <t>IMG_6395.jpeg</t>
  </si>
  <si>
    <t>燈泡已更新完成</t>
  </si>
  <si>
    <t>1016.jpg</t>
  </si>
  <si>
    <t>20250907-009</t>
  </si>
  <si>
    <t>浴室門止水條需要更換</t>
  </si>
  <si>
    <t>IMG_3997.jpeg</t>
  </si>
  <si>
    <t>928止水條早就完成了</t>
  </si>
  <si>
    <t>20250907-008</t>
  </si>
  <si>
    <t>浴室門把晃動</t>
  </si>
  <si>
    <t>826已鎖緊完成</t>
  </si>
  <si>
    <t>20250907-007</t>
  </si>
  <si>
    <t>HDMI 1當掉</t>
  </si>
  <si>
    <t>IMG_3992.jpeg</t>
  </si>
  <si>
    <t>房務已撤單</t>
  </si>
  <si>
    <t>20250907-006</t>
  </si>
  <si>
    <t>馬桶蓋上有裂痕</t>
  </si>
  <si>
    <t>IMG_6387.jpeg</t>
  </si>
  <si>
    <t>先拿拆831的馬桶蓋換到701房的馬桶蓋，換好完成</t>
  </si>
  <si>
    <t>20250907-005</t>
  </si>
  <si>
    <t>浴缸旁檯面要填縫</t>
  </si>
  <si>
    <t>IMG_6380.jpeg</t>
  </si>
  <si>
    <t>20250908.jpg</t>
  </si>
  <si>
    <t>20250907-004</t>
  </si>
  <si>
    <t>衣櫃抽屜需要貼皮</t>
  </si>
  <si>
    <t>IMG_6376.jpeg</t>
  </si>
  <si>
    <t>707 貼皮.jpg</t>
  </si>
  <si>
    <t>20250907-003</t>
  </si>
  <si>
    <t>門鈴聲音小只有單音</t>
  </si>
  <si>
    <t>IMG_6375.jpeg</t>
  </si>
  <si>
    <t>20250907-002</t>
  </si>
  <si>
    <t>IMG_6374.jpeg</t>
  </si>
  <si>
    <t>20250907-001</t>
  </si>
  <si>
    <t>床區夜床燈不亮</t>
  </si>
  <si>
    <t>廠商沒接線無作用</t>
  </si>
  <si>
    <t>20250906-012</t>
  </si>
  <si>
    <t>椅子邊條脫落</t>
  </si>
  <si>
    <t xml:space="preserve">IMG_8620.jpeg : https://ap12.ragic.com/sims/file.jsp?a=soutlet001&amp;f=bqr713r8KZ%40IMG_8620.jpeg
IMG_8621.jpeg : https://ap12.ragic.com/sims/file.jsp?a=soutlet001&amp;f=Y0atTG13qW%40IMG_8621.jpeg
</t>
  </si>
  <si>
    <t>椅子已上膠完成</t>
  </si>
  <si>
    <t xml:space="preserve">4F椅子.jpg : https://ap12.ragic.com/sims/file.jsp?a=soutlet001&amp;f=2nNQ5EHtFK%404F%E6%A4%85%E5%AD%90.jpg
4F椅子-2.jpg : https://ap12.ragic.com/sims/file.jsp?a=soutlet001&amp;f=Y1EZfVTXkS%404F%E6%A4%85%E5%AD%90-2.jpg
</t>
  </si>
  <si>
    <t>20250906-011</t>
  </si>
  <si>
    <t>房間電視牆旁邊的鐵片要重新固定</t>
  </si>
  <si>
    <t xml:space="preserve">IMG_6367.jpeg : https://ap12.ragic.com/sims/file.jsp?a=soutlet001&amp;f=8402y9r240%40IMG_6367.jpeg
IMG_6366.jpeg : https://ap12.ragic.com/sims/file.jsp?a=soutlet001&amp;f=HOe2HsNJuG%40IMG_6366.jpeg
</t>
  </si>
  <si>
    <t>已上膠固定</t>
  </si>
  <si>
    <t>73652.jpg</t>
  </si>
  <si>
    <t>20250906-010</t>
  </si>
  <si>
    <t>925客反應遙控器按了電視沒反應 客人在房間等再麻煩去看</t>
  </si>
  <si>
    <t>20250906-009</t>
  </si>
  <si>
    <t>洗手台無法洩水</t>
  </si>
  <si>
    <t>止水閥</t>
  </si>
  <si>
    <t>73657.jpg</t>
  </si>
  <si>
    <t>20250906-008</t>
  </si>
  <si>
    <t>電話下方的櫃子需要黏貼皮</t>
  </si>
  <si>
    <t xml:space="preserve">IMG_6358.jpeg : https://ap12.ragic.com/sims/file.jsp?a=soutlet001&amp;f=hiADC129Y2%40IMG_6358.jpeg
IMG_6357.jpeg : https://ap12.ragic.com/sims/file.jsp?a=soutlet001&amp;f=8lP4UKeN8m%40IMG_6357.jpeg
IMG_6356.jpeg : https://ap12.ragic.com/sims/file.jsp?a=soutlet001&amp;f=5lCZRhqMXR%40IMG_6356.jpeg
</t>
  </si>
  <si>
    <t>73656.jpg</t>
  </si>
  <si>
    <t>20250906-007</t>
  </si>
  <si>
    <t>馬桶沖水把手鬆動</t>
  </si>
  <si>
    <t>IMG_6355.jpeg</t>
  </si>
  <si>
    <t>73654.jpg</t>
  </si>
  <si>
    <t>20250906-006</t>
  </si>
  <si>
    <t>窗外有塑膠條垂落</t>
  </si>
  <si>
    <t>IMG_3945.jpeg</t>
  </si>
  <si>
    <t>窗外無法處理</t>
  </si>
  <si>
    <t>20250906-005</t>
  </si>
  <si>
    <t>止水條摩擦，發出異音</t>
  </si>
  <si>
    <t>73649.jpg</t>
  </si>
  <si>
    <t>20250906-004</t>
  </si>
  <si>
    <t>浴室天花板有滿大聲的機器運轉聲，4樓窯廳也是同樣的聲音</t>
  </si>
  <si>
    <t>9號送風機故障 關閉後無聲音</t>
  </si>
  <si>
    <t>20250906-003</t>
  </si>
  <si>
    <t>床邊櫃掉漆_x000D_
天花板油漆不平整&amp;色差</t>
  </si>
  <si>
    <t>天花</t>
  </si>
  <si>
    <t xml:space="preserve">S__6733889_0.jpg : https://ap12.ragic.com/sims/file.jsp?a=soutlet001&amp;f=FIv28hmQry%40S__6733889_0.jpg
S__6733890_0.jpg : https://ap12.ragic.com/sims/file.jsp?a=soutlet001&amp;f=5b2TmU3iRR%40S__6733890_0.jpg
</t>
  </si>
  <si>
    <t>73653.jpg</t>
  </si>
  <si>
    <t>20250906-002</t>
  </si>
  <si>
    <t>保險箱油壓桿無作用</t>
  </si>
  <si>
    <t xml:space="preserve">安全消防副理阿良已更換_x000D_
</t>
  </si>
  <si>
    <t>20250906-001</t>
  </si>
  <si>
    <t>床邊吊燈掉下來</t>
  </si>
  <si>
    <t>73650.jpg</t>
  </si>
  <si>
    <t>20250905-008</t>
  </si>
  <si>
    <t>房內有高頻噪音</t>
  </si>
  <si>
    <t>技術員進房又沒聽到，時而出現時而消失</t>
  </si>
  <si>
    <t>20250905-007</t>
  </si>
  <si>
    <t>客說不用過去了 他說電視現在可以用</t>
  </si>
  <si>
    <t>20250905-006</t>
  </si>
  <si>
    <t>進門後磁磚要填縫</t>
  </si>
  <si>
    <t xml:space="preserve">IMG_6347.jpeg : https://ap12.ragic.com/sims/file.jsp?a=soutlet001&amp;f=3abbfi5YSq%40IMG_6347.jpeg
IMG_6348.jpeg : https://ap12.ragic.com/sims/file.jsp?a=soutlet001&amp;f=rU4owrWR89%40IMG_6348.jpeg
</t>
  </si>
  <si>
    <t>已填縫補好</t>
  </si>
  <si>
    <t>65615.jpg</t>
  </si>
  <si>
    <t>20250905-005</t>
  </si>
  <si>
    <t>床頭閱讀燈方向要調整_x000D_
開右邊燈光是打在左邊位置_x000D_
開左邊是打在右邊位置</t>
  </si>
  <si>
    <t>IMG_6342.jpeg</t>
  </si>
  <si>
    <t>閱讀燈已調整完成</t>
  </si>
  <si>
    <t xml:space="preserve">65617_0.jpg : https://ap12.ragic.com/sims/file.jsp?a=soutlet001&amp;f=76oZ8mLG57%4065617_0.jpg
65618_0.jpg : https://ap12.ragic.com/sims/file.jsp?a=soutlet001&amp;f=F738Lw9glV%4065618_0.jpg
</t>
  </si>
  <si>
    <t>20250905-004</t>
  </si>
  <si>
    <t>607 淋浴間門變成往內開了 正常要往外拉 再麻煩大哥們 謝謝</t>
  </si>
  <si>
    <t xml:space="preserve">65432_0.jpg : https://ap12.ragic.com/sims/file.jsp?a=soutlet001&amp;f=uWIsuFZCI1%4065432_0.jpg
65433_0.jpg : https://ap12.ragic.com/sims/file.jsp?a=soutlet001&amp;f=ep1m6Kdefj%4065433_0.jpg
</t>
  </si>
  <si>
    <t>20250905-003</t>
  </si>
  <si>
    <t xml:space="preserve">626電視脫勾  補單 </t>
  </si>
  <si>
    <t>電視脫勾，已掛上</t>
  </si>
  <si>
    <t>20250905-002</t>
  </si>
  <si>
    <t xml:space="preserve">823 一進門的地板有異音 </t>
  </si>
  <si>
    <t>20250905-001</t>
  </si>
  <si>
    <t>525 工程維修單_x000D_
廁所化妝鏡不能調整至水平角度</t>
  </si>
  <si>
    <t xml:space="preserve">1000004486.jpg : https://ap12.ragic.com/sims/file.jsp?a=soutlet001&amp;f=SiYcxx7kch%401000004486.jpg
1000004487.jpg : https://ap12.ragic.com/sims/file.jsp?a=soutlet001&amp;f=s2Uf8l7WnQ%401000004487.jpg
</t>
  </si>
  <si>
    <t xml:space="preserve">65405_0.jpg : https://ap12.ragic.com/sims/file.jsp?a=soutlet001&amp;f=R5Eh12RPPJ%4065405_0.jpg
65406_0.jpg : https://ap12.ragic.com/sims/file.jsp?a=soutlet001&amp;f=JwxLJ44Y3k%4065406_0.jpg
</t>
  </si>
  <si>
    <t>20250904-030</t>
  </si>
  <si>
    <t>蓮蓬頭桿子搖晃</t>
  </si>
  <si>
    <t>73525.jpg</t>
  </si>
  <si>
    <t>20250904-029</t>
  </si>
  <si>
    <t>IMG_6327.jpeg</t>
  </si>
  <si>
    <t>image_EC2887FB-980B-400A-AA28-C225392BD755_1756989249_compressed.jpeg</t>
  </si>
  <si>
    <t>20250904-028</t>
  </si>
  <si>
    <t>816 有異味</t>
  </si>
  <si>
    <t>2/23-3/2 施作(含228連假)</t>
  </si>
  <si>
    <t>20250904-027</t>
  </si>
  <si>
    <t>815 有異味</t>
  </si>
  <si>
    <t>20250904-026</t>
  </si>
  <si>
    <t>1020 有噪音</t>
  </si>
  <si>
    <t xml:space="preserve">1/6 多一家廠商比價已重送簽呈。2/9 擋房時間等泓宸提供。_x000D_
</t>
  </si>
  <si>
    <t>20250904-025</t>
  </si>
  <si>
    <t>1021 有噪音</t>
  </si>
  <si>
    <t>20250904-024</t>
  </si>
  <si>
    <t>1022 有噪音</t>
  </si>
  <si>
    <t>20250904-023</t>
  </si>
  <si>
    <t>1023 有噪音</t>
  </si>
  <si>
    <t>20250904-022</t>
  </si>
  <si>
    <t>1025 有噪音</t>
  </si>
  <si>
    <t>20250904-021</t>
  </si>
  <si>
    <t>1019 靠窗處天花板有異音</t>
  </si>
  <si>
    <t xml:space="preserve">1/19 泓宸已進場處理_x000D_
_x000D_
</t>
  </si>
  <si>
    <t>20250904-020</t>
  </si>
  <si>
    <t>909 有異音</t>
  </si>
  <si>
    <t xml:space="preserve">1/19 泓宸已進場處理_x000D_
</t>
  </si>
  <si>
    <t>20250904-019</t>
  </si>
  <si>
    <t>1F 櫃台辦公室空調不冷</t>
  </si>
  <si>
    <t>宣元隆合約OK，待工期時間安排</t>
  </si>
  <si>
    <t>20250904-018</t>
  </si>
  <si>
    <t>1031 空調不冷</t>
  </si>
  <si>
    <t>20250904-017</t>
  </si>
  <si>
    <t>931 空調不冷</t>
  </si>
  <si>
    <t>20250904-016</t>
  </si>
  <si>
    <t>831 空調不冷</t>
  </si>
  <si>
    <t>20250904-015</t>
  </si>
  <si>
    <t>731 空調不冷</t>
  </si>
  <si>
    <t>20250904-014</t>
  </si>
  <si>
    <t>631 空調不冷</t>
  </si>
  <si>
    <t>20250904-013</t>
  </si>
  <si>
    <t xml:space="preserve">531 空調不冷 </t>
  </si>
  <si>
    <t>20250904-012</t>
  </si>
  <si>
    <t xml:space="preserve">701 空調不冷 </t>
  </si>
  <si>
    <t>待換空調送風機型_x000D_
1/27 宣元隆已進場處理中，1/28 已完工。</t>
  </si>
  <si>
    <t>20250904-011</t>
  </si>
  <si>
    <t xml:space="preserve">601 空調不冷 </t>
  </si>
  <si>
    <t>20250904-010</t>
  </si>
  <si>
    <t xml:space="preserve">501 空調不冷 </t>
  </si>
  <si>
    <t>20250904-009</t>
  </si>
  <si>
    <t>工程大哥們~ 我們有一台吸塵器輪子掉下來了 在麻煩您們修理一下 零件都在辦公室 謝謝</t>
  </si>
  <si>
    <t xml:space="preserve">734130_0.jpg : https://ap12.ragic.com/sims/file.jsp?a=soutlet001&amp;f=WS5pjbWHN2%40734130_0.jpg
734131_0.jpg : https://ap12.ragic.com/sims/file.jsp?a=soutlet001&amp;f=29bP77GhBt%40734131_0.jpg
734132_0.jpg : https://ap12.ragic.com/sims/file.jsp?a=soutlet001&amp;f=TC6ip02vh3%40734132_0.jpg
</t>
  </si>
  <si>
    <t>20250904-008</t>
  </si>
  <si>
    <t>門後鏡櫃需補漆</t>
  </si>
  <si>
    <t>1013黃色補漆完成</t>
  </si>
  <si>
    <t>1013黃色補漆完成.jpg</t>
  </si>
  <si>
    <t>20250904-007</t>
  </si>
  <si>
    <t>HDMI 2無信號</t>
  </si>
  <si>
    <t>IMG_6319.jpeg</t>
  </si>
  <si>
    <t>image_268D8694-C6B7-4470-AE26-04595CC4FDA7_1756988754_compressed.jpeg</t>
  </si>
  <si>
    <t>20250904-006</t>
  </si>
  <si>
    <t>洗手台下方夜燈帶掉了</t>
  </si>
  <si>
    <t>20250904-005</t>
  </si>
  <si>
    <t>電視的電源完全沒有感應無法開啟電視</t>
  </si>
  <si>
    <t>房務已取消</t>
  </si>
  <si>
    <t>20250904-004</t>
  </si>
  <si>
    <t>床邊電話一直閃燈，拿起來也沒有聲音</t>
  </si>
  <si>
    <t>IMG_6311.jpeg</t>
  </si>
  <si>
    <t>20250904-003</t>
  </si>
  <si>
    <t>馬桶塞住</t>
  </si>
  <si>
    <t>IMG_3893.jpeg</t>
  </si>
  <si>
    <t>630馬桶阻塞排除</t>
  </si>
  <si>
    <t xml:space="preserve">65412_0.jpg : https://ap12.ragic.com/sims/file.jsp?a=soutlet001&amp;f=aPAC61d95F%4065412_0.jpg
65413_0.jpg : https://ap12.ragic.com/sims/file.jsp?a=soutlet001&amp;f=61bC32uR99%4065413_0.jpg
</t>
  </si>
  <si>
    <t>20250904-002</t>
  </si>
  <si>
    <t>518 空房 再麻煩工程大哥們將厚窗簾裝回去 (東西在B1房務辦公室) 謝謝</t>
  </si>
  <si>
    <t>733616.jpg</t>
  </si>
  <si>
    <t>窗簾已回裝</t>
  </si>
  <si>
    <t>20250904-001</t>
  </si>
  <si>
    <t>710 已退 有預進 再麻煩工程大哥們將房內的後窗簾拆下後 將原本的窗簾裝回去 (東西在B1房務辦公室) 客人下午2點到 再麻煩了 謝謝</t>
  </si>
  <si>
    <t>733614.jpg</t>
  </si>
  <si>
    <t>20250831-012</t>
  </si>
  <si>
    <t>衣櫃抽屜要貼皮</t>
  </si>
  <si>
    <t>IMG_6228.jpeg</t>
  </si>
  <si>
    <t>image_2BC52210-2A92-43F9-BB33-F36AF5B8C931_1756736170_compressed.jpeg</t>
  </si>
  <si>
    <t>20250831-011</t>
  </si>
  <si>
    <t>IMG_6224.jpeg</t>
  </si>
  <si>
    <t>20250831-010</t>
  </si>
  <si>
    <t xml:space="preserve">810 需重打矽利康 稽核房間 再麻煩大哥了 謝謝 </t>
  </si>
  <si>
    <t>S__4554866.jpg</t>
  </si>
  <si>
    <t>速利康已補好</t>
  </si>
  <si>
    <t xml:space="preserve">64585_0.jpg : https://ap12.ragic.com/sims/file.jsp?a=soutlet001&amp;f=2735fw21DG%4064585_0.jpg
64586_0.jpg : https://ap12.ragic.com/sims/file.jsp?a=soutlet001&amp;f=mNcKuR83ZQ%4064586_0.jpg
64587_0.jpg : https://ap12.ragic.com/sims/file.jsp?a=soutlet001&amp;f=OaN898Htpk%4064587_0.jpg
64588_0.jpg : https://ap12.ragic.com/sims/file.jsp?a=soutlet001&amp;f=5lc9a2Kr0A%4064588_0.jpg
</t>
  </si>
  <si>
    <t>20250831-009</t>
  </si>
  <si>
    <t>閱讀證左開右，需要調整。20250831-009</t>
  </si>
  <si>
    <t>1000004210.jpg</t>
  </si>
  <si>
    <t xml:space="preserve">64530_0.jpg : https://ap12.ragic.com/sims/file.jsp?a=soutlet001&amp;f=z5A2052WxA%4064530_0.jpg
64531_0.jpg : https://ap12.ragic.com/sims/file.jsp?a=soutlet001&amp;f=NnhQRQ9jKF%4064531_0.jpg
</t>
  </si>
  <si>
    <t>20250831-008</t>
  </si>
  <si>
    <t>連通門鎖不起來</t>
  </si>
  <si>
    <t>IMG_6220.jpeg</t>
  </si>
  <si>
    <t>副總工告知房務之前已經報過，目前無解</t>
  </si>
  <si>
    <t>20250831-007</t>
  </si>
  <si>
    <t>衣櫃拉門突出 要調整</t>
  </si>
  <si>
    <t>IMG_6219.jpeg</t>
  </si>
  <si>
    <t>925.jpg</t>
  </si>
  <si>
    <t>20250831-006</t>
  </si>
  <si>
    <t>FoMeg</t>
  </si>
  <si>
    <t>客反應電視打不開，遙控器沒有反應，再麻煩協助查看，客人在房間內等</t>
  </si>
  <si>
    <t>房務主任同客人親自測試OK</t>
  </si>
  <si>
    <t>20250831-005</t>
  </si>
  <si>
    <t>615 房門擋鐵片掉落 屍體在房內</t>
  </si>
  <si>
    <t xml:space="preserve">45171_0.jpg : https://ap12.ragic.com/sims/file.jsp?a=soutlet001&amp;f=7ry2U8UE36%4045171_0.jpg
45172_0.jpg : https://ap12.ragic.com/sims/file.jsp?a=soutlet001&amp;f=0x4Nub3Brl%4045172_0.jpg
</t>
  </si>
  <si>
    <t>615.jpg</t>
  </si>
  <si>
    <t>20250831-004</t>
  </si>
  <si>
    <t>IMG_6218.jpeg</t>
  </si>
  <si>
    <t>20250831-003</t>
  </si>
  <si>
    <t>不能會回彈報20250831-003</t>
  </si>
  <si>
    <t>605.jpg</t>
  </si>
  <si>
    <t>20250831-002</t>
  </si>
  <si>
    <t>衣櫃拉門突出需要調整</t>
  </si>
  <si>
    <t>IMG_6214.jpeg</t>
  </si>
  <si>
    <t>image_F4C5E4D4-14FE-48FF-A10F-64C9B92A20B6_1756736024_compressed.jpeg</t>
  </si>
  <si>
    <t>20250831-001</t>
  </si>
  <si>
    <t>IMG_6212.jpeg</t>
  </si>
  <si>
    <t>20250830-007</t>
  </si>
  <si>
    <t>723 洗手台沒熱水 20250830-007</t>
  </si>
  <si>
    <t>726 洗手台沒熱水 EN-00026 已重上系統</t>
  </si>
  <si>
    <t>20250830-006</t>
  </si>
  <si>
    <t>淋浴間玻璃門微微傾斜 下面闔上上面有縫_x000D_
需要調整</t>
  </si>
  <si>
    <t xml:space="preserve">IMG_6201.jpeg : https://ap12.ragic.com/sims/file.jsp?a=soutlet001&amp;f=7ZJf4C3iZ2%40IMG_6201.jpeg
IMG_6202.jpeg : https://ap12.ragic.com/sims/file.jsp?a=soutlet001&amp;f=vbV722NRDJ%40IMG_6202.jpeg
</t>
  </si>
  <si>
    <t>image_9BB2E4D6-F391-4C72-8C86-0B739FB3DB14_1756735690_compressed.jpeg</t>
  </si>
  <si>
    <t>20250830-005</t>
  </si>
  <si>
    <t>701 需重新刷房門油漆 謝謝</t>
  </si>
  <si>
    <t>S__9199717.jpg</t>
  </si>
  <si>
    <t>149間房門刷漆專案經理sam 會統一發包。</t>
  </si>
  <si>
    <t>20250830-004</t>
  </si>
  <si>
    <t>馬桶蓋有裂痕</t>
  </si>
  <si>
    <t>IMG_6199.jpeg</t>
  </si>
  <si>
    <t>拆816房的裝</t>
  </si>
  <si>
    <t>20250830-003</t>
  </si>
  <si>
    <t xml:space="preserve"> FO-Wilson</t>
  </si>
  <si>
    <t>529衣櫥拉門卡住無法拉 BY FO-Wilson</t>
  </si>
  <si>
    <t>軌道斷了，輪子卡住，先調整輪子跟門能開關，軌道一時無法修復。</t>
  </si>
  <si>
    <t>20250830-002</t>
  </si>
  <si>
    <t>打開困難</t>
  </si>
  <si>
    <t>20250830-001</t>
  </si>
  <si>
    <t>短的紗簾過長 需要調整</t>
  </si>
  <si>
    <t>IMG_6196.jpeg</t>
  </si>
  <si>
    <t>紗簾已調整剛好到底</t>
  </si>
  <si>
    <t>20250829-019</t>
  </si>
  <si>
    <t>810 請協助開連通門 客再 鑰匙在房務部 感恩</t>
  </si>
  <si>
    <t>副總工已開啟</t>
  </si>
  <si>
    <t>20250829-018</t>
  </si>
  <si>
    <t>630 床頭櫃夜床燈掉落</t>
  </si>
  <si>
    <t>S__4218931.jpg</t>
  </si>
  <si>
    <t>20250829-017</t>
  </si>
  <si>
    <t>左側閱讀燈照右側床，需調整：左照左（右照右）</t>
  </si>
  <si>
    <t xml:space="preserve">image_DDE50B01-A2A9-4329-9706-128328E6AAB2_1756732197_compressed.jpeg : https://ap12.ragic.com/sims/file.jsp?a=soutlet001&amp;f=46o447Um73%40image_DDE50B01-A2A9-4329-9706-128328E6AAB2_1756732197_compressed.jpeg
image_956DAE85-6105-4594-879A-A9F02450A4F5_1756732197_compressed.jpeg : https://ap12.ragic.com/sims/file.jsp?a=soutlet001&amp;f=5S7630dmzI%40image_956DAE85-6105-4594-879A-A9F02450A4F5_1756732197_compressed.jpeg
</t>
  </si>
  <si>
    <t>20250829-016</t>
  </si>
  <si>
    <t>洗手台水龍頭會移動 請幫忙固定</t>
  </si>
  <si>
    <t>image_2B38DEFE-8CE2-466F-A0A3-555D8D98AADB_1756732035_compressed.jpeg</t>
  </si>
  <si>
    <t>20250829-015</t>
  </si>
  <si>
    <t>馬桶蓋破裂</t>
  </si>
  <si>
    <t>1000008379.jpg</t>
  </si>
  <si>
    <t>拆815房的裝</t>
  </si>
  <si>
    <t>20250829-014</t>
  </si>
  <si>
    <t>左側夜床燈條掉落</t>
  </si>
  <si>
    <t>IMG_3538.jpeg</t>
  </si>
  <si>
    <t>image_B9D88ED5-60AC-4E9D-89FF-AF9A66B055CB_1756731828_compressed.jpeg</t>
  </si>
  <si>
    <t>20250829-013</t>
  </si>
  <si>
    <t>那個洗水槽的止水閥都不容易回彈</t>
  </si>
  <si>
    <t>左右修復已調整完成</t>
  </si>
  <si>
    <t>20250829-012</t>
  </si>
  <si>
    <t>IMG_3535.jpeg</t>
  </si>
  <si>
    <t>20250829-011</t>
  </si>
  <si>
    <t>528門鈴聲音小 只有單音</t>
  </si>
  <si>
    <t>IMG_6168.jpeg</t>
  </si>
  <si>
    <t>已調整有叮也有噹</t>
  </si>
  <si>
    <t>20250829-010</t>
  </si>
  <si>
    <t>少下方側邊止水條</t>
  </si>
  <si>
    <t>止水條</t>
  </si>
  <si>
    <t>IMG_6167.jpeg</t>
  </si>
  <si>
    <t>image_2296E0D4-F214-4BA4-9993-6726A337DAD6_1756449541_compressed.jpeg</t>
  </si>
  <si>
    <t>20250829-009</t>
  </si>
  <si>
    <t>門鈴只有單音，需要調整</t>
  </si>
  <si>
    <t>20250829-008</t>
  </si>
  <si>
    <t>衣櫃拉門會撞牆 往另一邊拉會太凸出_x000D_
前後都要調整</t>
  </si>
  <si>
    <t xml:space="preserve">IMG_6165.jpeg : https://ap12.ragic.com/sims/file.jsp?a=soutlet001&amp;f=K385Xq3SF9%40IMG_6165.jpeg
IMG_6166.jpeg : https://ap12.ragic.com/sims/file.jsp?a=soutlet001&amp;f=89e0brCbfE%40IMG_6166.jpeg
</t>
  </si>
  <si>
    <t>前後已調整</t>
  </si>
  <si>
    <t>20250829-007</t>
  </si>
  <si>
    <t>門鈴聲音小 只有單音_x000D_
這間有預進</t>
  </si>
  <si>
    <t>IMG_6164.jpeg</t>
  </si>
  <si>
    <t>20250829-006</t>
  </si>
  <si>
    <t>門鈴只有單音_x000D_
這間有預進</t>
  </si>
  <si>
    <t>IMG_6163.jpeg</t>
  </si>
  <si>
    <t>20250829-005</t>
  </si>
  <si>
    <t>房門框需要補漆</t>
  </si>
  <si>
    <t xml:space="preserve">IMG_3521.jpeg : https://ap12.ragic.com/sims/file.jsp?a=soutlet001&amp;f=vW44108572%40IMG_3521.jpeg
IMG_3522.jpeg : https://ap12.ragic.com/sims/file.jsp?a=soutlet001&amp;f=g8hM7hJa3P%40IMG_3522.jpeg
</t>
  </si>
  <si>
    <t>門口補漆完成</t>
  </si>
  <si>
    <t>20250829-004</t>
  </si>
  <si>
    <t>門鈴不響</t>
  </si>
  <si>
    <t>IMG_6161.jpeg</t>
  </si>
  <si>
    <t>20250829-003</t>
  </si>
  <si>
    <t>IMG_6160.jpeg</t>
  </si>
  <si>
    <t>20250829-002</t>
  </si>
  <si>
    <t>門鈴聲音小 只有單音</t>
  </si>
  <si>
    <t>20250829-001</t>
  </si>
  <si>
    <t>IMG_6157.jpeg</t>
  </si>
  <si>
    <t>20250828-019</t>
  </si>
  <si>
    <t>紗簾太短會透光 遮光簾無法全部收回</t>
  </si>
  <si>
    <t>IMG_6155.jpeg</t>
  </si>
  <si>
    <t>20250828-018</t>
  </si>
  <si>
    <t>遮光簾無法完全收上去</t>
  </si>
  <si>
    <t>IMG_6151.jpeg</t>
  </si>
  <si>
    <t>20250828-017</t>
  </si>
  <si>
    <t>門弓器消失了</t>
  </si>
  <si>
    <t>IMG_6150.jpeg</t>
  </si>
  <si>
    <t>門弓器固定完成</t>
  </si>
  <si>
    <t>926.jpg</t>
  </si>
  <si>
    <t>20250828-016</t>
  </si>
  <si>
    <t>20250828-015</t>
  </si>
  <si>
    <t>IMG_6149.jpeg</t>
  </si>
  <si>
    <t>20250828-014</t>
  </si>
  <si>
    <t xml:space="preserve">817 床頭吊燈不亮 </t>
  </si>
  <si>
    <t>1000004053.jpg</t>
  </si>
  <si>
    <t>已更換燈泡</t>
  </si>
  <si>
    <t>20250828-013</t>
  </si>
  <si>
    <t>浴室門怪聲音+卡住</t>
  </si>
  <si>
    <t>image_59EB6C3F-E8B2-4B77-B5C1-B8423271CE1D_1756452810_compressed.jpeg</t>
  </si>
  <si>
    <t>20250828-012</t>
  </si>
  <si>
    <t>門鈴響的話只有叮沒有噹，也很小聲</t>
  </si>
  <si>
    <t>IMG_6145.jpeg</t>
  </si>
  <si>
    <t>20250828-011</t>
  </si>
  <si>
    <t>衣櫃拉門會撞到鏡子需要調整</t>
  </si>
  <si>
    <t>IMG_6144.jpeg</t>
  </si>
  <si>
    <t>image_559FC46C-7475-495A-9F38-DC3BDA7E8150_1756452730_compressed.jpeg</t>
  </si>
  <si>
    <t>20250828-010</t>
  </si>
  <si>
    <t>開關門有聲音 需要調整</t>
  </si>
  <si>
    <t>IMG_6143.jpeg</t>
  </si>
  <si>
    <t>image_B13058AC-B9DB-48BA-8E30-CDF9934155F6_1756452652_compressed.jpeg</t>
  </si>
  <si>
    <t>20250828-009</t>
  </si>
  <si>
    <t>707 洗手台不能儲水 20250828-009</t>
  </si>
  <si>
    <t>image_D69CE241-5202-4EB0-BBB5-D344E7826C2F_1756452552_compressed.jpeg</t>
  </si>
  <si>
    <t>20250828-008</t>
  </si>
  <si>
    <t>房門鈴只有叮沒有噹，間隔一次才會響</t>
  </si>
  <si>
    <t>20250828-007</t>
  </si>
  <si>
    <t>IMG_6141.jpeg</t>
  </si>
  <si>
    <t>image_9D5E8A4D-3019-48F9-BCA7-E708980E8986_1756452576_compressed.jpeg</t>
  </si>
  <si>
    <t>20250828-006</t>
  </si>
  <si>
    <t>稽核房間需要儘速處理：少一個玻璃層板</t>
  </si>
  <si>
    <t>IMG_3495.jpeg</t>
  </si>
  <si>
    <t>房務告知先不需處理</t>
  </si>
  <si>
    <t>20250828-005</t>
  </si>
  <si>
    <t>需要重新打矽利康</t>
  </si>
  <si>
    <t>IMG_6138.jpeg</t>
  </si>
  <si>
    <t>816 silicon已修補，需約4小時乾燥時間。</t>
  </si>
  <si>
    <t>816 silicon已修補，需約4小時乾燥時間。.jpg</t>
  </si>
  <si>
    <t>20250828-004</t>
  </si>
  <si>
    <t>遮光簾需要調整</t>
  </si>
  <si>
    <t>IMG_6137.jpeg</t>
  </si>
  <si>
    <t>已調整處理完成</t>
  </si>
  <si>
    <t>20250828-003</t>
  </si>
  <si>
    <t>淋浴間補系利康</t>
  </si>
  <si>
    <t>矽利康已重打</t>
  </si>
  <si>
    <t xml:space="preserve">1023矽利康已重打1.jpg : https://ap12.ragic.com/sims/file.jsp?a=soutlet001&amp;f=u5J9mhC64U%401023%E7%9F%BD%E5%88%A9%E5%BA%B7%E5%B7%B2%E9%87%8D%E6%89%931.jpg
1023矽利康已重打2.jpg : https://ap12.ragic.com/sims/file.jsp?a=soutlet001&amp;f=1iTp2y9BNm%401023%E7%9F%BD%E5%88%A9%E5%BA%B7%E5%B7%B2%E9%87%8D%E6%89%932.jpg
1023矽利康已重打3.jpg : https://ap12.ragic.com/sims/file.jsp?a=soutlet001&amp;f=x105H55eVO%401023%E7%9F%BD%E5%88%A9%E5%BA%B7%E5%B7%B2%E9%87%8D%E6%89%933.jpg
</t>
  </si>
  <si>
    <t>20250828-002</t>
  </si>
  <si>
    <t>Meg</t>
  </si>
  <si>
    <t>客人反應浴室排水孔有點堵住，不是嚴重的堵塞但是水流下去的很慢。</t>
  </si>
  <si>
    <t>排水已正常</t>
  </si>
  <si>
    <t>20250828-001</t>
  </si>
  <si>
    <t xml:space="preserve">客人反應電視只能看一個頻道無法切換，開關都正常，但其他音量大小聲、切換頻道都無法操作。_x000D_
</t>
  </si>
  <si>
    <t>電視已恢復收視</t>
  </si>
  <si>
    <t>919.jpg</t>
  </si>
  <si>
    <t>20250827-005</t>
  </si>
  <si>
    <t>ANNYA</t>
  </si>
  <si>
    <t>513 冷氣不冷</t>
  </si>
  <si>
    <t>二通閥更新</t>
  </si>
  <si>
    <t>20250827-004</t>
  </si>
  <si>
    <t>房號錯誤</t>
  </si>
  <si>
    <t>IMG_6126.jpeg</t>
  </si>
  <si>
    <t>已調整設定完成</t>
  </si>
  <si>
    <t>add71311-2ab5-481e-b7b9-79abed5bd292.jpeg</t>
  </si>
  <si>
    <t>20250827-003</t>
  </si>
  <si>
    <t>手電筒已更換電池 還是不亮</t>
  </si>
  <si>
    <t>IMG_6125.jpeg</t>
  </si>
  <si>
    <t>1445338e-fbe8-47ca-9cdc-a042a9f67853.jpeg</t>
  </si>
  <si>
    <t>20250827-002</t>
  </si>
  <si>
    <t>止水條需要調整浴室門，整個卡住，很難開啟和關閉</t>
  </si>
  <si>
    <t>20250827-001</t>
  </si>
  <si>
    <t>夜床燈不亮 麻煩檢查一下</t>
  </si>
  <si>
    <t xml:space="preserve">IMG_6122.jpeg : https://ap12.ragic.com/sims/file.jsp?a=soutlet001&amp;f=nrx2ZO8GOI%40IMG_6122.jpeg
IMG_6123.jpeg : https://ap12.ragic.com/sims/file.jsp?a=soutlet001&amp;f=4b59v0hSq6%40IMG_6123.jpeg
IMG_6124.jpeg : https://ap12.ragic.com/sims/file.jsp?a=soutlet001&amp;f=LU0a1s3xML%40IMG_6124.jpeg
</t>
  </si>
  <si>
    <t>間接照明無作用廠商無接線</t>
  </si>
  <si>
    <t>20250826-017</t>
  </si>
  <si>
    <t>603浴室拉簾卡著不能使用</t>
  </si>
  <si>
    <t>S__4169777.jpg</t>
  </si>
  <si>
    <t>浴室拉簾已修復</t>
  </si>
  <si>
    <t>20250826-016</t>
  </si>
  <si>
    <t>523 門鈴問題，不是每次都響，響的話只有叮沒有噹，也很小聲_x000D_
20250826-017</t>
  </si>
  <si>
    <t>已修復好，有叮也有噹</t>
  </si>
  <si>
    <t>20250826-015</t>
  </si>
  <si>
    <t>門鈴接觸不良，有時響，有時不會響，而且聲音非常的微弱斷續</t>
  </si>
  <si>
    <t>20250826-014</t>
  </si>
  <si>
    <t>513 洗手枱不能儲水，沒熱水，出水分叉</t>
  </si>
  <si>
    <t>1000003962.jpg</t>
  </si>
  <si>
    <t>20250826-013</t>
  </si>
  <si>
    <t>水溝蓋不平整</t>
  </si>
  <si>
    <t>倒過來踩已修復</t>
  </si>
  <si>
    <t>20250826-012</t>
  </si>
  <si>
    <t>HDMI 1無信號</t>
  </si>
  <si>
    <t>IMG_3430.jpeg</t>
  </si>
  <si>
    <t>702.jpg</t>
  </si>
  <si>
    <t>20250826-011</t>
  </si>
  <si>
    <t>522 對外窗遮光簾卡著、歪掉</t>
  </si>
  <si>
    <t xml:space="preserve">1000003958.jpg : https://ap12.ragic.com/sims/file.jsp?a=soutlet001&amp;f=Xo5C142Q1t%401000003958.jpg
1000003957.jpg : https://ap12.ragic.com/sims/file.jsp?a=soutlet001&amp;f=onSi3k0N7H%401000003957.jpg
</t>
  </si>
  <si>
    <t>20250826-010</t>
  </si>
  <si>
    <t>601 浴缸零件掉落 再麻煩大哥們 謝謝</t>
  </si>
  <si>
    <t>S__4325420.jpg</t>
  </si>
  <si>
    <t>20250826-009</t>
  </si>
  <si>
    <t>蓮蓬頭下方固定蓋鬆脫</t>
  </si>
  <si>
    <t>20250826-008</t>
  </si>
  <si>
    <t>912 續住 馬桶零件斷掉 房務員正在續掃 再麻煩大哥們 謝謝</t>
  </si>
  <si>
    <t>S__9011223.jpg</t>
  </si>
  <si>
    <t>20250826-007</t>
  </si>
  <si>
    <t>洗手槽已重新固定</t>
  </si>
  <si>
    <t>707.jpg</t>
  </si>
  <si>
    <t>20250826-006</t>
  </si>
  <si>
    <t>1029 冷氣不冷 20250826-006</t>
  </si>
  <si>
    <t>20250826-005</t>
  </si>
  <si>
    <t>貓眼卡住睜不開</t>
  </si>
  <si>
    <t>20250826-004</t>
  </si>
  <si>
    <t xml:space="preserve">601 牆壁裂縫 補土重漆 已退 髒房 再麻煩大哥們 謝謝 </t>
  </si>
  <si>
    <t>S__4440239.jpg</t>
  </si>
  <si>
    <t>補土完成</t>
  </si>
  <si>
    <t>20250826-003</t>
  </si>
  <si>
    <t>冷氣不冷，請查看</t>
  </si>
  <si>
    <t>20250826-002</t>
  </si>
  <si>
    <t>812 續住 洗手槽水塞彈不起來 再麻煩大哥們 謝謝</t>
  </si>
  <si>
    <t>428986.jpg</t>
  </si>
  <si>
    <t>房務已自行確認OK不須派工</t>
  </si>
  <si>
    <t>20250826-001</t>
  </si>
  <si>
    <t>GSM</t>
  </si>
  <si>
    <t>客反映電視無法關閉，麻煩協助查看</t>
  </si>
  <si>
    <t>遙控器已更換電池後正常</t>
  </si>
  <si>
    <t>507.jpg</t>
  </si>
  <si>
    <t>20250825-011</t>
  </si>
  <si>
    <t>側邊止水條斷掉需更換</t>
  </si>
  <si>
    <t>IMG_6103.jpeg</t>
  </si>
  <si>
    <t>側止水條已處理好了</t>
  </si>
  <si>
    <t>20250825-010</t>
  </si>
  <si>
    <t>923 洗手枱會移動需要固定</t>
  </si>
  <si>
    <t>已用矽力康固定</t>
  </si>
  <si>
    <t>20250825-009</t>
  </si>
  <si>
    <t>Minibar 後方磁磚填縫</t>
  </si>
  <si>
    <t>IMG_6100.jpeg</t>
  </si>
  <si>
    <t>矽利康補好</t>
  </si>
  <si>
    <t>623.jpg</t>
  </si>
  <si>
    <t>20250825-008</t>
  </si>
  <si>
    <t>無法放到底</t>
  </si>
  <si>
    <t>20250825-007</t>
  </si>
  <si>
    <t>717 淋浴間排水孔 須重打矽利康 再麻煩大哥 謝謝</t>
  </si>
  <si>
    <t>351679.jpg</t>
  </si>
  <si>
    <t>速利康已重新打</t>
  </si>
  <si>
    <t xml:space="preserve">717 (2).jpg : https://ap12.ragic.com/sims/file.jsp?a=soutlet001&amp;f=7Vpe1u3p2K%40717+%282%29.jpg
717 (3).jpg : https://ap12.ragic.com/sims/file.jsp?a=soutlet001&amp;f=bv5ylzdVd9%40717+%283%29.jpg
717 (4).jpg : https://ap12.ragic.com/sims/file.jsp?a=soutlet001&amp;f=48rycmN290%40717+%284%29.jpg
717 (1).jpg : https://ap12.ragic.com/sims/file.jsp?a=soutlet001&amp;f=oh8QtpuLGW%40717+%281%29.jpg
</t>
  </si>
  <si>
    <t>20250825-006</t>
  </si>
  <si>
    <t>927 免治馬桶缺零件 有預進</t>
  </si>
  <si>
    <t>1000003856.jpg</t>
  </si>
  <si>
    <t>零件已調整好</t>
  </si>
  <si>
    <t>927.jpg</t>
  </si>
  <si>
    <t>20250825-005</t>
  </si>
  <si>
    <t>衣櫃拉門會撞到鏡子，拉另外一邊會太突出前後都需要調整</t>
  </si>
  <si>
    <t xml:space="preserve">IMG_6098.jpeg : https://ap12.ragic.com/sims/file.jsp?a=soutlet001&amp;f=yBCx9mglxG%40IMG_6098.jpeg
IMG_6099.jpeg : https://ap12.ragic.com/sims/file.jsp?a=soutlet001&amp;f=Hl9eIzV4Jo%40IMG_6099.jpeg
</t>
  </si>
  <si>
    <t>衣櫃門已調整固定完成</t>
  </si>
  <si>
    <t>525.jpg</t>
  </si>
  <si>
    <t>20250825-004</t>
  </si>
  <si>
    <t>HDMI 1 顯示房號錯誤</t>
  </si>
  <si>
    <t>IMG_6097.jpeg</t>
  </si>
  <si>
    <t>機上盒故障，等換系統</t>
  </si>
  <si>
    <t>20250825-003</t>
  </si>
  <si>
    <t>823 水塞不能回彈 有預進</t>
  </si>
  <si>
    <t>水塞修復完成</t>
  </si>
  <si>
    <t>20250825-002</t>
  </si>
  <si>
    <t>周德源</t>
  </si>
  <si>
    <t>minibar 上方的燈 會搖晃 再麻煩了 謝謝</t>
  </si>
  <si>
    <t>20250825-001</t>
  </si>
  <si>
    <t>碎紙機卡紙 無法啟動</t>
  </si>
  <si>
    <t>已協助修復完成</t>
  </si>
  <si>
    <t>20250824-008</t>
  </si>
  <si>
    <t>810 連通門難鎖難開難拔鑰匙+無限轉</t>
  </si>
  <si>
    <t>已重新打開</t>
  </si>
  <si>
    <t>20250824-007</t>
  </si>
  <si>
    <t>HDMI 1無信號，已經拔卡試過2次了</t>
  </si>
  <si>
    <t>IMG_6084.jpeg</t>
  </si>
  <si>
    <t>電視已正常收視</t>
  </si>
  <si>
    <t>518.jpg</t>
  </si>
  <si>
    <t>20250824-006</t>
  </si>
  <si>
    <t>917 水龍頭沒有出水轉頭 有預進</t>
  </si>
  <si>
    <t>S__8986693.jpg</t>
  </si>
  <si>
    <t>副總工已安裝完成</t>
  </si>
  <si>
    <t>917.jpg</t>
  </si>
  <si>
    <t>20250824-005</t>
  </si>
  <si>
    <t>910 _x000D_
門鈴不會響</t>
  </si>
  <si>
    <t>電鈴已調整好</t>
  </si>
  <si>
    <t>20250824-004</t>
  </si>
  <si>
    <t>電視房號不對</t>
  </si>
  <si>
    <t>IMG_3362.jpeg</t>
  </si>
  <si>
    <t>副總工已調整完成</t>
  </si>
  <si>
    <t>708.jpg</t>
  </si>
  <si>
    <t>20250824-003</t>
  </si>
  <si>
    <t>827 房內桌子搖晃 有預進</t>
  </si>
  <si>
    <t>20250824-002</t>
  </si>
  <si>
    <t>客用電梯卡在4樓</t>
  </si>
  <si>
    <t>換零件 控制間距滾輪</t>
  </si>
  <si>
    <t>20250824-001</t>
  </si>
  <si>
    <t>HDMI 1  有誤（電卡已經差拔兩次更新無效）</t>
  </si>
  <si>
    <t xml:space="preserve">IMG_3350.jpeg : https://ap12.ragic.com/sims/file.jsp?a=soutlet001&amp;f=m6G4bm903V%40IMG_3350.jpeg
IMG_3341.jpeg : https://ap12.ragic.com/sims/file.jsp?a=soutlet001&amp;f=8Lg9209aF9%40IMG_3341.jpeg
</t>
  </si>
  <si>
    <t>20250823-004</t>
  </si>
  <si>
    <t>929 淋浴間要重打矽利康 再麻煩大哥們 謝謝</t>
  </si>
  <si>
    <t>重新施打矽利康完成</t>
  </si>
  <si>
    <t>63464.jpg</t>
  </si>
  <si>
    <t>20250823-003</t>
  </si>
  <si>
    <t>929 浴缸出水的在搖晃 需要固定 有預進 再麻煩大哥們了 謝謝</t>
  </si>
  <si>
    <t>20250823-002</t>
  </si>
  <si>
    <t>IMG_6064.jpeg</t>
  </si>
  <si>
    <t>清除灰塵後製冷效果恢復</t>
  </si>
  <si>
    <t>63454.jpg</t>
  </si>
  <si>
    <t>20250823-001</t>
  </si>
  <si>
    <t>913 淋浴間天花板板子掉下來</t>
  </si>
  <si>
    <t>S__8937526.jpg</t>
  </si>
  <si>
    <t>63416.jpg</t>
  </si>
  <si>
    <t>20250822-006</t>
  </si>
  <si>
    <t>門鈴不會響</t>
  </si>
  <si>
    <t>移裝位置測試良好</t>
  </si>
  <si>
    <t>20250822-005</t>
  </si>
  <si>
    <t>HK周</t>
  </si>
  <si>
    <t xml:space="preserve">1030 天花板燈有閃 (有預進) </t>
  </si>
  <si>
    <t>狀況良好無異常</t>
  </si>
  <si>
    <t>20250822-004</t>
  </si>
  <si>
    <t>馬桶上方的燈不亮</t>
  </si>
  <si>
    <t>IMG_6053.jpeg</t>
  </si>
  <si>
    <t>63399.jpg</t>
  </si>
  <si>
    <t>20250822-003</t>
  </si>
  <si>
    <t>浴室輔助椅螺絲鬆脫</t>
  </si>
  <si>
    <t>63388.jpg</t>
  </si>
  <si>
    <t>20250822-002</t>
  </si>
  <si>
    <t>要補下方的側邊止水條</t>
  </si>
  <si>
    <t>IMG_6052.jpeg</t>
  </si>
  <si>
    <t>R816換 已裝好</t>
  </si>
  <si>
    <t>63373.jpg</t>
  </si>
  <si>
    <t>20250822-001</t>
  </si>
  <si>
    <t>燈罩破損</t>
  </si>
  <si>
    <t>35439.jpg</t>
  </si>
  <si>
    <t>62667.jpg</t>
  </si>
  <si>
    <t>20250821-009</t>
  </si>
  <si>
    <t>IMG_6047.jpeg</t>
  </si>
  <si>
    <t>重新上鎖完成</t>
  </si>
  <si>
    <t>63283.jpg</t>
  </si>
  <si>
    <t>20250821-008</t>
  </si>
  <si>
    <t>空調有消毒味_x000D_
早上關掉 下午沒味道 _x000D_
再打開消毒味又噴出</t>
  </si>
  <si>
    <t>臭氧機先行分解待觀察</t>
  </si>
  <si>
    <t>20250821-007</t>
  </si>
  <si>
    <t>電話沒聲音</t>
  </si>
  <si>
    <t>S__27377756.jpg</t>
  </si>
  <si>
    <t>20250821-006</t>
  </si>
  <si>
    <t>洗手槽水龍頭橡膠斷裂突出（VIP客續住）客不在，查房中，可以麻煩請派人上來</t>
  </si>
  <si>
    <t>IMG_3227.jpeg</t>
  </si>
  <si>
    <t>更換橡膠後使用正常</t>
  </si>
  <si>
    <t>63311.jpg</t>
  </si>
  <si>
    <t>20250821-005</t>
  </si>
  <si>
    <t>蓮蓬頭下方蓋子鬆脫</t>
  </si>
  <si>
    <t>IMG_3222.jpeg</t>
  </si>
  <si>
    <t>S__27377730.jpg</t>
  </si>
  <si>
    <t>20250821-004</t>
  </si>
  <si>
    <t>電卡已經插拔過了，電視還是沒有恢復！！_x000D_
右上角的時間不對。</t>
  </si>
  <si>
    <t>IMG_3214.jpeg</t>
  </si>
  <si>
    <t>重新設置後正常</t>
  </si>
  <si>
    <t>S__27377684.jpg</t>
  </si>
  <si>
    <t>20250821-003</t>
  </si>
  <si>
    <t>IMG_6040.jpeg</t>
  </si>
  <si>
    <t>清理冰箱鰭片冷度正常</t>
  </si>
  <si>
    <t>S__27377688.jpg</t>
  </si>
  <si>
    <t>20250821-002</t>
  </si>
  <si>
    <t>衣櫃拉門會撞到鏡子 要調整</t>
  </si>
  <si>
    <t>IMG_6039.jpeg</t>
  </si>
  <si>
    <t>S__27377681.jpg</t>
  </si>
  <si>
    <t>20250821-001</t>
  </si>
  <si>
    <t>上方軌道開門時會有異音_x000D_
麻煩檢查一下</t>
  </si>
  <si>
    <t>IMG_6036.jpeg</t>
  </si>
  <si>
    <t>已上潤滑油測試無異音</t>
  </si>
  <si>
    <t>20250820-010</t>
  </si>
  <si>
    <t>無法上鎖</t>
  </si>
  <si>
    <t>門鎖查看正常</t>
  </si>
  <si>
    <t>20250820-009</t>
  </si>
  <si>
    <t>冷氣出風口15.4度</t>
  </si>
  <si>
    <t>20250820-008</t>
  </si>
  <si>
    <t>洗手槽會移位</t>
  </si>
  <si>
    <t>重新打矽利康固定</t>
  </si>
  <si>
    <t>20250820-007</t>
  </si>
  <si>
    <t>電視顯示時間錯誤</t>
  </si>
  <si>
    <t>20250820-006</t>
  </si>
  <si>
    <t>冰箱不冷、房內冷氣不冷</t>
  </si>
  <si>
    <t>冰箱後面清理完 6度</t>
  </si>
  <si>
    <t>63209.jpg</t>
  </si>
  <si>
    <t>20250820-005</t>
  </si>
  <si>
    <t>冰箱不冷 麻煩確認一下</t>
  </si>
  <si>
    <t>IMG_6028.jpeg</t>
  </si>
  <si>
    <t>冰箱後面清理完是5度</t>
  </si>
  <si>
    <t>63215.jpg</t>
  </si>
  <si>
    <t>20250820-004</t>
  </si>
  <si>
    <t>電視右上角時間不對</t>
  </si>
  <si>
    <t>IMG_3173.jpeg</t>
  </si>
  <si>
    <t>電視已修復完成，麻煩下次斷電後就可回復正常</t>
  </si>
  <si>
    <t>63190.jpg</t>
  </si>
  <si>
    <t>20250820-003</t>
  </si>
  <si>
    <t>電視不能用</t>
  </si>
  <si>
    <t>重置調整完成</t>
  </si>
  <si>
    <t>S__27361355.jpg</t>
  </si>
  <si>
    <t>20250820-002</t>
  </si>
  <si>
    <t>IMG_6027.jpeg</t>
  </si>
  <si>
    <t>冰箱用816房已換好</t>
  </si>
  <si>
    <t>20250820-001</t>
  </si>
  <si>
    <t>衣櫃拉門需要調整_x000D_
有預進 請先處理</t>
  </si>
  <si>
    <t>IMG_6026.jpeg</t>
  </si>
  <si>
    <t>衣櫃門已調整</t>
  </si>
  <si>
    <t xml:space="preserve">63206_0.jpg : https://ap12.ragic.com/sims/file.jsp?a=soutlet001&amp;f=P18fLQ0cAs%4063206_0.jpg
63207_0.jpg : https://ap12.ragic.com/sims/file.jsp?a=soutlet001&amp;f=ZFMa6AxAJ4%4063207_0.jpg
</t>
  </si>
  <si>
    <t>20250819-012</t>
  </si>
  <si>
    <t>房內電視右上角時間不對</t>
  </si>
  <si>
    <t>IMG_3155.jpeg</t>
  </si>
  <si>
    <t>20250819-011</t>
  </si>
  <si>
    <t>水管積水</t>
  </si>
  <si>
    <t>IMG_3154.jpeg</t>
  </si>
  <si>
    <t>水管已通</t>
  </si>
  <si>
    <t>20250819-010</t>
  </si>
  <si>
    <t>825 浴室 這個掉下來了  再麻煩了 謝謝</t>
  </si>
  <si>
    <t>S__50077770.jpg</t>
  </si>
  <si>
    <t>副總工已鎖緊</t>
  </si>
  <si>
    <t>20250819-009</t>
  </si>
  <si>
    <t>床頭閱讀燈左右相反</t>
  </si>
  <si>
    <t>副總工已調整</t>
  </si>
  <si>
    <t>20250819-008</t>
  </si>
  <si>
    <t>IMG_3147.jpeg</t>
  </si>
  <si>
    <t>副總工電視已調整</t>
  </si>
  <si>
    <t>20250819-007</t>
  </si>
  <si>
    <t>浴簾捲上去卷軸下不來了</t>
  </si>
  <si>
    <t>IMG_3146.jpeg</t>
  </si>
  <si>
    <t>20250819-006</t>
  </si>
  <si>
    <t>浴室拉門手把鬆脫</t>
  </si>
  <si>
    <t>IMG_3144.jpeg</t>
  </si>
  <si>
    <t>20250819-005</t>
  </si>
  <si>
    <t>浴室拉門下面的蝴蝶扣會晃動有異音</t>
  </si>
  <si>
    <t>已經調整</t>
  </si>
  <si>
    <t>20250819-004</t>
  </si>
  <si>
    <t>IMG_3139.jpeg</t>
  </si>
  <si>
    <t>副總工已鎖緊完成</t>
  </si>
  <si>
    <t>20250819-003</t>
  </si>
  <si>
    <t>房門口壁紙翹起，需黏貼</t>
  </si>
  <si>
    <t xml:space="preserve">IMG_3138.jpeg : https://ap12.ragic.com/sims/file.jsp?a=soutlet001&amp;f=1O6t27VDZ6%40IMG_3138.jpeg
IMG_3137.jpeg : https://ap12.ragic.com/sims/file.jsp?a=soutlet001&amp;f=JfUxb24m1u%40IMG_3137.jpeg
</t>
  </si>
  <si>
    <t xml:space="preserve">601門口壁紙已黏上_x000D_
_x000D_
</t>
  </si>
  <si>
    <t>20250819-002</t>
  </si>
  <si>
    <t>冷氣不冷「有預進」</t>
  </si>
  <si>
    <t>副總工檢修出風12度</t>
  </si>
  <si>
    <t>20250819-001</t>
  </si>
  <si>
    <t>電視鏡射無法使用</t>
  </si>
  <si>
    <t>副總工檢修正常</t>
  </si>
  <si>
    <t>20250818-013</t>
  </si>
  <si>
    <t>723 房門外黑色木皮脫落</t>
  </si>
  <si>
    <t xml:space="preserve">S__8749201_0.jpg : https://ap12.ragic.com/sims/file.jsp?a=soutlet001&amp;f=Ban9dY2T3s%40S__8749201_0.jpg
S__8749202_0.jpg : https://ap12.ragic.com/sims/file.jsp?a=soutlet001&amp;f=hDHjmKzrGR%40S__8749202_0.jpg
</t>
  </si>
  <si>
    <t>副總工已補漆完成</t>
  </si>
  <si>
    <t>20250818-012</t>
  </si>
  <si>
    <t>IMG_3120.jpeg</t>
  </si>
  <si>
    <t>20250818-011</t>
  </si>
  <si>
    <t>左側閱讀燈「按扭」：是亮「天花板右側」的閱讀燈_x000D_
_x000D_
右側閱讀燈按鈕：是亮點天花板左側的閱讀燈</t>
  </si>
  <si>
    <t>20250818-010</t>
  </si>
  <si>
    <t>衣櫃拉門需要調整</t>
  </si>
  <si>
    <t xml:space="preserve">IMG_6017.jpeg : https://ap12.ragic.com/sims/file.jsp?a=soutlet001&amp;f=f0Om5JWYh5%40IMG_6017.jpeg
IMG_6016.jpeg : https://ap12.ragic.com/sims/file.jsp?a=soutlet001&amp;f=c94vzTBxj2%40IMG_6016.jpeg
</t>
  </si>
  <si>
    <t xml:space="preserve">已調整完成	</t>
  </si>
  <si>
    <t>20250818-009</t>
  </si>
  <si>
    <t>浴室拉門手把鬆，需要調整</t>
  </si>
  <si>
    <t>IMG_3117.jpeg</t>
  </si>
  <si>
    <t>20250818-008</t>
  </si>
  <si>
    <t>牆壁裂痕，麻煩補漆</t>
  </si>
  <si>
    <t>IMG_3114.jpeg</t>
  </si>
  <si>
    <t>20250818-007</t>
  </si>
  <si>
    <t>止水閥塞住</t>
  </si>
  <si>
    <t xml:space="preserve">查看正常	</t>
  </si>
  <si>
    <t>20250818-006</t>
  </si>
  <si>
    <t>IMG_3112.jpeg</t>
  </si>
  <si>
    <t>時間已重新設定完成</t>
  </si>
  <si>
    <t>20250818-005</t>
  </si>
  <si>
    <t>電視下方木櫃需要貼皮</t>
  </si>
  <si>
    <t>IMG_6007.jpeg</t>
  </si>
  <si>
    <t>缺木頭色貼皮</t>
  </si>
  <si>
    <t>20250818-004</t>
  </si>
  <si>
    <t>711 洗手槽水塞不容易回彈 有預進 VIP 客人</t>
  </si>
  <si>
    <t>20250818-003</t>
  </si>
  <si>
    <t xml:space="preserve">710 HDMI 1 沒有畫面 有預進 VIP 客人 </t>
  </si>
  <si>
    <t>S__8740877.jpg</t>
  </si>
  <si>
    <t>重新設定完成</t>
  </si>
  <si>
    <t>S__27328550.jpg</t>
  </si>
  <si>
    <t>20250818-002</t>
  </si>
  <si>
    <t>客房內上方的燈帶亮度不夠亮 麻煩確認一下是不是要更換</t>
  </si>
  <si>
    <t xml:space="preserve">IMG_5997.jpeg : https://ap12.ragic.com/sims/file.jsp?a=soutlet001&amp;f=PPcWle8Z0s%40IMG_5997.jpeg
IMG_5996.jpeg : https://ap12.ragic.com/sims/file.jsp?a=soutlet001&amp;f=sTdjyAb5ac%40IMG_5996.jpeg
</t>
  </si>
  <si>
    <t>已重新調整正常</t>
  </si>
  <si>
    <t>20250818-001</t>
  </si>
  <si>
    <t>503 門口 燈沒有亮</t>
  </si>
  <si>
    <t>S__116662333.jpg</t>
  </si>
  <si>
    <t>63086.jpg</t>
  </si>
  <si>
    <t>20250817-011</t>
  </si>
  <si>
    <t>920 兩邊的閱讀燈方向需要調整</t>
  </si>
  <si>
    <t>1000003491.jpg</t>
  </si>
  <si>
    <t>8/18 主管檢查已確認OK</t>
  </si>
  <si>
    <t>20250817-010</t>
  </si>
  <si>
    <t xml:space="preserve">601 左邊洗手台排水不良_x000D_
</t>
  </si>
  <si>
    <t>20250817-009</t>
  </si>
  <si>
    <t>603 浴簾卡住 再麻煩了 謝謝</t>
  </si>
  <si>
    <t>60960.jpg</t>
  </si>
  <si>
    <t>20250817-008</t>
  </si>
  <si>
    <t>衣櫥拉門會撞到鏡子 需要調整</t>
  </si>
  <si>
    <t>衣櫃鐵拉門</t>
  </si>
  <si>
    <t>IMG_5978.jpeg</t>
  </si>
  <si>
    <t>60747.jpg</t>
  </si>
  <si>
    <t>20250817-007</t>
  </si>
  <si>
    <t>遮光簾過長需要調整</t>
  </si>
  <si>
    <t>IMG_5976.jpeg</t>
  </si>
  <si>
    <t>62790.jpg</t>
  </si>
  <si>
    <t>20250817-006</t>
  </si>
  <si>
    <t>517 衣櫥拉門會撞到鏡子 需要調整</t>
  </si>
  <si>
    <t>62804.jpg</t>
  </si>
  <si>
    <t>20250817-005</t>
  </si>
  <si>
    <t>725 浴室門把後側鬆脫 有預進</t>
  </si>
  <si>
    <t>20250817-004</t>
  </si>
  <si>
    <t>洗手台出水效果分叉 20250817-004</t>
  </si>
  <si>
    <t>1000003468.jpg</t>
  </si>
  <si>
    <t>已更換新品完成</t>
  </si>
  <si>
    <t>62783.jpg</t>
  </si>
  <si>
    <t>20250817-003</t>
  </si>
  <si>
    <t>626 續住 洗手槽止水塞 彈不起來 目前客人不再 再麻煩了 感謝</t>
  </si>
  <si>
    <t xml:space="preserve">209955_0.jpg : https://ap12.ragic.com/sims/file.jsp?a=soutlet001&amp;f=TLIrbDrC2K%40209955_0.jpg
209956_0.jpg : https://ap12.ragic.com/sims/file.jsp?a=soutlet001&amp;f=Zk7qv350a0%40209956_0.jpg
</t>
  </si>
  <si>
    <t>62763.jpg</t>
  </si>
  <si>
    <t>20250817-002</t>
  </si>
  <si>
    <t>519 續住 需更換房門電池 我們正在續掃 再麻煩大哥們 謝謝</t>
  </si>
  <si>
    <t>已更換電池完成</t>
  </si>
  <si>
    <t>62760.jpg</t>
  </si>
  <si>
    <t>20250817-001</t>
  </si>
  <si>
    <t>925 冷氣不冷</t>
  </si>
  <si>
    <t>關閉熱水閥</t>
  </si>
  <si>
    <t>20250816-007</t>
  </si>
  <si>
    <t>IMG_5961.jpeg</t>
  </si>
  <si>
    <t>62692.jpg</t>
  </si>
  <si>
    <t>20250816-006</t>
  </si>
  <si>
    <t>609 電視沒訊號 20250816-006</t>
  </si>
  <si>
    <t>S__4161607.jpg</t>
  </si>
  <si>
    <t>訊號線掉落插回後正常</t>
  </si>
  <si>
    <t>62666.jpg</t>
  </si>
  <si>
    <t>20250816-005</t>
  </si>
  <si>
    <t>609 床頭燈罩破損 20250816-005</t>
  </si>
  <si>
    <t>S__4161601.jpg</t>
  </si>
  <si>
    <t>已完成更換</t>
  </si>
  <si>
    <t>20250816-004</t>
  </si>
  <si>
    <t>江敏豪</t>
  </si>
  <si>
    <t>709電視掛架插銷 20250816-004</t>
  </si>
  <si>
    <t>171236.jpg</t>
  </si>
  <si>
    <t>20250816-003</t>
  </si>
  <si>
    <t>629 靠窗射燈閃爍</t>
  </si>
  <si>
    <t>S__48611332.jpg</t>
  </si>
  <si>
    <t>更新完成</t>
  </si>
  <si>
    <t>62655.jpg</t>
  </si>
  <si>
    <t>20250816-002</t>
  </si>
  <si>
    <t>林富彥</t>
  </si>
  <si>
    <t>客人告知電話沒電 無法撥電話</t>
  </si>
  <si>
    <t>更換電話電池完成</t>
  </si>
  <si>
    <t>20250816-001</t>
  </si>
  <si>
    <t>已關閉熱水閥</t>
  </si>
  <si>
    <t>20250815-015</t>
  </si>
  <si>
    <t xml:space="preserve">722 門弓器需要調整 關門速度過快 </t>
  </si>
  <si>
    <t>20250815-014</t>
  </si>
  <si>
    <t>803 客房紗簾卡著 20250815-014</t>
  </si>
  <si>
    <t>1000003276.jpg</t>
  </si>
  <si>
    <t>20250815-013</t>
  </si>
  <si>
    <t>遮光簾無法完全收起來</t>
  </si>
  <si>
    <t>IMG_5952.jpeg</t>
  </si>
  <si>
    <t>20250815-012</t>
  </si>
  <si>
    <t xml:space="preserve">725 冰箱櫃要貼木皮 </t>
  </si>
  <si>
    <t>S__4325642.jpg</t>
  </si>
  <si>
    <t>冰箱旁貼皮完成</t>
  </si>
  <si>
    <t>20250815-011</t>
  </si>
  <si>
    <t>側邊止水條需更換</t>
  </si>
  <si>
    <t>IMG_5950.jpeg</t>
  </si>
  <si>
    <t>側止水條和下止水條都已更換</t>
  </si>
  <si>
    <t>20250815-010</t>
  </si>
  <si>
    <t>閱讀燈方向需要調整 20250815-010</t>
  </si>
  <si>
    <t>1000003269.jpg</t>
  </si>
  <si>
    <t>20250815-009</t>
  </si>
  <si>
    <t>IMG_5949.jpeg</t>
  </si>
  <si>
    <t>20250815-008</t>
  </si>
  <si>
    <t>止水條斷裂，需更換</t>
  </si>
  <si>
    <t>IMG_5946.jpeg</t>
  </si>
  <si>
    <t>20250815-007</t>
  </si>
  <si>
    <t>725 固定蓮蓬頭的架掉落 再麻煩大哥們 謝謝</t>
  </si>
  <si>
    <t>S__4137019.jpg</t>
  </si>
  <si>
    <t>S__27263086.jpg</t>
  </si>
  <si>
    <t>20250815-006</t>
  </si>
  <si>
    <t>510 浴室輔助座椅鐵架鬆脫，另外一邊鐵架不見了 客人到了 再麻煩大哥們 謝謝</t>
  </si>
  <si>
    <t>S__8667257.jpg</t>
  </si>
  <si>
    <t>輔助椅已鎖緊固定</t>
  </si>
  <si>
    <t>20250815-005</t>
  </si>
  <si>
    <t xml:space="preserve">810 連通門還是無法鎖上 </t>
  </si>
  <si>
    <t>20250815-004</t>
  </si>
  <si>
    <t>20250815-003</t>
  </si>
  <si>
    <t>房間電話拿起來沒有連接音的嘟嘟聲_x000D_
可能要換電池</t>
  </si>
  <si>
    <t>IMG_5943.jpeg</t>
  </si>
  <si>
    <t>電話線被扯斷 先拆815更換</t>
  </si>
  <si>
    <t>20250815-002</t>
  </si>
  <si>
    <t>916洗臉盆水塞彈不起來</t>
  </si>
  <si>
    <t>426092.jpg</t>
  </si>
  <si>
    <t>20250815-001</t>
  </si>
  <si>
    <t xml:space="preserve">1018 已退 櫃子需要貼黏 補單 </t>
  </si>
  <si>
    <t xml:space="preserve">S__4268127_0.jpg : https://ap12.ragic.com/sims/file.jsp?a=soutlet001&amp;f=r8RSd8d81r%40S__4268127_0.jpg
S__4268128_0.jpg : https://ap12.ragic.com/sims/file.jsp?a=soutlet001&amp;f=dB54byyIvv%40S__4268128_0.jpg
</t>
  </si>
  <si>
    <t>20250814-013</t>
  </si>
  <si>
    <t>523 地磚裂</t>
  </si>
  <si>
    <t>170348.jpg</t>
  </si>
  <si>
    <t>施打矽利康完成修補</t>
  </si>
  <si>
    <t>20250814-012</t>
  </si>
  <si>
    <t>20250814-011</t>
  </si>
  <si>
    <t>823 一進門地板異音</t>
  </si>
  <si>
    <t>輕微生不影響</t>
  </si>
  <si>
    <t>20250814-010</t>
  </si>
  <si>
    <t>20250814-009</t>
  </si>
  <si>
    <t>HDMI 1沒有信號</t>
  </si>
  <si>
    <t>20250814-008</t>
  </si>
  <si>
    <t>洗手槽止水閥塞住</t>
  </si>
  <si>
    <t>62334.jpg</t>
  </si>
  <si>
    <t>20250814-007</t>
  </si>
  <si>
    <t>止水條斷裂需更換</t>
  </si>
  <si>
    <t>20250814-006</t>
  </si>
  <si>
    <t>826 吊燈掉下來了 再麻煩大哥們 謝謝</t>
  </si>
  <si>
    <t>86898.jpg</t>
  </si>
  <si>
    <t>20250814-005</t>
  </si>
  <si>
    <t>電視顯示「房間號」錯誤</t>
  </si>
  <si>
    <t>20250814-004</t>
  </si>
  <si>
    <t>請「更換」止水條，請不要用速力控去黏_x000D_
請更換新的止水條</t>
  </si>
  <si>
    <t>更換新品完成</t>
  </si>
  <si>
    <t>20250814-003</t>
  </si>
  <si>
    <t xml:space="preserve">房務部辦公室的電風扇零件斷掉 </t>
  </si>
  <si>
    <t xml:space="preserve">701181_0.jpg : https://ap12.ragic.com/sims/file.jsp?a=soutlet001&amp;f=RO0gM6ccC0%40701181_0.jpg
701182_0.jpg : https://ap12.ragic.com/sims/file.jsp?a=soutlet001&amp;f=1yFpeIvgvR%40701182_0.jpg
701183_0.jpg : https://ap12.ragic.com/sims/file.jsp?a=soutlet001&amp;f=rSY9LD6z33%40701183_0.jpg
</t>
  </si>
  <si>
    <t>零件斷掉用束帶綁住</t>
  </si>
  <si>
    <t>20250814-002</t>
  </si>
  <si>
    <t>912 馬桶零件掉落 再麻煩大哥們 謝謝</t>
  </si>
  <si>
    <t>S__8716301.jpg</t>
  </si>
  <si>
    <t>20250814-001</t>
  </si>
  <si>
    <t>浴室馬桶上方崁燈漏水</t>
  </si>
  <si>
    <t>集水盤的水已吸乾，因水量很小，吸乾後仍可賣房，後續副總工會請廠商重新接管。</t>
  </si>
  <si>
    <t>20250813-006</t>
  </si>
  <si>
    <t xml:space="preserve">910 淋浴間止水條翹起 </t>
  </si>
  <si>
    <t>1000004086.jpg</t>
  </si>
  <si>
    <t>已用矽力康固定，待3小時後乾，勿開關門觸碰，待乾後將白色膠帶撕下即可</t>
  </si>
  <si>
    <t>20250813-005</t>
  </si>
  <si>
    <t>已用矽力康固定，待3小時後乾，勿開關門觸碰</t>
  </si>
  <si>
    <t>20250813-004</t>
  </si>
  <si>
    <t>1023 空房電話 一直嘟嘟聲 可能要換一下電池看看 謝謝</t>
  </si>
  <si>
    <t>1000004084.jpg</t>
  </si>
  <si>
    <t>20250813-003</t>
  </si>
  <si>
    <t>房門膠條鬆脫</t>
  </si>
  <si>
    <t>IMG_2944.jpeg</t>
  </si>
  <si>
    <t>20250813-002</t>
  </si>
  <si>
    <t>1。浴室浴簾捲進去拉不下來。_x000D_
2。浴室門內側手把鬆弛。</t>
  </si>
  <si>
    <t>IMG_2935.jpeg</t>
  </si>
  <si>
    <t>20250813-001</t>
  </si>
  <si>
    <t>鐵櫃門需要調整，開啟的位置沒有完全到位</t>
  </si>
  <si>
    <t>20250812-010</t>
  </si>
  <si>
    <t>HDMI 2畫面當掉</t>
  </si>
  <si>
    <t>IMG_5929.jpeg</t>
  </si>
  <si>
    <t>20250812-009</t>
  </si>
  <si>
    <t xml:space="preserve">710 水塞橡膠環斷裂_x000D_
</t>
  </si>
  <si>
    <t>710止水塞已更新</t>
  </si>
  <si>
    <t>62054.jpg</t>
  </si>
  <si>
    <t>20250812-008</t>
  </si>
  <si>
    <t xml:space="preserve">HSKP </t>
  </si>
  <si>
    <t>客廳電視後方短的紗簾過長_x000D_
需調整</t>
  </si>
  <si>
    <t>IMG_5928.jpeg</t>
  </si>
  <si>
    <t>601電動窗簾已調整完成</t>
  </si>
  <si>
    <t>20250812-007</t>
  </si>
  <si>
    <t>紗簾跟厚窗簾過長 需調整</t>
  </si>
  <si>
    <t xml:space="preserve">IMG_5922.jpeg : https://ap12.ragic.com/sims/file.jsp?a=soutlet001&amp;f=vA3ddsL58Y%40IMG_5922.jpeg
IMG_5923.jpeg : https://ap12.ragic.com/sims/file.jsp?a=soutlet001&amp;f=0t53944UbV%40IMG_5923.jpeg
</t>
  </si>
  <si>
    <t>20250812-006</t>
  </si>
  <si>
    <t>牆壁破裂，需要補土重漆</t>
  </si>
  <si>
    <t>20250812-005</t>
  </si>
  <si>
    <t>20250812-004</t>
  </si>
  <si>
    <t>淋浴間把手鬆動要鎖緊</t>
  </si>
  <si>
    <t>IMG_5921.jpeg</t>
  </si>
  <si>
    <t>606拉門把手已鎖緊</t>
  </si>
  <si>
    <t>20250812-003</t>
  </si>
  <si>
    <t>621廁所天花板不亮</t>
  </si>
  <si>
    <t>621是床頭上方燈不亮，變壓器壞掉</t>
  </si>
  <si>
    <t>20250812-002</t>
  </si>
  <si>
    <t>IMG_5920.jpeg</t>
  </si>
  <si>
    <t>拉門已調整完成</t>
  </si>
  <si>
    <t>61987.jpg</t>
  </si>
  <si>
    <t>20250812-001</t>
  </si>
  <si>
    <t xml:space="preserve">630 床邊燈罩破損_x000D_
</t>
  </si>
  <si>
    <t>紙燈罩已更新完成</t>
  </si>
  <si>
    <t>61977.jpg</t>
  </si>
  <si>
    <t>20250811-005</t>
  </si>
  <si>
    <t>房間角落電燈不亮</t>
  </si>
  <si>
    <t>IMG_5910.jpeg</t>
  </si>
  <si>
    <t>本工程未牽線並無維修孔無法配線</t>
  </si>
  <si>
    <t>20250811-004</t>
  </si>
  <si>
    <t>門檻固定鎖整個鬆脫</t>
  </si>
  <si>
    <t>已重新鎖緊</t>
  </si>
  <si>
    <t>20250811-003</t>
  </si>
  <si>
    <t>固定蓮蓬頭的支架鬆動</t>
  </si>
  <si>
    <t>蓮蓬頭架已鎖緊</t>
  </si>
  <si>
    <t>20250811-002</t>
  </si>
  <si>
    <t>櫃子需要黏貼</t>
  </si>
  <si>
    <t xml:space="preserve">IMG_5903.jpeg : https://ap12.ragic.com/sims/file.jsp?a=soutlet001&amp;f=EXf74dS3US%40IMG_5903.jpeg
IMG_5904.jpeg : https://ap12.ragic.com/sims/file.jsp?a=soutlet001&amp;f=LupNv5k605%40IMG_5904.jpeg
</t>
  </si>
  <si>
    <t>20250811-001</t>
  </si>
  <si>
    <t>房門內旁插座打開</t>
  </si>
  <si>
    <t>插座蓋固定</t>
  </si>
  <si>
    <t>20250810-006</t>
  </si>
  <si>
    <t>721 冷氣還是不冷 再麻煩大哥們再確認一下 謝謝</t>
  </si>
  <si>
    <t>熱水浮球關閉空調正常</t>
  </si>
  <si>
    <t>20250810-005</t>
  </si>
  <si>
    <t>洗手槽止水閥卡住</t>
  </si>
  <si>
    <t>已排除</t>
  </si>
  <si>
    <t>20250810-004</t>
  </si>
  <si>
    <t>洗手槽 水龍頭底座會搖晃</t>
  </si>
  <si>
    <t>20250810-003</t>
  </si>
  <si>
    <t>洗手台右邊吐泡泡，會有聲音</t>
  </si>
  <si>
    <t>檢修查看後正常</t>
  </si>
  <si>
    <t>20250810-002</t>
  </si>
  <si>
    <t>止水條斷</t>
  </si>
  <si>
    <t>止水條已換</t>
  </si>
  <si>
    <t>20250810-001</t>
  </si>
  <si>
    <t>810 已退 連通門門鎖異常 再麻煩大哥們 謝謝</t>
  </si>
  <si>
    <t>已上鎖</t>
  </si>
  <si>
    <t>20250809-005</t>
  </si>
  <si>
    <t>上崁燈不會亮</t>
  </si>
  <si>
    <t>接觸不良工程員已調整好</t>
  </si>
  <si>
    <t>20250809-004</t>
  </si>
  <si>
    <t>進來後靠近大門的第一個射燈不亮</t>
  </si>
  <si>
    <t>IMG_5896.jpeg</t>
  </si>
  <si>
    <t>回復正常</t>
  </si>
  <si>
    <t>20250809-003</t>
  </si>
  <si>
    <t>牆面 櫃子需補漆</t>
  </si>
  <si>
    <t xml:space="preserve">1000008249.jpg : https://ap12.ragic.com/sims/file.jsp?a=soutlet001&amp;f=C1mL4lyjiY%401000008249.jpg
1000008250.jpg : https://ap12.ragic.com/sims/file.jsp?a=soutlet001&amp;f=01CZU2FK1t%401000008250.jpg
</t>
  </si>
  <si>
    <t>20250809-002</t>
  </si>
  <si>
    <t>衛生紙架鬆動，需要調整</t>
  </si>
  <si>
    <t>20250809-001</t>
  </si>
  <si>
    <t>601 浴缸測邊需要打矽膠 有預進</t>
  </si>
  <si>
    <t>20250808-011</t>
  </si>
  <si>
    <t>冷氣不冷。一直是24度（已經觀察1小時）</t>
  </si>
  <si>
    <t>IMG_2845.jpeg</t>
  </si>
  <si>
    <t>722 出風口17 窗邊23</t>
  </si>
  <si>
    <t>20250808-010</t>
  </si>
  <si>
    <t xml:space="preserve"> 冷氣不冷。一直是24度（已經觀察1小時）</t>
  </si>
  <si>
    <t>721 門口22 出風口18 窗邊23</t>
  </si>
  <si>
    <t>20250808-009</t>
  </si>
  <si>
    <t>房務員再掃501時 發現沒有開水的狀態下 會一直有水聲 已經20分鐘了_x000D_
現在拖地再檢查發現排水溝有水,浴缸旁邊的也濕濕的</t>
  </si>
  <si>
    <t xml:space="preserve">32525.jpg : https://ap12.ragic.com/sims/file.jsp?a=soutlet001&amp;f=o98ORMp5j0%4032525.jpg
32522_0.jpg : https://ap12.ragic.com/sims/file.jsp?a=soutlet001&amp;f=93266Hc6fQ%4032522_0.jpg
32523_0.jpg : https://ap12.ragic.com/sims/file.jsp?a=soutlet001&amp;f=OeWRFcsI0y%4032523_0.jpg
32518_0.jpg : https://ap12.ragic.com/sims/file.jsp?a=soutlet001&amp;f=St3HH0N7pO%4032518_0.jpg
32519_0.jpg : https://ap12.ragic.com/sims/file.jsp?a=soutlet001&amp;f=rrkXmv42MZ%4032519_0.jpg
</t>
  </si>
  <si>
    <t>已買高壓管重新安裝完成</t>
  </si>
  <si>
    <t>20250808-008</t>
  </si>
  <si>
    <t>洗水槽下方漏水</t>
  </si>
  <si>
    <t>已用速力康固定三小時內會乾</t>
  </si>
  <si>
    <t>20250808-007</t>
  </si>
  <si>
    <t>電視遙控器已換新電池_x000D_
電視電源完全沒有感應</t>
  </si>
  <si>
    <t>20250808-006</t>
  </si>
  <si>
    <t>厚窗簾過長需要調整</t>
  </si>
  <si>
    <t>IMG_5881.jpeg</t>
  </si>
  <si>
    <t>61508.jpg</t>
  </si>
  <si>
    <t>20250808-005</t>
  </si>
  <si>
    <t>20250808-004</t>
  </si>
  <si>
    <t>燈泡尖角外露</t>
  </si>
  <si>
    <t>IMG_2820.jpeg</t>
  </si>
  <si>
    <t>燈泡原廠品規</t>
  </si>
  <si>
    <t>20250808-003</t>
  </si>
  <si>
    <t>房間電視下方的黑框片需黏貼</t>
  </si>
  <si>
    <t xml:space="preserve">IMG_5880.jpeg : https://ap12.ragic.com/sims/file.jsp?a=soutlet001&amp;f=IHMe3XYX7B%40IMG_5880.jpeg
IMG_5879.jpeg : https://ap12.ragic.com/sims/file.jsp?a=soutlet001&amp;f=rXKM712JwS%40IMG_5879.jpeg
</t>
  </si>
  <si>
    <t>已用強力膠固定，需要一小時才會固定住</t>
  </si>
  <si>
    <t>20250808-002</t>
  </si>
  <si>
    <t>掛架歪斜</t>
  </si>
  <si>
    <t>螺絲鎖緊已完成</t>
  </si>
  <si>
    <t>61489.jpg</t>
  </si>
  <si>
    <t>20250808-001</t>
  </si>
  <si>
    <t>出水溫度偏低, 且開一陣子後水溫會降得更低</t>
  </si>
  <si>
    <t>已完成(沒瓦斯)</t>
  </si>
  <si>
    <t>61502.jpg</t>
  </si>
  <si>
    <t>20250807-015</t>
  </si>
  <si>
    <t>洗手槽整個移動異位</t>
  </si>
  <si>
    <t>此件重複報修件，同水槽漏水已固定。</t>
  </si>
  <si>
    <t>20250807-014</t>
  </si>
  <si>
    <t>浴室水槽底座漏水</t>
  </si>
  <si>
    <t>沒完全塞住，已塞緊</t>
  </si>
  <si>
    <t>20250807-013</t>
  </si>
  <si>
    <t>電視房間號錯誤</t>
  </si>
  <si>
    <t>IMG_2801.jpeg</t>
  </si>
  <si>
    <t>電視號碼已調整好了</t>
  </si>
  <si>
    <t>20250807-012</t>
  </si>
  <si>
    <t>馬桶座墊會移動</t>
  </si>
  <si>
    <t>馬桶座墊已鎖緊固定</t>
  </si>
  <si>
    <t>20250807-011</t>
  </si>
  <si>
    <t>厚窗簾過長 需要調整</t>
  </si>
  <si>
    <t>IMG_5872.jpeg</t>
  </si>
  <si>
    <t>20250807-010</t>
  </si>
  <si>
    <t>內側玻璃門鬆動 (今天要SHOWROOM)</t>
  </si>
  <si>
    <t>61341.jpg</t>
  </si>
  <si>
    <t>20250807-009</t>
  </si>
  <si>
    <t>冷氣不冷，有噪音</t>
  </si>
  <si>
    <t>出風口18床頭22。空調正常 現場無噪音 再觀察</t>
  </si>
  <si>
    <t xml:space="preserve">S__26992723_0.jpg : https://ap12.ragic.com/sims/file.jsp?a=soutlet001&amp;f=jt9IOB24a7%40S__26992723_0.jpg
S__26992724_0.jpg : https://ap12.ragic.com/sims/file.jsp?a=soutlet001&amp;f=3yDpT6rmIt%40S__26992724_0.jpg
</t>
  </si>
  <si>
    <t>20250807-008</t>
  </si>
  <si>
    <t>927床頭櫃要貼皮</t>
  </si>
  <si>
    <t>S__4210806.jpg</t>
  </si>
  <si>
    <t>貼皮完成</t>
  </si>
  <si>
    <t>61351.jpg</t>
  </si>
  <si>
    <t>20250807-007</t>
  </si>
  <si>
    <t>短的厚窗簾過長 需要調整</t>
  </si>
  <si>
    <t>IMG_5870.jpeg</t>
  </si>
  <si>
    <t>20250807-006</t>
  </si>
  <si>
    <t>823  _x000D_
後薄窗簾按鍵無法操作 有預進</t>
  </si>
  <si>
    <t>維修完成正常使用</t>
  </si>
  <si>
    <t>20250807-005</t>
  </si>
  <si>
    <t>浴室洗手槽上方燈座方向不對，需調整</t>
  </si>
  <si>
    <t>S__27058279.jpg</t>
  </si>
  <si>
    <t>20250807-004</t>
  </si>
  <si>
    <t>原8-2改 5-2 吸塵器 缺輪子一組_x000D_
(有附上機器型號)_x000D_
再麻煩看能不能拔8-1的輪子拆掉裝在5-2吸塵器上 _x000D_
這樣5-2吸塵器就OK了 謝謝</t>
  </si>
  <si>
    <t xml:space="preserve">690359_0.jpg : https://ap12.ragic.com/sims/file.jsp?a=soutlet001&amp;f=BjXldgZ89d%40690359_0.jpg
690360_0.jpg : https://ap12.ragic.com/sims/file.jsp?a=soutlet001&amp;f=w4BOL7phDn%40690360_0.jpg
690416_0.jpg : https://ap12.ragic.com/sims/file.jsp?a=soutlet001&amp;f=4L59JTFKsv%40690416_0.jpg
690417_0.jpg : https://ap12.ragic.com/sims/file.jsp?a=soutlet001&amp;f=M5W51F0gb3%40690417_0.jpg
</t>
  </si>
  <si>
    <t>20250807-003</t>
  </si>
  <si>
    <t>8-1 吸塵器是零件斷掉+聲音異常_x000D_
(有附上機器型號)</t>
  </si>
  <si>
    <t xml:space="preserve">686009_0.jpg : https://ap12.ragic.com/sims/file.jsp?a=soutlet001&amp;f=J5Kzu7W5HI%40686009_0.jpg
690365_0.jpg : https://ap12.ragic.com/sims/file.jsp?a=soutlet001&amp;f=MR80tzIe8d%40690365_0.jpg
690364_0.jpg : https://ap12.ragic.com/sims/file.jsp?a=soutlet001&amp;f=SElo2In8u5%40690364_0.jpg
690412_0.jpg : https://ap12.ragic.com/sims/file.jsp?a=soutlet001&amp;f=8w7BVF6X3C%40690412_0.jpg
690411_0.jpg : https://ap12.ragic.com/sims/file.jsp?a=soutlet001&amp;f=m9bPhDo90s%40690411_0.jpg
</t>
  </si>
  <si>
    <t>20250807-002</t>
  </si>
  <si>
    <t>9-1 吸塵器是軟管破掉.插頭需更換_x000D_
(有附上機器型號)</t>
  </si>
  <si>
    <t xml:space="preserve">690375_0.jpg : https://ap12.ragic.com/sims/file.jsp?a=soutlet001&amp;f=u8Bm3G5mU9%40690375_0.jpg
690376_0.jpg : https://ap12.ragic.com/sims/file.jsp?a=soutlet001&amp;f=9YY6JAF2cL%40690376_0.jpg
690371.jpg : https://ap12.ragic.com/sims/file.jsp?a=soutlet001&amp;f=4mQ0Bk94X7%40690371.jpg
690402_0.jpg : https://ap12.ragic.com/sims/file.jsp?a=soutlet001&amp;f=09UyGHD4i9%40690402_0.jpg
690401_0.jpg : https://ap12.ragic.com/sims/file.jsp?a=soutlet001&amp;f=uxq1V2wNDp%40690401_0.jpg
</t>
  </si>
  <si>
    <t>20250807-001</t>
  </si>
  <si>
    <t>木櫃需補漆</t>
  </si>
  <si>
    <t>已貼皮處理完成</t>
  </si>
  <si>
    <t>20250806-005</t>
  </si>
  <si>
    <t>浴室插座蓋脫落</t>
  </si>
  <si>
    <t>20250806-004</t>
  </si>
  <si>
    <t>水龍頭會晃</t>
  </si>
  <si>
    <t>20250806-003</t>
  </si>
  <si>
    <t>退房客人反應房內有沼氣味，房務經理查房時確認有異味，請協助尋找異味來源並解決</t>
  </si>
  <si>
    <t>已灌五桶垃圾桶裝水目前已無味道先用PU再觀察</t>
  </si>
  <si>
    <t>20250806-002</t>
  </si>
  <si>
    <t>916 吸塵機插頭斷在房內插座裡</t>
  </si>
  <si>
    <t>斷掉插頭已處理完成</t>
  </si>
  <si>
    <t>20250806-001</t>
  </si>
  <si>
    <t>磁磚填縫</t>
  </si>
  <si>
    <t>IMG_5861.jpeg</t>
  </si>
  <si>
    <t>已填平</t>
  </si>
  <si>
    <t>20250805-009</t>
  </si>
  <si>
    <t>房門開啓《》關閉有異音</t>
  </si>
  <si>
    <t>檢測已正常</t>
  </si>
  <si>
    <t>20250805-008</t>
  </si>
  <si>
    <t>已修整止水塞</t>
  </si>
  <si>
    <t>20250805-007</t>
  </si>
  <si>
    <t>電視顯示房號錯誤</t>
  </si>
  <si>
    <t>已修正電視盒訊號</t>
  </si>
  <si>
    <t>20250805-006</t>
  </si>
  <si>
    <t>浴室門關閉止水條會卡住有異音</t>
  </si>
  <si>
    <t>已修剪止水條</t>
  </si>
  <si>
    <t>20250805-003</t>
  </si>
  <si>
    <t>接頭分離</t>
  </si>
  <si>
    <t>已換新品</t>
  </si>
  <si>
    <t>20250805-001</t>
  </si>
  <si>
    <t>檢測出風17</t>
  </si>
  <si>
    <t>20250804-008</t>
  </si>
  <si>
    <t>6-1備品車，放吸塵器的地方斷掉了 東西在 6F -2 備品室 謝謝</t>
  </si>
  <si>
    <t xml:space="preserve">S__4030468(1).jpg : https://ap12.ragic.com/sims/file.jsp?a=soutlet001&amp;f=mWmRhy58xY%40S__4030468%281%29.jpg
S__4030472(1).jpg : https://ap12.ragic.com/sims/file.jsp?a=soutlet001&amp;f=51HZ5Im7dV%40S__4030472%281%29.jpg
</t>
  </si>
  <si>
    <t>20250804-007</t>
  </si>
  <si>
    <t>浴室門止水條卡住</t>
  </si>
  <si>
    <t>已更換新品</t>
  </si>
  <si>
    <t>20250804-006</t>
  </si>
  <si>
    <t xml:space="preserve">519 貓眼要調整 有預進 </t>
  </si>
  <si>
    <t>S__4178022.jpg</t>
  </si>
  <si>
    <t>貓眼已調整</t>
  </si>
  <si>
    <t>20250804-005</t>
  </si>
  <si>
    <t>605 浴簾卡住</t>
  </si>
  <si>
    <t>S__29442222(1).jpg</t>
  </si>
  <si>
    <t>已調整長度修復完成</t>
  </si>
  <si>
    <t>20250804-004</t>
  </si>
  <si>
    <t>止水塞已修復調整寬度</t>
  </si>
  <si>
    <t>20250804-003</t>
  </si>
  <si>
    <t>冷卻水已止，天花板上已清除水漬</t>
  </si>
  <si>
    <t>20250804-002</t>
  </si>
  <si>
    <t>關閉浴室門止水條有刺耳的聲音</t>
  </si>
  <si>
    <t>止水條調整</t>
  </si>
  <si>
    <t>20250804-001</t>
  </si>
  <si>
    <t>602 牆壁需要補土+補漆 再麻煩工程大哥們 謝謝</t>
  </si>
  <si>
    <t>S__29442154.jpg</t>
  </si>
  <si>
    <t>20250803-009</t>
  </si>
  <si>
    <t>Chow</t>
  </si>
  <si>
    <t>HDMI 1 沒訊號</t>
  </si>
  <si>
    <t>1000002640.jpg</t>
  </si>
  <si>
    <t>60805.jpg</t>
  </si>
  <si>
    <t>20250803-008</t>
  </si>
  <si>
    <t>919房內也是悶熱_x000D_
目前顯示25度</t>
  </si>
  <si>
    <t>919房間16度、床頭21度、客廳出風口14度，二個暖氣閥已關閉</t>
  </si>
  <si>
    <t>20250803-007</t>
  </si>
  <si>
    <t xml:space="preserve">809 浴簾卡住又掉下來 </t>
  </si>
  <si>
    <t>S__4055080.jpg</t>
  </si>
  <si>
    <t>20250803-006</t>
  </si>
  <si>
    <t>617淋浴間拉門需要調整_x000D_
拉門底部卡卡的</t>
  </si>
  <si>
    <t>S__4145318.jpg</t>
  </si>
  <si>
    <t>20250803-005</t>
  </si>
  <si>
    <t xml:space="preserve">617 電視畫面要調整 </t>
  </si>
  <si>
    <t>S__4145308.jpg</t>
  </si>
  <si>
    <t>60755.jpg</t>
  </si>
  <si>
    <t>20250803-004</t>
  </si>
  <si>
    <t>會撞到鏡子</t>
  </si>
  <si>
    <t>1000002636.jpg</t>
  </si>
  <si>
    <t>20250803-003</t>
  </si>
  <si>
    <t>B1房務辦公室內有兩台吸塵器需要維修 _x000D_
8F -1 是聲音異常_x000D_
5F -2 是電線破掉.軟管破掉_x000D_
再麻煩工程大哥們了 謝謝</t>
  </si>
  <si>
    <t xml:space="preserve">684794_0.jpg : https://ap12.ragic.com/sims/file.jsp?a=soutlet001&amp;f=y3Pe1zZsPJ%40684794_0.jpg
684795_0.jpg : https://ap12.ragic.com/sims/file.jsp?a=soutlet001&amp;f=FsFaSZ053v%40684795_0.jpg
</t>
  </si>
  <si>
    <t>5F -2 是電線破掉.軟管破掉 已處理完成_x000D_
8F -1 無法維修 滾輪無法維修要換新的一台_x000D_
8F -1 聲音異常: 摩擦鐵絲底板要換 (叫料)</t>
  </si>
  <si>
    <t>20250803-002</t>
  </si>
  <si>
    <t>613浴簾需要調整 有預進 再麻煩大哥們 謝謝</t>
  </si>
  <si>
    <t>S__4145217.jpg</t>
  </si>
  <si>
    <t>20250803-001</t>
  </si>
  <si>
    <t xml:space="preserve">Kevin </t>
  </si>
  <si>
    <t xml:space="preserve">面板顯示23度 但房內沒這麼涼 </t>
  </si>
  <si>
    <t xml:space="preserve">S__26992723_0.jpg : https://ap12.ragic.com/sims/file.jsp?a=soutlet001&amp;f=5xo8j4WJC5%40S__26992723_0.jpg
S__26992724_0.jpg : https://ap12.ragic.com/sims/file.jsp?a=soutlet001&amp;f=VNUBmQC0jh%40S__26992724_0.jpg
</t>
  </si>
  <si>
    <t>20250802-008</t>
  </si>
  <si>
    <t>HKSP Ann</t>
  </si>
  <si>
    <t>左側吊燈歪掉了</t>
  </si>
  <si>
    <t>IMG_5827.jpeg</t>
  </si>
  <si>
    <t>20250802-007</t>
  </si>
  <si>
    <t>電視沒通電</t>
  </si>
  <si>
    <t>1000002608.jpg</t>
  </si>
  <si>
    <t>20250802-006</t>
  </si>
  <si>
    <t>523 浴簾卡住 有預進 團體的 (15:00到) 再麻煩大哥們 謝謝</t>
  </si>
  <si>
    <t>S__30916625.jpg</t>
  </si>
  <si>
    <t>20250802-005</t>
  </si>
  <si>
    <t>607淋浴間拉門需要調整_x000D_
拉門底部卡卡的_x000D_
再麻煩了 謝謝</t>
  </si>
  <si>
    <t>20250802-004</t>
  </si>
  <si>
    <t>607電視顯示房號916_x000D_
請協助幫忙調整 謝謝</t>
  </si>
  <si>
    <t>S__4104307.jpg</t>
  </si>
  <si>
    <t>20250802-003</t>
  </si>
  <si>
    <t>廁所有很明顯的機器噪音_x000D_
影片在群組</t>
  </si>
  <si>
    <t>上樓已無聲音，待觀察</t>
  </si>
  <si>
    <t>20250802-002</t>
  </si>
  <si>
    <t>電話閃紅燈不能使用</t>
  </si>
  <si>
    <t>20250802-001</t>
  </si>
  <si>
    <t>HKSP CHOW</t>
  </si>
  <si>
    <t>20250801-005</t>
  </si>
  <si>
    <t>20250801-004</t>
  </si>
  <si>
    <t>926 衛生紙架 鬆動 需調整（有預進）</t>
  </si>
  <si>
    <t>681858.jpg</t>
  </si>
  <si>
    <t xml:space="preserve">螺絲鬆掉已鎖緊	</t>
  </si>
  <si>
    <t>20250801-003</t>
  </si>
  <si>
    <t>浴室門沒有止水條</t>
  </si>
  <si>
    <t>20250801-002</t>
  </si>
  <si>
    <t>會卡住</t>
  </si>
  <si>
    <t>1000008206.jpg</t>
  </si>
  <si>
    <t>鐵片鬆動已鎖緊</t>
  </si>
  <si>
    <t>20250801-001</t>
  </si>
  <si>
    <t>房內靠近窗台有持續的 蜂鳴聲</t>
  </si>
  <si>
    <t>20250730-006</t>
  </si>
  <si>
    <t>原先設定的酒吧電話會打到廚房_x000D_
FO也沒辦法打上來</t>
  </si>
  <si>
    <t>線頭重插，接觸不良</t>
  </si>
  <si>
    <t>20240802_B1點心房烤箱_新麥廠商1.jpg</t>
  </si>
  <si>
    <t>比對</t>
    <phoneticPr fontId="7" type="noConversion"/>
  </si>
  <si>
    <t>Time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</si>
</sst>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7" formatCode="yyyy/mm/dd"/>
    <numFmt numFmtId="178" formatCode="0.0"/>
    <numFmt numFmtId="179" formatCode="#,##0.0"/>
    <numFmt numFmtId="180" formatCode="[$-404]yyyy/mm/dd\ hh:mm;@"/>
    <numFmt numFmtId="181" formatCode="[$-404]yyyy/mm/dd;@"/>
    <numFmt numFmtId="182" formatCode="[$-404]yyyy/mm/dd\ hh:mm\ am/pm;@"/>
    <numFmt numFmtId="183" formatCode="\$#,###.##"/>
    <numFmt numFmtId="184" formatCode="[$-404]yyyy/m/d\ hh:mm;@"/>
    <numFmt numFmtId="186" formatCode="0.0000000000_ "/>
  </numFmts>
  <fonts count="10" x14ac:knownFonts="1">
    <font>
      <sz val="11"/>
      <color theme="1"/>
      <name val="新細明體"/>
      <family val="2"/>
      <scheme val="minor"/>
    </font>
    <font>
      <b/>
      <sz val="10"/>
      <color rgb="FFFFFFFF"/>
      <name val="Arial"/>
      <family val="2"/>
    </font>
    <font>
      <sz val="10"/>
      <color rgb="FF000000"/>
      <name val="Arial"/>
      <family val="2"/>
    </font>
    <font>
      <b/>
      <sz val="10"/>
      <color rgb="FF000000"/>
      <name val="Arial"/>
      <family val="2"/>
    </font>
    <font>
      <b/>
      <sz val="12"/>
      <color rgb="FFFFFFFF"/>
      <name val="Arial"/>
      <family val="2"/>
    </font>
    <font>
      <sz val="11"/>
      <color indexed="8"/>
      <name val="新細明體"/>
      <family val="2"/>
      <scheme val="minor"/>
    </font>
    <font>
      <sz val="11"/>
      <name val="Arial"/>
      <family val="2"/>
    </font>
    <font>
      <sz val="9"/>
      <name val="新細明體"/>
      <family val="3"/>
      <charset val="136"/>
      <scheme val="minor"/>
    </font>
    <font>
      <sz val="11"/>
      <color indexed="9"/>
      <name val="Arial"/>
      <family val="2"/>
    </font>
    <font>
      <sz val="11"/>
      <color rgb="FF385460"/>
      <name val="Arial"/>
      <family val="2"/>
    </font>
  </fonts>
  <fills count="9">
    <fill>
      <patternFill patternType="none"/>
    </fill>
    <fill>
      <patternFill patternType="gray125"/>
    </fill>
    <fill>
      <patternFill patternType="solid">
        <fgColor rgb="FF1B3A5C"/>
      </patternFill>
    </fill>
    <fill>
      <patternFill patternType="solid">
        <fgColor rgb="FFFFFFFF"/>
      </patternFill>
    </fill>
    <fill>
      <patternFill patternType="solid">
        <fgColor rgb="FFEBF5FB"/>
      </patternFill>
    </fill>
    <fill>
      <patternFill patternType="solid">
        <fgColor rgb="FFD6EAF8"/>
      </patternFill>
    </fill>
    <fill>
      <patternFill patternType="solid">
        <fgColor rgb="FFD5F5E3"/>
      </patternFill>
    </fill>
    <fill>
      <patternFill patternType="solid">
        <fgColor rgb="FF404F78"/>
      </patternFill>
    </fill>
    <fill>
      <patternFill patternType="solid">
        <fgColor rgb="FFFF0000"/>
      </patternFill>
    </fill>
  </fills>
  <borders count="2">
    <border>
      <left/>
      <right/>
      <top/>
      <bottom/>
      <diagonal/>
    </border>
    <border>
      <left/>
      <right/>
      <top/>
      <bottom style="thick">
        <color auto="1"/>
      </bottom>
      <diagonal/>
    </border>
  </borders>
  <cellStyleXfs count="2">
    <xf numFmtId="0" fontId="0" fillId="0" borderId="0"/>
    <xf numFmtId="0" fontId="5" fillId="0" borderId="0">
      <alignment vertical="center"/>
    </xf>
  </cellStyleXfs>
  <cellXfs count="48">
    <xf numFmtId="0" fontId="0" fillId="0" borderId="0" xfId="0"/>
    <xf numFmtId="0" fontId="1" fillId="2" borderId="0" xfId="0" applyFont="1" applyFill="1" applyAlignment="1">
      <alignment horizontal="center" vertical="center"/>
    </xf>
    <xf numFmtId="0" fontId="3" fillId="3" borderId="0" xfId="0" applyFont="1" applyFill="1" applyAlignment="1">
      <alignment horizontal="center" vertical="center"/>
    </xf>
    <xf numFmtId="3" fontId="2" fillId="3" borderId="0" xfId="0" applyNumberFormat="1" applyFont="1" applyFill="1" applyAlignment="1">
      <alignment horizontal="right" vertical="center"/>
    </xf>
    <xf numFmtId="0" fontId="3" fillId="6" borderId="0" xfId="0" applyFont="1" applyFill="1" applyAlignment="1">
      <alignment horizontal="center" vertical="center"/>
    </xf>
    <xf numFmtId="179" fontId="2" fillId="3" borderId="0" xfId="0" applyNumberFormat="1" applyFont="1" applyFill="1" applyAlignment="1">
      <alignment horizontal="right" vertical="center"/>
    </xf>
    <xf numFmtId="2" fontId="2" fillId="3" borderId="0" xfId="0" applyNumberFormat="1" applyFont="1" applyFill="1" applyAlignment="1">
      <alignment horizontal="right" vertical="center"/>
    </xf>
    <xf numFmtId="0" fontId="3" fillId="4" borderId="0" xfId="0" applyFont="1" applyFill="1" applyAlignment="1">
      <alignment horizontal="center" vertical="center"/>
    </xf>
    <xf numFmtId="3" fontId="2" fillId="4" borderId="0" xfId="0" applyNumberFormat="1" applyFont="1" applyFill="1" applyAlignment="1">
      <alignment horizontal="right" vertical="center"/>
    </xf>
    <xf numFmtId="179" fontId="2" fillId="4" borderId="0" xfId="0" applyNumberFormat="1" applyFont="1" applyFill="1" applyAlignment="1">
      <alignment horizontal="right" vertical="center"/>
    </xf>
    <xf numFmtId="2" fontId="2" fillId="4" borderId="0" xfId="0" applyNumberFormat="1" applyFont="1" applyFill="1" applyAlignment="1">
      <alignment horizontal="right" vertical="center"/>
    </xf>
    <xf numFmtId="0" fontId="2" fillId="3" borderId="0" xfId="0" applyFont="1" applyFill="1" applyAlignment="1">
      <alignment horizontal="center" vertical="center"/>
    </xf>
    <xf numFmtId="0" fontId="2" fillId="3" borderId="0" xfId="0" applyFont="1" applyFill="1" applyAlignment="1">
      <alignment horizontal="left" vertical="center"/>
    </xf>
    <xf numFmtId="177" fontId="2" fillId="3" borderId="0" xfId="0" applyNumberFormat="1" applyFont="1" applyFill="1" applyAlignment="1">
      <alignment horizontal="left" vertical="center"/>
    </xf>
    <xf numFmtId="4" fontId="2" fillId="3" borderId="0" xfId="0" applyNumberFormat="1" applyFont="1" applyFill="1" applyAlignment="1">
      <alignment horizontal="right" vertical="center"/>
    </xf>
    <xf numFmtId="0" fontId="2" fillId="4" borderId="0" xfId="0" applyFont="1" applyFill="1" applyAlignment="1">
      <alignment horizontal="center" vertical="center"/>
    </xf>
    <xf numFmtId="0" fontId="2" fillId="4" borderId="0" xfId="0" applyFont="1" applyFill="1" applyAlignment="1">
      <alignment horizontal="left" vertical="center"/>
    </xf>
    <xf numFmtId="177" fontId="2" fillId="4" borderId="0" xfId="0" applyNumberFormat="1" applyFont="1" applyFill="1" applyAlignment="1">
      <alignment horizontal="left" vertical="center"/>
    </xf>
    <xf numFmtId="4" fontId="2" fillId="4" borderId="0" xfId="0" applyNumberFormat="1" applyFont="1" applyFill="1" applyAlignment="1">
      <alignment horizontal="right" vertical="center"/>
    </xf>
    <xf numFmtId="0" fontId="3" fillId="5" borderId="0" xfId="0" applyFont="1" applyFill="1"/>
    <xf numFmtId="0" fontId="0" fillId="5" borderId="0" xfId="0" applyFill="1"/>
    <xf numFmtId="4" fontId="3" fillId="5" borderId="0" xfId="0" applyNumberFormat="1" applyFont="1" applyFill="1" applyAlignment="1">
      <alignment horizontal="right" vertical="center"/>
    </xf>
    <xf numFmtId="2" fontId="3" fillId="5" borderId="0" xfId="0" applyNumberFormat="1" applyFont="1" applyFill="1" applyAlignment="1">
      <alignment horizontal="right" vertical="center"/>
    </xf>
    <xf numFmtId="0" fontId="3" fillId="5" borderId="0" xfId="0" applyFont="1" applyFill="1" applyAlignment="1">
      <alignment horizontal="right" vertical="center"/>
    </xf>
    <xf numFmtId="178" fontId="3" fillId="5" borderId="0" xfId="0" applyNumberFormat="1" applyFont="1" applyFill="1" applyAlignment="1">
      <alignment horizontal="right" vertical="center"/>
    </xf>
    <xf numFmtId="0" fontId="4" fillId="2" borderId="0" xfId="0" applyFont="1" applyFill="1" applyAlignment="1">
      <alignment horizontal="center" vertical="center"/>
    </xf>
    <xf numFmtId="0" fontId="0" fillId="0" borderId="0" xfId="0"/>
    <xf numFmtId="0" fontId="6" fillId="0" borderId="1" xfId="1" applyFont="1" applyBorder="1" applyAlignment="1">
      <alignment horizontal="center" vertical="center"/>
    </xf>
    <xf numFmtId="0" fontId="8" fillId="7" borderId="1" xfId="1" applyFont="1" applyFill="1" applyBorder="1" applyAlignment="1">
      <alignment horizontal="center" vertical="center"/>
    </xf>
    <xf numFmtId="0" fontId="6" fillId="0" borderId="1" xfId="1" applyFont="1" applyBorder="1" applyAlignment="1">
      <alignment horizontal="left" vertical="center"/>
    </xf>
    <xf numFmtId="0" fontId="6" fillId="7" borderId="1" xfId="1" applyFont="1" applyFill="1" applyBorder="1" applyAlignment="1">
      <alignment horizontal="center" vertical="center"/>
    </xf>
    <xf numFmtId="0" fontId="6" fillId="8" borderId="1" xfId="1" applyFont="1" applyFill="1" applyBorder="1" applyAlignment="1">
      <alignment horizontal="center" vertical="center"/>
    </xf>
    <xf numFmtId="0" fontId="5" fillId="0" borderId="0" xfId="1">
      <alignment vertical="center"/>
    </xf>
    <xf numFmtId="0" fontId="6" fillId="0" borderId="0" xfId="1" applyFont="1" applyAlignment="1">
      <alignment horizontal="center" vertical="center"/>
    </xf>
    <xf numFmtId="180" fontId="9" fillId="0" borderId="0" xfId="1" applyNumberFormat="1" applyFont="1" applyAlignment="1">
      <alignment horizontal="center" vertical="center"/>
    </xf>
    <xf numFmtId="0" fontId="6" fillId="0" borderId="0" xfId="1" applyFont="1">
      <alignment vertical="center"/>
    </xf>
    <xf numFmtId="0" fontId="9" fillId="0" borderId="0" xfId="1" applyFont="1" applyAlignment="1">
      <alignment horizontal="center" vertical="center"/>
    </xf>
    <xf numFmtId="0" fontId="9" fillId="0" borderId="0" xfId="1" applyFont="1" applyAlignment="1">
      <alignment horizontal="left" vertical="center" wrapText="1"/>
    </xf>
    <xf numFmtId="2" fontId="9" fillId="0" borderId="0" xfId="1" applyNumberFormat="1" applyFont="1" applyAlignment="1">
      <alignment horizontal="center" vertical="center"/>
    </xf>
    <xf numFmtId="0" fontId="9" fillId="0" borderId="0" xfId="1" applyFont="1" applyAlignment="1">
      <alignment horizontal="center" vertical="center" wrapText="1"/>
    </xf>
    <xf numFmtId="181" fontId="6" fillId="0" borderId="0" xfId="1" applyNumberFormat="1" applyFont="1">
      <alignment vertical="center"/>
    </xf>
    <xf numFmtId="182" fontId="6" fillId="0" borderId="0" xfId="1" applyNumberFormat="1" applyFont="1">
      <alignment vertical="center"/>
    </xf>
    <xf numFmtId="1" fontId="6" fillId="0" borderId="0" xfId="1" applyNumberFormat="1" applyFont="1" applyAlignment="1">
      <alignment horizontal="right" vertical="center"/>
    </xf>
    <xf numFmtId="183" fontId="6" fillId="0" borderId="0" xfId="1" applyNumberFormat="1" applyFont="1" applyAlignment="1">
      <alignment horizontal="right" vertical="center"/>
    </xf>
    <xf numFmtId="2" fontId="6" fillId="0" borderId="0" xfId="1" applyNumberFormat="1" applyFont="1" applyAlignment="1">
      <alignment horizontal="center" vertical="center"/>
    </xf>
    <xf numFmtId="184" fontId="9" fillId="0" borderId="0" xfId="1" applyNumberFormat="1" applyFont="1" applyAlignment="1">
      <alignment horizontal="center" vertical="center"/>
    </xf>
    <xf numFmtId="0" fontId="6" fillId="0" borderId="0" xfId="1" applyFont="1" applyAlignment="1">
      <alignment vertical="center" wrapText="1"/>
    </xf>
    <xf numFmtId="186" fontId="5" fillId="0" borderId="0" xfId="1" applyNumberFormat="1">
      <alignment vertical="center"/>
    </xf>
  </cellXfs>
  <cellStyles count="2">
    <cellStyle name="一般" xfId="0" builtinId="0"/>
    <cellStyle name="一般 2" xfId="1" xr:uid="{FB22C8F3-77CD-4E84-9279-876963601D3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ap12.ragic.com/sims/file.jsp?a=soutlet001&amp;f=LL43vnT2SY%40S__8822848.jpg" TargetMode="External"/><Relationship Id="rId1827" Type="http://schemas.openxmlformats.org/officeDocument/2006/relationships/hyperlink" Target="https://ap12.ragic.com/sims/file.jsp?a=soutlet001&amp;f=0Ib2cYZHIP%40S__4145217.jpg" TargetMode="External"/><Relationship Id="rId21" Type="http://schemas.openxmlformats.org/officeDocument/2006/relationships/hyperlink" Target="https://ap12.ragic.com/sims/file.jsp?a=soutlet001&amp;f=7zyHhgq6Vn%401000009776.jpg" TargetMode="External"/><Relationship Id="rId170" Type="http://schemas.openxmlformats.org/officeDocument/2006/relationships/hyperlink" Target="https://ap12.ragic.com/sims/file.jsp?a=soutlet001&amp;f=2u2ZVIqPME%40IMG_1252.jpeg" TargetMode="External"/><Relationship Id="rId268" Type="http://schemas.openxmlformats.org/officeDocument/2006/relationships/hyperlink" Target="https://ap12.ragic.com/sims/file.jsp?a=soutlet001&amp;f=GcFGUDCOUZ%40cd3f76743b0b8ae7a3302a3e01c0d11b.png" TargetMode="External"/><Relationship Id="rId475" Type="http://schemas.openxmlformats.org/officeDocument/2006/relationships/hyperlink" Target="https://ap12.ragic.com/sims/file.jsp?a=soutlet001&amp;f=Dq699534WX%40821%E5%9B%BA%E5%AE%9A%E5%AE%8C%E6%88%90.jpg" TargetMode="External"/><Relationship Id="rId682" Type="http://schemas.openxmlformats.org/officeDocument/2006/relationships/hyperlink" Target="https://ap12.ragic.com/sims/file.jsp?a=soutlet001&amp;f=GvsymehcFe%40S__8659019.jpg" TargetMode="External"/><Relationship Id="rId128" Type="http://schemas.openxmlformats.org/officeDocument/2006/relationships/hyperlink" Target="https://ap12.ragic.com/sims/file.jsp?a=soutlet001&amp;f=0D6PJPKKvj%40IMG_2543.jpeg" TargetMode="External"/><Relationship Id="rId335" Type="http://schemas.openxmlformats.org/officeDocument/2006/relationships/hyperlink" Target="https://ap12.ragic.com/sims/file.jsp?a=soutlet001&amp;f=58iEZCLJTQ%40620%E8%8A%B1%E7%81%91%E5%B7%B2%E9%8E%96%E7%B7%8A.jpg" TargetMode="External"/><Relationship Id="rId542" Type="http://schemas.openxmlformats.org/officeDocument/2006/relationships/hyperlink" Target="https://ap12.ragic.com/sims/file.jsp?a=soutlet001&amp;f=DWvm6wmQMd%40805+%E6%B2%90%E6%B5%B4%E4%B9%B3%E6%9E%B6%E5%B7%B2%E6%9B%B4%E6%8F%9B.jpg" TargetMode="External"/><Relationship Id="rId987" Type="http://schemas.openxmlformats.org/officeDocument/2006/relationships/hyperlink" Target="https://ap12.ragic.com/sims/file.jsp?a=soutlet001&amp;f=elNfH5xKB0%401000006110.jpg" TargetMode="External"/><Relationship Id="rId1172" Type="http://schemas.openxmlformats.org/officeDocument/2006/relationships/hyperlink" Target="https://ap12.ragic.com/sims/file.jsp?a=soutlet001&amp;f=b1DPCkdYZ4%40IMG_7864.jpeg" TargetMode="External"/><Relationship Id="rId402" Type="http://schemas.openxmlformats.org/officeDocument/2006/relationships/hyperlink" Target="https://ap12.ragic.com/sims/file.jsp?a=soutlet001&amp;f=H7aKrhbrKH%401000007830.jpg" TargetMode="External"/><Relationship Id="rId847" Type="http://schemas.openxmlformats.org/officeDocument/2006/relationships/hyperlink" Target="https://ap12.ragic.com/sims/file.jsp?a=soutlet001&amp;f=w8jtJXrtJc%40image_464147F2-7D6F-4CF9-8D41-A6AB120E33B2_1765369337_compressed.jpeg" TargetMode="External"/><Relationship Id="rId1032" Type="http://schemas.openxmlformats.org/officeDocument/2006/relationships/hyperlink" Target="https://ap12.ragic.com/sims/file.jsp?a=soutlet001&amp;f=52510842y9%40IMG_8243.jpeg" TargetMode="External"/><Relationship Id="rId1477" Type="http://schemas.openxmlformats.org/officeDocument/2006/relationships/hyperlink" Target="https://ap12.ragic.com/sims/file.jsp?a=soutlet001&amp;f=5D26R1TxOP%401029%E6%A9%9F%E4%B8%8A%E7%9B%92%E9%9B%BB%E6%BA%90%E7%B7%9A%E6%9B%B4%E6%96%B0%E5%AE%8C%E6%88%90.jpg" TargetMode="External"/><Relationship Id="rId1684" Type="http://schemas.openxmlformats.org/officeDocument/2006/relationships/hyperlink" Target="https://ap12.ragic.com/sims/file.jsp?a=soutlet001&amp;f=Gp2KBsl3NB%40917.jpg" TargetMode="External"/><Relationship Id="rId707" Type="http://schemas.openxmlformats.org/officeDocument/2006/relationships/hyperlink" Target="https://ap12.ragic.com/sims/file.jsp?a=soutlet001&amp;f=7umMZzRrZf%40820%E5%B7%A6%E5%81%B4%E5%BA%8A%E9%A0%AD%E7%87%88%E6%B3%A1%E5%B7%B2%E6%9B%B4%E6%96%B0%E5%AE%8C%E6%88%90.jpg" TargetMode="External"/><Relationship Id="rId914" Type="http://schemas.openxmlformats.org/officeDocument/2006/relationships/hyperlink" Target="https://ap12.ragic.com/sims/file.jsp?a=soutlet001&amp;f=xzV4LsYLfA%40IMG_8029.jpeg" TargetMode="External"/><Relationship Id="rId1337" Type="http://schemas.openxmlformats.org/officeDocument/2006/relationships/hyperlink" Target="https://ap12.ragic.com/sims/file.jsp?a=soutlet001&amp;f=Q39og2i049%40IMG_7629.jpeg" TargetMode="External"/><Relationship Id="rId1544" Type="http://schemas.openxmlformats.org/officeDocument/2006/relationships/hyperlink" Target="https://ap12.ragic.com/sims/file.jsp?a=soutlet001&amp;f=50HwWGEJT9%40IMG_6489.jpeg" TargetMode="External"/><Relationship Id="rId1751" Type="http://schemas.openxmlformats.org/officeDocument/2006/relationships/hyperlink" Target="https://ap12.ragic.com/sims/file.jsp?a=soutlet001&amp;f=uM6x5mQ5JH%4062763.jpg" TargetMode="External"/><Relationship Id="rId43" Type="http://schemas.openxmlformats.org/officeDocument/2006/relationships/hyperlink" Target="https://ap12.ragic.com/sims/file.jsp?a=soutlet001&amp;f=9ya6aStwUj%40S__36757519.jpg" TargetMode="External"/><Relationship Id="rId1404" Type="http://schemas.openxmlformats.org/officeDocument/2006/relationships/hyperlink" Target="https://ap12.ragic.com/sims/file.jsp?a=soutlet001&amp;f=Y066r1BOU6%40image_F2D5C6BC-7991-4634-8793-F4C3C9BE79E5_1759116235_compressed.jpeg" TargetMode="External"/><Relationship Id="rId1611" Type="http://schemas.openxmlformats.org/officeDocument/2006/relationships/hyperlink" Target="https://ap12.ragic.com/sims/file.jsp?a=soutlet001&amp;f=cuvG01vaps%40615.jpg" TargetMode="External"/><Relationship Id="rId192" Type="http://schemas.openxmlformats.org/officeDocument/2006/relationships/hyperlink" Target="https://ap12.ragic.com/sims/file.jsp?a=soutlet001&amp;f=0VyOjK6q5W%40525+%E6%88%BF%E9%96%80%E6%9C%A8%E7%9A%AE%E4%BF%AE%E8%A3%9C%E5%AE%8C%E6%88%90.jpg" TargetMode="External"/><Relationship Id="rId1709" Type="http://schemas.openxmlformats.org/officeDocument/2006/relationships/hyperlink" Target="https://ap12.ragic.com/sims/file.jsp?a=soutlet001&amp;f=Sq72GWM525%40IMG_3214.jpeg" TargetMode="External"/><Relationship Id="rId497" Type="http://schemas.openxmlformats.org/officeDocument/2006/relationships/hyperlink" Target="https://ap12.ragic.com/sims/file.jsp?a=soutlet001&amp;f=qilHMoMloB%40image_323B215D-59D3-40EC-B157-A9EF0B8E4F60_1769774049_compressed.jpeg" TargetMode="External"/><Relationship Id="rId357" Type="http://schemas.openxmlformats.org/officeDocument/2006/relationships/hyperlink" Target="https://ap12.ragic.com/sims/file.jsp?a=soutlet001&amp;f=iRGLg4FxWw%40909%E6%B5%B4%E7%B0%BE%E8%AA%BF%E6%95%B4%E5%AE%8C%E6%88%90.jpg" TargetMode="External"/><Relationship Id="rId1194" Type="http://schemas.openxmlformats.org/officeDocument/2006/relationships/hyperlink" Target="https://ap12.ragic.com/sims/file.jsp?a=soutlet001&amp;f=00NNQVU9mE%4072681.jpg" TargetMode="External"/><Relationship Id="rId217" Type="http://schemas.openxmlformats.org/officeDocument/2006/relationships/hyperlink" Target="https://ap12.ragic.com/sims/file.jsp?a=soutlet001&amp;f=vWHnYeJE6H%40IMG_2092.jpeg" TargetMode="External"/><Relationship Id="rId564" Type="http://schemas.openxmlformats.org/officeDocument/2006/relationships/hyperlink" Target="https://ap12.ragic.com/sims/file.jsp?a=soutlet001&amp;f=UrtMtKpS8B%40323025f189e5c8fd33101172df30f0b7.png" TargetMode="External"/><Relationship Id="rId771" Type="http://schemas.openxmlformats.org/officeDocument/2006/relationships/hyperlink" Target="https://ap12.ragic.com/sims/file.jsp?a=soutlet001&amp;f=5xPkh3qVME%40IMG_9485.jpeg" TargetMode="External"/><Relationship Id="rId869" Type="http://schemas.openxmlformats.org/officeDocument/2006/relationships/hyperlink" Target="https://ap12.ragic.com/sims/file.jsp?a=soutlet001&amp;f=IPSgsjJMp7%40%E7%AA%AF%E5%BB%B3%E5%B7%B2%E4%BF%AE%E5%BE%A9.jpg" TargetMode="External"/><Relationship Id="rId1499" Type="http://schemas.openxmlformats.org/officeDocument/2006/relationships/hyperlink" Target="https://ap12.ragic.com/sims/file.jsp?a=soutlet001&amp;f=Bmti8j4rGT%4002364BAE-7032-441A-9395-8BC08DA4D1E4.jpg" TargetMode="External"/><Relationship Id="rId424" Type="http://schemas.openxmlformats.org/officeDocument/2006/relationships/hyperlink" Target="https://ap12.ragic.com/sims/file.jsp?a=soutlet001&amp;f=MLKvGtcUx2%40IMG_9930.jpeg" TargetMode="External"/><Relationship Id="rId631" Type="http://schemas.openxmlformats.org/officeDocument/2006/relationships/hyperlink" Target="https://ap12.ragic.com/sims/file.jsp?a=soutlet001&amp;f=7cNKbDKg90%401000007126.jpg" TargetMode="External"/><Relationship Id="rId729" Type="http://schemas.openxmlformats.org/officeDocument/2006/relationships/hyperlink" Target="https://ap12.ragic.com/sims/file.jsp?a=soutlet001&amp;f=zpR1ply4az%40627+%E6%B0%B4%E9%BE%8D%E9%A0%AD%E5%9B%BA%E5%AE%9A.jpg" TargetMode="External"/><Relationship Id="rId1054" Type="http://schemas.openxmlformats.org/officeDocument/2006/relationships/hyperlink" Target="https://ap12.ragic.com/sims/file.jsp?a=soutlet001&amp;f=3LFKTT9wEJ%40IMG_8197.jpeg" TargetMode="External"/><Relationship Id="rId1261" Type="http://schemas.openxmlformats.org/officeDocument/2006/relationships/hyperlink" Target="https://ap12.ragic.com/sims/file.jsp?a=soutlet001&amp;f=26Kuy7hOry%4070647_0.jpg" TargetMode="External"/><Relationship Id="rId1359" Type="http://schemas.openxmlformats.org/officeDocument/2006/relationships/hyperlink" Target="https://ap12.ragic.com/sims/file.jsp?a=soutlet001&amp;f=Kq038020Eq%4060268.jpg" TargetMode="External"/><Relationship Id="rId936" Type="http://schemas.openxmlformats.org/officeDocument/2006/relationships/hyperlink" Target="https://ap12.ragic.com/sims/file.jsp?a=soutlet001&amp;f=vaFhmaJyPk%40IMG_8426.jpeg" TargetMode="External"/><Relationship Id="rId1121" Type="http://schemas.openxmlformats.org/officeDocument/2006/relationships/hyperlink" Target="https://ap12.ragic.com/sims/file.jsp?a=soutlet001&amp;f=d2XTAtLH7l%4074664.jpg" TargetMode="External"/><Relationship Id="rId1219" Type="http://schemas.openxmlformats.org/officeDocument/2006/relationships/hyperlink" Target="https://ap12.ragic.com/sims/file.jsp?a=soutlet001&amp;f=z4OSi5VqVQ%40IMG_7781.jpeg" TargetMode="External"/><Relationship Id="rId1566" Type="http://schemas.openxmlformats.org/officeDocument/2006/relationships/hyperlink" Target="https://ap12.ragic.com/sims/file.jsp?a=soutlet001&amp;f=X8oOK39OKg%40IMG_6400.jpeg" TargetMode="External"/><Relationship Id="rId1773" Type="http://schemas.openxmlformats.org/officeDocument/2006/relationships/hyperlink" Target="https://ap12.ragic.com/sims/file.jsp?a=soutlet001&amp;f=5Bl8fxvY4F%40IMG_5943.jpeg" TargetMode="External"/><Relationship Id="rId65" Type="http://schemas.openxmlformats.org/officeDocument/2006/relationships/hyperlink" Target="https://ap12.ragic.com/sims/file.jsp?a=soutlet001&amp;f=ccmlYuJd2D%401000009494.jpg" TargetMode="External"/><Relationship Id="rId1426" Type="http://schemas.openxmlformats.org/officeDocument/2006/relationships/hyperlink" Target="https://ap12.ragic.com/sims/file.jsp?a=soutlet001&amp;f=JokF0xvCJI%40IMG_8892.jpeg" TargetMode="External"/><Relationship Id="rId1633" Type="http://schemas.openxmlformats.org/officeDocument/2006/relationships/hyperlink" Target="https://ap12.ragic.com/sims/file.jsp?a=soutlet001&amp;f=l9kHsSNWZI%40IMG_6161.jpeg" TargetMode="External"/><Relationship Id="rId1700" Type="http://schemas.openxmlformats.org/officeDocument/2006/relationships/hyperlink" Target="https://ap12.ragic.com/sims/file.jsp?a=soutlet001&amp;f=o3Fjz3W2Ty%4035439.jpg" TargetMode="External"/><Relationship Id="rId281" Type="http://schemas.openxmlformats.org/officeDocument/2006/relationships/hyperlink" Target="https://ap12.ragic.com/sims/file.jsp?a=soutlet001&amp;f=6unQsWO18F%40bfbd577fee11148c958fda9bd3e50b75.png" TargetMode="External"/><Relationship Id="rId141" Type="http://schemas.openxmlformats.org/officeDocument/2006/relationships/hyperlink" Target="https://ap12.ragic.com/sims/file.jsp?a=soutlet001&amp;f=YdiZkKaaqp%40IMG_2418.jpeg" TargetMode="External"/><Relationship Id="rId379" Type="http://schemas.openxmlformats.org/officeDocument/2006/relationships/hyperlink" Target="https://ap12.ragic.com/sims/file.jsp?a=soutlet001&amp;f=vlE9B6gM4N%40IMG_6301.jpeg" TargetMode="External"/><Relationship Id="rId586" Type="http://schemas.openxmlformats.org/officeDocument/2006/relationships/hyperlink" Target="https://ap12.ragic.com/sims/file.jsp?a=soutlet001&amp;f=psiFcHrdmo%40ad8b0af901fbdf7f2792c8c6c2e35ca5.png" TargetMode="External"/><Relationship Id="rId793" Type="http://schemas.openxmlformats.org/officeDocument/2006/relationships/hyperlink" Target="https://ap12.ragic.com/sims/file.jsp?a=soutlet001&amp;f=Ds6afqcGcA%40S__83517457.jpg" TargetMode="External"/><Relationship Id="rId7" Type="http://schemas.openxmlformats.org/officeDocument/2006/relationships/hyperlink" Target="https://ap12.ragic.com/sims/file.jsp?a=soutlet001&amp;f=Zu11VLRKNw%401000009935.jpg" TargetMode="External"/><Relationship Id="rId239" Type="http://schemas.openxmlformats.org/officeDocument/2006/relationships/hyperlink" Target="https://ap12.ragic.com/sims/file.jsp?a=soutlet001&amp;f=s5UxTeXgM1%401000008096.jpg" TargetMode="External"/><Relationship Id="rId446" Type="http://schemas.openxmlformats.org/officeDocument/2006/relationships/hyperlink" Target="https://ap12.ragic.com/sims/file.jsp?a=soutlet001&amp;f=cIQosKZl0j%40IMG_5507.jpeg" TargetMode="External"/><Relationship Id="rId653" Type="http://schemas.openxmlformats.org/officeDocument/2006/relationships/hyperlink" Target="https://ap12.ragic.com/sims/file.jsp?a=soutlet001&amp;f=r4oNBIjdBU%40IMG_9625.jpeg" TargetMode="External"/><Relationship Id="rId1076" Type="http://schemas.openxmlformats.org/officeDocument/2006/relationships/hyperlink" Target="https://ap12.ragic.com/sims/file.jsp?a=soutlet001&amp;f=TR26Lvi93C%40IMG_8164.jpeg" TargetMode="External"/><Relationship Id="rId1283" Type="http://schemas.openxmlformats.org/officeDocument/2006/relationships/hyperlink" Target="https://ap12.ragic.com/sims/file.jsp?a=soutlet001&amp;f=EJMml8u2C1%40IMG_7697.jpeg" TargetMode="External"/><Relationship Id="rId1490" Type="http://schemas.openxmlformats.org/officeDocument/2006/relationships/hyperlink" Target="https://ap12.ragic.com/sims/file.jsp?a=soutlet001&amp;f=DV6Up3qyQ7%40626%E6%B4%97%E6%89%8B%E5%8F%B0%E6%B0%B4%E9%BE%8D%E9%A0%AD%E6%9C%83%E6%99%83-+%E5%B7%B2%E7%B6%93%E9%8E%96%E7%B7%8A.jpg" TargetMode="External"/><Relationship Id="rId306" Type="http://schemas.openxmlformats.org/officeDocument/2006/relationships/hyperlink" Target="https://ap12.ragic.com/sims/file.jsp?a=soutlet001&amp;f=UL95WfcKtC%403bafe3efde6023ee06a370be3d6cae24.png" TargetMode="External"/><Relationship Id="rId860" Type="http://schemas.openxmlformats.org/officeDocument/2006/relationships/hyperlink" Target="https://ap12.ragic.com/sims/file.jsp?a=soutlet001&amp;f=TYSJteQFxJ%40IMG_8531.jpeg" TargetMode="External"/><Relationship Id="rId958" Type="http://schemas.openxmlformats.org/officeDocument/2006/relationships/hyperlink" Target="https://ap12.ragic.com/sims/file.jsp?a=soutlet001&amp;f=jtZZAz8wTq%40IMG_7620.jpeg" TargetMode="External"/><Relationship Id="rId1143" Type="http://schemas.openxmlformats.org/officeDocument/2006/relationships/hyperlink" Target="https://ap12.ragic.com/sims/file.jsp?a=soutlet001&amp;f=11c3I03iRO%4073250.jpg" TargetMode="External"/><Relationship Id="rId1588" Type="http://schemas.openxmlformats.org/officeDocument/2006/relationships/hyperlink" Target="https://ap12.ragic.com/sims/file.jsp?a=soutlet001&amp;f=b31ex8284I%4073653.jpg" TargetMode="External"/><Relationship Id="rId1795" Type="http://schemas.openxmlformats.org/officeDocument/2006/relationships/hyperlink" Target="https://ap12.ragic.com/sims/file.jsp?a=soutlet001&amp;f=8WY8QLX7Az%4061977.jpg" TargetMode="External"/><Relationship Id="rId87" Type="http://schemas.openxmlformats.org/officeDocument/2006/relationships/hyperlink" Target="https://ap12.ragic.com/sims/file.jsp?a=soutlet001&amp;f=AjWR26cjdt%40IMG_0412.jpeg" TargetMode="External"/><Relationship Id="rId513" Type="http://schemas.openxmlformats.org/officeDocument/2006/relationships/hyperlink" Target="https://ap12.ragic.com/sims/file.jsp?a=soutlet001&amp;f=uj4IJFTNW8%40IMG_5068.jpeg" TargetMode="External"/><Relationship Id="rId720" Type="http://schemas.openxmlformats.org/officeDocument/2006/relationships/hyperlink" Target="https://ap12.ragic.com/sims/file.jsp?a=soutlet001&amp;f=QxdrbNd4Cx%401000006905.jpg" TargetMode="External"/><Relationship Id="rId818" Type="http://schemas.openxmlformats.org/officeDocument/2006/relationships/hyperlink" Target="https://ap12.ragic.com/sims/file.jsp?a=soutlet001&amp;f=82HgUzqvBp%401000006582.jpg" TargetMode="External"/><Relationship Id="rId1350" Type="http://schemas.openxmlformats.org/officeDocument/2006/relationships/hyperlink" Target="https://ap12.ragic.com/sims/file.jsp?a=soutlet001&amp;f=9H11RRD4xM%40IMG_7573.jpeg" TargetMode="External"/><Relationship Id="rId1448" Type="http://schemas.openxmlformats.org/officeDocument/2006/relationships/hyperlink" Target="https://ap12.ragic.com/sims/file.jsp?a=soutlet001&amp;f=ZAo29od4aM%40%E8%B1%A1%E7%89%99%E7%99%BD%E5%BE%85%E6%96%99%EF%BC%8C717%E5%85%88%E8%A3%9C%E7%9B%B8%E8%BF%91%E9%A1%8F%E8%89%B2%EF%BC%8C40%E5%88%86%E9%90%98%E6%9C%83%E4%B9%BE.jpg" TargetMode="External"/><Relationship Id="rId1655" Type="http://schemas.openxmlformats.org/officeDocument/2006/relationships/hyperlink" Target="https://ap12.ragic.com/sims/file.jsp?a=soutlet001&amp;f=aQC9CaH05K%40IMG_6137.jpeg" TargetMode="External"/><Relationship Id="rId1003" Type="http://schemas.openxmlformats.org/officeDocument/2006/relationships/hyperlink" Target="https://ap12.ragic.com/sims/file.jsp?a=soutlet001&amp;f=B2FKWTB3Xf%40811%E5%B7%B2%E9%BB%8F%E5%9B%9E%E5%AE%8C%E6%88%90%E3%80%82.jpg" TargetMode="External"/><Relationship Id="rId1210" Type="http://schemas.openxmlformats.org/officeDocument/2006/relationships/hyperlink" Target="https://ap12.ragic.com/sims/file.jsp?a=soutlet001&amp;f=IvzGfdJQhN%40522%E7%B7%A9%E8%A1%9D%E5%AE%8C%E6%88%90.jpg" TargetMode="External"/><Relationship Id="rId1308" Type="http://schemas.openxmlformats.org/officeDocument/2006/relationships/hyperlink" Target="https://ap12.ragic.com/sims/file.jsp?a=soutlet001&amp;f=qibO3tLGsg%40IMG_5374.jpeg" TargetMode="External"/><Relationship Id="rId1515" Type="http://schemas.openxmlformats.org/officeDocument/2006/relationships/hyperlink" Target="https://ap12.ragic.com/sims/file.jsp?a=soutlet001&amp;f=AqIgt0cI2n%4066969.jpg" TargetMode="External"/><Relationship Id="rId1722" Type="http://schemas.openxmlformats.org/officeDocument/2006/relationships/hyperlink" Target="https://ap12.ragic.com/sims/file.jsp?a=soutlet001&amp;f=yaVoE3vHj6%40IMG_6027.jpeg" TargetMode="External"/><Relationship Id="rId14" Type="http://schemas.openxmlformats.org/officeDocument/2006/relationships/hyperlink" Target="https://ap12.ragic.com/sims/file.jsp?a=soutlet001&amp;f=tcu82nCLuy%40IMG_1599.jpeg" TargetMode="External"/><Relationship Id="rId163" Type="http://schemas.openxmlformats.org/officeDocument/2006/relationships/hyperlink" Target="https://ap12.ragic.com/sims/file.jsp?a=soutlet001&amp;f=4zMyysWB2U%401020+%E9%9B%BB%E5%8B%95%E7%AA%97%E7%B0%BE%E8%AA%BF%E6%95%B4ok.jpg" TargetMode="External"/><Relationship Id="rId370" Type="http://schemas.openxmlformats.org/officeDocument/2006/relationships/hyperlink" Target="https://ap12.ragic.com/sims/file.jsp?a=soutlet001&amp;f=YbAy0TrjSd%4091157.jpg" TargetMode="External"/><Relationship Id="rId230" Type="http://schemas.openxmlformats.org/officeDocument/2006/relationships/hyperlink" Target="https://ap12.ragic.com/sims/file.jsp?a=soutlet001&amp;f=Xv1dfI8Ddx%40image.jpg" TargetMode="External"/><Relationship Id="rId468" Type="http://schemas.openxmlformats.org/officeDocument/2006/relationships/hyperlink" Target="https://ap12.ragic.com/sims/file.jsp?a=soutlet001&amp;f=524byDt5WS%40a568964e99f5510f0ccef53e5d3e6716.png" TargetMode="External"/><Relationship Id="rId675" Type="http://schemas.openxmlformats.org/officeDocument/2006/relationships/hyperlink" Target="https://ap12.ragic.com/sims/file.jsp?a=soutlet001&amp;f=dXtb09X3iW%401000007002.jpg" TargetMode="External"/><Relationship Id="rId882" Type="http://schemas.openxmlformats.org/officeDocument/2006/relationships/hyperlink" Target="https://ap12.ragic.com/sims/file.jsp?a=soutlet001&amp;f=0TQfnbB6gW%40image_F0147685-74FD-4148-9AF7-144A809D1246_1764761900_compressed.jpeg" TargetMode="External"/><Relationship Id="rId1098" Type="http://schemas.openxmlformats.org/officeDocument/2006/relationships/hyperlink" Target="https://ap12.ragic.com/sims/file.jsp?a=soutlet001&amp;f=XxGkMC5V0P%401000005806.jpg" TargetMode="External"/><Relationship Id="rId328" Type="http://schemas.openxmlformats.org/officeDocument/2006/relationships/hyperlink" Target="https://ap12.ragic.com/sims/file.jsp?a=soutlet001&amp;f=6HRpS8q0Wv%40751877a5679a0355b5de343e7662b95a.png" TargetMode="External"/><Relationship Id="rId535" Type="http://schemas.openxmlformats.org/officeDocument/2006/relationships/hyperlink" Target="https://ap12.ragic.com/sims/file.jsp?a=soutlet001&amp;f=K62w8TBYrJ%40701+%E5%B7%B2%E8%A3%9D%E4%B8%8A.jpg" TargetMode="External"/><Relationship Id="rId742" Type="http://schemas.openxmlformats.org/officeDocument/2006/relationships/hyperlink" Target="https://ap12.ragic.com/sims/file.jsp?a=soutlet001&amp;f=2waULNJHLF%401029+%E5%87%BA%E9%A2%A8%E5%8F%A3%E6%BA%AB%E5%BA%A631%E5%BA%A6.jpg" TargetMode="External"/><Relationship Id="rId1165" Type="http://schemas.openxmlformats.org/officeDocument/2006/relationships/hyperlink" Target="https://ap12.ragic.com/sims/file.jsp?a=soutlet001&amp;f=70NkIe7Vw4%40IMG_5931.jpeg" TargetMode="External"/><Relationship Id="rId1372" Type="http://schemas.openxmlformats.org/officeDocument/2006/relationships/hyperlink" Target="https://ap12.ragic.com/sims/file.jsp?a=soutlet001&amp;f=0T9OKbd608%40IMG_4962.jpeg" TargetMode="External"/><Relationship Id="rId602" Type="http://schemas.openxmlformats.org/officeDocument/2006/relationships/hyperlink" Target="https://ap12.ragic.com/sims/file.jsp?a=soutlet001&amp;f=v6XN1YjjEL%401000007198.jpg" TargetMode="External"/><Relationship Id="rId1025" Type="http://schemas.openxmlformats.org/officeDocument/2006/relationships/hyperlink" Target="https://ap12.ragic.com/sims/file.jsp?a=soutlet001&amp;f=tYk99le7e7%40628%E7%87%88%E6%B3%A1%E5%B7%B2%E6%9B%B4%E6%96%B0.jpg" TargetMode="External"/><Relationship Id="rId1232" Type="http://schemas.openxmlformats.org/officeDocument/2006/relationships/hyperlink" Target="https://ap12.ragic.com/sims/file.jsp?a=soutlet001&amp;f=z3lPLCkqBk%401000005419.jpg" TargetMode="External"/><Relationship Id="rId1677" Type="http://schemas.openxmlformats.org/officeDocument/2006/relationships/hyperlink" Target="https://ap12.ragic.com/sims/file.jsp?a=soutlet001&amp;f=9SAZY5I676%401000003856.jpg" TargetMode="External"/><Relationship Id="rId907" Type="http://schemas.openxmlformats.org/officeDocument/2006/relationships/hyperlink" Target="https://ap12.ragic.com/sims/file.jsp?a=soutlet001&amp;f=R2jXVbIRUx%401019%E6%9A%AB%E6%99%82%E5%B9%B3%E6%95%B4.jpg" TargetMode="External"/><Relationship Id="rId1537" Type="http://schemas.openxmlformats.org/officeDocument/2006/relationships/hyperlink" Target="https://ap12.ragic.com/sims/file.jsp?a=soutlet001&amp;f=H29OIzIgx6%40S__27869332.jpg" TargetMode="External"/><Relationship Id="rId1744" Type="http://schemas.openxmlformats.org/officeDocument/2006/relationships/hyperlink" Target="https://ap12.ragic.com/sims/file.jsp?a=soutlet001&amp;f=9jyCm0luQh%4060747.jpg" TargetMode="External"/><Relationship Id="rId36" Type="http://schemas.openxmlformats.org/officeDocument/2006/relationships/hyperlink" Target="https://ap12.ragic.com/sims/file.jsp?a=soutlet001&amp;f=qOAvgWLNsp%40IMG_2154.jpeg" TargetMode="External"/><Relationship Id="rId1604" Type="http://schemas.openxmlformats.org/officeDocument/2006/relationships/hyperlink" Target="https://ap12.ragic.com/sims/file.jsp?a=soutlet001&amp;f=2346035eze%40image_2BC52210-2A92-43F9-BB33-F36AF5B8C931_1756736170_compressed.jpeg" TargetMode="External"/><Relationship Id="rId185" Type="http://schemas.openxmlformats.org/officeDocument/2006/relationships/hyperlink" Target="https://ap12.ragic.com/sims/file.jsp?a=soutlet001&amp;f=v1mK49eM3b%40IMG_0303.jpeg" TargetMode="External"/><Relationship Id="rId1811" Type="http://schemas.openxmlformats.org/officeDocument/2006/relationships/hyperlink" Target="https://ap12.ragic.com/sims/file.jsp?a=soutlet001&amp;f=hB48Qe0G9d%40S__4210806.jpg" TargetMode="External"/><Relationship Id="rId392" Type="http://schemas.openxmlformats.org/officeDocument/2006/relationships/hyperlink" Target="https://ap12.ragic.com/sims/file.jsp?a=soutlet001&amp;f=nREYzF2DQB%401000007886.jpg" TargetMode="External"/><Relationship Id="rId697" Type="http://schemas.openxmlformats.org/officeDocument/2006/relationships/hyperlink" Target="https://ap12.ragic.com/sims/file.jsp?a=soutlet001&amp;f=AAMimeUEXG%40516+%E8%B2%93%E7%9C%BC%E5%B7%B2%E6%9B%B4%E6%8F%9B.jpg" TargetMode="External"/><Relationship Id="rId252" Type="http://schemas.openxmlformats.org/officeDocument/2006/relationships/hyperlink" Target="https://ap12.ragic.com/sims/file.jsp?a=soutlet001&amp;f=1f6yvwt6iz%403c52199f27b914b2f0b9946321bb5e0f.png" TargetMode="External"/><Relationship Id="rId1187" Type="http://schemas.openxmlformats.org/officeDocument/2006/relationships/hyperlink" Target="https://ap12.ragic.com/sims/file.jsp?a=soutlet001&amp;f=d2fsl2to9S%40IMG_5838.jpeg" TargetMode="External"/><Relationship Id="rId112" Type="http://schemas.openxmlformats.org/officeDocument/2006/relationships/hyperlink" Target="https://ap12.ragic.com/sims/file.jsp?a=soutlet001&amp;f=eoGBjEaSmS%401000008662.jpg" TargetMode="External"/><Relationship Id="rId557" Type="http://schemas.openxmlformats.org/officeDocument/2006/relationships/hyperlink" Target="https://ap12.ragic.com/sims/file.jsp?a=soutlet001&amp;f=mhf1DTENVC%401000007310.jpg" TargetMode="External"/><Relationship Id="rId764" Type="http://schemas.openxmlformats.org/officeDocument/2006/relationships/hyperlink" Target="https://ap12.ragic.com/sims/file.jsp?a=soutlet001&amp;f=kdEWT36uWJ%40%E5%90%B8%E5%A1%B5%E5%99%A8%E6%8F%92%E9%A0%AD%E5%B7%B2%E6%8E%A5%E5%A5%BD.jpg" TargetMode="External"/><Relationship Id="rId971" Type="http://schemas.openxmlformats.org/officeDocument/2006/relationships/hyperlink" Target="https://ap12.ragic.com/sims/file.jsp?a=soutlet001&amp;f=ZmNDvrIY37%40628%E7%86%A8%E6%96%97%E6%9E%B6%E5%B7%B2%E6%9B%B4%E6%96%B0%E5%AE%8C%E6%88%90.jpg" TargetMode="External"/><Relationship Id="rId1394" Type="http://schemas.openxmlformats.org/officeDocument/2006/relationships/hyperlink" Target="https://ap12.ragic.com/sims/file.jsp?a=soutlet001&amp;f=3L0zEGvo1R%40image_D80A777B-DB2F-410C-A7E8-81C2CE9AFC6A_1759110280_compressed.jpeg" TargetMode="External"/><Relationship Id="rId1699" Type="http://schemas.openxmlformats.org/officeDocument/2006/relationships/hyperlink" Target="https://ap12.ragic.com/sims/file.jsp?a=soutlet001&amp;f=e4HV032qIL%4063373.jpg" TargetMode="External"/><Relationship Id="rId417" Type="http://schemas.openxmlformats.org/officeDocument/2006/relationships/hyperlink" Target="https://ap12.ragic.com/sims/file.jsp?a=soutlet001&amp;f=HL0bekwvIr%402d49d12982270342bfcd6bee36b3717c.png" TargetMode="External"/><Relationship Id="rId624" Type="http://schemas.openxmlformats.org/officeDocument/2006/relationships/hyperlink" Target="https://ap12.ragic.com/sims/file.jsp?a=soutlet001&amp;f=PQstXgWUZ8%40fe806036a6e447da69257cda297a88be.png" TargetMode="External"/><Relationship Id="rId831" Type="http://schemas.openxmlformats.org/officeDocument/2006/relationships/hyperlink" Target="https://ap12.ragic.com/sims/file.jsp?a=soutlet001&amp;f=kD0ZKcQead%40630%E6%B0%B4%E9%BE%8D%E9%A0%AD%E5%9B%BA%E5%AE%9A%E5%AE%8C%E6%88%90.jpg" TargetMode="External"/><Relationship Id="rId1047" Type="http://schemas.openxmlformats.org/officeDocument/2006/relationships/hyperlink" Target="https://ap12.ragic.com/sims/file.jsp?a=soutlet001&amp;f=K5m1Lc9QjO%40910%E6%9B%B4%E6%8F%9B%E5%AE%8C%E6%88%90.jpg" TargetMode="External"/><Relationship Id="rId1254" Type="http://schemas.openxmlformats.org/officeDocument/2006/relationships/hyperlink" Target="https://ap12.ragic.com/sims/file.jsp?a=soutlet001&amp;f=qe2TpKFJk3%40IMG_7726.jpeg" TargetMode="External"/><Relationship Id="rId1461" Type="http://schemas.openxmlformats.org/officeDocument/2006/relationships/hyperlink" Target="https://ap12.ragic.com/sims/file.jsp?a=soutlet001&amp;f=4U520HF92l%4053148.jpg" TargetMode="External"/><Relationship Id="rId929" Type="http://schemas.openxmlformats.org/officeDocument/2006/relationships/hyperlink" Target="https://ap12.ragic.com/sims/file.jsp?a=soutlet001&amp;f=KADtnBdHPO%40%E7%AA%AF%E5%BB%B3%E6%8F%92%E5%BA%A7%E5%AE%8C%E6%88%90.jpg" TargetMode="External"/><Relationship Id="rId1114" Type="http://schemas.openxmlformats.org/officeDocument/2006/relationships/hyperlink" Target="https://ap12.ragic.com/sims/file.jsp?a=soutlet001&amp;f=TmRA1w31z4%40923%E4%B8%8B%E6%AD%A2%E6%B0%B4%E6%A2%9D%E5%B7%B2%E6%9B%B4%E6%96%B0%E5%AE%8C%E6%88%90.jpg" TargetMode="External"/><Relationship Id="rId1321" Type="http://schemas.openxmlformats.org/officeDocument/2006/relationships/hyperlink" Target="https://ap12.ragic.com/sims/file.jsp?a=soutlet001&amp;f=XJyJ02nym7%40IMG_5345.jpeg" TargetMode="External"/><Relationship Id="rId1559" Type="http://schemas.openxmlformats.org/officeDocument/2006/relationships/hyperlink" Target="https://ap12.ragic.com/sims/file.jsp?a=soutlet001&amp;f=4m328i7Y2F%40501+%E8%9E%BA%E7%B5%B2%E5%B7%B2%E9%8E%96%E7%B7%8A.jpg" TargetMode="External"/><Relationship Id="rId1766" Type="http://schemas.openxmlformats.org/officeDocument/2006/relationships/hyperlink" Target="https://ap12.ragic.com/sims/file.jsp?a=soutlet001&amp;f=jWML1W4Z9H%40IMG_5950.jpeg" TargetMode="External"/><Relationship Id="rId58" Type="http://schemas.openxmlformats.org/officeDocument/2006/relationships/hyperlink" Target="https://ap12.ragic.com/sims/file.jsp?a=soutlet001&amp;f=TL0Ft8Dof9%40IMG_0657.jpeg" TargetMode="External"/><Relationship Id="rId1419" Type="http://schemas.openxmlformats.org/officeDocument/2006/relationships/hyperlink" Target="https://ap12.ragic.com/sims/file.jsp?a=soutlet001&amp;f=U0Wg7ky5Gu%4057213.jpg" TargetMode="External"/><Relationship Id="rId1626" Type="http://schemas.openxmlformats.org/officeDocument/2006/relationships/hyperlink" Target="https://ap12.ragic.com/sims/file.jsp?a=soutlet001&amp;f=4Q8wU0cZnD%40image_B9D88ED5-60AC-4E9D-89FF-AF9A66B055CB_1756731828_compressed.jpeg" TargetMode="External"/><Relationship Id="rId1833" Type="http://schemas.openxmlformats.org/officeDocument/2006/relationships/hyperlink" Target="https://ap12.ragic.com/sims/file.jsp?a=soutlet001&amp;f=PZIBZ9P1Zm%40681858.jpg" TargetMode="External"/><Relationship Id="rId274" Type="http://schemas.openxmlformats.org/officeDocument/2006/relationships/hyperlink" Target="https://ap12.ragic.com/sims/file.jsp?a=soutlet001&amp;f=vpHtUBaKkX%40bf6c9b836970748a29633c0a76ac1426.png" TargetMode="External"/><Relationship Id="rId481" Type="http://schemas.openxmlformats.org/officeDocument/2006/relationships/hyperlink" Target="https://ap12.ragic.com/sims/file.jsp?a=soutlet001&amp;f=FsCrZTAYJh%40618%E8%B2%93%E7%9C%BC%E5%B7%B2%E5%9B%BA%E5%AE%9A%E5%AE%8C%E6%88%90.jpg" TargetMode="External"/><Relationship Id="rId134" Type="http://schemas.openxmlformats.org/officeDocument/2006/relationships/hyperlink" Target="https://ap12.ragic.com/sims/file.jsp?a=soutlet001&amp;f=BcSe8jGMuZ%40S__5619739.jpg" TargetMode="External"/><Relationship Id="rId579" Type="http://schemas.openxmlformats.org/officeDocument/2006/relationships/hyperlink" Target="https://ap12.ragic.com/sims/file.jsp?a=soutlet001&amp;f=aPEDdoZYib%4068d26a8ff9bc066d103cf341996af8fb.png" TargetMode="External"/><Relationship Id="rId786" Type="http://schemas.openxmlformats.org/officeDocument/2006/relationships/hyperlink" Target="https://ap12.ragic.com/sims/file.jsp?a=soutlet001&amp;f=8XPel82xt8%40IMG_4336.jpeg" TargetMode="External"/><Relationship Id="rId993" Type="http://schemas.openxmlformats.org/officeDocument/2006/relationships/hyperlink" Target="https://ap12.ragic.com/sims/file.jsp?a=soutlet001&amp;f=yNULgJgVJj%40image_6DC39BDC-5624-4911-96E0-6A3B7BF6BA50_1763254612_compressed.jpeg" TargetMode="External"/><Relationship Id="rId341" Type="http://schemas.openxmlformats.org/officeDocument/2006/relationships/hyperlink" Target="https://ap12.ragic.com/sims/file.jsp?a=soutlet001&amp;f=JqAbzOHiC9%40IMG_1970.jpeg" TargetMode="External"/><Relationship Id="rId439" Type="http://schemas.openxmlformats.org/officeDocument/2006/relationships/hyperlink" Target="https://ap12.ragic.com/sims/file.jsp?a=soutlet001&amp;f=UKkOXT1TVy%40620+%E6%B5%B4%E5%AE%A4%E9%96%80%E6%8A%8A%E6%89%8B%E5%B7%B2%E9%8E%96%E7%B7%8A.jpg" TargetMode="External"/><Relationship Id="rId646" Type="http://schemas.openxmlformats.org/officeDocument/2006/relationships/hyperlink" Target="https://ap12.ragic.com/sims/file.jsp?a=soutlet001&amp;f=76YVipVe3Q%40233807.jpg" TargetMode="External"/><Relationship Id="rId1069" Type="http://schemas.openxmlformats.org/officeDocument/2006/relationships/hyperlink" Target="https://ap12.ragic.com/sims/file.jsp?a=soutlet001&amp;f=j7FlAchjgj%40603%E6%9B%B4%E6%96%B0%E5%AE%8C%E6%88%90.jpg" TargetMode="External"/><Relationship Id="rId1276" Type="http://schemas.openxmlformats.org/officeDocument/2006/relationships/hyperlink" Target="https://ap12.ragic.com/sims/file.jsp?a=soutlet001&amp;f=GisB49S096%40519%E8%A1%9B%E7%94%9F%E7%B4%99%E6%9E%B6%E8%99%95%E7%90%86%E5%AE%8C%E7%95%A2.jpg" TargetMode="External"/><Relationship Id="rId1483" Type="http://schemas.openxmlformats.org/officeDocument/2006/relationships/hyperlink" Target="https://ap12.ragic.com/sims/file.jsp?a=soutlet001&amp;f=v02N8qGhI8%40709%E6%8A%8A%E6%89%8B%E8%AA%BF%E6%95%B4%E5%AE%8C%E6%88%90.jpg" TargetMode="External"/><Relationship Id="rId201" Type="http://schemas.openxmlformats.org/officeDocument/2006/relationships/hyperlink" Target="https://ap12.ragic.com/sims/file.jsp?a=soutlet001&amp;f=ETkUEhBfZD%401000008200.jpg" TargetMode="External"/><Relationship Id="rId506" Type="http://schemas.openxmlformats.org/officeDocument/2006/relationships/hyperlink" Target="https://ap12.ragic.com/sims/file.jsp?a=soutlet001&amp;f=rEHM2A2NKP%40IMG_9856.jpeg" TargetMode="External"/><Relationship Id="rId853" Type="http://schemas.openxmlformats.org/officeDocument/2006/relationships/hyperlink" Target="https://ap12.ragic.com/sims/file.jsp?a=soutlet001&amp;f=R2NflEwHvX%40613%E5%B7%B2%E8%A3%9D%E4%B8%8A.jpg" TargetMode="External"/><Relationship Id="rId1136" Type="http://schemas.openxmlformats.org/officeDocument/2006/relationships/hyperlink" Target="https://ap12.ragic.com/sims/file.jsp?a=soutlet001&amp;f=N5Xfg852NC%4074153.jpg" TargetMode="External"/><Relationship Id="rId1690" Type="http://schemas.openxmlformats.org/officeDocument/2006/relationships/hyperlink" Target="https://ap12.ragic.com/sims/file.jsp?a=soutlet001&amp;f=0xE3nYgEuN%4063454.jpg" TargetMode="External"/><Relationship Id="rId1788" Type="http://schemas.openxmlformats.org/officeDocument/2006/relationships/hyperlink" Target="https://ap12.ragic.com/sims/file.jsp?a=soutlet001&amp;f=u3WTN5860I%40image.jpg" TargetMode="External"/><Relationship Id="rId713" Type="http://schemas.openxmlformats.org/officeDocument/2006/relationships/hyperlink" Target="https://ap12.ragic.com/sims/file.jsp?a=soutlet001&amp;f=94tCu5YFgu%40IMG_9585.jpeg" TargetMode="External"/><Relationship Id="rId920" Type="http://schemas.openxmlformats.org/officeDocument/2006/relationships/hyperlink" Target="https://ap12.ragic.com/sims/file.jsp?a=soutlet001&amp;f=vGJ990iqKi%4077625.jpg" TargetMode="External"/><Relationship Id="rId1343" Type="http://schemas.openxmlformats.org/officeDocument/2006/relationships/hyperlink" Target="https://ap12.ragic.com/sims/file.jsp?a=soutlet001&amp;f=GgWWK79Uvc%40717%E8%93%AE%E8%93%AC%E9%A0%AD%E4%BF%AE%E5%BE%A9%E5%AE%8C%E6%88%90.jpg" TargetMode="External"/><Relationship Id="rId1550" Type="http://schemas.openxmlformats.org/officeDocument/2006/relationships/hyperlink" Target="https://ap12.ragic.com/sims/file.jsp?a=soutlet001&amp;f=6rDQ4S0DAa%40610%E9%A6%AC%E6%A1%B6%E8%A3%9C%E6%BC%86%E5%AE%8C%E6%88%90.jpg" TargetMode="External"/><Relationship Id="rId1648" Type="http://schemas.openxmlformats.org/officeDocument/2006/relationships/hyperlink" Target="https://ap12.ragic.com/sims/file.jsp?a=soutlet001&amp;f=1LiJ5qAszo%40image_B13058AC-B9DB-48BA-8E30-CDF9934155F6_1756452652_compressed.jpeg" TargetMode="External"/><Relationship Id="rId1203" Type="http://schemas.openxmlformats.org/officeDocument/2006/relationships/hyperlink" Target="https://ap12.ragic.com/sims/file.jsp?a=soutlet001&amp;f=sE5V320ruV%40IMG_5762.jpeg" TargetMode="External"/><Relationship Id="rId1410" Type="http://schemas.openxmlformats.org/officeDocument/2006/relationships/hyperlink" Target="https://ap12.ragic.com/sims/file.jsp?a=soutlet001&amp;f=x5Qbsgqvu8%40image_CF58B62E-DC55-4611-8495-1F47CA656A38_1759118444_compressed.jpeg" TargetMode="External"/><Relationship Id="rId1508" Type="http://schemas.openxmlformats.org/officeDocument/2006/relationships/hyperlink" Target="https://ap12.ragic.com/sims/file.jsp?a=soutlet001&amp;f=rl0671C78d%4066845.jpg" TargetMode="External"/><Relationship Id="rId1715" Type="http://schemas.openxmlformats.org/officeDocument/2006/relationships/hyperlink" Target="https://ap12.ragic.com/sims/file.jsp?a=soutlet001&amp;f=A6dH41S7j7%40IMG_6036.jpeg" TargetMode="External"/><Relationship Id="rId296" Type="http://schemas.openxmlformats.org/officeDocument/2006/relationships/hyperlink" Target="https://ap12.ragic.com/sims/file.jsp?a=soutlet001&amp;f=Dy2QmoNZYM%402b2f0ebe27e3537e23fe306c28b1e667.png" TargetMode="External"/><Relationship Id="rId156" Type="http://schemas.openxmlformats.org/officeDocument/2006/relationships/hyperlink" Target="https://ap12.ragic.com/sims/file.jsp?a=soutlet001&amp;f=BSQ39v6bF4%40512%E9%96%80%E9%8E%96%E9%9B%BB%E6%B1%A0%E5%B7%B2%E6%9B%B4%E6%8F%9B.jpg" TargetMode="External"/><Relationship Id="rId363" Type="http://schemas.openxmlformats.org/officeDocument/2006/relationships/hyperlink" Target="https://ap12.ragic.com/sims/file.jsp?a=soutlet001&amp;f=hLwDfOfn3r%4091548.jpg" TargetMode="External"/><Relationship Id="rId570" Type="http://schemas.openxmlformats.org/officeDocument/2006/relationships/hyperlink" Target="https://ap12.ragic.com/sims/file.jsp?a=soutlet001&amp;f=49czEhxw1w%400545e0af39eca38815394bc5b393c2ba.png" TargetMode="External"/><Relationship Id="rId223" Type="http://schemas.openxmlformats.org/officeDocument/2006/relationships/hyperlink" Target="https://ap12.ragic.com/sims/file.jsp?a=soutlet001&amp;f=FObYqPLXmi%40627+%E5%B7%B2%E8%AA%BF%E6%95%B4%E5%A5%BD.jpg" TargetMode="External"/><Relationship Id="rId430" Type="http://schemas.openxmlformats.org/officeDocument/2006/relationships/hyperlink" Target="https://ap12.ragic.com/sims/file.jsp?a=soutlet001&amp;f=MhCEhEvydA%401000007738.jpg" TargetMode="External"/><Relationship Id="rId668" Type="http://schemas.openxmlformats.org/officeDocument/2006/relationships/hyperlink" Target="https://ap12.ragic.com/sims/file.jsp?a=soutlet001&amp;f=pFq6kFvmWd%40IMG_9619.jpeg" TargetMode="External"/><Relationship Id="rId875" Type="http://schemas.openxmlformats.org/officeDocument/2006/relationships/hyperlink" Target="https://ap12.ragic.com/sims/file.jsp?a=soutlet001&amp;f=B8a8wlhGjw%40520%E5%B7%B2%E6%9B%B4%E6%8F%9B.jpg" TargetMode="External"/><Relationship Id="rId1060" Type="http://schemas.openxmlformats.org/officeDocument/2006/relationships/hyperlink" Target="https://ap12.ragic.com/sims/file.jsp?a=soutlet001&amp;f=1lYcQ8l20v%40719.jpg" TargetMode="External"/><Relationship Id="rId1298" Type="http://schemas.openxmlformats.org/officeDocument/2006/relationships/hyperlink" Target="https://ap12.ragic.com/sims/file.jsp?a=soutlet001&amp;f=A13K10cKr6%40IMG_5391.jpeg" TargetMode="External"/><Relationship Id="rId528" Type="http://schemas.openxmlformats.org/officeDocument/2006/relationships/hyperlink" Target="https://ap12.ragic.com/sims/file.jsp?a=soutlet001&amp;f=sgiUe7MLzY%4075bb34feaf0d3564699ba8f9dd2cfd49.png" TargetMode="External"/><Relationship Id="rId735" Type="http://schemas.openxmlformats.org/officeDocument/2006/relationships/hyperlink" Target="https://ap12.ragic.com/sims/file.jsp?a=soutlet001&amp;f=4tbmmp6GiM%40S__40476741.jpg" TargetMode="External"/><Relationship Id="rId942" Type="http://schemas.openxmlformats.org/officeDocument/2006/relationships/hyperlink" Target="https://ap12.ragic.com/sims/file.jsp?a=soutlet001&amp;f=Il5SWGR6vf%40S__144015440.jpg" TargetMode="External"/><Relationship Id="rId1158" Type="http://schemas.openxmlformats.org/officeDocument/2006/relationships/hyperlink" Target="https://ap12.ragic.com/sims/file.jsp?a=soutlet001&amp;f=g077EyPrqz%401000005606.jpg" TargetMode="External"/><Relationship Id="rId1365" Type="http://schemas.openxmlformats.org/officeDocument/2006/relationships/hyperlink" Target="https://ap12.ragic.com/sims/file.jsp?a=soutlet001&amp;f=TIvQD7F9m2%40IMG_7548.jpeg" TargetMode="External"/><Relationship Id="rId1572" Type="http://schemas.openxmlformats.org/officeDocument/2006/relationships/hyperlink" Target="https://ap12.ragic.com/sims/file.jsp?a=soutlet001&amp;f=38PDsu6dPR%40IMG_3997.jpeg" TargetMode="External"/><Relationship Id="rId1018" Type="http://schemas.openxmlformats.org/officeDocument/2006/relationships/hyperlink" Target="https://ap12.ragic.com/sims/file.jsp?a=soutlet001&amp;f=sBoeq88dcz%40829%E7%9B%A5%E6%B4%97%E7%94%A8%E5%93%81%E6%9E%B6%E6%9B%B4%E6%96%B0%E5%AE%8C%E6%88%90.jpg" TargetMode="External"/><Relationship Id="rId1225" Type="http://schemas.openxmlformats.org/officeDocument/2006/relationships/hyperlink" Target="https://ap12.ragic.com/sims/file.jsp?a=soutlet001&amp;f=S219s6Aan1%4020251015.jpg" TargetMode="External"/><Relationship Id="rId1432" Type="http://schemas.openxmlformats.org/officeDocument/2006/relationships/hyperlink" Target="https://ap12.ragic.com/sims/file.jsp?a=soutlet001&amp;f=4OTVxwuki4%40IMG_7451.jpeg" TargetMode="External"/><Relationship Id="rId71" Type="http://schemas.openxmlformats.org/officeDocument/2006/relationships/hyperlink" Target="https://ap12.ragic.com/sims/file.jsp?a=soutlet001&amp;f=Q9AgSvw4PZ%40IMG_0597.jpeg" TargetMode="External"/><Relationship Id="rId802" Type="http://schemas.openxmlformats.org/officeDocument/2006/relationships/hyperlink" Target="https://ap12.ragic.com/sims/file.jsp?a=soutlet001&amp;f=5Er8qiSSSm%40IMG_9440.jpeg" TargetMode="External"/><Relationship Id="rId1737" Type="http://schemas.openxmlformats.org/officeDocument/2006/relationships/hyperlink" Target="https://ap12.ragic.com/sims/file.jsp?a=soutlet001&amp;f=80qa0sn575%40S__27328550.jpg" TargetMode="External"/><Relationship Id="rId29" Type="http://schemas.openxmlformats.org/officeDocument/2006/relationships/hyperlink" Target="https://ap12.ragic.com/sims/file.jsp?a=soutlet001&amp;f=ZFdB8FoQPk%40S__7561218.jpg" TargetMode="External"/><Relationship Id="rId178" Type="http://schemas.openxmlformats.org/officeDocument/2006/relationships/hyperlink" Target="https://ap12.ragic.com/sims/file.jsp?a=soutlet001&amp;f=pu8I3EHOip%40image+%282%29.jpg" TargetMode="External"/><Relationship Id="rId1804" Type="http://schemas.openxmlformats.org/officeDocument/2006/relationships/hyperlink" Target="https://ap12.ragic.com/sims/file.jsp?a=soutlet001&amp;f=0o17P0mK36%40IMG_2820.jpeg" TargetMode="External"/><Relationship Id="rId385" Type="http://schemas.openxmlformats.org/officeDocument/2006/relationships/hyperlink" Target="https://ap12.ragic.com/sims/file.jsp?a=soutlet001&amp;f=f2wXIJufe7%40IMG_6293.jpeg" TargetMode="External"/><Relationship Id="rId592" Type="http://schemas.openxmlformats.org/officeDocument/2006/relationships/hyperlink" Target="https://ap12.ragic.com/sims/file.jsp?a=soutlet001&amp;f=HpcKepYlJY%40918%E6%9B%B4%E6%8F%9B%E5%AE%8C%E6%88%90.jpg" TargetMode="External"/><Relationship Id="rId245" Type="http://schemas.openxmlformats.org/officeDocument/2006/relationships/hyperlink" Target="https://ap12.ragic.com/sims/file.jsp?a=soutlet001&amp;f=DdwY3d6q1C%401000008064.jpg" TargetMode="External"/><Relationship Id="rId452" Type="http://schemas.openxmlformats.org/officeDocument/2006/relationships/hyperlink" Target="https://ap12.ragic.com/sims/file.jsp?a=soutlet001&amp;f=4SHviu4YkB%40IMG_9887.jpeg" TargetMode="External"/><Relationship Id="rId897" Type="http://schemas.openxmlformats.org/officeDocument/2006/relationships/hyperlink" Target="https://ap12.ragic.com/sims/file.jsp?a=soutlet001&amp;f=UCEM4It8Tz%40616%E9%A6%AC%E6%A1%B6%E6%BC%8F%E6%B0%B4%E6%98%AF%E5%BE%AE%E6%BC%8F%EF%BC%8C%E5%9B%A0%E7%82%BA%E6%9C%89%E9%A0%90%E9%80%B2%EF%BC%8C%E5%B7%B2%E5%85%88%E6%9A%AB%E6%99%82%E6%94%BE%E5%B8%83%E5%9C%A8%E9%A6%AC%E6%A1%B6%E4%B8%8B%E6%96%B9%EF%BC%8C%E7%AD%89%E5%AE%A2%E9%80%80%E6%88%BF%E5%BE%8C%E5%86%8D%E8%99%95%E7%90%86.jpg" TargetMode="External"/><Relationship Id="rId1082" Type="http://schemas.openxmlformats.org/officeDocument/2006/relationships/hyperlink" Target="https://ap12.ragic.com/sims/file.jsp?a=soutlet001&amp;f=Ut2vHVu8UQ%4075565.jpg" TargetMode="External"/><Relationship Id="rId105" Type="http://schemas.openxmlformats.org/officeDocument/2006/relationships/hyperlink" Target="https://ap12.ragic.com/sims/file.jsp?a=soutlet001&amp;f=ZipihOkZpJ%40IMG_0491.jpeg" TargetMode="External"/><Relationship Id="rId312" Type="http://schemas.openxmlformats.org/officeDocument/2006/relationships/hyperlink" Target="https://ap12.ragic.com/sims/file.jsp?a=soutlet001&amp;f=T0r7K0uxDo%4080d00165eb418462d3320e28639b6992.png" TargetMode="External"/><Relationship Id="rId757" Type="http://schemas.openxmlformats.org/officeDocument/2006/relationships/hyperlink" Target="https://ap12.ragic.com/sims/file.jsp?a=soutlet001&amp;f=2NhOmt5RA3%401000006763.jpg" TargetMode="External"/><Relationship Id="rId964" Type="http://schemas.openxmlformats.org/officeDocument/2006/relationships/hyperlink" Target="https://ap12.ragic.com/sims/file.jsp?a=soutlet001&amp;f=uQKm7PpwwL%40731%E7%87%88%E6%B3%A1%E5%B7%B2%E6%9B%B4%E6%96%B0%E5%AE%8C%E6%88%90.jpg" TargetMode="External"/><Relationship Id="rId1387" Type="http://schemas.openxmlformats.org/officeDocument/2006/relationships/hyperlink" Target="https://ap12.ragic.com/sims/file.jsp?a=soutlet001&amp;f=Yw07Fx5M4w%40image_3C4DA7A8-CE47-4CCE-9F59-DC0EED25660E_1759231548_compressed.jpeg" TargetMode="External"/><Relationship Id="rId1594" Type="http://schemas.openxmlformats.org/officeDocument/2006/relationships/hyperlink" Target="https://ap12.ragic.com/sims/file.jsp?a=soutlet001&amp;f=HcZIm3Y6lG%40image_EC2887FB-980B-400A-AA28-C225392BD755_1756989249_compressed.jpeg" TargetMode="External"/><Relationship Id="rId93" Type="http://schemas.openxmlformats.org/officeDocument/2006/relationships/hyperlink" Target="https://ap12.ragic.com/sims/file.jsp?a=soutlet001&amp;f=giBsd44Bje%401000008973.jpg" TargetMode="External"/><Relationship Id="rId617" Type="http://schemas.openxmlformats.org/officeDocument/2006/relationships/hyperlink" Target="https://ap12.ragic.com/sims/file.jsp?a=soutlet001&amp;f=ZrkM3oaLGJ%406c1829000f7d4359ccab4091fd5c865b.png" TargetMode="External"/><Relationship Id="rId824" Type="http://schemas.openxmlformats.org/officeDocument/2006/relationships/hyperlink" Target="https://ap12.ragic.com/sims/file.jsp?a=soutlet001&amp;f=1LFLyf2Q4X%401765698785882.jpg" TargetMode="External"/><Relationship Id="rId1247" Type="http://schemas.openxmlformats.org/officeDocument/2006/relationships/hyperlink" Target="https://ap12.ragic.com/sims/file.jsp?a=soutlet001&amp;f=70v31Db3X0%40IMG_7746.jpeg" TargetMode="External"/><Relationship Id="rId1454" Type="http://schemas.openxmlformats.org/officeDocument/2006/relationships/hyperlink" Target="https://ap12.ragic.com/sims/file.jsp?a=soutlet001&amp;f=sQ2gO3Vo8H%40705%E5%B7%B2%E8%AA%BF%E6%95%B4%E5%AE%8C%E6%88%90.jpg" TargetMode="External"/><Relationship Id="rId1661" Type="http://schemas.openxmlformats.org/officeDocument/2006/relationships/hyperlink" Target="https://ap12.ragic.com/sims/file.jsp?a=soutlet001&amp;f=92YZuo0zX0%40S__4169777.jpg" TargetMode="External"/><Relationship Id="rId1107" Type="http://schemas.openxmlformats.org/officeDocument/2006/relationships/hyperlink" Target="https://ap12.ragic.com/sims/file.jsp?a=soutlet001&amp;f=05m2tX75Ju%40623%E4%B8%8B%E6%AD%A2%E6%B0%B4%E6%A2%9D%E5%B7%B2%E6%9B%B4%E6%96%B0%E5%AE%8C%E6%88%90.jpg" TargetMode="External"/><Relationship Id="rId1314" Type="http://schemas.openxmlformats.org/officeDocument/2006/relationships/hyperlink" Target="https://ap12.ragic.com/sims/file.jsp?a=soutlet001&amp;f=KpuE7e4RdI%401020+%E8%B2%93%E7%9C%BC%E8%AA%BF%E6%95%B4%E5%AE%8C%E6%88%90.jpg" TargetMode="External"/><Relationship Id="rId1521" Type="http://schemas.openxmlformats.org/officeDocument/2006/relationships/hyperlink" Target="https://ap12.ragic.com/sims/file.jsp?a=soutlet001&amp;f=ygV2QcK1iV%40S__8822848.jpg" TargetMode="External"/><Relationship Id="rId1759" Type="http://schemas.openxmlformats.org/officeDocument/2006/relationships/hyperlink" Target="https://ap12.ragic.com/sims/file.jsp?a=soutlet001&amp;f=Y9h6k7C7Sf%40171236.jpg" TargetMode="External"/><Relationship Id="rId1619" Type="http://schemas.openxmlformats.org/officeDocument/2006/relationships/hyperlink" Target="https://ap12.ragic.com/sims/file.jsp?a=soutlet001&amp;f=3IAjn1nfYv%40IMG_6199.jpeg" TargetMode="External"/><Relationship Id="rId1826" Type="http://schemas.openxmlformats.org/officeDocument/2006/relationships/hyperlink" Target="https://ap12.ragic.com/sims/file.jsp?a=soutlet001&amp;f=zW0x98KnVP%4060960.jpg" TargetMode="External"/><Relationship Id="rId20" Type="http://schemas.openxmlformats.org/officeDocument/2006/relationships/hyperlink" Target="https://ap12.ragic.com/sims/file.jsp?a=soutlet001&amp;f=HSGmeb03Od%40IMG_1466.jpeg" TargetMode="External"/><Relationship Id="rId267" Type="http://schemas.openxmlformats.org/officeDocument/2006/relationships/hyperlink" Target="https://ap12.ragic.com/sims/file.jsp?a=soutlet001&amp;f=HER8P4rxqr%402ae8cf34b04e41c518c811e1a78a1701.png" TargetMode="External"/><Relationship Id="rId474" Type="http://schemas.openxmlformats.org/officeDocument/2006/relationships/hyperlink" Target="https://ap12.ragic.com/sims/file.jsp?a=soutlet001&amp;f=QP7Ghlgcnh%40620%E9%9B%BB%E7%87%88%E5%B7%B2%E8%AA%BF%E6%95%B4.jpg" TargetMode="External"/><Relationship Id="rId127" Type="http://schemas.openxmlformats.org/officeDocument/2006/relationships/hyperlink" Target="https://ap12.ragic.com/sims/file.jsp?a=soutlet001&amp;f=POXDqKrONh%40IMG_2541.jpeg" TargetMode="External"/><Relationship Id="rId681" Type="http://schemas.openxmlformats.org/officeDocument/2006/relationships/hyperlink" Target="https://ap12.ragic.com/sims/file.jsp?a=soutlet001&amp;f=lWo8GGnIkH%401016+%E9%9B%BB%E7%87%88%E5%B7%B2%E4%BF%AE%E5%BE%A9.jpg" TargetMode="External"/><Relationship Id="rId779" Type="http://schemas.openxmlformats.org/officeDocument/2006/relationships/hyperlink" Target="https://ap12.ragic.com/sims/file.jsp?a=soutlet001&amp;f=b9YKUUnbgn%40IMG_4365.jpeg" TargetMode="External"/><Relationship Id="rId986" Type="http://schemas.openxmlformats.org/officeDocument/2006/relationships/hyperlink" Target="https://ap12.ragic.com/sims/file.jsp?a=soutlet001&amp;f=ZVi0MzMD36%40image_5C1C4F7B-4463-4FD6-AF70-D4F25AAAB5E9_1763257836_compressed.jpeg" TargetMode="External"/><Relationship Id="rId334" Type="http://schemas.openxmlformats.org/officeDocument/2006/relationships/hyperlink" Target="https://ap12.ragic.com/sims/file.jsp?a=soutlet001&amp;f=yf5vN8ylW4%40image+%281%29.jpg" TargetMode="External"/><Relationship Id="rId541" Type="http://schemas.openxmlformats.org/officeDocument/2006/relationships/hyperlink" Target="https://ap12.ragic.com/sims/file.jsp?a=soutlet001&amp;f=aIo2JLqk2x%40IMG_4720.jpeg" TargetMode="External"/><Relationship Id="rId639" Type="http://schemas.openxmlformats.org/officeDocument/2006/relationships/hyperlink" Target="https://ap12.ragic.com/sims/file.jsp?a=soutlet001&amp;f=TlmqXymL4p%401000007102.jpg" TargetMode="External"/><Relationship Id="rId1171" Type="http://schemas.openxmlformats.org/officeDocument/2006/relationships/hyperlink" Target="https://ap12.ragic.com/sims/file.jsp?a=soutlet001&amp;f=2Mp1Oel0EX%40IMG_7866.jpeg" TargetMode="External"/><Relationship Id="rId1269" Type="http://schemas.openxmlformats.org/officeDocument/2006/relationships/hyperlink" Target="https://ap12.ragic.com/sims/file.jsp?a=soutlet001&amp;f=h33L4g6614%4070627_0.jpg" TargetMode="External"/><Relationship Id="rId1476" Type="http://schemas.openxmlformats.org/officeDocument/2006/relationships/hyperlink" Target="https://ap12.ragic.com/sims/file.jsp?a=soutlet001&amp;f=9m6i3W892x%401000006715.jpg" TargetMode="External"/><Relationship Id="rId401" Type="http://schemas.openxmlformats.org/officeDocument/2006/relationships/hyperlink" Target="https://ap12.ragic.com/sims/file.jsp?a=soutlet001&amp;f=RK5cx3GbWy%401000007835.jpg" TargetMode="External"/><Relationship Id="rId846" Type="http://schemas.openxmlformats.org/officeDocument/2006/relationships/hyperlink" Target="https://ap12.ragic.com/sims/file.jsp?a=soutlet001&amp;f=Yi9EGxaUrn%40IMG_9384.jpeg" TargetMode="External"/><Relationship Id="rId1031" Type="http://schemas.openxmlformats.org/officeDocument/2006/relationships/hyperlink" Target="https://ap12.ragic.com/sims/file.jsp?a=soutlet001&amp;f=hFoOggx8Tb%40IMG_8244.jpeg" TargetMode="External"/><Relationship Id="rId1129" Type="http://schemas.openxmlformats.org/officeDocument/2006/relationships/hyperlink" Target="https://ap12.ragic.com/sims/file.jsp?a=soutlet001&amp;f=bJlbCL05t0%40IMG_7930.jpeg" TargetMode="External"/><Relationship Id="rId1683" Type="http://schemas.openxmlformats.org/officeDocument/2006/relationships/hyperlink" Target="https://ap12.ragic.com/sims/file.jsp?a=soutlet001&amp;f=40LdpXvoHk%40S__8986693.jpg" TargetMode="External"/><Relationship Id="rId706" Type="http://schemas.openxmlformats.org/officeDocument/2006/relationships/hyperlink" Target="https://ap12.ragic.com/sims/file.jsp?a=soutlet001&amp;f=g9CetEItKt%401000006947.jpg" TargetMode="External"/><Relationship Id="rId913" Type="http://schemas.openxmlformats.org/officeDocument/2006/relationships/hyperlink" Target="https://ap12.ragic.com/sims/file.jsp?a=soutlet001&amp;f=bj2clWka61%40IMG_8459.jpeg" TargetMode="External"/><Relationship Id="rId1336" Type="http://schemas.openxmlformats.org/officeDocument/2006/relationships/hyperlink" Target="https://ap12.ragic.com/sims/file.jsp?a=soutlet001&amp;f=ANa845zDRd%40S__4423773.jpg" TargetMode="External"/><Relationship Id="rId1543" Type="http://schemas.openxmlformats.org/officeDocument/2006/relationships/hyperlink" Target="https://ap12.ragic.com/sims/file.jsp?a=soutlet001&amp;f=6YCCd7e37C%4066668.jpg" TargetMode="External"/><Relationship Id="rId1750" Type="http://schemas.openxmlformats.org/officeDocument/2006/relationships/hyperlink" Target="https://ap12.ragic.com/sims/file.jsp?a=soutlet001&amp;f=d019wacbT7%4062783.jpg" TargetMode="External"/><Relationship Id="rId42" Type="http://schemas.openxmlformats.org/officeDocument/2006/relationships/hyperlink" Target="https://ap12.ragic.com/sims/file.jsp?a=soutlet001&amp;f=Pfb0zeELNT%40S__36757525.jpg" TargetMode="External"/><Relationship Id="rId1403" Type="http://schemas.openxmlformats.org/officeDocument/2006/relationships/hyperlink" Target="https://ap12.ragic.com/sims/file.jsp?a=soutlet001&amp;f=ZMG0QB6ofm%4067515.jpg" TargetMode="External"/><Relationship Id="rId1610" Type="http://schemas.openxmlformats.org/officeDocument/2006/relationships/hyperlink" Target="https://ap12.ragic.com/sims/file.jsp?a=soutlet001&amp;f=w24hQbXxxR%40925.jpg" TargetMode="External"/><Relationship Id="rId191" Type="http://schemas.openxmlformats.org/officeDocument/2006/relationships/hyperlink" Target="https://ap12.ragic.com/sims/file.jsp?a=soutlet001&amp;f=X1l3E45IyG%40720+%E8%A1%A3%E6%AB%A5%E7%87%88%E5%B7%B2ok.jpg" TargetMode="External"/><Relationship Id="rId1708" Type="http://schemas.openxmlformats.org/officeDocument/2006/relationships/hyperlink" Target="https://ap12.ragic.com/sims/file.jsp?a=soutlet001&amp;f=aRE4prA5aj%40S__27377730.jpg" TargetMode="External"/><Relationship Id="rId289" Type="http://schemas.openxmlformats.org/officeDocument/2006/relationships/hyperlink" Target="https://ap12.ragic.com/sims/file.jsp?a=soutlet001&amp;f=GhBugJoC1l%40f0d2d91658c44ff65716e13f420bb6b9.png" TargetMode="External"/><Relationship Id="rId496" Type="http://schemas.openxmlformats.org/officeDocument/2006/relationships/hyperlink" Target="https://ap12.ragic.com/sims/file.jsp?a=soutlet001&amp;f=ZVjyXTr6XL%40603+%E6%B0%B4%E9%BE%8D%E9%A0%AD%E5%B7%B2%E5%9B%BA%E5%AE%9A.jpg" TargetMode="External"/><Relationship Id="rId149" Type="http://schemas.openxmlformats.org/officeDocument/2006/relationships/hyperlink" Target="https://ap12.ragic.com/sims/file.jsp?a=soutlet001&amp;f=7aIxDKO1WN%40IMG_2398.jpeg" TargetMode="External"/><Relationship Id="rId356" Type="http://schemas.openxmlformats.org/officeDocument/2006/relationships/hyperlink" Target="https://ap12.ragic.com/sims/file.jsp?a=soutlet001&amp;f=pcBKRqpGy0%40721%E7%AA%97%E7%B0%BE%E8%AA%BF%E6%95%B4%E5%AE%8C%E6%88%90.jpg" TargetMode="External"/><Relationship Id="rId563" Type="http://schemas.openxmlformats.org/officeDocument/2006/relationships/hyperlink" Target="https://ap12.ragic.com/sims/file.jsp?a=soutlet001&amp;f=sS2Wym070w%40625%E8%AA%BF%E6%95%B4%E5%AE%8C%E6%88%90.jpg" TargetMode="External"/><Relationship Id="rId770" Type="http://schemas.openxmlformats.org/officeDocument/2006/relationships/hyperlink" Target="https://ap12.ragic.com/sims/file.jsp?a=soutlet001&amp;f=OhEDiIzrD9%40623%E5%81%B4%E9%82%8A%E6%AD%A2%E6%B0%B4%E6%A2%9D%E5%B7%B2%E8%A3%9D%E4%B8%8A%E5%AE%8C%E6%88%90.jpg" TargetMode="External"/><Relationship Id="rId1193" Type="http://schemas.openxmlformats.org/officeDocument/2006/relationships/hyperlink" Target="https://ap12.ragic.com/sims/file.jsp?a=soutlet001&amp;f=S577p6e0dY%40IMG_7823.jpeg" TargetMode="External"/><Relationship Id="rId216" Type="http://schemas.openxmlformats.org/officeDocument/2006/relationships/hyperlink" Target="https://ap12.ragic.com/sims/file.jsp?a=soutlet001&amp;f=e91hEuJ9wa%40IMG_2093.jpeg" TargetMode="External"/><Relationship Id="rId423" Type="http://schemas.openxmlformats.org/officeDocument/2006/relationships/hyperlink" Target="https://ap12.ragic.com/sims/file.jsp?a=soutlet001&amp;f=L6iuPsnN5I%401000007753.jpg" TargetMode="External"/><Relationship Id="rId868" Type="http://schemas.openxmlformats.org/officeDocument/2006/relationships/hyperlink" Target="https://ap12.ragic.com/sims/file.jsp?a=soutlet001&amp;f=OHlJTZ57bV%40IMG_9535.jpeg" TargetMode="External"/><Relationship Id="rId1053" Type="http://schemas.openxmlformats.org/officeDocument/2006/relationships/hyperlink" Target="https://ap12.ragic.com/sims/file.jsp?a=soutlet001&amp;f=pFmrpT2O1i%40721+%E5%B7%B2%E5%9B%BA%E5%AE%9A%E5%AE%8C%E6%88%90.jpg" TargetMode="External"/><Relationship Id="rId1260" Type="http://schemas.openxmlformats.org/officeDocument/2006/relationships/hyperlink" Target="https://ap12.ragic.com/sims/file.jsp?a=soutlet001&amp;f=1JFcZ8JQ60%40S__5841062.jpg" TargetMode="External"/><Relationship Id="rId1498" Type="http://schemas.openxmlformats.org/officeDocument/2006/relationships/hyperlink" Target="https://ap12.ragic.com/sims/file.jsp?a=soutlet001&amp;f=h329208wZ3%40619%E5%BA%8A%E9%A0%AD%E7%87%88%E4%BF%AE%E5%A5%BD.jpg" TargetMode="External"/><Relationship Id="rId630" Type="http://schemas.openxmlformats.org/officeDocument/2006/relationships/hyperlink" Target="https://ap12.ragic.com/sims/file.jsp?a=soutlet001&amp;f=D4BWCqEy60%401000007144.jpg" TargetMode="External"/><Relationship Id="rId728" Type="http://schemas.openxmlformats.org/officeDocument/2006/relationships/hyperlink" Target="https://ap12.ragic.com/sims/file.jsp?a=soutlet001&amp;f=DiQjL25NXU%40927%E5%8C%96%E7%B2%A7%E9%8F%A1%E5%B7%B2%E5%9B%BA%E5%AE%9A.jpg" TargetMode="External"/><Relationship Id="rId935" Type="http://schemas.openxmlformats.org/officeDocument/2006/relationships/hyperlink" Target="https://ap12.ragic.com/sims/file.jsp?a=soutlet001&amp;f=4dgCsSep1o%40623%E5%B7%A6%E5%BA%8A%E9%A0%AD%E7%87%88%E6%9B%B4%E6%96%B0%E5%AE%8C%E6%88%90.jpg" TargetMode="External"/><Relationship Id="rId1358" Type="http://schemas.openxmlformats.org/officeDocument/2006/relationships/hyperlink" Target="https://ap12.ragic.com/sims/file.jsp?a=soutlet001&amp;f=jC69wfXzQ8%40image_98AE4632-7A9D-4F53-9506-8346AF778BAB_1759303795_compressed.jpeg" TargetMode="External"/><Relationship Id="rId1565" Type="http://schemas.openxmlformats.org/officeDocument/2006/relationships/hyperlink" Target="https://ap12.ragic.com/sims/file.jsp?a=soutlet001&amp;f=U1jzJw6EBe%40817+%E6%AD%A2%E6%B0%B4%E6%A2%9D%E6%96%B7%E8%A3%82%E4%BF%AE%E5%BE%A9%E5%AE%8C%E7%95%A2.jpg" TargetMode="External"/><Relationship Id="rId1772" Type="http://schemas.openxmlformats.org/officeDocument/2006/relationships/hyperlink" Target="https://ap12.ragic.com/sims/file.jsp?a=soutlet001&amp;f=4xDxXM8427%40S__8667257.jpg" TargetMode="External"/><Relationship Id="rId64" Type="http://schemas.openxmlformats.org/officeDocument/2006/relationships/hyperlink" Target="https://ap12.ragic.com/sims/file.jsp?a=soutlet001&amp;f=WzoxyUrPY0%401000009500.jpg" TargetMode="External"/><Relationship Id="rId1120" Type="http://schemas.openxmlformats.org/officeDocument/2006/relationships/hyperlink" Target="https://ap12.ragic.com/sims/file.jsp?a=soutlet001&amp;f=qeBpqBoRw6%40817%E8%93%AE%E8%93%AC%E9%A0%AD%E5%B7%B2%E8%AA%BF%E6%95%B4%E5%AE%8C%E6%88%90.jpg" TargetMode="External"/><Relationship Id="rId1218" Type="http://schemas.openxmlformats.org/officeDocument/2006/relationships/hyperlink" Target="https://ap12.ragic.com/sims/file.jsp?a=soutlet001&amp;f=q4MH2b0tZ1%401000005454.jpg" TargetMode="External"/><Relationship Id="rId1425" Type="http://schemas.openxmlformats.org/officeDocument/2006/relationships/hyperlink" Target="https://ap12.ragic.com/sims/file.jsp?a=soutlet001&amp;f=h8184pTyZc%40629%E5%B7%B2%E8%99%95%E7%90%86%E5%A5%BD%E4%BA%86.jpg" TargetMode="External"/><Relationship Id="rId1632" Type="http://schemas.openxmlformats.org/officeDocument/2006/relationships/hyperlink" Target="https://ap12.ragic.com/sims/file.jsp?a=soutlet001&amp;f=r5YZ9jq89u%40IMG_6163.jpeg" TargetMode="External"/><Relationship Id="rId280" Type="http://schemas.openxmlformats.org/officeDocument/2006/relationships/hyperlink" Target="https://ap12.ragic.com/sims/file.jsp?a=soutlet001&amp;f=jmX6lSp0hk%40ebc8c5b8dc4feb630f0daa5dfee9e84b.png" TargetMode="External"/><Relationship Id="rId140" Type="http://schemas.openxmlformats.org/officeDocument/2006/relationships/hyperlink" Target="https://ap12.ragic.com/sims/file.jsp?a=soutlet001&amp;f=lvwoFpdRFw%401000008483.jpg" TargetMode="External"/><Relationship Id="rId378" Type="http://schemas.openxmlformats.org/officeDocument/2006/relationships/hyperlink" Target="https://ap12.ragic.com/sims/file.jsp?a=soutlet001&amp;f=bPifBXIJgH%40IMG_6404.jpeg" TargetMode="External"/><Relationship Id="rId585" Type="http://schemas.openxmlformats.org/officeDocument/2006/relationships/hyperlink" Target="https://ap12.ragic.com/sims/file.jsp?a=soutlet001&amp;f=09PeYD1RzG%40%E5%9B%9B%E6%A8%93%E9%85%92%E5%90%A7%E5%BB%81%E6%89%80%E5%A4%96%E5%A4%A9%E8%8A%B1%E6%9D%BF%E6%B2%B9%E6%BC%86%E5%AE%8C%E6%88%90.jpg" TargetMode="External"/><Relationship Id="rId792" Type="http://schemas.openxmlformats.org/officeDocument/2006/relationships/hyperlink" Target="https://ap12.ragic.com/sims/file.jsp?a=soutlet001&amp;f=WzJunEJvZh%40916%E9%9B%BB%E8%A9%B1%E7%B7%9A%E5%8D%A1%E6%A6%AB%E6%96%B7%E4%BA%86%EF%BC%8C%E6%B2%92%E8%BE%A6%E6%B3%95%E5%8D%A1%E5%85%A5%E7%B7%9A%E6%A7%BD%E5%85%A7%EF%BC%8C%E9%9B%BB%E8%A9%B1%E7%B7%9A%E6%8F%9B%E4%B8%80%E6%A2%9D%E5%B7%B2%E9%87%8D%E8%A8%AD%EF%BC%8C916%E9%9B%BB%E8%A9%B1%E6%B8%AC%E8%A9%A6%E6%AD%A3%E5%B8%B8.jpg" TargetMode="External"/><Relationship Id="rId6" Type="http://schemas.openxmlformats.org/officeDocument/2006/relationships/hyperlink" Target="https://ap12.ragic.com/sims/file.jsp?a=soutlet001&amp;f=JUEFh9BxLK%401000009946.jpg" TargetMode="External"/><Relationship Id="rId238" Type="http://schemas.openxmlformats.org/officeDocument/2006/relationships/hyperlink" Target="https://ap12.ragic.com/sims/file.jsp?a=soutlet001&amp;f=pbBBJ4ZJfi%40IMG_0214.jpeg" TargetMode="External"/><Relationship Id="rId445" Type="http://schemas.openxmlformats.org/officeDocument/2006/relationships/hyperlink" Target="https://ap12.ragic.com/sims/file.jsp?a=soutlet001&amp;f=4TAagd5UmM%40IMG_0166.jpeg" TargetMode="External"/><Relationship Id="rId652" Type="http://schemas.openxmlformats.org/officeDocument/2006/relationships/hyperlink" Target="https://ap12.ragic.com/sims/file.jsp?a=soutlet001&amp;f=MABRDlMAVL%40S__418512900.jpg" TargetMode="External"/><Relationship Id="rId1075" Type="http://schemas.openxmlformats.org/officeDocument/2006/relationships/hyperlink" Target="https://ap12.ragic.com/sims/file.jsp?a=soutlet001&amp;f=9N78l45qmr%40IMG_3670.jpeg" TargetMode="External"/><Relationship Id="rId1282" Type="http://schemas.openxmlformats.org/officeDocument/2006/relationships/hyperlink" Target="https://ap12.ragic.com/sims/file.jsp?a=soutlet001&amp;f=wVObz81u18%40628+%E4%B8%80%E6%A4%85%E8%85%B3%E5%9B%BA%E5%AE%9A%E5%AE%8C%E6%88%90.jpg" TargetMode="External"/><Relationship Id="rId305" Type="http://schemas.openxmlformats.org/officeDocument/2006/relationships/hyperlink" Target="https://ap12.ragic.com/sims/file.jsp?a=soutlet001&amp;f=O6nbEjT4bW%403ac5dfa307d1cb683224bcb56e72b131.png" TargetMode="External"/><Relationship Id="rId512" Type="http://schemas.openxmlformats.org/officeDocument/2006/relationships/hyperlink" Target="https://ap12.ragic.com/sims/file.jsp?a=soutlet001&amp;f=dDx8NJdBd5%401000007546.jpg" TargetMode="External"/><Relationship Id="rId957" Type="http://schemas.openxmlformats.org/officeDocument/2006/relationships/hyperlink" Target="https://ap12.ragic.com/sims/file.jsp?a=soutlet001&amp;f=C0VfkWiDu6%40IMG_7622.jpeg" TargetMode="External"/><Relationship Id="rId1142" Type="http://schemas.openxmlformats.org/officeDocument/2006/relationships/hyperlink" Target="https://ap12.ragic.com/sims/file.jsp?a=soutlet001&amp;f=5yJXXpEt5a%4073253.jpg" TargetMode="External"/><Relationship Id="rId1587" Type="http://schemas.openxmlformats.org/officeDocument/2006/relationships/hyperlink" Target="https://ap12.ragic.com/sims/file.jsp?a=soutlet001&amp;f=K0hKWtPv8n%4073649.jpg" TargetMode="External"/><Relationship Id="rId1794" Type="http://schemas.openxmlformats.org/officeDocument/2006/relationships/hyperlink" Target="https://ap12.ragic.com/sims/file.jsp?a=soutlet001&amp;f=FB9VPJsH35%4061987.jpg" TargetMode="External"/><Relationship Id="rId86" Type="http://schemas.openxmlformats.org/officeDocument/2006/relationships/hyperlink" Target="https://ap12.ragic.com/sims/file.jsp?a=soutlet001&amp;f=aWjVgAqezE%40IMG_0413.jpeg" TargetMode="External"/><Relationship Id="rId817" Type="http://schemas.openxmlformats.org/officeDocument/2006/relationships/hyperlink" Target="https://ap12.ragic.com/sims/file.jsp?a=soutlet001&amp;f=eD33y1yrmD%401025%E9%9B%BB%E8%A6%96%E6%A9%9F%E4%B8%8A%E7%9B%92%E6%9B%B4%E6%96%B0%E5%AE%8C%E6%88%90.jpg" TargetMode="External"/><Relationship Id="rId1002" Type="http://schemas.openxmlformats.org/officeDocument/2006/relationships/hyperlink" Target="https://ap12.ragic.com/sims/file.jsp?a=soutlet001&amp;f=txF9AQ7cYG%40IMG_7300.jpeg" TargetMode="External"/><Relationship Id="rId1447" Type="http://schemas.openxmlformats.org/officeDocument/2006/relationships/hyperlink" Target="https://ap12.ragic.com/sims/file.jsp?a=soutlet001&amp;f=IP430n8ABK%40807%E5%B7%B2%E4%BF%AE%E5%BE%A9%E5%AE%8C%E6%88%90.jpg" TargetMode="External"/><Relationship Id="rId1654" Type="http://schemas.openxmlformats.org/officeDocument/2006/relationships/hyperlink" Target="https://ap12.ragic.com/sims/file.jsp?a=soutlet001&amp;f=JtsPv3owR7%40816+silicon%E5%B7%B2%E4%BF%AE%E8%A3%9C%EF%BC%8C%E9%9C%80%E7%B4%844%E5%B0%8F%E6%99%82%E4%B9%BE%E7%87%A5%E6%99%82%E9%96%93%E3%80%82.jpg" TargetMode="External"/><Relationship Id="rId1307" Type="http://schemas.openxmlformats.org/officeDocument/2006/relationships/hyperlink" Target="https://ap12.ragic.com/sims/file.jsp?a=soutlet001&amp;f=8mLei58Q5t%401027%E6%AD%A2%E6%B0%B4%E6%A2%9D%E6%9B%B4%E6%96%B0%E5%AE%8C%E6%88%90.jpg" TargetMode="External"/><Relationship Id="rId1514" Type="http://schemas.openxmlformats.org/officeDocument/2006/relationships/hyperlink" Target="https://ap12.ragic.com/sims/file.jsp?a=soutlet001&amp;f=6LITVWaXI0%4062021.jpg" TargetMode="External"/><Relationship Id="rId1721" Type="http://schemas.openxmlformats.org/officeDocument/2006/relationships/hyperlink" Target="https://ap12.ragic.com/sims/file.jsp?a=soutlet001&amp;f=k8w1Q2B4AK%40S__27361355.jpg" TargetMode="External"/><Relationship Id="rId13" Type="http://schemas.openxmlformats.org/officeDocument/2006/relationships/hyperlink" Target="https://ap12.ragic.com/sims/file.jsp?a=soutlet001&amp;f=9CWzI4au3Q%40IMG_1599.jpeg" TargetMode="External"/><Relationship Id="rId1819" Type="http://schemas.openxmlformats.org/officeDocument/2006/relationships/hyperlink" Target="https://ap12.ragic.com/sims/file.jsp?a=soutlet001&amp;f=ZVG0PP1U0K%401000002640.jpg" TargetMode="External"/><Relationship Id="rId162" Type="http://schemas.openxmlformats.org/officeDocument/2006/relationships/hyperlink" Target="https://ap12.ragic.com/sims/file.jsp?a=soutlet001&amp;f=SdYaSCTGGq%40IMG_0331.jpeg" TargetMode="External"/><Relationship Id="rId467" Type="http://schemas.openxmlformats.org/officeDocument/2006/relationships/hyperlink" Target="https://ap12.ragic.com/sims/file.jsp?a=soutlet001&amp;f=tCqoREvVdL%4029dc1a5942c45e73c1c2fa05ce91b92c.png" TargetMode="External"/><Relationship Id="rId1097" Type="http://schemas.openxmlformats.org/officeDocument/2006/relationships/hyperlink" Target="https://ap12.ragic.com/sims/file.jsp?a=soutlet001&amp;f=7Gro9FL6iu%4075422.jpg" TargetMode="External"/><Relationship Id="rId674" Type="http://schemas.openxmlformats.org/officeDocument/2006/relationships/hyperlink" Target="https://ap12.ragic.com/sims/file.jsp?a=soutlet001&amp;f=UThF6djMUD%401000007002.jpg" TargetMode="External"/><Relationship Id="rId881" Type="http://schemas.openxmlformats.org/officeDocument/2006/relationships/hyperlink" Target="https://ap12.ragic.com/sims/file.jsp?a=soutlet001&amp;f=UCWQzccqOG%40703+%E6%B7%8B%E6%B5%B4%E9%96%93%E9%96%80%E9%97%9C%E4%B8%8D%E5%AF%86%E5%90%88+%E6%9C%89%E9%A0%90%E9%80%B2.jpg" TargetMode="External"/><Relationship Id="rId979" Type="http://schemas.openxmlformats.org/officeDocument/2006/relationships/hyperlink" Target="https://ap12.ragic.com/sims/file.jsp?a=soutlet001&amp;f=x3Rnn4NZAY%40image_8C052CD4-9D8F-441F-946D-570D92B22C27_1763293198_compressed.jpeg" TargetMode="External"/><Relationship Id="rId327" Type="http://schemas.openxmlformats.org/officeDocument/2006/relationships/hyperlink" Target="https://ap12.ragic.com/sims/file.jsp?a=soutlet001&amp;f=LhIqbZFH34%4024f4bc44fc8a593c089c7c5a1d7ff651.png" TargetMode="External"/><Relationship Id="rId534" Type="http://schemas.openxmlformats.org/officeDocument/2006/relationships/hyperlink" Target="https://ap12.ragic.com/sims/file.jsp?a=soutlet001&amp;f=d7eGaOtjZE%40IMG_9835.jpeg" TargetMode="External"/><Relationship Id="rId741" Type="http://schemas.openxmlformats.org/officeDocument/2006/relationships/hyperlink" Target="https://ap12.ragic.com/sims/file.jsp?a=soutlet001&amp;f=hjNI77Yxoy%40B1%E7%94%B7%E5%BB%81%E5%B0%8F%E4%BE%BF%E6%96%97%E5%B7%B2%E9%80%9A.jpg" TargetMode="External"/><Relationship Id="rId839" Type="http://schemas.openxmlformats.org/officeDocument/2006/relationships/hyperlink" Target="https://ap12.ragic.com/sims/file.jsp?a=soutlet001&amp;f=005fC6tWNQ%40IMG_20251211_144454.jpg" TargetMode="External"/><Relationship Id="rId1164" Type="http://schemas.openxmlformats.org/officeDocument/2006/relationships/hyperlink" Target="https://ap12.ragic.com/sims/file.jsp?a=soutlet001&amp;f=xOd530T6aP%40image_C009EC01-5FED-42DF-8444-EDCB18D028AE_1761123824_compressed.jpeg" TargetMode="External"/><Relationship Id="rId1371" Type="http://schemas.openxmlformats.org/officeDocument/2006/relationships/hyperlink" Target="https://ap12.ragic.com/sims/file.jsp?a=soutlet001&amp;f=v9VPHFVdZ2%40image_BA3F36B7-5F56-4F1D-9E3F-7189DED3D94F_1759238280_compressed.jpeg" TargetMode="External"/><Relationship Id="rId1469" Type="http://schemas.openxmlformats.org/officeDocument/2006/relationships/hyperlink" Target="https://ap12.ragic.com/sims/file.jsp?a=soutlet001&amp;f=c2k9Yz6bl8%40513%E6%AD%A2%E6%B0%B4%E6%A0%93%E8%99%95%E7%90%86%E5%AE%8C%E7%95%A2.jpg" TargetMode="External"/><Relationship Id="rId601" Type="http://schemas.openxmlformats.org/officeDocument/2006/relationships/hyperlink" Target="https://ap12.ragic.com/sims/file.jsp?a=soutlet001&amp;f=bd7cg7fVs6%401000007199.jpg" TargetMode="External"/><Relationship Id="rId1024" Type="http://schemas.openxmlformats.org/officeDocument/2006/relationships/hyperlink" Target="https://ap12.ragic.com/sims/file.jsp?a=soutlet001&amp;f=dDzafTvxY1%40IMG_8278.jpeg" TargetMode="External"/><Relationship Id="rId1231" Type="http://schemas.openxmlformats.org/officeDocument/2006/relationships/hyperlink" Target="https://ap12.ragic.com/sims/file.jsp?a=soutlet001&amp;f=qq4TYjNJYk%40831%E5%8C%96%E5%A6%9D%E9%8F%A1%E9%8E%96%E5%A5%BD%E5%AE%8C%E6%88%90.jpg" TargetMode="External"/><Relationship Id="rId1676" Type="http://schemas.openxmlformats.org/officeDocument/2006/relationships/hyperlink" Target="https://ap12.ragic.com/sims/file.jsp?a=soutlet001&amp;f=cjoOGwoJ5w%40351679.jpg" TargetMode="External"/><Relationship Id="rId906" Type="http://schemas.openxmlformats.org/officeDocument/2006/relationships/hyperlink" Target="https://ap12.ragic.com/sims/file.jsp?a=soutlet001&amp;f=d0shZxRvgF%40S__122765434.jpg" TargetMode="External"/><Relationship Id="rId1329" Type="http://schemas.openxmlformats.org/officeDocument/2006/relationships/hyperlink" Target="https://ap12.ragic.com/sims/file.jsp?a=soutlet001&amp;f=65Tjw8j2cf%4070525.jpg" TargetMode="External"/><Relationship Id="rId1536" Type="http://schemas.openxmlformats.org/officeDocument/2006/relationships/hyperlink" Target="https://ap12.ragic.com/sims/file.jsp?a=soutlet001&amp;f=8Gn2O5SF8K%40S__27869331.jpg" TargetMode="External"/><Relationship Id="rId1743" Type="http://schemas.openxmlformats.org/officeDocument/2006/relationships/hyperlink" Target="https://ap12.ragic.com/sims/file.jsp?a=soutlet001&amp;f=Y6ThanmK4H%40IMG_5978.jpeg" TargetMode="External"/><Relationship Id="rId35" Type="http://schemas.openxmlformats.org/officeDocument/2006/relationships/hyperlink" Target="https://ap12.ragic.com/sims/file.jsp?a=soutlet001&amp;f=Y6xvKt5g6w%401000009659.jpg" TargetMode="External"/><Relationship Id="rId1603" Type="http://schemas.openxmlformats.org/officeDocument/2006/relationships/hyperlink" Target="https://ap12.ragic.com/sims/file.jsp?a=soutlet001&amp;f=8S563NK20B%40IMG_6228.jpeg" TargetMode="External"/><Relationship Id="rId1810" Type="http://schemas.openxmlformats.org/officeDocument/2006/relationships/hyperlink" Target="https://ap12.ragic.com/sims/file.jsp?a=soutlet001&amp;f=U3j0j745wY%4061341.jpg" TargetMode="External"/><Relationship Id="rId184" Type="http://schemas.openxmlformats.org/officeDocument/2006/relationships/hyperlink" Target="https://ap12.ragic.com/sims/file.jsp?a=soutlet001&amp;f=wHG7Nj5Arr%40715%E5%B7%B2%E6%9B%B4%E6%8F%9B.jpg" TargetMode="External"/><Relationship Id="rId391" Type="http://schemas.openxmlformats.org/officeDocument/2006/relationships/hyperlink" Target="https://ap12.ragic.com/sims/file.jsp?a=soutlet001&amp;f=Yei3YZI9nY%40IMG_6235.jpeg" TargetMode="External"/><Relationship Id="rId251" Type="http://schemas.openxmlformats.org/officeDocument/2006/relationships/hyperlink" Target="https://ap12.ragic.com/sims/file.jsp?a=soutlet001&amp;f=pPpKqjVETG%4054fea91fe9c93f8257e365338cf99934.png" TargetMode="External"/><Relationship Id="rId489" Type="http://schemas.openxmlformats.org/officeDocument/2006/relationships/hyperlink" Target="https://ap12.ragic.com/sims/file.jsp?a=soutlet001&amp;f=UxG2ufK0Ej%40IMG_1679+%281%29.jpeg" TargetMode="External"/><Relationship Id="rId696" Type="http://schemas.openxmlformats.org/officeDocument/2006/relationships/hyperlink" Target="https://ap12.ragic.com/sims/file.jsp?a=soutlet001&amp;f=5Rutl81Av1%401000006968.jpg" TargetMode="External"/><Relationship Id="rId349" Type="http://schemas.openxmlformats.org/officeDocument/2006/relationships/hyperlink" Target="https://ap12.ragic.com/sims/file.jsp?a=soutlet001&amp;f=FfK8ZrMaV1%401000007988.jpg" TargetMode="External"/><Relationship Id="rId556" Type="http://schemas.openxmlformats.org/officeDocument/2006/relationships/hyperlink" Target="https://ap12.ragic.com/sims/file.jsp?a=soutlet001&amp;f=FaXpX1p8Xz%4086662.jpg" TargetMode="External"/><Relationship Id="rId763" Type="http://schemas.openxmlformats.org/officeDocument/2006/relationships/hyperlink" Target="https://ap12.ragic.com/sims/file.jsp?a=soutlet001&amp;f=9sOGMT7SDg%401022%E5%86%B0%E7%AE%B1%E6%BA%AB%E5%BA%A6%E6%98%AF%E4%B8%80%E5%BA%A6%E6%AD%A3%E5%B8%B8.jpg" TargetMode="External"/><Relationship Id="rId1186" Type="http://schemas.openxmlformats.org/officeDocument/2006/relationships/hyperlink" Target="https://ap12.ragic.com/sims/file.jsp?a=soutlet001&amp;f=2N8KR2S619%40819+%E7%B6%93%E9%81%8E%E6%B8%AC%E8%A9%A6YouTube%E4%BD%BF%E7%94%A8%E6%B2%92%E6%9C%89%E5%95%8F%E9%A1%8C.jpg" TargetMode="External"/><Relationship Id="rId1393" Type="http://schemas.openxmlformats.org/officeDocument/2006/relationships/hyperlink" Target="https://ap12.ragic.com/sims/file.jsp?a=soutlet001&amp;f=a8oMh7q4JD%40IMG_7502.jpeg" TargetMode="External"/><Relationship Id="rId111" Type="http://schemas.openxmlformats.org/officeDocument/2006/relationships/hyperlink" Target="https://ap12.ragic.com/sims/file.jsp?a=soutlet001&amp;f=clQDPDydSg%401000008675.jpg" TargetMode="External"/><Relationship Id="rId209" Type="http://schemas.openxmlformats.org/officeDocument/2006/relationships/hyperlink" Target="https://ap12.ragic.com/sims/file.jsp?a=soutlet001&amp;f=N4LSe4MnQE%40717%E6%B4%97%E6%89%8B%E5%8F%B0%E6%B0%B4%E5%A1%9E%E5%B7%B2%E4%BF%AE%E5%BE%A9.jpg" TargetMode="External"/><Relationship Id="rId416" Type="http://schemas.openxmlformats.org/officeDocument/2006/relationships/hyperlink" Target="https://ap12.ragic.com/sims/file.jsp?a=soutlet001&amp;f=jxmUYyscZN%40df541dc6b0e4ac58b7e9d1739e809500.png" TargetMode="External"/><Relationship Id="rId970" Type="http://schemas.openxmlformats.org/officeDocument/2006/relationships/hyperlink" Target="https://ap12.ragic.com/sims/file.jsp?a=soutlet001&amp;f=GLbvxrKvcJ%40IMG_8367.jpeg" TargetMode="External"/><Relationship Id="rId1046" Type="http://schemas.openxmlformats.org/officeDocument/2006/relationships/hyperlink" Target="https://ap12.ragic.com/sims/file.jsp?a=soutlet001&amp;f=wj42ZfbwXV%40IMG_6872.jpeg" TargetMode="External"/><Relationship Id="rId1253" Type="http://schemas.openxmlformats.org/officeDocument/2006/relationships/hyperlink" Target="https://ap12.ragic.com/sims/file.jsp?a=soutlet001&amp;f=rXt4em08ZC%40IMG_7728.jpeg" TargetMode="External"/><Relationship Id="rId1698" Type="http://schemas.openxmlformats.org/officeDocument/2006/relationships/hyperlink" Target="https://ap12.ragic.com/sims/file.jsp?a=soutlet001&amp;f=VKkyfbk1uX%40IMG_6052.jpeg" TargetMode="External"/><Relationship Id="rId623" Type="http://schemas.openxmlformats.org/officeDocument/2006/relationships/hyperlink" Target="https://ap12.ragic.com/sims/file.jsp?a=soutlet001&amp;f=Ysi32tFGdW%408+%E6%A8%93D%E6%A2%AF%E9%80%83%E7%94%9F%E6%A2%AF%E9%9B%BB%E7%87%88%E6%9B%B4%E6%8F%9B.jpg" TargetMode="External"/><Relationship Id="rId830" Type="http://schemas.openxmlformats.org/officeDocument/2006/relationships/hyperlink" Target="https://ap12.ragic.com/sims/file.jsp?a=soutlet001&amp;f=JA6YdaSF74%40622+%E9%9B%BB%E7%87%88%E6%B3%A1%E5%B7%B2%E6%9B%B4%E6%8F%9B.jpg" TargetMode="External"/><Relationship Id="rId928" Type="http://schemas.openxmlformats.org/officeDocument/2006/relationships/hyperlink" Target="https://ap12.ragic.com/sims/file.jsp?a=soutlet001&amp;f=8qlwB725Mr%40IMG_9432.jpeg" TargetMode="External"/><Relationship Id="rId1460" Type="http://schemas.openxmlformats.org/officeDocument/2006/relationships/hyperlink" Target="https://ap12.ragic.com/sims/file.jsp?a=soutlet001&amp;f=ieB79L20O6%40IMG_7368.jpeg" TargetMode="External"/><Relationship Id="rId1558" Type="http://schemas.openxmlformats.org/officeDocument/2006/relationships/hyperlink" Target="https://ap12.ragic.com/sims/file.jsp?a=soutlet001&amp;f=CSPk44eHtA%40215907.jpg" TargetMode="External"/><Relationship Id="rId1765" Type="http://schemas.openxmlformats.org/officeDocument/2006/relationships/hyperlink" Target="https://ap12.ragic.com/sims/file.jsp?a=soutlet001&amp;f=kf6C5XbQ4T%40S__4325642.jpg" TargetMode="External"/><Relationship Id="rId57" Type="http://schemas.openxmlformats.org/officeDocument/2006/relationships/hyperlink" Target="https://ap12.ragic.com/sims/file.jsp?a=soutlet001&amp;f=KmmBazcanb%40IMG_0658.jpeg" TargetMode="External"/><Relationship Id="rId1113" Type="http://schemas.openxmlformats.org/officeDocument/2006/relationships/hyperlink" Target="https://ap12.ragic.com/sims/file.jsp?a=soutlet001&amp;f=VkqQOPG31R%40926%E9%96%80%E5%8F%A3%E5%A4%A9%E8%8A%B1%E6%9D%BF%E5%B4%81%E7%87%88%E5%B7%B2%E6%9B%B4%E6%96%B0%E5%AE%8C%E6%88%90.jpg" TargetMode="External"/><Relationship Id="rId1320" Type="http://schemas.openxmlformats.org/officeDocument/2006/relationships/hyperlink" Target="https://ap12.ragic.com/sims/file.jsp?a=soutlet001&amp;f=n8v3OlK46v%40IMG_5346.jpeg" TargetMode="External"/><Relationship Id="rId1418" Type="http://schemas.openxmlformats.org/officeDocument/2006/relationships/hyperlink" Target="https://ap12.ragic.com/sims/file.jsp?a=soutlet001&amp;f=f68MBfNk5o%40image_C5EC62C3-47A3-4AB1-88FC-0DD997B09479_1759118936_compressed.jpeg" TargetMode="External"/><Relationship Id="rId1625" Type="http://schemas.openxmlformats.org/officeDocument/2006/relationships/hyperlink" Target="https://ap12.ragic.com/sims/file.jsp?a=soutlet001&amp;f=gCEF2L134Q%40IMG_3538.jpeg" TargetMode="External"/><Relationship Id="rId1832" Type="http://schemas.openxmlformats.org/officeDocument/2006/relationships/hyperlink" Target="https://ap12.ragic.com/sims/file.jsp?a=soutlet001&amp;f=9080NsTowR%40S__4104307.jpg" TargetMode="External"/><Relationship Id="rId273" Type="http://schemas.openxmlformats.org/officeDocument/2006/relationships/hyperlink" Target="https://ap12.ragic.com/sims/file.jsp?a=soutlet001&amp;f=nTonI7cWdr%40f97aec8f859232fbf7fbb809751a36fa.png" TargetMode="External"/><Relationship Id="rId480" Type="http://schemas.openxmlformats.org/officeDocument/2006/relationships/hyperlink" Target="https://ap12.ragic.com/sims/file.jsp?a=soutlet001&amp;f=hMDaajX2rC%40IMG_5230.jpeg" TargetMode="External"/><Relationship Id="rId133" Type="http://schemas.openxmlformats.org/officeDocument/2006/relationships/hyperlink" Target="https://ap12.ragic.com/sims/file.jsp?a=soutlet001&amp;f=UOKjD2PYZj%401000008595.jpg" TargetMode="External"/><Relationship Id="rId340" Type="http://schemas.openxmlformats.org/officeDocument/2006/relationships/hyperlink" Target="https://ap12.ragic.com/sims/file.jsp?a=soutlet001&amp;f=oVPhfzM1zS%40IMG_1971.jpeg" TargetMode="External"/><Relationship Id="rId578" Type="http://schemas.openxmlformats.org/officeDocument/2006/relationships/hyperlink" Target="https://ap12.ragic.com/sims/file.jsp?a=soutlet001&amp;f=mcObvx6Zfv%40d650ebb406e8694b7c686ef2d888ca9a.png" TargetMode="External"/><Relationship Id="rId785" Type="http://schemas.openxmlformats.org/officeDocument/2006/relationships/hyperlink" Target="https://ap12.ragic.com/sims/file.jsp?a=soutlet001&amp;f=ot3VFxobaS%40628%E5%87%BA%E9%A2%A8%E5%8F%A3%E5%B7%B2%E6%B8%AC15%E5%BA%A6.jpg" TargetMode="External"/><Relationship Id="rId992" Type="http://schemas.openxmlformats.org/officeDocument/2006/relationships/hyperlink" Target="https://ap12.ragic.com/sims/file.jsp?a=soutlet001&amp;f=1gbnt4BS0U%40IMG_8341.jpeg" TargetMode="External"/><Relationship Id="rId200" Type="http://schemas.openxmlformats.org/officeDocument/2006/relationships/hyperlink" Target="https://ap12.ragic.com/sims/file.jsp?a=soutlet001&amp;f=6jqfeN2LQl%40517+%E7%AA%97%E7%B0%BE%E6%8B%89%E7%B7%9A%E8%99%95%E7%90%86%E5%AE%8C%E6%88%90.jpg" TargetMode="External"/><Relationship Id="rId438" Type="http://schemas.openxmlformats.org/officeDocument/2006/relationships/hyperlink" Target="https://ap12.ragic.com/sims/file.jsp?a=soutlet001&amp;f=UTSzdCf5l4%40627+%E8%B2%93%E7%9C%BC%E5%B7%B2%E5%9B%BA%E5%AE%9A.jpg" TargetMode="External"/><Relationship Id="rId645" Type="http://schemas.openxmlformats.org/officeDocument/2006/relationships/hyperlink" Target="https://ap12.ragic.com/sims/file.jsp?a=soutlet001&amp;f=W2jHCoMWLQ%401000007056.jpg" TargetMode="External"/><Relationship Id="rId852" Type="http://schemas.openxmlformats.org/officeDocument/2006/relationships/hyperlink" Target="https://ap12.ragic.com/sims/file.jsp?a=soutlet001&amp;f=o5Pii9HUCQ%40722%E5%B7%B2%E8%A3%9D%E4%B8%8A.jpg" TargetMode="External"/><Relationship Id="rId1068" Type="http://schemas.openxmlformats.org/officeDocument/2006/relationships/hyperlink" Target="https://ap12.ragic.com/sims/file.jsp?a=soutlet001&amp;f=232qSXx2Ge%40image_ACD9CA97-5E81-4178-99F9-2C3F5F303E90_1762345092_compressed.jpeg" TargetMode="External"/><Relationship Id="rId1275" Type="http://schemas.openxmlformats.org/officeDocument/2006/relationships/hyperlink" Target="https://ap12.ragic.com/sims/file.jsp?a=soutlet001&amp;f=cK208l61DI%40IMG_5434.jpeg" TargetMode="External"/><Relationship Id="rId1482" Type="http://schemas.openxmlformats.org/officeDocument/2006/relationships/hyperlink" Target="https://ap12.ragic.com/sims/file.jsp?a=soutlet001&amp;f=0QRH86FRrq%40IMG_7350.jpeg" TargetMode="External"/><Relationship Id="rId505" Type="http://schemas.openxmlformats.org/officeDocument/2006/relationships/hyperlink" Target="https://ap12.ragic.com/sims/file.jsp?a=soutlet001&amp;f=QtogFh5dOv%40image_D179027D-402E-46BF-9198-83FE6E18C564_1769686340_compressed.jpeg" TargetMode="External"/><Relationship Id="rId712" Type="http://schemas.openxmlformats.org/officeDocument/2006/relationships/hyperlink" Target="https://ap12.ragic.com/sims/file.jsp?a=soutlet001&amp;f=a5jTLvH5oh%40801+%E4%BF%AE%E5%BE%A9%E5%AE%8C%E6%88%90.jpg" TargetMode="External"/><Relationship Id="rId1135" Type="http://schemas.openxmlformats.org/officeDocument/2006/relationships/hyperlink" Target="https://ap12.ragic.com/sims/file.jsp?a=soutlet001&amp;f=L51xj39mbl%40image.jpg" TargetMode="External"/><Relationship Id="rId1342" Type="http://schemas.openxmlformats.org/officeDocument/2006/relationships/hyperlink" Target="https://ap12.ragic.com/sims/file.jsp?a=soutlet001&amp;f=TTUJAp6L74%40IMG_7613.jpeg" TargetMode="External"/><Relationship Id="rId1787" Type="http://schemas.openxmlformats.org/officeDocument/2006/relationships/hyperlink" Target="https://ap12.ragic.com/sims/file.jsp?a=soutlet001&amp;f=24r0NPQ4I2%40IMG_2935.jpeg" TargetMode="External"/><Relationship Id="rId79" Type="http://schemas.openxmlformats.org/officeDocument/2006/relationships/hyperlink" Target="https://ap12.ragic.com/sims/file.jsp?a=soutlet001&amp;f=Ucd4O0luf5%40IMG_0503.jpeg" TargetMode="External"/><Relationship Id="rId1202" Type="http://schemas.openxmlformats.org/officeDocument/2006/relationships/hyperlink" Target="https://ap12.ragic.com/sims/file.jsp?a=soutlet001&amp;f=85otpvx5Hw%40IMG_7806.jpeg" TargetMode="External"/><Relationship Id="rId1647" Type="http://schemas.openxmlformats.org/officeDocument/2006/relationships/hyperlink" Target="https://ap12.ragic.com/sims/file.jsp?a=soutlet001&amp;f=72dpUr964k%40IMG_6143.jpeg" TargetMode="External"/><Relationship Id="rId1507" Type="http://schemas.openxmlformats.org/officeDocument/2006/relationships/hyperlink" Target="https://ap12.ragic.com/sims/file.jsp?a=soutlet001&amp;f=f5D9gDte9C%4050027.jpg" TargetMode="External"/><Relationship Id="rId1714" Type="http://schemas.openxmlformats.org/officeDocument/2006/relationships/hyperlink" Target="https://ap12.ragic.com/sims/file.jsp?a=soutlet001&amp;f=cVYGm3fm1W%40S__27377681.jpg" TargetMode="External"/><Relationship Id="rId295" Type="http://schemas.openxmlformats.org/officeDocument/2006/relationships/hyperlink" Target="https://ap12.ragic.com/sims/file.jsp?a=soutlet001&amp;f=f7wANemyCu%40e6e9b54e792870beee40af86f952397d.png" TargetMode="External"/><Relationship Id="rId155" Type="http://schemas.openxmlformats.org/officeDocument/2006/relationships/hyperlink" Target="https://ap12.ragic.com/sims/file.jsp?a=soutlet001&amp;f=UqKgUtWm7u%40519+%E8%A1%9B%E7%94%9F%E7%B4%99%E6%9E%B6ok.jpg" TargetMode="External"/><Relationship Id="rId362" Type="http://schemas.openxmlformats.org/officeDocument/2006/relationships/hyperlink" Target="https://ap12.ragic.com/sims/file.jsp?a=soutlet001&amp;f=L8ebruDAq4%40822%E6%BC%8F%E6%B0%B4%E5%B7%B2%E8%99%95%E7%90%86.jpg" TargetMode="External"/><Relationship Id="rId1297" Type="http://schemas.openxmlformats.org/officeDocument/2006/relationships/hyperlink" Target="https://ap12.ragic.com/sims/file.jsp?a=soutlet001&amp;f=5i8i1JM42i%40618%E5%BA%8A%E9%A0%AD%E7%87%88%E6%B3%A1%E5%B7%B2%E6%9B%B4%E6%96%B0%E5%AE%8C%E6%88%90.jpg" TargetMode="External"/><Relationship Id="rId222" Type="http://schemas.openxmlformats.org/officeDocument/2006/relationships/hyperlink" Target="https://ap12.ragic.com/sims/file.jsp?a=soutlet001&amp;f=GHHHa74Tml%40IMG_0264.jpeg" TargetMode="External"/><Relationship Id="rId667" Type="http://schemas.openxmlformats.org/officeDocument/2006/relationships/hyperlink" Target="https://ap12.ragic.com/sims/file.jsp?a=soutlet001&amp;f=g0x7YVSKIz%408903619b523953b0da512e65ec52ae13.png" TargetMode="External"/><Relationship Id="rId874" Type="http://schemas.openxmlformats.org/officeDocument/2006/relationships/hyperlink" Target="https://ap12.ragic.com/sims/file.jsp?a=soutlet001&amp;f=VtMpgLmoEK%40image_C2AACE54-E102-4080-9CB6-C149D825614B_1764933506_compressed.jpeg" TargetMode="External"/><Relationship Id="rId527" Type="http://schemas.openxmlformats.org/officeDocument/2006/relationships/hyperlink" Target="https://ap12.ragic.com/sims/file.jsp?a=soutlet001&amp;f=MQI5rR72T4%40c706f78bd58c8ccc827648a0255f9c94.png" TargetMode="External"/><Relationship Id="rId734" Type="http://schemas.openxmlformats.org/officeDocument/2006/relationships/hyperlink" Target="https://ap12.ragic.com/sims/file.jsp?a=soutlet001&amp;f=lZkklVPPbL%40825+%E6%B5%B4%E7%BC%B8%E6%B0%B4%E9%BE%8D%E9%A0%AD%E5%B7%B2%E4%BF%AE%E5%BE%A9.jpg" TargetMode="External"/><Relationship Id="rId941" Type="http://schemas.openxmlformats.org/officeDocument/2006/relationships/hyperlink" Target="https://ap12.ragic.com/sims/file.jsp?a=soutlet001&amp;f=4wpA7b9CU7%4021878.jpg" TargetMode="External"/><Relationship Id="rId1157" Type="http://schemas.openxmlformats.org/officeDocument/2006/relationships/hyperlink" Target="https://ap12.ragic.com/sims/file.jsp?a=soutlet001&amp;f=qEDMpM0Fja%40image_8DF7FA1B-6CD3-46BF-8C59-E5AB7B737431_1761123966_compressed.jpeg" TargetMode="External"/><Relationship Id="rId1364" Type="http://schemas.openxmlformats.org/officeDocument/2006/relationships/hyperlink" Target="https://ap12.ragic.com/sims/file.jsp?a=soutlet001&amp;f=SP46W5U58M%40image_CCC44A6B-4DFA-4FE0-880C-255AA7AEB428_1759231270_compressed.jpeg" TargetMode="External"/><Relationship Id="rId1571" Type="http://schemas.openxmlformats.org/officeDocument/2006/relationships/hyperlink" Target="https://ap12.ragic.com/sims/file.jsp?a=soutlet001&amp;f=6P4pTJgQi7%401016.jpg" TargetMode="External"/><Relationship Id="rId70" Type="http://schemas.openxmlformats.org/officeDocument/2006/relationships/hyperlink" Target="https://ap12.ragic.com/sims/file.jsp?a=soutlet001&amp;f=vSJn1CHB73%40IMG_0684.jpeg" TargetMode="External"/><Relationship Id="rId801" Type="http://schemas.openxmlformats.org/officeDocument/2006/relationships/hyperlink" Target="https://ap12.ragic.com/sims/file.jsp?a=soutlet001&amp;f=uBKaVp8EK0%401029%E8%AA%BF%E6%95%B4%E4%BA%8C%E9%80%9A%E9%96%A5%E8%99%95%E7%90%86%E5%AE%8C%E6%88%90%E3%80%82.jpg" TargetMode="External"/><Relationship Id="rId1017" Type="http://schemas.openxmlformats.org/officeDocument/2006/relationships/hyperlink" Target="https://ap12.ragic.com/sims/file.jsp?a=soutlet001&amp;f=K2TODDn3W2%40IMG_7112.jpeg" TargetMode="External"/><Relationship Id="rId1224" Type="http://schemas.openxmlformats.org/officeDocument/2006/relationships/hyperlink" Target="https://ap12.ragic.com/sims/file.jsp?a=soutlet001&amp;f=3ZVop05339%40527%E6%AD%A2%E6%B0%B4%E5%A1%9E%E5%B7%B2%E4%BF%AE%E5%BE%A9%E5%AE%8C%E6%88%90.jpg" TargetMode="External"/><Relationship Id="rId1431" Type="http://schemas.openxmlformats.org/officeDocument/2006/relationships/hyperlink" Target="https://ap12.ragic.com/sims/file.jsp?a=soutlet001&amp;f=Oqs4ua4f8I%40721%E5%B7%B2%E8%AA%BF%E6%95%B4%E5%AE%8C%E6%88%90.jpg" TargetMode="External"/><Relationship Id="rId1669" Type="http://schemas.openxmlformats.org/officeDocument/2006/relationships/hyperlink" Target="https://ap12.ragic.com/sims/file.jsp?a=soutlet001&amp;f=Jg0GyOLiPz%40926.jpg" TargetMode="External"/><Relationship Id="rId1529" Type="http://schemas.openxmlformats.org/officeDocument/2006/relationships/hyperlink" Target="https://ap12.ragic.com/sims/file.jsp?a=soutlet001&amp;f=71O6J3i2Ke%4066884.jpg" TargetMode="External"/><Relationship Id="rId1736" Type="http://schemas.openxmlformats.org/officeDocument/2006/relationships/hyperlink" Target="https://ap12.ragic.com/sims/file.jsp?a=soutlet001&amp;f=9rAHhz2H87%40S__8740877.jpg" TargetMode="External"/><Relationship Id="rId28" Type="http://schemas.openxmlformats.org/officeDocument/2006/relationships/hyperlink" Target="https://ap12.ragic.com/sims/file.jsp?a=soutlet001&amp;f=0Nf3sElDRv%40IMG_1435.jpeg" TargetMode="External"/><Relationship Id="rId1803" Type="http://schemas.openxmlformats.org/officeDocument/2006/relationships/hyperlink" Target="https://ap12.ragic.com/sims/file.jsp?a=soutlet001&amp;f=3aEaa52ldN%4061508.jpg" TargetMode="External"/><Relationship Id="rId177" Type="http://schemas.openxmlformats.org/officeDocument/2006/relationships/hyperlink" Target="https://ap12.ragic.com/sims/file.jsp?a=soutlet001&amp;f=eFr4wMzXcm%40image+%281%29.jpg" TargetMode="External"/><Relationship Id="rId384" Type="http://schemas.openxmlformats.org/officeDocument/2006/relationships/hyperlink" Target="https://ap12.ragic.com/sims/file.jsp?a=soutlet001&amp;f=BPziSqtRDV%40IMG_6295.jpeg" TargetMode="External"/><Relationship Id="rId591" Type="http://schemas.openxmlformats.org/officeDocument/2006/relationships/hyperlink" Target="https://ap12.ragic.com/sims/file.jsp?a=soutlet001&amp;f=iO6VMnXKha%40822%E9%A6%AC%E6%A1%B6%E4%B8%8A%E6%96%B9%E5%B4%81%E7%87%88%E5%B7%B2%E6%9B%B4%E6%96%B0%E5%AE%8C%E6%88%90.jpg" TargetMode="External"/><Relationship Id="rId244" Type="http://schemas.openxmlformats.org/officeDocument/2006/relationships/hyperlink" Target="https://ap12.ragic.com/sims/file.jsp?a=soutlet001&amp;f=6ogTziTLzy%4089643.jpg" TargetMode="External"/><Relationship Id="rId689" Type="http://schemas.openxmlformats.org/officeDocument/2006/relationships/hyperlink" Target="https://ap12.ragic.com/sims/file.jsp?a=soutlet001&amp;f=zNtkVXjy1W%40713+%E7%A9%BA%E8%AA%BF%E6%BA%AB%E5%BA%A6%E5%B7%B2%E4%B8%8A%E5%8D%87.jpg" TargetMode="External"/><Relationship Id="rId896" Type="http://schemas.openxmlformats.org/officeDocument/2006/relationships/hyperlink" Target="https://ap12.ragic.com/sims/file.jsp?a=soutlet001&amp;f=O3ppcNFBZc%40717%E4%BF%AE%E5%BE%A9%E5%AE%8C%E6%88%90.jpg" TargetMode="External"/><Relationship Id="rId1081" Type="http://schemas.openxmlformats.org/officeDocument/2006/relationships/hyperlink" Target="https://ap12.ragic.com/sims/file.jsp?a=soutlet001&amp;f=4AV52PM1EX%40IMG_3667.jpeg" TargetMode="External"/><Relationship Id="rId451" Type="http://schemas.openxmlformats.org/officeDocument/2006/relationships/hyperlink" Target="https://ap12.ragic.com/sims/file.jsp?a=soutlet001&amp;f=t95AArslYq%40810%E6%9B%B4%E6%8F%9B%E8%93%AE%E8%93%AC%E9%A0%AD%E5%AE%8C%E6%88%90.jpg" TargetMode="External"/><Relationship Id="rId549" Type="http://schemas.openxmlformats.org/officeDocument/2006/relationships/hyperlink" Target="https://ap12.ragic.com/sims/file.jsp?a=soutlet001&amp;f=x3M9x4Okpt%40IMG_9800.jpeg" TargetMode="External"/><Relationship Id="rId756" Type="http://schemas.openxmlformats.org/officeDocument/2006/relationships/hyperlink" Target="https://ap12.ragic.com/sims/file.jsp?a=soutlet001&amp;f=VN3fGd3oWF%40713%E8%B2%93%E7%9C%BC%E8%AA%BF%E6%95%B4%E5%AE%8C%E6%88%90.jpg" TargetMode="External"/><Relationship Id="rId1179" Type="http://schemas.openxmlformats.org/officeDocument/2006/relationships/hyperlink" Target="https://ap12.ragic.com/sims/file.jsp?a=soutlet001&amp;f=dm4NkQKn3f%40IMG_7854.jpeg" TargetMode="External"/><Relationship Id="rId1386" Type="http://schemas.openxmlformats.org/officeDocument/2006/relationships/hyperlink" Target="https://ap12.ragic.com/sims/file.jsp?a=soutlet001&amp;f=VI2APF5t88%40S__30679073.jpg" TargetMode="External"/><Relationship Id="rId1593" Type="http://schemas.openxmlformats.org/officeDocument/2006/relationships/hyperlink" Target="https://ap12.ragic.com/sims/file.jsp?a=soutlet001&amp;f=yrcSxpW9m2%40IMG_6327.jpeg" TargetMode="External"/><Relationship Id="rId104" Type="http://schemas.openxmlformats.org/officeDocument/2006/relationships/hyperlink" Target="https://ap12.ragic.com/sims/file.jsp?a=soutlet001&amp;f=MzC5uFEcsj%40IMG_0111.jpeg" TargetMode="External"/><Relationship Id="rId311" Type="http://schemas.openxmlformats.org/officeDocument/2006/relationships/hyperlink" Target="https://ap12.ragic.com/sims/file.jsp?a=soutlet001&amp;f=384Vxcp4X3%4025e166ecfba90d9cb496cafa3fd21e3e.png" TargetMode="External"/><Relationship Id="rId409" Type="http://schemas.openxmlformats.org/officeDocument/2006/relationships/hyperlink" Target="https://ap12.ragic.com/sims/file.jsp?a=soutlet001&amp;f=UvnMslqpeS%40IMG_1812.jpeg" TargetMode="External"/><Relationship Id="rId963" Type="http://schemas.openxmlformats.org/officeDocument/2006/relationships/hyperlink" Target="https://ap12.ragic.com/sims/file.jsp?a=soutlet001&amp;f=NuenxpZAps%40IMG_7600.jpeg" TargetMode="External"/><Relationship Id="rId1039" Type="http://schemas.openxmlformats.org/officeDocument/2006/relationships/hyperlink" Target="https://ap12.ragic.com/sims/file.jsp?a=soutlet001&amp;f=F2GEu2ZX1l%401018%E5%B7%B2%E4%B8%8A%E7%9F%BD%E5%8A%9B%E5%BA%B7%E5%9B%BA%E5%AE%9A%E5%AE%8C%E6%88%90%EF%BC%8C%E9%9C%80%E8%A6%81%E4%BA%8C%E5%B0%8F%E6%99%82%E6%89%8D%E6%9C%83%E4%B9%BE.jpg" TargetMode="External"/><Relationship Id="rId1246" Type="http://schemas.openxmlformats.org/officeDocument/2006/relationships/hyperlink" Target="https://ap12.ragic.com/sims/file.jsp?a=soutlet001&amp;f=FQh3suW9kH%40IMG_7754.jpeg" TargetMode="External"/><Relationship Id="rId92" Type="http://schemas.openxmlformats.org/officeDocument/2006/relationships/hyperlink" Target="https://ap12.ragic.com/sims/file.jsp?a=soutlet001&amp;f=IBhQ5Ix9ES%401000008978.jpg" TargetMode="External"/><Relationship Id="rId616" Type="http://schemas.openxmlformats.org/officeDocument/2006/relationships/hyperlink" Target="https://ap12.ragic.com/sims/file.jsp?a=soutlet001&amp;f=urNyIcfdOJ%4030d79c5917e49e62f1a0c5d31e66a9fb.png" TargetMode="External"/><Relationship Id="rId823" Type="http://schemas.openxmlformats.org/officeDocument/2006/relationships/hyperlink" Target="https://ap12.ragic.com/sims/file.jsp?a=soutlet001&amp;f=89flYgaJaz%401000006565.jpg" TargetMode="External"/><Relationship Id="rId1453" Type="http://schemas.openxmlformats.org/officeDocument/2006/relationships/hyperlink" Target="https://ap12.ragic.com/sims/file.jsp?a=soutlet001&amp;f=i1uur0x66g%401000024399.jpg" TargetMode="External"/><Relationship Id="rId1660" Type="http://schemas.openxmlformats.org/officeDocument/2006/relationships/hyperlink" Target="https://ap12.ragic.com/sims/file.jsp?a=soutlet001&amp;f=71elLtT4i6%401445338e-fbe8-47ca-9cdc-a042a9f67853.jpeg" TargetMode="External"/><Relationship Id="rId1758" Type="http://schemas.openxmlformats.org/officeDocument/2006/relationships/hyperlink" Target="https://ap12.ragic.com/sims/file.jsp?a=soutlet001&amp;f=7kk7oPGF85%4062667.jpg" TargetMode="External"/><Relationship Id="rId1106" Type="http://schemas.openxmlformats.org/officeDocument/2006/relationships/hyperlink" Target="https://ap12.ragic.com/sims/file.jsp?a=soutlet001&amp;f=zR50ce1897%40IMG_6353.jpeg" TargetMode="External"/><Relationship Id="rId1313" Type="http://schemas.openxmlformats.org/officeDocument/2006/relationships/hyperlink" Target="https://ap12.ragic.com/sims/file.jsp?a=soutlet001&amp;f=oSwPsEHXIy%40IMG_5372.jpeg" TargetMode="External"/><Relationship Id="rId1520" Type="http://schemas.openxmlformats.org/officeDocument/2006/relationships/hyperlink" Target="https://ap12.ragic.com/sims/file.jsp?a=soutlet001&amp;f=RFHt33jHM7%40251074.jpg" TargetMode="External"/><Relationship Id="rId1618" Type="http://schemas.openxmlformats.org/officeDocument/2006/relationships/hyperlink" Target="https://ap12.ragic.com/sims/file.jsp?a=soutlet001&amp;f=z7UEYrWcY2%40S__9199717.jpg" TargetMode="External"/><Relationship Id="rId1825" Type="http://schemas.openxmlformats.org/officeDocument/2006/relationships/hyperlink" Target="https://ap12.ragic.com/sims/file.jsp?a=soutlet001&amp;f=08jwYIf11x%401000002636.jpg" TargetMode="External"/><Relationship Id="rId199" Type="http://schemas.openxmlformats.org/officeDocument/2006/relationships/hyperlink" Target="https://ap12.ragic.com/sims/file.jsp?a=soutlet001&amp;f=W5hzeezaP0%40AD281786-A1FE-4492-9D34-578AC26857D7.jpg" TargetMode="External"/><Relationship Id="rId266" Type="http://schemas.openxmlformats.org/officeDocument/2006/relationships/hyperlink" Target="https://ap12.ragic.com/sims/file.jsp?a=soutlet001&amp;f=9rR4Tmbyzf%40IMG_0180.jpeg" TargetMode="External"/><Relationship Id="rId473" Type="http://schemas.openxmlformats.org/officeDocument/2006/relationships/hyperlink" Target="https://ap12.ragic.com/sims/file.jsp?a=soutlet001&amp;f=DWNAurl0e4%40IMG_5317.jpeg" TargetMode="External"/><Relationship Id="rId680" Type="http://schemas.openxmlformats.org/officeDocument/2006/relationships/hyperlink" Target="https://ap12.ragic.com/sims/file.jsp?a=soutlet001&amp;f=P7t2ynJ1Yz%40IMG_20260103_144201.jpg" TargetMode="External"/><Relationship Id="rId126" Type="http://schemas.openxmlformats.org/officeDocument/2006/relationships/hyperlink" Target="https://ap12.ragic.com/sims/file.jsp?a=soutlet001&amp;f=JuXXUSdipY%40IMG_2539.jpeg" TargetMode="External"/><Relationship Id="rId333" Type="http://schemas.openxmlformats.org/officeDocument/2006/relationships/hyperlink" Target="https://ap12.ragic.com/sims/file.jsp?a=soutlet001&amp;f=XgZIKgJAvD%40IMG_1908.jpeg" TargetMode="External"/><Relationship Id="rId540" Type="http://schemas.openxmlformats.org/officeDocument/2006/relationships/hyperlink" Target="https://ap12.ragic.com/sims/file.jsp?a=soutlet001&amp;f=fQI3sAszi5%40809+%E6%B2%90%E6%B5%B4%E4%B9%B3%E6%9E%B6%E5%B7%B2%E6%9B%B4%E6%8F%9B.jpg" TargetMode="External"/><Relationship Id="rId778" Type="http://schemas.openxmlformats.org/officeDocument/2006/relationships/hyperlink" Target="https://ap12.ragic.com/sims/file.jsp?a=soutlet001&amp;f=SZx86YwTmV%401766372328645.jpg" TargetMode="External"/><Relationship Id="rId985" Type="http://schemas.openxmlformats.org/officeDocument/2006/relationships/hyperlink" Target="https://ap12.ragic.com/sims/file.jsp?a=soutlet001&amp;f=ttvqQnIYiP%401000006111.jpg" TargetMode="External"/><Relationship Id="rId1170" Type="http://schemas.openxmlformats.org/officeDocument/2006/relationships/hyperlink" Target="https://ap12.ragic.com/sims/file.jsp?a=soutlet001&amp;f=X6aQUwoC6s%40IMG_7867.jpeg" TargetMode="External"/><Relationship Id="rId638" Type="http://schemas.openxmlformats.org/officeDocument/2006/relationships/hyperlink" Target="https://ap12.ragic.com/sims/file.jsp?a=soutlet001&amp;f=li4KHU7Cay%401030%E5%B7%B2%E4%BF%AE%E5%A5%BD.jpg" TargetMode="External"/><Relationship Id="rId845" Type="http://schemas.openxmlformats.org/officeDocument/2006/relationships/hyperlink" Target="https://ap12.ragic.com/sims/file.jsp?a=soutlet001&amp;f=KuUUZVF9O5%4079689.jpg" TargetMode="External"/><Relationship Id="rId1030" Type="http://schemas.openxmlformats.org/officeDocument/2006/relationships/hyperlink" Target="https://ap12.ragic.com/sims/file.jsp?a=soutlet001&amp;f=Daig1cfArw%40IMG_0827.jpeg" TargetMode="External"/><Relationship Id="rId1268" Type="http://schemas.openxmlformats.org/officeDocument/2006/relationships/hyperlink" Target="https://ap12.ragic.com/sims/file.jsp?a=soutlet001&amp;f=81mvr1AP5H%40S__5840995.jpg" TargetMode="External"/><Relationship Id="rId1475" Type="http://schemas.openxmlformats.org/officeDocument/2006/relationships/hyperlink" Target="https://ap12.ragic.com/sims/file.jsp?a=soutlet001&amp;f=6CCKS78Myz%40B266146D-441B-49D4-8535-4625922689A3.jpg" TargetMode="External"/><Relationship Id="rId1682" Type="http://schemas.openxmlformats.org/officeDocument/2006/relationships/hyperlink" Target="https://ap12.ragic.com/sims/file.jsp?a=soutlet001&amp;f=904ng5XGHX%40518.jpg" TargetMode="External"/><Relationship Id="rId400" Type="http://schemas.openxmlformats.org/officeDocument/2006/relationships/hyperlink" Target="https://ap12.ragic.com/sims/file.jsp?a=soutlet001&amp;f=J5Nk7Fti5Y%40721+%E6%B0%B4%E9%BE%8D%E9%A0%AD%E5%B7%B2%E5%9B%BA%E5%AE%9A.jpg" TargetMode="External"/><Relationship Id="rId705" Type="http://schemas.openxmlformats.org/officeDocument/2006/relationships/hyperlink" Target="https://ap12.ragic.com/sims/file.jsp?a=soutlet001&amp;f=ww0rk7SHcS%40%E4%B9%9D%E6%A8%93%E8%B5%B0%E9%81%93%E5%B4%81%E7%87%88%E9%96%8B%E9%97%9C%E8%A2%AB%E9%97%9C%E6%8E%89%EF%BC%8C%E5%B7%B2%E9%96%8B%E5%95%9F.jpg" TargetMode="External"/><Relationship Id="rId1128" Type="http://schemas.openxmlformats.org/officeDocument/2006/relationships/hyperlink" Target="https://ap12.ragic.com/sims/file.jsp?a=soutlet001&amp;f=QQ06DYql92%40810%E7%9F%BD%E5%88%A9%E5%BA%B7%E8%99%95%E7%90%86%E5%AE%8C%E7%95%A2.jpg" TargetMode="External"/><Relationship Id="rId1335" Type="http://schemas.openxmlformats.org/officeDocument/2006/relationships/hyperlink" Target="https://ap12.ragic.com/sims/file.jsp?a=soutlet001&amp;f=B09Vm6q0Qa%4069783.jpg" TargetMode="External"/><Relationship Id="rId1542" Type="http://schemas.openxmlformats.org/officeDocument/2006/relationships/hyperlink" Target="https://ap12.ragic.com/sims/file.jsp?a=soutlet001&amp;f=26C6F2pXH6%40IMG_6491.jpeg" TargetMode="External"/><Relationship Id="rId912" Type="http://schemas.openxmlformats.org/officeDocument/2006/relationships/hyperlink" Target="https://ap12.ragic.com/sims/file.jsp?a=soutlet001&amp;f=71hzobUQ0x%40S__29876240.jpg" TargetMode="External"/><Relationship Id="rId41" Type="http://schemas.openxmlformats.org/officeDocument/2006/relationships/hyperlink" Target="https://ap12.ragic.com/sims/file.jsp?a=soutlet001&amp;f=D2piLHVU2Y%402153.jpg" TargetMode="External"/><Relationship Id="rId1402" Type="http://schemas.openxmlformats.org/officeDocument/2006/relationships/hyperlink" Target="https://ap12.ragic.com/sims/file.jsp?a=soutlet001&amp;f=n6Pw3S03mq%40image_AE204F27-1858-406A-8E0F-E2DBC3709A18_1759116134_compressed.jpeg" TargetMode="External"/><Relationship Id="rId1707" Type="http://schemas.openxmlformats.org/officeDocument/2006/relationships/hyperlink" Target="https://ap12.ragic.com/sims/file.jsp?a=soutlet001&amp;f=ZTq7iDD8I7%40IMG_3222.jpeg" TargetMode="External"/><Relationship Id="rId190" Type="http://schemas.openxmlformats.org/officeDocument/2006/relationships/hyperlink" Target="https://ap12.ragic.com/sims/file.jsp?a=soutlet001&amp;f=lUK365J6wb%40915-%E5%B0%8F%E5%86%B0%E7%AE%B1%E8%A3%9C%E6%BC%86.jpeg" TargetMode="External"/><Relationship Id="rId288" Type="http://schemas.openxmlformats.org/officeDocument/2006/relationships/hyperlink" Target="https://ap12.ragic.com/sims/file.jsp?a=soutlet001&amp;f=yqv02Km3Zo%40b383b4fde321690fe712a4b73dc5c775.png" TargetMode="External"/><Relationship Id="rId495" Type="http://schemas.openxmlformats.org/officeDocument/2006/relationships/hyperlink" Target="https://ap12.ragic.com/sims/file.jsp?a=soutlet001&amp;f=4tqtQll6fj%40IMG_1691+%281%29.jpeg" TargetMode="External"/><Relationship Id="rId148" Type="http://schemas.openxmlformats.org/officeDocument/2006/relationships/hyperlink" Target="https://ap12.ragic.com/sims/file.jsp?a=soutlet001&amp;f=jpO0IedG6e%40IMG_2399.jpeg" TargetMode="External"/><Relationship Id="rId355" Type="http://schemas.openxmlformats.org/officeDocument/2006/relationships/hyperlink" Target="https://ap12.ragic.com/sims/file.jsp?a=soutlet001&amp;f=WaZ6E1ATK4%40IMG_0628.jpeg" TargetMode="External"/><Relationship Id="rId562" Type="http://schemas.openxmlformats.org/officeDocument/2006/relationships/hyperlink" Target="https://ap12.ragic.com/sims/file.jsp?a=soutlet001&amp;f=hMwf76zaSv%401000007306.jpg" TargetMode="External"/><Relationship Id="rId1192" Type="http://schemas.openxmlformats.org/officeDocument/2006/relationships/hyperlink" Target="https://ap12.ragic.com/sims/file.jsp?a=soutlet001&amp;f=NX71iRsJgq%4072709.jpg" TargetMode="External"/><Relationship Id="rId215" Type="http://schemas.openxmlformats.org/officeDocument/2006/relationships/hyperlink" Target="https://ap12.ragic.com/sims/file.jsp?a=soutlet001&amp;f=c4IBNolGrE%40IMG_2097.jpeg" TargetMode="External"/><Relationship Id="rId422" Type="http://schemas.openxmlformats.org/officeDocument/2006/relationships/hyperlink" Target="https://ap12.ragic.com/sims/file.jsp?a=soutlet001&amp;f=gSSkvLdrAo%40715%E6%B5%B4%E5%AE%A4%E7%87%88%E4%BF%AE%E5%BE%A9%E5%AE%8C%E6%88%90.jpg" TargetMode="External"/><Relationship Id="rId867" Type="http://schemas.openxmlformats.org/officeDocument/2006/relationships/hyperlink" Target="https://ap12.ragic.com/sims/file.jsp?a=soutlet001&amp;f=E9cw5kuZb3%401000006454.jpg" TargetMode="External"/><Relationship Id="rId1052" Type="http://schemas.openxmlformats.org/officeDocument/2006/relationships/hyperlink" Target="https://ap12.ragic.com/sims/file.jsp?a=soutlet001&amp;f=1434FREC0S%40image.jpg" TargetMode="External"/><Relationship Id="rId1497" Type="http://schemas.openxmlformats.org/officeDocument/2006/relationships/hyperlink" Target="https://ap12.ragic.com/sims/file.jsp?a=soutlet001&amp;f=zBflz976Om%40B545B399-39D0-427A-BA2C-00F8201E7CD7.jpg" TargetMode="External"/><Relationship Id="rId727" Type="http://schemas.openxmlformats.org/officeDocument/2006/relationships/hyperlink" Target="https://ap12.ragic.com/sims/file.jsp?a=soutlet001&amp;f=xA7mWO6hR5%40608%E5%B7%A6%E5%BA%8A%E9%A0%AD%E7%87%88%E5%B7%B2%E6%9B%B4%E6%96%B0%E5%AE%8C%E6%88%90%EF%BC%81%E6%B5%B4%E7%B0%BE%E6%8B%89%E9%8D%8A%E5%B7%B2%E4%BF%AE%E5%BE%A9%E5%AE%8C%E6%88%90.jpg" TargetMode="External"/><Relationship Id="rId934" Type="http://schemas.openxmlformats.org/officeDocument/2006/relationships/hyperlink" Target="https://ap12.ragic.com/sims/file.jsp?a=soutlet001&amp;f=sQssrJ5XDX%40IMG_8428.jpeg" TargetMode="External"/><Relationship Id="rId1357" Type="http://schemas.openxmlformats.org/officeDocument/2006/relationships/hyperlink" Target="https://ap12.ragic.com/sims/file.jsp?a=soutlet001&amp;f=xQ8g4r6fYK%40IMG_5022.jpeg" TargetMode="External"/><Relationship Id="rId1564" Type="http://schemas.openxmlformats.org/officeDocument/2006/relationships/hyperlink" Target="https://ap12.ragic.com/sims/file.jsp?a=soutlet001&amp;f=4BNK7jb7a9%40IMG_4062.jpeg" TargetMode="External"/><Relationship Id="rId1771" Type="http://schemas.openxmlformats.org/officeDocument/2006/relationships/hyperlink" Target="https://ap12.ragic.com/sims/file.jsp?a=soutlet001&amp;f=GvjQ42ur5t%40S__27263086.jpg" TargetMode="External"/><Relationship Id="rId63" Type="http://schemas.openxmlformats.org/officeDocument/2006/relationships/hyperlink" Target="https://ap12.ragic.com/sims/file.jsp?a=soutlet001&amp;f=z346JdHIKU%40image.jpg" TargetMode="External"/><Relationship Id="rId1217" Type="http://schemas.openxmlformats.org/officeDocument/2006/relationships/hyperlink" Target="https://ap12.ragic.com/sims/file.jsp?a=soutlet001&amp;f=1tpKWspU2I%40926%E6%AB%83%E5%AD%90%E8%B2%BC%E7%9A%AE%E8%99%95%E7%90%86%E5%AE%8C%E7%95%A2.jpg" TargetMode="External"/><Relationship Id="rId1424" Type="http://schemas.openxmlformats.org/officeDocument/2006/relationships/hyperlink" Target="https://ap12.ragic.com/sims/file.jsp?a=soutlet001&amp;f=V25SLUVu09%40B0744D05-03C1-48F1-A555-D2339A2A9EE0.jpg" TargetMode="External"/><Relationship Id="rId1631" Type="http://schemas.openxmlformats.org/officeDocument/2006/relationships/hyperlink" Target="https://ap12.ragic.com/sims/file.jsp?a=soutlet001&amp;f=ZtUi8z521G%40IMG_6164.jpeg" TargetMode="External"/><Relationship Id="rId1729" Type="http://schemas.openxmlformats.org/officeDocument/2006/relationships/hyperlink" Target="https://ap12.ragic.com/sims/file.jsp?a=soutlet001&amp;f=G0X702536b%40IMG_3144.jpeg" TargetMode="External"/><Relationship Id="rId377" Type="http://schemas.openxmlformats.org/officeDocument/2006/relationships/hyperlink" Target="https://ap12.ragic.com/sims/file.jsp?a=soutlet001&amp;f=A4LrjxwQow%401000007944.jpg" TargetMode="External"/><Relationship Id="rId584" Type="http://schemas.openxmlformats.org/officeDocument/2006/relationships/hyperlink" Target="https://ap12.ragic.com/sims/file.jsp?a=soutlet001&amp;f=etu77QSDoF%4058604538ab75e390c6b749af1b7fd768.png" TargetMode="External"/><Relationship Id="rId5" Type="http://schemas.openxmlformats.org/officeDocument/2006/relationships/hyperlink" Target="https://ap12.ragic.com/sims/file.jsp?a=soutlet001&amp;f=jEQ70DiOpT%401000009945.jpg" TargetMode="External"/><Relationship Id="rId237" Type="http://schemas.openxmlformats.org/officeDocument/2006/relationships/hyperlink" Target="https://ap12.ragic.com/sims/file.jsp?a=soutlet001&amp;f=xwoJpqYlQa%401000008110.jpg" TargetMode="External"/><Relationship Id="rId791" Type="http://schemas.openxmlformats.org/officeDocument/2006/relationships/hyperlink" Target="https://ap12.ragic.com/sims/file.jsp?a=soutlet001&amp;f=o7nXiVXrP8%40IMG_9466.jpeg" TargetMode="External"/><Relationship Id="rId889" Type="http://schemas.openxmlformats.org/officeDocument/2006/relationships/hyperlink" Target="https://ap12.ragic.com/sims/file.jsp?a=soutlet001&amp;f=dmYn7poOOG%40831768.jpg" TargetMode="External"/><Relationship Id="rId1074" Type="http://schemas.openxmlformats.org/officeDocument/2006/relationships/hyperlink" Target="https://ap12.ragic.com/sims/file.jsp?a=soutlet001&amp;f=dK1wR8tjm6%40%E9%A3%AF%E5%BA%971%E6%A8%93%E5%A4%A7%E5%BB%B3%EF%BC%8C%E7%87%88%E6%B3%A1%E5%B7%B2%E6%9B%B4%E6%8F%9B%E5%AE%8C%E6%88%90%E3%80%82.jpg" TargetMode="External"/><Relationship Id="rId444" Type="http://schemas.openxmlformats.org/officeDocument/2006/relationships/hyperlink" Target="https://ap12.ragic.com/sims/file.jsp?a=soutlet001&amp;f=LXXWs4oT6d%40716%E9%9B%BB%E8%A6%96%E7%B6%B2%E8%B7%AF%E8%AA%BF%E6%95%B4%E5%AE%8C%E6%88%90.jpg" TargetMode="External"/><Relationship Id="rId651" Type="http://schemas.openxmlformats.org/officeDocument/2006/relationships/hyperlink" Target="https://ap12.ragic.com/sims/file.jsp?a=soutlet001&amp;f=cceEP0rJrR%40IMG_9628.jpeg" TargetMode="External"/><Relationship Id="rId749" Type="http://schemas.openxmlformats.org/officeDocument/2006/relationships/hyperlink" Target="https://ap12.ragic.com/sims/file.jsp?a=soutlet001&amp;f=3T2N3Z5DO8%401000006807.jpg" TargetMode="External"/><Relationship Id="rId1281" Type="http://schemas.openxmlformats.org/officeDocument/2006/relationships/hyperlink" Target="https://ap12.ragic.com/sims/file.jsp?a=soutlet001&amp;f=qoj4uD1lR2%40IMG_7698.jpeg" TargetMode="External"/><Relationship Id="rId1379" Type="http://schemas.openxmlformats.org/officeDocument/2006/relationships/hyperlink" Target="https://ap12.ragic.com/sims/file.jsp?a=soutlet001&amp;f=B6Rwk9vn49%40image_A8873C30-824B-4C3A-A274-C49133FF3C05_1759239070_compressed.jpeg" TargetMode="External"/><Relationship Id="rId1586" Type="http://schemas.openxmlformats.org/officeDocument/2006/relationships/hyperlink" Target="https://ap12.ragic.com/sims/file.jsp?a=soutlet001&amp;f=L03FHoE4XS%40IMG_3945.jpeg" TargetMode="External"/><Relationship Id="rId304" Type="http://schemas.openxmlformats.org/officeDocument/2006/relationships/hyperlink" Target="https://ap12.ragic.com/sims/file.jsp?a=soutlet001&amp;f=Zrj7GOdgcV%40915%E8%99%95%E7%90%86%E5%AE%8C%E6%88%90.jpg" TargetMode="External"/><Relationship Id="rId511" Type="http://schemas.openxmlformats.org/officeDocument/2006/relationships/hyperlink" Target="https://ap12.ragic.com/sims/file.jsp?a=soutlet001&amp;f=QrjjsGf0nV%40925+%E6%AD%A2%E6%B0%B4%E6%A2%9D%E6%9B%B4%E6%8F%9B%E5%AE%8C%E6%88%90.jpg" TargetMode="External"/><Relationship Id="rId609" Type="http://schemas.openxmlformats.org/officeDocument/2006/relationships/hyperlink" Target="https://ap12.ragic.com/sims/file.jsp?a=soutlet001&amp;f=Yvf6B2fUb7%40603%E7%B6%AD%E4%BF%AE%E5%AE%8C%E6%88%90.jpg" TargetMode="External"/><Relationship Id="rId956" Type="http://schemas.openxmlformats.org/officeDocument/2006/relationships/hyperlink" Target="https://ap12.ragic.com/sims/file.jsp?a=soutlet001&amp;f=RptibkEPOE%40818%E5%85%88%E6%9A%AB%E6%99%82%E8%B2%BC%E7%9A%AE%E6%87%89%E6%80%A5%EF%BC%8C%E6%9D%90%E6%96%99%EF%BC%88%E9%90%B5%E7%89%87%EF%BC%89%E9%9C%80%E6%89%BE%EF%BC%8C%E4%B8%8D%E5%BD%B1%E9%9F%BF%E9%96%8B%E9%97%9C%E9%96%80.jpg" TargetMode="External"/><Relationship Id="rId1141" Type="http://schemas.openxmlformats.org/officeDocument/2006/relationships/hyperlink" Target="https://ap12.ragic.com/sims/file.jsp?a=soutlet001&amp;f=s8a0TJi715%4074153.jpg" TargetMode="External"/><Relationship Id="rId1239" Type="http://schemas.openxmlformats.org/officeDocument/2006/relationships/hyperlink" Target="https://ap12.ragic.com/sims/file.jsp?a=soutlet001&amp;f=0I5k57FXWu%4099228.jpg" TargetMode="External"/><Relationship Id="rId1793" Type="http://schemas.openxmlformats.org/officeDocument/2006/relationships/hyperlink" Target="https://ap12.ragic.com/sims/file.jsp?a=soutlet001&amp;f=KrvWu2CeYT%40IMG_5920.jpeg" TargetMode="External"/><Relationship Id="rId85" Type="http://schemas.openxmlformats.org/officeDocument/2006/relationships/hyperlink" Target="https://ap12.ragic.com/sims/file.jsp?a=soutlet001&amp;f=AYdXfWWB10%40IMG_0415.jpeg" TargetMode="External"/><Relationship Id="rId816" Type="http://schemas.openxmlformats.org/officeDocument/2006/relationships/hyperlink" Target="https://ap12.ragic.com/sims/file.jsp?a=soutlet001&amp;f=QrDchbdJkR%40717%E6%AD%A2%E6%B0%B4%E6%A2%9D%E5%B7%B2%E6%9B%B4%E6%96%B0%E5%AE%8C%E6%88%90.jpg" TargetMode="External"/><Relationship Id="rId1001" Type="http://schemas.openxmlformats.org/officeDocument/2006/relationships/hyperlink" Target="https://ap12.ragic.com/sims/file.jsp?a=soutlet001&amp;f=GQkDb93Ugc%401016%E7%87%88%E5%B8%B6%E5%B7%B2%E4%BF%AE%E5%BE%A9%E5%AE%8C%E6%88%90.jpg" TargetMode="External"/><Relationship Id="rId1446" Type="http://schemas.openxmlformats.org/officeDocument/2006/relationships/hyperlink" Target="https://ap12.ragic.com/sims/file.jsp?a=soutlet001&amp;f=j94yAKo4fv%40527%E5%87%BA%E6%B0%B4%E5%AD%94%E5%B7%B2%E7%B6%93%E6%B8%85%E6%BD%94%E5%AE%8C%E6%88%90.jpg" TargetMode="External"/><Relationship Id="rId1653" Type="http://schemas.openxmlformats.org/officeDocument/2006/relationships/hyperlink" Target="https://ap12.ragic.com/sims/file.jsp?a=soutlet001&amp;f=03sletNoet%40IMG_6138.jpeg" TargetMode="External"/><Relationship Id="rId1306" Type="http://schemas.openxmlformats.org/officeDocument/2006/relationships/hyperlink" Target="https://ap12.ragic.com/sims/file.jsp?a=soutlet001&amp;f=wu1dy1tRW6%40IMG_5379.jpeg" TargetMode="External"/><Relationship Id="rId1513" Type="http://schemas.openxmlformats.org/officeDocument/2006/relationships/hyperlink" Target="https://ap12.ragic.com/sims/file.jsp?a=soutlet001&amp;f=5PpilIijZu%40S__49881097_0%281%29.jpg" TargetMode="External"/><Relationship Id="rId1720" Type="http://schemas.openxmlformats.org/officeDocument/2006/relationships/hyperlink" Target="https://ap12.ragic.com/sims/file.jsp?a=soutlet001&amp;f=uLWRI1FyuL%4063190.jpg" TargetMode="External"/><Relationship Id="rId12" Type="http://schemas.openxmlformats.org/officeDocument/2006/relationships/hyperlink" Target="https://ap12.ragic.com/sims/file.jsp?a=soutlet001&amp;f=KnNu4R2wEe%40IMG_1600.jpeg" TargetMode="External"/><Relationship Id="rId1818" Type="http://schemas.openxmlformats.org/officeDocument/2006/relationships/hyperlink" Target="https://ap12.ragic.com/sims/file.jsp?a=soutlet001&amp;f=2xBjNTG43R%40S__29442154.jpg" TargetMode="External"/><Relationship Id="rId161" Type="http://schemas.openxmlformats.org/officeDocument/2006/relationships/hyperlink" Target="https://ap12.ragic.com/sims/file.jsp?a=soutlet001&amp;f=DjxWCQ6FqK%40526+%E6%89%8B%E6%8A%8A%E5%B7%B2+%E9%8E%96%E7%B7%8A.jpg" TargetMode="External"/><Relationship Id="rId399" Type="http://schemas.openxmlformats.org/officeDocument/2006/relationships/hyperlink" Target="https://ap12.ragic.com/sims/file.jsp?a=soutlet001&amp;f=0L2KgvqhEk%401000007846.jpg" TargetMode="External"/><Relationship Id="rId259" Type="http://schemas.openxmlformats.org/officeDocument/2006/relationships/hyperlink" Target="https://ap12.ragic.com/sims/file.jsp?a=soutlet001&amp;f=AkE1VVlLvN%40591e6626575a99d1b983cc407a0d291b.png" TargetMode="External"/><Relationship Id="rId466" Type="http://schemas.openxmlformats.org/officeDocument/2006/relationships/hyperlink" Target="https://ap12.ragic.com/sims/file.jsp?a=soutlet001&amp;f=3mxchGI3XN%40C%E6%A2%AF%E7%87%88%E6%B3%A1%E5%B7%B2%E6%9B%B4%E6%8F%9B.jpg" TargetMode="External"/><Relationship Id="rId673" Type="http://schemas.openxmlformats.org/officeDocument/2006/relationships/hyperlink" Target="https://ap12.ragic.com/sims/file.jsp?a=soutlet001&amp;f=unhKhffnYL%40929+%E9%9B%BB%E8%A6%96%E5%B7%B2%E4%BF%AE%E5%BE%A9.jpg" TargetMode="External"/><Relationship Id="rId880" Type="http://schemas.openxmlformats.org/officeDocument/2006/relationships/hyperlink" Target="https://ap12.ragic.com/sims/file.jsp?a=soutlet001&amp;f=k8ub5AB9LR%401000006412.jpg" TargetMode="External"/><Relationship Id="rId1096" Type="http://schemas.openxmlformats.org/officeDocument/2006/relationships/hyperlink" Target="https://ap12.ragic.com/sims/file.jsp?a=soutlet001&amp;f=s8VB0sdd1F%40IMG_3656.jpeg" TargetMode="External"/><Relationship Id="rId119" Type="http://schemas.openxmlformats.org/officeDocument/2006/relationships/hyperlink" Target="https://ap12.ragic.com/sims/file.jsp?a=soutlet001&amp;f=54lY7rQCh1%40IMG_2560.jpeg" TargetMode="External"/><Relationship Id="rId326" Type="http://schemas.openxmlformats.org/officeDocument/2006/relationships/hyperlink" Target="https://ap12.ragic.com/sims/file.jsp?a=soutlet001&amp;f=MYzq5yM2Hl%4020dbeb6421af9e857e5a85550eb4f6e1.png" TargetMode="External"/><Relationship Id="rId533" Type="http://schemas.openxmlformats.org/officeDocument/2006/relationships/hyperlink" Target="https://ap12.ragic.com/sims/file.jsp?a=soutlet001&amp;f=GAFvJZHfG3%40528+%E7%87%88%E6%B3%A1%E5%B7%B2%E6%9B%B4%E6%8F%9B.jpg" TargetMode="External"/><Relationship Id="rId978" Type="http://schemas.openxmlformats.org/officeDocument/2006/relationships/hyperlink" Target="https://ap12.ragic.com/sims/file.jsp?a=soutlet001&amp;f=6qPS3TxqRF%40IMG_8355.jpeg" TargetMode="External"/><Relationship Id="rId1163" Type="http://schemas.openxmlformats.org/officeDocument/2006/relationships/hyperlink" Target="https://ap12.ragic.com/sims/file.jsp?a=soutlet001&amp;f=FbkM7NUTO0%40IMG_5966.jpeg" TargetMode="External"/><Relationship Id="rId1370" Type="http://schemas.openxmlformats.org/officeDocument/2006/relationships/hyperlink" Target="https://ap12.ragic.com/sims/file.jsp?a=soutlet001&amp;f=FD25jpm0AY%40image_1F648B3B-4D20-4E44-A62C-F1B1CEDD307B_1759238099_compressed.jpeg" TargetMode="External"/><Relationship Id="rId740" Type="http://schemas.openxmlformats.org/officeDocument/2006/relationships/hyperlink" Target="https://ap12.ragic.com/sims/file.jsp?a=soutlet001&amp;f=lbFtLfuDCo%40IMG_9546.jpeg" TargetMode="External"/><Relationship Id="rId838" Type="http://schemas.openxmlformats.org/officeDocument/2006/relationships/hyperlink" Target="https://ap12.ragic.com/sims/file.jsp?a=soutlet001&amp;f=jBs5nydP9j%4079768.jpg" TargetMode="External"/><Relationship Id="rId1023" Type="http://schemas.openxmlformats.org/officeDocument/2006/relationships/hyperlink" Target="https://ap12.ragic.com/sims/file.jsp?a=soutlet001&amp;f=Q05TLu2ETW%40609%E5%B7%B2%E6%89%93%E7%9F%BD%E5%88%A9%E5%BA%B7%E5%9B%BA%E5%AE%9A%EF%BC%8C3%E5%B0%8F%E6%99%82%E5%BE%8C%E6%94%BE%E6%88%BF.jpg" TargetMode="External"/><Relationship Id="rId1468" Type="http://schemas.openxmlformats.org/officeDocument/2006/relationships/hyperlink" Target="https://ap12.ragic.com/sims/file.jsp?a=soutlet001&amp;f=O47hOCZQUr%401000024369.jpg" TargetMode="External"/><Relationship Id="rId1675" Type="http://schemas.openxmlformats.org/officeDocument/2006/relationships/hyperlink" Target="https://ap12.ragic.com/sims/file.jsp?a=soutlet001&amp;f=7yT0g05ht2%40623.jpg" TargetMode="External"/><Relationship Id="rId600" Type="http://schemas.openxmlformats.org/officeDocument/2006/relationships/hyperlink" Target="https://ap12.ragic.com/sims/file.jsp?a=soutlet001&amp;f=QTbLsAiTXy%4086174.jpg" TargetMode="External"/><Relationship Id="rId1230" Type="http://schemas.openxmlformats.org/officeDocument/2006/relationships/hyperlink" Target="https://ap12.ragic.com/sims/file.jsp?a=soutlet001&amp;f=NRFr77ApDa%40IMG_5631.jpeg" TargetMode="External"/><Relationship Id="rId1328" Type="http://schemas.openxmlformats.org/officeDocument/2006/relationships/hyperlink" Target="https://ap12.ragic.com/sims/file.jsp?a=soutlet001&amp;f=Fhx62s77pO%4070494.jpg" TargetMode="External"/><Relationship Id="rId1535" Type="http://schemas.openxmlformats.org/officeDocument/2006/relationships/hyperlink" Target="https://ap12.ragic.com/sims/file.jsp?a=soutlet001&amp;f=ji9gX320Z1%4066495.jpg" TargetMode="External"/><Relationship Id="rId905" Type="http://schemas.openxmlformats.org/officeDocument/2006/relationships/hyperlink" Target="https://ap12.ragic.com/sims/file.jsp?a=soutlet001&amp;f=wuuitqr3nw%401016%E7%87%88%E6%9B%B4%E6%8F%9B%E5%AE%8C%E6%88%90%E3%80%82.jpg" TargetMode="External"/><Relationship Id="rId1742" Type="http://schemas.openxmlformats.org/officeDocument/2006/relationships/hyperlink" Target="https://ap12.ragic.com/sims/file.jsp?a=soutlet001&amp;f=cUbO4NRo0F%4060960.jpg" TargetMode="External"/><Relationship Id="rId34" Type="http://schemas.openxmlformats.org/officeDocument/2006/relationships/hyperlink" Target="https://ap12.ragic.com/sims/file.jsp?a=soutlet001&amp;f=6stodQTETX%401000009660.jpg" TargetMode="External"/><Relationship Id="rId1602" Type="http://schemas.openxmlformats.org/officeDocument/2006/relationships/hyperlink" Target="https://ap12.ragic.com/sims/file.jsp?a=soutlet001&amp;f=kNQ49P0J4d%40733614.jpg" TargetMode="External"/><Relationship Id="rId183" Type="http://schemas.openxmlformats.org/officeDocument/2006/relationships/hyperlink" Target="https://ap12.ragic.com/sims/file.jsp?a=soutlet001&amp;f=h5dLdRFesm%401000008266.jpg" TargetMode="External"/><Relationship Id="rId390" Type="http://schemas.openxmlformats.org/officeDocument/2006/relationships/hyperlink" Target="https://ap12.ragic.com/sims/file.jsp?a=soutlet001&amp;f=Z0MCffCY63%40IMG_6237.jpeg" TargetMode="External"/><Relationship Id="rId250" Type="http://schemas.openxmlformats.org/officeDocument/2006/relationships/hyperlink" Target="https://ap12.ragic.com/sims/file.jsp?a=soutlet001&amp;f=Amx6FiZ8NA%40S__76431365.jpg" TargetMode="External"/><Relationship Id="rId488" Type="http://schemas.openxmlformats.org/officeDocument/2006/relationships/hyperlink" Target="https://ap12.ragic.com/sims/file.jsp?a=soutlet001&amp;f=ZEECGOujsw%40image_F07CC472-F071-4B4A-82BD-E371B4EF7580_1769774179_compressed.jpeg" TargetMode="External"/><Relationship Id="rId695" Type="http://schemas.openxmlformats.org/officeDocument/2006/relationships/hyperlink" Target="https://ap12.ragic.com/sims/file.jsp?a=soutlet001&amp;f=v3onRiCGoW%40819+%E9%9B%BB%E8%A6%96%E5%B7%B2%E8%AA%BF%E6%95%B4%E5%AE%8C%E6%88%90.jpg" TargetMode="External"/><Relationship Id="rId110" Type="http://schemas.openxmlformats.org/officeDocument/2006/relationships/hyperlink" Target="https://ap12.ragic.com/sims/file.jsp?a=soutlet001&amp;f=UDbUynr1Id%40IMG_0481.jpeg" TargetMode="External"/><Relationship Id="rId348" Type="http://schemas.openxmlformats.org/officeDocument/2006/relationships/hyperlink" Target="https://ap12.ragic.com/sims/file.jsp?a=soutlet001&amp;f=fVU5yIFSPl%40%E5%86%B7%E5%8D%BB%E6%B0%B4%E6%8E%92%E6%B0%B4%E6%A9%9F%E6%B2%92%E4%BD%9C%E5%8B%95%EF%BC%8C%E9%87%8D%E5%95%9F%E5%BE%8C%E5%B7%B2%E6%AD%A3%E5%B8%B8.jpg" TargetMode="External"/><Relationship Id="rId555" Type="http://schemas.openxmlformats.org/officeDocument/2006/relationships/hyperlink" Target="https://ap12.ragic.com/sims/file.jsp?a=soutlet001&amp;f=8t0h1YrphR%40IMG_20260120_103723.jpg" TargetMode="External"/><Relationship Id="rId762" Type="http://schemas.openxmlformats.org/officeDocument/2006/relationships/hyperlink" Target="https://ap12.ragic.com/sims/file.jsp?a=soutlet001&amp;f=HsvHsFNOP0%40921%E4%BF%9D%E9%9A%AA%E7%AE%B1%E6%B2%B9%E5%A3%93%E6%A1%BF%E5%B7%B2%E6%9B%B4%E6%96%B0%E5%AE%8C%E6%88%90.jpg" TargetMode="External"/><Relationship Id="rId1185" Type="http://schemas.openxmlformats.org/officeDocument/2006/relationships/hyperlink" Target="https://ap12.ragic.com/sims/file.jsp?a=soutlet001&amp;f=WM0yGn72Tu%40IMG_5841.jpeg" TargetMode="External"/><Relationship Id="rId1392" Type="http://schemas.openxmlformats.org/officeDocument/2006/relationships/hyperlink" Target="https://ap12.ragic.com/sims/file.jsp?a=soutlet001&amp;f=602LMNd0a1%40image_88FF40E2-1891-4B79-98FA-7184856975E3_1759110159_compressed.jpeg" TargetMode="External"/><Relationship Id="rId208" Type="http://schemas.openxmlformats.org/officeDocument/2006/relationships/hyperlink" Target="https://ap12.ragic.com/sims/file.jsp?a=soutlet001&amp;f=JYBaWYZzir%40628+TV%E8%99%95%E7%90%86%E5%AE%8C%E6%88%90.jpg" TargetMode="External"/><Relationship Id="rId415" Type="http://schemas.openxmlformats.org/officeDocument/2006/relationships/hyperlink" Target="https://ap12.ragic.com/sims/file.jsp?a=soutlet001&amp;f=Q7flrtOlNQ%4050dac16d7212a843d3ef4e97badd505b.png" TargetMode="External"/><Relationship Id="rId622" Type="http://schemas.openxmlformats.org/officeDocument/2006/relationships/hyperlink" Target="https://ap12.ragic.com/sims/file.jsp?a=soutlet001&amp;f=p2FgcSOKWC%402ae971c0a5b226ec3464b9e412d30f52.png" TargetMode="External"/><Relationship Id="rId1045" Type="http://schemas.openxmlformats.org/officeDocument/2006/relationships/hyperlink" Target="https://ap12.ragic.com/sims/file.jsp?a=soutlet001&amp;f=41W2ycgEtM%40LINE_P2025116_174857_new.jpg" TargetMode="External"/><Relationship Id="rId1252" Type="http://schemas.openxmlformats.org/officeDocument/2006/relationships/hyperlink" Target="https://ap12.ragic.com/sims/file.jsp?a=soutlet001&amp;f=qwG1000202%40IMG_7735.jpeg" TargetMode="External"/><Relationship Id="rId1697" Type="http://schemas.openxmlformats.org/officeDocument/2006/relationships/hyperlink" Target="https://ap12.ragic.com/sims/file.jsp?a=soutlet001&amp;f=lf4nUAwa3j%4063388.jpg" TargetMode="External"/><Relationship Id="rId927" Type="http://schemas.openxmlformats.org/officeDocument/2006/relationships/hyperlink" Target="https://ap12.ragic.com/sims/file.jsp?a=soutlet001&amp;f=WIr6MEEBTK%40796762.jpg" TargetMode="External"/><Relationship Id="rId1112" Type="http://schemas.openxmlformats.org/officeDocument/2006/relationships/hyperlink" Target="https://ap12.ragic.com/sims/file.jsp?a=soutlet001&amp;f=3Zz6ECIG7d%401000005769.jpg" TargetMode="External"/><Relationship Id="rId1557" Type="http://schemas.openxmlformats.org/officeDocument/2006/relationships/hyperlink" Target="https://ap12.ragic.com/sims/file.jsp?a=soutlet001&amp;f=wtIzW0nx7Y%40IMG_6443.jpeg" TargetMode="External"/><Relationship Id="rId1764" Type="http://schemas.openxmlformats.org/officeDocument/2006/relationships/hyperlink" Target="https://ap12.ragic.com/sims/file.jsp?a=soutlet001&amp;f=pvnlar5bO5%40IMG_5952.jpeg" TargetMode="External"/><Relationship Id="rId56" Type="http://schemas.openxmlformats.org/officeDocument/2006/relationships/hyperlink" Target="https://ap12.ragic.com/sims/file.jsp?a=soutlet001&amp;f=71QpjmgnGg%401000009549.jpg" TargetMode="External"/><Relationship Id="rId1417" Type="http://schemas.openxmlformats.org/officeDocument/2006/relationships/hyperlink" Target="https://ap12.ragic.com/sims/file.jsp?a=soutlet001&amp;f=0DM54w4U9m%4091872.jpg" TargetMode="External"/><Relationship Id="rId1624" Type="http://schemas.openxmlformats.org/officeDocument/2006/relationships/hyperlink" Target="https://ap12.ragic.com/sims/file.jsp?a=soutlet001&amp;f=6suGVmTHU5%401000008379.jpg" TargetMode="External"/><Relationship Id="rId1831" Type="http://schemas.openxmlformats.org/officeDocument/2006/relationships/hyperlink" Target="https://ap12.ragic.com/sims/file.jsp?a=soutlet001&amp;f=Pr4oqxEZ15%40S__30916625.jpg" TargetMode="External"/><Relationship Id="rId272" Type="http://schemas.openxmlformats.org/officeDocument/2006/relationships/hyperlink" Target="https://ap12.ragic.com/sims/file.jsp?a=soutlet001&amp;f=D0zeJut6u9%40295329c7d5749fbcefe1a9c29c8dd781.png" TargetMode="External"/><Relationship Id="rId577" Type="http://schemas.openxmlformats.org/officeDocument/2006/relationships/hyperlink" Target="https://ap12.ragic.com/sims/file.jsp?a=soutlet001&amp;f=glsWP0NO73%40709%E9%96%80%E6%A1%86%E4%B8%8B%E6%96%B9%E8%A3%9C%E6%BC%86%E5%AE%8C%E6%88%90.jpg" TargetMode="External"/><Relationship Id="rId132" Type="http://schemas.openxmlformats.org/officeDocument/2006/relationships/hyperlink" Target="https://ap12.ragic.com/sims/file.jsp?a=soutlet001&amp;f=uJ9DpWIakK%401000008599.jpg" TargetMode="External"/><Relationship Id="rId784" Type="http://schemas.openxmlformats.org/officeDocument/2006/relationships/hyperlink" Target="https://ap12.ragic.com/sims/file.jsp?a=soutlet001&amp;f=2ohpDifIMg%40S__143589462.jpg" TargetMode="External"/><Relationship Id="rId991" Type="http://schemas.openxmlformats.org/officeDocument/2006/relationships/hyperlink" Target="https://ap12.ragic.com/sims/file.jsp?a=soutlet001&amp;f=elauxYhN79%40image_0D53E8F9-564F-4769-8559-1039E0AC8292_1763255012_compressed.jpeg" TargetMode="External"/><Relationship Id="rId1067" Type="http://schemas.openxmlformats.org/officeDocument/2006/relationships/hyperlink" Target="https://ap12.ragic.com/sims/file.jsp?a=soutlet001&amp;f=793cdQXSp2%40IMG_6821.jpeg" TargetMode="External"/><Relationship Id="rId437" Type="http://schemas.openxmlformats.org/officeDocument/2006/relationships/hyperlink" Target="https://ap12.ragic.com/sims/file.jsp?a=soutlet001&amp;f=ZZ1uABzF6u%40602+%E6%B0%B4%E9%BE%8D%E9%A0%AD%E5%B7%B2%E5%9B%BA%E5%AE%9A.jpg" TargetMode="External"/><Relationship Id="rId644" Type="http://schemas.openxmlformats.org/officeDocument/2006/relationships/hyperlink" Target="https://ap12.ragic.com/sims/file.jsp?a=soutlet001&amp;f=wzIKrTGmQW%40880391.jpg" TargetMode="External"/><Relationship Id="rId851" Type="http://schemas.openxmlformats.org/officeDocument/2006/relationships/hyperlink" Target="https://ap12.ragic.com/sims/file.jsp?a=soutlet001&amp;f=0g8pNAdcB6%401765331071818.jpg" TargetMode="External"/><Relationship Id="rId1274" Type="http://schemas.openxmlformats.org/officeDocument/2006/relationships/hyperlink" Target="https://ap12.ragic.com/sims/file.jsp?a=soutlet001&amp;f=24A85S0VYr%401027+%E9%96%80%E6%8A%8A%E8%99%95%E7%90%86%E5%AE%8C%E6%88%90.jpg" TargetMode="External"/><Relationship Id="rId1481" Type="http://schemas.openxmlformats.org/officeDocument/2006/relationships/hyperlink" Target="https://ap12.ragic.com/sims/file.jsp?a=soutlet001&amp;f=8UNe49QuUE%40725%E5%86%B0%E7%AE%B1%E8%85%B3%E5%A2%8A%E5%B7%B2%E8%A3%9C%E4%B8%8A.jpg" TargetMode="External"/><Relationship Id="rId1579" Type="http://schemas.openxmlformats.org/officeDocument/2006/relationships/hyperlink" Target="https://ap12.ragic.com/sims/file.jsp?a=soutlet001&amp;f=Dg0gxP678O%40IMG_6375.jpeg" TargetMode="External"/><Relationship Id="rId504" Type="http://schemas.openxmlformats.org/officeDocument/2006/relationships/hyperlink" Target="https://ap12.ragic.com/sims/file.jsp?a=soutlet001&amp;f=J04bsLhG3w%40525%E5%8C%96%E7%B2%A7%E9%8F%A1%E5%B7%B2%E5%9B%BA%E5%AE%9A%E5%AE%8C%E6%88%90.jpg" TargetMode="External"/><Relationship Id="rId711" Type="http://schemas.openxmlformats.org/officeDocument/2006/relationships/hyperlink" Target="https://ap12.ragic.com/sims/file.jsp?a=soutlet001&amp;f=Ge24ygA3dj%401000006944.jpg" TargetMode="External"/><Relationship Id="rId949" Type="http://schemas.openxmlformats.org/officeDocument/2006/relationships/hyperlink" Target="https://ap12.ragic.com/sims/file.jsp?a=soutlet001&amp;f=Gfb5xTiSqZ%4078284.jpg" TargetMode="External"/><Relationship Id="rId1134" Type="http://schemas.openxmlformats.org/officeDocument/2006/relationships/hyperlink" Target="https://ap12.ragic.com/sims/file.jsp?a=soutlet001&amp;f=4pDRKWI8JW%408%E6%A8%93%E5%BB%8A%E9%81%93%E6%A2%AF%E5%BB%B3%E7%87%88%E6%8F%9B%E5%A5%BD%E5%BE%8C%E6%9F%A5%E7%9C%8B%E9%83%BD%E6%9C%89%E4%BA%AE.jpg" TargetMode="External"/><Relationship Id="rId1341" Type="http://schemas.openxmlformats.org/officeDocument/2006/relationships/hyperlink" Target="https://ap12.ragic.com/sims/file.jsp?a=soutlet001&amp;f=jUr7DF4JGf%40IMG_7623.jpeg" TargetMode="External"/><Relationship Id="rId1786" Type="http://schemas.openxmlformats.org/officeDocument/2006/relationships/hyperlink" Target="https://ap12.ragic.com/sims/file.jsp?a=soutlet001&amp;f=izB5k35394%40IMG_2944.jpeg" TargetMode="External"/><Relationship Id="rId78" Type="http://schemas.openxmlformats.org/officeDocument/2006/relationships/hyperlink" Target="https://ap12.ragic.com/sims/file.jsp?a=soutlet001&amp;f=o2AKjsbLjj%40image.jpg" TargetMode="External"/><Relationship Id="rId809" Type="http://schemas.openxmlformats.org/officeDocument/2006/relationships/hyperlink" Target="https://ap12.ragic.com/sims/file.jsp?a=soutlet001&amp;f=Mi2edhYfPG%401000016767.jpg" TargetMode="External"/><Relationship Id="rId1201" Type="http://schemas.openxmlformats.org/officeDocument/2006/relationships/hyperlink" Target="https://ap12.ragic.com/sims/file.jsp?a=soutlet001&amp;f=48Y1848ajU%40IMG_7809.jpeg" TargetMode="External"/><Relationship Id="rId1439" Type="http://schemas.openxmlformats.org/officeDocument/2006/relationships/hyperlink" Target="https://ap12.ragic.com/sims/file.jsp?a=soutlet001&amp;f=soV2f7ZnY8%40IMG_4734.jpeg" TargetMode="External"/><Relationship Id="rId1646" Type="http://schemas.openxmlformats.org/officeDocument/2006/relationships/hyperlink" Target="https://ap12.ragic.com/sims/file.jsp?a=soutlet001&amp;f=MU20Jl8RhF%40image_559FC46C-7475-495A-9F38-DC3BDA7E8150_1756452730_compressed.jpeg" TargetMode="External"/><Relationship Id="rId1506" Type="http://schemas.openxmlformats.org/officeDocument/2006/relationships/hyperlink" Target="https://ap12.ragic.com/sims/file.jsp?a=soutlet001&amp;f=OzV290Zg0w%4066858.jpg" TargetMode="External"/><Relationship Id="rId1713" Type="http://schemas.openxmlformats.org/officeDocument/2006/relationships/hyperlink" Target="https://ap12.ragic.com/sims/file.jsp?a=soutlet001&amp;f=e8w0GFVTa7%40IMG_6039.jpeg" TargetMode="External"/><Relationship Id="rId294" Type="http://schemas.openxmlformats.org/officeDocument/2006/relationships/hyperlink" Target="https://ap12.ragic.com/sims/file.jsp?a=soutlet001&amp;f=0vGVsHs80z%40ac43e66d817053ee20dcd769123990e4.png" TargetMode="External"/><Relationship Id="rId154" Type="http://schemas.openxmlformats.org/officeDocument/2006/relationships/hyperlink" Target="https://ap12.ragic.com/sims/file.jsp?a=soutlet001&amp;f=ICgkQ1uOF5%401019%E6%9C%A8%E7%9A%AE%E8%B2%BC%E5%9B%9E.jpg" TargetMode="External"/><Relationship Id="rId361" Type="http://schemas.openxmlformats.org/officeDocument/2006/relationships/hyperlink" Target="https://ap12.ragic.com/sims/file.jsp?a=soutlet001&amp;f=9ZFfJwV7gb%40IMG_6823.jpeg" TargetMode="External"/><Relationship Id="rId599" Type="http://schemas.openxmlformats.org/officeDocument/2006/relationships/hyperlink" Target="https://ap12.ragic.com/sims/file.jsp?a=soutlet001&amp;f=B2wsrsoAP6%401000007200.jpg" TargetMode="External"/><Relationship Id="rId459" Type="http://schemas.openxmlformats.org/officeDocument/2006/relationships/hyperlink" Target="https://ap12.ragic.com/sims/file.jsp?a=soutlet001&amp;f=iYRnNSE86V%4041b3377c5c76a55c7f483f2da42e5b5a.png" TargetMode="External"/><Relationship Id="rId666" Type="http://schemas.openxmlformats.org/officeDocument/2006/relationships/hyperlink" Target="https://ap12.ragic.com/sims/file.jsp?a=soutlet001&amp;f=2OkvPxXdkR%40e2163133dff01f8b460e359c57208924.png" TargetMode="External"/><Relationship Id="rId873" Type="http://schemas.openxmlformats.org/officeDocument/2006/relationships/hyperlink" Target="https://ap12.ragic.com/sims/file.jsp?a=soutlet001&amp;f=cAjywYgC37%40IMG_8513.jpeg" TargetMode="External"/><Relationship Id="rId1089" Type="http://schemas.openxmlformats.org/officeDocument/2006/relationships/hyperlink" Target="https://ap12.ragic.com/sims/file.jsp?a=soutlet001&amp;f=IGU4gjo6ei%4075389.jpg" TargetMode="External"/><Relationship Id="rId1296" Type="http://schemas.openxmlformats.org/officeDocument/2006/relationships/hyperlink" Target="https://ap12.ragic.com/sims/file.jsp?a=soutlet001&amp;f=4gZ3h0hq3C%40IMG_7669.jpeg" TargetMode="External"/><Relationship Id="rId221" Type="http://schemas.openxmlformats.org/officeDocument/2006/relationships/hyperlink" Target="https://ap12.ragic.com/sims/file.jsp?a=soutlet001&amp;f=5hHCUKQzwC%40530%E6%B4%97%E6%89%8B%E6%AA%AF%E6%AD%A2%E6%B0%B4%E9%96%A5%E5%B7%B2ok.jpg" TargetMode="External"/><Relationship Id="rId319" Type="http://schemas.openxmlformats.org/officeDocument/2006/relationships/hyperlink" Target="https://ap12.ragic.com/sims/file.jsp?a=soutlet001&amp;f=tfTcZv3AAm%40a61955e00d51c0f2a30da76a0ebea351.png" TargetMode="External"/><Relationship Id="rId526" Type="http://schemas.openxmlformats.org/officeDocument/2006/relationships/hyperlink" Target="https://ap12.ragic.com/sims/file.jsp?a=soutlet001&amp;f=qqAGdarCl7%4087629.jpg" TargetMode="External"/><Relationship Id="rId1156" Type="http://schemas.openxmlformats.org/officeDocument/2006/relationships/hyperlink" Target="https://ap12.ragic.com/sims/file.jsp?a=soutlet001&amp;f=pwrRHs0AVr%40IMG_5973.jpeg" TargetMode="External"/><Relationship Id="rId1363" Type="http://schemas.openxmlformats.org/officeDocument/2006/relationships/hyperlink" Target="https://ap12.ragic.com/sims/file.jsp?a=soutlet001&amp;f=w2azu02KJ7%40IMG_7549.jpeg" TargetMode="External"/><Relationship Id="rId733" Type="http://schemas.openxmlformats.org/officeDocument/2006/relationships/hyperlink" Target="https://ap12.ragic.com/sims/file.jsp?a=soutlet001&amp;f=5S7jLkYxDY%401000006863.jpg" TargetMode="External"/><Relationship Id="rId940" Type="http://schemas.openxmlformats.org/officeDocument/2006/relationships/hyperlink" Target="https://ap12.ragic.com/sims/file.jsp?a=soutlet001&amp;f=BY4h8S3oJM%401763870936228.jpg" TargetMode="External"/><Relationship Id="rId1016" Type="http://schemas.openxmlformats.org/officeDocument/2006/relationships/hyperlink" Target="https://ap12.ragic.com/sims/file.jsp?a=soutlet001&amp;f=3n6A8CW46B%40812%E6%B0%B4%E9%BE%8D%E9%A0%AD%E5%9B%BA%E5%AE%9A%E5%AE%8C%E6%88%90.jpg" TargetMode="External"/><Relationship Id="rId1570" Type="http://schemas.openxmlformats.org/officeDocument/2006/relationships/hyperlink" Target="https://ap12.ragic.com/sims/file.jsp?a=soutlet001&amp;f=1652Hlh3wE%40IMG_6395.jpeg" TargetMode="External"/><Relationship Id="rId1668" Type="http://schemas.openxmlformats.org/officeDocument/2006/relationships/hyperlink" Target="https://ap12.ragic.com/sims/file.jsp?a=soutlet001&amp;f=Se37Y4P698%40707.jpg" TargetMode="External"/><Relationship Id="rId800" Type="http://schemas.openxmlformats.org/officeDocument/2006/relationships/hyperlink" Target="https://ap12.ragic.com/sims/file.jsp?a=soutlet001&amp;f=t6xsQlNRsB%40916%E5%B7%B2%E4%BF%AE%E5%BE%A9.jpg" TargetMode="External"/><Relationship Id="rId1223" Type="http://schemas.openxmlformats.org/officeDocument/2006/relationships/hyperlink" Target="https://ap12.ragic.com/sims/file.jsp?a=soutlet001&amp;f=wWW1mBYRoi%40IMG_5661.jpeg" TargetMode="External"/><Relationship Id="rId1430" Type="http://schemas.openxmlformats.org/officeDocument/2006/relationships/hyperlink" Target="https://ap12.ragic.com/sims/file.jsp?a=soutlet001&amp;f=hzy6NVS0pL%40S__40755250.jpg" TargetMode="External"/><Relationship Id="rId1528" Type="http://schemas.openxmlformats.org/officeDocument/2006/relationships/hyperlink" Target="https://ap12.ragic.com/sims/file.jsp?a=soutlet001&amp;f=g8dfwcdahh%4066894.jpg" TargetMode="External"/><Relationship Id="rId1735" Type="http://schemas.openxmlformats.org/officeDocument/2006/relationships/hyperlink" Target="https://ap12.ragic.com/sims/file.jsp?a=soutlet001&amp;f=nJ2dX2WymX%40IMG_6007.jpeg" TargetMode="External"/><Relationship Id="rId27" Type="http://schemas.openxmlformats.org/officeDocument/2006/relationships/hyperlink" Target="https://ap12.ragic.com/sims/file.jsp?a=soutlet001&amp;f=y7Jj4nTEwt%401000009733.jpg" TargetMode="External"/><Relationship Id="rId1802" Type="http://schemas.openxmlformats.org/officeDocument/2006/relationships/hyperlink" Target="https://ap12.ragic.com/sims/file.jsp?a=soutlet001&amp;f=s76JhUfu6n%40IMG_5881.jpeg" TargetMode="External"/><Relationship Id="rId176" Type="http://schemas.openxmlformats.org/officeDocument/2006/relationships/hyperlink" Target="https://ap12.ragic.com/sims/file.jsp?a=soutlet001&amp;f=9wuLZ8JJZE%40%E6%9B%B4%E6%8F%9B%E6%96%B0%E5%93%81%E5%AE%8C%E6%88%90.jpg" TargetMode="External"/><Relationship Id="rId383" Type="http://schemas.openxmlformats.org/officeDocument/2006/relationships/hyperlink" Target="https://ap12.ragic.com/sims/file.jsp?a=soutlet001&amp;f=7W3ThrGSjZ%401000007916.jpg" TargetMode="External"/><Relationship Id="rId590" Type="http://schemas.openxmlformats.org/officeDocument/2006/relationships/hyperlink" Target="https://ap12.ragic.com/sims/file.jsp?a=soutlet001&amp;f=QUzoB5f48w%40IMG_4344.jpeg" TargetMode="External"/><Relationship Id="rId243" Type="http://schemas.openxmlformats.org/officeDocument/2006/relationships/hyperlink" Target="https://ap12.ragic.com/sims/file.jsp?a=soutlet001&amp;f=9QoUIiGIrG%40IMG_0185.jpeg" TargetMode="External"/><Relationship Id="rId450" Type="http://schemas.openxmlformats.org/officeDocument/2006/relationships/hyperlink" Target="https://ap12.ragic.com/sims/file.jsp?a=soutlet001&amp;f=uHkDfKlSk7%40619%E6%9B%B4%E6%8F%9B%E5%AE%8C%E6%88%90.jpg" TargetMode="External"/><Relationship Id="rId688" Type="http://schemas.openxmlformats.org/officeDocument/2006/relationships/hyperlink" Target="https://ap12.ragic.com/sims/file.jsp?a=soutlet001&amp;f=AoqXepr0Hf%40S__8658996_0.jpg" TargetMode="External"/><Relationship Id="rId895" Type="http://schemas.openxmlformats.org/officeDocument/2006/relationships/hyperlink" Target="https://ap12.ragic.com/sims/file.jsp?a=soutlet001&amp;f=gKumELgeBh%40IMG_8476.jpeg" TargetMode="External"/><Relationship Id="rId1080" Type="http://schemas.openxmlformats.org/officeDocument/2006/relationships/hyperlink" Target="https://ap12.ragic.com/sims/file.jsp?a=soutlet001&amp;f=hxOP7yC2Af%40IMG_8160.jpeg" TargetMode="External"/><Relationship Id="rId103" Type="http://schemas.openxmlformats.org/officeDocument/2006/relationships/hyperlink" Target="https://ap12.ragic.com/sims/file.jsp?a=soutlet001&amp;f=2l6GtPXoW6%40IMG_0153.jpeg" TargetMode="External"/><Relationship Id="rId310" Type="http://schemas.openxmlformats.org/officeDocument/2006/relationships/hyperlink" Target="https://ap12.ragic.com/sims/file.jsp?a=soutlet001&amp;f=6MxOWLo9gK%4055ddc0814745971f0370a7014da684fc.png" TargetMode="External"/><Relationship Id="rId548" Type="http://schemas.openxmlformats.org/officeDocument/2006/relationships/hyperlink" Target="https://ap12.ragic.com/sims/file.jsp?a=soutlet001&amp;f=efbNtyRssj%40807%E6%B0%B4%E5%A1%9E%E7%B6%AD%E4%BF%AE%E5%AE%8C%E6%88%90%E3%80%82.jpg" TargetMode="External"/><Relationship Id="rId755" Type="http://schemas.openxmlformats.org/officeDocument/2006/relationships/hyperlink" Target="https://ap12.ragic.com/sims/file.jsp?a=soutlet001&amp;f=wSMsk060rN%40IMG_0568.jpeg" TargetMode="External"/><Relationship Id="rId962" Type="http://schemas.openxmlformats.org/officeDocument/2006/relationships/hyperlink" Target="https://ap12.ragic.com/sims/file.jsp?a=soutlet001&amp;f=8RwV5toUcJ%40IMG_6818.jpeg" TargetMode="External"/><Relationship Id="rId1178" Type="http://schemas.openxmlformats.org/officeDocument/2006/relationships/hyperlink" Target="https://ap12.ragic.com/sims/file.jsp?a=soutlet001&amp;f=C5fF3fT9rZ%40915+%E4%BF%AE%E5%BE%A9%E5%AE%8C%E6%88%90.jpg" TargetMode="External"/><Relationship Id="rId1385" Type="http://schemas.openxmlformats.org/officeDocument/2006/relationships/hyperlink" Target="https://ap12.ragic.com/sims/file.jsp?a=soutlet001&amp;f=584Iv26bE0%40S__30679075.jpg" TargetMode="External"/><Relationship Id="rId1592" Type="http://schemas.openxmlformats.org/officeDocument/2006/relationships/hyperlink" Target="https://ap12.ragic.com/sims/file.jsp?a=soutlet001&amp;f=47g2dEw9Xa%4073525.jpg" TargetMode="External"/><Relationship Id="rId91" Type="http://schemas.openxmlformats.org/officeDocument/2006/relationships/hyperlink" Target="https://ap12.ragic.com/sims/file.jsp?a=soutlet001&amp;f=6Kt2tmMYax%401000008979.jpg" TargetMode="External"/><Relationship Id="rId408" Type="http://schemas.openxmlformats.org/officeDocument/2006/relationships/hyperlink" Target="https://ap12.ragic.com/sims/file.jsp?a=soutlet001&amp;f=8lI0aMy9sm%40511+%E6%B4%97%E6%89%8B%E6%AA%AF%E7%9F%BD%E5%88%A9%E5%BA%B7%E5%B7%B2%E8%A3%9C.jpg" TargetMode="External"/><Relationship Id="rId615" Type="http://schemas.openxmlformats.org/officeDocument/2006/relationships/hyperlink" Target="https://ap12.ragic.com/sims/file.jsp?a=soutlet001&amp;f=2GdQBBLpYr%40d30a1fad09d8c0b073397fd8ad056ac3.png" TargetMode="External"/><Relationship Id="rId822" Type="http://schemas.openxmlformats.org/officeDocument/2006/relationships/hyperlink" Target="https://ap12.ragic.com/sims/file.jsp?a=soutlet001&amp;f=lEWNGFWGDT%40822+%E9%9B%BB%E8%A6%96%E6%9B%B4%E6%96%B0%E5%AE%8C%E6%88%90.jpg" TargetMode="External"/><Relationship Id="rId1038" Type="http://schemas.openxmlformats.org/officeDocument/2006/relationships/hyperlink" Target="https://ap12.ragic.com/sims/file.jsp?a=soutlet001&amp;f=HRi1DTc3q0%401018%E7%9B%A5%E6%B4%97%E7%94%A8%E5%93%81%E5%B7%B2%E6%9B%B4%E6%96%B0%E5%AE%8C%E6%88%90.jpg" TargetMode="External"/><Relationship Id="rId1245" Type="http://schemas.openxmlformats.org/officeDocument/2006/relationships/hyperlink" Target="https://ap12.ragic.com/sims/file.jsp?a=soutlet001&amp;f=Las2f067nW%40IMG_7757.jpeg" TargetMode="External"/><Relationship Id="rId1452" Type="http://schemas.openxmlformats.org/officeDocument/2006/relationships/hyperlink" Target="https://ap12.ragic.com/sims/file.jsp?a=soutlet001&amp;f=eX7JI00lmS%40522%E5%B7%B2%E9%87%8D%E6%96%B0%E5%9B%BA%E5%AE%9A%E5%AE%8C%E6%88%90.jpg" TargetMode="External"/><Relationship Id="rId1105" Type="http://schemas.openxmlformats.org/officeDocument/2006/relationships/hyperlink" Target="https://ap12.ragic.com/sims/file.jsp?a=soutlet001&amp;f=zfv08VVdXn%40IMG_6365.jpeg" TargetMode="External"/><Relationship Id="rId1312" Type="http://schemas.openxmlformats.org/officeDocument/2006/relationships/hyperlink" Target="https://ap12.ragic.com/sims/file.jsp?a=soutlet001&amp;f=J7M0YiAuAv%401018%E7%9B%A5%E6%B4%97%E7%94%A8%E5%93%81%E6%9E%B6.jpg" TargetMode="External"/><Relationship Id="rId1757" Type="http://schemas.openxmlformats.org/officeDocument/2006/relationships/hyperlink" Target="https://ap12.ragic.com/sims/file.jsp?a=soutlet001&amp;f=PoT2972yPJ%40S__4161601.jpg" TargetMode="External"/><Relationship Id="rId49" Type="http://schemas.openxmlformats.org/officeDocument/2006/relationships/hyperlink" Target="https://ap12.ragic.com/sims/file.jsp?a=soutlet001&amp;f=dB8Jo2zof3%40IMG_0712.jpeg" TargetMode="External"/><Relationship Id="rId1617" Type="http://schemas.openxmlformats.org/officeDocument/2006/relationships/hyperlink" Target="https://ap12.ragic.com/sims/file.jsp?a=soutlet001&amp;f=1bF458VquC%40image_9BB2E4D6-F391-4C72-8C86-0B739FB3DB14_1756735690_compressed.jpeg" TargetMode="External"/><Relationship Id="rId1824" Type="http://schemas.openxmlformats.org/officeDocument/2006/relationships/hyperlink" Target="https://ap12.ragic.com/sims/file.jsp?a=soutlet001&amp;f=eea0RQXok3%4060755.jpg" TargetMode="External"/><Relationship Id="rId198" Type="http://schemas.openxmlformats.org/officeDocument/2006/relationships/hyperlink" Target="https://ap12.ragic.com/sims/file.jsp?a=soutlet001&amp;f=nrQFzHWX70%401000008207.jpg" TargetMode="External"/><Relationship Id="rId265" Type="http://schemas.openxmlformats.org/officeDocument/2006/relationships/hyperlink" Target="https://ap12.ragic.com/sims/file.jsp?a=soutlet001&amp;f=Hng3Tok0hD%40fe5510767bd387a668932d859e6eb46c.png" TargetMode="External"/><Relationship Id="rId472" Type="http://schemas.openxmlformats.org/officeDocument/2006/relationships/hyperlink" Target="https://ap12.ragic.com/sims/file.jsp?a=soutlet001&amp;f=dWQf7qvP60%40921+%E9%96%80%E9%9B%BB%E6%B1%A0%E5%B7%B2%E6%9B%B4%E6%8F%9B.jpg" TargetMode="External"/><Relationship Id="rId125" Type="http://schemas.openxmlformats.org/officeDocument/2006/relationships/hyperlink" Target="https://ap12.ragic.com/sims/file.jsp?a=soutlet001&amp;f=sDj0T9w87f%40IMG_2540.jpeg" TargetMode="External"/><Relationship Id="rId332" Type="http://schemas.openxmlformats.org/officeDocument/2006/relationships/hyperlink" Target="https://ap12.ragic.com/sims/file.jsp?a=soutlet001&amp;f=gAkNfpYcEk%40IMG_1907.jpeg" TargetMode="External"/><Relationship Id="rId777" Type="http://schemas.openxmlformats.org/officeDocument/2006/relationships/hyperlink" Target="https://ap12.ragic.com/sims/file.jsp?a=soutlet001&amp;f=ZK9VWOg1hO%401766372785439.jpg" TargetMode="External"/><Relationship Id="rId984" Type="http://schemas.openxmlformats.org/officeDocument/2006/relationships/hyperlink" Target="https://ap12.ragic.com/sims/file.jsp?a=soutlet001&amp;f=lr08l9cxJX%40image_1E489291-3AE6-4418-89BD-4EDB1D42E7F2_1763257892_compressed.jpeg" TargetMode="External"/><Relationship Id="rId637" Type="http://schemas.openxmlformats.org/officeDocument/2006/relationships/hyperlink" Target="https://ap12.ragic.com/sims/file.jsp?a=soutlet001&amp;f=DH6eQIPOfq%40IMG_9695.jpeg" TargetMode="External"/><Relationship Id="rId844" Type="http://schemas.openxmlformats.org/officeDocument/2006/relationships/hyperlink" Target="https://ap12.ragic.com/sims/file.jsp?a=soutlet001&amp;f=UOWKquIXpt%40IMG_9387.jpeg" TargetMode="External"/><Relationship Id="rId1267" Type="http://schemas.openxmlformats.org/officeDocument/2006/relationships/hyperlink" Target="https://ap12.ragic.com/sims/file.jsp?a=soutlet001&amp;f=B7493h2INX%4097360.jpg" TargetMode="External"/><Relationship Id="rId1474" Type="http://schemas.openxmlformats.org/officeDocument/2006/relationships/hyperlink" Target="https://ap12.ragic.com/sims/file.jsp?a=soutlet001&amp;f=G1amzPDD8a%401025%E5%B7%B2%E8%A3%9C%E6%BC%86%E5%AE%8C%E6%88%90.jpg" TargetMode="External"/><Relationship Id="rId1681" Type="http://schemas.openxmlformats.org/officeDocument/2006/relationships/hyperlink" Target="https://ap12.ragic.com/sims/file.jsp?a=soutlet001&amp;f=c451s2n70h%40IMG_6084.jpeg" TargetMode="External"/><Relationship Id="rId704" Type="http://schemas.openxmlformats.org/officeDocument/2006/relationships/hyperlink" Target="https://ap12.ragic.com/sims/file.jsp?a=soutlet001&amp;f=slzeB89lub%40517%E6%B5%B4%E7%B0%BE%E5%B7%B2%E4%BF%AE%E5%BE%A9%E5%AE%8C%E6%88%90.jpg" TargetMode="External"/><Relationship Id="rId911" Type="http://schemas.openxmlformats.org/officeDocument/2006/relationships/hyperlink" Target="https://ap12.ragic.com/sims/file.jsp?a=soutlet001&amp;f=z9ASYQ8jy1%40S__29876243.jpg" TargetMode="External"/><Relationship Id="rId1127" Type="http://schemas.openxmlformats.org/officeDocument/2006/relationships/hyperlink" Target="https://ap12.ragic.com/sims/file.jsp?a=soutlet001&amp;f=0L5k528O5D%401000005711.jpg" TargetMode="External"/><Relationship Id="rId1334" Type="http://schemas.openxmlformats.org/officeDocument/2006/relationships/hyperlink" Target="https://ap12.ragic.com/sims/file.jsp?a=soutlet001&amp;f=PTNW7GND87%40IMG_5304.jpeg" TargetMode="External"/><Relationship Id="rId1541" Type="http://schemas.openxmlformats.org/officeDocument/2006/relationships/hyperlink" Target="https://ap12.ragic.com/sims/file.jsp?a=soutlet001&amp;f=2YaGX69P5K%40IMG_6493.jpeg" TargetMode="External"/><Relationship Id="rId1779" Type="http://schemas.openxmlformats.org/officeDocument/2006/relationships/hyperlink" Target="https://ap12.ragic.com/sims/file.jsp?a=soutlet001&amp;f=g9Gc8T4Mo5%4062334.jpg" TargetMode="External"/><Relationship Id="rId40" Type="http://schemas.openxmlformats.org/officeDocument/2006/relationships/hyperlink" Target="https://ap12.ragic.com/sims/file.jsp?a=soutlet001&amp;f=g4nArM4Mai%401000009616.jpg" TargetMode="External"/><Relationship Id="rId1401" Type="http://schemas.openxmlformats.org/officeDocument/2006/relationships/hyperlink" Target="https://ap12.ragic.com/sims/file.jsp?a=soutlet001&amp;f=iS774D1Rg4%4095267.jpg" TargetMode="External"/><Relationship Id="rId1639" Type="http://schemas.openxmlformats.org/officeDocument/2006/relationships/hyperlink" Target="https://ap12.ragic.com/sims/file.jsp?a=soutlet001&amp;f=8ap50J7jyn%40IMG_6150.jpeg" TargetMode="External"/><Relationship Id="rId1706" Type="http://schemas.openxmlformats.org/officeDocument/2006/relationships/hyperlink" Target="https://ap12.ragic.com/sims/file.jsp?a=soutlet001&amp;f=0VN744Y0im%4063311.jpg" TargetMode="External"/><Relationship Id="rId287" Type="http://schemas.openxmlformats.org/officeDocument/2006/relationships/hyperlink" Target="https://ap12.ragic.com/sims/file.jsp?a=soutlet001&amp;f=Tuj9G6Z8YO%40715+%E6%B5%B4%E7%B0%BEok.jpg" TargetMode="External"/><Relationship Id="rId494" Type="http://schemas.openxmlformats.org/officeDocument/2006/relationships/hyperlink" Target="https://ap12.ragic.com/sims/file.jsp?a=soutlet001&amp;f=z3lyzSfIZA%4088254_0.jpg" TargetMode="External"/><Relationship Id="rId147" Type="http://schemas.openxmlformats.org/officeDocument/2006/relationships/hyperlink" Target="https://ap12.ragic.com/sims/file.jsp?a=soutlet001&amp;f=yxCKvMOQS3%40IMG_2402.jpeg" TargetMode="External"/><Relationship Id="rId354" Type="http://schemas.openxmlformats.org/officeDocument/2006/relationships/hyperlink" Target="https://ap12.ragic.com/sims/file.jsp?a=soutlet001&amp;f=462uJORi7j%40609%E5%B7%B2%E9%80%9A.jpg" TargetMode="External"/><Relationship Id="rId799" Type="http://schemas.openxmlformats.org/officeDocument/2006/relationships/hyperlink" Target="https://ap12.ragic.com/sims/file.jsp?a=soutlet001&amp;f=o0tr2OFZEF%40IMG_9453.jpeg" TargetMode="External"/><Relationship Id="rId1191" Type="http://schemas.openxmlformats.org/officeDocument/2006/relationships/hyperlink" Target="https://ap12.ragic.com/sims/file.jsp?a=soutlet001&amp;f=WPN0v3Mz3Q%40IMG_7829.jpeg" TargetMode="External"/><Relationship Id="rId561" Type="http://schemas.openxmlformats.org/officeDocument/2006/relationships/hyperlink" Target="https://ap12.ragic.com/sims/file.jsp?a=soutlet001&amp;f=ylwlAiKWPN%40728%E7%9B%A5%E6%B4%97%E7%94%A8%E5%93%81%E6%9E%B6%E5%B7%B2%E6%9B%B4%E6%96%B0%E5%AE%8C%E6%88%90.jpg" TargetMode="External"/><Relationship Id="rId659" Type="http://schemas.openxmlformats.org/officeDocument/2006/relationships/hyperlink" Target="https://ap12.ragic.com/sims/file.jsp?a=soutlet001&amp;f=01OuGqhLXP%405be157930f47cdf8e36a3dbf630ed0b0.png" TargetMode="External"/><Relationship Id="rId866" Type="http://schemas.openxmlformats.org/officeDocument/2006/relationships/hyperlink" Target="https://ap12.ragic.com/sims/file.jsp?a=soutlet001&amp;f=tuL6IzoEmh%40925%E7%87%88%E4%BA%AE%E4%BA%86.jpg" TargetMode="External"/><Relationship Id="rId1289" Type="http://schemas.openxmlformats.org/officeDocument/2006/relationships/hyperlink" Target="https://ap12.ragic.com/sims/file.jsp?a=soutlet001&amp;f=hqT1M5jG94%40519%E9%96%80%E6%93%8B%E9%BB%8F%E8%B2%BC%E5%AE%8C%E6%88%90.jpg" TargetMode="External"/><Relationship Id="rId1496" Type="http://schemas.openxmlformats.org/officeDocument/2006/relationships/hyperlink" Target="https://ap12.ragic.com/sims/file.jsp?a=soutlet001&amp;f=0gY7dlc94j%40926%E7%B8%BD%E5%B7%A5%E5%B7%B2%E4%BF%AE%E5%BE%A9.jpg" TargetMode="External"/><Relationship Id="rId214" Type="http://schemas.openxmlformats.org/officeDocument/2006/relationships/hyperlink" Target="https://ap12.ragic.com/sims/file.jsp?a=soutlet001&amp;f=NeFOyGyqOY%40IMG_2094.jpeg" TargetMode="External"/><Relationship Id="rId421" Type="http://schemas.openxmlformats.org/officeDocument/2006/relationships/hyperlink" Target="https://ap12.ragic.com/sims/file.jsp?a=soutlet001&amp;f=hevizDJ3Cb%401000007761.jpg" TargetMode="External"/><Relationship Id="rId519" Type="http://schemas.openxmlformats.org/officeDocument/2006/relationships/hyperlink" Target="https://ap12.ragic.com/sims/file.jsp?a=soutlet001&amp;f=xD3lTncMmh%40519%E7%9B%A5%E6%B4%97%E7%94%A8%E5%93%81%E6%9E%B6%E5%B7%B2%E6%9B%B4%E6%96%B0%E5%AE%8C%E6%88%90.jpg" TargetMode="External"/><Relationship Id="rId1051" Type="http://schemas.openxmlformats.org/officeDocument/2006/relationships/hyperlink" Target="https://ap12.ragic.com/sims/file.jsp?a=soutlet001&amp;f=S6liYH2AZt%40621%E7%87%88%E6%B3%A1%E7%96%91%E4%BC%BC%E6%8E%A5%E8%A7%B8%E4%B8%8D%E8%89%AF%EF%BC%8C%E7%8F%BE%E5%A0%B4%E4%BA%AE%E7%87%88%EF%BC%8C%E6%8C%81%E7%BA%8C%E8%A7%80%E5%AF%9F%E4%B8%AD%E3%80%82.jpg" TargetMode="External"/><Relationship Id="rId1149" Type="http://schemas.openxmlformats.org/officeDocument/2006/relationships/hyperlink" Target="https://ap12.ragic.com/sims/file.jsp?a=soutlet001&amp;f=9Mw90oS4sR%4073255.jpg" TargetMode="External"/><Relationship Id="rId1356" Type="http://schemas.openxmlformats.org/officeDocument/2006/relationships/hyperlink" Target="https://ap12.ragic.com/sims/file.jsp?a=soutlet001&amp;f=sI1EJ116uU%40image_B35F2B62-B8D8-4F6F-A444-36B7CE999933_1759303827_compressed.jpeg" TargetMode="External"/><Relationship Id="rId726" Type="http://schemas.openxmlformats.org/officeDocument/2006/relationships/hyperlink" Target="https://ap12.ragic.com/sims/file.jsp?a=soutlet001&amp;f=ArUPi4IK8X%40608%E6%9B%B4%E6%8F%9B%E7%87%88%E6%B3%A1%E5%B7%B2%E4%BA%AE.jpg" TargetMode="External"/><Relationship Id="rId933" Type="http://schemas.openxmlformats.org/officeDocument/2006/relationships/hyperlink" Target="https://ap12.ragic.com/sims/file.jsp?a=soutlet001&amp;f=tpT3g97Vm3%40519%E5%A4%A9%E8%8A%B1%E6%9D%BF%E6%B2%B9%E6%BC%86%E5%AE%8C%E6%88%90.jpg" TargetMode="External"/><Relationship Id="rId1009" Type="http://schemas.openxmlformats.org/officeDocument/2006/relationships/hyperlink" Target="https://ap12.ragic.com/sims/file.jsp?a=soutlet001&amp;f=V6CkwKMoTq%401146633%281%29.jpg" TargetMode="External"/><Relationship Id="rId1563" Type="http://schemas.openxmlformats.org/officeDocument/2006/relationships/hyperlink" Target="https://ap12.ragic.com/sims/file.jsp?a=soutlet001&amp;f=fxiafm4Xa9%40%E8%8A%B1%E7%93%B6%E6%9E%B6%E8%9E%BA%E7%B5%B2%E5%B7%B2%E9%8E%96%E4%B8%8A.jpg" TargetMode="External"/><Relationship Id="rId1770" Type="http://schemas.openxmlformats.org/officeDocument/2006/relationships/hyperlink" Target="https://ap12.ragic.com/sims/file.jsp?a=soutlet001&amp;f=CP94mFIK6i%40S__4137019.jpg" TargetMode="External"/><Relationship Id="rId62" Type="http://schemas.openxmlformats.org/officeDocument/2006/relationships/hyperlink" Target="https://ap12.ragic.com/sims/file.jsp?a=soutlet001&amp;f=OJv80n6ogj%401000009507.jpg" TargetMode="External"/><Relationship Id="rId1216" Type="http://schemas.openxmlformats.org/officeDocument/2006/relationships/hyperlink" Target="https://ap12.ragic.com/sims/file.jsp?a=soutlet001&amp;f=Zo83oFv47T%401000005455.jpg" TargetMode="External"/><Relationship Id="rId1423" Type="http://schemas.openxmlformats.org/officeDocument/2006/relationships/hyperlink" Target="https://ap12.ragic.com/sims/file.jsp?a=soutlet001&amp;f=05VtZ6iw85%40B0744D05-03C1-48F1-A555-D2339A2A9EE0.jpg" TargetMode="External"/><Relationship Id="rId1630" Type="http://schemas.openxmlformats.org/officeDocument/2006/relationships/hyperlink" Target="https://ap12.ragic.com/sims/file.jsp?a=soutlet001&amp;f=MV8WrM7Tq7%40image_2296E0D4-F214-4BA4-9993-6726A337DAD6_1756449541_compressed.jpeg" TargetMode="External"/><Relationship Id="rId1728" Type="http://schemas.openxmlformats.org/officeDocument/2006/relationships/hyperlink" Target="https://ap12.ragic.com/sims/file.jsp?a=soutlet001&amp;f=3K94Aq7N3A%40IMG_3146.jpeg" TargetMode="External"/><Relationship Id="rId169" Type="http://schemas.openxmlformats.org/officeDocument/2006/relationships/hyperlink" Target="https://ap12.ragic.com/sims/file.jsp?a=soutlet001&amp;f=iIFJpqJQO7%40523%E5%B7%B2%E8%A3%9D%E5%9B%9E%EF%BC%8C%E6%B8%AC%E8%A9%A6%E6%AD%A3%E5%B8%B8.jpg" TargetMode="External"/><Relationship Id="rId376" Type="http://schemas.openxmlformats.org/officeDocument/2006/relationships/hyperlink" Target="https://ap12.ragic.com/sims/file.jsp?a=soutlet001&amp;f=nB3LWVq22E%401771385352374.jpg" TargetMode="External"/><Relationship Id="rId583" Type="http://schemas.openxmlformats.org/officeDocument/2006/relationships/hyperlink" Target="https://ap12.ragic.com/sims/file.jsp?a=soutlet001&amp;f=gBavRxhILr%40827%E6%A1%8C%E9%9D%A2%E8%A3%9C%E6%BC%86%E5%AE%8C%E6%88%90.jpg" TargetMode="External"/><Relationship Id="rId790" Type="http://schemas.openxmlformats.org/officeDocument/2006/relationships/hyperlink" Target="https://ap12.ragic.com/sims/file.jsp?a=soutlet001&amp;f=Mp6yjs88DX%40711%E6%B5%B4%E7%B0%BE%E8%AA%BF%E6%95%B4%E5%AE%8C%E6%88%90.jpg" TargetMode="External"/><Relationship Id="rId4" Type="http://schemas.openxmlformats.org/officeDocument/2006/relationships/hyperlink" Target="https://ap12.ragic.com/sims/file.jsp?a=soutlet001&amp;f=P2sfvycEth%401000009947.jpg" TargetMode="External"/><Relationship Id="rId236" Type="http://schemas.openxmlformats.org/officeDocument/2006/relationships/hyperlink" Target="https://ap12.ragic.com/sims/file.jsp?a=soutlet001&amp;f=NYbvSmdTg1%4090087.jpg" TargetMode="External"/><Relationship Id="rId443" Type="http://schemas.openxmlformats.org/officeDocument/2006/relationships/hyperlink" Target="https://ap12.ragic.com/sims/file.jsp?a=soutlet001&amp;f=4weiCFBOoX%40IMG_5525.jpeg" TargetMode="External"/><Relationship Id="rId650" Type="http://schemas.openxmlformats.org/officeDocument/2006/relationships/hyperlink" Target="https://ap12.ragic.com/sims/file.jsp?a=soutlet001&amp;f=diod82Dcqm%4085139.jpg" TargetMode="External"/><Relationship Id="rId888" Type="http://schemas.openxmlformats.org/officeDocument/2006/relationships/hyperlink" Target="https://ap12.ragic.com/sims/file.jsp?a=soutlet001&amp;f=nfDwdwPP6U%40813%E5%87%BA%E9%A2%A8%E6%BA%AB%E5%BA%A613%E5%BA%A6%EF%BC%8C%E5%B7%B2%E6%AD%A3%E5%B8%B8.jpg" TargetMode="External"/><Relationship Id="rId1073" Type="http://schemas.openxmlformats.org/officeDocument/2006/relationships/hyperlink" Target="https://ap12.ragic.com/sims/file.jsp?a=soutlet001&amp;f=m6nNI0Wb1b%40707%E4%BF%AE%E5%BE%A9%E5%AE%8C%E6%88%90.jpg" TargetMode="External"/><Relationship Id="rId1280" Type="http://schemas.openxmlformats.org/officeDocument/2006/relationships/hyperlink" Target="https://ap12.ragic.com/sims/file.jsp?a=soutlet001&amp;f=9v132gd7ub%40807%E6%B5%B4%E5%AE%A4%E7%8E%BB%E7%92%83%E9%96%80%E5%B7%B2%E7%B6%93%E8%AA%BF%E6%95%B4%E5%AE%8C%E6%88%90.jpg" TargetMode="External"/><Relationship Id="rId303" Type="http://schemas.openxmlformats.org/officeDocument/2006/relationships/hyperlink" Target="https://ap12.ragic.com/sims/file.jsp?a=soutlet001&amp;f=JqdnDQPFsz%4003b512f66f3224882bc675b5cd1488b5.png" TargetMode="External"/><Relationship Id="rId748" Type="http://schemas.openxmlformats.org/officeDocument/2006/relationships/hyperlink" Target="https://ap12.ragic.com/sims/file.jsp?a=soutlet001&amp;f=vXmUC5cSUC%40825%E8%9E%BA%E7%B5%B2%E4%BF%AE%E9%A3%BE%E8%93%8B%E5%B7%B2%E8%A3%9D%E4%B8%8A%E5%AE%8C%E6%88%90.jpg" TargetMode="External"/><Relationship Id="rId955" Type="http://schemas.openxmlformats.org/officeDocument/2006/relationships/hyperlink" Target="https://ap12.ragic.com/sims/file.jsp?a=soutlet001&amp;f=nLCpBIBkX6%40S__82575368.jpg" TargetMode="External"/><Relationship Id="rId1140" Type="http://schemas.openxmlformats.org/officeDocument/2006/relationships/hyperlink" Target="https://ap12.ragic.com/sims/file.jsp?a=soutlet001&amp;f=KS0hOSgjgk%40image.jpg" TargetMode="External"/><Relationship Id="rId1378" Type="http://schemas.openxmlformats.org/officeDocument/2006/relationships/hyperlink" Target="https://ap12.ragic.com/sims/file.jsp?a=soutlet001&amp;f=1zSx04xsqS%4059582.jpg" TargetMode="External"/><Relationship Id="rId1585" Type="http://schemas.openxmlformats.org/officeDocument/2006/relationships/hyperlink" Target="https://ap12.ragic.com/sims/file.jsp?a=soutlet001&amp;f=42Ds673CYw%4073654.jpg" TargetMode="External"/><Relationship Id="rId1792" Type="http://schemas.openxmlformats.org/officeDocument/2006/relationships/hyperlink" Target="https://ap12.ragic.com/sims/file.jsp?a=soutlet001&amp;f=71Hk40dVQ1%40IMG_5921.jpeg" TargetMode="External"/><Relationship Id="rId84" Type="http://schemas.openxmlformats.org/officeDocument/2006/relationships/hyperlink" Target="https://ap12.ragic.com/sims/file.jsp?a=soutlet001&amp;f=AlwYNCP1MN%40IMG_0417.jpeg" TargetMode="External"/><Relationship Id="rId510" Type="http://schemas.openxmlformats.org/officeDocument/2006/relationships/hyperlink" Target="https://ap12.ragic.com/sims/file.jsp?a=soutlet001&amp;f=IjQ4BQSzej%40IMG_5070.jpeg" TargetMode="External"/><Relationship Id="rId608" Type="http://schemas.openxmlformats.org/officeDocument/2006/relationships/hyperlink" Target="https://ap12.ragic.com/sims/file.jsp?a=soutlet001&amp;f=rUexDLGFHk%40IMG_20260113_095512.jpg" TargetMode="External"/><Relationship Id="rId815" Type="http://schemas.openxmlformats.org/officeDocument/2006/relationships/hyperlink" Target="https://ap12.ragic.com/sims/file.jsp?a=soutlet001&amp;f=3SQ416Fho3%40IMG_9738.jpeg" TargetMode="External"/><Relationship Id="rId1238" Type="http://schemas.openxmlformats.org/officeDocument/2006/relationships/hyperlink" Target="https://ap12.ragic.com/sims/file.jsp?a=soutlet001&amp;f=i87IBs6iYs%40826%E6%8F%9B%E7%87%88%E6%B3%A1.jpg" TargetMode="External"/><Relationship Id="rId1445" Type="http://schemas.openxmlformats.org/officeDocument/2006/relationships/hyperlink" Target="https://ap12.ragic.com/sims/file.jsp?a=soutlet001&amp;f=Ns6Db6g2xh%40IMG_7397.jpeg" TargetMode="External"/><Relationship Id="rId1652" Type="http://schemas.openxmlformats.org/officeDocument/2006/relationships/hyperlink" Target="https://ap12.ragic.com/sims/file.jsp?a=soutlet001&amp;f=l5N9HUPu2P%40IMG_3495.jpeg" TargetMode="External"/><Relationship Id="rId1000" Type="http://schemas.openxmlformats.org/officeDocument/2006/relationships/hyperlink" Target="https://ap12.ragic.com/sims/file.jsp?a=soutlet001&amp;f=081J8rubaa%40IMG_8306.jpeg" TargetMode="External"/><Relationship Id="rId1305" Type="http://schemas.openxmlformats.org/officeDocument/2006/relationships/hyperlink" Target="https://ap12.ragic.com/sims/file.jsp?a=soutlet001&amp;f=i2BN41zi1b%401028%E7%9B%A5%E6%B4%97%E7%94%A8%E5%93%81%E6%9E%B6%E6%9B%B4%E6%96%B0%E5%AE%8C%E6%88%90.jpg" TargetMode="External"/><Relationship Id="rId1512" Type="http://schemas.openxmlformats.org/officeDocument/2006/relationships/hyperlink" Target="https://ap12.ragic.com/sims/file.jsp?a=soutlet001&amp;f=oTxR2ORtV9%401000008494.jpg" TargetMode="External"/><Relationship Id="rId1817" Type="http://schemas.openxmlformats.org/officeDocument/2006/relationships/hyperlink" Target="https://ap12.ragic.com/sims/file.jsp?a=soutlet001&amp;f=2C6A8Cs5Me%40S__29442222%281%29.jpg" TargetMode="External"/><Relationship Id="rId11" Type="http://schemas.openxmlformats.org/officeDocument/2006/relationships/hyperlink" Target="https://ap12.ragic.com/sims/file.jsp?a=soutlet001&amp;f=xQ70fyWPBH%40IMG_1582.jpeg" TargetMode="External"/><Relationship Id="rId398" Type="http://schemas.openxmlformats.org/officeDocument/2006/relationships/hyperlink" Target="https://ap12.ragic.com/sims/file.jsp?a=soutlet001&amp;f=2vJSbRy3Vb%40IMG_6158.jpeg" TargetMode="External"/><Relationship Id="rId160" Type="http://schemas.openxmlformats.org/officeDocument/2006/relationships/hyperlink" Target="https://ap12.ragic.com/sims/file.jsp?a=soutlet001&amp;f=Gy6H4tgn6Q%40IMG_0339.jpeg" TargetMode="External"/><Relationship Id="rId258" Type="http://schemas.openxmlformats.org/officeDocument/2006/relationships/hyperlink" Target="https://ap12.ragic.com/sims/file.jsp?a=soutlet001&amp;f=GI9WSvhPwY%40f087b68e0096918f16e701b7049e8d6e.png" TargetMode="External"/><Relationship Id="rId465" Type="http://schemas.openxmlformats.org/officeDocument/2006/relationships/hyperlink" Target="https://ap12.ragic.com/sims/file.jsp?a=soutlet001&amp;f=FVIjpowIP3%40145ec1d908db2a49f2858798e32d05cb.png" TargetMode="External"/><Relationship Id="rId672" Type="http://schemas.openxmlformats.org/officeDocument/2006/relationships/hyperlink" Target="https://ap12.ragic.com/sims/file.jsp?a=soutlet001&amp;f=nkauKdyF1M%40IMG_9609.jpeg" TargetMode="External"/><Relationship Id="rId1095" Type="http://schemas.openxmlformats.org/officeDocument/2006/relationships/hyperlink" Target="https://ap12.ragic.com/sims/file.jsp?a=soutlet001&amp;f=z3053IgpL3%40630%E6%B8%AC%E6%BA%AB15%E5%BA%A6%EF%BC%8C%E5%B7%B2%E6%AD%A3%E5%B8%B8.jpg" TargetMode="External"/><Relationship Id="rId118" Type="http://schemas.openxmlformats.org/officeDocument/2006/relationships/hyperlink" Target="https://ap12.ragic.com/sims/file.jsp?a=soutlet001&amp;f=GUSk7gdX9a%40IMG_2559.jpeg" TargetMode="External"/><Relationship Id="rId325" Type="http://schemas.openxmlformats.org/officeDocument/2006/relationships/hyperlink" Target="https://ap12.ragic.com/sims/file.jsp?a=soutlet001&amp;f=Xm1RJWJjoB%403f21d775fb3d15d640af9d9ec1ad0754.png" TargetMode="External"/><Relationship Id="rId532" Type="http://schemas.openxmlformats.org/officeDocument/2006/relationships/hyperlink" Target="https://ap12.ragic.com/sims/file.jsp?a=soutlet001&amp;f=PhswkkbFi6%40831+%E9%9B%BB%E8%A6%96ok.jpg" TargetMode="External"/><Relationship Id="rId977" Type="http://schemas.openxmlformats.org/officeDocument/2006/relationships/hyperlink" Target="https://ap12.ragic.com/sims/file.jsp?a=soutlet001&amp;f=7blIkyWHE7%40image_6C78BF88-58B0-43BF-B829-5D2CCF979237_1763293250_compressed.jpeg" TargetMode="External"/><Relationship Id="rId1162" Type="http://schemas.openxmlformats.org/officeDocument/2006/relationships/hyperlink" Target="https://ap12.ragic.com/sims/file.jsp?a=soutlet001&amp;f=LrB0L82k1S%40IMG_7879.jpeg" TargetMode="External"/><Relationship Id="rId837" Type="http://schemas.openxmlformats.org/officeDocument/2006/relationships/hyperlink" Target="https://ap12.ragic.com/sims/file.jsp?a=soutlet001&amp;f=QETwdHt8nd%40image_6D4A61C3-A864-4999-BDDD-81E8FF9CB514_1765611801_compressed.jpeg" TargetMode="External"/><Relationship Id="rId1022" Type="http://schemas.openxmlformats.org/officeDocument/2006/relationships/hyperlink" Target="https://ap12.ragic.com/sims/file.jsp?a=soutlet001&amp;f=8XVA7B6eSO%40IMG_8279.jpeg" TargetMode="External"/><Relationship Id="rId1467" Type="http://schemas.openxmlformats.org/officeDocument/2006/relationships/hyperlink" Target="https://ap12.ragic.com/sims/file.jsp?a=soutlet001&amp;f=YJbmQxjZEb%401016+%E4%BF%AE%E9%A3%BE%E8%93%8B%E5%B7%B2%E8%A3%9D%E5%A5%BD.jpg" TargetMode="External"/><Relationship Id="rId1674" Type="http://schemas.openxmlformats.org/officeDocument/2006/relationships/hyperlink" Target="https://ap12.ragic.com/sims/file.jsp?a=soutlet001&amp;f=JkTfrcA01Q%40IMG_6100.jpeg" TargetMode="External"/><Relationship Id="rId904" Type="http://schemas.openxmlformats.org/officeDocument/2006/relationships/hyperlink" Target="https://ap12.ragic.com/sims/file.jsp?a=soutlet001&amp;f=axuLzb5SiY%40109202.jpg" TargetMode="External"/><Relationship Id="rId1327" Type="http://schemas.openxmlformats.org/officeDocument/2006/relationships/hyperlink" Target="https://ap12.ragic.com/sims/file.jsp?a=soutlet001&amp;f=9vKGNtJ0c0%4070506.jpg" TargetMode="External"/><Relationship Id="rId1534" Type="http://schemas.openxmlformats.org/officeDocument/2006/relationships/hyperlink" Target="https://ap12.ragic.com/sims/file.jsp?a=soutlet001&amp;f=1yd0Xv39x2%4046661.jpg" TargetMode="External"/><Relationship Id="rId1741" Type="http://schemas.openxmlformats.org/officeDocument/2006/relationships/hyperlink" Target="https://ap12.ragic.com/sims/file.jsp?a=soutlet001&amp;f=XSv0XTFGSU%40S__4169777.jpg" TargetMode="External"/><Relationship Id="rId33" Type="http://schemas.openxmlformats.org/officeDocument/2006/relationships/hyperlink" Target="https://ap12.ragic.com/sims/file.jsp?a=soutlet001&amp;f=pGSzOtVSz1%401000009668.jpg" TargetMode="External"/><Relationship Id="rId1601" Type="http://schemas.openxmlformats.org/officeDocument/2006/relationships/hyperlink" Target="https://ap12.ragic.com/sims/file.jsp?a=soutlet001&amp;f=zUJkDr2b62%40733616.jpg" TargetMode="External"/><Relationship Id="rId182" Type="http://schemas.openxmlformats.org/officeDocument/2006/relationships/hyperlink" Target="https://ap12.ragic.com/sims/file.jsp?a=soutlet001&amp;f=eJekameHET%40925+%E8%A1%9B%E7%94%9F%E7%B4%99%E6%9E%B6ok.jpg" TargetMode="External"/><Relationship Id="rId403" Type="http://schemas.openxmlformats.org/officeDocument/2006/relationships/hyperlink" Target="https://ap12.ragic.com/sims/file.jsp?a=soutlet001&amp;f=mqp8zJilxY%40718+%E6%B4%97%E6%89%8B%E6%AA%AF%E7%9F%BD%E5%88%A9%E5%BA%B7%E5%B7%B2%E8%A3%9C.jpg" TargetMode="External"/><Relationship Id="rId750" Type="http://schemas.openxmlformats.org/officeDocument/2006/relationships/hyperlink" Target="https://ap12.ragic.com/sims/file.jsp?a=soutlet001&amp;f=RQH87K7Erh%40521%E8%9E%BA%E7%B5%B2%E4%BF%AE%E9%A3%BE%E8%93%8B%E5%B7%B2%E8%A3%9D%E4%B8%8A%E5%AE%8C%E6%88%90.jpg" TargetMode="External"/><Relationship Id="rId848" Type="http://schemas.openxmlformats.org/officeDocument/2006/relationships/hyperlink" Target="https://ap12.ragic.com/sims/file.jsp?a=soutlet001&amp;f=9cl09UD2tq%40IMG_8555.jpeg" TargetMode="External"/><Relationship Id="rId1033" Type="http://schemas.openxmlformats.org/officeDocument/2006/relationships/hyperlink" Target="https://ap12.ragic.com/sims/file.jsp?a=soutlet001&amp;f=X1NS474Jw7%40IMG_8242.jpeg" TargetMode="External"/><Relationship Id="rId1478" Type="http://schemas.openxmlformats.org/officeDocument/2006/relationships/hyperlink" Target="https://ap12.ragic.com/sims/file.jsp?a=soutlet001&amp;f=4KocCDwMLv%401000006713.jpg" TargetMode="External"/><Relationship Id="rId1685" Type="http://schemas.openxmlformats.org/officeDocument/2006/relationships/hyperlink" Target="https://ap12.ragic.com/sims/file.jsp?a=soutlet001&amp;f=Lx5a03dNIs%40IMG_3362.jpeg" TargetMode="External"/><Relationship Id="rId487" Type="http://schemas.openxmlformats.org/officeDocument/2006/relationships/hyperlink" Target="https://ap12.ragic.com/sims/file.jsp?a=soutlet001&amp;f=n9eIBb1U3r%401000007632.jpg" TargetMode="External"/><Relationship Id="rId610" Type="http://schemas.openxmlformats.org/officeDocument/2006/relationships/hyperlink" Target="https://ap12.ragic.com/sims/file.jsp?a=soutlet001&amp;f=laCujaE44O%40620+%E4%BF%9D%E9%9A%AA%E7%AE%B1%E9%9B%BB%E6%B1%A0%E5%B7%B2%E6%9B%B4%E6%8F%9B.jpg" TargetMode="External"/><Relationship Id="rId694" Type="http://schemas.openxmlformats.org/officeDocument/2006/relationships/hyperlink" Target="https://ap12.ragic.com/sims/file.jsp?a=soutlet001&amp;f=l5oi6YF5MA%40S__62685207.jpg" TargetMode="External"/><Relationship Id="rId708" Type="http://schemas.openxmlformats.org/officeDocument/2006/relationships/hyperlink" Target="https://ap12.ragic.com/sims/file.jsp?a=soutlet001&amp;f=LwaBqKY8g3%40S__54149137.jpg" TargetMode="External"/><Relationship Id="rId915" Type="http://schemas.openxmlformats.org/officeDocument/2006/relationships/hyperlink" Target="https://ap12.ragic.com/sims/file.jsp?a=soutlet001&amp;f=vFsXOi5JkA%4079061.jpg" TargetMode="External"/><Relationship Id="rId1240" Type="http://schemas.openxmlformats.org/officeDocument/2006/relationships/hyperlink" Target="https://ap12.ragic.com/sims/file.jsp?a=soutlet001&amp;f=4I6Z8UrOH7%40image_4B81583A-2284-4BD4-B0F9-241797571C9B_1760438510_compressed.jpeg" TargetMode="External"/><Relationship Id="rId1338" Type="http://schemas.openxmlformats.org/officeDocument/2006/relationships/hyperlink" Target="https://ap12.ragic.com/sims/file.jsp?a=soutlet001&amp;f=tQY7W80931%40IMG_5233.jpeg" TargetMode="External"/><Relationship Id="rId1545" Type="http://schemas.openxmlformats.org/officeDocument/2006/relationships/hyperlink" Target="https://ap12.ragic.com/sims/file.jsp?a=soutlet001&amp;f=46hux9O007%40S__32915468.jpg" TargetMode="External"/><Relationship Id="rId347" Type="http://schemas.openxmlformats.org/officeDocument/2006/relationships/hyperlink" Target="https://ap12.ragic.com/sims/file.jsp?a=soutlet001&amp;f=470V7ylCyj%40IMG_3119.jpeg" TargetMode="External"/><Relationship Id="rId999" Type="http://schemas.openxmlformats.org/officeDocument/2006/relationships/hyperlink" Target="https://ap12.ragic.com/sims/file.jsp?a=soutlet001&amp;f=L01wz0q5n1%40IMG_8309.jpeg" TargetMode="External"/><Relationship Id="rId1100" Type="http://schemas.openxmlformats.org/officeDocument/2006/relationships/hyperlink" Target="https://ap12.ragic.com/sims/file.jsp?a=soutlet001&amp;f=flxwJoFuDE%40828%E8%9E%BA%E7%B5%B2%E4%BF%AE%E9%A3%BE%E8%93%8B%E5%B7%B2%E8%A3%9D%E4%B8%8A%E5%AE%8C%E6%88%90.jpg" TargetMode="External"/><Relationship Id="rId1184" Type="http://schemas.openxmlformats.org/officeDocument/2006/relationships/hyperlink" Target="https://ap12.ragic.com/sims/file.jsp?a=soutlet001&amp;f=nLl3W4QTL0%4072864.jpg" TargetMode="External"/><Relationship Id="rId1405" Type="http://schemas.openxmlformats.org/officeDocument/2006/relationships/hyperlink" Target="https://ap12.ragic.com/sims/file.jsp?a=soutlet001&amp;f=Td0r83n2g1%4057672.jpg" TargetMode="External"/><Relationship Id="rId1752" Type="http://schemas.openxmlformats.org/officeDocument/2006/relationships/hyperlink" Target="https://ap12.ragic.com/sims/file.jsp?a=soutlet001&amp;f=9aAwSMmh1b%4062760.jpg" TargetMode="External"/><Relationship Id="rId44" Type="http://schemas.openxmlformats.org/officeDocument/2006/relationships/hyperlink" Target="https://ap12.ragic.com/sims/file.jsp?a=soutlet001&amp;f=XPJIwHXxQc%40S__36741127_0.jpg" TargetMode="External"/><Relationship Id="rId554" Type="http://schemas.openxmlformats.org/officeDocument/2006/relationships/hyperlink" Target="https://ap12.ragic.com/sims/file.jsp?a=soutlet001&amp;f=IcqxlQqaUu%40513+%E7%AA%97%E5%BB%89%E5%B7%B2%E8%A3%9D%E4%B8%8A.jpg" TargetMode="External"/><Relationship Id="rId761" Type="http://schemas.openxmlformats.org/officeDocument/2006/relationships/hyperlink" Target="https://ap12.ragic.com/sims/file.jsp?a=soutlet001&amp;f=bolmJtMEeO%401000006749.jpg" TargetMode="External"/><Relationship Id="rId859" Type="http://schemas.openxmlformats.org/officeDocument/2006/relationships/hyperlink" Target="https://ap12.ragic.com/sims/file.jsp?a=soutlet001&amp;f=NFCPwXXslb%40913%E8%99%95%E7%90%86%E5%AE%8C%E6%88%90.jpg" TargetMode="External"/><Relationship Id="rId1391" Type="http://schemas.openxmlformats.org/officeDocument/2006/relationships/hyperlink" Target="https://ap12.ragic.com/sims/file.jsp?a=soutlet001&amp;f=u9P2Jy84GJ%40IMG_7515.jpeg" TargetMode="External"/><Relationship Id="rId1489" Type="http://schemas.openxmlformats.org/officeDocument/2006/relationships/hyperlink" Target="https://ap12.ragic.com/sims/file.jsp?a=soutlet001&amp;f=PJ5Lgu6c66%40IMG_7337.jpeg" TargetMode="External"/><Relationship Id="rId1612" Type="http://schemas.openxmlformats.org/officeDocument/2006/relationships/hyperlink" Target="https://ap12.ragic.com/sims/file.jsp?a=soutlet001&amp;f=1TNDDbsl8R%40IMG_6218.jpeg" TargetMode="External"/><Relationship Id="rId1696" Type="http://schemas.openxmlformats.org/officeDocument/2006/relationships/hyperlink" Target="https://ap12.ragic.com/sims/file.jsp?a=soutlet001&amp;f=VpF329s2zC%40image.jpg" TargetMode="External"/><Relationship Id="rId193" Type="http://schemas.openxmlformats.org/officeDocument/2006/relationships/hyperlink" Target="https://ap12.ragic.com/sims/file.jsp?a=soutlet001&amp;f=pfWvsJ24mv%40621+%E8%B2%93%E7%9C%BC%E5%B7%B2%E9%8E%96%E7%B7%8A.jpg" TargetMode="External"/><Relationship Id="rId207" Type="http://schemas.openxmlformats.org/officeDocument/2006/relationships/hyperlink" Target="https://ap12.ragic.com/sims/file.jsp?a=soutlet001&amp;f=7uG9hTuYjc%40IMG_0274.jpeg" TargetMode="External"/><Relationship Id="rId414" Type="http://schemas.openxmlformats.org/officeDocument/2006/relationships/hyperlink" Target="https://ap12.ragic.com/sims/file.jsp?a=soutlet001&amp;f=nB5czlKgK3%40d7ef553980694dbc6bad2c563b678f33.png" TargetMode="External"/><Relationship Id="rId498" Type="http://schemas.openxmlformats.org/officeDocument/2006/relationships/hyperlink" Target="https://ap12.ragic.com/sims/file.jsp?a=soutlet001&amp;f=BahFbdxdXO%40S__9601107.jpg" TargetMode="External"/><Relationship Id="rId621" Type="http://schemas.openxmlformats.org/officeDocument/2006/relationships/hyperlink" Target="https://ap12.ragic.com/sims/file.jsp?a=soutlet001&amp;f=pGfNrJlCkq%40c9ded305e1b3910d94fbddbf17266cdb.png" TargetMode="External"/><Relationship Id="rId1044" Type="http://schemas.openxmlformats.org/officeDocument/2006/relationships/hyperlink" Target="https://ap12.ragic.com/sims/file.jsp?a=soutlet001&amp;f=y49YM79j2z%40919%E6%8F%92%E9%A0%AD%E5%B7%B2%E6%8B%94%E9%99%A4.jpg" TargetMode="External"/><Relationship Id="rId1251" Type="http://schemas.openxmlformats.org/officeDocument/2006/relationships/hyperlink" Target="https://ap12.ragic.com/sims/file.jsp?a=soutlet001&amp;f=CWm6Dcp7Xh%401000007717.jpg" TargetMode="External"/><Relationship Id="rId1349" Type="http://schemas.openxmlformats.org/officeDocument/2006/relationships/hyperlink" Target="https://ap12.ragic.com/sims/file.jsp?a=soutlet001&amp;f=tR9rb97I2O%40IMG_7575.jpeg" TargetMode="External"/><Relationship Id="rId260" Type="http://schemas.openxmlformats.org/officeDocument/2006/relationships/hyperlink" Target="https://ap12.ragic.com/sims/file.jsp?a=soutlet001&amp;f=FbCwtdaYjt%4015d6a281c0ee20471b9fe6154b32188c.png" TargetMode="External"/><Relationship Id="rId719" Type="http://schemas.openxmlformats.org/officeDocument/2006/relationships/hyperlink" Target="https://ap12.ragic.com/sims/file.jsp?a=soutlet001&amp;f=dtLEOYPddN%4084077.jpg" TargetMode="External"/><Relationship Id="rId926" Type="http://schemas.openxmlformats.org/officeDocument/2006/relationships/hyperlink" Target="https://ap12.ragic.com/sims/file.jsp?a=soutlet001&amp;f=etFDCbfdRI%40image_DF349BBB-AA41-4753-A2E2-EB71FA7EE1C7_1763970288_compressed.jpeg" TargetMode="External"/><Relationship Id="rId1111" Type="http://schemas.openxmlformats.org/officeDocument/2006/relationships/hyperlink" Target="https://ap12.ragic.com/sims/file.jsp?a=soutlet001&amp;f=57D2unWBUO%40IMG_6318.jpeg" TargetMode="External"/><Relationship Id="rId1556" Type="http://schemas.openxmlformats.org/officeDocument/2006/relationships/hyperlink" Target="https://ap12.ragic.com/sims/file.jsp?a=soutlet001&amp;f=s5DF51WDh3%4020250910.jpg" TargetMode="External"/><Relationship Id="rId1763" Type="http://schemas.openxmlformats.org/officeDocument/2006/relationships/hyperlink" Target="https://ap12.ragic.com/sims/file.jsp?a=soutlet001&amp;f=aN11sqe88w%401000003276.jpg" TargetMode="External"/><Relationship Id="rId55" Type="http://schemas.openxmlformats.org/officeDocument/2006/relationships/hyperlink" Target="https://ap12.ragic.com/sims/file.jsp?a=soutlet001&amp;f=12U5q9SnW4%40IMG_0666.jpeg" TargetMode="External"/><Relationship Id="rId120" Type="http://schemas.openxmlformats.org/officeDocument/2006/relationships/hyperlink" Target="https://ap12.ragic.com/sims/file.jsp?a=soutlet001&amp;f=CI21RKb320%40IMG_2563.jpeg" TargetMode="External"/><Relationship Id="rId358" Type="http://schemas.openxmlformats.org/officeDocument/2006/relationships/hyperlink" Target="https://ap12.ragic.com/sims/file.jsp?a=soutlet001&amp;f=TgixOe7xO9%40IMG_6825.jpeg" TargetMode="External"/><Relationship Id="rId565" Type="http://schemas.openxmlformats.org/officeDocument/2006/relationships/hyperlink" Target="https://ap12.ragic.com/sims/file.jsp?a=soutlet001&amp;f=I3589qbt5Q%40a0b0cdb7b394ac31cfa84c608d37e147.png" TargetMode="External"/><Relationship Id="rId772" Type="http://schemas.openxmlformats.org/officeDocument/2006/relationships/hyperlink" Target="https://ap12.ragic.com/sims/file.jsp?a=soutlet001&amp;f=ES0jH2k4aF%401023%E6%AD%A2%E6%B0%B4%E6%A2%9D%E5%AE%89%E8%A3%9D%E5%AE%8C%E6%88%90.jpg" TargetMode="External"/><Relationship Id="rId1195" Type="http://schemas.openxmlformats.org/officeDocument/2006/relationships/hyperlink" Target="https://ap12.ragic.com/sims/file.jsp?a=soutlet001&amp;f=Yi0U1xdfC1%40IMG_5798.jpeg" TargetMode="External"/><Relationship Id="rId1209" Type="http://schemas.openxmlformats.org/officeDocument/2006/relationships/hyperlink" Target="https://ap12.ragic.com/sims/file.jsp?a=soutlet001&amp;f=79YseRRzp3%40IMG_7790.jpeg" TargetMode="External"/><Relationship Id="rId1416" Type="http://schemas.openxmlformats.org/officeDocument/2006/relationships/hyperlink" Target="https://ap12.ragic.com/sims/file.jsp?a=soutlet001&amp;f=YD52BhK383%40image_0EFAE68C-C442-4CE6-9FF1-3E00CF2C5F5B_1759118837_compressed.jpeg" TargetMode="External"/><Relationship Id="rId1623" Type="http://schemas.openxmlformats.org/officeDocument/2006/relationships/hyperlink" Target="https://ap12.ragic.com/sims/file.jsp?a=soutlet001&amp;f=tC2zJd620f%40image_2B38DEFE-8CE2-466F-A0A3-555D8D98AADB_1756732035_compressed.jpeg" TargetMode="External"/><Relationship Id="rId1830" Type="http://schemas.openxmlformats.org/officeDocument/2006/relationships/hyperlink" Target="https://ap12.ragic.com/sims/file.jsp?a=soutlet001&amp;f=6l72n1o6JA%401000002608.jpg" TargetMode="External"/><Relationship Id="rId218" Type="http://schemas.openxmlformats.org/officeDocument/2006/relationships/hyperlink" Target="https://ap12.ragic.com/sims/file.jsp?a=soutlet001&amp;f=Eowy4fycuH%40IMG_2091.jpeg" TargetMode="External"/><Relationship Id="rId425" Type="http://schemas.openxmlformats.org/officeDocument/2006/relationships/hyperlink" Target="https://ap12.ragic.com/sims/file.jsp?a=soutlet001&amp;f=NtTGptWum5%401000007747.jpg" TargetMode="External"/><Relationship Id="rId632" Type="http://schemas.openxmlformats.org/officeDocument/2006/relationships/hyperlink" Target="https://ap12.ragic.com/sims/file.jsp?a=soutlet001&amp;f=JYjHkbICPC%40620%E8%B2%93%E7%9C%BC%E8%AA%BF%E6%95%B4%E5%AE%8C%E6%88%90.jpg" TargetMode="External"/><Relationship Id="rId1055" Type="http://schemas.openxmlformats.org/officeDocument/2006/relationships/hyperlink" Target="https://ap12.ragic.com/sims/file.jsp?a=soutlet001&amp;f=2R72HU88wa%40708%E5%AE%8C%E6%88%90.jpg" TargetMode="External"/><Relationship Id="rId1262" Type="http://schemas.openxmlformats.org/officeDocument/2006/relationships/hyperlink" Target="https://ap12.ragic.com/sims/file.jsp?a=soutlet001&amp;f=yjmwD561YR%40IMG_7720.jpeg" TargetMode="External"/><Relationship Id="rId271" Type="http://schemas.openxmlformats.org/officeDocument/2006/relationships/hyperlink" Target="https://ap12.ragic.com/sims/file.jsp?a=soutlet001&amp;f=6rCNJJR4lb%40c420e2c015efc70ff6a2289bd28127a1.png" TargetMode="External"/><Relationship Id="rId937" Type="http://schemas.openxmlformats.org/officeDocument/2006/relationships/hyperlink" Target="https://ap12.ragic.com/sims/file.jsp?a=soutlet001&amp;f=oLK7IFzzpx%40609%E5%BA%8A%E9%A0%AD%E6%AB%83%E5%B7%B2%E4%BF%AE%E5%BE%A9%E5%AE%8C%E6%88%90.jpg" TargetMode="External"/><Relationship Id="rId1122" Type="http://schemas.openxmlformats.org/officeDocument/2006/relationships/hyperlink" Target="https://ap12.ragic.com/sims/file.jsp?a=soutlet001&amp;f=W737rZ6P2C%40522%E8%A1%9B%E7%94%9F%E7%B4%99%E6%9E%B6%E5%9B%BA%E5%AE%9A%E5%AE%8C%E6%88%90.jpg" TargetMode="External"/><Relationship Id="rId1567" Type="http://schemas.openxmlformats.org/officeDocument/2006/relationships/hyperlink" Target="https://ap12.ragic.com/sims/file.jsp?a=soutlet001&amp;f=21uBBk7k6f%40919%E5%86%B0%E7%AE%B1.jpg" TargetMode="External"/><Relationship Id="rId1774" Type="http://schemas.openxmlformats.org/officeDocument/2006/relationships/hyperlink" Target="https://ap12.ragic.com/sims/file.jsp?a=soutlet001&amp;f=nW8yHweqR9%40426092.jpg" TargetMode="External"/><Relationship Id="rId66" Type="http://schemas.openxmlformats.org/officeDocument/2006/relationships/hyperlink" Target="https://ap12.ragic.com/sims/file.jsp?a=soutlet001&amp;f=1jvQhimpqh%40IMG_0689.jpeg" TargetMode="External"/><Relationship Id="rId131" Type="http://schemas.openxmlformats.org/officeDocument/2006/relationships/hyperlink" Target="https://ap12.ragic.com/sims/file.jsp?a=soutlet001&amp;f=me0BTH0rgB%401000008600.jpg" TargetMode="External"/><Relationship Id="rId369" Type="http://schemas.openxmlformats.org/officeDocument/2006/relationships/hyperlink" Target="https://ap12.ragic.com/sims/file.jsp?a=soutlet001&amp;f=hodyKlDpwD%4091387.jpg" TargetMode="External"/><Relationship Id="rId576" Type="http://schemas.openxmlformats.org/officeDocument/2006/relationships/hyperlink" Target="https://ap12.ragic.com/sims/file.jsp?a=soutlet001&amp;f=oUkbFhzIHQ%400d03b65335165de9f7b553f1f40148e1.png" TargetMode="External"/><Relationship Id="rId783" Type="http://schemas.openxmlformats.org/officeDocument/2006/relationships/hyperlink" Target="https://ap12.ragic.com/sims/file.jsp?a=soutlet001&amp;f=94IQMe4BzX%401028+%E5%8C%96%E7%B2%A7%E9%8F%A1%E5%B7%B2%E5%9B%BA%E5%AE%9A.jpg" TargetMode="External"/><Relationship Id="rId990" Type="http://schemas.openxmlformats.org/officeDocument/2006/relationships/hyperlink" Target="https://ap12.ragic.com/sims/file.jsp?a=soutlet001&amp;f=TjFdV6UOkP%40image_23C1E4F1-DA8B-49B9-A3C6-59F9B718A710_1763256475_compressed.jpeg" TargetMode="External"/><Relationship Id="rId1427" Type="http://schemas.openxmlformats.org/officeDocument/2006/relationships/hyperlink" Target="https://ap12.ragic.com/sims/file.jsp?a=soutlet001&amp;f=RM8zjaACa5%404%E6%A8%93%E5%90%A7%E6%AA%AF%E9%82%8A%E6%A2%9D%E5%B7%B2%E9%87%8D%E6%96%B0%E5%9B%BA%E5%AE%9A.jpg" TargetMode="External"/><Relationship Id="rId1634" Type="http://schemas.openxmlformats.org/officeDocument/2006/relationships/hyperlink" Target="https://ap12.ragic.com/sims/file.jsp?a=soutlet001&amp;f=Cxy9sqP367%40IMG_6160.jpeg" TargetMode="External"/><Relationship Id="rId229" Type="http://schemas.openxmlformats.org/officeDocument/2006/relationships/hyperlink" Target="https://ap12.ragic.com/sims/file.jsp?a=soutlet001&amp;f=bClKtR7lDP%401000008158.jpg" TargetMode="External"/><Relationship Id="rId436" Type="http://schemas.openxmlformats.org/officeDocument/2006/relationships/hyperlink" Target="https://ap12.ragic.com/sims/file.jsp?a=soutlet001&amp;f=7NoYaSQKF6%401829.jpg" TargetMode="External"/><Relationship Id="rId643" Type="http://schemas.openxmlformats.org/officeDocument/2006/relationships/hyperlink" Target="https://ap12.ragic.com/sims/file.jsp?a=soutlet001&amp;f=wQLYueQa60%4085227.jpg" TargetMode="External"/><Relationship Id="rId1066" Type="http://schemas.openxmlformats.org/officeDocument/2006/relationships/hyperlink" Target="https://ap12.ragic.com/sims/file.jsp?a=soutlet001&amp;f=s3N9ZtT7E0%40image_61F806A7-C79C-4E1E-889F-26117AFBA3C3_1762345138_compressed.jpeg" TargetMode="External"/><Relationship Id="rId1273" Type="http://schemas.openxmlformats.org/officeDocument/2006/relationships/hyperlink" Target="https://ap12.ragic.com/sims/file.jsp?a=soutlet001&amp;f=77Jtqq6OD4%40S__4972669.jpg" TargetMode="External"/><Relationship Id="rId1480" Type="http://schemas.openxmlformats.org/officeDocument/2006/relationships/hyperlink" Target="https://ap12.ragic.com/sims/file.jsp?a=soutlet001&amp;f=6dd6JV42Ds%40826%E6%B5%B4%E5%AE%A4%E6%8A%BD%E5%B1%9C%E6%AB%83%E9%81%93%E6%9B%B4%E6%96%B0%E5%AE%8C%E6%88%90.jpg" TargetMode="External"/><Relationship Id="rId850" Type="http://schemas.openxmlformats.org/officeDocument/2006/relationships/hyperlink" Target="https://ap12.ragic.com/sims/file.jsp?a=soutlet001&amp;f=ORtDRVjPyB%40image_D1AAE93E-833A-43FC-BE7D-985E2A490CCF_1765363436_compressed.jpeg" TargetMode="External"/><Relationship Id="rId948" Type="http://schemas.openxmlformats.org/officeDocument/2006/relationships/hyperlink" Target="https://ap12.ragic.com/sims/file.jsp?a=soutlet001&amp;f=mYnFkJCO3d%40IMG_7705.jpeg" TargetMode="External"/><Relationship Id="rId1133" Type="http://schemas.openxmlformats.org/officeDocument/2006/relationships/hyperlink" Target="https://ap12.ragic.com/sims/file.jsp?a=soutlet001&amp;f=2Fo2T0149w%40723%E7%89%86%E5%A3%81%E9%BB%8F%E8%86%A0%E6%B8%85%E9%99%A4%E5%AE%8C%E7%95%A2%E4%B8%A6%E9%87%8D%E6%96%B0%E8%B2%BC%E4%B8%8A.jpg" TargetMode="External"/><Relationship Id="rId1578" Type="http://schemas.openxmlformats.org/officeDocument/2006/relationships/hyperlink" Target="https://ap12.ragic.com/sims/file.jsp?a=soutlet001&amp;f=pSX588JaQv%40707+%E8%B2%BC%E7%9A%AE.jpg" TargetMode="External"/><Relationship Id="rId1701" Type="http://schemas.openxmlformats.org/officeDocument/2006/relationships/hyperlink" Target="https://ap12.ragic.com/sims/file.jsp?a=soutlet001&amp;f=oSO3dsMV77%4062667.jpg" TargetMode="External"/><Relationship Id="rId1785" Type="http://schemas.openxmlformats.org/officeDocument/2006/relationships/hyperlink" Target="https://ap12.ragic.com/sims/file.jsp?a=soutlet001&amp;f=82s26u0hC1%401000004084.jpg" TargetMode="External"/><Relationship Id="rId77" Type="http://schemas.openxmlformats.org/officeDocument/2006/relationships/hyperlink" Target="https://ap12.ragic.com/sims/file.jsp?a=soutlet001&amp;f=CB0PVf8cpC%40S__105332762.jpg" TargetMode="External"/><Relationship Id="rId282" Type="http://schemas.openxmlformats.org/officeDocument/2006/relationships/hyperlink" Target="https://ap12.ragic.com/sims/file.jsp?a=soutlet001&amp;f=0yQgBY18WX%4032701605443862fbed9df8a0331e055a.png" TargetMode="External"/><Relationship Id="rId503" Type="http://schemas.openxmlformats.org/officeDocument/2006/relationships/hyperlink" Target="https://ap12.ragic.com/sims/file.jsp?a=soutlet001&amp;f=8OTCbwNfiH%40IMG_5116.jpeg" TargetMode="External"/><Relationship Id="rId587" Type="http://schemas.openxmlformats.org/officeDocument/2006/relationships/hyperlink" Target="https://ap12.ragic.com/sims/file.jsp?a=soutlet001&amp;f=rgObcxGJHd%402be1e1dd5b68a8e9163d96d062fef140.png" TargetMode="External"/><Relationship Id="rId710" Type="http://schemas.openxmlformats.org/officeDocument/2006/relationships/hyperlink" Target="https://ap12.ragic.com/sims/file.jsp?a=soutlet001&amp;f=A74a5Vp5UY%40621%E9%96%80%E5%8F%A3%E5%B4%81%E7%87%88%E5%B7%B2%E6%9B%B4%E6%96%B0%E5%AE%8C%E6%88%90.jpg" TargetMode="External"/><Relationship Id="rId808" Type="http://schemas.openxmlformats.org/officeDocument/2006/relationships/hyperlink" Target="https://ap12.ragic.com/sims/file.jsp?a=soutlet001&amp;f=UifXlB8ICl%40726%E7%B7%A9%E8%A1%9D%E8%99%95%E7%90%86%E5%AE%8C%E6%88%90%E3%80%82.jpg" TargetMode="External"/><Relationship Id="rId1340" Type="http://schemas.openxmlformats.org/officeDocument/2006/relationships/hyperlink" Target="https://ap12.ragic.com/sims/file.jsp?a=soutlet001&amp;f=ECLb341teZ%40IMG_7624.jpeg" TargetMode="External"/><Relationship Id="rId1438" Type="http://schemas.openxmlformats.org/officeDocument/2006/relationships/hyperlink" Target="https://ap12.ragic.com/sims/file.jsp?a=soutlet001&amp;f=vdMG8D5i77%40image_B7EAD0D0-7AAB-4775-809C-D45BFB6251AA_1758801163_compressed.jpeg" TargetMode="External"/><Relationship Id="rId1645" Type="http://schemas.openxmlformats.org/officeDocument/2006/relationships/hyperlink" Target="https://ap12.ragic.com/sims/file.jsp?a=soutlet001&amp;f=GMy6swLs7O%40IMG_6144.jpeg" TargetMode="External"/><Relationship Id="rId8" Type="http://schemas.openxmlformats.org/officeDocument/2006/relationships/hyperlink" Target="https://ap12.ragic.com/sims/file.jsp?a=soutlet001&amp;f=P4hfHxWyLK%402192.jpg" TargetMode="External"/><Relationship Id="rId142" Type="http://schemas.openxmlformats.org/officeDocument/2006/relationships/hyperlink" Target="https://ap12.ragic.com/sims/file.jsp?a=soutlet001&amp;f=6hCA5y7uWv%40IMG_2417.jpeg" TargetMode="External"/><Relationship Id="rId447" Type="http://schemas.openxmlformats.org/officeDocument/2006/relationships/hyperlink" Target="https://ap12.ragic.com/sims/file.jsp?a=soutlet001&amp;f=g8x0AAkRoF%401000007689.jpg" TargetMode="External"/><Relationship Id="rId794" Type="http://schemas.openxmlformats.org/officeDocument/2006/relationships/hyperlink" Target="https://ap12.ragic.com/sims/file.jsp?a=soutlet001&amp;f=HcDSmxtyeu%40705%E6%AD%A2%E6%B0%B4%E6%A2%9D%E4%BF%AE%E5%BE%A9%E5%AE%8C%E6%88%90.jpg" TargetMode="External"/><Relationship Id="rId1077" Type="http://schemas.openxmlformats.org/officeDocument/2006/relationships/hyperlink" Target="https://ap12.ragic.com/sims/file.jsp?a=soutlet001&amp;f=249jc5Ca83%4075603.jpg" TargetMode="External"/><Relationship Id="rId1200" Type="http://schemas.openxmlformats.org/officeDocument/2006/relationships/hyperlink" Target="https://ap12.ragic.com/sims/file.jsp?a=soutlet001&amp;f=FZ37544V6x%40R930.jpg" TargetMode="External"/><Relationship Id="rId654" Type="http://schemas.openxmlformats.org/officeDocument/2006/relationships/hyperlink" Target="https://ap12.ragic.com/sims/file.jsp?a=soutlet001&amp;f=epDhk205qm%40911%E6%A1%8C%E5%AD%90%E4%B8%8A%E6%96%B9%E7%87%88%E6%B3%A1%E5%B7%B2%E6%9B%B4%E6%96%B0%E5%AE%8C%E6%88%90.jpg" TargetMode="External"/><Relationship Id="rId861" Type="http://schemas.openxmlformats.org/officeDocument/2006/relationships/hyperlink" Target="https://ap12.ragic.com/sims/file.jsp?a=soutlet001&amp;f=2JYe5aaTFi%40IMG_8530.jpeg" TargetMode="External"/><Relationship Id="rId959" Type="http://schemas.openxmlformats.org/officeDocument/2006/relationships/hyperlink" Target="https://ap12.ragic.com/sims/file.jsp?a=soutlet001&amp;f=glq3e2ZB2P%40238761.jpg" TargetMode="External"/><Relationship Id="rId1284" Type="http://schemas.openxmlformats.org/officeDocument/2006/relationships/hyperlink" Target="https://ap12.ragic.com/sims/file.jsp?a=soutlet001&amp;f=I420ijf7Yu%40IMG_7694.jpeg" TargetMode="External"/><Relationship Id="rId1491" Type="http://schemas.openxmlformats.org/officeDocument/2006/relationships/hyperlink" Target="https://ap12.ragic.com/sims/file.jsp?a=soutlet001&amp;f=7xpQrA6hY4%40IMG_7336.jpeg" TargetMode="External"/><Relationship Id="rId1505" Type="http://schemas.openxmlformats.org/officeDocument/2006/relationships/hyperlink" Target="https://ap12.ragic.com/sims/file.jsp?a=soutlet001&amp;f=3UIhLcWpYG%40816+%E9%9B%BB%E8%A9%B10k.jpg" TargetMode="External"/><Relationship Id="rId1589" Type="http://schemas.openxmlformats.org/officeDocument/2006/relationships/hyperlink" Target="https://ap12.ragic.com/sims/file.jsp?a=soutlet001&amp;f=58r98w86K3%4073650.jpg" TargetMode="External"/><Relationship Id="rId1712" Type="http://schemas.openxmlformats.org/officeDocument/2006/relationships/hyperlink" Target="https://ap12.ragic.com/sims/file.jsp?a=soutlet001&amp;f=DDk8kdiyJF%40S__27377688.jpg" TargetMode="External"/><Relationship Id="rId293" Type="http://schemas.openxmlformats.org/officeDocument/2006/relationships/hyperlink" Target="https://ap12.ragic.com/sims/file.jsp?a=soutlet001&amp;f=xjBGxa8mwy%40e3cf791d776adb0fd11436025b49b8f2.png" TargetMode="External"/><Relationship Id="rId307" Type="http://schemas.openxmlformats.org/officeDocument/2006/relationships/hyperlink" Target="https://ap12.ragic.com/sims/file.jsp?a=soutlet001&amp;f=5ACBy8dPRX%40710%E4%BF%9D%E9%A4%8A%E5%AD%94%E5%B7%B2%E7%A2%BA%E5%AF%A6%E8%A3%9D%E5%A5%BD.jpg" TargetMode="External"/><Relationship Id="rId514" Type="http://schemas.openxmlformats.org/officeDocument/2006/relationships/hyperlink" Target="https://ap12.ragic.com/sims/file.jsp?a=soutlet001&amp;f=galpQn0DpO%40921%E6%AD%A2%E6%B0%B4%E6%A2%9D%E5%B7%B2%E6%9B%B4%E6%96%B0%E5%AE%8C%E6%88%90.jpg" TargetMode="External"/><Relationship Id="rId721" Type="http://schemas.openxmlformats.org/officeDocument/2006/relationships/hyperlink" Target="https://ap12.ragic.com/sims/file.jsp?a=soutlet001&amp;f=TsSFDw9VV4%40528+%E8%B2%93%E7%9C%BC%E5%B7%B2%E4%BF%AE%E5%BE%A9.jpg" TargetMode="External"/><Relationship Id="rId1144" Type="http://schemas.openxmlformats.org/officeDocument/2006/relationships/hyperlink" Target="https://ap12.ragic.com/sims/file.jsp?a=soutlet001&amp;f=KLb765tU2I%40103668.jpg" TargetMode="External"/><Relationship Id="rId1351" Type="http://schemas.openxmlformats.org/officeDocument/2006/relationships/hyperlink" Target="https://ap12.ragic.com/sims/file.jsp?a=soutlet001&amp;f=476qr8r9Dm%40IMG_5034.jpeg" TargetMode="External"/><Relationship Id="rId1449" Type="http://schemas.openxmlformats.org/officeDocument/2006/relationships/hyperlink" Target="https://ap12.ragic.com/sims/file.jsp?a=soutlet001&amp;f=4aP0ca4Cb8%40IMG_7395.jpeg" TargetMode="External"/><Relationship Id="rId1796" Type="http://schemas.openxmlformats.org/officeDocument/2006/relationships/hyperlink" Target="https://ap12.ragic.com/sims/file.jsp?a=soutlet001&amp;f=wN3q9gtocA%40IMG_5910.jpeg" TargetMode="External"/><Relationship Id="rId88" Type="http://schemas.openxmlformats.org/officeDocument/2006/relationships/hyperlink" Target="https://ap12.ragic.com/sims/file.jsp?a=soutlet001&amp;f=BRQtgZJOWQ%40IMG_0408.jpeg" TargetMode="External"/><Relationship Id="rId153" Type="http://schemas.openxmlformats.org/officeDocument/2006/relationships/hyperlink" Target="https://ap12.ragic.com/sims/file.jsp?a=soutlet001&amp;f=hD3WvLJdhH%40IMG_2378.jpeg" TargetMode="External"/><Relationship Id="rId360" Type="http://schemas.openxmlformats.org/officeDocument/2006/relationships/hyperlink" Target="https://ap12.ragic.com/sims/file.jsp?a=soutlet001&amp;f=ILB9d8Agus%40825%E6%B5%B4%E7%B0%BEok.jpg" TargetMode="External"/><Relationship Id="rId598" Type="http://schemas.openxmlformats.org/officeDocument/2006/relationships/hyperlink" Target="https://ap12.ragic.com/sims/file.jsp?a=soutlet001&amp;f=sh9CkwAI9a%4086189.jpg" TargetMode="External"/><Relationship Id="rId819" Type="http://schemas.openxmlformats.org/officeDocument/2006/relationships/hyperlink" Target="https://ap12.ragic.com/sims/file.jsp?a=soutlet001&amp;f=ApvOF63kS6%4081959.jpg" TargetMode="External"/><Relationship Id="rId1004" Type="http://schemas.openxmlformats.org/officeDocument/2006/relationships/hyperlink" Target="https://ap12.ragic.com/sims/file.jsp?a=soutlet001&amp;f=B8bwt4HjWK%40IMG_8303.jpeg" TargetMode="External"/><Relationship Id="rId1211" Type="http://schemas.openxmlformats.org/officeDocument/2006/relationships/hyperlink" Target="https://ap12.ragic.com/sims/file.jsp?a=soutlet001&amp;f=X4Q415bejq%40IMG_7788.jpeg" TargetMode="External"/><Relationship Id="rId1656" Type="http://schemas.openxmlformats.org/officeDocument/2006/relationships/hyperlink" Target="https://ap12.ragic.com/sims/file.jsp?a=soutlet001&amp;f=f80i5DnR3t%40919.jpg" TargetMode="External"/><Relationship Id="rId220" Type="http://schemas.openxmlformats.org/officeDocument/2006/relationships/hyperlink" Target="https://ap12.ragic.com/sims/file.jsp?a=soutlet001&amp;f=39Z7r3bC5V%40519+%E9%9B%BB%E6%B1%A0%E5%B7%B2%E6%9B%B4%E6%8F%9B.jpg" TargetMode="External"/><Relationship Id="rId458" Type="http://schemas.openxmlformats.org/officeDocument/2006/relationships/hyperlink" Target="https://ap12.ragic.com/sims/file.jsp?a=soutlet001&amp;f=M59nZwCiId%403d0f8c414b263d96ac0d24691789c6b8.png" TargetMode="External"/><Relationship Id="rId665" Type="http://schemas.openxmlformats.org/officeDocument/2006/relationships/hyperlink" Target="https://ap12.ragic.com/sims/file.jsp?a=soutlet001&amp;f=Ahu9ZvX2ON%4000a5b8c2a4d55e3602fc81e439a372a8.png" TargetMode="External"/><Relationship Id="rId872" Type="http://schemas.openxmlformats.org/officeDocument/2006/relationships/hyperlink" Target="https://ap12.ragic.com/sims/file.jsp?a=soutlet001&amp;f=MzWgqOQVsy%40IMG_8514.jpeg" TargetMode="External"/><Relationship Id="rId1088" Type="http://schemas.openxmlformats.org/officeDocument/2006/relationships/hyperlink" Target="https://ap12.ragic.com/sims/file.jsp?a=soutlet001&amp;f=B7RGQe71t1%40IMG_8152.jpeg" TargetMode="External"/><Relationship Id="rId1295" Type="http://schemas.openxmlformats.org/officeDocument/2006/relationships/hyperlink" Target="https://ap12.ragic.com/sims/file.jsp?a=soutlet001&amp;f=i752a4sQX6%40921%E7%9B%A5%E6%B4%97%E7%94%A8%E5%93%81%E6%9E%B6%E5%B7%B2%E6%9B%B4%E6%96%B0.jpg" TargetMode="External"/><Relationship Id="rId1309" Type="http://schemas.openxmlformats.org/officeDocument/2006/relationships/hyperlink" Target="https://ap12.ragic.com/sims/file.jsp?a=soutlet001&amp;f=H5Xf99mzU5%401018%E6%AD%A2%E6%B0%B4%E6%A2%9D%E6%9B%B4%E6%96%B0%E5%AE%8C%E6%88%90.jpg" TargetMode="External"/><Relationship Id="rId1516" Type="http://schemas.openxmlformats.org/officeDocument/2006/relationships/hyperlink" Target="https://ap12.ragic.com/sims/file.jsp?a=soutlet001&amp;f=i2mXJseEZI%4066969.jpg" TargetMode="External"/><Relationship Id="rId1723" Type="http://schemas.openxmlformats.org/officeDocument/2006/relationships/hyperlink" Target="https://ap12.ragic.com/sims/file.jsp?a=soutlet001&amp;f=3bORArl1Xy%40IMG_6026.jpeg" TargetMode="External"/><Relationship Id="rId15" Type="http://schemas.openxmlformats.org/officeDocument/2006/relationships/hyperlink" Target="https://ap12.ragic.com/sims/file.jsp?a=soutlet001&amp;f=oyrAVf6KZy%40IMG_1582.jpeg" TargetMode="External"/><Relationship Id="rId318" Type="http://schemas.openxmlformats.org/officeDocument/2006/relationships/hyperlink" Target="https://ap12.ragic.com/sims/file.jsp?a=soutlet001&amp;f=WXdnx9fFA8%4082c524544888565f36047b5c2232c95c.png" TargetMode="External"/><Relationship Id="rId525" Type="http://schemas.openxmlformats.org/officeDocument/2006/relationships/hyperlink" Target="https://ap12.ragic.com/sims/file.jsp?a=soutlet001&amp;f=dAz5e6Ud5P%401000017445.jpg" TargetMode="External"/><Relationship Id="rId732" Type="http://schemas.openxmlformats.org/officeDocument/2006/relationships/hyperlink" Target="https://ap12.ragic.com/sims/file.jsp?a=soutlet001&amp;f=6NELbuEAB3%401016+%E9%9B%BB%E7%87%88%E5%B7%B2%E4%BF%AE%E5%BE%A9.jpg" TargetMode="External"/><Relationship Id="rId1155" Type="http://schemas.openxmlformats.org/officeDocument/2006/relationships/hyperlink" Target="https://ap12.ragic.com/sims/file.jsp?a=soutlet001&amp;f=RE47bK1d3T%40image_5709235E-9979-4F72-B973-D0C97B86E27C_1761124175_compressed.jpeg" TargetMode="External"/><Relationship Id="rId1362" Type="http://schemas.openxmlformats.org/officeDocument/2006/relationships/hyperlink" Target="https://ap12.ragic.com/sims/file.jsp?a=soutlet001&amp;f=392JdOa43r%40IMG_7556.jpeg" TargetMode="External"/><Relationship Id="rId99" Type="http://schemas.openxmlformats.org/officeDocument/2006/relationships/hyperlink" Target="https://ap12.ragic.com/sims/file.jsp?a=soutlet001&amp;f=uplGNbhK1Y%401000008915.jpg" TargetMode="External"/><Relationship Id="rId164" Type="http://schemas.openxmlformats.org/officeDocument/2006/relationships/hyperlink" Target="https://ap12.ragic.com/sims/file.jsp?a=soutlet001&amp;f=phMWVPL0YS%40708+%E8%AA%BF%E6%95%B4%E5%AE%8C%E6%88%90.jpg" TargetMode="External"/><Relationship Id="rId371" Type="http://schemas.openxmlformats.org/officeDocument/2006/relationships/hyperlink" Target="https://ap12.ragic.com/sims/file.jsp?a=soutlet001&amp;f=0EAjpwtygK%40D4EF1046-8196-4B9B-AC0D-D480E16E6C25.jpg" TargetMode="External"/><Relationship Id="rId1015" Type="http://schemas.openxmlformats.org/officeDocument/2006/relationships/hyperlink" Target="https://ap12.ragic.com/sims/file.jsp?a=soutlet001&amp;f=K7nKe89Pb0%40826%E6%B0%B4%E9%BE%8D%E9%A0%AD%E5%9B%BA%E5%AE%9A%E5%AE%8C%E6%88%90.jpg" TargetMode="External"/><Relationship Id="rId1222" Type="http://schemas.openxmlformats.org/officeDocument/2006/relationships/hyperlink" Target="https://ap12.ragic.com/sims/file.jsp?a=soutlet001&amp;f=3cxdFp567R%40S__121954638.jpg" TargetMode="External"/><Relationship Id="rId1667" Type="http://schemas.openxmlformats.org/officeDocument/2006/relationships/hyperlink" Target="https://ap12.ragic.com/sims/file.jsp?a=soutlet001&amp;f=t1wo1VM214%40S__9011223.jpg" TargetMode="External"/><Relationship Id="rId469" Type="http://schemas.openxmlformats.org/officeDocument/2006/relationships/hyperlink" Target="https://ap12.ragic.com/sims/file.jsp?a=soutlet001&amp;f=Wk5WIAAy4A%40S__123879427.jpg" TargetMode="External"/><Relationship Id="rId676" Type="http://schemas.openxmlformats.org/officeDocument/2006/relationships/hyperlink" Target="https://ap12.ragic.com/sims/file.jsp?a=soutlet001&amp;f=sJpBIRZD48%40image.jpg" TargetMode="External"/><Relationship Id="rId883" Type="http://schemas.openxmlformats.org/officeDocument/2006/relationships/hyperlink" Target="https://ap12.ragic.com/sims/file.jsp?a=soutlet001&amp;f=3Ab4eeau6N%40IMG_8435.jpeg" TargetMode="External"/><Relationship Id="rId1099" Type="http://schemas.openxmlformats.org/officeDocument/2006/relationships/hyperlink" Target="https://ap12.ragic.com/sims/file.jsp?a=soutlet001&amp;f=ato049d3ou%401000005804.jpg" TargetMode="External"/><Relationship Id="rId1527" Type="http://schemas.openxmlformats.org/officeDocument/2006/relationships/hyperlink" Target="https://ap12.ragic.com/sims/file.jsp?a=soutlet001&amp;f=sz64c020T1%4066595.jpg" TargetMode="External"/><Relationship Id="rId1734" Type="http://schemas.openxmlformats.org/officeDocument/2006/relationships/hyperlink" Target="https://ap12.ragic.com/sims/file.jsp?a=soutlet001&amp;f=9U8iE8j844%40IMG_3112.jpeg" TargetMode="External"/><Relationship Id="rId26" Type="http://schemas.openxmlformats.org/officeDocument/2006/relationships/hyperlink" Target="https://ap12.ragic.com/sims/file.jsp?a=soutlet001&amp;f=JSAMNm3w89%401000009734.jpg" TargetMode="External"/><Relationship Id="rId231" Type="http://schemas.openxmlformats.org/officeDocument/2006/relationships/hyperlink" Target="https://ap12.ragic.com/sims/file.jsp?a=soutlet001&amp;f=jpNkKQdKyD%40IMG_0230.jpeg" TargetMode="External"/><Relationship Id="rId329" Type="http://schemas.openxmlformats.org/officeDocument/2006/relationships/hyperlink" Target="https://ap12.ragic.com/sims/file.jsp?a=soutlet001&amp;f=kXv5zqwZwt%4069c8b64faea5115f0c6283519203f9e9.png" TargetMode="External"/><Relationship Id="rId536" Type="http://schemas.openxmlformats.org/officeDocument/2006/relationships/hyperlink" Target="https://ap12.ragic.com/sims/file.jsp?a=soutlet001&amp;f=9hUs04XmPb%40IMG_4725.jpeg" TargetMode="External"/><Relationship Id="rId1166" Type="http://schemas.openxmlformats.org/officeDocument/2006/relationships/hyperlink" Target="https://ap12.ragic.com/sims/file.jsp?a=soutlet001&amp;f=xG7tw54yIB%40%E7%B8%BD%E5%B7%A5910%E5%AE%8C%E6%88%90.jpg" TargetMode="External"/><Relationship Id="rId1373" Type="http://schemas.openxmlformats.org/officeDocument/2006/relationships/hyperlink" Target="https://ap12.ragic.com/sims/file.jsp?a=soutlet001&amp;f=kmAfEynv4y%4059616.jpg" TargetMode="External"/><Relationship Id="rId175" Type="http://schemas.openxmlformats.org/officeDocument/2006/relationships/hyperlink" Target="https://ap12.ragic.com/sims/file.jsp?a=soutlet001&amp;f=NLOdLAnpgb%40%E6%9B%B4%E6%8F%9B%E5%BA%95%E7%89%87%E9%87%8D%E6%96%B0%E5%9B%BA%E5%AE%9A%E5%AE%8C%E6%88%90.jpg" TargetMode="External"/><Relationship Id="rId743" Type="http://schemas.openxmlformats.org/officeDocument/2006/relationships/hyperlink" Target="https://ap12.ragic.com/sims/file.jsp?a=soutlet001&amp;f=yVIAbnGfsf%40709%E5%87%BA%E9%A2%A8%E5%8F%A3%E6%B8%AC30%E5%BA%A6%EF%BC%8C%E6%BF%BE%E7%B6%B2%E4%B9%9F%E6%9B%B4%E6%8F%9B%E5%AE%8C%E6%88%90.jpg" TargetMode="External"/><Relationship Id="rId950" Type="http://schemas.openxmlformats.org/officeDocument/2006/relationships/hyperlink" Target="https://ap12.ragic.com/sims/file.jsp?a=soutlet001&amp;f=cI39BkKQsT%40IMG_8405.jpeg" TargetMode="External"/><Relationship Id="rId1026" Type="http://schemas.openxmlformats.org/officeDocument/2006/relationships/hyperlink" Target="https://ap12.ragic.com/sims/file.jsp?a=soutlet001&amp;f=yr532n7Pmh%40IMG_0838.jpeg" TargetMode="External"/><Relationship Id="rId1580" Type="http://schemas.openxmlformats.org/officeDocument/2006/relationships/hyperlink" Target="https://ap12.ragic.com/sims/file.jsp?a=soutlet001&amp;f=aG9n3sOH70%40IMG_6374.jpeg" TargetMode="External"/><Relationship Id="rId1678" Type="http://schemas.openxmlformats.org/officeDocument/2006/relationships/hyperlink" Target="https://ap12.ragic.com/sims/file.jsp?a=soutlet001&amp;f=W0L9B7CcD4%40927.jpg" TargetMode="External"/><Relationship Id="rId1801" Type="http://schemas.openxmlformats.org/officeDocument/2006/relationships/hyperlink" Target="https://ap12.ragic.com/sims/file.jsp?a=soutlet001&amp;f=t2f4s0i3v1%40image.jpg" TargetMode="External"/><Relationship Id="rId382" Type="http://schemas.openxmlformats.org/officeDocument/2006/relationships/hyperlink" Target="https://ap12.ragic.com/sims/file.jsp?a=soutlet001&amp;f=WMsKKxtKuf%4091105.jpg" TargetMode="External"/><Relationship Id="rId603" Type="http://schemas.openxmlformats.org/officeDocument/2006/relationships/hyperlink" Target="https://ap12.ragic.com/sims/file.jsp?a=soutlet001&amp;f=LgdKbfIFUy%4086172.jpg" TargetMode="External"/><Relationship Id="rId687" Type="http://schemas.openxmlformats.org/officeDocument/2006/relationships/hyperlink" Target="https://ap12.ragic.com/sims/file.jsp?a=soutlet001&amp;f=7ZEx4KAskB%40702+%E8%A3%9C%E6%BC%86+ok.jpg" TargetMode="External"/><Relationship Id="rId810" Type="http://schemas.openxmlformats.org/officeDocument/2006/relationships/hyperlink" Target="https://ap12.ragic.com/sims/file.jsp?a=soutlet001&amp;f=bYbvJeuuAo%40A+bar%E7%94%B7%E5%BB%81%E7%AC%AC%E4%BA%8C%E9%96%93%E5%B7%B2%E9%8E%96%E7%B7%8A%E8%99%95%E7%90%86%E5%AE%8C%E6%88%90.jpg" TargetMode="External"/><Relationship Id="rId908" Type="http://schemas.openxmlformats.org/officeDocument/2006/relationships/hyperlink" Target="https://ap12.ragic.com/sims/file.jsp?a=soutlet001&amp;f=HLNgoVcYwm%40IMG_8135.jpeg" TargetMode="External"/><Relationship Id="rId1233" Type="http://schemas.openxmlformats.org/officeDocument/2006/relationships/hyperlink" Target="https://ap12.ragic.com/sims/file.jsp?a=soutlet001&amp;f=zLL6zT2cCU%401000005418.jpg" TargetMode="External"/><Relationship Id="rId1440" Type="http://schemas.openxmlformats.org/officeDocument/2006/relationships/hyperlink" Target="https://ap12.ragic.com/sims/file.jsp?a=soutlet001&amp;f=RyxRq07Z3s%40621%E6%8E%A5%E8%A7%B8%E4%B8%8D%E8%89%AF%E5%B7%B2%E8%AA%BF%E6%95%B4%E5%A5%BD.jpg" TargetMode="External"/><Relationship Id="rId1538" Type="http://schemas.openxmlformats.org/officeDocument/2006/relationships/hyperlink" Target="https://ap12.ragic.com/sims/file.jsp?a=soutlet001&amp;f=pO0tK76949%40216680.jpg" TargetMode="External"/><Relationship Id="rId242" Type="http://schemas.openxmlformats.org/officeDocument/2006/relationships/hyperlink" Target="https://ap12.ragic.com/sims/file.jsp?a=soutlet001&amp;f=5NyrOX8LSd%40920%E8%99%95%E7%90%86%E5%AE%8C%E6%88%90%E3%80%82.jpg" TargetMode="External"/><Relationship Id="rId894" Type="http://schemas.openxmlformats.org/officeDocument/2006/relationships/hyperlink" Target="https://ap12.ragic.com/sims/file.jsp?a=soutlet001&amp;f=UKOEtP0C1s%40IMG_8478.jpeg" TargetMode="External"/><Relationship Id="rId1177" Type="http://schemas.openxmlformats.org/officeDocument/2006/relationships/hyperlink" Target="https://ap12.ragic.com/sims/file.jsp?a=soutlet001&amp;f=w7n82AtlWh%40S__156409882.jpg" TargetMode="External"/><Relationship Id="rId1300" Type="http://schemas.openxmlformats.org/officeDocument/2006/relationships/hyperlink" Target="https://ap12.ragic.com/sims/file.jsp?a=soutlet001&amp;f=05uvBk79n3%40IMG_5387.jpeg" TargetMode="External"/><Relationship Id="rId1745" Type="http://schemas.openxmlformats.org/officeDocument/2006/relationships/hyperlink" Target="https://ap12.ragic.com/sims/file.jsp?a=soutlet001&amp;f=ZHTkRMNSTE%40IMG_5976.jpeg" TargetMode="External"/><Relationship Id="rId37" Type="http://schemas.openxmlformats.org/officeDocument/2006/relationships/hyperlink" Target="https://ap12.ragic.com/sims/file.jsp?a=soutlet001&amp;f=byobNJGO9r%401000009643.jpg" TargetMode="External"/><Relationship Id="rId102" Type="http://schemas.openxmlformats.org/officeDocument/2006/relationships/hyperlink" Target="https://ap12.ragic.com/sims/file.jsp?a=soutlet001&amp;f=PhpEiBjbor%40IMG_0509.jpeg" TargetMode="External"/><Relationship Id="rId547" Type="http://schemas.openxmlformats.org/officeDocument/2006/relationships/hyperlink" Target="https://ap12.ragic.com/sims/file.jsp?a=soutlet001&amp;f=16J8mkDjsK%40IMG_20260122_111613.jpg" TargetMode="External"/><Relationship Id="rId754" Type="http://schemas.openxmlformats.org/officeDocument/2006/relationships/hyperlink" Target="https://ap12.ragic.com/sims/file.jsp?a=soutlet001&amp;f=IdWc3BehMY%401025%E6%AD%A2%E6%B0%B4%E6%A2%9D%E5%B7%B2%E6%9B%B4%E6%96%B0%E5%AE%8C%E6%88%90.jpg" TargetMode="External"/><Relationship Id="rId961" Type="http://schemas.openxmlformats.org/officeDocument/2006/relationships/hyperlink" Target="https://ap12.ragic.com/sims/file.jsp?a=soutlet001&amp;f=icqVWsyOea%40520%E8%AA%BF%E6%95%B4%E5%AE%8C%E6%88%90.jpg" TargetMode="External"/><Relationship Id="rId1384" Type="http://schemas.openxmlformats.org/officeDocument/2006/relationships/hyperlink" Target="https://ap12.ragic.com/sims/file.jsp?a=soutlet001&amp;f=011mti2Odn%40image_A09B3DE7-8734-4373-A6D2-7EDA38E7366E_1759239698_compressed.jpeg" TargetMode="External"/><Relationship Id="rId1591" Type="http://schemas.openxmlformats.org/officeDocument/2006/relationships/hyperlink" Target="https://ap12.ragic.com/sims/file.jsp?a=soutlet001&amp;f=P52edz4ym4%40IMG_6342.jpeg" TargetMode="External"/><Relationship Id="rId1605" Type="http://schemas.openxmlformats.org/officeDocument/2006/relationships/hyperlink" Target="https://ap12.ragic.com/sims/file.jsp?a=soutlet001&amp;f=S3py8TOPs7%40IMG_6224.jpeg" TargetMode="External"/><Relationship Id="rId1689" Type="http://schemas.openxmlformats.org/officeDocument/2006/relationships/hyperlink" Target="https://ap12.ragic.com/sims/file.jsp?a=soutlet001&amp;f=QhC0k414EO%40IMG_6064.jpeg" TargetMode="External"/><Relationship Id="rId1812" Type="http://schemas.openxmlformats.org/officeDocument/2006/relationships/hyperlink" Target="https://ap12.ragic.com/sims/file.jsp?a=soutlet001&amp;f=mi9xPEW9OS%4061351.jpg" TargetMode="External"/><Relationship Id="rId90" Type="http://schemas.openxmlformats.org/officeDocument/2006/relationships/hyperlink" Target="https://ap12.ragic.com/sims/file.jsp?a=soutlet001&amp;f=Ta7hocipAV%40IMG_0359.jpeg" TargetMode="External"/><Relationship Id="rId186" Type="http://schemas.openxmlformats.org/officeDocument/2006/relationships/hyperlink" Target="https://ap12.ragic.com/sims/file.jsp?a=soutlet001&amp;f=wHjV3audMZ%40IMG_0300.jpeg" TargetMode="External"/><Relationship Id="rId393" Type="http://schemas.openxmlformats.org/officeDocument/2006/relationships/hyperlink" Target="https://ap12.ragic.com/sims/file.jsp?a=soutlet001&amp;f=fF71JI2vh5%40801+%E6%B0%B4%E9%BE%8D%E9%A0%AD%E5%B7%B2%E5%9B%BA%E5%AE%9A.jpg" TargetMode="External"/><Relationship Id="rId407" Type="http://schemas.openxmlformats.org/officeDocument/2006/relationships/hyperlink" Target="https://ap12.ragic.com/sims/file.jsp?a=soutlet001&amp;f=hmfSS1JAAg%401000007824.jpg" TargetMode="External"/><Relationship Id="rId614" Type="http://schemas.openxmlformats.org/officeDocument/2006/relationships/hyperlink" Target="https://ap12.ragic.com/sims/file.jsp?a=soutlet001&amp;f=FztWs0ZesF%40701624b8cfdfee020ef7c0b999f1329b.png" TargetMode="External"/><Relationship Id="rId821" Type="http://schemas.openxmlformats.org/officeDocument/2006/relationships/hyperlink" Target="https://ap12.ragic.com/sims/file.jsp?a=soutlet001&amp;f=s68XRDyS15%4080323.jpg" TargetMode="External"/><Relationship Id="rId1037" Type="http://schemas.openxmlformats.org/officeDocument/2006/relationships/hyperlink" Target="https://ap12.ragic.com/sims/file.jsp?a=soutlet001&amp;f=7bMeKN0G3M%40IMG_6906.jpeg" TargetMode="External"/><Relationship Id="rId1244" Type="http://schemas.openxmlformats.org/officeDocument/2006/relationships/hyperlink" Target="https://ap12.ragic.com/sims/file.jsp?a=soutlet001&amp;f=1Ku8ON7mS2%40IMG_7759.jpeg" TargetMode="External"/><Relationship Id="rId1451" Type="http://schemas.openxmlformats.org/officeDocument/2006/relationships/hyperlink" Target="https://ap12.ragic.com/sims/file.jsp?a=soutlet001&amp;f=xIxg0vg655%40IMG_7386.jpeg" TargetMode="External"/><Relationship Id="rId253" Type="http://schemas.openxmlformats.org/officeDocument/2006/relationships/hyperlink" Target="https://ap12.ragic.com/sims/file.jsp?a=soutlet001&amp;f=FchaeoghY4%404cb575abcae8af1cd5b6d703268ac66b.png" TargetMode="External"/><Relationship Id="rId460" Type="http://schemas.openxmlformats.org/officeDocument/2006/relationships/hyperlink" Target="https://ap12.ragic.com/sims/file.jsp?a=soutlet001&amp;f=Ml5S2Zu4z0%40d640f99002a7bbc4ae950130c918d053.png" TargetMode="External"/><Relationship Id="rId698" Type="http://schemas.openxmlformats.org/officeDocument/2006/relationships/hyperlink" Target="https://ap12.ragic.com/sims/file.jsp?a=soutlet001&amp;f=CFBOHNfU9Q%40S__54165550.jpg" TargetMode="External"/><Relationship Id="rId919" Type="http://schemas.openxmlformats.org/officeDocument/2006/relationships/hyperlink" Target="https://ap12.ragic.com/sims/file.jsp?a=soutlet001&amp;f=yuHRyHV9w9%40IMG_8005.jpeg" TargetMode="External"/><Relationship Id="rId1090" Type="http://schemas.openxmlformats.org/officeDocument/2006/relationships/hyperlink" Target="https://ap12.ragic.com/sims/file.jsp?a=soutlet001&amp;f=9wsmqMiap8%40IMG_9191.jpeg" TargetMode="External"/><Relationship Id="rId1104" Type="http://schemas.openxmlformats.org/officeDocument/2006/relationships/hyperlink" Target="https://ap12.ragic.com/sims/file.jsp?a=soutlet001&amp;f=9I0z8K6ya3%40S__43982863.jpg" TargetMode="External"/><Relationship Id="rId1311" Type="http://schemas.openxmlformats.org/officeDocument/2006/relationships/hyperlink" Target="https://ap12.ragic.com/sims/file.jsp?a=soutlet001&amp;f=w1GH496w9D%40IMG_5373.jpeg" TargetMode="External"/><Relationship Id="rId1549" Type="http://schemas.openxmlformats.org/officeDocument/2006/relationships/hyperlink" Target="https://ap12.ragic.com/sims/file.jsp?a=soutlet001&amp;f=DKnG0MlkIC%40S__4268062.jpg" TargetMode="External"/><Relationship Id="rId1756" Type="http://schemas.openxmlformats.org/officeDocument/2006/relationships/hyperlink" Target="https://ap12.ragic.com/sims/file.jsp?a=soutlet001&amp;f=5F1FkkDF4h%4062666.jpg" TargetMode="External"/><Relationship Id="rId48" Type="http://schemas.openxmlformats.org/officeDocument/2006/relationships/hyperlink" Target="https://ap12.ragic.com/sims/file.jsp?a=soutlet001&amp;f=CmVlHElXUr%40IMG_1035.jpeg" TargetMode="External"/><Relationship Id="rId113" Type="http://schemas.openxmlformats.org/officeDocument/2006/relationships/hyperlink" Target="https://ap12.ragic.com/sims/file.jsp?a=soutlet001&amp;f=PzQaomnPg6%401000008658.jpg" TargetMode="External"/><Relationship Id="rId320" Type="http://schemas.openxmlformats.org/officeDocument/2006/relationships/hyperlink" Target="https://ap12.ragic.com/sims/file.jsp?a=soutlet001&amp;f=v7A1ViUyFj%40128fc1b74afdf5f528c1c2e58636ed6e.png" TargetMode="External"/><Relationship Id="rId558" Type="http://schemas.openxmlformats.org/officeDocument/2006/relationships/hyperlink" Target="https://ap12.ragic.com/sims/file.jsp?a=soutlet001&amp;f=hhj5Frgrb1%4086692.jpg" TargetMode="External"/><Relationship Id="rId765" Type="http://schemas.openxmlformats.org/officeDocument/2006/relationships/hyperlink" Target="https://ap12.ragic.com/sims/file.jsp?a=soutlet001&amp;f=VrfhDFPYeY%40IMG_9500.jpeg" TargetMode="External"/><Relationship Id="rId972" Type="http://schemas.openxmlformats.org/officeDocument/2006/relationships/hyperlink" Target="https://ap12.ragic.com/sims/file.jsp?a=soutlet001&amp;f=VOspQ0NCkD%4026574.jpg" TargetMode="External"/><Relationship Id="rId1188" Type="http://schemas.openxmlformats.org/officeDocument/2006/relationships/hyperlink" Target="https://ap12.ragic.com/sims/file.jsp?a=soutlet001&amp;f=op23I1LC04%40IMG_5836.jpeg" TargetMode="External"/><Relationship Id="rId1395" Type="http://schemas.openxmlformats.org/officeDocument/2006/relationships/hyperlink" Target="https://ap12.ragic.com/sims/file.jsp?a=soutlet001&amp;f=oeHBG8J3Ob%40IMG_7493.jpeg" TargetMode="External"/><Relationship Id="rId1409" Type="http://schemas.openxmlformats.org/officeDocument/2006/relationships/hyperlink" Target="https://ap12.ragic.com/sims/file.jsp?a=soutlet001&amp;f=ueA1JsPrRo%40image_3D3C00A3-4622-4513-85AA-F978E67A63B0_1759116819_compressed.jpeg" TargetMode="External"/><Relationship Id="rId1616" Type="http://schemas.openxmlformats.org/officeDocument/2006/relationships/hyperlink" Target="https://ap12.ragic.com/sims/file.jsp?a=soutlet001&amp;f=O3c33zAa1o%40IMG_6212.jpeg" TargetMode="External"/><Relationship Id="rId1823" Type="http://schemas.openxmlformats.org/officeDocument/2006/relationships/hyperlink" Target="https://ap12.ragic.com/sims/file.jsp?a=soutlet001&amp;f=tu17WYJRYB%40S__4145308.jpg" TargetMode="External"/><Relationship Id="rId197" Type="http://schemas.openxmlformats.org/officeDocument/2006/relationships/hyperlink" Target="https://ap12.ragic.com/sims/file.jsp?a=soutlet001&amp;f=VXvh190zEy%401000008213.jpg" TargetMode="External"/><Relationship Id="rId418" Type="http://schemas.openxmlformats.org/officeDocument/2006/relationships/hyperlink" Target="https://ap12.ragic.com/sims/file.jsp?a=soutlet001&amp;f=UOGOFcipKU%4033a27c097213a22560fc5cae4aa8d901.png" TargetMode="External"/><Relationship Id="rId625" Type="http://schemas.openxmlformats.org/officeDocument/2006/relationships/hyperlink" Target="https://ap12.ragic.com/sims/file.jsp?a=soutlet001&amp;f=FnTxCCHRMQ%40fe806036a6e447da69257cda297a88be.png" TargetMode="External"/><Relationship Id="rId832" Type="http://schemas.openxmlformats.org/officeDocument/2006/relationships/hyperlink" Target="https://ap12.ragic.com/sims/file.jsp?a=soutlet001&amp;f=UWhAeasAB3%401000006544.jpg" TargetMode="External"/><Relationship Id="rId1048" Type="http://schemas.openxmlformats.org/officeDocument/2006/relationships/hyperlink" Target="https://ap12.ragic.com/sims/file.jsp?a=soutlet001&amp;f=FjA4v5dFmZ%40IMG_8200.jpeg" TargetMode="External"/><Relationship Id="rId1255" Type="http://schemas.openxmlformats.org/officeDocument/2006/relationships/hyperlink" Target="https://ap12.ragic.com/sims/file.jsp?a=soutlet001&amp;f=2s6iR182iO%40S__5841151.jpg" TargetMode="External"/><Relationship Id="rId1462" Type="http://schemas.openxmlformats.org/officeDocument/2006/relationships/hyperlink" Target="https://ap12.ragic.com/sims/file.jsp?a=soutlet001&amp;f=H1hjwXIu2e%40image_78616FD3-DE9F-4482-8D7C-F2DEE875B0C3_1764933242_compressed.jpeg" TargetMode="External"/><Relationship Id="rId264" Type="http://schemas.openxmlformats.org/officeDocument/2006/relationships/hyperlink" Target="https://ap12.ragic.com/sims/file.jsp?a=soutlet001&amp;f=YEQNzrM1OA%405516e58cc99c1233c3757e6d31cdefa4.png" TargetMode="External"/><Relationship Id="rId471" Type="http://schemas.openxmlformats.org/officeDocument/2006/relationships/hyperlink" Target="https://ap12.ragic.com/sims/file.jsp?a=soutlet001&amp;f=kbDyyHGdgf%40IMG_0108.jpeg" TargetMode="External"/><Relationship Id="rId1115" Type="http://schemas.openxmlformats.org/officeDocument/2006/relationships/hyperlink" Target="https://ap12.ragic.com/sims/file.jsp?a=soutlet001&amp;f=828OTW25IY%40%E4%BA%8C%E5%8F%B0%E5%AE%A2%E6%A2%AF%E9%83%BD%E6%93%A6%E6%8B%AD%E5%AE%8C%E6%88%90.jpg" TargetMode="External"/><Relationship Id="rId1322" Type="http://schemas.openxmlformats.org/officeDocument/2006/relationships/hyperlink" Target="https://ap12.ragic.com/sims/file.jsp?a=soutlet001&amp;f=os1oC9T89P%4070530.jpg" TargetMode="External"/><Relationship Id="rId1767" Type="http://schemas.openxmlformats.org/officeDocument/2006/relationships/hyperlink" Target="https://ap12.ragic.com/sims/file.jsp?a=soutlet001&amp;f=NSM2RMHuCb%401000003269.jpg" TargetMode="External"/><Relationship Id="rId59" Type="http://schemas.openxmlformats.org/officeDocument/2006/relationships/hyperlink" Target="https://ap12.ragic.com/sims/file.jsp?a=soutlet001&amp;f=K4x3mdykWX%40IMG_1964.jpeg" TargetMode="External"/><Relationship Id="rId124" Type="http://schemas.openxmlformats.org/officeDocument/2006/relationships/hyperlink" Target="https://ap12.ragic.com/sims/file.jsp?a=soutlet001&amp;f=2LpMcv608W%40IMG_2557.jpeg" TargetMode="External"/><Relationship Id="rId569" Type="http://schemas.openxmlformats.org/officeDocument/2006/relationships/hyperlink" Target="https://ap12.ragic.com/sims/file.jsp?a=soutlet001&amp;f=sZTs3lfwf0%402d8fa1e85320ab71dcaa8907e00d0928.png" TargetMode="External"/><Relationship Id="rId776" Type="http://schemas.openxmlformats.org/officeDocument/2006/relationships/hyperlink" Target="https://ap12.ragic.com/sims/file.jsp?a=soutlet001&amp;f=oRG5FZkjIh%401766372877938.jpg" TargetMode="External"/><Relationship Id="rId983" Type="http://schemas.openxmlformats.org/officeDocument/2006/relationships/hyperlink" Target="https://ap12.ragic.com/sims/file.jsp?a=soutlet001&amp;f=R50TAWekdX%40IMG_8343.jpeg" TargetMode="External"/><Relationship Id="rId1199" Type="http://schemas.openxmlformats.org/officeDocument/2006/relationships/hyperlink" Target="https://ap12.ragic.com/sims/file.jsp?a=soutlet001&amp;f=l9EU9jp2T5%40S__28770312.jpg" TargetMode="External"/><Relationship Id="rId1627" Type="http://schemas.openxmlformats.org/officeDocument/2006/relationships/hyperlink" Target="https://ap12.ragic.com/sims/file.jsp?a=soutlet001&amp;f=WempGY0g9l%40IMG_3535.jpeg" TargetMode="External"/><Relationship Id="rId1834" Type="http://schemas.openxmlformats.org/officeDocument/2006/relationships/hyperlink" Target="https://ap12.ragic.com/sims/file.jsp?a=soutlet001&amp;f=6NFMj46ZSP%401000008206.jpg" TargetMode="External"/><Relationship Id="rId331" Type="http://schemas.openxmlformats.org/officeDocument/2006/relationships/hyperlink" Target="https://ap12.ragic.com/sims/file.jsp?a=soutlet001&amp;f=ESjG104gGT%40IMG_0176.jpeg" TargetMode="External"/><Relationship Id="rId429" Type="http://schemas.openxmlformats.org/officeDocument/2006/relationships/hyperlink" Target="https://ap12.ragic.com/sims/file.jsp?a=soutlet001&amp;f=BGU0gUE0xx%40721+%E6%B5%B4%E5%AE%A4%E9%96%80%E5%B7%B2%E4%BF%AE%E5%BE%A9.jpg" TargetMode="External"/><Relationship Id="rId636" Type="http://schemas.openxmlformats.org/officeDocument/2006/relationships/hyperlink" Target="https://ap12.ragic.com/sims/file.jsp?a=soutlet001&amp;f=F3AR8aDPKU%401016%E6%B4%97%E6%89%8B%E5%8F%B0%E4%B8%8A%E6%96%B9%E7%87%88%E6%B3%A1%E6%9B%B4%E6%96%B0%E5%AE%8C%E6%88%90.jpg" TargetMode="External"/><Relationship Id="rId1059" Type="http://schemas.openxmlformats.org/officeDocument/2006/relationships/hyperlink" Target="https://ap12.ragic.com/sims/file.jsp?a=soutlet001&amp;f=wO0dW4pyrE%40IMG_8194.jpeg" TargetMode="External"/><Relationship Id="rId1266" Type="http://schemas.openxmlformats.org/officeDocument/2006/relationships/hyperlink" Target="https://ap12.ragic.com/sims/file.jsp?a=soutlet001&amp;f=GF2o0GdGcm%40S__7241757_0%281%29.jpg" TargetMode="External"/><Relationship Id="rId1473" Type="http://schemas.openxmlformats.org/officeDocument/2006/relationships/hyperlink" Target="https://ap12.ragic.com/sims/file.jsp?a=soutlet001&amp;f=8V3O30Ns8m%401000006717.jpg" TargetMode="External"/><Relationship Id="rId843" Type="http://schemas.openxmlformats.org/officeDocument/2006/relationships/hyperlink" Target="https://ap12.ragic.com/sims/file.jsp?a=soutlet001&amp;f=NqgoBGYG7E%4079692.jpg" TargetMode="External"/><Relationship Id="rId1126" Type="http://schemas.openxmlformats.org/officeDocument/2006/relationships/hyperlink" Target="https://ap12.ragic.com/sims/file.jsp?a=soutlet001&amp;f=56JVW3Ogfd%40809%E6%B5%B4%E7%B0%BE%E5%B7%B2%E4%BF%AE%E5%BE%A9%E5%AE%8C%E6%88%90.jpg" TargetMode="External"/><Relationship Id="rId1680" Type="http://schemas.openxmlformats.org/officeDocument/2006/relationships/hyperlink" Target="https://ap12.ragic.com/sims/file.jsp?a=soutlet001&amp;f=2SLB956bw9%40IMG_6097.jpeg" TargetMode="External"/><Relationship Id="rId1778" Type="http://schemas.openxmlformats.org/officeDocument/2006/relationships/hyperlink" Target="https://ap12.ragic.com/sims/file.jsp?a=soutlet001&amp;f=vXPuCAZsGi%40image.jpg" TargetMode="External"/><Relationship Id="rId275" Type="http://schemas.openxmlformats.org/officeDocument/2006/relationships/hyperlink" Target="https://ap12.ragic.com/sims/file.jsp?a=soutlet001&amp;f=m1Hi3RYswI%400ff7412fe04965b484090a30a51a5e7d.png" TargetMode="External"/><Relationship Id="rId482" Type="http://schemas.openxmlformats.org/officeDocument/2006/relationships/hyperlink" Target="https://ap12.ragic.com/sims/file.jsp?a=soutlet001&amp;f=UUe9s11cRR%401000007642.jpg" TargetMode="External"/><Relationship Id="rId703" Type="http://schemas.openxmlformats.org/officeDocument/2006/relationships/hyperlink" Target="https://ap12.ragic.com/sims/file.jsp?a=soutlet001&amp;f=QtX6T922Wr%40IMG_9599.jpeg" TargetMode="External"/><Relationship Id="rId910" Type="http://schemas.openxmlformats.org/officeDocument/2006/relationships/hyperlink" Target="https://ap12.ragic.com/sims/file.jsp?a=soutlet001&amp;f=O5c61JSd0J%40603%E5%A2%8A%E7%89%87%E5%B7%B2%E6%8B%86%E9%99%A4.jpg" TargetMode="External"/><Relationship Id="rId1333" Type="http://schemas.openxmlformats.org/officeDocument/2006/relationships/hyperlink" Target="https://ap12.ragic.com/sims/file.jsp?a=soutlet001&amp;f=3AY3m0uU40%40IMG_5325.jpeg" TargetMode="External"/><Relationship Id="rId1540" Type="http://schemas.openxmlformats.org/officeDocument/2006/relationships/hyperlink" Target="https://ap12.ragic.com/sims/file.jsp?a=soutlet001&amp;f=0r1OrQ1Wo3%40IMG_6495.jpeg" TargetMode="External"/><Relationship Id="rId1638" Type="http://schemas.openxmlformats.org/officeDocument/2006/relationships/hyperlink" Target="https://ap12.ragic.com/sims/file.jsp?a=soutlet001&amp;f=80z8t8rLw4%40IMG_6151.jpeg" TargetMode="External"/><Relationship Id="rId135" Type="http://schemas.openxmlformats.org/officeDocument/2006/relationships/hyperlink" Target="https://ap12.ragic.com/sims/file.jsp?a=soutlet001&amp;f=30vHwbptlU%40IMG_0455.jpeg" TargetMode="External"/><Relationship Id="rId342" Type="http://schemas.openxmlformats.org/officeDocument/2006/relationships/hyperlink" Target="https://ap12.ragic.com/sims/file.jsp?a=soutlet001&amp;f=xzXVlDJRHr%40IMG_1973.jpeg" TargetMode="External"/><Relationship Id="rId787" Type="http://schemas.openxmlformats.org/officeDocument/2006/relationships/hyperlink" Target="https://ap12.ragic.com/sims/file.jsp?a=soutlet001&amp;f=7NDquX0o73%40619%E6%B5%B4%E7%BC%B8%E6%97%8B%E6%89%AD%E5%9B%BA%E5%AE%9A%E5%AE%8C%E6%88%90.jpg" TargetMode="External"/><Relationship Id="rId994" Type="http://schemas.openxmlformats.org/officeDocument/2006/relationships/hyperlink" Target="https://ap12.ragic.com/sims/file.jsp?a=soutlet001&amp;f=APyJGGKcbe%40IMG_8329.jpeg" TargetMode="External"/><Relationship Id="rId1400" Type="http://schemas.openxmlformats.org/officeDocument/2006/relationships/hyperlink" Target="https://ap12.ragic.com/sims/file.jsp?a=soutlet001&amp;f=bPm39Vplez%40image_35CE3905-3847-4F20-8402-3E92084B7E72_1759115996_compressed.jpeg" TargetMode="External"/><Relationship Id="rId202" Type="http://schemas.openxmlformats.org/officeDocument/2006/relationships/hyperlink" Target="https://ap12.ragic.com/sims/file.jsp?a=soutlet001&amp;f=2vL3lmOoWb%40IMG_0289.jpeg" TargetMode="External"/><Relationship Id="rId647" Type="http://schemas.openxmlformats.org/officeDocument/2006/relationships/hyperlink" Target="https://ap12.ragic.com/sims/file.jsp?a=soutlet001&amp;f=HYjxveZyLr%401000007054.jpg" TargetMode="External"/><Relationship Id="rId854" Type="http://schemas.openxmlformats.org/officeDocument/2006/relationships/hyperlink" Target="https://ap12.ragic.com/sims/file.jsp?a=soutlet001&amp;f=PGvJrPgjM7%40IMG_8547.jpeg" TargetMode="External"/><Relationship Id="rId1277" Type="http://schemas.openxmlformats.org/officeDocument/2006/relationships/hyperlink" Target="https://ap12.ragic.com/sims/file.jsp?a=soutlet001&amp;f=i3v0HJs171%40IMG_5433.jpeg" TargetMode="External"/><Relationship Id="rId1484" Type="http://schemas.openxmlformats.org/officeDocument/2006/relationships/hyperlink" Target="https://ap12.ragic.com/sims/file.jsp?a=soutlet001&amp;f=SX27t870Ed%40IMG_7347.jpeg" TargetMode="External"/><Relationship Id="rId1691" Type="http://schemas.openxmlformats.org/officeDocument/2006/relationships/hyperlink" Target="https://ap12.ragic.com/sims/file.jsp?a=soutlet001&amp;f=YGRHgo1A6u%40S__8937526.jpg" TargetMode="External"/><Relationship Id="rId1705" Type="http://schemas.openxmlformats.org/officeDocument/2006/relationships/hyperlink" Target="https://ap12.ragic.com/sims/file.jsp?a=soutlet001&amp;f=090LV1gupW%40IMG_3227.jpeg" TargetMode="External"/><Relationship Id="rId286" Type="http://schemas.openxmlformats.org/officeDocument/2006/relationships/hyperlink" Target="https://ap12.ragic.com/sims/file.jsp?a=soutlet001&amp;f=9ByS4W5SCF%40de35cd07c470a30d61aef5f175c3d11e.png" TargetMode="External"/><Relationship Id="rId493" Type="http://schemas.openxmlformats.org/officeDocument/2006/relationships/hyperlink" Target="https://ap12.ragic.com/sims/file.jsp?a=soutlet001&amp;f=9auVaeiC6Z%40IMG_1696+%281%29.jpeg" TargetMode="External"/><Relationship Id="rId507" Type="http://schemas.openxmlformats.org/officeDocument/2006/relationships/hyperlink" Target="https://ap12.ragic.com/sims/file.jsp?a=soutlet001&amp;f=zWodYwIjdr%40727%E7%9B%A5%E6%B4%97%E7%94%A8%E5%93%81%E6%9E%B6%E5%B7%B2%E6%9B%B4%E6%96%B0%E5%AE%8C%E6%88%90.jpg" TargetMode="External"/><Relationship Id="rId714" Type="http://schemas.openxmlformats.org/officeDocument/2006/relationships/hyperlink" Target="https://ap12.ragic.com/sims/file.jsp?a=soutlet001&amp;f=mnRi9NchWX%40IMG_9584.jpeg" TargetMode="External"/><Relationship Id="rId921" Type="http://schemas.openxmlformats.org/officeDocument/2006/relationships/hyperlink" Target="https://ap12.ragic.com/sims/file.jsp?a=soutlet001&amp;f=BqtNOS8zLC%40IMG_7938.jpeg" TargetMode="External"/><Relationship Id="rId1137" Type="http://schemas.openxmlformats.org/officeDocument/2006/relationships/hyperlink" Target="https://ap12.ragic.com/sims/file.jsp?a=soutlet001&amp;f=255IQfpy8V%40IMG_7914.jpeg" TargetMode="External"/><Relationship Id="rId1344" Type="http://schemas.openxmlformats.org/officeDocument/2006/relationships/hyperlink" Target="https://ap12.ragic.com/sims/file.jsp?a=soutlet001&amp;f=AUqIkJQ5b8%40%E4%BA%94%E6%A8%93%E6%A2%AF%E5%8F%A3%E7%87%88%E6%9B%B4%E6%96%B0%E5%AE%8C%E6%88%90.jpg" TargetMode="External"/><Relationship Id="rId1551" Type="http://schemas.openxmlformats.org/officeDocument/2006/relationships/hyperlink" Target="https://ap12.ragic.com/sims/file.jsp?a=soutlet001&amp;f=014CE1o4A9%40917%E9%9B%BB%E6%B1%A0%E6%9B%B4%E6%8F%9B%E5%AE%8C%E6%88%90.jpg" TargetMode="External"/><Relationship Id="rId1789" Type="http://schemas.openxmlformats.org/officeDocument/2006/relationships/hyperlink" Target="https://ap12.ragic.com/sims/file.jsp?a=soutlet001&amp;f=0bMKR0O8Wg%40IMG_5929.jpeg" TargetMode="External"/><Relationship Id="rId50" Type="http://schemas.openxmlformats.org/officeDocument/2006/relationships/hyperlink" Target="https://ap12.ragic.com/sims/file.jsp?a=soutlet001&amp;f=KLnoU5fWkp%40IMG_0697.jpeg" TargetMode="External"/><Relationship Id="rId146" Type="http://schemas.openxmlformats.org/officeDocument/2006/relationships/hyperlink" Target="https://ap12.ragic.com/sims/file.jsp?a=soutlet001&amp;f=cdOxpvfzvO%40921%E6%93%8B%E7%89%87ok.jpg" TargetMode="External"/><Relationship Id="rId353" Type="http://schemas.openxmlformats.org/officeDocument/2006/relationships/hyperlink" Target="https://ap12.ragic.com/sims/file.jsp?a=soutlet001&amp;f=6OUNHHLctg%401000007987.jpg" TargetMode="External"/><Relationship Id="rId560" Type="http://schemas.openxmlformats.org/officeDocument/2006/relationships/hyperlink" Target="https://ap12.ragic.com/sims/file.jsp?a=soutlet001&amp;f=70oCAS5cdR%40619%E9%9B%BB%E8%A9%B1%E7%B7%9A%E8%84%AB%E8%90%BD%EF%BC%8C%E5%B7%B2%E6%8F%92%E4%B8%8A%E6%AD%A3%E5%B8%B8%EF%BC%81%E5%AE%8C%E6%88%90.jpg" TargetMode="External"/><Relationship Id="rId798" Type="http://schemas.openxmlformats.org/officeDocument/2006/relationships/hyperlink" Target="https://ap12.ragic.com/sims/file.jsp?a=soutlet001&amp;f=0uzJyIIy3q%40703%E8%B2%93%E7%9C%BC%E4%BF%AE%E5%BE%A9%E5%AE%8C%E6%88%90.jpg" TargetMode="External"/><Relationship Id="rId1190" Type="http://schemas.openxmlformats.org/officeDocument/2006/relationships/hyperlink" Target="https://ap12.ragic.com/sims/file.jsp?a=soutlet001&amp;f=N09phbxJO7%401000005552.jpg" TargetMode="External"/><Relationship Id="rId1204" Type="http://schemas.openxmlformats.org/officeDocument/2006/relationships/hyperlink" Target="https://ap12.ragic.com/sims/file.jsp?a=soutlet001&amp;f=myEA9O961L%40IMG_7803.jpeg" TargetMode="External"/><Relationship Id="rId1411" Type="http://schemas.openxmlformats.org/officeDocument/2006/relationships/hyperlink" Target="https://ap12.ragic.com/sims/file.jsp?a=soutlet001&amp;f=0H97oah0U3%4057451.jpg" TargetMode="External"/><Relationship Id="rId1649" Type="http://schemas.openxmlformats.org/officeDocument/2006/relationships/hyperlink" Target="https://ap12.ragic.com/sims/file.jsp?a=soutlet001&amp;f=fOqK1i4JvJ%40image_D69CE241-5202-4EB0-BBB5-D344E7826C2F_1756452552_compressed.jpeg" TargetMode="External"/><Relationship Id="rId213" Type="http://schemas.openxmlformats.org/officeDocument/2006/relationships/hyperlink" Target="https://ap12.ragic.com/sims/file.jsp?a=soutlet001&amp;f=cg48UHF815%40IMG_2118.jpeg" TargetMode="External"/><Relationship Id="rId420" Type="http://schemas.openxmlformats.org/officeDocument/2006/relationships/hyperlink" Target="https://ap12.ragic.com/sims/file.jsp?a=soutlet001&amp;f=GArVhN8eJL%40ec2ec51912e7627d40e837f16715889f.png" TargetMode="External"/><Relationship Id="rId658" Type="http://schemas.openxmlformats.org/officeDocument/2006/relationships/hyperlink" Target="https://ap12.ragic.com/sims/file.jsp?a=soutlet001&amp;f=dFeMrsNW15%4046c82cec91f23df6d3fb34687746ae65.png" TargetMode="External"/><Relationship Id="rId865" Type="http://schemas.openxmlformats.org/officeDocument/2006/relationships/hyperlink" Target="https://ap12.ragic.com/sims/file.jsp?a=soutlet001&amp;f=D6mZcOyFoE%401000006451.jpg" TargetMode="External"/><Relationship Id="rId1050" Type="http://schemas.openxmlformats.org/officeDocument/2006/relationships/hyperlink" Target="https://ap12.ragic.com/sims/file.jsp?a=soutlet001&amp;f=7stINh8VwO%40526%E5%AE%89%E8%A3%9D%E5%AE%8C%E6%88%90%E3%80%82.jpg" TargetMode="External"/><Relationship Id="rId1288" Type="http://schemas.openxmlformats.org/officeDocument/2006/relationships/hyperlink" Target="https://ap12.ragic.com/sims/file.jsp?a=soutlet001&amp;f=cGr8gxU9Kk%40IMG_7685.jpeg" TargetMode="External"/><Relationship Id="rId1495" Type="http://schemas.openxmlformats.org/officeDocument/2006/relationships/hyperlink" Target="https://ap12.ragic.com/sims/file.jsp?a=soutlet001&amp;f=WMqGDncku1%4091F12AA4-A97B-4642-B442-A688025A1831.jpg" TargetMode="External"/><Relationship Id="rId1509" Type="http://schemas.openxmlformats.org/officeDocument/2006/relationships/hyperlink" Target="https://ap12.ragic.com/sims/file.jsp?a=soutlet001&amp;f=EW7EHYxk2Z%4067210_0.jpg" TargetMode="External"/><Relationship Id="rId1716" Type="http://schemas.openxmlformats.org/officeDocument/2006/relationships/hyperlink" Target="https://ap12.ragic.com/sims/file.jsp?a=soutlet001&amp;f=JXS56fdb85%4063209.jpg" TargetMode="External"/><Relationship Id="rId297" Type="http://schemas.openxmlformats.org/officeDocument/2006/relationships/hyperlink" Target="https://ap12.ragic.com/sims/file.jsp?a=soutlet001&amp;f=VByqMC19wS%400d260c88521b3234f03ec8415a4b8f9c.png" TargetMode="External"/><Relationship Id="rId518" Type="http://schemas.openxmlformats.org/officeDocument/2006/relationships/hyperlink" Target="https://ap12.ragic.com/sims/file.jsp?a=soutlet001&amp;f=UvUkDIqaQG%401000007531.jpg" TargetMode="External"/><Relationship Id="rId725" Type="http://schemas.openxmlformats.org/officeDocument/2006/relationships/hyperlink" Target="https://ap12.ragic.com/sims/file.jsp?a=soutlet001&amp;f=eo99NzTkv6%401766989900387.jpg" TargetMode="External"/><Relationship Id="rId932" Type="http://schemas.openxmlformats.org/officeDocument/2006/relationships/hyperlink" Target="https://ap12.ragic.com/sims/file.jsp?a=soutlet001&amp;f=82h4HISXQt%40IMG_8429.jpeg" TargetMode="External"/><Relationship Id="rId1148" Type="http://schemas.openxmlformats.org/officeDocument/2006/relationships/hyperlink" Target="https://ap12.ragic.com/sims/file.jsp?a=soutlet001&amp;f=Yp1B5qr84q%4073228.jpg" TargetMode="External"/><Relationship Id="rId1355" Type="http://schemas.openxmlformats.org/officeDocument/2006/relationships/hyperlink" Target="https://ap12.ragic.com/sims/file.jsp?a=soutlet001&amp;f=8se3kc14E7%40IMG_5029.jpeg" TargetMode="External"/><Relationship Id="rId1562" Type="http://schemas.openxmlformats.org/officeDocument/2006/relationships/hyperlink" Target="https://ap12.ragic.com/sims/file.jsp?a=soutlet001&amp;f=DDZY7O5E09%40216592.jpg" TargetMode="External"/><Relationship Id="rId157" Type="http://schemas.openxmlformats.org/officeDocument/2006/relationships/hyperlink" Target="https://ap12.ragic.com/sims/file.jsp?a=soutlet001&amp;f=xXDpur2i5s%401000008407.jpg" TargetMode="External"/><Relationship Id="rId364" Type="http://schemas.openxmlformats.org/officeDocument/2006/relationships/hyperlink" Target="https://ap12.ragic.com/sims/file.jsp?a=soutlet001&amp;f=QqbD2sq61i%401000007975.jpg" TargetMode="External"/><Relationship Id="rId1008" Type="http://schemas.openxmlformats.org/officeDocument/2006/relationships/hyperlink" Target="https://ap12.ragic.com/sims/file.jsp?a=soutlet001&amp;f=6YL11NPnlX%40IMG_7192.jpeg" TargetMode="External"/><Relationship Id="rId1215" Type="http://schemas.openxmlformats.org/officeDocument/2006/relationships/hyperlink" Target="https://ap12.ragic.com/sims/file.jsp?a=soutlet001&amp;f=tzt6630BKS%40616%E9%BB%83%E8%89%B2%E6%AB%83%E5%AD%90%E8%A6%81%E8%B2%BC%E7%9A%AE%E3%80%81%E9%98%B2%E6%92%9E%E5%A2%8A.jpg" TargetMode="External"/><Relationship Id="rId1422" Type="http://schemas.openxmlformats.org/officeDocument/2006/relationships/hyperlink" Target="https://ap12.ragic.com/sims/file.jsp?a=soutlet001&amp;f=AmNn63V5PO%40image_0F8C3BEE-8E1D-4242-8D66-516C45CDE1EF_1759133295_compressed.jpeg" TargetMode="External"/><Relationship Id="rId61" Type="http://schemas.openxmlformats.org/officeDocument/2006/relationships/hyperlink" Target="https://ap12.ragic.com/sims/file.jsp?a=soutlet001&amp;f=LriXLZ5ONn%401000009508.jpg" TargetMode="External"/><Relationship Id="rId571" Type="http://schemas.openxmlformats.org/officeDocument/2006/relationships/hyperlink" Target="https://ap12.ragic.com/sims/file.jsp?a=soutlet001&amp;f=nGzTsn4shR%40b2f7a20c0bb56fc835fde074912407c4.png" TargetMode="External"/><Relationship Id="rId669" Type="http://schemas.openxmlformats.org/officeDocument/2006/relationships/hyperlink" Target="https://ap12.ragic.com/sims/file.jsp?a=soutlet001&amp;f=DgZid88smV%40931%E9%96%80%E6%93%8B%E9%90%B5%E7%89%87%E5%B7%B2%E8%A3%9D%E4%B8%8A%EF%BC%8C%E6%9C%AA%E4%B9%BE%EF%BC%8C%E8%AB%8B%E4%BA%8C%E5%B0%8F%E6%99%82%E5%BE%8C%E5%86%8D%E6%94%BE%E6%88%BF.jpg" TargetMode="External"/><Relationship Id="rId876" Type="http://schemas.openxmlformats.org/officeDocument/2006/relationships/hyperlink" Target="https://ap12.ragic.com/sims/file.jsp?a=soutlet001&amp;f=OAdDsJjGBZ%40525%E8%99%95%E7%90%86%E5%AE%8C%E6%88%90.jpg" TargetMode="External"/><Relationship Id="rId1299" Type="http://schemas.openxmlformats.org/officeDocument/2006/relationships/hyperlink" Target="https://ap12.ragic.com/sims/file.jsp?a=soutlet001&amp;f=g0UBUbyDW1%40930%E7%9B%A5%E6%B4%97%E7%94%A8%E5%93%81%E6%9E%B6%E5%B7%B2%E6%9B%B4%E6%96%B0%E5%AE%8C%E6%88%90.jpg" TargetMode="External"/><Relationship Id="rId1727" Type="http://schemas.openxmlformats.org/officeDocument/2006/relationships/hyperlink" Target="https://ap12.ragic.com/sims/file.jsp?a=soutlet001&amp;f=ASPBk1Zi69%40IMG_3147.jpeg" TargetMode="External"/><Relationship Id="rId19" Type="http://schemas.openxmlformats.org/officeDocument/2006/relationships/hyperlink" Target="https://ap12.ragic.com/sims/file.jsp?a=soutlet001&amp;f=URYDNsgP33%40IMG_1482.jpeg" TargetMode="External"/><Relationship Id="rId224" Type="http://schemas.openxmlformats.org/officeDocument/2006/relationships/hyperlink" Target="https://ap12.ragic.com/sims/file.jsp?a=soutlet001&amp;f=UcNn37E1ap%401000008167.jpg" TargetMode="External"/><Relationship Id="rId431" Type="http://schemas.openxmlformats.org/officeDocument/2006/relationships/hyperlink" Target="https://ap12.ragic.com/sims/file.jsp?a=soutlet001&amp;f=V3CdA1MnUt%40IMG_9924.jpeg" TargetMode="External"/><Relationship Id="rId529" Type="http://schemas.openxmlformats.org/officeDocument/2006/relationships/hyperlink" Target="https://ap12.ragic.com/sims/file.jsp?a=soutlet001&amp;f=6hqwS0c17N%401000007491.jpg" TargetMode="External"/><Relationship Id="rId736" Type="http://schemas.openxmlformats.org/officeDocument/2006/relationships/hyperlink" Target="https://ap12.ragic.com/sims/file.jsp?a=soutlet001&amp;f=R5NM6LbSTQ%40523+%E5%B7%B2%E4%BF%AE%E5%BE%A9.jpg" TargetMode="External"/><Relationship Id="rId1061" Type="http://schemas.openxmlformats.org/officeDocument/2006/relationships/hyperlink" Target="https://ap12.ragic.com/sims/file.jsp?a=soutlet001&amp;f=k3lRwn1d46%40IMG_8193.jpeg" TargetMode="External"/><Relationship Id="rId1159" Type="http://schemas.openxmlformats.org/officeDocument/2006/relationships/hyperlink" Target="https://ap12.ragic.com/sims/file.jsp?a=soutlet001&amp;f=s0NXfDA164%40image_3CA937BD-8809-4765-88DA-CC9643152142_1761123929_compressed.jpeg" TargetMode="External"/><Relationship Id="rId1366" Type="http://schemas.openxmlformats.org/officeDocument/2006/relationships/hyperlink" Target="https://ap12.ragic.com/sims/file.jsp?a=soutlet001&amp;f=rnnVQc8Ndn%40image_3063F2EE-AECC-45C4-B06F-71B47D8C23DC_1759231379_compressed.jpeg" TargetMode="External"/><Relationship Id="rId168" Type="http://schemas.openxmlformats.org/officeDocument/2006/relationships/hyperlink" Target="https://ap12.ragic.com/sims/file.jsp?a=soutlet001&amp;f=yBmuBnmDef%40510%E8%B2%93%E7%9C%BC%E5%B7%B2%E6%95%85%E5%AE%9A.jpg" TargetMode="External"/><Relationship Id="rId943" Type="http://schemas.openxmlformats.org/officeDocument/2006/relationships/hyperlink" Target="https://ap12.ragic.com/sims/file.jsp?a=soutlet001&amp;f=rieaa4DZkE%40IMG_8421.jpeg" TargetMode="External"/><Relationship Id="rId1019" Type="http://schemas.openxmlformats.org/officeDocument/2006/relationships/hyperlink" Target="https://ap12.ragic.com/sims/file.jsp?a=soutlet001&amp;f=0K4y8w5lG6%40IMG_8289.jpeg" TargetMode="External"/><Relationship Id="rId1573" Type="http://schemas.openxmlformats.org/officeDocument/2006/relationships/hyperlink" Target="https://ap12.ragic.com/sims/file.jsp?a=soutlet001&amp;f=6a2jD3qw63%40IMG_3992.jpeg" TargetMode="External"/><Relationship Id="rId1780" Type="http://schemas.openxmlformats.org/officeDocument/2006/relationships/hyperlink" Target="https://ap12.ragic.com/sims/file.jsp?a=soutlet001&amp;f=X2NK4wbdt3%40image.jpg" TargetMode="External"/><Relationship Id="rId72" Type="http://schemas.openxmlformats.org/officeDocument/2006/relationships/hyperlink" Target="https://ap12.ragic.com/sims/file.jsp?a=soutlet001&amp;f=lbVGB8XYM0%40S__7561218.jpg" TargetMode="External"/><Relationship Id="rId375" Type="http://schemas.openxmlformats.org/officeDocument/2006/relationships/hyperlink" Target="https://ap12.ragic.com/sims/file.jsp?a=soutlet001&amp;f=IpYfmBE01e%4091116.jpg" TargetMode="External"/><Relationship Id="rId582" Type="http://schemas.openxmlformats.org/officeDocument/2006/relationships/hyperlink" Target="https://ap12.ragic.com/sims/file.jsp?a=soutlet001&amp;f=1uPcjOH7yS%40133b24af8187a691ffa66f0a39d790bd.png" TargetMode="External"/><Relationship Id="rId803" Type="http://schemas.openxmlformats.org/officeDocument/2006/relationships/hyperlink" Target="https://ap12.ragic.com/sims/file.jsp?a=soutlet001&amp;f=wRPl8zPbjg%40image.jpg" TargetMode="External"/><Relationship Id="rId1226" Type="http://schemas.openxmlformats.org/officeDocument/2006/relationships/hyperlink" Target="https://ap12.ragic.com/sims/file.jsp?a=soutlet001&amp;f=E4c1AD5NG8%401000005426.jpg" TargetMode="External"/><Relationship Id="rId1433" Type="http://schemas.openxmlformats.org/officeDocument/2006/relationships/hyperlink" Target="https://ap12.ragic.com/sims/file.jsp?a=soutlet001&amp;f=5FBP42BXSg%40515%E5%B7%B2%E8%AA%BF%E6%95%B4%E5%AE%8C%E6%88%90.jpg" TargetMode="External"/><Relationship Id="rId1640" Type="http://schemas.openxmlformats.org/officeDocument/2006/relationships/hyperlink" Target="https://ap12.ragic.com/sims/file.jsp?a=soutlet001&amp;f=9hy2UWRFJV%40926.jpg" TargetMode="External"/><Relationship Id="rId1738" Type="http://schemas.openxmlformats.org/officeDocument/2006/relationships/hyperlink" Target="https://ap12.ragic.com/sims/file.jsp?a=soutlet001&amp;f=06vxf0CI8b%40S__116662333.jpg" TargetMode="External"/><Relationship Id="rId3" Type="http://schemas.openxmlformats.org/officeDocument/2006/relationships/hyperlink" Target="https://ap12.ragic.com/sims/file.jsp?a=soutlet001&amp;f=awinDonF2Y%40IMG_1199.jpeg" TargetMode="External"/><Relationship Id="rId235" Type="http://schemas.openxmlformats.org/officeDocument/2006/relationships/hyperlink" Target="https://ap12.ragic.com/sims/file.jsp?a=soutlet001&amp;f=V3e28Ir0jp%40S__8036382.jpg" TargetMode="External"/><Relationship Id="rId442" Type="http://schemas.openxmlformats.org/officeDocument/2006/relationships/hyperlink" Target="https://ap12.ragic.com/sims/file.jsp?a=soutlet001&amp;f=r0e8e2mEr3%401000007698.jpg" TargetMode="External"/><Relationship Id="rId887" Type="http://schemas.openxmlformats.org/officeDocument/2006/relationships/hyperlink" Target="https://ap12.ragic.com/sims/file.jsp?a=soutlet001&amp;f=DPuPJmvDIw%40621%E5%B7%B2%E4%BF%AE%E5%A5%BD.jpg" TargetMode="External"/><Relationship Id="rId1072" Type="http://schemas.openxmlformats.org/officeDocument/2006/relationships/hyperlink" Target="https://ap12.ragic.com/sims/file.jsp?a=soutlet001&amp;f=N50A0YgDsa%40448841.jpg" TargetMode="External"/><Relationship Id="rId1500" Type="http://schemas.openxmlformats.org/officeDocument/2006/relationships/hyperlink" Target="https://ap12.ragic.com/sims/file.jsp?a=soutlet001&amp;f=6b1e9ZrHhS%40831%E8%A3%9C%E8%89%B2%E5%AE%8C%E6%88%90.jpg" TargetMode="External"/><Relationship Id="rId302" Type="http://schemas.openxmlformats.org/officeDocument/2006/relationships/hyperlink" Target="https://ap12.ragic.com/sims/file.jsp?a=soutlet001&amp;f=GshVB7u1cD%406fdcaae78cebeab183d42226b2420715.png" TargetMode="External"/><Relationship Id="rId747" Type="http://schemas.openxmlformats.org/officeDocument/2006/relationships/hyperlink" Target="https://ap12.ragic.com/sims/file.jsp?a=soutlet001&amp;f=SuPbpYyaMr%401000006808.jpg" TargetMode="External"/><Relationship Id="rId954" Type="http://schemas.openxmlformats.org/officeDocument/2006/relationships/hyperlink" Target="https://ap12.ragic.com/sims/file.jsp?a=soutlet001&amp;f=H61n8AXdM7%40image_C6C95F5D-B548-429E-9B9A-71C74AE3146C_1763638463_compressed.jpeg" TargetMode="External"/><Relationship Id="rId1377" Type="http://schemas.openxmlformats.org/officeDocument/2006/relationships/hyperlink" Target="https://ap12.ragic.com/sims/file.jsp?a=soutlet001&amp;f=AlylKjhQZv%40818%E7%A6%81%E8%8F%B8%E7%89%8C%E5%B7%B2%E8%B2%BC%E4%B8%8A%E5%AE%8C%E6%88%90.jpg" TargetMode="External"/><Relationship Id="rId1584" Type="http://schemas.openxmlformats.org/officeDocument/2006/relationships/hyperlink" Target="https://ap12.ragic.com/sims/file.jsp?a=soutlet001&amp;f=8Iwe982Kl7%40IMG_6355.jpeg" TargetMode="External"/><Relationship Id="rId1791" Type="http://schemas.openxmlformats.org/officeDocument/2006/relationships/hyperlink" Target="https://ap12.ragic.com/sims/file.jsp?a=soutlet001&amp;f=3OU6j7yJdu%40IMG_5928.jpeg" TargetMode="External"/><Relationship Id="rId1805" Type="http://schemas.openxmlformats.org/officeDocument/2006/relationships/hyperlink" Target="https://ap12.ragic.com/sims/file.jsp?a=soutlet001&amp;f=0mWmTXVi84%4061489.jpg" TargetMode="External"/><Relationship Id="rId83" Type="http://schemas.openxmlformats.org/officeDocument/2006/relationships/hyperlink" Target="https://ap12.ragic.com/sims/file.jsp?a=soutlet001&amp;f=y8DRJwTIAm%401776677560108.jpg" TargetMode="External"/><Relationship Id="rId179" Type="http://schemas.openxmlformats.org/officeDocument/2006/relationships/hyperlink" Target="https://ap12.ragic.com/sims/file.jsp?a=soutlet001&amp;f=1fXkkkvEpg%40817%E8%AA%BF%E6%95%B4%E5%BE%8C%E5%87%BA%E9%A2%A8%E5%8F%A3%E6%BA%AB%E5%BA%A616%E5%BA%A6.jpg" TargetMode="External"/><Relationship Id="rId386" Type="http://schemas.openxmlformats.org/officeDocument/2006/relationships/hyperlink" Target="https://ap12.ragic.com/sims/file.jsp?a=soutlet001&amp;f=KOVaySPwim%40918+%E6%B5%B4%E7%B0%BEok.jpg" TargetMode="External"/><Relationship Id="rId593" Type="http://schemas.openxmlformats.org/officeDocument/2006/relationships/hyperlink" Target="https://ap12.ragic.com/sims/file.jsp?a=soutlet001&amp;f=uCNzJPw9h0%40IMG_4302.jpeg" TargetMode="External"/><Relationship Id="rId607" Type="http://schemas.openxmlformats.org/officeDocument/2006/relationships/hyperlink" Target="https://ap12.ragic.com/sims/file.jsp?a=soutlet001&amp;f=IustCjQ3wj%401029+%E9%A6%AC%E6%A1%B6%E5%B7%B2%E9%80%9A.jpg" TargetMode="External"/><Relationship Id="rId814" Type="http://schemas.openxmlformats.org/officeDocument/2006/relationships/hyperlink" Target="https://ap12.ragic.com/sims/file.jsp?a=soutlet001&amp;f=xKLfUoNXqA%40image_451D5659-9FB1-42B9-8DD2-672CD6954B94_1765950372_compressed.jpeg" TargetMode="External"/><Relationship Id="rId1237" Type="http://schemas.openxmlformats.org/officeDocument/2006/relationships/hyperlink" Target="https://ap12.ragic.com/sims/file.jsp?a=soutlet001&amp;f=Afvfb5SrG8%40IMG_5617.jpeg" TargetMode="External"/><Relationship Id="rId1444" Type="http://schemas.openxmlformats.org/officeDocument/2006/relationships/hyperlink" Target="https://ap12.ragic.com/sims/file.jsp?a=soutlet001&amp;f=r80M5Fibup%40623%E6%B0%B4%E5%A1%9E%E6%9B%B4%E6%8F%9B%E5%AE%8C%E6%88%90.jpg" TargetMode="External"/><Relationship Id="rId1651" Type="http://schemas.openxmlformats.org/officeDocument/2006/relationships/hyperlink" Target="https://ap12.ragic.com/sims/file.jsp?a=soutlet001&amp;f=0c3s1K690H%40image_9D5E8A4D-3019-48F9-BCA7-E708980E8986_1756452576_compressed.jpeg" TargetMode="External"/><Relationship Id="rId246" Type="http://schemas.openxmlformats.org/officeDocument/2006/relationships/hyperlink" Target="https://ap12.ragic.com/sims/file.jsp?a=soutlet001&amp;f=jmROk7pnOp%4092043.jpg" TargetMode="External"/><Relationship Id="rId453" Type="http://schemas.openxmlformats.org/officeDocument/2006/relationships/hyperlink" Target="https://ap12.ragic.com/sims/file.jsp?a=soutlet001&amp;f=7e6EjoPm3i%40520%E6%BA%AB%E5%BA%A6%E5%B7%B2%E8%AA%BF%E6%95%B4%E5%AE%8C%E6%88%90.jpg" TargetMode="External"/><Relationship Id="rId660" Type="http://schemas.openxmlformats.org/officeDocument/2006/relationships/hyperlink" Target="https://ap12.ragic.com/sims/file.jsp?a=soutlet001&amp;f=rKjR3TlpPx%4086891f67d804e9ab07fd1d3cc57e7523.png" TargetMode="External"/><Relationship Id="rId898" Type="http://schemas.openxmlformats.org/officeDocument/2006/relationships/hyperlink" Target="https://ap12.ragic.com/sims/file.jsp?a=soutlet001&amp;f=RDwgOF7Z3R%40IMG_8471.jpeg" TargetMode="External"/><Relationship Id="rId1083" Type="http://schemas.openxmlformats.org/officeDocument/2006/relationships/hyperlink" Target="https://ap12.ragic.com/sims/file.jsp?a=soutlet001&amp;f=xlIG85XoNb%40IMG_8159.jpeg" TargetMode="External"/><Relationship Id="rId1290" Type="http://schemas.openxmlformats.org/officeDocument/2006/relationships/hyperlink" Target="https://ap12.ragic.com/sims/file.jsp?a=soutlet001&amp;f=b2ghl41P23%40IMG_7682.jpeg" TargetMode="External"/><Relationship Id="rId1304" Type="http://schemas.openxmlformats.org/officeDocument/2006/relationships/hyperlink" Target="https://ap12.ragic.com/sims/file.jsp?a=soutlet001&amp;f=080DJBhuui%40IMG_5382.jpeg" TargetMode="External"/><Relationship Id="rId1511" Type="http://schemas.openxmlformats.org/officeDocument/2006/relationships/hyperlink" Target="https://ap12.ragic.com/sims/file.jsp?a=soutlet001&amp;f=283KXi9kRA%4066741.jpg" TargetMode="External"/><Relationship Id="rId1749" Type="http://schemas.openxmlformats.org/officeDocument/2006/relationships/hyperlink" Target="https://ap12.ragic.com/sims/file.jsp?a=soutlet001&amp;f=aWsKLl3sbY%401000003468.jpg" TargetMode="External"/><Relationship Id="rId106" Type="http://schemas.openxmlformats.org/officeDocument/2006/relationships/hyperlink" Target="https://ap12.ragic.com/sims/file.jsp?a=soutlet001&amp;f=8ft1f9INXM%40IMG_0486.jpeg" TargetMode="External"/><Relationship Id="rId313" Type="http://schemas.openxmlformats.org/officeDocument/2006/relationships/hyperlink" Target="https://ap12.ragic.com/sims/file.jsp?a=soutlet001&amp;f=RzcH0Pmw3r%40aef2e03ab0c5f206a21a16b6e04d78a1.png" TargetMode="External"/><Relationship Id="rId758" Type="http://schemas.openxmlformats.org/officeDocument/2006/relationships/hyperlink" Target="https://ap12.ragic.com/sims/file.jsp?a=soutlet001&amp;f=r8Hf8JqPPw%40%E5%A1%91%E8%86%A0%E5%8D%A1%E6%A6%AB%E5%B7%B2%E7%84%A1%E6%B3%95%E5%9B%BA%E5%AE%9A%EF%BC%8C%E6%94%B9%E9%8E%96%E8%9E%BA%E7%B5%B2%E5%9B%BA%E5%AE%9A%E5%AE%8C%E6%88%90.jpg" TargetMode="External"/><Relationship Id="rId965" Type="http://schemas.openxmlformats.org/officeDocument/2006/relationships/hyperlink" Target="https://ap12.ragic.com/sims/file.jsp?a=soutlet001&amp;f=M8dejnKXdg%40502%E9%9B%BB%E8%A6%96%E8%AA%BF%E6%95%B4%E5%AE%8C%E6%88%90.jpg" TargetMode="External"/><Relationship Id="rId1150" Type="http://schemas.openxmlformats.org/officeDocument/2006/relationships/hyperlink" Target="https://ap12.ragic.com/sims/file.jsp?a=soutlet001&amp;f=58I30UL2N3%40IMG_6056.jpeg" TargetMode="External"/><Relationship Id="rId1388" Type="http://schemas.openxmlformats.org/officeDocument/2006/relationships/hyperlink" Target="https://ap12.ragic.com/sims/file.jsp?a=soutlet001&amp;f=2b26xRuJfp%40S__30679085.jpg" TargetMode="External"/><Relationship Id="rId1595" Type="http://schemas.openxmlformats.org/officeDocument/2006/relationships/hyperlink" Target="https://ap12.ragic.com/sims/file.jsp?a=soutlet001&amp;f=476D1W19WU%401013%E9%BB%83%E8%89%B2%E8%A3%9C%E6%BC%86%E5%AE%8C%E6%88%90.jpg" TargetMode="External"/><Relationship Id="rId1609" Type="http://schemas.openxmlformats.org/officeDocument/2006/relationships/hyperlink" Target="https://ap12.ragic.com/sims/file.jsp?a=soutlet001&amp;f=42J62UN3Ik%40IMG_6219.jpeg" TargetMode="External"/><Relationship Id="rId1816" Type="http://schemas.openxmlformats.org/officeDocument/2006/relationships/hyperlink" Target="https://ap12.ragic.com/sims/file.jsp?a=soutlet001&amp;f=OGf43OUqMs%40S__4178022.jpg" TargetMode="External"/><Relationship Id="rId10" Type="http://schemas.openxmlformats.org/officeDocument/2006/relationships/hyperlink" Target="https://ap12.ragic.com/sims/file.jsp?a=soutlet001&amp;f=04zJXbMrcU%40IMG_1173.jpeg" TargetMode="External"/><Relationship Id="rId94" Type="http://schemas.openxmlformats.org/officeDocument/2006/relationships/hyperlink" Target="https://ap12.ragic.com/sims/file.jsp?a=soutlet001&amp;f=WCwA0bN7ro%40IMG_0533.jpeg" TargetMode="External"/><Relationship Id="rId397" Type="http://schemas.openxmlformats.org/officeDocument/2006/relationships/hyperlink" Target="https://ap12.ragic.com/sims/file.jsp?a=soutlet001&amp;f=LFu9F02P8F%40IMG_6165.jpeg" TargetMode="External"/><Relationship Id="rId520" Type="http://schemas.openxmlformats.org/officeDocument/2006/relationships/hyperlink" Target="https://ap12.ragic.com/sims/file.jsp?a=soutlet001&amp;f=kKkmoLQRZM%401000007529.jpg" TargetMode="External"/><Relationship Id="rId618" Type="http://schemas.openxmlformats.org/officeDocument/2006/relationships/hyperlink" Target="https://ap12.ragic.com/sims/file.jsp?a=soutlet001&amp;f=DXpk6wZ9mJ%405ad3b97adf1c8403e73dc76f12547093.png" TargetMode="External"/><Relationship Id="rId825" Type="http://schemas.openxmlformats.org/officeDocument/2006/relationships/hyperlink" Target="https://ap12.ragic.com/sims/file.jsp?a=soutlet001&amp;f=zdvgFNuUWS%401028+%E7%AA%97%E5%BB%89%E5%B7%B2%E4%BF%AE%E5%BE%A9.jpg" TargetMode="External"/><Relationship Id="rId1248" Type="http://schemas.openxmlformats.org/officeDocument/2006/relationships/hyperlink" Target="https://ap12.ragic.com/sims/file.jsp?a=soutlet001&amp;f=vIUk61mkXB%4067926.jpg" TargetMode="External"/><Relationship Id="rId1455" Type="http://schemas.openxmlformats.org/officeDocument/2006/relationships/hyperlink" Target="https://ap12.ragic.com/sims/file.jsp?a=soutlet001&amp;f=6Tz4JSWeO3%401028%E9%9B%BB%E8%A6%96%E4%B8%8B%E6%96%B9%E6%95%B4%E9%9D%A2%E7%89%86%E6%B2%B9%E6%BC%86%E5%AE%8C%E6%88%90.jpg" TargetMode="External"/><Relationship Id="rId1662" Type="http://schemas.openxmlformats.org/officeDocument/2006/relationships/hyperlink" Target="https://ap12.ragic.com/sims/file.jsp?a=soutlet001&amp;f=PK26aB51X1%401000003962.jpg" TargetMode="External"/><Relationship Id="rId257" Type="http://schemas.openxmlformats.org/officeDocument/2006/relationships/hyperlink" Target="https://ap12.ragic.com/sims/file.jsp?a=soutlet001&amp;f=c2g44wCOf2%40636f75f44ac9504f64c1cf55ee0d36fe.png" TargetMode="External"/><Relationship Id="rId464" Type="http://schemas.openxmlformats.org/officeDocument/2006/relationships/hyperlink" Target="https://ap12.ragic.com/sims/file.jsp?a=soutlet001&amp;f=wOnYsrAFCw%4022af58f97c21d91dcf0ad911be38bf35.png" TargetMode="External"/><Relationship Id="rId1010" Type="http://schemas.openxmlformats.org/officeDocument/2006/relationships/hyperlink" Target="https://ap12.ragic.com/sims/file.jsp?a=soutlet001&amp;f=LksXqkkPSM%40IMG_7169.jpeg" TargetMode="External"/><Relationship Id="rId1094" Type="http://schemas.openxmlformats.org/officeDocument/2006/relationships/hyperlink" Target="https://ap12.ragic.com/sims/file.jsp?a=soutlet001&amp;f=crIM9DC756%408%E6%A8%93%E5%93%A1%E5%B7%A5%E6%A2%AF%E5%BB%B3.jpg" TargetMode="External"/><Relationship Id="rId1108" Type="http://schemas.openxmlformats.org/officeDocument/2006/relationships/hyperlink" Target="https://ap12.ragic.com/sims/file.jsp?a=soutlet001&amp;f=q2Htu9fknp%40image_FA72EE55-C318-4131-8436-2E2921C2963D_1761968081_compressed.jpeg" TargetMode="External"/><Relationship Id="rId1315" Type="http://schemas.openxmlformats.org/officeDocument/2006/relationships/hyperlink" Target="https://ap12.ragic.com/sims/file.jsp?a=soutlet001&amp;f=Z4YSTHR6SW%40IMG_5371.jpeg" TargetMode="External"/><Relationship Id="rId117" Type="http://schemas.openxmlformats.org/officeDocument/2006/relationships/hyperlink" Target="https://ap12.ragic.com/sims/file.jsp?a=soutlet001&amp;f=mq3ps8Z8sC%40IMG_2557.jpeg" TargetMode="External"/><Relationship Id="rId671" Type="http://schemas.openxmlformats.org/officeDocument/2006/relationships/hyperlink" Target="https://ap12.ragic.com/sims/file.jsp?a=soutlet001&amp;f=iPcBfPnrzb%40912%E8%93%AE%E8%93%AC%E9%A0%AD%E3%80%81%E8%93%AE%E8%93%AC%E9%A0%AD%E7%AE%A1%E5%B7%B2%E6%9B%B4%E6%96%B0%E5%AE%8C%E6%88%90.jpg" TargetMode="External"/><Relationship Id="rId769" Type="http://schemas.openxmlformats.org/officeDocument/2006/relationships/hyperlink" Target="https://ap12.ragic.com/sims/file.jsp?a=soutlet001&amp;f=zquccknZ9K%40IMG_9488.jpeg" TargetMode="External"/><Relationship Id="rId976" Type="http://schemas.openxmlformats.org/officeDocument/2006/relationships/hyperlink" Target="https://ap12.ragic.com/sims/file.jsp?a=soutlet001&amp;f=YMfi7wfVjp%40IMG_8357.jpeg" TargetMode="External"/><Relationship Id="rId1399" Type="http://schemas.openxmlformats.org/officeDocument/2006/relationships/hyperlink" Target="https://ap12.ragic.com/sims/file.jsp?a=soutlet001&amp;f=m9A5YXnThX%40770674.jpg" TargetMode="External"/><Relationship Id="rId324" Type="http://schemas.openxmlformats.org/officeDocument/2006/relationships/hyperlink" Target="https://ap12.ragic.com/sims/file.jsp?a=soutlet001&amp;f=bCphWGGdF7%4029448891f110bd965a46973bd82863d0.png" TargetMode="External"/><Relationship Id="rId531" Type="http://schemas.openxmlformats.org/officeDocument/2006/relationships/hyperlink" Target="https://ap12.ragic.com/sims/file.jsp?a=soutlet001&amp;f=ENxIDIoNvU%40IMG_20260125_144352.jpg" TargetMode="External"/><Relationship Id="rId629" Type="http://schemas.openxmlformats.org/officeDocument/2006/relationships/hyperlink" Target="https://ap12.ragic.com/sims/file.jsp?a=soutlet001&amp;f=GB9roGmXoU%401768118980979.jpg" TargetMode="External"/><Relationship Id="rId1161" Type="http://schemas.openxmlformats.org/officeDocument/2006/relationships/hyperlink" Target="https://ap12.ragic.com/sims/file.jsp?a=soutlet001&amp;f=ybdyAE4pmp%40image_D374FFFF-1DF9-489A-8964-1ED7F4511433_1761123774_compressed.jpeg" TargetMode="External"/><Relationship Id="rId1259" Type="http://schemas.openxmlformats.org/officeDocument/2006/relationships/hyperlink" Target="https://ap12.ragic.com/sims/file.jsp?a=soutlet001&amp;f=8wpNnJk195%40S__5841090.jpg" TargetMode="External"/><Relationship Id="rId1466" Type="http://schemas.openxmlformats.org/officeDocument/2006/relationships/hyperlink" Target="https://ap12.ragic.com/sims/file.jsp?a=soutlet001&amp;f=cuiIIklBiH%401000006746.jpg" TargetMode="External"/><Relationship Id="rId836" Type="http://schemas.openxmlformats.org/officeDocument/2006/relationships/hyperlink" Target="https://ap12.ragic.com/sims/file.jsp?a=soutlet001&amp;f=kF01U6Gy2o%40IMG_9460.jpeg" TargetMode="External"/><Relationship Id="rId1021" Type="http://schemas.openxmlformats.org/officeDocument/2006/relationships/hyperlink" Target="https://ap12.ragic.com/sims/file.jsp?a=soutlet001&amp;f=86Av3Mbcog%4076955.jpg" TargetMode="External"/><Relationship Id="rId1119" Type="http://schemas.openxmlformats.org/officeDocument/2006/relationships/hyperlink" Target="https://ap12.ragic.com/sims/file.jsp?a=soutlet001&amp;f=4fe33M08bC%40IMG_6291.jpeg" TargetMode="External"/><Relationship Id="rId1673" Type="http://schemas.openxmlformats.org/officeDocument/2006/relationships/hyperlink" Target="https://ap12.ragic.com/sims/file.jsp?a=soutlet001&amp;f=wl3nO9Nvk2%40IMG_6103.jpeg" TargetMode="External"/><Relationship Id="rId903" Type="http://schemas.openxmlformats.org/officeDocument/2006/relationships/hyperlink" Target="https://ap12.ragic.com/sims/file.jsp?a=soutlet001&amp;f=kjPdjDjmlC%40920%E6%B2%B9%E5%A3%93%E6%A1%BF%E5%B7%B2%E5%AE%89%E8%A3%9D%E5%AE%8C%E6%88%90.jpg" TargetMode="External"/><Relationship Id="rId1326" Type="http://schemas.openxmlformats.org/officeDocument/2006/relationships/hyperlink" Target="https://ap12.ragic.com/sims/file.jsp?a=soutlet001&amp;f=oMWqR24Kv8%4070545.jpg" TargetMode="External"/><Relationship Id="rId1533" Type="http://schemas.openxmlformats.org/officeDocument/2006/relationships/hyperlink" Target="https://ap12.ragic.com/sims/file.jsp?a=soutlet001&amp;f=mni7vfpzOK%4066833_0.jpg" TargetMode="External"/><Relationship Id="rId1740" Type="http://schemas.openxmlformats.org/officeDocument/2006/relationships/hyperlink" Target="https://ap12.ragic.com/sims/file.jsp?a=soutlet001&amp;f=ffNXOmPw2f%401000003491.jpg" TargetMode="External"/><Relationship Id="rId32" Type="http://schemas.openxmlformats.org/officeDocument/2006/relationships/hyperlink" Target="https://ap12.ragic.com/sims/file.jsp?a=soutlet001&amp;f=3R0TUlBDoM%401000009667.jpg" TargetMode="External"/><Relationship Id="rId1600" Type="http://schemas.openxmlformats.org/officeDocument/2006/relationships/hyperlink" Target="https://ap12.ragic.com/sims/file.jsp?a=soutlet001&amp;f=v9ICtKimHQ%40IMG_3893.jpeg" TargetMode="External"/><Relationship Id="rId181" Type="http://schemas.openxmlformats.org/officeDocument/2006/relationships/hyperlink" Target="https://ap12.ragic.com/sims/file.jsp?a=soutlet001&amp;f=MpiqFW7IHA%40925+%E8%93%AE%E8%93%AC%E9%A0%AD%E6%9E%B6%E9%A3%BE%E8%93%8B%E5%B7%B2%E6%95%B4%E5%A5%BD.jpg" TargetMode="External"/><Relationship Id="rId279" Type="http://schemas.openxmlformats.org/officeDocument/2006/relationships/hyperlink" Target="https://ap12.ragic.com/sims/file.jsp?a=soutlet001&amp;f=tlArgLlxFy%4005283a1f3758c073dcf0879870a85552.png" TargetMode="External"/><Relationship Id="rId486" Type="http://schemas.openxmlformats.org/officeDocument/2006/relationships/hyperlink" Target="https://ap12.ragic.com/sims/file.jsp?a=soutlet001&amp;f=E2Z8bT5HSm%40520%E6%BA%AB%E5%BA%A6%E5%86%8D%E6%AC%A1%E8%AA%BF%E6%95%B4%E5%AE%8C%E6%88%90%280131%E6%9C%89%E8%AA%BF%E6%95%B4%E9%81%8E%29.jpg" TargetMode="External"/><Relationship Id="rId693" Type="http://schemas.openxmlformats.org/officeDocument/2006/relationships/hyperlink" Target="https://ap12.ragic.com/sims/file.jsp?a=soutlet001&amp;f=xEHx1HDXGu%40826+%E9%90%B5%E7%89%87%E5%B7%B2%E9%BB%8F%E4%B8%8A.jpg" TargetMode="External"/><Relationship Id="rId139" Type="http://schemas.openxmlformats.org/officeDocument/2006/relationships/hyperlink" Target="https://ap12.ragic.com/sims/file.jsp?a=soutlet001&amp;f=8rndPtlFOC%401000008496.jpg" TargetMode="External"/><Relationship Id="rId346" Type="http://schemas.openxmlformats.org/officeDocument/2006/relationships/hyperlink" Target="https://ap12.ragic.com/sims/file.jsp?a=soutlet001&amp;f=PPQsRK7oRo%40IMG_1888.jpeg" TargetMode="External"/><Relationship Id="rId553" Type="http://schemas.openxmlformats.org/officeDocument/2006/relationships/hyperlink" Target="https://ap12.ragic.com/sims/file.jsp?a=soutlet001&amp;f=ewA9ViR2f7%401000007331.jpg" TargetMode="External"/><Relationship Id="rId760" Type="http://schemas.openxmlformats.org/officeDocument/2006/relationships/hyperlink" Target="https://ap12.ragic.com/sims/file.jsp?a=soutlet001&amp;f=B52F3GhQRt%40507%E8%9E%BA%E7%B5%B2%E4%BF%AE%E9%A3%BE%E8%93%8B%E5%B7%B2%E8%A3%9D%E4%B8%8A%E5%AE%8C%E6%88%90.jpg" TargetMode="External"/><Relationship Id="rId998" Type="http://schemas.openxmlformats.org/officeDocument/2006/relationships/hyperlink" Target="https://ap12.ragic.com/sims/file.jsp?a=soutlet001&amp;f=IHUkDm1qtN%40image_B73CC7B6-AE4B-4367-A462-3B70D8771641_1763034248_compressed.jpeg" TargetMode="External"/><Relationship Id="rId1183" Type="http://schemas.openxmlformats.org/officeDocument/2006/relationships/hyperlink" Target="https://ap12.ragic.com/sims/file.jsp?a=soutlet001&amp;f=0e031juHVM%40IMG_5842.jpeg" TargetMode="External"/><Relationship Id="rId1390" Type="http://schemas.openxmlformats.org/officeDocument/2006/relationships/hyperlink" Target="https://ap12.ragic.com/sims/file.jsp?a=soutlet001&amp;f=6TMa9Dm2Xn%40IMG_7516.jpeg" TargetMode="External"/><Relationship Id="rId206" Type="http://schemas.openxmlformats.org/officeDocument/2006/relationships/hyperlink" Target="https://ap12.ragic.com/sims/file.jsp?a=soutlet001&amp;f=ybMwP7UVB4%40IMG_0287.jpeg" TargetMode="External"/><Relationship Id="rId413" Type="http://schemas.openxmlformats.org/officeDocument/2006/relationships/hyperlink" Target="https://ap12.ragic.com/sims/file.jsp?a=soutlet001&amp;f=1vf8BrrWMr%40527%E9%9B%BB%E8%A6%96%E4%B8%8B%E6%96%B9%E6%9C%A8%E6%AB%83%E5%B7%B2%E4%BF%AE%E5%BE%A9.jpg" TargetMode="External"/><Relationship Id="rId858" Type="http://schemas.openxmlformats.org/officeDocument/2006/relationships/hyperlink" Target="https://ap12.ragic.com/sims/file.jsp?a=soutlet001&amp;f=JXcWI8P2ED%401029%E5%B7%B2%E4%BF%AE%E5%BE%A9.jpg" TargetMode="External"/><Relationship Id="rId1043" Type="http://schemas.openxmlformats.org/officeDocument/2006/relationships/hyperlink" Target="https://ap12.ragic.com/sims/file.jsp?a=soutlet001&amp;f=hzu4EA6nNU%401762450520175.jpg" TargetMode="External"/><Relationship Id="rId1488" Type="http://schemas.openxmlformats.org/officeDocument/2006/relationships/hyperlink" Target="https://ap12.ragic.com/sims/file.jsp?a=soutlet001&amp;f=7XZbh4wHME%40619%E5%BA%8A%E9%A0%AD%E7%87%88%E4%BF%AE%E5%A5%BD.jpg" TargetMode="External"/><Relationship Id="rId1695" Type="http://schemas.openxmlformats.org/officeDocument/2006/relationships/hyperlink" Target="https://ap12.ragic.com/sims/file.jsp?a=soutlet001&amp;f=x4vAN7KFJF%4063399.jpg" TargetMode="External"/><Relationship Id="rId620" Type="http://schemas.openxmlformats.org/officeDocument/2006/relationships/hyperlink" Target="https://ap12.ragic.com/sims/file.jsp?a=soutlet001&amp;f=FPr78R5wpl%408e4a2ad4a7d51a404a7c3c3d32d0e5e6.png" TargetMode="External"/><Relationship Id="rId718" Type="http://schemas.openxmlformats.org/officeDocument/2006/relationships/hyperlink" Target="https://ap12.ragic.com/sims/file.jsp?a=soutlet001&amp;f=Hi6s8SwszB%401000006908.jpg" TargetMode="External"/><Relationship Id="rId925" Type="http://schemas.openxmlformats.org/officeDocument/2006/relationships/hyperlink" Target="https://ap12.ragic.com/sims/file.jsp?a=soutlet001&amp;f=ebNHYY0e8h%40IMG_7921.jpeg" TargetMode="External"/><Relationship Id="rId1250" Type="http://schemas.openxmlformats.org/officeDocument/2006/relationships/hyperlink" Target="https://ap12.ragic.com/sims/file.jsp?a=soutlet001&amp;f=It6uGyrwK2%40S__34611208.jpg" TargetMode="External"/><Relationship Id="rId1348" Type="http://schemas.openxmlformats.org/officeDocument/2006/relationships/hyperlink" Target="https://ap12.ragic.com/sims/file.jsp?a=soutlet001&amp;f=44aWqJ29hB%40IMG_5081.jpeg" TargetMode="External"/><Relationship Id="rId1555" Type="http://schemas.openxmlformats.org/officeDocument/2006/relationships/hyperlink" Target="https://ap12.ragic.com/sims/file.jsp?a=soutlet001&amp;f=qQHUzK7C3x%40IMG_4152.jpeg" TargetMode="External"/><Relationship Id="rId1762" Type="http://schemas.openxmlformats.org/officeDocument/2006/relationships/hyperlink" Target="https://ap12.ragic.com/sims/file.jsp?a=soutlet001&amp;f=Hb218n27qZ%4062721_0.jpg" TargetMode="External"/><Relationship Id="rId1110" Type="http://schemas.openxmlformats.org/officeDocument/2006/relationships/hyperlink" Target="https://ap12.ragic.com/sims/file.jsp?a=soutlet001&amp;f=qJougNs4FR%40803%E5%8C%96%E7%B2%A7%E9%8F%A1%E5%B7%B2%E9%8E%96%E7%B7%8A%E5%9B%BA%E5%AE%9A%E5%AE%8C%E6%88%90.jpg" TargetMode="External"/><Relationship Id="rId1208" Type="http://schemas.openxmlformats.org/officeDocument/2006/relationships/hyperlink" Target="https://ap12.ragic.com/sims/file.jsp?a=soutlet001&amp;f=p29hPGlCtv%40IMG_7797.jpeg" TargetMode="External"/><Relationship Id="rId1415" Type="http://schemas.openxmlformats.org/officeDocument/2006/relationships/hyperlink" Target="https://ap12.ragic.com/sims/file.jsp?a=soutlet001&amp;f=79PpQ5H29f%4057397_0.jpg" TargetMode="External"/><Relationship Id="rId54" Type="http://schemas.openxmlformats.org/officeDocument/2006/relationships/hyperlink" Target="https://ap12.ragic.com/sims/file.jsp?a=soutlet001&amp;f=K5dQeiePis%40IMG_0799.jpeg" TargetMode="External"/><Relationship Id="rId1622" Type="http://schemas.openxmlformats.org/officeDocument/2006/relationships/hyperlink" Target="https://ap12.ragic.com/sims/file.jsp?a=soutlet001&amp;f=L9VG44IQ8s%40image.jpg" TargetMode="External"/><Relationship Id="rId270" Type="http://schemas.openxmlformats.org/officeDocument/2006/relationships/hyperlink" Target="https://ap12.ragic.com/sims/file.jsp?a=soutlet001&amp;f=PRR0AiBKyM%40d0a44aa21c3665d032498f41d9681688.png" TargetMode="External"/><Relationship Id="rId130" Type="http://schemas.openxmlformats.org/officeDocument/2006/relationships/hyperlink" Target="https://ap12.ragic.com/sims/file.jsp?a=soutlet001&amp;f=v9tr33ygPs%401000008603.jpg" TargetMode="External"/><Relationship Id="rId368" Type="http://schemas.openxmlformats.org/officeDocument/2006/relationships/hyperlink" Target="https://ap12.ragic.com/sims/file.jsp?a=soutlet001&amp;f=KMJCCLRldS%40IMG_0169.jpeg" TargetMode="External"/><Relationship Id="rId575" Type="http://schemas.openxmlformats.org/officeDocument/2006/relationships/hyperlink" Target="https://ap12.ragic.com/sims/file.jsp?a=soutlet001&amp;f=0yaOuT91vT%40725%E9%96%80%E6%A1%86%E8%A3%9C%E6%BC%86%E5%AE%8C%E6%88%90.jpg" TargetMode="External"/><Relationship Id="rId782" Type="http://schemas.openxmlformats.org/officeDocument/2006/relationships/hyperlink" Target="https://ap12.ragic.com/sims/file.jsp?a=soutlet001&amp;f=XsLUCfX1Oj%40image.jpg" TargetMode="External"/><Relationship Id="rId228" Type="http://schemas.openxmlformats.org/officeDocument/2006/relationships/hyperlink" Target="https://ap12.ragic.com/sims/file.jsp?a=soutlet001&amp;f=2RmfvrHlX0%40501%E9%9B%BB%E8%A6%96%E8%AA%BF%E5%88%B0%E4%B8%BB%E7%95%AB%E9%9D%A2%E8%99%95%E7%90%86%E5%AE%8C%E6%88%90.jpg" TargetMode="External"/><Relationship Id="rId435" Type="http://schemas.openxmlformats.org/officeDocument/2006/relationships/hyperlink" Target="https://ap12.ragic.com/sims/file.jsp?a=soutlet001&amp;f=7o7RWar6nA%40IMG_1769.jpeg" TargetMode="External"/><Relationship Id="rId642" Type="http://schemas.openxmlformats.org/officeDocument/2006/relationships/hyperlink" Target="https://ap12.ragic.com/sims/file.jsp?a=soutlet001&amp;f=1OvHNrpSQa%4085231.jpg" TargetMode="External"/><Relationship Id="rId1065" Type="http://schemas.openxmlformats.org/officeDocument/2006/relationships/hyperlink" Target="https://ap12.ragic.com/sims/file.jsp?a=soutlet001&amp;f=RB6oN8he24%40IMG_8178.jpeg" TargetMode="External"/><Relationship Id="rId1272" Type="http://schemas.openxmlformats.org/officeDocument/2006/relationships/hyperlink" Target="https://ap12.ragic.com/sims/file.jsp?a=soutlet001&amp;f=EQmDcZhP1T%4071095.jpg" TargetMode="External"/><Relationship Id="rId502" Type="http://schemas.openxmlformats.org/officeDocument/2006/relationships/hyperlink" Target="https://ap12.ragic.com/sims/file.jsp?a=soutlet001&amp;f=TIhPNqWDnO%40image_6D682B51-B14A-4806-8B29-0C5CFB975B4F_1769686554_compressed.jpeg" TargetMode="External"/><Relationship Id="rId947" Type="http://schemas.openxmlformats.org/officeDocument/2006/relationships/hyperlink" Target="https://ap12.ragic.com/sims/file.jsp?a=soutlet001&amp;f=uMEVb5vfGK%40IMG_8406.jpeg" TargetMode="External"/><Relationship Id="rId1132" Type="http://schemas.openxmlformats.org/officeDocument/2006/relationships/hyperlink" Target="https://ap12.ragic.com/sims/file.jsp?a=soutlet001&amp;f=3aZV6tE4nX%40816%E5%B0%8F%E5%86%B0%E7%AE%B1%E6%8F%9B%E8%87%B3508.jpg" TargetMode="External"/><Relationship Id="rId1577" Type="http://schemas.openxmlformats.org/officeDocument/2006/relationships/hyperlink" Target="https://ap12.ragic.com/sims/file.jsp?a=soutlet001&amp;f=1lo0OYkuJE%40IMG_6376.jpeg" TargetMode="External"/><Relationship Id="rId1784" Type="http://schemas.openxmlformats.org/officeDocument/2006/relationships/hyperlink" Target="https://ap12.ragic.com/sims/file.jsp?a=soutlet001&amp;f=y2iLtHKgn2%401000004086.jpg" TargetMode="External"/><Relationship Id="rId76" Type="http://schemas.openxmlformats.org/officeDocument/2006/relationships/hyperlink" Target="https://ap12.ragic.com/sims/file.jsp?a=soutlet001&amp;f=prxjVkNOKe%40S__3194883.jpg" TargetMode="External"/><Relationship Id="rId807" Type="http://schemas.openxmlformats.org/officeDocument/2006/relationships/hyperlink" Target="https://ap12.ragic.com/sims/file.jsp?a=soutlet001&amp;f=03YGk11u0t%40603%E5%B7%B2%E6%9B%B4%E6%96%B0%E5%AE%8C%E6%88%90.jpg" TargetMode="External"/><Relationship Id="rId1437" Type="http://schemas.openxmlformats.org/officeDocument/2006/relationships/hyperlink" Target="https://ap12.ragic.com/sims/file.jsp?a=soutlet001&amp;f=1LVl9onI4V%40526+%E9%9B%BB%E8%A6%96%E5%88%87%E6%8F%9B%E5%B7%B2%E8%99%95%E7%90%86%E5%AE%8C%E6%88%90.jpg" TargetMode="External"/><Relationship Id="rId1644" Type="http://schemas.openxmlformats.org/officeDocument/2006/relationships/hyperlink" Target="https://ap12.ragic.com/sims/file.jsp?a=soutlet001&amp;f=8K3YBB4o3c%40IMG_6145.jpeg" TargetMode="External"/><Relationship Id="rId1504" Type="http://schemas.openxmlformats.org/officeDocument/2006/relationships/hyperlink" Target="https://ap12.ragic.com/sims/file.jsp?a=soutlet001&amp;f=CM4Oj8xW20%40608%E6%B5%B4%E5%AE%A4%E7%AA%97%E7%B0%BE%E8%AA%BF%E6%95%B4%E5%AE%8C%E6%88%90.jpg" TargetMode="External"/><Relationship Id="rId1711" Type="http://schemas.openxmlformats.org/officeDocument/2006/relationships/hyperlink" Target="https://ap12.ragic.com/sims/file.jsp?a=soutlet001&amp;f=umODf5c1t2%40IMG_6040.jpeg" TargetMode="External"/><Relationship Id="rId292" Type="http://schemas.openxmlformats.org/officeDocument/2006/relationships/hyperlink" Target="https://ap12.ragic.com/sims/file.jsp?a=soutlet001&amp;f=Jkqsn0zZQm%40f9bfc95ab67716c7e7b050ad1733a806.png" TargetMode="External"/><Relationship Id="rId1809" Type="http://schemas.openxmlformats.org/officeDocument/2006/relationships/hyperlink" Target="https://ap12.ragic.com/sims/file.jsp?a=soutlet001&amp;f=i8w960930B%40IMG_5872.jpeg" TargetMode="External"/><Relationship Id="rId597" Type="http://schemas.openxmlformats.org/officeDocument/2006/relationships/hyperlink" Target="https://ap12.ragic.com/sims/file.jsp?a=soutlet001&amp;f=WOCnMr1lY7%4086322.jpg" TargetMode="External"/><Relationship Id="rId152" Type="http://schemas.openxmlformats.org/officeDocument/2006/relationships/hyperlink" Target="https://ap12.ragic.com/sims/file.jsp?a=soutlet001&amp;f=vyzEq5jytK%40IMG_2379.jpeg" TargetMode="External"/><Relationship Id="rId457" Type="http://schemas.openxmlformats.org/officeDocument/2006/relationships/hyperlink" Target="https://ap12.ragic.com/sims/file.jsp?a=soutlet001&amp;f=8wvnEREAcz%406820e7d41bbddd2b1b0cea788b3be2f7.png" TargetMode="External"/><Relationship Id="rId1087" Type="http://schemas.openxmlformats.org/officeDocument/2006/relationships/hyperlink" Target="https://ap12.ragic.com/sims/file.jsp?a=soutlet001&amp;f=kd6mGiQXn2%40S__29270099.jpg" TargetMode="External"/><Relationship Id="rId1294" Type="http://schemas.openxmlformats.org/officeDocument/2006/relationships/hyperlink" Target="https://ap12.ragic.com/sims/file.jsp?a=soutlet001&amp;f=Nma2fyTLqp%40IMG_5394.jpeg" TargetMode="External"/><Relationship Id="rId664" Type="http://schemas.openxmlformats.org/officeDocument/2006/relationships/hyperlink" Target="https://ap12.ragic.com/sims/file.jsp?a=soutlet001&amp;f=Q4x4TidG0C%4051a69abe68205102483d0aef74dac73b.png" TargetMode="External"/><Relationship Id="rId871" Type="http://schemas.openxmlformats.org/officeDocument/2006/relationships/hyperlink" Target="https://ap12.ragic.com/sims/file.jsp?a=soutlet001&amp;f=XDiPWp3dot%40image_263F69FA-86CE-40B8-ACEE-2145E9D78657_1764936396_compressed.jpeg" TargetMode="External"/><Relationship Id="rId969" Type="http://schemas.openxmlformats.org/officeDocument/2006/relationships/hyperlink" Target="https://ap12.ragic.com/sims/file.jsp?a=soutlet001&amp;f=mDJvrdlkQq%40820%E6%B5%B4%E7%B0%BE%E5%B7%B2%E4%BF%AE%E5%BE%A9%E5%AE%8C%E6%88%90.jpg" TargetMode="External"/><Relationship Id="rId1599" Type="http://schemas.openxmlformats.org/officeDocument/2006/relationships/hyperlink" Target="https://ap12.ragic.com/sims/file.jsp?a=soutlet001&amp;f=0M13nJMi8Y%40IMG_6311.jpeg" TargetMode="External"/><Relationship Id="rId317" Type="http://schemas.openxmlformats.org/officeDocument/2006/relationships/hyperlink" Target="https://ap12.ragic.com/sims/file.jsp?a=soutlet001&amp;f=QzYGn85wZU%405319d1f92fb8269d492ffe00dd497d7c.png" TargetMode="External"/><Relationship Id="rId524" Type="http://schemas.openxmlformats.org/officeDocument/2006/relationships/hyperlink" Target="https://ap12.ragic.com/sims/file.jsp?a=soutlet001&amp;f=seLOghaWIg%40B1%E5%93%A1%E9%A4%90%E7%93%A6%E6%96%AF%E9%96%8B%E9%97%9C%E5%B7%B2%E5%BE%A9%E6%AD%B8.jpg" TargetMode="External"/><Relationship Id="rId731" Type="http://schemas.openxmlformats.org/officeDocument/2006/relationships/hyperlink" Target="https://ap12.ragic.com/sims/file.jsp?a=soutlet001&amp;f=f9mPGKJmTu%40919%E6%AD%A2%E6%B0%B4%E5%A1%9E%E5%B7%B2%E8%AA%BF%E6%95%B4%E5%AE%8C%E6%88%90.jpg" TargetMode="External"/><Relationship Id="rId1154" Type="http://schemas.openxmlformats.org/officeDocument/2006/relationships/hyperlink" Target="https://ap12.ragic.com/sims/file.jsp?a=soutlet001&amp;f=oiJaTezu9e%40IMG_7886.jpeg" TargetMode="External"/><Relationship Id="rId1361" Type="http://schemas.openxmlformats.org/officeDocument/2006/relationships/hyperlink" Target="https://ap12.ragic.com/sims/file.jsp?a=soutlet001&amp;f=8oOE4VDO9P%40image_72E9B9A0-5107-4447-80EE-AA37A2C6BB0F_1759229902_compressed.jpeg" TargetMode="External"/><Relationship Id="rId1459" Type="http://schemas.openxmlformats.org/officeDocument/2006/relationships/hyperlink" Target="https://ap12.ragic.com/sims/file.jsp?a=soutlet001&amp;f=KW3q2A91uq%401027%E5%B7%B2%E8%AA%BF%E6%95%B4%E5%AE%8C%E6%88%90.jpg" TargetMode="External"/><Relationship Id="rId98" Type="http://schemas.openxmlformats.org/officeDocument/2006/relationships/hyperlink" Target="https://ap12.ragic.com/sims/file.jsp?a=soutlet001&amp;f=gMehb120z7%40IMG_0289.jpeg" TargetMode="External"/><Relationship Id="rId829" Type="http://schemas.openxmlformats.org/officeDocument/2006/relationships/hyperlink" Target="https://ap12.ragic.com/sims/file.jsp?a=soutlet001&amp;f=Ep2pYzZyW0%40IMG_9514.jpeg" TargetMode="External"/><Relationship Id="rId1014" Type="http://schemas.openxmlformats.org/officeDocument/2006/relationships/hyperlink" Target="https://ap12.ragic.com/sims/file.jsp?a=soutlet001&amp;f=Ty0cb4V2v5%40523%E9%9B%BB%E8%A9%B1%E5%B7%B2%E6%9B%B4%E6%8F%9B%E9%9B%BB%E6%B1%A0%E6%B8%AC%E8%A9%A6%E6%AD%A3%E5%B8%B8.jpg" TargetMode="External"/><Relationship Id="rId1221" Type="http://schemas.openxmlformats.org/officeDocument/2006/relationships/hyperlink" Target="https://ap12.ragic.com/sims/file.jsp?a=soutlet001&amp;f=6e6050RGiO%40IMG_5673.jpeg" TargetMode="External"/><Relationship Id="rId1666" Type="http://schemas.openxmlformats.org/officeDocument/2006/relationships/hyperlink" Target="https://ap12.ragic.com/sims/file.jsp?a=soutlet001&amp;f=yebyQb98J0%40S__4325420.jpg" TargetMode="External"/><Relationship Id="rId1319" Type="http://schemas.openxmlformats.org/officeDocument/2006/relationships/hyperlink" Target="https://ap12.ragic.com/sims/file.jsp?a=soutlet001&amp;f=87T4zx824u%40806%E6%B5%B4%E7%B0%BE%E8%AA%BF%E6%95%B4%E5%AE%8C%E6%88%90.jpg" TargetMode="External"/><Relationship Id="rId1526" Type="http://schemas.openxmlformats.org/officeDocument/2006/relationships/hyperlink" Target="https://ap12.ragic.com/sims/file.jsp?a=soutlet001&amp;f=gY3na2xS6D%40F7C8A388-9FF9-4E72-9942-E4453B286273.jpg" TargetMode="External"/><Relationship Id="rId1733" Type="http://schemas.openxmlformats.org/officeDocument/2006/relationships/hyperlink" Target="https://ap12.ragic.com/sims/file.jsp?a=soutlet001&amp;f=h7R79m7HJe%40IMG_3114.jpeg" TargetMode="External"/><Relationship Id="rId25" Type="http://schemas.openxmlformats.org/officeDocument/2006/relationships/hyperlink" Target="https://ap12.ragic.com/sims/file.jsp?a=soutlet001&amp;f=WCEGClcRtx%402174.jpg" TargetMode="External"/><Relationship Id="rId1800" Type="http://schemas.openxmlformats.org/officeDocument/2006/relationships/hyperlink" Target="https://ap12.ragic.com/sims/file.jsp?a=soutlet001&amp;f=fciZSwi83X%40IMG_2845.jpeg" TargetMode="External"/><Relationship Id="rId174" Type="http://schemas.openxmlformats.org/officeDocument/2006/relationships/hyperlink" Target="https://ap12.ragic.com/sims/file.jsp?a=soutlet001&amp;f=bWotIAzm3Z%40IMG_0275.jpeg" TargetMode="External"/><Relationship Id="rId381" Type="http://schemas.openxmlformats.org/officeDocument/2006/relationships/hyperlink" Target="https://ap12.ragic.com/sims/file.jsp?a=soutlet001&amp;f=8vK5kwJeek%401000007918.jpg" TargetMode="External"/><Relationship Id="rId241" Type="http://schemas.openxmlformats.org/officeDocument/2006/relationships/hyperlink" Target="https://ap12.ragic.com/sims/file.jsp?a=soutlet001&amp;f=xPOqyDxGtf%40522%E6%B0%B4%E9%BE%8D%E9%A0%AD%E5%B7%B2%E9%8E%96%E7%B7%8A.jpg" TargetMode="External"/><Relationship Id="rId479" Type="http://schemas.openxmlformats.org/officeDocument/2006/relationships/hyperlink" Target="https://ap12.ragic.com/sims/file.jsp?a=soutlet001&amp;f=FNMQr50AN4%40608+%E5%B7%B2%E8%99%95%E7%90%86ok.jpg" TargetMode="External"/><Relationship Id="rId686" Type="http://schemas.openxmlformats.org/officeDocument/2006/relationships/hyperlink" Target="https://ap12.ragic.com/sims/file.jsp?a=soutlet001&amp;f=irYD2cCyIL%40S__8658987_0.jpg" TargetMode="External"/><Relationship Id="rId893" Type="http://schemas.openxmlformats.org/officeDocument/2006/relationships/hyperlink" Target="https://ap12.ragic.com/sims/file.jsp?a=soutlet001&amp;f=byYtIaw1bw%40image.jpg" TargetMode="External"/><Relationship Id="rId339" Type="http://schemas.openxmlformats.org/officeDocument/2006/relationships/hyperlink" Target="https://ap12.ragic.com/sims/file.jsp?a=soutlet001&amp;f=wCXEUmra3F%40518%E6%8A%8A%E6%89%8B%E5%B7%B2%E9%8E%96%E5%9B%BA%E5%AE%9A.jpg" TargetMode="External"/><Relationship Id="rId546" Type="http://schemas.openxmlformats.org/officeDocument/2006/relationships/hyperlink" Target="https://ap12.ragic.com/sims/file.jsp?a=soutlet001&amp;f=XyZdaxwwKf%40818%E6%9B%B4%E6%8F%9B%E5%AE%8C%E6%88%90.jpg" TargetMode="External"/><Relationship Id="rId753" Type="http://schemas.openxmlformats.org/officeDocument/2006/relationships/hyperlink" Target="https://ap12.ragic.com/sims/file.jsp?a=soutlet001&amp;f=s93i8572Hs%40823%E8%9E%BA%E7%B5%B2%E4%BF%AE%E9%A3%BE%E8%93%8B%C3%972%E5%B7%B2%E8%A3%9D%E4%B8%8A%E5%AE%8C%E6%88%90.jpg" TargetMode="External"/><Relationship Id="rId1176" Type="http://schemas.openxmlformats.org/officeDocument/2006/relationships/hyperlink" Target="https://ap12.ragic.com/sims/file.jsp?a=soutlet001&amp;f=2pWiG6Bv30%401000025043.jpg" TargetMode="External"/><Relationship Id="rId1383" Type="http://schemas.openxmlformats.org/officeDocument/2006/relationships/hyperlink" Target="https://ap12.ragic.com/sims/file.jsp?a=soutlet001&amp;f=i6ydjdRfl2%40S__30679101.jpg" TargetMode="External"/><Relationship Id="rId101" Type="http://schemas.openxmlformats.org/officeDocument/2006/relationships/hyperlink" Target="https://ap12.ragic.com/sims/file.jsp?a=soutlet001&amp;f=ArxTk5GiNL%401000008885.jpg" TargetMode="External"/><Relationship Id="rId406" Type="http://schemas.openxmlformats.org/officeDocument/2006/relationships/hyperlink" Target="https://ap12.ragic.com/sims/file.jsp?a=soutlet001&amp;f=0i9qcoFxXo%401000007825.jpg" TargetMode="External"/><Relationship Id="rId960" Type="http://schemas.openxmlformats.org/officeDocument/2006/relationships/hyperlink" Target="https://ap12.ragic.com/sims/file.jsp?a=soutlet001&amp;f=cZkLU7AP1u%401016%E7%87%88%E6%9B%B4%E6%8F%9B%E5%AE%8C%E6%88%90%E3%80%82.jpg" TargetMode="External"/><Relationship Id="rId1036" Type="http://schemas.openxmlformats.org/officeDocument/2006/relationships/hyperlink" Target="https://ap12.ragic.com/sims/file.jsp?a=soutlet001&amp;f=eMTpYMukLU%40506%E8%9E%BA%E7%B5%B2%E4%BF%AE%E9%A3%BE%E8%93%8B%E5%B7%B2%E8%A3%9D%E4%B8%8A%E5%AE%8C%E6%88%90.jpg" TargetMode="External"/><Relationship Id="rId1243" Type="http://schemas.openxmlformats.org/officeDocument/2006/relationships/hyperlink" Target="https://ap12.ragic.com/sims/file.jsp?a=soutlet001&amp;f=3Gr5mG0f6h%4071914_0.jpg" TargetMode="External"/><Relationship Id="rId1590" Type="http://schemas.openxmlformats.org/officeDocument/2006/relationships/hyperlink" Target="https://ap12.ragic.com/sims/file.jsp?a=soutlet001&amp;f=RqVEF6SJOC%4065615.jpg" TargetMode="External"/><Relationship Id="rId1688" Type="http://schemas.openxmlformats.org/officeDocument/2006/relationships/hyperlink" Target="https://ap12.ragic.com/sims/file.jsp?a=soutlet001&amp;f=4mfI289M92%4063464.jpg" TargetMode="External"/><Relationship Id="rId613" Type="http://schemas.openxmlformats.org/officeDocument/2006/relationships/hyperlink" Target="https://ap12.ragic.com/sims/file.jsp?a=soutlet001&amp;f=iTsDS2nAlW%40917%E9%9B%BB%E6%B1%A0%E5%B7%B2%E6%9B%B4%E6%8F%9B%E5%AE%8C%E6%88%90.jpg" TargetMode="External"/><Relationship Id="rId820" Type="http://schemas.openxmlformats.org/officeDocument/2006/relationships/hyperlink" Target="https://ap12.ragic.com/sims/file.jsp?a=soutlet001&amp;f=UkPlGCfDQS%4080321.jpg" TargetMode="External"/><Relationship Id="rId918" Type="http://schemas.openxmlformats.org/officeDocument/2006/relationships/hyperlink" Target="https://ap12.ragic.com/sims/file.jsp?a=soutlet001&amp;f=nno0pDY3zT%4077623.jpg" TargetMode="External"/><Relationship Id="rId1450" Type="http://schemas.openxmlformats.org/officeDocument/2006/relationships/hyperlink" Target="https://ap12.ragic.com/sims/file.jsp?a=soutlet001&amp;f=1lVw60pm53%40509%E5%B7%B2%E8%AA%BF%E6%95%B4%E5%AE%8C%E6%88%90.jpg" TargetMode="External"/><Relationship Id="rId1548" Type="http://schemas.openxmlformats.org/officeDocument/2006/relationships/hyperlink" Target="https://ap12.ragic.com/sims/file.jsp?a=soutlet001&amp;f=7S50VJ78XM%40IMG_4207.jpeg" TargetMode="External"/><Relationship Id="rId1755" Type="http://schemas.openxmlformats.org/officeDocument/2006/relationships/hyperlink" Target="https://ap12.ragic.com/sims/file.jsp?a=soutlet001&amp;f=92Ye78QyKB%40S__4161607.jpg" TargetMode="External"/><Relationship Id="rId1103" Type="http://schemas.openxmlformats.org/officeDocument/2006/relationships/hyperlink" Target="https://ap12.ragic.com/sims/file.jsp?a=soutlet001&amp;f=k8ZNpAko3Q%40IMG_6399.jpeg" TargetMode="External"/><Relationship Id="rId1310" Type="http://schemas.openxmlformats.org/officeDocument/2006/relationships/hyperlink" Target="https://ap12.ragic.com/sims/file.jsp?a=soutlet001&amp;f=lToa39bRHV%40IMG_7656.jpeg" TargetMode="External"/><Relationship Id="rId1408" Type="http://schemas.openxmlformats.org/officeDocument/2006/relationships/hyperlink" Target="https://ap12.ragic.com/sims/file.jsp?a=soutlet001&amp;f=8sZowpgJcZ%40IMG_7488.jpeg" TargetMode="External"/><Relationship Id="rId47" Type="http://schemas.openxmlformats.org/officeDocument/2006/relationships/hyperlink" Target="https://ap12.ragic.com/sims/file.jsp?a=soutlet001&amp;f=HrjnTb1BDe%401000015293.jpg" TargetMode="External"/><Relationship Id="rId1615" Type="http://schemas.openxmlformats.org/officeDocument/2006/relationships/hyperlink" Target="https://ap12.ragic.com/sims/file.jsp?a=soutlet001&amp;f=7di2fDex7D%40image_F4C5E4D4-14FE-48FF-A10F-64C9B92A20B6_1756736024_compressed.jpeg" TargetMode="External"/><Relationship Id="rId1822" Type="http://schemas.openxmlformats.org/officeDocument/2006/relationships/hyperlink" Target="https://ap12.ragic.com/sims/file.jsp?a=soutlet001&amp;f=423Nhhk9OM%40S__4145318.jpg" TargetMode="External"/><Relationship Id="rId196" Type="http://schemas.openxmlformats.org/officeDocument/2006/relationships/hyperlink" Target="https://ap12.ragic.com/sims/file.jsp?a=soutlet001&amp;f=oIaG8M87lI%40730++%E6%B5%B4%E5%AE%A4%E9%96%80%E8%99%95%E7%90%86%E5%AE%8C%E6%88%90.jpg" TargetMode="External"/><Relationship Id="rId263" Type="http://schemas.openxmlformats.org/officeDocument/2006/relationships/hyperlink" Target="https://ap12.ragic.com/sims/file.jsp?a=soutlet001&amp;f=5DDVU3NVZg%401f335c9899aa48fed703e96fbc024657.png" TargetMode="External"/><Relationship Id="rId470" Type="http://schemas.openxmlformats.org/officeDocument/2006/relationships/hyperlink" Target="https://ap12.ragic.com/sims/file.jsp?a=soutlet001&amp;f=aXMQtCXpgD%40601%E7%87%88%E5%85%B7%E4%BF%AE%E5%BE%A9%E5%AE%8C%E6%88%90.jpg" TargetMode="External"/><Relationship Id="rId123" Type="http://schemas.openxmlformats.org/officeDocument/2006/relationships/hyperlink" Target="https://ap12.ragic.com/sims/file.jsp?a=soutlet001&amp;f=qYkJujM2dR%40IMG_2514.jpeg" TargetMode="External"/><Relationship Id="rId330" Type="http://schemas.openxmlformats.org/officeDocument/2006/relationships/hyperlink" Target="https://ap12.ragic.com/sims/file.jsp?a=soutlet001&amp;f=zZULaWaB1h%40605+%E6%B5%B4%E9%96%80%E8%99%95%E7%90%86%E5%AE%8C%E6%88%90.jpg" TargetMode="External"/><Relationship Id="rId568" Type="http://schemas.openxmlformats.org/officeDocument/2006/relationships/hyperlink" Target="https://ap12.ragic.com/sims/file.jsp?a=soutlet001&amp;f=afp7a3y9LP%40720%E6%A1%8C%E9%9D%A2%E8%A3%9C%E6%BC%86%E5%AE%8C%E6%88%90.jpg" TargetMode="External"/><Relationship Id="rId775" Type="http://schemas.openxmlformats.org/officeDocument/2006/relationships/hyperlink" Target="https://ap12.ragic.com/sims/file.jsp?a=soutlet001&amp;f=rZKvl0NW6G%40IMG_9479.jpeg" TargetMode="External"/><Relationship Id="rId982" Type="http://schemas.openxmlformats.org/officeDocument/2006/relationships/hyperlink" Target="https://ap12.ragic.com/sims/file.jsp?a=soutlet001&amp;f=4lSXAlwq4z%40image_9239A2C2-41E3-4D15-8A0B-BC3622568FB5_1763293087_compressed.jpeg" TargetMode="External"/><Relationship Id="rId1198" Type="http://schemas.openxmlformats.org/officeDocument/2006/relationships/hyperlink" Target="https://ap12.ragic.com/sims/file.jsp?a=soutlet001&amp;f=dG2Z6suL9Z%40%E8%9E%A2%E5%B9%95%E6%93%B7%E5%8F%96%E7%95%AB%E9%9D%A2+2025-10-18+102856.jpg" TargetMode="External"/><Relationship Id="rId428" Type="http://schemas.openxmlformats.org/officeDocument/2006/relationships/hyperlink" Target="https://ap12.ragic.com/sims/file.jsp?a=soutlet001&amp;f=Z8vEI3Tyep%401000007745.jpg" TargetMode="External"/><Relationship Id="rId635" Type="http://schemas.openxmlformats.org/officeDocument/2006/relationships/hyperlink" Target="https://ap12.ragic.com/sims/file.jsp?a=soutlet001&amp;f=76XGaTYToB%40IMG_9706.jpeg" TargetMode="External"/><Relationship Id="rId842" Type="http://schemas.openxmlformats.org/officeDocument/2006/relationships/hyperlink" Target="https://ap12.ragic.com/sims/file.jsp?a=soutlet001&amp;f=lbqSAJuV04%4079740.jpg" TargetMode="External"/><Relationship Id="rId1058" Type="http://schemas.openxmlformats.org/officeDocument/2006/relationships/hyperlink" Target="https://ap12.ragic.com/sims/file.jsp?a=soutlet001&amp;f=Zttr5opaq8%40IMG_8196.jpeg" TargetMode="External"/><Relationship Id="rId1265" Type="http://schemas.openxmlformats.org/officeDocument/2006/relationships/hyperlink" Target="https://ap12.ragic.com/sims/file.jsp?a=soutlet001&amp;f=7d1096mUH5%40S__7241759_0%281%29.jpg" TargetMode="External"/><Relationship Id="rId1472" Type="http://schemas.openxmlformats.org/officeDocument/2006/relationships/hyperlink" Target="https://ap12.ragic.com/sims/file.jsp?a=soutlet001&amp;f=49Sl6I51Lh%40808%E7%B4%99%E7%87%88%E7%B1%A0%E6%9B%B4%E6%96%B0.jpg" TargetMode="External"/><Relationship Id="rId702" Type="http://schemas.openxmlformats.org/officeDocument/2006/relationships/hyperlink" Target="https://ap12.ragic.com/sims/file.jsp?a=soutlet001&amp;f=Akl4fxRjZm%40711%E6%B5%B4%E7%B0%BE%E8%AA%BF%E6%95%B4%E5%AE%8C%E6%88%90.jpg" TargetMode="External"/><Relationship Id="rId1125" Type="http://schemas.openxmlformats.org/officeDocument/2006/relationships/hyperlink" Target="https://ap12.ragic.com/sims/file.jsp?a=soutlet001&amp;f=2Q8kiBC606%40IMG_6207.jpeg" TargetMode="External"/><Relationship Id="rId1332" Type="http://schemas.openxmlformats.org/officeDocument/2006/relationships/hyperlink" Target="https://ap12.ragic.com/sims/file.jsp?a=soutlet001&amp;f=pH4T46g4S9%4062721_0.jpg" TargetMode="External"/><Relationship Id="rId1777" Type="http://schemas.openxmlformats.org/officeDocument/2006/relationships/hyperlink" Target="https://ap12.ragic.com/sims/file.jsp?a=soutlet001&amp;f=9PD1n76RwF%40image.jpg" TargetMode="External"/><Relationship Id="rId69" Type="http://schemas.openxmlformats.org/officeDocument/2006/relationships/hyperlink" Target="https://ap12.ragic.com/sims/file.jsp?a=soutlet001&amp;f=xBJXPUaPta%401000009478.jpg" TargetMode="External"/><Relationship Id="rId1637" Type="http://schemas.openxmlformats.org/officeDocument/2006/relationships/hyperlink" Target="https://ap12.ragic.com/sims/file.jsp?a=soutlet001&amp;f=0SNArQ8I76%40IMG_6155.jpeg" TargetMode="External"/><Relationship Id="rId1704" Type="http://schemas.openxmlformats.org/officeDocument/2006/relationships/hyperlink" Target="https://ap12.ragic.com/sims/file.jsp?a=soutlet001&amp;f=51Tg1r0baZ%40S__27377756.jpg" TargetMode="External"/><Relationship Id="rId285" Type="http://schemas.openxmlformats.org/officeDocument/2006/relationships/hyperlink" Target="https://ap12.ragic.com/sims/file.jsp?a=soutlet001&amp;f=MV1yzRHG0e%400fcee19033d46358bcde10cf10fa7f89.png" TargetMode="External"/><Relationship Id="rId492" Type="http://schemas.openxmlformats.org/officeDocument/2006/relationships/hyperlink" Target="https://ap12.ragic.com/sims/file.jsp?a=soutlet001&amp;f=U4hagyCRkw%40IMG_1694+%281%29.jpeg" TargetMode="External"/><Relationship Id="rId797" Type="http://schemas.openxmlformats.org/officeDocument/2006/relationships/hyperlink" Target="https://ap12.ragic.com/sims/file.jsp?a=soutlet001&amp;f=QXBu370Uvs%401000006617.jpg" TargetMode="External"/><Relationship Id="rId145" Type="http://schemas.openxmlformats.org/officeDocument/2006/relationships/hyperlink" Target="https://ap12.ragic.com/sims/file.jsp?a=soutlet001&amp;f=I6qXXGbSKs%40IMG_0404.jpeg" TargetMode="External"/><Relationship Id="rId352" Type="http://schemas.openxmlformats.org/officeDocument/2006/relationships/hyperlink" Target="https://ap12.ragic.com/sims/file.jsp?a=soutlet001&amp;f=gGvoZfiAI6%40828%E9%9B%BB%E8%A9%B1%E9%9B%B6%E4%BB%B6%E5%B7%B2%E5%9B%BA%E5%AE%9A%E5%AE%8C%E6%88%90.jpg" TargetMode="External"/><Relationship Id="rId1287" Type="http://schemas.openxmlformats.org/officeDocument/2006/relationships/hyperlink" Target="https://ap12.ragic.com/sims/file.jsp?a=soutlet001&amp;f=v2SAtpq5zK%4020251008.jpg" TargetMode="External"/><Relationship Id="rId212" Type="http://schemas.openxmlformats.org/officeDocument/2006/relationships/hyperlink" Target="https://ap12.ragic.com/sims/file.jsp?a=soutlet001&amp;f=pZoTxMjk9l%40628+TV%E8%99%95%E7%90%86%E5%AE%8C%E6%88%90.jpg" TargetMode="External"/><Relationship Id="rId657" Type="http://schemas.openxmlformats.org/officeDocument/2006/relationships/hyperlink" Target="https://ap12.ragic.com/sims/file.jsp?a=soutlet001&amp;f=88W8LXoqJE%40706%E8%B2%93%E7%9C%BC%E5%9B%BA%E5%AE%9A%E5%AE%8C%E6%88%90.jpg" TargetMode="External"/><Relationship Id="rId864" Type="http://schemas.openxmlformats.org/officeDocument/2006/relationships/hyperlink" Target="https://ap12.ragic.com/sims/file.jsp?a=soutlet001&amp;f=3xp51dW1f5%40728%E6%B5%B4%E5%AE%A4%E8%99%95%E7%90%86%E5%AE%8C%E6%88%90.jpg" TargetMode="External"/><Relationship Id="rId1494" Type="http://schemas.openxmlformats.org/officeDocument/2006/relationships/hyperlink" Target="https://ap12.ragic.com/sims/file.jsp?a=soutlet001&amp;f=5cDNX0L92w%40823%E5%B7%B2%E9%8E%96%E7%B7%8A%E5%AE%8C%E6%88%90.jpg" TargetMode="External"/><Relationship Id="rId1799" Type="http://schemas.openxmlformats.org/officeDocument/2006/relationships/hyperlink" Target="https://ap12.ragic.com/sims/file.jsp?a=soutlet001&amp;f=619U5yDC0C%40IMG_5896.jpeg" TargetMode="External"/><Relationship Id="rId517" Type="http://schemas.openxmlformats.org/officeDocument/2006/relationships/hyperlink" Target="https://ap12.ragic.com/sims/file.jsp?a=soutlet001&amp;f=8M0o5zHeHU%401000007538.jpg" TargetMode="External"/><Relationship Id="rId724" Type="http://schemas.openxmlformats.org/officeDocument/2006/relationships/hyperlink" Target="https://ap12.ragic.com/sims/file.jsp?a=soutlet001&amp;f=mOGIdIfsXl%40IMG_9563.jpeg" TargetMode="External"/><Relationship Id="rId931" Type="http://schemas.openxmlformats.org/officeDocument/2006/relationships/hyperlink" Target="https://ap12.ragic.com/sims/file.jsp?a=soutlet001&amp;f=YjfVdOJbxw%40501%E5%A4%A9%E8%8A%B1%E6%9D%BF%E6%B2%B9%E6%BC%86%E5%AE%8C%E6%88%90.jpg" TargetMode="External"/><Relationship Id="rId1147" Type="http://schemas.openxmlformats.org/officeDocument/2006/relationships/hyperlink" Target="https://ap12.ragic.com/sims/file.jsp?a=soutlet001&amp;f=biQS592mAx%40IMG_7897.jpeg" TargetMode="External"/><Relationship Id="rId1354" Type="http://schemas.openxmlformats.org/officeDocument/2006/relationships/hyperlink" Target="https://ap12.ragic.com/sims/file.jsp?a=soutlet001&amp;f=n35WKFDd9m%40IMG_5029.jpeg" TargetMode="External"/><Relationship Id="rId1561" Type="http://schemas.openxmlformats.org/officeDocument/2006/relationships/hyperlink" Target="https://ap12.ragic.com/sims/file.jsp?a=soutlet001&amp;f=ayI3kx9JN2%40912%E9%A6%AC%E6%A1%B6%E9%9B%B6%E4%BB%B6%E5%B7%B2%E8%A3%9D%E5%AE%8C%E6%88%90.jpg" TargetMode="External"/><Relationship Id="rId60" Type="http://schemas.openxmlformats.org/officeDocument/2006/relationships/hyperlink" Target="https://ap12.ragic.com/sims/file.jsp?a=soutlet001&amp;f=ghJpURBKMk%401000009522.jpg" TargetMode="External"/><Relationship Id="rId1007" Type="http://schemas.openxmlformats.org/officeDocument/2006/relationships/hyperlink" Target="https://ap12.ragic.com/sims/file.jsp?a=soutlet001&amp;f=OiusDnk5q8%40IMG_6642.jpeg" TargetMode="External"/><Relationship Id="rId1214" Type="http://schemas.openxmlformats.org/officeDocument/2006/relationships/hyperlink" Target="https://ap12.ragic.com/sims/file.jsp?a=soutlet001&amp;f=f03N4BhLLu%40IMG_7782.jpeg" TargetMode="External"/><Relationship Id="rId1421" Type="http://schemas.openxmlformats.org/officeDocument/2006/relationships/hyperlink" Target="https://ap12.ragic.com/sims/file.jsp?a=soutlet001&amp;f=LLHXaotT6q%40image_AF261261-5F8B-4855-A811-69F95028682F_1759133809_compressed.jpeg" TargetMode="External"/><Relationship Id="rId1659" Type="http://schemas.openxmlformats.org/officeDocument/2006/relationships/hyperlink" Target="https://ap12.ragic.com/sims/file.jsp?a=soutlet001&amp;f=8fSLLu14tR%40IMG_6125.jpeg" TargetMode="External"/><Relationship Id="rId1519" Type="http://schemas.openxmlformats.org/officeDocument/2006/relationships/hyperlink" Target="https://ap12.ragic.com/sims/file.jsp?a=soutlet001&amp;f=aVc7bxBR83%40S__19660802.jpg" TargetMode="External"/><Relationship Id="rId1726" Type="http://schemas.openxmlformats.org/officeDocument/2006/relationships/hyperlink" Target="https://ap12.ragic.com/sims/file.jsp?a=soutlet001&amp;f=3xnVq9eL9E%40S__50077770.jpg" TargetMode="External"/><Relationship Id="rId18" Type="http://schemas.openxmlformats.org/officeDocument/2006/relationships/hyperlink" Target="https://ap12.ragic.com/sims/file.jsp?a=soutlet001&amp;f=qURCbYcrQM%40IMG_1483.jpeg" TargetMode="External"/><Relationship Id="rId167" Type="http://schemas.openxmlformats.org/officeDocument/2006/relationships/hyperlink" Target="https://ap12.ragic.com/sims/file.jsp?a=soutlet001&amp;f=790xdp59Jv%40IMG_0319.jpeg" TargetMode="External"/><Relationship Id="rId374" Type="http://schemas.openxmlformats.org/officeDocument/2006/relationships/hyperlink" Target="https://ap12.ragic.com/sims/file.jsp?a=soutlet001&amp;f=v3gAmbQtUl%40IMG_0153.jpeg" TargetMode="External"/><Relationship Id="rId581" Type="http://schemas.openxmlformats.org/officeDocument/2006/relationships/hyperlink" Target="https://ap12.ragic.com/sims/file.jsp?a=soutlet001&amp;f=JnLUynBqAb%40827%E9%9D%A2%E6%9D%BF%E4%B8%8B%E6%96%B9%E6%B2%B9%E6%BC%86%E5%AE%8C%E6%88%90.jpg" TargetMode="External"/><Relationship Id="rId234" Type="http://schemas.openxmlformats.org/officeDocument/2006/relationships/hyperlink" Target="https://ap12.ragic.com/sims/file.jsp?a=soutlet001&amp;f=ME7w7coq6m%40IMG_7856.jpeg" TargetMode="External"/><Relationship Id="rId679" Type="http://schemas.openxmlformats.org/officeDocument/2006/relationships/hyperlink" Target="https://ap12.ragic.com/sims/file.jsp?a=soutlet001&amp;f=xnlk9AAcYX%40515+%E5%A4%9C%E7%87%88%E5%B7%B2%E8%A3%9D%E4%B8%8A.jpg" TargetMode="External"/><Relationship Id="rId886" Type="http://schemas.openxmlformats.org/officeDocument/2006/relationships/hyperlink" Target="https://ap12.ragic.com/sims/file.jsp?a=soutlet001&amp;f=6V6gGNYQ0i%40832111.jpg" TargetMode="External"/><Relationship Id="rId2" Type="http://schemas.openxmlformats.org/officeDocument/2006/relationships/hyperlink" Target="https://ap12.ragic.com/sims/file.jsp?a=soutlet001&amp;f=pgzOBHMj9H%401000015999.jpg" TargetMode="External"/><Relationship Id="rId441" Type="http://schemas.openxmlformats.org/officeDocument/2006/relationships/hyperlink" Target="https://ap12.ragic.com/sims/file.jsp?a=soutlet001&amp;f=BSsRWfdQNA%401000007699.jpg" TargetMode="External"/><Relationship Id="rId539" Type="http://schemas.openxmlformats.org/officeDocument/2006/relationships/hyperlink" Target="https://ap12.ragic.com/sims/file.jsp?a=soutlet001&amp;f=japeOIaz7S%40828%E6%B7%8B%E6%B5%B4%E9%96%93%E6%AD%A2%E6%B0%B4%E6%A2%9D%E5%B7%B2%E6%9B%B4%E6%96%B0%E5%AE%8C%E6%88%90.jpg" TargetMode="External"/><Relationship Id="rId746" Type="http://schemas.openxmlformats.org/officeDocument/2006/relationships/hyperlink" Target="https://ap12.ragic.com/sims/file.jsp?a=soutlet001&amp;f=lotX9TfRHB%40606%E8%9E%BA%E7%B5%B2%E4%BF%AE%E9%A3%BE%E8%93%8B%E5%B7%B2%E8%A3%9D%E4%B8%8A%E5%AE%8C%E6%88%90.jpg" TargetMode="External"/><Relationship Id="rId1071" Type="http://schemas.openxmlformats.org/officeDocument/2006/relationships/hyperlink" Target="https://ap12.ragic.com/sims/file.jsp?a=soutlet001&amp;f=0C9v5R6P9v%40911%E6%B7%8B%E6%B5%B4%E9%96%93%E9%9B%B6%E4%BB%B6%E5%B7%B2%E4%BF%AE%E5%BE%A9%E5%AE%8C%E6%88%90.jpg" TargetMode="External"/><Relationship Id="rId1169" Type="http://schemas.openxmlformats.org/officeDocument/2006/relationships/hyperlink" Target="https://ap12.ragic.com/sims/file.jsp?a=soutlet001&amp;f=I02601IQ2S%40IMG_7870.jpeg" TargetMode="External"/><Relationship Id="rId1376" Type="http://schemas.openxmlformats.org/officeDocument/2006/relationships/hyperlink" Target="https://ap12.ragic.com/sims/file.jsp?a=soutlet001&amp;f=1085p4l5Zt%40IMG_4958.jpeg" TargetMode="External"/><Relationship Id="rId1583" Type="http://schemas.openxmlformats.org/officeDocument/2006/relationships/hyperlink" Target="https://ap12.ragic.com/sims/file.jsp?a=soutlet001&amp;f=4fF8wxxK6F%4073656.jpg" TargetMode="External"/><Relationship Id="rId301" Type="http://schemas.openxmlformats.org/officeDocument/2006/relationships/hyperlink" Target="https://ap12.ragic.com/sims/file.jsp?a=soutlet001&amp;f=SqeEe0S1fZ%408fa97fe28eee61122c45d22413c629e4.png" TargetMode="External"/><Relationship Id="rId953" Type="http://schemas.openxmlformats.org/officeDocument/2006/relationships/hyperlink" Target="https://ap12.ragic.com/sims/file.jsp?a=soutlet001&amp;f=RshCiUJjGq%40IMG_7669.jpeg" TargetMode="External"/><Relationship Id="rId1029" Type="http://schemas.openxmlformats.org/officeDocument/2006/relationships/hyperlink" Target="https://ap12.ragic.com/sims/file.jsp?a=soutlet001&amp;f=9Y94731Ma5%40IMG_0829.jpeg" TargetMode="External"/><Relationship Id="rId1236" Type="http://schemas.openxmlformats.org/officeDocument/2006/relationships/hyperlink" Target="https://ap12.ragic.com/sims/file.jsp?a=soutlet001&amp;f=fAm01l45g1%40918%E6%8F%9B%E7%87%88%E6%B3%A1.jpg" TargetMode="External"/><Relationship Id="rId1790" Type="http://schemas.openxmlformats.org/officeDocument/2006/relationships/hyperlink" Target="https://ap12.ragic.com/sims/file.jsp?a=soutlet001&amp;f=EJ8JmSdxYF%4062054.jpg" TargetMode="External"/><Relationship Id="rId82" Type="http://schemas.openxmlformats.org/officeDocument/2006/relationships/hyperlink" Target="https://ap12.ragic.com/sims/file.jsp?a=soutlet001&amp;f=N52LABMeRs%40IMG_0455.jpeg" TargetMode="External"/><Relationship Id="rId606" Type="http://schemas.openxmlformats.org/officeDocument/2006/relationships/hyperlink" Target="https://ap12.ragic.com/sims/file.jsp?a=soutlet001&amp;f=kTI7uid5a9%4086053.jpg" TargetMode="External"/><Relationship Id="rId813" Type="http://schemas.openxmlformats.org/officeDocument/2006/relationships/hyperlink" Target="https://ap12.ragic.com/sims/file.jsp?a=soutlet001&amp;f=QN8YrYTYPK%40image_F0595EE3-6D22-4E00-9B67-D9038B681C60_1765950408_compressed.jpeg" TargetMode="External"/><Relationship Id="rId1443" Type="http://schemas.openxmlformats.org/officeDocument/2006/relationships/hyperlink" Target="https://ap12.ragic.com/sims/file.jsp?a=soutlet001&amp;f=RrduDx4B0n%40IMG_4647.jpeg" TargetMode="External"/><Relationship Id="rId1650" Type="http://schemas.openxmlformats.org/officeDocument/2006/relationships/hyperlink" Target="https://ap12.ragic.com/sims/file.jsp?a=soutlet001&amp;f=Y93NPZp9tA%40IMG_6141.jpeg" TargetMode="External"/><Relationship Id="rId1748" Type="http://schemas.openxmlformats.org/officeDocument/2006/relationships/hyperlink" Target="https://ap12.ragic.com/sims/file.jsp?a=soutlet001&amp;f=8y9ylk8xj6%4062804.jpg" TargetMode="External"/><Relationship Id="rId1303" Type="http://schemas.openxmlformats.org/officeDocument/2006/relationships/hyperlink" Target="https://ap12.ragic.com/sims/file.jsp?a=soutlet001&amp;f=qoXBKn8MR0%401028%E6%B5%B4%E5%AE%A4%E6%8B%89%E9%96%80%E8%AA%BF%E6%95%B4%E5%AE%8C%E6%88%90.jpg" TargetMode="External"/><Relationship Id="rId1510" Type="http://schemas.openxmlformats.org/officeDocument/2006/relationships/hyperlink" Target="https://ap12.ragic.com/sims/file.jsp?a=soutlet001&amp;f=Tu4gJgWCvc%4066818.jpg" TargetMode="External"/><Relationship Id="rId1608" Type="http://schemas.openxmlformats.org/officeDocument/2006/relationships/hyperlink" Target="https://ap12.ragic.com/sims/file.jsp?a=soutlet001&amp;f=acqvuv3shO%40IMG_6220.jpeg" TargetMode="External"/><Relationship Id="rId1815" Type="http://schemas.openxmlformats.org/officeDocument/2006/relationships/hyperlink" Target="https://ap12.ragic.com/sims/file.jsp?a=soutlet001&amp;f=s7sWHJjY47%40IMG_5861.jpeg" TargetMode="External"/><Relationship Id="rId189" Type="http://schemas.openxmlformats.org/officeDocument/2006/relationships/hyperlink" Target="https://ap12.ragic.com/sims/file.jsp?a=soutlet001&amp;f=7NA2QgKQik%40%E6%BF%BE%E8%8A%AF.jpg" TargetMode="External"/><Relationship Id="rId396" Type="http://schemas.openxmlformats.org/officeDocument/2006/relationships/hyperlink" Target="https://ap12.ragic.com/sims/file.jsp?a=soutlet001&amp;f=DCeFNr5YJu%40image_E70C944F-AFD6-40FA-AFE9-2752999D3E64_1770907405_compressed.jpeg" TargetMode="External"/><Relationship Id="rId256" Type="http://schemas.openxmlformats.org/officeDocument/2006/relationships/hyperlink" Target="https://ap12.ragic.com/sims/file.jsp?a=soutlet001&amp;f=uoOStCYyNF%40403b7e2fc5b3442d71f853ddecc81d50.png" TargetMode="External"/><Relationship Id="rId463" Type="http://schemas.openxmlformats.org/officeDocument/2006/relationships/hyperlink" Target="https://ap12.ragic.com/sims/file.jsp?a=soutlet001&amp;f=s0J6iqZWJn%4010%E6%A8%93%E6%A2%AF%E5%BB%B3%E5%A4%96%E8%A3%9C%E6%BC%86%E5%AE%8C%E6%88%90.jpg" TargetMode="External"/><Relationship Id="rId670" Type="http://schemas.openxmlformats.org/officeDocument/2006/relationships/hyperlink" Target="https://ap12.ragic.com/sims/file.jsp?a=soutlet001&amp;f=Q7SmzFkvKb%40IMG_9616.jpeg" TargetMode="External"/><Relationship Id="rId1093" Type="http://schemas.openxmlformats.org/officeDocument/2006/relationships/hyperlink" Target="https://ap12.ragic.com/sims/file.jsp?a=soutlet001&amp;f=7fVEk1sP7m%40IMG_8145.jpeg" TargetMode="External"/><Relationship Id="rId116" Type="http://schemas.openxmlformats.org/officeDocument/2006/relationships/hyperlink" Target="https://ap12.ragic.com/sims/file.jsp?a=soutlet001&amp;f=oOJQY1mWxb%40IMG_2558.jpeg" TargetMode="External"/><Relationship Id="rId323" Type="http://schemas.openxmlformats.org/officeDocument/2006/relationships/hyperlink" Target="https://ap12.ragic.com/sims/file.jsp?a=soutlet001&amp;f=5tyUhiFXIW%40fd81c84e28d3ac7abc8ccb2ad55a4be1.png" TargetMode="External"/><Relationship Id="rId530" Type="http://schemas.openxmlformats.org/officeDocument/2006/relationships/hyperlink" Target="https://ap12.ragic.com/sims/file.jsp?a=soutlet001&amp;f=S7BRJmHR5L%401030+%E6%B7%8B%E6%B5%B4%E9%96%93%E9%9B%B6%E4%BB%B6%E8%99%95%E7%90%86%E5%AE%8C%E6%88%90%E3%80%82.jpg" TargetMode="External"/><Relationship Id="rId768" Type="http://schemas.openxmlformats.org/officeDocument/2006/relationships/hyperlink" Target="https://ap12.ragic.com/sims/file.jsp?a=soutlet001&amp;f=98BjLWIvpf%40IMG_9495.jpeg" TargetMode="External"/><Relationship Id="rId975" Type="http://schemas.openxmlformats.org/officeDocument/2006/relationships/hyperlink" Target="https://ap12.ragic.com/sims/file.jsp?a=soutlet001&amp;f=vDsGW4RFHw%40IMG_8366.jpeg" TargetMode="External"/><Relationship Id="rId1160" Type="http://schemas.openxmlformats.org/officeDocument/2006/relationships/hyperlink" Target="https://ap12.ragic.com/sims/file.jsp?a=soutlet001&amp;f=4iRdd16B1h%40IMG_7884.jpeg" TargetMode="External"/><Relationship Id="rId1398" Type="http://schemas.openxmlformats.org/officeDocument/2006/relationships/hyperlink" Target="https://ap12.ragic.com/sims/file.jsp?a=soutlet001&amp;f=G800XAg017%40image_4B698D7A-7475-4391-958E-7CE13D1463E9_1759110927_compressed.jpeg" TargetMode="External"/><Relationship Id="rId628" Type="http://schemas.openxmlformats.org/officeDocument/2006/relationships/hyperlink" Target="https://ap12.ragic.com/sims/file.jsp?a=soutlet001&amp;f=3MfVXbFP2i%401000017169.jpg" TargetMode="External"/><Relationship Id="rId835" Type="http://schemas.openxmlformats.org/officeDocument/2006/relationships/hyperlink" Target="https://ap12.ragic.com/sims/file.jsp?a=soutlet001&amp;f=dxX3p4VCa0%40725%E5%87%BA%E9%A2%A8%E5%8F%A325%E3%80%8126%E5%BA%A6.jpg" TargetMode="External"/><Relationship Id="rId1258" Type="http://schemas.openxmlformats.org/officeDocument/2006/relationships/hyperlink" Target="https://ap12.ragic.com/sims/file.jsp?a=soutlet001&amp;f=eZ3NHyY8yP%40S__5841112.jpg" TargetMode="External"/><Relationship Id="rId1465" Type="http://schemas.openxmlformats.org/officeDocument/2006/relationships/hyperlink" Target="https://ap12.ragic.com/sims/file.jsp?a=soutlet001&amp;f=XbPMI6K6NQ%40620%E7%87%88%E6%B3%A1%E5%B7%B2%E6%9B%B4%E6%8F%9B%E5%AE%8C%E6%88%90.jpg" TargetMode="External"/><Relationship Id="rId1672" Type="http://schemas.openxmlformats.org/officeDocument/2006/relationships/hyperlink" Target="https://ap12.ragic.com/sims/file.jsp?a=soutlet001&amp;f=h6HdhhS3UT%40507.jpg" TargetMode="External"/><Relationship Id="rId1020" Type="http://schemas.openxmlformats.org/officeDocument/2006/relationships/hyperlink" Target="https://ap12.ragic.com/sims/file.jsp?a=soutlet001&amp;f=rU913X5LfM%40S__45359155.jpg" TargetMode="External"/><Relationship Id="rId1118" Type="http://schemas.openxmlformats.org/officeDocument/2006/relationships/hyperlink" Target="https://ap12.ragic.com/sims/file.jsp?a=soutlet001&amp;f=Udd5fE43Ut%40IMG_6295.jpeg" TargetMode="External"/><Relationship Id="rId1325" Type="http://schemas.openxmlformats.org/officeDocument/2006/relationships/hyperlink" Target="https://ap12.ragic.com/sims/file.jsp?a=soutlet001&amp;f=KDT3sQzX88%40IMG_5338.jpeg" TargetMode="External"/><Relationship Id="rId1532" Type="http://schemas.openxmlformats.org/officeDocument/2006/relationships/hyperlink" Target="https://ap12.ragic.com/sims/file.jsp?a=soutlet001&amp;f=9aO51P4718%40S__6848548.jpg" TargetMode="External"/><Relationship Id="rId902" Type="http://schemas.openxmlformats.org/officeDocument/2006/relationships/hyperlink" Target="https://ap12.ragic.com/sims/file.jsp?a=soutlet001&amp;f=7RsS75tzXm%40109264.jpg" TargetMode="External"/><Relationship Id="rId31" Type="http://schemas.openxmlformats.org/officeDocument/2006/relationships/hyperlink" Target="https://ap12.ragic.com/sims/file.jsp?a=soutlet001&amp;f=1o8TBlOwMg%40IMG_2208.jpeg" TargetMode="External"/><Relationship Id="rId180" Type="http://schemas.openxmlformats.org/officeDocument/2006/relationships/hyperlink" Target="https://ap12.ragic.com/sims/file.jsp?a=soutlet001&amp;f=xCEBw9O2G2%40631%E8%B2%93%E7%9C%BCok.jpg" TargetMode="External"/><Relationship Id="rId278" Type="http://schemas.openxmlformats.org/officeDocument/2006/relationships/hyperlink" Target="https://ap12.ragic.com/sims/file.jsp?a=soutlet001&amp;f=z69KEkk5Hu%409e114592329dca16357650674c9de55c.png" TargetMode="External"/><Relationship Id="rId485" Type="http://schemas.openxmlformats.org/officeDocument/2006/relationships/hyperlink" Target="https://ap12.ragic.com/sims/file.jsp?a=soutlet001&amp;f=CMsjBR9woq%40619%E5%BA%8A%E9%A0%AD%E7%87%88%E4%BF%AE%E5%BE%A9%E5%AE%8C%E6%88%90%E3%80%82.jpg" TargetMode="External"/><Relationship Id="rId692" Type="http://schemas.openxmlformats.org/officeDocument/2006/relationships/hyperlink" Target="https://ap12.ragic.com/sims/file.jsp?a=soutlet001&amp;f=wgxR2fRug9%40S__62685218.jpg" TargetMode="External"/><Relationship Id="rId138" Type="http://schemas.openxmlformats.org/officeDocument/2006/relationships/hyperlink" Target="https://ap12.ragic.com/sims/file.jsp?a=soutlet001&amp;f=kiuBTQYB7f%401000008518.jpg" TargetMode="External"/><Relationship Id="rId345" Type="http://schemas.openxmlformats.org/officeDocument/2006/relationships/hyperlink" Target="https://ap12.ragic.com/sims/file.jsp?a=soutlet001&amp;f=uWekNQZJ6O%40IMG_1889.jpeg" TargetMode="External"/><Relationship Id="rId552" Type="http://schemas.openxmlformats.org/officeDocument/2006/relationships/hyperlink" Target="https://ap12.ragic.com/sims/file.jsp?a=soutlet001&amp;f=TUT13L8Rc7%40506+%E7%AA%97%E7%B0%BEok.jpg" TargetMode="External"/><Relationship Id="rId997" Type="http://schemas.openxmlformats.org/officeDocument/2006/relationships/hyperlink" Target="https://ap12.ragic.com/sims/file.jsp?a=soutlet001&amp;f=Wbr38NOX4K%40S__52576337.jpg" TargetMode="External"/><Relationship Id="rId1182" Type="http://schemas.openxmlformats.org/officeDocument/2006/relationships/hyperlink" Target="https://ap12.ragic.com/sims/file.jsp?a=soutlet001&amp;f=52ldTuqV0W%40IMG_7853.jpeg" TargetMode="External"/><Relationship Id="rId205" Type="http://schemas.openxmlformats.org/officeDocument/2006/relationships/hyperlink" Target="https://ap12.ragic.com/sims/file.jsp?a=soutlet001&amp;f=ZyRPR5nS3G%40712%E8%99%95%E7%90%86%E5%AE%8C%E6%88%90.jpg" TargetMode="External"/><Relationship Id="rId412" Type="http://schemas.openxmlformats.org/officeDocument/2006/relationships/hyperlink" Target="https://ap12.ragic.com/sims/file.jsp?a=soutlet001&amp;f=hlOeSSGxzV%40c71221ae792065da5ebc31207c0ea007.png" TargetMode="External"/><Relationship Id="rId857" Type="http://schemas.openxmlformats.org/officeDocument/2006/relationships/hyperlink" Target="https://ap12.ragic.com/sims/file.jsp?a=soutlet001&amp;f=sOMnV0ROBK%40IMG_8542.jpeg" TargetMode="External"/><Relationship Id="rId1042" Type="http://schemas.openxmlformats.org/officeDocument/2006/relationships/hyperlink" Target="https://ap12.ragic.com/sims/file.jsp?a=soutlet001&amp;f=b071lsT6S6%40image.jpg" TargetMode="External"/><Relationship Id="rId1487" Type="http://schemas.openxmlformats.org/officeDocument/2006/relationships/hyperlink" Target="https://ap12.ragic.com/sims/file.jsp?a=soutlet001&amp;f=1R9lXLR18o%40IMG_7340.jpeg" TargetMode="External"/><Relationship Id="rId1694" Type="http://schemas.openxmlformats.org/officeDocument/2006/relationships/hyperlink" Target="https://ap12.ragic.com/sims/file.jsp?a=soutlet001&amp;f=6fNl72zJyS%40IMG_6053.jpeg" TargetMode="External"/><Relationship Id="rId717" Type="http://schemas.openxmlformats.org/officeDocument/2006/relationships/hyperlink" Target="https://ap12.ragic.com/sims/file.jsp?a=soutlet001&amp;f=fpgH5VQ0KV%40IMG_9580.jpeg" TargetMode="External"/><Relationship Id="rId924" Type="http://schemas.openxmlformats.org/officeDocument/2006/relationships/hyperlink" Target="https://ap12.ragic.com/sims/file.jsp?a=soutlet001&amp;f=jOoPFziMfI%40image_C0ED4CC5-7F84-4574-90AA-DCC8B9C49CC6_1763971035_compressed.jpeg" TargetMode="External"/><Relationship Id="rId1347" Type="http://schemas.openxmlformats.org/officeDocument/2006/relationships/hyperlink" Target="https://ap12.ragic.com/sims/file.jsp?a=soutlet001&amp;f=I9pZQCO2d6%40IMG_7579.jpeg" TargetMode="External"/><Relationship Id="rId1554" Type="http://schemas.openxmlformats.org/officeDocument/2006/relationships/hyperlink" Target="https://ap12.ragic.com/sims/file.jsp?a=soutlet001&amp;f=VrMAw303Eq%40523%E9%80%80%E6%88%BF%E9%9C%80%E5%86%8D%E5%A5%BD%E5%A5%BD%E6%AA%A2%E6%9F%A5.jpg" TargetMode="External"/><Relationship Id="rId1761" Type="http://schemas.openxmlformats.org/officeDocument/2006/relationships/hyperlink" Target="https://ap12.ragic.com/sims/file.jsp?a=soutlet001&amp;f=Ly0HkSKD9b%4062655.jpg" TargetMode="External"/><Relationship Id="rId53" Type="http://schemas.openxmlformats.org/officeDocument/2006/relationships/hyperlink" Target="https://ap12.ragic.com/sims/file.jsp?a=soutlet001&amp;f=E4CL2vv4eq%40IMG_0679.jpeg" TargetMode="External"/><Relationship Id="rId1207" Type="http://schemas.openxmlformats.org/officeDocument/2006/relationships/hyperlink" Target="https://ap12.ragic.com/sims/file.jsp?a=soutlet001&amp;f=4N5uj022k0%40IMG_5752.jpeg" TargetMode="External"/><Relationship Id="rId1414" Type="http://schemas.openxmlformats.org/officeDocument/2006/relationships/hyperlink" Target="https://ap12.ragic.com/sims/file.jsp?a=soutlet001&amp;f=pm1Lci2mx0%40image_2027B3C8-A638-4794-8A9B-2AB0ABA39B94_1759118810_compressed.jpeg" TargetMode="External"/><Relationship Id="rId1621" Type="http://schemas.openxmlformats.org/officeDocument/2006/relationships/hyperlink" Target="https://ap12.ragic.com/sims/file.jsp?a=soutlet001&amp;f=SrVLvCvmjK%40S__4218931.jpg" TargetMode="External"/><Relationship Id="rId1719" Type="http://schemas.openxmlformats.org/officeDocument/2006/relationships/hyperlink" Target="https://ap12.ragic.com/sims/file.jsp?a=soutlet001&amp;f=N2MB71zyVX%40IMG_3173.jpeg" TargetMode="External"/><Relationship Id="rId367" Type="http://schemas.openxmlformats.org/officeDocument/2006/relationships/hyperlink" Target="https://ap12.ragic.com/sims/file.jsp?a=soutlet001&amp;f=KvsFPvfIVK%40S__431194115.jpg" TargetMode="External"/><Relationship Id="rId574" Type="http://schemas.openxmlformats.org/officeDocument/2006/relationships/hyperlink" Target="https://ap12.ragic.com/sims/file.jsp?a=soutlet001&amp;f=M8fMdytjca%40121600e1fe11efccf77e8a6e99c20153.png" TargetMode="External"/><Relationship Id="rId227" Type="http://schemas.openxmlformats.org/officeDocument/2006/relationships/hyperlink" Target="https://ap12.ragic.com/sims/file.jsp?a=soutlet001&amp;f=PIZOeSIceb%40501HDMI%E5%B7%B2%E6%8B%94%E9%99%A4.jpg" TargetMode="External"/><Relationship Id="rId781" Type="http://schemas.openxmlformats.org/officeDocument/2006/relationships/hyperlink" Target="https://ap12.ragic.com/sims/file.jsp?a=soutlet001&amp;f=IJngUxWFIG%40628%E5%87%BA%E9%A2%A8%E5%8F%A3%E5%B7%B2%E6%B8%AC15%E5%BA%A6.jpg" TargetMode="External"/><Relationship Id="rId879" Type="http://schemas.openxmlformats.org/officeDocument/2006/relationships/hyperlink" Target="https://ap12.ragic.com/sims/file.jsp?a=soutlet001&amp;f=89F8QFBZH3%40629%E6%B0%B4%E9%BE%8D%E9%A0%AD%E5%9B%BA%E5%AE%9A%E5%AE%8C%E6%88%90.jpg" TargetMode="External"/><Relationship Id="rId434" Type="http://schemas.openxmlformats.org/officeDocument/2006/relationships/hyperlink" Target="https://ap12.ragic.com/sims/file.jsp?a=soutlet001&amp;f=Y3efE71A6K%40IMG_1765.jpeg" TargetMode="External"/><Relationship Id="rId641" Type="http://schemas.openxmlformats.org/officeDocument/2006/relationships/hyperlink" Target="https://ap12.ragic.com/sims/file.jsp?a=soutlet001&amp;f=0He8KJoI3y%401000007066.jpg" TargetMode="External"/><Relationship Id="rId739" Type="http://schemas.openxmlformats.org/officeDocument/2006/relationships/hyperlink" Target="https://ap12.ragic.com/sims/file.jsp?a=soutlet001&amp;f=6G9y508W0g%40IMG_9555.jpeg" TargetMode="External"/><Relationship Id="rId1064" Type="http://schemas.openxmlformats.org/officeDocument/2006/relationships/hyperlink" Target="https://ap12.ragic.com/sims/file.jsp?a=soutlet001&amp;f=NZOjW0Ho5z%40S__73662551.jpg" TargetMode="External"/><Relationship Id="rId1271" Type="http://schemas.openxmlformats.org/officeDocument/2006/relationships/hyperlink" Target="https://ap12.ragic.com/sims/file.jsp?a=soutlet001&amp;f=j4v3y701Pr%40848E5B70-5A91-4EBF-831D-C0F5FAA887D1.jpg" TargetMode="External"/><Relationship Id="rId1369" Type="http://schemas.openxmlformats.org/officeDocument/2006/relationships/hyperlink" Target="https://ap12.ragic.com/sims/file.jsp?a=soutlet001&amp;f=3u14OA8Kn3%40IMG_7542.jpeg" TargetMode="External"/><Relationship Id="rId1576" Type="http://schemas.openxmlformats.org/officeDocument/2006/relationships/hyperlink" Target="https://ap12.ragic.com/sims/file.jsp?a=soutlet001&amp;f=27tV646Z5P%4020250908.jpg" TargetMode="External"/><Relationship Id="rId501" Type="http://schemas.openxmlformats.org/officeDocument/2006/relationships/hyperlink" Target="https://ap12.ragic.com/sims/file.jsp?a=soutlet001&amp;f=QTelU9aIrv%40IMG_9858.jpeg" TargetMode="External"/><Relationship Id="rId946" Type="http://schemas.openxmlformats.org/officeDocument/2006/relationships/hyperlink" Target="https://ap12.ragic.com/sims/file.jsp?a=soutlet001&amp;f=QkyR3hNLA6%40IMG_8419.jpeg" TargetMode="External"/><Relationship Id="rId1131" Type="http://schemas.openxmlformats.org/officeDocument/2006/relationships/hyperlink" Target="https://ap12.ragic.com/sims/file.jsp?a=soutlet001&amp;f=41MXwGlcSj%40IMG_7928.jpeg" TargetMode="External"/><Relationship Id="rId1229" Type="http://schemas.openxmlformats.org/officeDocument/2006/relationships/hyperlink" Target="https://ap12.ragic.com/sims/file.jsp?a=soutlet001&amp;f=c0pDPPwZ19%401000005425.jpg" TargetMode="External"/><Relationship Id="rId1783" Type="http://schemas.openxmlformats.org/officeDocument/2006/relationships/hyperlink" Target="https://ap12.ragic.com/sims/file.jsp?a=soutlet001&amp;f=yRkedI0AyZ%40S__8716301.jpg" TargetMode="External"/><Relationship Id="rId75" Type="http://schemas.openxmlformats.org/officeDocument/2006/relationships/hyperlink" Target="https://ap12.ragic.com/sims/file.jsp?a=soutlet001&amp;f=yAMiB0LaKW%40IMG_1874.jpeg" TargetMode="External"/><Relationship Id="rId806" Type="http://schemas.openxmlformats.org/officeDocument/2006/relationships/hyperlink" Target="https://ap12.ragic.com/sims/file.jsp?a=soutlet001&amp;f=kDjQdxLEFf%40IMG_9439.jpeg" TargetMode="External"/><Relationship Id="rId1436" Type="http://schemas.openxmlformats.org/officeDocument/2006/relationships/hyperlink" Target="https://ap12.ragic.com/sims/file.jsp?a=soutlet001&amp;f=h8wG269fpi%40IMG_4771.jpeg" TargetMode="External"/><Relationship Id="rId1643" Type="http://schemas.openxmlformats.org/officeDocument/2006/relationships/hyperlink" Target="https://ap12.ragic.com/sims/file.jsp?a=soutlet001&amp;f=6G525x6eEK%40image_59EB6C3F-E8B2-4B77-B5C1-B8423271CE1D_1756452810_compressed.jpeg" TargetMode="External"/><Relationship Id="rId1503" Type="http://schemas.openxmlformats.org/officeDocument/2006/relationships/hyperlink" Target="https://ap12.ragic.com/sims/file.jsp?a=soutlet001&amp;f=0y24olYVp5%40S__4612191.jpg" TargetMode="External"/><Relationship Id="rId1710" Type="http://schemas.openxmlformats.org/officeDocument/2006/relationships/hyperlink" Target="https://ap12.ragic.com/sims/file.jsp?a=soutlet001&amp;f=5h0Zj3fwCT%40S__27377684.jpg" TargetMode="External"/><Relationship Id="rId291" Type="http://schemas.openxmlformats.org/officeDocument/2006/relationships/hyperlink" Target="https://ap12.ragic.com/sims/file.jsp?a=soutlet001&amp;f=WkwdzlwHvb%40717%E6%AD%A2%E6%B0%B4%E9%96%A5ok.jpg" TargetMode="External"/><Relationship Id="rId1808" Type="http://schemas.openxmlformats.org/officeDocument/2006/relationships/hyperlink" Target="https://ap12.ragic.com/sims/file.jsp?a=soutlet001&amp;f=wHrpOnv1u7%40IMG_2801.jpeg" TargetMode="External"/><Relationship Id="rId151" Type="http://schemas.openxmlformats.org/officeDocument/2006/relationships/hyperlink" Target="https://ap12.ragic.com/sims/file.jsp?a=soutlet001&amp;f=vxZfkH2znh%40IMG_2381.jpeg" TargetMode="External"/><Relationship Id="rId389" Type="http://schemas.openxmlformats.org/officeDocument/2006/relationships/hyperlink" Target="https://ap12.ragic.com/sims/file.jsp?a=soutlet001&amp;f=fEYvQcCpro%40IMG_6238.jpeg" TargetMode="External"/><Relationship Id="rId596" Type="http://schemas.openxmlformats.org/officeDocument/2006/relationships/hyperlink" Target="https://ap12.ragic.com/sims/file.jsp?a=soutlet001&amp;f=e5SG7310F8%40IMG_4220.jpeg" TargetMode="External"/><Relationship Id="rId249" Type="http://schemas.openxmlformats.org/officeDocument/2006/relationships/hyperlink" Target="https://ap12.ragic.com/sims/file.jsp?a=soutlet001&amp;f=2JkztboXGB%40IMG_1984.jpeg" TargetMode="External"/><Relationship Id="rId456" Type="http://schemas.openxmlformats.org/officeDocument/2006/relationships/hyperlink" Target="https://ap12.ragic.com/sims/file.jsp?a=soutlet001&amp;f=ZuZevxvo6Y%407f20868605586d9d2713549ba26728d6.png" TargetMode="External"/><Relationship Id="rId663" Type="http://schemas.openxmlformats.org/officeDocument/2006/relationships/hyperlink" Target="https://ap12.ragic.com/sims/file.jsp?a=soutlet001&amp;f=ZHH3jOz11u%4082d57ef3fc23ec46c38451d034036853.png" TargetMode="External"/><Relationship Id="rId870" Type="http://schemas.openxmlformats.org/officeDocument/2006/relationships/hyperlink" Target="https://ap12.ragic.com/sims/file.jsp?a=soutlet001&amp;f=RzjDuhjXmg%40IMG_8517.jpeg" TargetMode="External"/><Relationship Id="rId1086" Type="http://schemas.openxmlformats.org/officeDocument/2006/relationships/hyperlink" Target="https://ap12.ragic.com/sims/file.jsp?a=soutlet001&amp;f=CAEs151Cvs%4075554.jpg" TargetMode="External"/><Relationship Id="rId1293" Type="http://schemas.openxmlformats.org/officeDocument/2006/relationships/hyperlink" Target="https://ap12.ragic.com/sims/file.jsp?a=soutlet001&amp;f=84T8fY3j07%40IMG_7673.jpeg" TargetMode="External"/><Relationship Id="rId109" Type="http://schemas.openxmlformats.org/officeDocument/2006/relationships/hyperlink" Target="https://ap12.ragic.com/sims/file.jsp?a=soutlet001&amp;f=f97eVGKJ2v%401000008680.jpg" TargetMode="External"/><Relationship Id="rId316" Type="http://schemas.openxmlformats.org/officeDocument/2006/relationships/hyperlink" Target="https://ap12.ragic.com/sims/file.jsp?a=soutlet001&amp;f=J0cqeOg1Pv%40fb665b33f02640792a322a37d89e237b.png" TargetMode="External"/><Relationship Id="rId523" Type="http://schemas.openxmlformats.org/officeDocument/2006/relationships/hyperlink" Target="https://ap12.ragic.com/sims/file.jsp?a=soutlet001&amp;f=bfDaNKOLIk%401030%E7%86%B1%E6%B0%B4%E9%96%A5%E5%B7%B2%E5%85%A8%E9%96%8B%EF%BC%8C%E6%BA%AB%E5%BA%A6%E4%B8%8A%E5%8D%87%E4%B8%AD.jpg" TargetMode="External"/><Relationship Id="rId968" Type="http://schemas.openxmlformats.org/officeDocument/2006/relationships/hyperlink" Target="https://ap12.ragic.com/sims/file.jsp?a=soutlet001&amp;f=o2cYnEmCFl%40725%E7%9B%A5%E6%B4%97%E7%94%A8%E5%93%81%E6%9E%B6%E5%B7%B2%E6%9B%B4%E6%96%B0%E5%AE%8C%E6%88%90.jpg" TargetMode="External"/><Relationship Id="rId1153" Type="http://schemas.openxmlformats.org/officeDocument/2006/relationships/hyperlink" Target="https://ap12.ragic.com/sims/file.jsp?a=soutlet001&amp;f=P2bHjflyRU%40IMG_6044.jpeg" TargetMode="External"/><Relationship Id="rId1598" Type="http://schemas.openxmlformats.org/officeDocument/2006/relationships/hyperlink" Target="https://ap12.ragic.com/sims/file.jsp?a=soutlet001&amp;f=FNAf0mQEfb%40IMG_6318.jpeg" TargetMode="External"/><Relationship Id="rId97" Type="http://schemas.openxmlformats.org/officeDocument/2006/relationships/hyperlink" Target="https://ap12.ragic.com/sims/file.jsp?a=soutlet001&amp;f=5MnKZgiaF1%40image.jpg" TargetMode="External"/><Relationship Id="rId730" Type="http://schemas.openxmlformats.org/officeDocument/2006/relationships/hyperlink" Target="https://ap12.ragic.com/sims/file.jsp?a=soutlet001&amp;f=KLV3z4bJ3N%40701+%E7%AA%97%E5%BB%89%E6%8B%89%E9%8D%8A%E5%B7%B2%E4%BF%AE%E5%BE%A9.jpg" TargetMode="External"/><Relationship Id="rId828" Type="http://schemas.openxmlformats.org/officeDocument/2006/relationships/hyperlink" Target="https://ap12.ragic.com/sims/file.jsp?a=soutlet001&amp;f=9yHflzW9T1%401013+%E6%B5%B4%E7%B0%BE%E4%BF%AE%E5%BE%A9.jpg" TargetMode="External"/><Relationship Id="rId1013" Type="http://schemas.openxmlformats.org/officeDocument/2006/relationships/hyperlink" Target="https://ap12.ragic.com/sims/file.jsp?a=soutlet001&amp;f=8oxci55P5L%40image.jpg" TargetMode="External"/><Relationship Id="rId1360" Type="http://schemas.openxmlformats.org/officeDocument/2006/relationships/hyperlink" Target="https://ap12.ragic.com/sims/file.jsp?a=soutlet001&amp;f=X37SZCEL88%40IMG_7557.jpeg" TargetMode="External"/><Relationship Id="rId1458" Type="http://schemas.openxmlformats.org/officeDocument/2006/relationships/hyperlink" Target="https://ap12.ragic.com/sims/file.jsp?a=soutlet001&amp;f=03iAp03Ltt%40IMG_7371.jpeg" TargetMode="External"/><Relationship Id="rId1665" Type="http://schemas.openxmlformats.org/officeDocument/2006/relationships/hyperlink" Target="https://ap12.ragic.com/sims/file.jsp?a=soutlet001&amp;f=FA2Q04NCc1%40702.jpg" TargetMode="External"/><Relationship Id="rId1220" Type="http://schemas.openxmlformats.org/officeDocument/2006/relationships/hyperlink" Target="https://ap12.ragic.com/sims/file.jsp?a=soutlet001&amp;f=V3dO4UTCrs%40513%E5%B7%B2%E8%B2%BC%E7%9A%AE%E5%AE%8C%E6%88%90.jpg" TargetMode="External"/><Relationship Id="rId1318" Type="http://schemas.openxmlformats.org/officeDocument/2006/relationships/hyperlink" Target="https://ap12.ragic.com/sims/file.jsp?a=soutlet001&amp;f=3832F2p4xk%401000007545.jpg" TargetMode="External"/><Relationship Id="rId1525" Type="http://schemas.openxmlformats.org/officeDocument/2006/relationships/hyperlink" Target="https://ap12.ragic.com/sims/file.jsp?a=soutlet001&amp;f=Xs3bANGb9T%40S__8822843.jpg" TargetMode="External"/><Relationship Id="rId1732" Type="http://schemas.openxmlformats.org/officeDocument/2006/relationships/hyperlink" Target="https://ap12.ragic.com/sims/file.jsp?a=soutlet001&amp;f=89QD64zP50%40IMG_3117.jpeg" TargetMode="External"/><Relationship Id="rId24" Type="http://schemas.openxmlformats.org/officeDocument/2006/relationships/hyperlink" Target="https://ap12.ragic.com/sims/file.jsp?a=soutlet001&amp;f=KrMhpWtzvQ%40IMG_1439.jpeg" TargetMode="External"/><Relationship Id="rId173" Type="http://schemas.openxmlformats.org/officeDocument/2006/relationships/hyperlink" Target="https://ap12.ragic.com/sims/file.jsp?a=soutlet001&amp;f=MaiMUKaX3h%40927+%E5%B7%B2%E8%99%95%E7%90%86.jpg" TargetMode="External"/><Relationship Id="rId380" Type="http://schemas.openxmlformats.org/officeDocument/2006/relationships/hyperlink" Target="https://ap12.ragic.com/sims/file.jsp?a=soutlet001&amp;f=Uxba1TV8ob%4091106.jpg" TargetMode="External"/><Relationship Id="rId240" Type="http://schemas.openxmlformats.org/officeDocument/2006/relationships/hyperlink" Target="https://ap12.ragic.com/sims/file.jsp?a=soutlet001&amp;f=vb1X0UUHh7%401000008095.jpg" TargetMode="External"/><Relationship Id="rId478" Type="http://schemas.openxmlformats.org/officeDocument/2006/relationships/hyperlink" Target="https://ap12.ragic.com/sims/file.jsp?a=soutlet001&amp;f=29xrBz0xJF%40IMG_5308.jpeg" TargetMode="External"/><Relationship Id="rId685" Type="http://schemas.openxmlformats.org/officeDocument/2006/relationships/hyperlink" Target="https://ap12.ragic.com/sims/file.jsp?a=soutlet001&amp;f=JNqROJlkSw%40710+%E4%BF%9D%E9%9A%AA%E7%AE%B1%E7%B7%A9%E6%B2%96%E6%98%AF%E5%A5%BD%E7%9A%84.jpg" TargetMode="External"/><Relationship Id="rId892" Type="http://schemas.openxmlformats.org/officeDocument/2006/relationships/hyperlink" Target="https://ap12.ragic.com/sims/file.jsp?a=soutlet001&amp;f=qgRm6tSQc1%40607%E6%B7%8B%E6%B5%B4%E9%96%80%E8%AA%BF%E6%95%B4%E5%AE%8C%E6%88%90.jpg" TargetMode="External"/><Relationship Id="rId100" Type="http://schemas.openxmlformats.org/officeDocument/2006/relationships/hyperlink" Target="https://ap12.ragic.com/sims/file.jsp?a=soutlet001&amp;f=XEeiL9TGcB%40IMG_0252.jpeg" TargetMode="External"/><Relationship Id="rId338" Type="http://schemas.openxmlformats.org/officeDocument/2006/relationships/hyperlink" Target="https://ap12.ragic.com/sims/file.jsp?a=soutlet001&amp;f=fzVSB0Kl7H%40IMG_0173.jpeg" TargetMode="External"/><Relationship Id="rId545" Type="http://schemas.openxmlformats.org/officeDocument/2006/relationships/hyperlink" Target="https://ap12.ragic.com/sims/file.jsp?a=soutlet001&amp;f=vLa69CecLC%40IMG_4644.jpeg" TargetMode="External"/><Relationship Id="rId752" Type="http://schemas.openxmlformats.org/officeDocument/2006/relationships/hyperlink" Target="https://ap12.ragic.com/sims/file.jsp?a=soutlet001&amp;f=K1KzPeXBdl%401000006797.jpg" TargetMode="External"/><Relationship Id="rId1175" Type="http://schemas.openxmlformats.org/officeDocument/2006/relationships/hyperlink" Target="https://ap12.ragic.com/sims/file.jsp?a=soutlet001&amp;f=5VHjFdY79a%40IMG_7861.jpeg" TargetMode="External"/><Relationship Id="rId1382" Type="http://schemas.openxmlformats.org/officeDocument/2006/relationships/hyperlink" Target="https://ap12.ragic.com/sims/file.jsp?a=soutlet001&amp;f=C1fb66Pc7L%40S__30679110.jpg" TargetMode="External"/><Relationship Id="rId405" Type="http://schemas.openxmlformats.org/officeDocument/2006/relationships/hyperlink" Target="https://ap12.ragic.com/sims/file.jsp?a=soutlet001&amp;f=ND2wsoUtdn%40823%E8%93%AE%E8%93%AC%E9%A0%AD%E7%AE%A1%E5%B7%B2%E6%9B%B4%E6%96%B0%E5%AE%8C%E6%88%90.jpg" TargetMode="External"/><Relationship Id="rId612" Type="http://schemas.openxmlformats.org/officeDocument/2006/relationships/hyperlink" Target="https://ap12.ragic.com/sims/file.jsp?a=soutlet001&amp;f=XpWdnczKGj%40707+%E6%B5%B4%E7%B0%BE%E5%B7%B2%E4%BF%AE%E5%BE%A9.jpg" TargetMode="External"/><Relationship Id="rId1035" Type="http://schemas.openxmlformats.org/officeDocument/2006/relationships/hyperlink" Target="https://ap12.ragic.com/sims/file.jsp?a=soutlet001&amp;f=586oKNp6G1%40IMG_8219.jpeg" TargetMode="External"/><Relationship Id="rId1242" Type="http://schemas.openxmlformats.org/officeDocument/2006/relationships/hyperlink" Target="https://ap12.ragic.com/sims/file.jsp?a=soutlet001&amp;f=uBP58j4sn4%40IMG_7766.jpeg" TargetMode="External"/><Relationship Id="rId1687" Type="http://schemas.openxmlformats.org/officeDocument/2006/relationships/hyperlink" Target="https://ap12.ragic.com/sims/file.jsp?a=soutlet001&amp;f=MoLkzBrMej%40708.jpg" TargetMode="External"/><Relationship Id="rId917" Type="http://schemas.openxmlformats.org/officeDocument/2006/relationships/hyperlink" Target="https://ap12.ragic.com/sims/file.jsp?a=soutlet001&amp;f=ctqLq5o39s%40IMG_8446.jpeg" TargetMode="External"/><Relationship Id="rId1102" Type="http://schemas.openxmlformats.org/officeDocument/2006/relationships/hyperlink" Target="https://ap12.ragic.com/sims/file.jsp?a=soutlet001&amp;f=7L2KqDtAQE%40image_AD3834BA-7E93-47CF-9D84-72843AA27053_1761974027_compressed.jpeg" TargetMode="External"/><Relationship Id="rId1547" Type="http://schemas.openxmlformats.org/officeDocument/2006/relationships/hyperlink" Target="https://ap12.ragic.com/sims/file.jsp?a=soutlet001&amp;f=OV38Yr73oT%40IMG_6485.jpeg" TargetMode="External"/><Relationship Id="rId1754" Type="http://schemas.openxmlformats.org/officeDocument/2006/relationships/hyperlink" Target="https://ap12.ragic.com/sims/file.jsp?a=soutlet001&amp;f=QwUvNk7535%4062692.jpg" TargetMode="External"/><Relationship Id="rId46" Type="http://schemas.openxmlformats.org/officeDocument/2006/relationships/hyperlink" Target="https://ap12.ragic.com/sims/file.jsp?a=soutlet001&amp;f=0TSTqXOQ1L%40S__36741128_0.jpg" TargetMode="External"/><Relationship Id="rId1407" Type="http://schemas.openxmlformats.org/officeDocument/2006/relationships/hyperlink" Target="https://ap12.ragic.com/sims/file.jsp?a=soutlet001&amp;f=P7E3xb4i7s%4067515.jpg" TargetMode="External"/><Relationship Id="rId1614" Type="http://schemas.openxmlformats.org/officeDocument/2006/relationships/hyperlink" Target="https://ap12.ragic.com/sims/file.jsp?a=soutlet001&amp;f=23axcsES7m%40IMG_6214.jpeg" TargetMode="External"/><Relationship Id="rId1821" Type="http://schemas.openxmlformats.org/officeDocument/2006/relationships/hyperlink" Target="https://ap12.ragic.com/sims/file.jsp?a=soutlet001&amp;f=9a0N97v4QD%40S__4055080.jpg" TargetMode="External"/><Relationship Id="rId195" Type="http://schemas.openxmlformats.org/officeDocument/2006/relationships/hyperlink" Target="https://ap12.ragic.com/sims/file.jsp?a=soutlet001&amp;f=dFVMLfsA8x%40730+%E8%B2%93%E7%9C%BC+%E8%99%95%E7%90%86%E5%AE%8C%E6%88%90.jpg" TargetMode="External"/><Relationship Id="rId262" Type="http://schemas.openxmlformats.org/officeDocument/2006/relationships/hyperlink" Target="https://ap12.ragic.com/sims/file.jsp?a=soutlet001&amp;f=XzV4IdeQad%4071c5c0ce198ae6def1cb7d52237fc1b1.png" TargetMode="External"/><Relationship Id="rId567" Type="http://schemas.openxmlformats.org/officeDocument/2006/relationships/hyperlink" Target="https://ap12.ragic.com/sims/file.jsp?a=soutlet001&amp;f=Pbutqf2hUK%406426148be4233341708484705e988082.png" TargetMode="External"/><Relationship Id="rId1197" Type="http://schemas.openxmlformats.org/officeDocument/2006/relationships/hyperlink" Target="https://ap12.ragic.com/sims/file.jsp?a=soutlet001&amp;f=59Z096T4Cn%40S__28770318.jpg" TargetMode="External"/><Relationship Id="rId122" Type="http://schemas.openxmlformats.org/officeDocument/2006/relationships/hyperlink" Target="https://ap12.ragic.com/sims/file.jsp?a=soutlet001&amp;f=ZVKdNbuUPP%40IMG_2513.jpeg" TargetMode="External"/><Relationship Id="rId774" Type="http://schemas.openxmlformats.org/officeDocument/2006/relationships/hyperlink" Target="https://ap12.ragic.com/sims/file.jsp?a=soutlet001&amp;f=O7SeD4yeXa%401766377241935.jpg" TargetMode="External"/><Relationship Id="rId981" Type="http://schemas.openxmlformats.org/officeDocument/2006/relationships/hyperlink" Target="https://ap12.ragic.com/sims/file.jsp?a=soutlet001&amp;f=lBY3nc6vvd%40IMG_6677.jpeg" TargetMode="External"/><Relationship Id="rId1057" Type="http://schemas.openxmlformats.org/officeDocument/2006/relationships/hyperlink" Target="https://ap12.ragic.com/sims/file.jsp?a=soutlet001&amp;f=VQwdsE6z37%40801%E7%B6%AD%E4%BF%AE%E5%AE%8C%E6%88%90.jpg" TargetMode="External"/><Relationship Id="rId427" Type="http://schemas.openxmlformats.org/officeDocument/2006/relationships/hyperlink" Target="https://ap12.ragic.com/sims/file.jsp?a=soutlet001&amp;f=M9avIYbQef%40IMG_9925.jpeg" TargetMode="External"/><Relationship Id="rId634" Type="http://schemas.openxmlformats.org/officeDocument/2006/relationships/hyperlink" Target="https://ap12.ragic.com/sims/file.jsp?a=soutlet001&amp;f=N9rcb4QgSS%401016%E8%AA%BF%E6%95%B4%E5%AE%8C%E6%88%90.jpg" TargetMode="External"/><Relationship Id="rId841" Type="http://schemas.openxmlformats.org/officeDocument/2006/relationships/hyperlink" Target="https://ap12.ragic.com/sims/file.jsp?a=soutlet001&amp;f=f8jmVrQo7H%40IMG_8563.jpeg" TargetMode="External"/><Relationship Id="rId1264" Type="http://schemas.openxmlformats.org/officeDocument/2006/relationships/hyperlink" Target="https://ap12.ragic.com/sims/file.jsp?a=soutlet001&amp;f=Twd978m3w5%40S__7241773_0%281%29.jpg" TargetMode="External"/><Relationship Id="rId1471" Type="http://schemas.openxmlformats.org/officeDocument/2006/relationships/hyperlink" Target="https://ap12.ragic.com/sims/file.jsp?a=soutlet001&amp;f=Syv3bsC7EH%40808%E9%9B%BB%E8%A6%96%E4%B8%8B%E6%96%B9%E6%B2%B9%E6%BC%86%E5%AE%8C%E6%88%90.jpg" TargetMode="External"/><Relationship Id="rId1569" Type="http://schemas.openxmlformats.org/officeDocument/2006/relationships/hyperlink" Target="https://ap12.ragic.com/sims/file.jsp?a=soutlet001&amp;f=44yrln4N85%40IMG_3998.jpeg" TargetMode="External"/><Relationship Id="rId701" Type="http://schemas.openxmlformats.org/officeDocument/2006/relationships/hyperlink" Target="https://ap12.ragic.com/sims/file.jsp?a=soutlet001&amp;f=HSBBpz5Lm4%40IMG_9602.jpeg" TargetMode="External"/><Relationship Id="rId939" Type="http://schemas.openxmlformats.org/officeDocument/2006/relationships/hyperlink" Target="https://ap12.ragic.com/sims/file.jsp?a=soutlet001&amp;f=mt7esAqYPT%401000006254.jpg" TargetMode="External"/><Relationship Id="rId1124" Type="http://schemas.openxmlformats.org/officeDocument/2006/relationships/hyperlink" Target="https://ap12.ragic.com/sims/file.jsp?a=soutlet001&amp;f=1o355h20WN%40IMG_6215.jpeg" TargetMode="External"/><Relationship Id="rId1331" Type="http://schemas.openxmlformats.org/officeDocument/2006/relationships/hyperlink" Target="https://ap12.ragic.com/sims/file.jsp?a=soutlet001&amp;f=W49bk21dqC%4070513.jpg" TargetMode="External"/><Relationship Id="rId1776" Type="http://schemas.openxmlformats.org/officeDocument/2006/relationships/hyperlink" Target="https://ap12.ragic.com/sims/file.jsp?a=soutlet001&amp;f=aF6c04XqCJ%40image.jpg" TargetMode="External"/><Relationship Id="rId68" Type="http://schemas.openxmlformats.org/officeDocument/2006/relationships/hyperlink" Target="https://ap12.ragic.com/sims/file.jsp?a=soutlet001&amp;f=nJtu5DdGRt%401000009482.jpg" TargetMode="External"/><Relationship Id="rId1429" Type="http://schemas.openxmlformats.org/officeDocument/2006/relationships/hyperlink" Target="https://ap12.ragic.com/sims/file.jsp?a=soutlet001&amp;f=9PrLhTZ2yL%40713%E5%B7%B2%E8%AA%BF%E6%95%B4%E5%AE%8C%E6%88%90.jpg" TargetMode="External"/><Relationship Id="rId1636" Type="http://schemas.openxmlformats.org/officeDocument/2006/relationships/hyperlink" Target="https://ap12.ragic.com/sims/file.jsp?a=soutlet001&amp;f=qANo5K6jAC%40IMG_6157.jpeg" TargetMode="External"/><Relationship Id="rId1703" Type="http://schemas.openxmlformats.org/officeDocument/2006/relationships/hyperlink" Target="https://ap12.ragic.com/sims/file.jsp?a=soutlet001&amp;f=3lYIm3wHji%4063283.jpg" TargetMode="External"/><Relationship Id="rId284" Type="http://schemas.openxmlformats.org/officeDocument/2006/relationships/hyperlink" Target="https://ap12.ragic.com/sims/file.jsp?a=soutlet001&amp;f=eynqIeROfs%40c13052c6842a11eb770ed957fcd8318e.png" TargetMode="External"/><Relationship Id="rId491" Type="http://schemas.openxmlformats.org/officeDocument/2006/relationships/hyperlink" Target="https://ap12.ragic.com/sims/file.jsp?a=soutlet001&amp;f=4vP0WxmeC2%40IMG_1695+%281%29.jpeg" TargetMode="External"/><Relationship Id="rId144" Type="http://schemas.openxmlformats.org/officeDocument/2006/relationships/hyperlink" Target="https://ap12.ragic.com/sims/file.jsp?a=soutlet001&amp;f=ib0Q9tYlY8%40IMG_2436.jpeg" TargetMode="External"/><Relationship Id="rId589" Type="http://schemas.openxmlformats.org/officeDocument/2006/relationships/hyperlink" Target="https://ap12.ragic.com/sims/file.jsp?a=soutlet001&amp;f=HO48X7dEcJ%40942aaee566e59f3c0aa2cd3add81ee56.png" TargetMode="External"/><Relationship Id="rId796" Type="http://schemas.openxmlformats.org/officeDocument/2006/relationships/hyperlink" Target="https://ap12.ragic.com/sims/file.jsp?a=soutlet001&amp;f=MT1B1i5Ymx%40719%E5%A4%A7%E7%90%86%E7%9F%B3%E5%BB%A0%E5%95%86%E5%B7%B2%E4%BF%AE%E5%BE%A9%E5%AE%8C%E6%88%90.jpg" TargetMode="External"/><Relationship Id="rId351" Type="http://schemas.openxmlformats.org/officeDocument/2006/relationships/hyperlink" Target="https://ap12.ragic.com/sims/file.jsp?a=soutlet001&amp;f=tJ9bgEhYmL%40919%E9%9B%BB%E8%A6%96%E5%B7%B2%E8%AA%BF%E6%95%B4%E5%AE%8C%E6%88%90.jpg" TargetMode="External"/><Relationship Id="rId449" Type="http://schemas.openxmlformats.org/officeDocument/2006/relationships/hyperlink" Target="https://ap12.ragic.com/sims/file.jsp?a=soutlet001&amp;f=CqjJ62cgMV%40%E4%B8%80%E6%A8%93%E6%A2%AF%E5%BB%B3+%E4%B8%89%E7%9B%9E%E5%A3%81%E7%87%88%EF%BC%8C%E5%B7%B2%E4%BF%AE%E5%BE%A9%E5%AE%8C%E6%88%90%E3%80%82.jpg" TargetMode="External"/><Relationship Id="rId656" Type="http://schemas.openxmlformats.org/officeDocument/2006/relationships/hyperlink" Target="https://ap12.ragic.com/sims/file.jsp?a=soutlet001&amp;f=yEwR8VFu89%4084952.jpg" TargetMode="External"/><Relationship Id="rId863" Type="http://schemas.openxmlformats.org/officeDocument/2006/relationships/hyperlink" Target="https://ap12.ragic.com/sims/file.jsp?a=soutlet001&amp;f=jJrhx87Cvm%40630%E6%88%BF%E9%A6%AC%E6%A1%B6%E8%99%95%E7%90%86%E5%AE%8C%E6%88%90.jpg" TargetMode="External"/><Relationship Id="rId1079" Type="http://schemas.openxmlformats.org/officeDocument/2006/relationships/hyperlink" Target="https://ap12.ragic.com/sims/file.jsp?a=soutlet001&amp;f=x0k408y04s%4075591.jpg" TargetMode="External"/><Relationship Id="rId1286" Type="http://schemas.openxmlformats.org/officeDocument/2006/relationships/hyperlink" Target="https://ap12.ragic.com/sims/file.jsp?a=soutlet001&amp;f=J40sC8o542%40IMG_7688.jpeg" TargetMode="External"/><Relationship Id="rId1493" Type="http://schemas.openxmlformats.org/officeDocument/2006/relationships/hyperlink" Target="https://ap12.ragic.com/sims/file.jsp?a=soutlet001&amp;f=mRm4vo5o92%40IMG_7332.jpeg" TargetMode="External"/><Relationship Id="rId211" Type="http://schemas.openxmlformats.org/officeDocument/2006/relationships/hyperlink" Target="https://ap12.ragic.com/sims/file.jsp?a=soutlet001&amp;f=0RQwfrq7Uj%40IMG_2119.jpeg" TargetMode="External"/><Relationship Id="rId309" Type="http://schemas.openxmlformats.org/officeDocument/2006/relationships/hyperlink" Target="https://ap12.ragic.com/sims/file.jsp?a=soutlet001&amp;f=BJMFl4DE5f%40cb0f9468478a3f6704aaf3b3b0bf8bec.png" TargetMode="External"/><Relationship Id="rId516" Type="http://schemas.openxmlformats.org/officeDocument/2006/relationships/hyperlink" Target="https://ap12.ragic.com/sims/file.jsp?a=soutlet001&amp;f=Rsg3nkNqdZ%40%E5%A4%A7%E9%96%80%E7%82%BA%E6%9C%A8%E7%B4%8B%E8%B2%BC%E7%9A%AE%EF%BC%8C%E5%B7%A5%E7%A8%8B%E9%83%A8%E7%9B%AE%E5%89%8D%E7%84%A1%E6%AD%A4%E7%89%A9%E8%B2%BC%E7%9A%AE%EF%BC%8C%E7%9B%AE%E5%89%8D%E5%8F%AA%E8%83%BD%E6%9A%AB%E6%99%82%E9%80%99%E6%A8%A3%E8%99%95%E8%A3%A1.jpg" TargetMode="External"/><Relationship Id="rId1146" Type="http://schemas.openxmlformats.org/officeDocument/2006/relationships/hyperlink" Target="https://ap12.ragic.com/sims/file.jsp?a=soutlet001&amp;f=shh0OC6i40%40IMG_7899.jpeg" TargetMode="External"/><Relationship Id="rId1798" Type="http://schemas.openxmlformats.org/officeDocument/2006/relationships/hyperlink" Target="https://ap12.ragic.com/sims/file.jsp?a=soutlet001&amp;f=70bFomo1Ou%40image.jpg" TargetMode="External"/><Relationship Id="rId723" Type="http://schemas.openxmlformats.org/officeDocument/2006/relationships/hyperlink" Target="https://ap12.ragic.com/sims/file.jsp?a=soutlet001&amp;f=EZvpPoFkvi%40531+%E8%93%AE%E8%93%AC%E9%A0%AD%E5%B7%B2%E6%9B%B4%E6%8F%9B.jpg" TargetMode="External"/><Relationship Id="rId930" Type="http://schemas.openxmlformats.org/officeDocument/2006/relationships/hyperlink" Target="https://ap12.ragic.com/sims/file.jsp?a=soutlet001&amp;f=LAGU6YKgsr%40IMG_8431.jpeg" TargetMode="External"/><Relationship Id="rId1006" Type="http://schemas.openxmlformats.org/officeDocument/2006/relationships/hyperlink" Target="https://ap12.ragic.com/sims/file.jsp?a=soutlet001&amp;f=0KcyTEn7n8%40613%E5%A4%A9%E8%8A%B1%E6%9D%BF%E8%A3%9C%E5%9C%9F%E8%A3%9C%E6%BC%86%E5%AE%8C%E6%88%90.jpg" TargetMode="External"/><Relationship Id="rId1353" Type="http://schemas.openxmlformats.org/officeDocument/2006/relationships/hyperlink" Target="https://ap12.ragic.com/sims/file.jsp?a=soutlet001&amp;f=q152Xpt5qZ%40image_FDEEA261-B67B-4DD7-BC3A-721A333C9B53_1759326725_compressed.jpeg" TargetMode="External"/><Relationship Id="rId1560" Type="http://schemas.openxmlformats.org/officeDocument/2006/relationships/hyperlink" Target="https://ap12.ragic.com/sims/file.jsp?a=soutlet001&amp;f=gDLZJ6o4cP%4051660.jpg" TargetMode="External"/><Relationship Id="rId1658" Type="http://schemas.openxmlformats.org/officeDocument/2006/relationships/hyperlink" Target="https://ap12.ragic.com/sims/file.jsp?a=soutlet001&amp;f=XY171NAbO8%40add71311-2ab5-481e-b7b9-79abed5bd292.jpeg" TargetMode="External"/><Relationship Id="rId1213" Type="http://schemas.openxmlformats.org/officeDocument/2006/relationships/hyperlink" Target="https://ap12.ragic.com/sims/file.jsp?a=soutlet001&amp;f=52z2z2Gjdz%40IMG_7785.jpeg" TargetMode="External"/><Relationship Id="rId1420" Type="http://schemas.openxmlformats.org/officeDocument/2006/relationships/hyperlink" Target="https://ap12.ragic.com/sims/file.jsp?a=soutlet001&amp;f=7T1UWp81zp%40image_0B1AB188-3E39-47E3-B13B-4700512CB7E9_1759133666_compressed.jpeg" TargetMode="External"/><Relationship Id="rId1518" Type="http://schemas.openxmlformats.org/officeDocument/2006/relationships/hyperlink" Target="https://ap12.ragic.com/sims/file.jsp?a=soutlet001&amp;f=KcFqvCFwVE%4066662.jpg" TargetMode="External"/><Relationship Id="rId1725" Type="http://schemas.openxmlformats.org/officeDocument/2006/relationships/hyperlink" Target="https://ap12.ragic.com/sims/file.jsp?a=soutlet001&amp;f=4mmt0nQ3Q6%40IMG_3154.jpeg" TargetMode="External"/><Relationship Id="rId17" Type="http://schemas.openxmlformats.org/officeDocument/2006/relationships/hyperlink" Target="https://ap12.ragic.com/sims/file.jsp?a=soutlet001&amp;f=YNGSnHuaNl%40IMG_1551.jpeg" TargetMode="External"/><Relationship Id="rId166" Type="http://schemas.openxmlformats.org/officeDocument/2006/relationships/hyperlink" Target="https://ap12.ragic.com/sims/file.jsp?a=soutlet001&amp;f=s3fAmEDeXS%40506+%E5%A4%A9%E8%8A%B1%E6%9D%BF%E9%8F%BD%E6%96%91%E5%B7%B2ok.jpg" TargetMode="External"/><Relationship Id="rId373" Type="http://schemas.openxmlformats.org/officeDocument/2006/relationships/hyperlink" Target="https://ap12.ragic.com/sims/file.jsp?a=soutlet001&amp;f=GkR0dWaTyz%401028%E7%AA%97%E7%B0%BE%E8%AA%BF%E6%95%B4%E5%AE%8C%E6%88%90.jpg" TargetMode="External"/><Relationship Id="rId580" Type="http://schemas.openxmlformats.org/officeDocument/2006/relationships/hyperlink" Target="https://ap12.ragic.com/sims/file.jsp?a=soutlet001&amp;f=0WKTCHJuO5%40dc63b08acdcf9546ce98ba8c565df575.png" TargetMode="External"/><Relationship Id="rId1" Type="http://schemas.openxmlformats.org/officeDocument/2006/relationships/hyperlink" Target="https://ap12.ragic.com/sims/file.jsp?a=soutlet001&amp;f=2S8QwQnBHu%40IMG_1215.jpeg" TargetMode="External"/><Relationship Id="rId233" Type="http://schemas.openxmlformats.org/officeDocument/2006/relationships/hyperlink" Target="https://ap12.ragic.com/sims/file.jsp?a=soutlet001&amp;f=2CI9MAL0hs%40831%E8%99%95%E7%90%86%E5%AE%8C%E6%88%90.jpg" TargetMode="External"/><Relationship Id="rId440" Type="http://schemas.openxmlformats.org/officeDocument/2006/relationships/hyperlink" Target="https://ap12.ragic.com/sims/file.jsp?a=soutlet001&amp;f=VsDD9yyaZj%401000007700.jpg" TargetMode="External"/><Relationship Id="rId678" Type="http://schemas.openxmlformats.org/officeDocument/2006/relationships/hyperlink" Target="https://ap12.ragic.com/sims/file.jsp?a=soutlet001&amp;f=xsk7vqkEeH%401000006999.jpg" TargetMode="External"/><Relationship Id="rId885" Type="http://schemas.openxmlformats.org/officeDocument/2006/relationships/hyperlink" Target="https://ap12.ragic.com/sims/file.jsp?a=soutlet001&amp;f=UpF6Gnuq3q%40820+%E6%88%BF%E9%96%93%E5%87%BA%E9%A2%A8%E5%8F%A3%E6%BA%AB%E5%BA%A6.jpg" TargetMode="External"/><Relationship Id="rId1070" Type="http://schemas.openxmlformats.org/officeDocument/2006/relationships/hyperlink" Target="https://ap12.ragic.com/sims/file.jsp?a=soutlet001&amp;f=ZbdF1CoOA7%40797961.jpg" TargetMode="External"/><Relationship Id="rId300" Type="http://schemas.openxmlformats.org/officeDocument/2006/relationships/hyperlink" Target="https://ap12.ragic.com/sims/file.jsp?a=soutlet001&amp;f=zqqFDBhaI0%406d1cf2a8b850107538e260fccc098c12.png" TargetMode="External"/><Relationship Id="rId538" Type="http://schemas.openxmlformats.org/officeDocument/2006/relationships/hyperlink" Target="https://ap12.ragic.com/sims/file.jsp?a=soutlet001&amp;f=YMkD2qYVov%40IMG_4722.jpeg" TargetMode="External"/><Relationship Id="rId745" Type="http://schemas.openxmlformats.org/officeDocument/2006/relationships/hyperlink" Target="https://ap12.ragic.com/sims/file.jsp?a=soutlet001&amp;f=8yCRpqs7n7%40IMG_9525.jpeg" TargetMode="External"/><Relationship Id="rId952" Type="http://schemas.openxmlformats.org/officeDocument/2006/relationships/hyperlink" Target="https://ap12.ragic.com/sims/file.jsp?a=soutlet001&amp;f=98ZVvSaOmc%4078286.jpg" TargetMode="External"/><Relationship Id="rId1168" Type="http://schemas.openxmlformats.org/officeDocument/2006/relationships/hyperlink" Target="https://ap12.ragic.com/sims/file.jsp?a=soutlet001&amp;f=P27aWKR2Xi%40519%E5%9C%B0%E6%9D%BF%E5%A1%AB%E7%B8%AB%EF%BC%8C%E9%9C%80%E5%BE%85%E4%B9%BE%EF%BC%8C%E6%98%8E%E6%97%A99%EF%BC%9A00%E5%8F%AF%E4%BB%A5.jpg" TargetMode="External"/><Relationship Id="rId1375" Type="http://schemas.openxmlformats.org/officeDocument/2006/relationships/hyperlink" Target="https://ap12.ragic.com/sims/file.jsp?a=soutlet001&amp;f=YECC0vc9B4%40image_FC94092C-9BED-46ED-B323-E53B9589D56A_1759238812_compressed.jpeg" TargetMode="External"/><Relationship Id="rId1582" Type="http://schemas.openxmlformats.org/officeDocument/2006/relationships/hyperlink" Target="https://ap12.ragic.com/sims/file.jsp?a=soutlet001&amp;f=P2W4Z8WxkK%4073657.jpg" TargetMode="External"/><Relationship Id="rId81" Type="http://schemas.openxmlformats.org/officeDocument/2006/relationships/hyperlink" Target="https://ap12.ragic.com/sims/file.jsp?a=soutlet001&amp;f=zuR76hqBhi%40IMG_0458.jpeg" TargetMode="External"/><Relationship Id="rId605" Type="http://schemas.openxmlformats.org/officeDocument/2006/relationships/hyperlink" Target="https://ap12.ragic.com/sims/file.jsp?a=soutlet001&amp;f=nZYQuQnWlW%401000007170.jpg" TargetMode="External"/><Relationship Id="rId812" Type="http://schemas.openxmlformats.org/officeDocument/2006/relationships/hyperlink" Target="https://ap12.ragic.com/sims/file.jsp?a=soutlet001&amp;f=a9MVF2EOgR%40IMG_9761.jpeg" TargetMode="External"/><Relationship Id="rId1028" Type="http://schemas.openxmlformats.org/officeDocument/2006/relationships/hyperlink" Target="https://ap12.ragic.com/sims/file.jsp?a=soutlet001&amp;f=67vgSAeURr%40512%E7%87%88%E6%A2%9D%E8%99%95%E7%90%86%E5%AE%8C%E6%88%90.jpg" TargetMode="External"/><Relationship Id="rId1235" Type="http://schemas.openxmlformats.org/officeDocument/2006/relationships/hyperlink" Target="https://ap12.ragic.com/sims/file.jsp?a=soutlet001&amp;f=roP7V33ns6%401000005416.jpg" TargetMode="External"/><Relationship Id="rId1442" Type="http://schemas.openxmlformats.org/officeDocument/2006/relationships/hyperlink" Target="https://ap12.ragic.com/sims/file.jsp?a=soutlet001&amp;f=wfJO03qL0c%40931%E8%B2%BC%E4%BA%86%E9%98%B2%E6%92%9E%E8%B2%BC.jpg" TargetMode="External"/><Relationship Id="rId1302" Type="http://schemas.openxmlformats.org/officeDocument/2006/relationships/hyperlink" Target="https://ap12.ragic.com/sims/file.jsp?a=soutlet001&amp;f=IT41NFE4cv%40IMG_5385.jpeg" TargetMode="External"/><Relationship Id="rId1747" Type="http://schemas.openxmlformats.org/officeDocument/2006/relationships/hyperlink" Target="https://ap12.ragic.com/sims/file.jsp?a=soutlet001&amp;f=3z8gkUGxz5%40image.jpg" TargetMode="External"/><Relationship Id="rId39" Type="http://schemas.openxmlformats.org/officeDocument/2006/relationships/hyperlink" Target="https://ap12.ragic.com/sims/file.jsp?a=soutlet001&amp;f=AmjRzFH10H%401000009617.jpg" TargetMode="External"/><Relationship Id="rId1607" Type="http://schemas.openxmlformats.org/officeDocument/2006/relationships/hyperlink" Target="https://ap12.ragic.com/sims/file.jsp?a=soutlet001&amp;f=A3gmtheNZ8%401000004210.jpg" TargetMode="External"/><Relationship Id="rId1814" Type="http://schemas.openxmlformats.org/officeDocument/2006/relationships/hyperlink" Target="https://ap12.ragic.com/sims/file.jsp?a=soutlet001&amp;f=3QWYoJPwG5%40S__27058279.jpg" TargetMode="External"/><Relationship Id="rId188" Type="http://schemas.openxmlformats.org/officeDocument/2006/relationships/hyperlink" Target="https://ap12.ragic.com/sims/file.jsp?a=soutlet001&amp;f=K3QgJg2Z1I%401000008240.jpg" TargetMode="External"/><Relationship Id="rId395" Type="http://schemas.openxmlformats.org/officeDocument/2006/relationships/hyperlink" Target="https://ap12.ragic.com/sims/file.jsp?a=soutlet001&amp;f=s7DKJWeNBg%401000007864.jpg" TargetMode="External"/><Relationship Id="rId255" Type="http://schemas.openxmlformats.org/officeDocument/2006/relationships/hyperlink" Target="https://ap12.ragic.com/sims/file.jsp?a=soutlet001&amp;f=sJ0cRXwSV4%402f4037acf00e8a30fed4c2661e1e7902.png" TargetMode="External"/><Relationship Id="rId462" Type="http://schemas.openxmlformats.org/officeDocument/2006/relationships/hyperlink" Target="https://ap12.ragic.com/sims/file.jsp?a=soutlet001&amp;f=rZJP0W7W9J%402af8d5e74699f69d4f11bd988718fbcf.png" TargetMode="External"/><Relationship Id="rId1092" Type="http://schemas.openxmlformats.org/officeDocument/2006/relationships/hyperlink" Target="https://ap12.ragic.com/sims/file.jsp?a=soutlet001&amp;f=l2p9Gx4616%40IMG_6467.jpeg" TargetMode="External"/><Relationship Id="rId1397" Type="http://schemas.openxmlformats.org/officeDocument/2006/relationships/hyperlink" Target="https://ap12.ragic.com/sims/file.jsp?a=soutlet001&amp;f=61DsE5874w%40image_B8A1BCB4-19B2-4346-B75B-EA7618097581_1759110786_compressed.jpeg" TargetMode="External"/><Relationship Id="rId115" Type="http://schemas.openxmlformats.org/officeDocument/2006/relationships/hyperlink" Target="https://ap12.ragic.com/sims/file.jsp?a=soutlet001&amp;f=e4mqceSg5Y%40IMG_1483.jpeg" TargetMode="External"/><Relationship Id="rId322" Type="http://schemas.openxmlformats.org/officeDocument/2006/relationships/hyperlink" Target="https://ap12.ragic.com/sims/file.jsp?a=soutlet001&amp;f=uq1sgoo8RL%408862a4fa1ed59a8da1daa3f112249946.png" TargetMode="External"/><Relationship Id="rId767" Type="http://schemas.openxmlformats.org/officeDocument/2006/relationships/hyperlink" Target="https://ap12.ragic.com/sims/file.jsp?a=soutlet001&amp;f=PVYpJNwsI7%40IMG_9498.jpeg" TargetMode="External"/><Relationship Id="rId974" Type="http://schemas.openxmlformats.org/officeDocument/2006/relationships/hyperlink" Target="https://ap12.ragic.com/sims/file.jsp?a=soutlet001&amp;f=iQQxr8FYKM%40725%E8%93%AE%E8%93%AC%E9%A0%AD%E5%B7%B2%E6%9B%B4%E6%96%B0%E5%AE%8C%E6%88%90.jpg" TargetMode="External"/><Relationship Id="rId627" Type="http://schemas.openxmlformats.org/officeDocument/2006/relationships/hyperlink" Target="https://ap12.ragic.com/sims/file.jsp?a=soutlet001&amp;f=gyUurvHI3v%407d634544211da6e461f125e6f17f3547.png" TargetMode="External"/><Relationship Id="rId834" Type="http://schemas.openxmlformats.org/officeDocument/2006/relationships/hyperlink" Target="https://ap12.ragic.com/sims/file.jsp?a=soutlet001&amp;f=2DvisuYJeM%40S__4857885.jpg" TargetMode="External"/><Relationship Id="rId1257" Type="http://schemas.openxmlformats.org/officeDocument/2006/relationships/hyperlink" Target="https://ap12.ragic.com/sims/file.jsp?a=soutlet001&amp;f=273ILEVYKB%40S__5841106.jpg" TargetMode="External"/><Relationship Id="rId1464" Type="http://schemas.openxmlformats.org/officeDocument/2006/relationships/hyperlink" Target="https://ap12.ragic.com/sims/file.jsp?a=soutlet001&amp;f=gQ9TX8f40w%40IMG_7366.jpeg" TargetMode="External"/><Relationship Id="rId1671" Type="http://schemas.openxmlformats.org/officeDocument/2006/relationships/hyperlink" Target="https://ap12.ragic.com/sims/file.jsp?a=soutlet001&amp;f=40xzlklNSB%40428986.jpg" TargetMode="External"/><Relationship Id="rId901" Type="http://schemas.openxmlformats.org/officeDocument/2006/relationships/hyperlink" Target="https://ap12.ragic.com/sims/file.jsp?a=soutlet001&amp;f=aJOj1UYTOk%40608%E6%B5%B4%E7%B0%BE%E5%B7%B2%E4%BF%AE%E5%BE%A9%E5%AE%8C%E6%88%90.jpg" TargetMode="External"/><Relationship Id="rId1117" Type="http://schemas.openxmlformats.org/officeDocument/2006/relationships/hyperlink" Target="https://ap12.ragic.com/sims/file.jsp?a=soutlet001&amp;f=N4CKX3l9c6%40818%E4%B8%8B%E6%AD%A2%E6%B0%B4%E6%A2%9D%E5%B7%B2%E6%9B%B4%E6%96%B0%E5%AE%8C%E6%88%90.jpg" TargetMode="External"/><Relationship Id="rId1324" Type="http://schemas.openxmlformats.org/officeDocument/2006/relationships/hyperlink" Target="https://ap12.ragic.com/sims/file.jsp?a=soutlet001&amp;f=5p2ff3LgmT%4070515.jpg" TargetMode="External"/><Relationship Id="rId1531" Type="http://schemas.openxmlformats.org/officeDocument/2006/relationships/hyperlink" Target="https://ap12.ragic.com/sims/file.jsp?a=soutlet001&amp;f=ph85m5As6O%40631636.jpg" TargetMode="External"/><Relationship Id="rId1769" Type="http://schemas.openxmlformats.org/officeDocument/2006/relationships/hyperlink" Target="https://ap12.ragic.com/sims/file.jsp?a=soutlet001&amp;f=eP16cqk3N4%40IMG_5946.jpeg" TargetMode="External"/><Relationship Id="rId30" Type="http://schemas.openxmlformats.org/officeDocument/2006/relationships/hyperlink" Target="https://ap12.ragic.com/sims/file.jsp?a=soutlet001&amp;f=nHu6LV8bcJ%40IMG_1413.jpeg" TargetMode="External"/><Relationship Id="rId1629" Type="http://schemas.openxmlformats.org/officeDocument/2006/relationships/hyperlink" Target="https://ap12.ragic.com/sims/file.jsp?a=soutlet001&amp;f=9Hcpo3615c%40IMG_6167.jpeg" TargetMode="External"/><Relationship Id="rId277" Type="http://schemas.openxmlformats.org/officeDocument/2006/relationships/hyperlink" Target="https://ap12.ragic.com/sims/file.jsp?a=soutlet001&amp;f=wmskMIaamV%40a685077d5dfa19fd5271e9fda4f06606.png" TargetMode="External"/><Relationship Id="rId484" Type="http://schemas.openxmlformats.org/officeDocument/2006/relationships/hyperlink" Target="https://ap12.ragic.com/sims/file.jsp?a=soutlet001&amp;f=89Kc3sntIn%40515+%E6%B0%B4%E9%BE%8D%E9%A0%AD%E5%B7%B2%E9%8E%96%E7%B7%8A.jpg" TargetMode="External"/><Relationship Id="rId137" Type="http://schemas.openxmlformats.org/officeDocument/2006/relationships/hyperlink" Target="https://ap12.ragic.com/sims/file.jsp?a=soutlet001&amp;f=4QJpYLheLH%401000008521.jpg" TargetMode="External"/><Relationship Id="rId344" Type="http://schemas.openxmlformats.org/officeDocument/2006/relationships/hyperlink" Target="https://ap12.ragic.com/sims/file.jsp?a=soutlet001&amp;f=bMzcpsNMP0%40IMG_1974.jpeg" TargetMode="External"/><Relationship Id="rId691" Type="http://schemas.openxmlformats.org/officeDocument/2006/relationships/hyperlink" Target="https://ap12.ragic.com/sims/file.jsp?a=soutlet001&amp;f=IGUGv3aB5c%40707+%E6%BA%AB%E5%BA%A6.jpg" TargetMode="External"/><Relationship Id="rId789" Type="http://schemas.openxmlformats.org/officeDocument/2006/relationships/hyperlink" Target="https://ap12.ragic.com/sims/file.jsp?a=soutlet001&amp;f=QfYzlsrt7q%40619%E7%B7%9A%E5%B7%B2%E6%8E%A5%E4%B8%8A%E5%AE%8C%E6%88%90.jpg" TargetMode="External"/><Relationship Id="rId996" Type="http://schemas.openxmlformats.org/officeDocument/2006/relationships/hyperlink" Target="https://ap12.ragic.com/sims/file.jsp?a=soutlet001&amp;f=q6yiNH8m8R%40image_8F9283F4-6404-4D77-920E-A0E2F636D7F2_1763033968_compressed.jpeg" TargetMode="External"/><Relationship Id="rId551" Type="http://schemas.openxmlformats.org/officeDocument/2006/relationships/hyperlink" Target="https://ap12.ragic.com/sims/file.jsp?a=soutlet001&amp;f=DTHJstX6wf%40IMG_9794.jpeg" TargetMode="External"/><Relationship Id="rId649" Type="http://schemas.openxmlformats.org/officeDocument/2006/relationships/hyperlink" Target="https://ap12.ragic.com/sims/file.jsp?a=soutlet001&amp;f=oHiY8L93Yc%40233745.jpg" TargetMode="External"/><Relationship Id="rId856" Type="http://schemas.openxmlformats.org/officeDocument/2006/relationships/hyperlink" Target="https://ap12.ragic.com/sims/file.jsp?a=soutlet001&amp;f=8uwjUJYCw8%40IMG_8543.jpeg" TargetMode="External"/><Relationship Id="rId1181" Type="http://schemas.openxmlformats.org/officeDocument/2006/relationships/hyperlink" Target="https://ap12.ragic.com/sims/file.jsp?a=soutlet001&amp;f=3a87s6u7B3%40820%E6%B5%B4%E7%B0%BE%E4%BF%AE%E5%BE%A9%E5%AE%8C%E6%88%90.jpg" TargetMode="External"/><Relationship Id="rId1279" Type="http://schemas.openxmlformats.org/officeDocument/2006/relationships/hyperlink" Target="https://ap12.ragic.com/sims/file.jsp?a=soutlet001&amp;f=xHZajGkyYe%40IMG_7707.jpeg" TargetMode="External"/><Relationship Id="rId1486" Type="http://schemas.openxmlformats.org/officeDocument/2006/relationships/hyperlink" Target="https://ap12.ragic.com/sims/file.jsp?a=soutlet001&amp;f=2ad1fPlr1L%40S__4644968.jpg" TargetMode="External"/><Relationship Id="rId204" Type="http://schemas.openxmlformats.org/officeDocument/2006/relationships/hyperlink" Target="https://ap12.ragic.com/sims/file.jsp?a=soutlet001&amp;f=kuUH67dONu%40IMG_8446.jpeg" TargetMode="External"/><Relationship Id="rId411" Type="http://schemas.openxmlformats.org/officeDocument/2006/relationships/hyperlink" Target="https://ap12.ragic.com/sims/file.jsp?a=soutlet001&amp;f=CZCT2XWJOp%40531%E9%A6%AC%E6%A1%B6%E5%99%B4%E5%98%B4%E6%95%85%E9%9A%9C.png" TargetMode="External"/><Relationship Id="rId509" Type="http://schemas.openxmlformats.org/officeDocument/2006/relationships/hyperlink" Target="https://ap12.ragic.com/sims/file.jsp?a=soutlet001&amp;f=u2TeCHVLiD%401000007547.jpg" TargetMode="External"/><Relationship Id="rId1041" Type="http://schemas.openxmlformats.org/officeDocument/2006/relationships/hyperlink" Target="https://ap12.ragic.com/sims/file.jsp?a=soutlet001&amp;f=N1DyO549Pm%40IMG_8210.jpeg" TargetMode="External"/><Relationship Id="rId1139" Type="http://schemas.openxmlformats.org/officeDocument/2006/relationships/hyperlink" Target="https://ap12.ragic.com/sims/file.jsp?a=soutlet001&amp;f=w30pq396h2%4074109.jpg" TargetMode="External"/><Relationship Id="rId1346" Type="http://schemas.openxmlformats.org/officeDocument/2006/relationships/hyperlink" Target="https://ap12.ragic.com/sims/file.jsp?a=soutlet001&amp;f=M9M0s123Vk%40IMG_5086.jpeg" TargetMode="External"/><Relationship Id="rId1693" Type="http://schemas.openxmlformats.org/officeDocument/2006/relationships/hyperlink" Target="https://ap12.ragic.com/sims/file.jsp?a=soutlet001&amp;f=tX3l1687ar%40IMG_6055.jpeg" TargetMode="External"/><Relationship Id="rId716" Type="http://schemas.openxmlformats.org/officeDocument/2006/relationships/hyperlink" Target="https://ap12.ragic.com/sims/file.jsp?a=soutlet001&amp;f=RSIS9NmLEu%40IMG_9583.jpeg" TargetMode="External"/><Relationship Id="rId923" Type="http://schemas.openxmlformats.org/officeDocument/2006/relationships/hyperlink" Target="https://ap12.ragic.com/sims/file.jsp?a=soutlet001&amp;f=nCPLhCRSZM%40IMG_8440.jpeg" TargetMode="External"/><Relationship Id="rId1553" Type="http://schemas.openxmlformats.org/officeDocument/2006/relationships/hyperlink" Target="https://ap12.ragic.com/sims/file.jsp?a=soutlet001&amp;f=W5HnDTQDA7%40S__50782427.jpg" TargetMode="External"/><Relationship Id="rId1760" Type="http://schemas.openxmlformats.org/officeDocument/2006/relationships/hyperlink" Target="https://ap12.ragic.com/sims/file.jsp?a=soutlet001&amp;f=ZzAddOnoxE%40S__48611332.jpg" TargetMode="External"/><Relationship Id="rId52" Type="http://schemas.openxmlformats.org/officeDocument/2006/relationships/hyperlink" Target="https://ap12.ragic.com/sims/file.jsp?a=soutlet001&amp;f=edf6jGifm2%40IMG_0991.jpeg" TargetMode="External"/><Relationship Id="rId1206" Type="http://schemas.openxmlformats.org/officeDocument/2006/relationships/hyperlink" Target="https://ap12.ragic.com/sims/file.jsp?a=soutlet001&amp;f=v4MO8YuBFT%401000005489.jpg" TargetMode="External"/><Relationship Id="rId1413" Type="http://schemas.openxmlformats.org/officeDocument/2006/relationships/hyperlink" Target="https://ap12.ragic.com/sims/file.jsp?a=soutlet001&amp;f=xW0HpmRitR%4057398_0.jpg" TargetMode="External"/><Relationship Id="rId1620" Type="http://schemas.openxmlformats.org/officeDocument/2006/relationships/hyperlink" Target="https://ap12.ragic.com/sims/file.jsp?a=soutlet001&amp;f=8GGrUFKXy0%40IMG_6196.jpeg" TargetMode="External"/><Relationship Id="rId1718" Type="http://schemas.openxmlformats.org/officeDocument/2006/relationships/hyperlink" Target="https://ap12.ragic.com/sims/file.jsp?a=soutlet001&amp;f=QNg2dPfCsj%4063215.jpg" TargetMode="External"/><Relationship Id="rId299" Type="http://schemas.openxmlformats.org/officeDocument/2006/relationships/hyperlink" Target="https://ap12.ragic.com/sims/file.jsp?a=soutlet001&amp;f=eLezzPUn6N%4021a4b8962f76625c73ee6e8c8de59dac.png" TargetMode="External"/><Relationship Id="rId159" Type="http://schemas.openxmlformats.org/officeDocument/2006/relationships/hyperlink" Target="https://ap12.ragic.com/sims/file.jsp?a=soutlet001&amp;f=tmwL9NXFn8%40IMG_0343.jpeg" TargetMode="External"/><Relationship Id="rId366" Type="http://schemas.openxmlformats.org/officeDocument/2006/relationships/hyperlink" Target="https://ap12.ragic.com/sims/file.jsp?a=soutlet001&amp;f=hvyVXKw1o2%401000007972.jpg" TargetMode="External"/><Relationship Id="rId573" Type="http://schemas.openxmlformats.org/officeDocument/2006/relationships/hyperlink" Target="https://ap12.ragic.com/sims/file.jsp?a=soutlet001&amp;f=1QXQn0odpH%4098fd3e222cb98f17551555abee15b4c9.png" TargetMode="External"/><Relationship Id="rId780" Type="http://schemas.openxmlformats.org/officeDocument/2006/relationships/hyperlink" Target="https://ap12.ragic.com/sims/file.jsp?a=soutlet001&amp;f=aOURV5Zcz0%40S__6324287.jpg" TargetMode="External"/><Relationship Id="rId226" Type="http://schemas.openxmlformats.org/officeDocument/2006/relationships/hyperlink" Target="https://ap12.ragic.com/sims/file.jsp?a=soutlet001&amp;f=Ci67MkWaCZ%401000008166.jpg" TargetMode="External"/><Relationship Id="rId433" Type="http://schemas.openxmlformats.org/officeDocument/2006/relationships/hyperlink" Target="https://ap12.ragic.com/sims/file.jsp?a=soutlet001&amp;f=R3d9Eo603B%40IMG_1764.jpeg" TargetMode="External"/><Relationship Id="rId878" Type="http://schemas.openxmlformats.org/officeDocument/2006/relationships/hyperlink" Target="https://ap12.ragic.com/sims/file.jsp?a=soutlet001&amp;f=2BlxPeHfJx%40601%E7%AB%8B%E7%87%88%E4%BF%AE%E5%BE%A9%E5%AE%8C%E6%88%90.jpg" TargetMode="External"/><Relationship Id="rId1063" Type="http://schemas.openxmlformats.org/officeDocument/2006/relationships/hyperlink" Target="https://ap12.ragic.com/sims/file.jsp?a=soutlet001&amp;f=8Hc9mOXbjA%40image_B9DCBDA4-CAD2-427D-9962-73E069D439FA_1762345562_compressed.jpeg" TargetMode="External"/><Relationship Id="rId1270" Type="http://schemas.openxmlformats.org/officeDocument/2006/relationships/hyperlink" Target="https://ap12.ragic.com/sims/file.jsp?a=soutlet001&amp;f=1ryHZ5iMTh%40220076.jpg" TargetMode="External"/><Relationship Id="rId640" Type="http://schemas.openxmlformats.org/officeDocument/2006/relationships/hyperlink" Target="https://ap12.ragic.com/sims/file.jsp?a=soutlet001&amp;f=neNJEPIL4Y%40image_EF734F84-9444-488C-BA3F-327795247C51_1767866757_compressed.jpeg" TargetMode="External"/><Relationship Id="rId738" Type="http://schemas.openxmlformats.org/officeDocument/2006/relationships/hyperlink" Target="https://ap12.ragic.com/sims/file.jsp?a=soutlet001&amp;f=iAj29NYGzW%40801+%E7%87%88%E6%B3%A1%E5%B7%B2%E6%9B%B4%E6%8F%9B.jpg" TargetMode="External"/><Relationship Id="rId945" Type="http://schemas.openxmlformats.org/officeDocument/2006/relationships/hyperlink" Target="https://ap12.ragic.com/sims/file.jsp?a=soutlet001&amp;f=1U4GunSAng%4078542.jpg" TargetMode="External"/><Relationship Id="rId1368" Type="http://schemas.openxmlformats.org/officeDocument/2006/relationships/hyperlink" Target="https://ap12.ragic.com/sims/file.jsp?a=soutlet001&amp;f=nfCz16e65L%40image_D2D4E811-EAAB-4893-8F08-703A922D9AD9_1759231402_compressed.jpeg" TargetMode="External"/><Relationship Id="rId1575" Type="http://schemas.openxmlformats.org/officeDocument/2006/relationships/hyperlink" Target="https://ap12.ragic.com/sims/file.jsp?a=soutlet001&amp;f=T2R6bB25z4%40IMG_6380.jpeg" TargetMode="External"/><Relationship Id="rId1782" Type="http://schemas.openxmlformats.org/officeDocument/2006/relationships/hyperlink" Target="https://ap12.ragic.com/sims/file.jsp?a=soutlet001&amp;f=1pd55HIXAJ%40image.jpg" TargetMode="External"/><Relationship Id="rId74" Type="http://schemas.openxmlformats.org/officeDocument/2006/relationships/hyperlink" Target="https://ap12.ragic.com/sims/file.jsp?a=soutlet001&amp;f=9eFWY5jnDK%40IMG_0569.jpeg" TargetMode="External"/><Relationship Id="rId500" Type="http://schemas.openxmlformats.org/officeDocument/2006/relationships/hyperlink" Target="https://ap12.ragic.com/sims/file.jsp?a=soutlet001&amp;f=FqelO4d7T8%40IMG_9859.jpeg" TargetMode="External"/><Relationship Id="rId805" Type="http://schemas.openxmlformats.org/officeDocument/2006/relationships/hyperlink" Target="https://ap12.ragic.com/sims/file.jsp?a=soutlet001&amp;f=DiXaKRs1oi%40701%E7%A6%81%E8%8F%B8%E7%89%8C%E5%B7%B2%E5%9B%BA%E5%AE%9A.jpg" TargetMode="External"/><Relationship Id="rId1130" Type="http://schemas.openxmlformats.org/officeDocument/2006/relationships/hyperlink" Target="https://ap12.ragic.com/sims/file.jsp?a=soutlet001&amp;f=0ca75E2NHJ%40IMG_7929.jpeg" TargetMode="External"/><Relationship Id="rId1228" Type="http://schemas.openxmlformats.org/officeDocument/2006/relationships/hyperlink" Target="https://ap12.ragic.com/sims/file.jsp?a=soutlet001&amp;f=cz6gJ658iU%40817%E8%A3%9C%E6%96%99%E5%AE%8C%E6%88%90.jpg" TargetMode="External"/><Relationship Id="rId1435" Type="http://schemas.openxmlformats.org/officeDocument/2006/relationships/hyperlink" Target="https://ap12.ragic.com/sims/file.jsp?a=soutlet001&amp;f=w9b9Vn2L89%40521%E5%B7%B2%E8%A3%9C%E5%AE%8C%E6%88%90.jpg" TargetMode="External"/><Relationship Id="rId1642" Type="http://schemas.openxmlformats.org/officeDocument/2006/relationships/hyperlink" Target="https://ap12.ragic.com/sims/file.jsp?a=soutlet001&amp;f=f919NS1RAk%401000004053.jpg" TargetMode="External"/><Relationship Id="rId1502" Type="http://schemas.openxmlformats.org/officeDocument/2006/relationships/hyperlink" Target="https://ap12.ragic.com/sims/file.jsp?a=soutlet001&amp;f=Dk7E6jdxVe%40921%E6%B5%B4%E5%AE%A4%E7%AA%97%E7%B0%BE%E5%B7%B2%E8%AA%BF%E6%95%B4%E5%AE%8C%E6%88%90.jpg" TargetMode="External"/><Relationship Id="rId1807" Type="http://schemas.openxmlformats.org/officeDocument/2006/relationships/hyperlink" Target="https://ap12.ragic.com/sims/file.jsp?a=soutlet001&amp;f=3H6Ldne3G5%40image.jpg" TargetMode="External"/><Relationship Id="rId290" Type="http://schemas.openxmlformats.org/officeDocument/2006/relationships/hyperlink" Target="https://ap12.ragic.com/sims/file.jsp?a=soutlet001&amp;f=iKmvb4aFzX%40f440553fc6201a22e8578330e30cf011.png" TargetMode="External"/><Relationship Id="rId388" Type="http://schemas.openxmlformats.org/officeDocument/2006/relationships/hyperlink" Target="https://ap12.ragic.com/sims/file.jsp?a=soutlet001&amp;f=zOXdrI9uQS%401000007899.jpg" TargetMode="External"/><Relationship Id="rId150" Type="http://schemas.openxmlformats.org/officeDocument/2006/relationships/hyperlink" Target="https://ap12.ragic.com/sims/file.jsp?a=soutlet001&amp;f=XJWCRjT1Fi%40IMG_2397.jpeg" TargetMode="External"/><Relationship Id="rId595" Type="http://schemas.openxmlformats.org/officeDocument/2006/relationships/hyperlink" Target="https://ap12.ragic.com/sims/file.jsp?a=soutlet001&amp;f=XYUwpE22d0%40IMG_4228.jpeg" TargetMode="External"/><Relationship Id="rId248" Type="http://schemas.openxmlformats.org/officeDocument/2006/relationships/hyperlink" Target="https://ap12.ragic.com/sims/file.jsp?a=soutlet001&amp;f=gdpZDZcgCV%40627%E7%87%88%E6%A2%9D%E5%B7%B2%E8%A3%9D%E4%B8%8A.jpg" TargetMode="External"/><Relationship Id="rId455" Type="http://schemas.openxmlformats.org/officeDocument/2006/relationships/hyperlink" Target="https://ap12.ragic.com/sims/file.jsp?a=soutlet001&amp;f=SftWU3IxAh%40770776aecceb7199dc9188d8bda01ca5.png" TargetMode="External"/><Relationship Id="rId662" Type="http://schemas.openxmlformats.org/officeDocument/2006/relationships/hyperlink" Target="https://ap12.ragic.com/sims/file.jsp?a=soutlet001&amp;f=YMEac9dWWl%409f403d321bf8851d4c9b4431c11dd38a.png" TargetMode="External"/><Relationship Id="rId1085" Type="http://schemas.openxmlformats.org/officeDocument/2006/relationships/hyperlink" Target="https://ap12.ragic.com/sims/file.jsp?a=soutlet001&amp;f=34yrnS9qfM%40IMG_6494.jpeg" TargetMode="External"/><Relationship Id="rId1292" Type="http://schemas.openxmlformats.org/officeDocument/2006/relationships/hyperlink" Target="https://ap12.ragic.com/sims/file.jsp?a=soutlet001&amp;f=6KPGFS4YDI%4020251008.jpg" TargetMode="External"/><Relationship Id="rId108" Type="http://schemas.openxmlformats.org/officeDocument/2006/relationships/hyperlink" Target="https://ap12.ragic.com/sims/file.jsp?a=soutlet001&amp;f=ePREGaBFOo%40IMG_0484.jpeg" TargetMode="External"/><Relationship Id="rId315" Type="http://schemas.openxmlformats.org/officeDocument/2006/relationships/hyperlink" Target="https://ap12.ragic.com/sims/file.jsp?a=soutlet001&amp;f=nvtRlbfSu1%40f8f4978ad6a701f6c1f195a622efb1cc.png" TargetMode="External"/><Relationship Id="rId522" Type="http://schemas.openxmlformats.org/officeDocument/2006/relationships/hyperlink" Target="https://ap12.ragic.com/sims/file.jsp?a=soutlet001&amp;f=hFCSLodkil%40717%E8%B2%BC%E7%9A%AE%E5%AE%8C%E6%88%90.jpg" TargetMode="External"/><Relationship Id="rId967" Type="http://schemas.openxmlformats.org/officeDocument/2006/relationships/hyperlink" Target="https://ap12.ragic.com/sims/file.jsp?a=soutlet001&amp;f=2hlfI33k5u%40627%E5%B7%B2%E8%99%95%E7%90%86%E5%AE%8C%E6%88%90.jpg" TargetMode="External"/><Relationship Id="rId1152" Type="http://schemas.openxmlformats.org/officeDocument/2006/relationships/hyperlink" Target="https://ap12.ragic.com/sims/file.jsp?a=soutlet001&amp;f=xF5Nwo4Z4n%4072886.jpg" TargetMode="External"/><Relationship Id="rId1597" Type="http://schemas.openxmlformats.org/officeDocument/2006/relationships/hyperlink" Target="https://ap12.ragic.com/sims/file.jsp?a=soutlet001&amp;f=d0gkqsWQ47%40image_268D8694-C6B7-4470-AE26-04595CC4FDA7_1756988754_compressed.jpeg" TargetMode="External"/><Relationship Id="rId96" Type="http://schemas.openxmlformats.org/officeDocument/2006/relationships/hyperlink" Target="https://ap12.ragic.com/sims/file.jsp?a=soutlet001&amp;f=1j6pnA3Mb0%40IMG_0299.jpeg" TargetMode="External"/><Relationship Id="rId827" Type="http://schemas.openxmlformats.org/officeDocument/2006/relationships/hyperlink" Target="https://ap12.ragic.com/sims/file.jsp?a=soutlet001&amp;f=IjLUPrNoav%40605+%E8%AA%BF%E6%95%B4%E5%AE%8C%E6%88%90.jpg" TargetMode="External"/><Relationship Id="rId1012" Type="http://schemas.openxmlformats.org/officeDocument/2006/relationships/hyperlink" Target="https://ap12.ragic.com/sims/file.jsp?a=soutlet001&amp;f=AVaNshs16O%40IMG_7136.jpeg" TargetMode="External"/><Relationship Id="rId1457" Type="http://schemas.openxmlformats.org/officeDocument/2006/relationships/hyperlink" Target="https://ap12.ragic.com/sims/file.jsp?a=soutlet001&amp;f=du6g46hbm9%40IMG_7372.jpeg" TargetMode="External"/><Relationship Id="rId1664" Type="http://schemas.openxmlformats.org/officeDocument/2006/relationships/hyperlink" Target="https://ap12.ragic.com/sims/file.jsp?a=soutlet001&amp;f=CU0XZ2eH53%40IMG_3430.jpeg" TargetMode="External"/><Relationship Id="rId1317" Type="http://schemas.openxmlformats.org/officeDocument/2006/relationships/hyperlink" Target="https://ap12.ragic.com/sims/file.jsp?a=soutlet001&amp;f=E03s4PsDWw%40807%E6%B5%B4%E7%B0%BE%E8%AA%BF%E6%95%B4%E5%AE%8C%E6%88%90.jpg" TargetMode="External"/><Relationship Id="rId1524" Type="http://schemas.openxmlformats.org/officeDocument/2006/relationships/hyperlink" Target="https://ap12.ragic.com/sims/file.jsp?a=soutlet001&amp;f=zsQ4mSH1lX%4010%E6%A8%93%E9%80%83%E7%94%9F%E6%A2%AF%E5%B7%B2%E6%8F%9B%E7%87%88%E5%BA%A7.jpg" TargetMode="External"/><Relationship Id="rId1731" Type="http://schemas.openxmlformats.org/officeDocument/2006/relationships/hyperlink" Target="https://ap12.ragic.com/sims/file.jsp?a=soutlet001&amp;f=tofO4WEXpT%40IMG_3120.jpeg" TargetMode="External"/><Relationship Id="rId23" Type="http://schemas.openxmlformats.org/officeDocument/2006/relationships/hyperlink" Target="https://ap12.ragic.com/sims/file.jsp?a=soutlet001&amp;f=bS0MWqfBkA%40IMG_1445.jpeg" TargetMode="External"/><Relationship Id="rId1829" Type="http://schemas.openxmlformats.org/officeDocument/2006/relationships/hyperlink" Target="https://ap12.ragic.com/sims/file.jsp?a=soutlet001&amp;f=05474MER3h%40IMG_5827.jpeg" TargetMode="External"/><Relationship Id="rId172" Type="http://schemas.openxmlformats.org/officeDocument/2006/relationships/hyperlink" Target="https://ap12.ragic.com/sims/file.jsp?a=soutlet001&amp;f=3zDx7DiAzU%401000008295.jpg" TargetMode="External"/><Relationship Id="rId477" Type="http://schemas.openxmlformats.org/officeDocument/2006/relationships/hyperlink" Target="https://ap12.ragic.com/sims/file.jsp?a=soutlet001&amp;f=JcFq0UG54Q%40631+%E5%B7%B2ok.jpg" TargetMode="External"/><Relationship Id="rId684" Type="http://schemas.openxmlformats.org/officeDocument/2006/relationships/hyperlink" Target="https://ap12.ragic.com/sims/file.jsp?a=soutlet001&amp;f=DU1UP3b9Mb%40C%E6%A2%AF%E9%9B%BB%E7%87%88%E5%B7%B2%E6%9B%B4%E6%8F%9B.jpg" TargetMode="External"/><Relationship Id="rId337" Type="http://schemas.openxmlformats.org/officeDocument/2006/relationships/hyperlink" Target="https://ap12.ragic.com/sims/file.jsp?a=soutlet001&amp;f=Rm6rc4PFQ6%40image+%281%29.jpg" TargetMode="External"/><Relationship Id="rId891" Type="http://schemas.openxmlformats.org/officeDocument/2006/relationships/hyperlink" Target="https://ap12.ragic.com/sims/file.jsp?a=soutlet001&amp;f=BtWmFyfPwG%40813+%E5%AE%A2%E4%BA%BA%E5%9B%9E%E9%A4%A8%EF%BC%8C%E6%9C%89%E9%99%AA%E5%90%8C%E5%AE%A2%E4%BA%BA%E4%B8%8A%E6%A8%93%E7%A2%BA%E8%AA%8D%E6%BA%AB%E5%BA%A6%EF%BC%8C%E6%BA%AB%E5%BA%A6%E6%A7%8D%E9%A1%AF%E7%A4%BA20%E5%BA%A6%EF%BC%8C%E5%87%BA%E9%A2%A8%E7%8B%80%E6%B3%81%E5%AE%A2%E4%BA%BA%E6%8E%A5%E5%8F%97%EF%BC%8C%E6%9C%89%E9%9C%80%E8%A6%81%E8%AA%BF%E6%95%B4%E6%9C%83%E5%86%8D%E9%80%9A%E7%9F%A5.jpg" TargetMode="External"/><Relationship Id="rId989" Type="http://schemas.openxmlformats.org/officeDocument/2006/relationships/hyperlink" Target="https://ap12.ragic.com/sims/file.jsp?a=soutlet001&amp;f=nW3RYuJ8LW%401000006106.jpg" TargetMode="External"/><Relationship Id="rId544" Type="http://schemas.openxmlformats.org/officeDocument/2006/relationships/hyperlink" Target="https://ap12.ragic.com/sims/file.jsp?a=soutlet001&amp;f=vOK4GgaXOc%40809+%E6%B5%B4%E5%AE%A4%E6%AD%A2%E6%B0%B4%E6%A2%9D%E5%B7%B2%E6%9B%B4%E6%8F%9B.jpg" TargetMode="External"/><Relationship Id="rId751" Type="http://schemas.openxmlformats.org/officeDocument/2006/relationships/hyperlink" Target="https://ap12.ragic.com/sims/file.jsp?a=soutlet001&amp;f=lwCt9a9i44%40IMG_9522.jpeg" TargetMode="External"/><Relationship Id="rId849" Type="http://schemas.openxmlformats.org/officeDocument/2006/relationships/hyperlink" Target="https://ap12.ragic.com/sims/file.jsp?a=soutlet001&amp;f=eMLMBwvmF7%40IMG_8553.jpeg" TargetMode="External"/><Relationship Id="rId1174" Type="http://schemas.openxmlformats.org/officeDocument/2006/relationships/hyperlink" Target="https://ap12.ragic.com/sims/file.jsp?a=soutlet001&amp;f=Ec650Vbo6E%40IMG_7862.jpeg" TargetMode="External"/><Relationship Id="rId1381" Type="http://schemas.openxmlformats.org/officeDocument/2006/relationships/hyperlink" Target="https://ap12.ragic.com/sims/file.jsp?a=soutlet001&amp;f=IY0y5YP7F8%40image_4E4AE665-8635-43A2-931B-EDB616C259F3_1759239248_compressed.jpeg" TargetMode="External"/><Relationship Id="rId1479" Type="http://schemas.openxmlformats.org/officeDocument/2006/relationships/hyperlink" Target="https://ap12.ragic.com/sims/file.jsp?a=soutlet001&amp;f=698W4Fry7O%40917%E5%B7%B2%E8%AA%BF%E6%95%B4%E5%AE%8C%E6%88%90.jpg" TargetMode="External"/><Relationship Id="rId1686" Type="http://schemas.openxmlformats.org/officeDocument/2006/relationships/hyperlink" Target="https://ap12.ragic.com/sims/file.jsp?a=soutlet001&amp;f=ijofk8k08C%40708.jpg" TargetMode="External"/><Relationship Id="rId404" Type="http://schemas.openxmlformats.org/officeDocument/2006/relationships/hyperlink" Target="https://ap12.ragic.com/sims/file.jsp?a=soutlet001&amp;f=OM9tGv54Nq%40IMG_5289.jpeg" TargetMode="External"/><Relationship Id="rId611" Type="http://schemas.openxmlformats.org/officeDocument/2006/relationships/hyperlink" Target="https://ap12.ragic.com/sims/file.jsp?a=soutlet001&amp;f=HaGnjEe2Hs%401000007153.jpg" TargetMode="External"/><Relationship Id="rId1034" Type="http://schemas.openxmlformats.org/officeDocument/2006/relationships/hyperlink" Target="https://ap12.ragic.com/sims/file.jsp?a=soutlet001&amp;f=oVDZNAwuaY%40image.jpg" TargetMode="External"/><Relationship Id="rId1241" Type="http://schemas.openxmlformats.org/officeDocument/2006/relationships/hyperlink" Target="https://ap12.ragic.com/sims/file.jsp?a=soutlet001&amp;f=khpUzp56w7%40IMG_7768.jpeg" TargetMode="External"/><Relationship Id="rId1339" Type="http://schemas.openxmlformats.org/officeDocument/2006/relationships/hyperlink" Target="https://ap12.ragic.com/sims/file.jsp?a=soutlet001&amp;f=H3k33h0s9P%40image.jpg" TargetMode="External"/><Relationship Id="rId709" Type="http://schemas.openxmlformats.org/officeDocument/2006/relationships/hyperlink" Target="https://ap12.ragic.com/sims/file.jsp?a=soutlet001&amp;f=rym5MigLSc%40820%E6%B5%B4%E7%B0%BE%E5%B7%B2%E8%AA%BF%E6%95%B4%E5%AE%8C%E6%88%90.jpg" TargetMode="External"/><Relationship Id="rId916" Type="http://schemas.openxmlformats.org/officeDocument/2006/relationships/hyperlink" Target="https://ap12.ragic.com/sims/file.jsp?a=soutlet001&amp;f=XZ7K8dsEjU%40IMG_8451.jpeg" TargetMode="External"/><Relationship Id="rId1101" Type="http://schemas.openxmlformats.org/officeDocument/2006/relationships/hyperlink" Target="https://ap12.ragic.com/sims/file.jsp?a=soutlet001&amp;f=w6hu5i6HpU%40IMG_6409.jpeg" TargetMode="External"/><Relationship Id="rId1546" Type="http://schemas.openxmlformats.org/officeDocument/2006/relationships/hyperlink" Target="https://ap12.ragic.com/sims/file.jsp?a=soutlet001&amp;f=i1098uRp4Q%4066620.jpg" TargetMode="External"/><Relationship Id="rId1753" Type="http://schemas.openxmlformats.org/officeDocument/2006/relationships/hyperlink" Target="https://ap12.ragic.com/sims/file.jsp?a=soutlet001&amp;f=NFrjhV72V9%40IMG_5961.jpeg" TargetMode="External"/><Relationship Id="rId45" Type="http://schemas.openxmlformats.org/officeDocument/2006/relationships/hyperlink" Target="https://ap12.ragic.com/sims/file.jsp?a=soutlet001&amp;f=YyRzXLyFPS%40S__36741129_0.jpg" TargetMode="External"/><Relationship Id="rId1406" Type="http://schemas.openxmlformats.org/officeDocument/2006/relationships/hyperlink" Target="https://ap12.ragic.com/sims/file.jsp?a=soutlet001&amp;f=055GFf86mO%40image_7A2999AF-A0C3-4815-9B2B-EA789D46332F_1759116441_compressed.jpeg" TargetMode="External"/><Relationship Id="rId1613" Type="http://schemas.openxmlformats.org/officeDocument/2006/relationships/hyperlink" Target="https://ap12.ragic.com/sims/file.jsp?a=soutlet001&amp;f=xDiDiG3Rdy%40605.jpg" TargetMode="External"/><Relationship Id="rId1820" Type="http://schemas.openxmlformats.org/officeDocument/2006/relationships/hyperlink" Target="https://ap12.ragic.com/sims/file.jsp?a=soutlet001&amp;f=4hjwxkl5k8%4060805.jpg" TargetMode="External"/><Relationship Id="rId194" Type="http://schemas.openxmlformats.org/officeDocument/2006/relationships/hyperlink" Target="https://ap12.ragic.com/sims/file.jsp?a=soutlet001&amp;f=xEFvfdzJv3%40526+%E7%8E%BB%E7%92%83%E9%96%80%E6%89%8B%E6%8A%8A%E5%B7%B2%E9%8E%96%E7%B7%8A.jpg" TargetMode="External"/><Relationship Id="rId261" Type="http://schemas.openxmlformats.org/officeDocument/2006/relationships/hyperlink" Target="https://ap12.ragic.com/sims/file.jsp?a=soutlet001&amp;f=0JDcf0hcpa%4074cc4540f1c5f48a30a23acdc27ccb92.png" TargetMode="External"/><Relationship Id="rId499" Type="http://schemas.openxmlformats.org/officeDocument/2006/relationships/hyperlink" Target="https://ap12.ragic.com/sims/file.jsp?a=soutlet001&amp;f=YYmBY0iWMA%40IMG_9861.jpeg" TargetMode="External"/><Relationship Id="rId359" Type="http://schemas.openxmlformats.org/officeDocument/2006/relationships/hyperlink" Target="https://ap12.ragic.com/sims/file.jsp?a=soutlet001&amp;f=xPocKNzuMv%40830+%E8%B2%93%E7%9C%BCok.jpg" TargetMode="External"/><Relationship Id="rId566" Type="http://schemas.openxmlformats.org/officeDocument/2006/relationships/hyperlink" Target="https://ap12.ragic.com/sims/file.jsp?a=soutlet001&amp;f=95V1Fq11Ws%40c8df25be97f86b8b696f171f92ec2e92.png" TargetMode="External"/><Relationship Id="rId773" Type="http://schemas.openxmlformats.org/officeDocument/2006/relationships/hyperlink" Target="https://ap12.ragic.com/sims/file.jsp?a=soutlet001&amp;f=CeZsSEq4kC%40IMG_9483.jpeg" TargetMode="External"/><Relationship Id="rId1196" Type="http://schemas.openxmlformats.org/officeDocument/2006/relationships/hyperlink" Target="https://ap12.ragic.com/sims/file.jsp?a=soutlet001&amp;f=07sCl20Wa0%4072658.jpg" TargetMode="External"/><Relationship Id="rId121" Type="http://schemas.openxmlformats.org/officeDocument/2006/relationships/hyperlink" Target="https://ap12.ragic.com/sims/file.jsp?a=soutlet001&amp;f=l5s0L2sS9W%40IMG_2566.jpeg" TargetMode="External"/><Relationship Id="rId219" Type="http://schemas.openxmlformats.org/officeDocument/2006/relationships/hyperlink" Target="https://ap12.ragic.com/sims/file.jsp?a=soutlet001&amp;f=Q5qUfCJGeo%40IMG_0270.jpeg" TargetMode="External"/><Relationship Id="rId426" Type="http://schemas.openxmlformats.org/officeDocument/2006/relationships/hyperlink" Target="https://ap12.ragic.com/sims/file.jsp?a=soutlet001&amp;f=gOn1tUuYJH%40IMG_9926.jpeg" TargetMode="External"/><Relationship Id="rId633" Type="http://schemas.openxmlformats.org/officeDocument/2006/relationships/hyperlink" Target="https://ap12.ragic.com/sims/file.jsp?a=soutlet001&amp;f=jZvApt1vXI%40IMG_9708.jpeg" TargetMode="External"/><Relationship Id="rId980" Type="http://schemas.openxmlformats.org/officeDocument/2006/relationships/hyperlink" Target="https://ap12.ragic.com/sims/file.jsp?a=soutlet001&amp;f=OjT3RcV0H5%40image_8CA02600-4053-4F8F-BE5E-F63E2CBBD681_1763293148_compressed.jpeg" TargetMode="External"/><Relationship Id="rId1056" Type="http://schemas.openxmlformats.org/officeDocument/2006/relationships/hyperlink" Target="https://ap12.ragic.com/sims/file.jsp?a=soutlet001&amp;f=U5kRHbREe1%40IMG_6853.jpeg" TargetMode="External"/><Relationship Id="rId1263" Type="http://schemas.openxmlformats.org/officeDocument/2006/relationships/hyperlink" Target="https://ap12.ragic.com/sims/file.jsp?a=soutlet001&amp;f=LLUVg49pe4%40S__7241772_0.jpg" TargetMode="External"/><Relationship Id="rId840" Type="http://schemas.openxmlformats.org/officeDocument/2006/relationships/hyperlink" Target="https://ap12.ragic.com/sims/file.jsp?a=soutlet001&amp;f=rP4HjvbuAw%4079757.jpg" TargetMode="External"/><Relationship Id="rId938" Type="http://schemas.openxmlformats.org/officeDocument/2006/relationships/hyperlink" Target="https://ap12.ragic.com/sims/file.jsp?a=soutlet001&amp;f=plwTxzdVNU%401000006255.jpg" TargetMode="External"/><Relationship Id="rId1470" Type="http://schemas.openxmlformats.org/officeDocument/2006/relationships/hyperlink" Target="https://ap12.ragic.com/sims/file.jsp?a=soutlet001&amp;f=N4LK444RN8%40808%E6%95%B4%E9%9D%A2%E6%B2%B9%E6%BC%86%E5%AE%8C%E6%88%90.jpg" TargetMode="External"/><Relationship Id="rId1568" Type="http://schemas.openxmlformats.org/officeDocument/2006/relationships/hyperlink" Target="https://ap12.ragic.com/sims/file.jsp?a=soutlet001&amp;f=0cl1JDt153%40IMG_3999.jpeg" TargetMode="External"/><Relationship Id="rId1775" Type="http://schemas.openxmlformats.org/officeDocument/2006/relationships/hyperlink" Target="https://ap12.ragic.com/sims/file.jsp?a=soutlet001&amp;f=592IFBcQGH%40170348.jpg" TargetMode="External"/><Relationship Id="rId67" Type="http://schemas.openxmlformats.org/officeDocument/2006/relationships/hyperlink" Target="https://ap12.ragic.com/sims/file.jsp?a=soutlet001&amp;f=0YHlaN0Kie%401000009484.jpg" TargetMode="External"/><Relationship Id="rId700" Type="http://schemas.openxmlformats.org/officeDocument/2006/relationships/hyperlink" Target="https://ap12.ragic.com/sims/file.jsp?a=soutlet001&amp;f=0NHwU3xxQa%40707%E9%96%80%E9%8E%96%E9%9B%BB%E6%B1%A0%E5%B7%B2%E6%9B%B4%E6%96%B0%E5%AE%8C%E6%88%90.jpg" TargetMode="External"/><Relationship Id="rId1123" Type="http://schemas.openxmlformats.org/officeDocument/2006/relationships/hyperlink" Target="https://ap12.ragic.com/sims/file.jsp?a=soutlet001&amp;f=h0fA49qGVz%40S__20234285.jpg" TargetMode="External"/><Relationship Id="rId1330" Type="http://schemas.openxmlformats.org/officeDocument/2006/relationships/hyperlink" Target="https://ap12.ragic.com/sims/file.jsp?a=soutlet001&amp;f=0s55WD21t1%40IMG_5329.jpeg" TargetMode="External"/><Relationship Id="rId1428" Type="http://schemas.openxmlformats.org/officeDocument/2006/relationships/hyperlink" Target="https://ap12.ragic.com/sims/file.jsp?a=soutlet001&amp;f=P5L1nv4ByH%40IMG_7460.jpeg" TargetMode="External"/><Relationship Id="rId1635" Type="http://schemas.openxmlformats.org/officeDocument/2006/relationships/hyperlink" Target="https://ap12.ragic.com/sims/file.jsp?a=soutlet001&amp;f=34npfS8mzy%40IMG_6158.jpeg" TargetMode="External"/><Relationship Id="rId1702" Type="http://schemas.openxmlformats.org/officeDocument/2006/relationships/hyperlink" Target="https://ap12.ragic.com/sims/file.jsp?a=soutlet001&amp;f=jKds83G3g2%40IMG_6047.jpeg" TargetMode="External"/><Relationship Id="rId283" Type="http://schemas.openxmlformats.org/officeDocument/2006/relationships/hyperlink" Target="https://ap12.ragic.com/sims/file.jsp?a=soutlet001&amp;f=p2uVatXWNA%40f74de17718345ec364be8b7083afc328.png" TargetMode="External"/><Relationship Id="rId490" Type="http://schemas.openxmlformats.org/officeDocument/2006/relationships/hyperlink" Target="https://ap12.ragic.com/sims/file.jsp?a=soutlet001&amp;f=MZJVTdH2cv%4088723.jpg" TargetMode="External"/><Relationship Id="rId143" Type="http://schemas.openxmlformats.org/officeDocument/2006/relationships/hyperlink" Target="https://ap12.ragic.com/sims/file.jsp?a=soutlet001&amp;f=5pmj3NR6X9%40IMG_2419.jpeg" TargetMode="External"/><Relationship Id="rId350" Type="http://schemas.openxmlformats.org/officeDocument/2006/relationships/hyperlink" Target="https://ap12.ragic.com/sims/file.jsp?a=soutlet001&amp;f=uxM9bdC0zf%40607%E6%B7%8B%E6%B5%B4%E6%8B%89%E9%96%80%E8%AA%BF%E6%95%B4%E5%AE%8C%E6%88%90.jpg" TargetMode="External"/><Relationship Id="rId588" Type="http://schemas.openxmlformats.org/officeDocument/2006/relationships/hyperlink" Target="https://ap12.ragic.com/sims/file.jsp?a=soutlet001&amp;f=9RaOoaKE0G%40A%E6%A2%AF%E4%BA%94%E6%A8%93%E4%B8%8B%E5%9B%9B%E6%A8%93%E7%9A%84%E8%BD%89%E8%A7%92%E8%99%95%EF%BC%8C%E6%B2%B9%E6%BC%86%E5%AE%8C%E6%88%90.jpg" TargetMode="External"/><Relationship Id="rId795" Type="http://schemas.openxmlformats.org/officeDocument/2006/relationships/hyperlink" Target="https://ap12.ragic.com/sims/file.jsp?a=soutlet001&amp;f=3Vazzugsgd%40IMG_9460.jpeg" TargetMode="External"/><Relationship Id="rId9" Type="http://schemas.openxmlformats.org/officeDocument/2006/relationships/hyperlink" Target="https://ap12.ragic.com/sims/file.jsp?a=soutlet001&amp;f=8kL3k69fsz%401000009931.jpg" TargetMode="External"/><Relationship Id="rId210" Type="http://schemas.openxmlformats.org/officeDocument/2006/relationships/hyperlink" Target="https://ap12.ragic.com/sims/file.jsp?a=soutlet001&amp;f=XjpkTx96pM%40IMG_2120.jpeg" TargetMode="External"/><Relationship Id="rId448" Type="http://schemas.openxmlformats.org/officeDocument/2006/relationships/hyperlink" Target="https://ap12.ragic.com/sims/file.jsp?a=soutlet001&amp;f=2WIbaVAZa0%4088946.jpg" TargetMode="External"/><Relationship Id="rId655" Type="http://schemas.openxmlformats.org/officeDocument/2006/relationships/hyperlink" Target="https://ap12.ragic.com/sims/file.jsp?a=soutlet001&amp;f=6Cby2pDRh4%401767601389609.jpg" TargetMode="External"/><Relationship Id="rId862" Type="http://schemas.openxmlformats.org/officeDocument/2006/relationships/hyperlink" Target="https://ap12.ragic.com/sims/file.jsp?a=soutlet001&amp;f=89owo8Z4Ds%40526%E8%99%95%E7%90%86%E5%AE%8C%E6%88%90.jpg" TargetMode="External"/><Relationship Id="rId1078" Type="http://schemas.openxmlformats.org/officeDocument/2006/relationships/hyperlink" Target="https://ap12.ragic.com/sims/file.jsp?a=soutlet001&amp;f=MJB881D1E5%40IMG_6502.jpeg" TargetMode="External"/><Relationship Id="rId1285" Type="http://schemas.openxmlformats.org/officeDocument/2006/relationships/hyperlink" Target="https://ap12.ragic.com/sims/file.jsp?a=soutlet001&amp;f=yeFp35B0Kz%40615%E6%B5%B4%E5%AE%A4%E7%9F%BD%E5%88%A9%E5%BA%B7%E4%BF%AE%E6%95%B4%E5%AE%8C%E7%95%A2+-+%E8%A4%87%E8%A3%BD.jpg" TargetMode="External"/><Relationship Id="rId1492" Type="http://schemas.openxmlformats.org/officeDocument/2006/relationships/hyperlink" Target="https://ap12.ragic.com/sims/file.jsp?a=soutlet001&amp;f=a2pQW5xauH%40746375.jpg" TargetMode="External"/><Relationship Id="rId308" Type="http://schemas.openxmlformats.org/officeDocument/2006/relationships/hyperlink" Target="https://ap12.ragic.com/sims/file.jsp?a=soutlet001&amp;f=rVeEYwdwxZ%40541ce12934373682ef276b57f1344d77.png" TargetMode="External"/><Relationship Id="rId515" Type="http://schemas.openxmlformats.org/officeDocument/2006/relationships/hyperlink" Target="https://ap12.ragic.com/sims/file.jsp?a=soutlet001&amp;f=89Q8mHavkF%40IMG_5067.jpeg" TargetMode="External"/><Relationship Id="rId722" Type="http://schemas.openxmlformats.org/officeDocument/2006/relationships/hyperlink" Target="https://ap12.ragic.com/sims/file.jsp?a=soutlet001&amp;f=tb7zUzzMbp%401000006906.jpg" TargetMode="External"/><Relationship Id="rId1145" Type="http://schemas.openxmlformats.org/officeDocument/2006/relationships/hyperlink" Target="https://ap12.ragic.com/sims/file.jsp?a=soutlet001&amp;f=tdXJsPM02m%4073905.jpg" TargetMode="External"/><Relationship Id="rId1352" Type="http://schemas.openxmlformats.org/officeDocument/2006/relationships/hyperlink" Target="https://ap12.ragic.com/sims/file.jsp?a=soutlet001&amp;f=Qg8V3C9E2x%40IMG_5032.jpeg" TargetMode="External"/><Relationship Id="rId1797" Type="http://schemas.openxmlformats.org/officeDocument/2006/relationships/hyperlink" Target="https://ap12.ragic.com/sims/file.jsp?a=soutlet001&amp;f=ChAy4CL4y8%4062021.jpg" TargetMode="External"/><Relationship Id="rId89" Type="http://schemas.openxmlformats.org/officeDocument/2006/relationships/hyperlink" Target="https://ap12.ragic.com/sims/file.jsp?a=soutlet001&amp;f=ZFvNnVcsGC%402099.jpg" TargetMode="External"/><Relationship Id="rId1005" Type="http://schemas.openxmlformats.org/officeDocument/2006/relationships/hyperlink" Target="https://ap12.ragic.com/sims/file.jsp?a=soutlet001&amp;f=lUzhrIMtUZ%40IMG_7194.jpeg" TargetMode="External"/><Relationship Id="rId1212" Type="http://schemas.openxmlformats.org/officeDocument/2006/relationships/hyperlink" Target="https://ap12.ragic.com/sims/file.jsp?a=soutlet001&amp;f=HwqLTrtt7W%40IMG_7787.jpeg" TargetMode="External"/><Relationship Id="rId1657" Type="http://schemas.openxmlformats.org/officeDocument/2006/relationships/hyperlink" Target="https://ap12.ragic.com/sims/file.jsp?a=soutlet001&amp;f=4Ryi2bWw9d%40IMG_6126.jpeg" TargetMode="External"/><Relationship Id="rId1517" Type="http://schemas.openxmlformats.org/officeDocument/2006/relationships/hyperlink" Target="https://ap12.ragic.com/sims/file.jsp?a=soutlet001&amp;f=7Bs48Nq9L8%40251581.jpg" TargetMode="External"/><Relationship Id="rId1724" Type="http://schemas.openxmlformats.org/officeDocument/2006/relationships/hyperlink" Target="https://ap12.ragic.com/sims/file.jsp?a=soutlet001&amp;f=8iCAWo8mOU%40IMG_3155.jpeg" TargetMode="External"/><Relationship Id="rId16" Type="http://schemas.openxmlformats.org/officeDocument/2006/relationships/hyperlink" Target="https://ap12.ragic.com/sims/file.jsp?a=soutlet001&amp;f=6csF0cFVcX%40IMG_1581.jpeg" TargetMode="External"/><Relationship Id="rId165" Type="http://schemas.openxmlformats.org/officeDocument/2006/relationships/hyperlink" Target="https://ap12.ragic.com/sims/file.jsp?a=soutlet001&amp;f=6mDUYs6Hdl%40730+%E9%A3%BE%E8%93%8B%E5%B7%B2%E8%A3%9D%E4%B8%8A.jpg" TargetMode="External"/><Relationship Id="rId372" Type="http://schemas.openxmlformats.org/officeDocument/2006/relationships/hyperlink" Target="https://ap12.ragic.com/sims/file.jsp?a=soutlet001&amp;f=AwaiOgHfrB%40IMG_0152.jpeg" TargetMode="External"/><Relationship Id="rId677" Type="http://schemas.openxmlformats.org/officeDocument/2006/relationships/hyperlink" Target="https://ap12.ragic.com/sims/file.jsp?a=soutlet001&amp;f=UwTjzS8TrO%40706+%E7%A9%BA%E8%AA%BF%E5%B7%B2%E8%AA%BF%E6%95%B4.jpg" TargetMode="External"/><Relationship Id="rId232" Type="http://schemas.openxmlformats.org/officeDocument/2006/relationships/hyperlink" Target="https://ap12.ragic.com/sims/file.jsp?a=soutlet001&amp;f=wUCPTexuZx%40IMG_0227.jpeg" TargetMode="External"/><Relationship Id="rId884" Type="http://schemas.openxmlformats.org/officeDocument/2006/relationships/hyperlink" Target="https://ap12.ragic.com/sims/file.jsp?a=soutlet001&amp;f=4yduefjL9Y%40803%E5%B7%B2%E8%A3%9D%E4%B8%8A%E6%B5%B4%E7%B0%BE.jpg" TargetMode="External"/><Relationship Id="rId537" Type="http://schemas.openxmlformats.org/officeDocument/2006/relationships/hyperlink" Target="https://ap12.ragic.com/sims/file.jsp?a=soutlet001&amp;f=7prIVTPbpZ%40830%E6%B7%8B%E6%B5%B4%E9%96%93%E6%AD%A2%E6%B0%B4%E6%A2%9D%E6%9B%B4%E6%96%B0%E5%AE%8C%E6%88%90.jpg" TargetMode="External"/><Relationship Id="rId744" Type="http://schemas.openxmlformats.org/officeDocument/2006/relationships/hyperlink" Target="https://ap12.ragic.com/sims/file.jsp?a=soutlet001&amp;f=3aInVeLKij%40IMG_0580.jpeg" TargetMode="External"/><Relationship Id="rId951" Type="http://schemas.openxmlformats.org/officeDocument/2006/relationships/hyperlink" Target="https://ap12.ragic.com/sims/file.jsp?a=soutlet001&amp;f=iZBTcksyvz%40IMG_7696.jpeg" TargetMode="External"/><Relationship Id="rId1167" Type="http://schemas.openxmlformats.org/officeDocument/2006/relationships/hyperlink" Target="https://ap12.ragic.com/sims/file.jsp?a=soutlet001&amp;f=mld7PIBG0Z%40IMG_7872.jpeg" TargetMode="External"/><Relationship Id="rId1374" Type="http://schemas.openxmlformats.org/officeDocument/2006/relationships/hyperlink" Target="https://ap12.ragic.com/sims/file.jsp?a=soutlet001&amp;f=bhYXQubtlC%40IMG_7538.jpeg" TargetMode="External"/><Relationship Id="rId1581" Type="http://schemas.openxmlformats.org/officeDocument/2006/relationships/hyperlink" Target="https://ap12.ragic.com/sims/file.jsp?a=soutlet001&amp;f=6MW5Ygo98R%4073652.jpg" TargetMode="External"/><Relationship Id="rId1679" Type="http://schemas.openxmlformats.org/officeDocument/2006/relationships/hyperlink" Target="https://ap12.ragic.com/sims/file.jsp?a=soutlet001&amp;f=bx2ay17TAH%40525.jpg" TargetMode="External"/><Relationship Id="rId80" Type="http://schemas.openxmlformats.org/officeDocument/2006/relationships/hyperlink" Target="https://ap12.ragic.com/sims/file.jsp?a=soutlet001&amp;f=gL0VDU1Bjy%40IMG_0459.jpeg" TargetMode="External"/><Relationship Id="rId604" Type="http://schemas.openxmlformats.org/officeDocument/2006/relationships/hyperlink" Target="https://ap12.ragic.com/sims/file.jsp?a=soutlet001&amp;f=oFgxqwrVwP%401000007196.jpg" TargetMode="External"/><Relationship Id="rId811" Type="http://schemas.openxmlformats.org/officeDocument/2006/relationships/hyperlink" Target="https://ap12.ragic.com/sims/file.jsp?a=soutlet001&amp;f=sg1Ht0lGfG%4082092.jpg" TargetMode="External"/><Relationship Id="rId1027" Type="http://schemas.openxmlformats.org/officeDocument/2006/relationships/hyperlink" Target="https://ap12.ragic.com/sims/file.jsp?a=soutlet001&amp;f=Ur7nabz3JP%40S__36405252.jpg" TargetMode="External"/><Relationship Id="rId1234" Type="http://schemas.openxmlformats.org/officeDocument/2006/relationships/hyperlink" Target="https://ap12.ragic.com/sims/file.jsp?a=soutlet001&amp;f=W29u8X3iRj%40774227.jpg" TargetMode="External"/><Relationship Id="rId1441" Type="http://schemas.openxmlformats.org/officeDocument/2006/relationships/hyperlink" Target="https://ap12.ragic.com/sims/file.jsp?a=soutlet001&amp;f=eD3D3X5sKz%40IMG_4711.jpeg" TargetMode="External"/><Relationship Id="rId909" Type="http://schemas.openxmlformats.org/officeDocument/2006/relationships/hyperlink" Target="https://ap12.ragic.com/sims/file.jsp?a=soutlet001&amp;f=QPHQRmzCgV%40621%E9%A6%AC%E6%A1%B6%E4%B8%8A%E7%9A%84%E7%87%88.jpg" TargetMode="External"/><Relationship Id="rId1301" Type="http://schemas.openxmlformats.org/officeDocument/2006/relationships/hyperlink" Target="https://ap12.ragic.com/sims/file.jsp?a=soutlet001&amp;f=pkz91918PH%401029%E6%AD%A2%E6%B0%B4%E6%A2%9D%E6%9B%B4%E6%96%B0%E5%AE%8C%E6%88%90.jpg" TargetMode="External"/><Relationship Id="rId1539" Type="http://schemas.openxmlformats.org/officeDocument/2006/relationships/hyperlink" Target="https://ap12.ragic.com/sims/file.jsp?a=soutlet001&amp;f=8383PH85YW%40%E5%B7%B2%E5%A1%AB%E7%B8%AB%E5%AE%8C%E6%88%90%EF%BC%8C%E8%86%A0%E5%B8%B6%E7%AD%89%E6%99%9A%E4%B8%8A%E4%B9%9D%E9%BB%9E%E5%BE%8C%E5%86%8D%E4%BE%86%E6%8B%86%E9%99%A4.jpg" TargetMode="External"/><Relationship Id="rId1746" Type="http://schemas.openxmlformats.org/officeDocument/2006/relationships/hyperlink" Target="https://ap12.ragic.com/sims/file.jsp?a=soutlet001&amp;f=9ebwg93A9R%4062790.jpg" TargetMode="External"/><Relationship Id="rId38" Type="http://schemas.openxmlformats.org/officeDocument/2006/relationships/hyperlink" Target="https://ap12.ragic.com/sims/file.jsp?a=soutlet001&amp;f=2rVaKQVlYX%401000009641.jpg" TargetMode="External"/><Relationship Id="rId1606" Type="http://schemas.openxmlformats.org/officeDocument/2006/relationships/hyperlink" Target="https://ap12.ragic.com/sims/file.jsp?a=soutlet001&amp;f=52FR405stz%40S__4554866.jpg" TargetMode="External"/><Relationship Id="rId1813" Type="http://schemas.openxmlformats.org/officeDocument/2006/relationships/hyperlink" Target="https://ap12.ragic.com/sims/file.jsp?a=soutlet001&amp;f=259l6LbD4G%40IMG_5870.jpeg" TargetMode="External"/><Relationship Id="rId187" Type="http://schemas.openxmlformats.org/officeDocument/2006/relationships/hyperlink" Target="https://ap12.ragic.com/sims/file.jsp?a=soutlet001&amp;f=nU779pY0eA%40602%E6%B0%B4%E9%BE%8D%E9%A0%AD%E9%AC%86%E5%8B%95%E9%87%8D%E6%96%B0%E5%9B%BA%E5%AE%9A.jpg" TargetMode="External"/><Relationship Id="rId394" Type="http://schemas.openxmlformats.org/officeDocument/2006/relationships/hyperlink" Target="https://ap12.ragic.com/sims/file.jsp?a=soutlet001&amp;f=U3NqOwRXhM%40IMG_0440.jpeg" TargetMode="External"/><Relationship Id="rId254" Type="http://schemas.openxmlformats.org/officeDocument/2006/relationships/hyperlink" Target="https://ap12.ragic.com/sims/file.jsp?a=soutlet001&amp;f=PhFmtRr5G0%40dc33d34e04d133171a7a099f8cde552d.png" TargetMode="External"/><Relationship Id="rId699" Type="http://schemas.openxmlformats.org/officeDocument/2006/relationships/hyperlink" Target="https://ap12.ragic.com/sims/file.jsp?a=soutlet001&amp;f=BYD7S47PZD%40628%E6%B5%B4%E7%B0%BE%E5%B7%B2%E4%BF%AE%E5%BE%A9%E5%AE%8C%E6%88%90.jpg" TargetMode="External"/><Relationship Id="rId1091" Type="http://schemas.openxmlformats.org/officeDocument/2006/relationships/hyperlink" Target="https://ap12.ragic.com/sims/file.jsp?a=soutlet001&amp;f=2yu7u82kOK%4075391.jpg" TargetMode="External"/><Relationship Id="rId114" Type="http://schemas.openxmlformats.org/officeDocument/2006/relationships/hyperlink" Target="https://ap12.ragic.com/sims/file.jsp?a=soutlet001&amp;f=THHbKLEVme%401000008656.jpg" TargetMode="External"/><Relationship Id="rId461" Type="http://schemas.openxmlformats.org/officeDocument/2006/relationships/hyperlink" Target="https://ap12.ragic.com/sims/file.jsp?a=soutlet001&amp;f=zwEo3F7RoK%409%E6%A8%93%E5%81%A5%E8%BA%AB%E6%88%BF%E5%A4%96%E7%89%86%E8%A3%9C%E6%BC%86%E5%AE%8C%E6%88%90.jpg" TargetMode="External"/><Relationship Id="rId559" Type="http://schemas.openxmlformats.org/officeDocument/2006/relationships/hyperlink" Target="https://ap12.ragic.com/sims/file.jsp?a=soutlet001&amp;f=5UwHdsdrcY%401000007307.jpg" TargetMode="External"/><Relationship Id="rId766" Type="http://schemas.openxmlformats.org/officeDocument/2006/relationships/hyperlink" Target="https://ap12.ragic.com/sims/file.jsp?a=soutlet001&amp;f=ZXSwtYHbqp%40610%E5%B7%A6%E5%BA%8A%E9%A0%AD%E7%87%88%E5%B7%B2%E6%9B%B4%E6%96%B0%E5%AE%8C%E6%88%90.jpg" TargetMode="External"/><Relationship Id="rId1189" Type="http://schemas.openxmlformats.org/officeDocument/2006/relationships/hyperlink" Target="https://ap12.ragic.com/sims/file.jsp?a=soutlet001&amp;f=YQkuBDY5G7%401000005553.jpg" TargetMode="External"/><Relationship Id="rId1396" Type="http://schemas.openxmlformats.org/officeDocument/2006/relationships/hyperlink" Target="https://ap12.ragic.com/sims/file.jsp?a=soutlet001&amp;f=yPg3H31boL%40image_E3AECBB7-DB18-46E8-952D-6F0D553316B7_1759110354_compressed.jpeg" TargetMode="External"/><Relationship Id="rId321" Type="http://schemas.openxmlformats.org/officeDocument/2006/relationships/hyperlink" Target="https://ap12.ragic.com/sims/file.jsp?a=soutlet001&amp;f=BAJdNfWtUc%406b0cce54be6b3240dbc8bff0d0130502.png" TargetMode="External"/><Relationship Id="rId419" Type="http://schemas.openxmlformats.org/officeDocument/2006/relationships/hyperlink" Target="https://ap12.ragic.com/sims/file.jsp?a=soutlet001&amp;f=whgPrI2qnL%40e008a78498be0649725f8bd0d5dd17b7.png" TargetMode="External"/><Relationship Id="rId626" Type="http://schemas.openxmlformats.org/officeDocument/2006/relationships/hyperlink" Target="https://ap12.ragic.com/sims/file.jsp?a=soutlet001&amp;f=GUKfdZIkOE%40b3ee80b5e14c6d64025eea9fe26bffb0.png" TargetMode="External"/><Relationship Id="rId973" Type="http://schemas.openxmlformats.org/officeDocument/2006/relationships/hyperlink" Target="https://ap12.ragic.com/sims/file.jsp?a=soutlet001&amp;f=usdhP6xFCK%40509%E7%86%A8%E6%96%97%E6%9E%B6%E5%B7%B2%E6%9B%B4%E6%96%B0%E5%AE%8C%E6%88%90.jpg" TargetMode="External"/><Relationship Id="rId1049" Type="http://schemas.openxmlformats.org/officeDocument/2006/relationships/hyperlink" Target="https://ap12.ragic.com/sims/file.jsp?a=soutlet001&amp;f=dFclMrheko%40S__36184083.jpg" TargetMode="External"/><Relationship Id="rId1256" Type="http://schemas.openxmlformats.org/officeDocument/2006/relationships/hyperlink" Target="https://ap12.ragic.com/sims/file.jsp?a=soutlet001&amp;f=H7ye7EhbLy%40S__73220207.jpg" TargetMode="External"/><Relationship Id="rId833" Type="http://schemas.openxmlformats.org/officeDocument/2006/relationships/hyperlink" Target="https://ap12.ragic.com/sims/file.jsp?a=soutlet001&amp;f=wmsmKkyALQ%40607+%E9%96%80%E9%A3%BE%E7%89%87%E5%B7%B2%E4%BF%AE%E5%BE%A9.jpg" TargetMode="External"/><Relationship Id="rId1116" Type="http://schemas.openxmlformats.org/officeDocument/2006/relationships/hyperlink" Target="https://ap12.ragic.com/sims/file.jsp?a=soutlet001&amp;f=6iABGLjQ9V%40IMG_6307.jpeg" TargetMode="External"/><Relationship Id="rId1463" Type="http://schemas.openxmlformats.org/officeDocument/2006/relationships/hyperlink" Target="https://ap12.ragic.com/sims/file.jsp?a=soutlet001&amp;f=79M8QRSUf2%40IMG_7367.jpeg" TargetMode="External"/><Relationship Id="rId1670" Type="http://schemas.openxmlformats.org/officeDocument/2006/relationships/hyperlink" Target="https://ap12.ragic.com/sims/file.jsp?a=soutlet001&amp;f=J1XogEbLs2%40S__4440239.jpg" TargetMode="External"/><Relationship Id="rId1768" Type="http://schemas.openxmlformats.org/officeDocument/2006/relationships/hyperlink" Target="https://ap12.ragic.com/sims/file.jsp?a=soutlet001&amp;f=Rh3b90ACJS%40IMG_5949.jpeg" TargetMode="External"/><Relationship Id="rId900" Type="http://schemas.openxmlformats.org/officeDocument/2006/relationships/hyperlink" Target="https://ap12.ragic.com/sims/file.jsp?a=soutlet001&amp;f=5cGAhbw0XO%40IMG_1056.jpeg" TargetMode="External"/><Relationship Id="rId1323" Type="http://schemas.openxmlformats.org/officeDocument/2006/relationships/hyperlink" Target="https://ap12.ragic.com/sims/file.jsp?a=soutlet001&amp;f=1eiK2J0W18%40IMG_5343.jpeg" TargetMode="External"/><Relationship Id="rId1530" Type="http://schemas.openxmlformats.org/officeDocument/2006/relationships/hyperlink" Target="https://ap12.ragic.com/sims/file.jsp?a=soutlet001&amp;f=aB8OYxMKSl%4066887.jpg" TargetMode="External"/><Relationship Id="rId1628" Type="http://schemas.openxmlformats.org/officeDocument/2006/relationships/hyperlink" Target="https://ap12.ragic.com/sims/file.jsp?a=soutlet001&amp;f=iLNMc1r0pT%40IMG_6168.jpeg" TargetMode="External"/><Relationship Id="rId1835" Type="http://schemas.openxmlformats.org/officeDocument/2006/relationships/hyperlink" Target="https://ap12.ragic.com/sims/file.jsp?a=soutlet001&amp;f=Fwf5y1u0Q1%4020240802_B1%E9%BB%9E%E5%BF%83%E6%88%BF%E7%83%A4%E7%AE%B1_%E6%96%B0%E9%BA%A5%E5%BB%A0%E5%95%861.jpg" TargetMode="External"/><Relationship Id="rId276" Type="http://schemas.openxmlformats.org/officeDocument/2006/relationships/hyperlink" Target="https://ap12.ragic.com/sims/file.jsp?a=soutlet001&amp;f=ja0vGTTvY8%40bf66bd5b70309d776c28feb2593cd489.png" TargetMode="External"/><Relationship Id="rId483" Type="http://schemas.openxmlformats.org/officeDocument/2006/relationships/hyperlink" Target="https://ap12.ragic.com/sims/file.jsp?a=soutlet001&amp;f=T04h3OUTRQ%40705%E8%99%95%E7%90%86%E5%AE%8C%E6%88%90.jpg" TargetMode="External"/><Relationship Id="rId690" Type="http://schemas.openxmlformats.org/officeDocument/2006/relationships/hyperlink" Target="https://ap12.ragic.com/sims/file.jsp?a=soutlet001&amp;f=Kkh0qxH86B%40825+%E7%A9%BA%E8%AA%BF%E6%9A%96%E6%B0%A3%E5%B7%B2%E8%AA%BF%E6%95%B4.jpg" TargetMode="External"/><Relationship Id="rId136" Type="http://schemas.openxmlformats.org/officeDocument/2006/relationships/hyperlink" Target="https://ap12.ragic.com/sims/file.jsp?a=soutlet001&amp;f=NT254IhlGz%40IMG_0453.jpeg" TargetMode="External"/><Relationship Id="rId343" Type="http://schemas.openxmlformats.org/officeDocument/2006/relationships/hyperlink" Target="https://ap12.ragic.com/sims/file.jsp?a=soutlet001&amp;f=DHSbzALw6B%40IMG_1972.jpeg" TargetMode="External"/><Relationship Id="rId550" Type="http://schemas.openxmlformats.org/officeDocument/2006/relationships/hyperlink" Target="https://ap12.ragic.com/sims/file.jsp?a=soutlet001&amp;f=Yii7kpEC9q%40IMG_9798.jpeg" TargetMode="External"/><Relationship Id="rId788" Type="http://schemas.openxmlformats.org/officeDocument/2006/relationships/hyperlink" Target="https://ap12.ragic.com/sims/file.jsp?a=soutlet001&amp;f=W4HIHSDGCo%40S__6324263.jpg" TargetMode="External"/><Relationship Id="rId995" Type="http://schemas.openxmlformats.org/officeDocument/2006/relationships/hyperlink" Target="https://ap12.ragic.com/sims/file.jsp?a=soutlet001&amp;f=FWiVjbG9yN%40IMG_8311.jpeg" TargetMode="External"/><Relationship Id="rId1180" Type="http://schemas.openxmlformats.org/officeDocument/2006/relationships/hyperlink" Target="https://ap12.ragic.com/sims/file.jsp?a=soutlet001&amp;f=aBlxJf0l5D%401000005578.jpg" TargetMode="External"/><Relationship Id="rId203" Type="http://schemas.openxmlformats.org/officeDocument/2006/relationships/hyperlink" Target="https://ap12.ragic.com/sims/file.jsp?a=soutlet001&amp;f=9rYzo8ScFX%40817+%E6%BA%AB%E5%BA%A6%E5%B7%B2%E8%AA%BF%E6%95%B4.jpg" TargetMode="External"/><Relationship Id="rId648" Type="http://schemas.openxmlformats.org/officeDocument/2006/relationships/hyperlink" Target="https://ap12.ragic.com/sims/file.jsp?a=soutlet001&amp;f=J5Tgpiqejm%4085216.jpg" TargetMode="External"/><Relationship Id="rId855" Type="http://schemas.openxmlformats.org/officeDocument/2006/relationships/hyperlink" Target="https://ap12.ragic.com/sims/file.jsp?a=soutlet001&amp;f=ErSfwloOmH%401013%E4%BF%9D%E9%9A%AA%E7%AE%B1%E9%9B%BB%E6%B1%A0%E5%B7%B2%E6%9B%B4%E6%96%B0%E5%AE%8C%E6%88%90.jpg" TargetMode="External"/><Relationship Id="rId1040" Type="http://schemas.openxmlformats.org/officeDocument/2006/relationships/hyperlink" Target="https://ap12.ragic.com/sims/file.jsp?a=soutlet001&amp;f=tUA3B6RVo6%40image.jpg" TargetMode="External"/><Relationship Id="rId1278" Type="http://schemas.openxmlformats.org/officeDocument/2006/relationships/hyperlink" Target="https://ap12.ragic.com/sims/file.jsp?a=soutlet001&amp;f=xbm4tR72Xz%40708%E7%AA%97%E7%B0%BE%E6%8E%9B%E5%A5%BD.jpg" TargetMode="External"/><Relationship Id="rId1485" Type="http://schemas.openxmlformats.org/officeDocument/2006/relationships/hyperlink" Target="https://ap12.ragic.com/sims/file.jsp?a=soutlet001&amp;f=nFALHFJTUX%40721%E7%9F%BD%E5%8A%9B%E5%BA%B7%E5%A1%AB%E7%B8%AB%E5%AE%8C%E6%88%90.jpg" TargetMode="External"/><Relationship Id="rId1692" Type="http://schemas.openxmlformats.org/officeDocument/2006/relationships/hyperlink" Target="https://ap12.ragic.com/sims/file.jsp?a=soutlet001&amp;f=8S8S8K1Kyd%4063416.jpg" TargetMode="External"/><Relationship Id="rId410" Type="http://schemas.openxmlformats.org/officeDocument/2006/relationships/hyperlink" Target="https://ap12.ragic.com/sims/file.jsp?a=soutlet001&amp;f=jyihLZUsHi%40610.jpeg" TargetMode="External"/><Relationship Id="rId508" Type="http://schemas.openxmlformats.org/officeDocument/2006/relationships/hyperlink" Target="https://ap12.ragic.com/sims/file.jsp?a=soutlet001&amp;f=HIhvAECnni%40%E5%8D%81%E6%A8%93%E5%BB%B3%E5%8F%A3%E5%B4%81%E7%87%88%E5%B7%B2%E6%9B%B4%E6%96%B0%E5%AE%8C%E6%88%90.jpg" TargetMode="External"/><Relationship Id="rId715" Type="http://schemas.openxmlformats.org/officeDocument/2006/relationships/hyperlink" Target="https://ap12.ragic.com/sims/file.jsp?a=soutlet001&amp;f=HOJvv3UZtL%401000006928.jpg" TargetMode="External"/><Relationship Id="rId922" Type="http://schemas.openxmlformats.org/officeDocument/2006/relationships/hyperlink" Target="https://ap12.ragic.com/sims/file.jsp?a=soutlet001&amp;f=FpzAyaC0N9%4078830.jpg" TargetMode="External"/><Relationship Id="rId1138" Type="http://schemas.openxmlformats.org/officeDocument/2006/relationships/hyperlink" Target="https://ap12.ragic.com/sims/file.jsp?a=soutlet001&amp;f=X48WDtBtm9%40IMG_7913.jpeg" TargetMode="External"/><Relationship Id="rId1345" Type="http://schemas.openxmlformats.org/officeDocument/2006/relationships/hyperlink" Target="https://ap12.ragic.com/sims/file.jsp?a=soutlet001&amp;f=C6anp5000G%40IMG_5085.jpeg" TargetMode="External"/><Relationship Id="rId1552" Type="http://schemas.openxmlformats.org/officeDocument/2006/relationships/hyperlink" Target="https://ap12.ragic.com/sims/file.jsp?a=soutlet001&amp;f=E1wp4fN318%40919%E5%B7%B2%E8%AA%BF%E6%95%B4%E5%AE%8C%E6%88%90.jpg" TargetMode="External"/><Relationship Id="rId1205" Type="http://schemas.openxmlformats.org/officeDocument/2006/relationships/hyperlink" Target="https://ap12.ragic.com/sims/file.jsp?a=soutlet001&amp;f=o7YsWkr1C2%40777011.jpg" TargetMode="External"/><Relationship Id="rId51" Type="http://schemas.openxmlformats.org/officeDocument/2006/relationships/hyperlink" Target="https://ap12.ragic.com/sims/file.jsp?a=soutlet001&amp;f=ZJaan7bl3e%40IMG_0690.jpeg" TargetMode="External"/><Relationship Id="rId1412" Type="http://schemas.openxmlformats.org/officeDocument/2006/relationships/hyperlink" Target="https://ap12.ragic.com/sims/file.jsp?a=soutlet001&amp;f=aubF563dKD%40image_0791FD85-F5C0-4FBC-929C-6C63DA7A6C61_1759118538_compressed.jpeg" TargetMode="External"/><Relationship Id="rId1717" Type="http://schemas.openxmlformats.org/officeDocument/2006/relationships/hyperlink" Target="https://ap12.ragic.com/sims/file.jsp?a=soutlet001&amp;f=GKQM4oap4v%40IMG_6028.jpeg" TargetMode="External"/><Relationship Id="rId298" Type="http://schemas.openxmlformats.org/officeDocument/2006/relationships/hyperlink" Target="https://ap12.ragic.com/sims/file.jsp?a=soutlet001&amp;f=ds3TsQLwR0%40352253390ae9857eacdfcd4b800feef7.png" TargetMode="External"/><Relationship Id="rId158" Type="http://schemas.openxmlformats.org/officeDocument/2006/relationships/hyperlink" Target="https://ap12.ragic.com/sims/file.jsp?a=soutlet001&amp;f=HgtE6vLLqN%401000008401.jpg" TargetMode="External"/><Relationship Id="rId365" Type="http://schemas.openxmlformats.org/officeDocument/2006/relationships/hyperlink" Target="https://ap12.ragic.com/sims/file.jsp?a=soutlet001&amp;f=S0jLPiBWSt%4091529.jpg" TargetMode="External"/><Relationship Id="rId572" Type="http://schemas.openxmlformats.org/officeDocument/2006/relationships/hyperlink" Target="https://ap12.ragic.com/sims/file.jsp?a=soutlet001&amp;f=Ri4ojUp33n%40925%E9%96%80%E6%A1%86%E4%B8%8B%E6%96%B9%E8%A3%9C%E6%BC%86%E5%AE%8C%E6%88%90.jpg" TargetMode="External"/><Relationship Id="rId225" Type="http://schemas.openxmlformats.org/officeDocument/2006/relationships/hyperlink" Target="https://ap12.ragic.com/sims/file.jsp?a=soutlet001&amp;f=ElHi1hHGbm%40528%E5%BA%8A%E9%A0%AD%E7%87%88%E6%9B%B4%E6%8F%9B%E5%AE%8C%E6%88%90.jpg" TargetMode="External"/><Relationship Id="rId432" Type="http://schemas.openxmlformats.org/officeDocument/2006/relationships/hyperlink" Target="https://ap12.ragic.com/sims/file.jsp?a=soutlet001&amp;f=tPrYvuh1gH%40IMG_9915.jpeg" TargetMode="External"/><Relationship Id="rId877" Type="http://schemas.openxmlformats.org/officeDocument/2006/relationships/hyperlink" Target="https://ap12.ragic.com/sims/file.jsp?a=soutlet001&amp;f=uRBCY3yR5x%401000006420.jpg" TargetMode="External"/><Relationship Id="rId1062" Type="http://schemas.openxmlformats.org/officeDocument/2006/relationships/hyperlink" Target="https://ap12.ragic.com/sims/file.jsp?a=soutlet001&amp;f=A34yCzHMfG%40IMG_8183.jpeg" TargetMode="External"/><Relationship Id="rId737" Type="http://schemas.openxmlformats.org/officeDocument/2006/relationships/hyperlink" Target="https://ap12.ragic.com/sims/file.jsp?a=soutlet001&amp;f=IHPsVvfEJV%40IMG_9558.jpeg" TargetMode="External"/><Relationship Id="rId944" Type="http://schemas.openxmlformats.org/officeDocument/2006/relationships/hyperlink" Target="https://ap12.ragic.com/sims/file.jsp?a=soutlet001&amp;f=YGiVat6v0F%40image_88A15E93-4C7C-449D-A566-D2CBA3913AB6_1763822823_compressed.jpeg" TargetMode="External"/><Relationship Id="rId1367" Type="http://schemas.openxmlformats.org/officeDocument/2006/relationships/hyperlink" Target="https://ap12.ragic.com/sims/file.jsp?a=soutlet001&amp;f=UKk81jQqID%40IMG_7547.jpeg" TargetMode="External"/><Relationship Id="rId1574" Type="http://schemas.openxmlformats.org/officeDocument/2006/relationships/hyperlink" Target="https://ap12.ragic.com/sims/file.jsp?a=soutlet001&amp;f=OLuiX491RF%40IMG_6387.jpeg" TargetMode="External"/><Relationship Id="rId1781" Type="http://schemas.openxmlformats.org/officeDocument/2006/relationships/hyperlink" Target="https://ap12.ragic.com/sims/file.jsp?a=soutlet001&amp;f=gbg3fXi7z4%4086898.jpg" TargetMode="External"/><Relationship Id="rId73" Type="http://schemas.openxmlformats.org/officeDocument/2006/relationships/hyperlink" Target="https://ap12.ragic.com/sims/file.jsp?a=soutlet001&amp;f=PgKbAwmYHR%40IMG_0508.jpeg" TargetMode="External"/><Relationship Id="rId804" Type="http://schemas.openxmlformats.org/officeDocument/2006/relationships/hyperlink" Target="https://ap12.ragic.com/sims/file.jsp?a=soutlet001&amp;f=RoW53dHs1o%40IMG_9833.jpeg" TargetMode="External"/><Relationship Id="rId1227" Type="http://schemas.openxmlformats.org/officeDocument/2006/relationships/hyperlink" Target="https://ap12.ragic.com/sims/file.jsp?a=soutlet001&amp;f=98ikdAy6u6%401028%E7%AA%97%E7%B0%BE%E8%AA%BF%E6%95%B4%E5%AE%8C%E6%88%90.jpg" TargetMode="External"/><Relationship Id="rId1434" Type="http://schemas.openxmlformats.org/officeDocument/2006/relationships/hyperlink" Target="https://ap12.ragic.com/sims/file.jsp?a=soutlet001&amp;f=00IS4S40g6%40IMG_7450.jpeg" TargetMode="External"/><Relationship Id="rId1641" Type="http://schemas.openxmlformats.org/officeDocument/2006/relationships/hyperlink" Target="https://ap12.ragic.com/sims/file.jsp?a=soutlet001&amp;f=w8aJx2x0Nh%40IMG_6149.jpeg" TargetMode="External"/><Relationship Id="rId1501" Type="http://schemas.openxmlformats.org/officeDocument/2006/relationships/hyperlink" Target="https://ap12.ragic.com/sims/file.jsp?a=soutlet001&amp;f=Q53s5ml1Q6%40S__2703653.jpg" TargetMode="External"/><Relationship Id="rId1739" Type="http://schemas.openxmlformats.org/officeDocument/2006/relationships/hyperlink" Target="https://ap12.ragic.com/sims/file.jsp?a=soutlet001&amp;f=jIftyR8ytt%4063086.jpg" TargetMode="External"/><Relationship Id="rId1806" Type="http://schemas.openxmlformats.org/officeDocument/2006/relationships/hyperlink" Target="https://ap12.ragic.com/sims/file.jsp?a=soutlet001&amp;f=c53kBpO4uR%4061502.jpg" TargetMode="External"/><Relationship Id="rId387" Type="http://schemas.openxmlformats.org/officeDocument/2006/relationships/hyperlink" Target="https://ap12.ragic.com/sims/file.jsp?a=soutlet001&amp;f=faWZVbe4VD%40IMG_5435.jpeg" TargetMode="External"/><Relationship Id="rId594" Type="http://schemas.openxmlformats.org/officeDocument/2006/relationships/hyperlink" Target="https://ap12.ragic.com/sims/file.jsp?a=soutlet001&amp;f=VD2pO8pvGO%40720%E9%9B%BB%E8%A6%96%E6%9B%B4%E6%96%B0%E5%AE%8C%E6%88%90.jpg" TargetMode="External"/><Relationship Id="rId247" Type="http://schemas.openxmlformats.org/officeDocument/2006/relationships/hyperlink" Target="https://ap12.ragic.com/sims/file.jsp?a=soutlet001&amp;f=9FMAnMN4EN%401000008043.jpg" TargetMode="External"/><Relationship Id="rId899" Type="http://schemas.openxmlformats.org/officeDocument/2006/relationships/hyperlink" Target="https://ap12.ragic.com/sims/file.jsp?a=soutlet001&amp;f=YDxq6GNytf%40503%E5%BA%8A%E9%A0%AD%E7%87%88%E5%B7%B2%E6%9B%B4%E6%96%B0%E5%AE%8C%E6%88%90.jpg" TargetMode="External"/><Relationship Id="rId1084" Type="http://schemas.openxmlformats.org/officeDocument/2006/relationships/hyperlink" Target="https://ap12.ragic.com/sims/file.jsp?a=soutlet001&amp;f=YQRBQnjh50%4075560.jpg" TargetMode="External"/><Relationship Id="rId107" Type="http://schemas.openxmlformats.org/officeDocument/2006/relationships/hyperlink" Target="https://ap12.ragic.com/sims/file.jsp?a=soutlet001&amp;f=QE3F6TLDKx%40IMG_0489.jpeg" TargetMode="External"/><Relationship Id="rId454" Type="http://schemas.openxmlformats.org/officeDocument/2006/relationships/hyperlink" Target="https://ap12.ragic.com/sims/file.jsp?a=soutlet001&amp;f=R4EGvD97Pj%404fb0340d08fa17185767c6fd4c64de15.png" TargetMode="External"/><Relationship Id="rId661" Type="http://schemas.openxmlformats.org/officeDocument/2006/relationships/hyperlink" Target="https://ap12.ragic.com/sims/file.jsp?a=soutlet001&amp;f=mMhgW2HC1D%40710+%E6%AB%83%E5%AD%90%E8%A3%9C%E6%BC%86%E5%AE%8C%E6%88%90.jpg" TargetMode="External"/><Relationship Id="rId759" Type="http://schemas.openxmlformats.org/officeDocument/2006/relationships/hyperlink" Target="https://ap12.ragic.com/sims/file.jsp?a=soutlet001&amp;f=7LyMJh938h%401000006760.jpg" TargetMode="External"/><Relationship Id="rId966" Type="http://schemas.openxmlformats.org/officeDocument/2006/relationships/hyperlink" Target="https://ap12.ragic.com/sims/file.jsp?a=soutlet001&amp;f=kLar5KZmba%40image.jpg" TargetMode="External"/><Relationship Id="rId1291" Type="http://schemas.openxmlformats.org/officeDocument/2006/relationships/hyperlink" Target="https://ap12.ragic.com/sims/file.jsp?a=soutlet001&amp;f=4aR4ru5wox%40IMG_7680.jpeg" TargetMode="External"/><Relationship Id="rId1389" Type="http://schemas.openxmlformats.org/officeDocument/2006/relationships/hyperlink" Target="https://ap12.ragic.com/sims/file.jsp?a=soutlet001&amp;f=adHtX5yWJ5%40S__30679095.jpg" TargetMode="External"/><Relationship Id="rId1596" Type="http://schemas.openxmlformats.org/officeDocument/2006/relationships/hyperlink" Target="https://ap12.ragic.com/sims/file.jsp?a=soutlet001&amp;f=fgwVS5hk4G%40IMG_6319.jpeg" TargetMode="External"/><Relationship Id="rId314" Type="http://schemas.openxmlformats.org/officeDocument/2006/relationships/hyperlink" Target="https://ap12.ragic.com/sims/file.jsp?a=soutlet001&amp;f=p6Diwv7fWW%406d2cf80657bbd52539fdabab8c132135.png" TargetMode="External"/><Relationship Id="rId521" Type="http://schemas.openxmlformats.org/officeDocument/2006/relationships/hyperlink" Target="https://ap12.ragic.com/sims/file.jsp?a=soutlet001&amp;f=yxk7UIpZgJ%40522%E5%8F%B3%E5%BA%8A%E9%A0%AD%E7%87%88%E7%BD%A9%E5%B7%B2%E6%9B%B4%E6%96%B0%E5%AE%8C%E6%88%90.jpg" TargetMode="External"/><Relationship Id="rId619" Type="http://schemas.openxmlformats.org/officeDocument/2006/relationships/hyperlink" Target="https://ap12.ragic.com/sims/file.jsp?a=soutlet001&amp;f=c2g3wnkAjM%409b9cb5b4a0befa9787ffd46942107e45.png" TargetMode="External"/><Relationship Id="rId1151" Type="http://schemas.openxmlformats.org/officeDocument/2006/relationships/hyperlink" Target="https://ap12.ragic.com/sims/file.jsp?a=soutlet001&amp;f=64kXq3798Z%40IMG_6055.jpeg" TargetMode="External"/><Relationship Id="rId1249" Type="http://schemas.openxmlformats.org/officeDocument/2006/relationships/hyperlink" Target="https://ap12.ragic.com/sims/file.jsp?a=soutlet001&amp;f=KEHo3q2B2Q%40S__34619399.jpg" TargetMode="External"/><Relationship Id="rId95" Type="http://schemas.openxmlformats.org/officeDocument/2006/relationships/hyperlink" Target="https://ap12.ragic.com/sims/file.jsp?a=soutlet001&amp;f=waQQqXufd8%40IMG_0303.jpeg" TargetMode="External"/><Relationship Id="rId826" Type="http://schemas.openxmlformats.org/officeDocument/2006/relationships/hyperlink" Target="https://ap12.ragic.com/sims/file.jsp?a=soutlet001&amp;f=zGiFKvuiqo%401000006560.jpg" TargetMode="External"/><Relationship Id="rId1011" Type="http://schemas.openxmlformats.org/officeDocument/2006/relationships/hyperlink" Target="https://ap12.ragic.com/sims/file.jsp?a=soutlet001&amp;f=RvdmGMLxhN%40515%E7%9B%A5%E6%B4%97%E6%9E%B6%E6%9B%B4%E6%8F%9B%E5%AE%8C%E6%88%90.jpg" TargetMode="External"/><Relationship Id="rId1109" Type="http://schemas.openxmlformats.org/officeDocument/2006/relationships/hyperlink" Target="https://ap12.ragic.com/sims/file.jsp?a=soutlet001&amp;f=VNJ22N4x00%40IMG_6352.jpeg" TargetMode="External"/><Relationship Id="rId1456" Type="http://schemas.openxmlformats.org/officeDocument/2006/relationships/hyperlink" Target="https://ap12.ragic.com/sims/file.jsp?a=soutlet001&amp;f=hh45qI7ya3%40IMG_7377.jpeg" TargetMode="External"/><Relationship Id="rId1663" Type="http://schemas.openxmlformats.org/officeDocument/2006/relationships/hyperlink" Target="https://ap12.ragic.com/sims/file.jsp?a=soutlet001&amp;f=qLV25n6VdD%40919.jpg" TargetMode="External"/><Relationship Id="rId1316" Type="http://schemas.openxmlformats.org/officeDocument/2006/relationships/hyperlink" Target="https://ap12.ragic.com/sims/file.jsp?a=soutlet001&amp;f=hdpNRKOvQ9%401000007546.jpg" TargetMode="External"/><Relationship Id="rId1523" Type="http://schemas.openxmlformats.org/officeDocument/2006/relationships/hyperlink" Target="https://ap12.ragic.com/sims/file.jsp?a=soutlet001&amp;f=nV71S3k8Aa%4066965.jpg" TargetMode="External"/><Relationship Id="rId1730" Type="http://schemas.openxmlformats.org/officeDocument/2006/relationships/hyperlink" Target="https://ap12.ragic.com/sims/file.jsp?a=soutlet001&amp;f=5MVonqcZb9%40IMG_3139.jpeg" TargetMode="External"/><Relationship Id="rId22" Type="http://schemas.openxmlformats.org/officeDocument/2006/relationships/hyperlink" Target="https://ap12.ragic.com/sims/file.jsp?a=soutlet001&amp;f=ymWtSdiuKE%40S__93372443.jpg" TargetMode="External"/><Relationship Id="rId1828" Type="http://schemas.openxmlformats.org/officeDocument/2006/relationships/hyperlink" Target="https://ap12.ragic.com/sims/file.jsp?a=soutlet001&amp;f=wxelV35KMx%4060960.jpg" TargetMode="External"/><Relationship Id="rId171" Type="http://schemas.openxmlformats.org/officeDocument/2006/relationships/hyperlink" Target="https://ap12.ragic.com/sims/file.jsp?a=soutlet001&amp;f=IETBhqeoD5%40607+%E5%87%BA%E9%A2%A8%E5%8F%A3%E6%BA%AB%E5%BA%A618%E5%BA%A6.jpg" TargetMode="External"/><Relationship Id="rId269" Type="http://schemas.openxmlformats.org/officeDocument/2006/relationships/hyperlink" Target="https://ap12.ragic.com/sims/file.jsp?a=soutlet001&amp;f=wnmvHroLBy%40f35ea307c8e90dff341f4fa58a3289f5.png" TargetMode="External"/><Relationship Id="rId476" Type="http://schemas.openxmlformats.org/officeDocument/2006/relationships/hyperlink" Target="https://ap12.ragic.com/sims/file.jsp?a=soutlet001&amp;f=Q7MhnfyYsA%40716+%E6%B5%B4%E7%B0%BE%E5%B7%B2ok.jpg" TargetMode="External"/><Relationship Id="rId683" Type="http://schemas.openxmlformats.org/officeDocument/2006/relationships/hyperlink" Target="https://ap12.ragic.com/sims/file.jsp?a=soutlet001&amp;f=y5wPEEqN8w%40S__8659020.jpg" TargetMode="External"/><Relationship Id="rId890" Type="http://schemas.openxmlformats.org/officeDocument/2006/relationships/hyperlink" Target="https://ap12.ragic.com/sims/file.jsp?a=soutlet001&amp;f=Z5081cgEac%409%E6%A8%93%E9%96%80%E6%93%8B%E9%90%B5%E7%89%87%E5%B7%B2%E8%AA%BF%E6%95%B4%E5%AE%8C%E6%88%90.jpg" TargetMode="External"/><Relationship Id="rId129" Type="http://schemas.openxmlformats.org/officeDocument/2006/relationships/hyperlink" Target="https://ap12.ragic.com/sims/file.jsp?a=soutlet001&amp;f=BHsN9ZWo2z%40IMG_2542.jpeg" TargetMode="External"/><Relationship Id="rId336" Type="http://schemas.openxmlformats.org/officeDocument/2006/relationships/hyperlink" Target="https://ap12.ragic.com/sims/file.jsp?a=soutlet001&amp;f=re2p6R3naX%40image+%281%29.jpg" TargetMode="External"/><Relationship Id="rId543" Type="http://schemas.openxmlformats.org/officeDocument/2006/relationships/hyperlink" Target="https://ap12.ragic.com/sims/file.jsp?a=soutlet001&amp;f=ZTEqOHErxu%40IMG_4719.jpeg" TargetMode="External"/><Relationship Id="rId988" Type="http://schemas.openxmlformats.org/officeDocument/2006/relationships/hyperlink" Target="https://ap12.ragic.com/sims/file.jsp?a=soutlet001&amp;f=u12zmmCfUr%40image_583A9D52-3F96-4894-B04A-17F58C9E532F_1763256577_compressed.jpeg" TargetMode="External"/><Relationship Id="rId1173" Type="http://schemas.openxmlformats.org/officeDocument/2006/relationships/hyperlink" Target="https://ap12.ragic.com/sims/file.jsp?a=soutlet001&amp;f=y40i3oQzbP%40IMG_7863.jpeg" TargetMode="External"/><Relationship Id="rId1380" Type="http://schemas.openxmlformats.org/officeDocument/2006/relationships/hyperlink" Target="https://ap12.ragic.com/sims/file.jsp?a=soutlet001&amp;f=J8B2Qu9GL2%40image_0C2777CF-A831-4B78-9E01-E83AD7A4C0BB_1759238739_compressed.j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0042C-953E-49DD-AFB1-57E5FC379B41}">
  <dimension ref="A1:AK2497"/>
  <sheetViews>
    <sheetView showGridLines="0" tabSelected="1" workbookViewId="0">
      <pane xSplit="5" ySplit="1" topLeftCell="AG2" activePane="bottomRight" state="frozen"/>
      <selection pane="topRight" activeCell="F1" sqref="F1"/>
      <selection pane="bottomLeft" activeCell="A2" sqref="A2"/>
      <selection pane="bottomRight" activeCell="AJ1" sqref="AJ1:AJ1048576"/>
    </sheetView>
  </sheetViews>
  <sheetFormatPr defaultColWidth="21" defaultRowHeight="15" x14ac:dyDescent="0.3"/>
  <cols>
    <col min="1" max="16" width="21" style="32"/>
    <col min="17" max="26" width="0" style="32" hidden="1" customWidth="1"/>
    <col min="27" max="16384" width="21" style="32"/>
  </cols>
  <sheetData>
    <row r="1" spans="1:36" ht="19.95" customHeight="1" thickBot="1" x14ac:dyDescent="0.35">
      <c r="A1" s="27" t="s">
        <v>15</v>
      </c>
      <c r="B1" s="28" t="s">
        <v>16</v>
      </c>
      <c r="C1" s="28" t="s">
        <v>881</v>
      </c>
      <c r="D1" s="29" t="s">
        <v>882</v>
      </c>
      <c r="E1" s="28" t="s">
        <v>883</v>
      </c>
      <c r="F1" s="28" t="s">
        <v>884</v>
      </c>
      <c r="G1" s="28" t="s">
        <v>885</v>
      </c>
      <c r="H1" s="28" t="s">
        <v>886</v>
      </c>
      <c r="I1" s="29" t="s">
        <v>887</v>
      </c>
      <c r="J1" s="28" t="s">
        <v>888</v>
      </c>
      <c r="K1" s="30" t="s">
        <v>889</v>
      </c>
      <c r="L1" s="29" t="s">
        <v>890</v>
      </c>
      <c r="M1" s="28" t="s">
        <v>891</v>
      </c>
      <c r="N1" s="28" t="s">
        <v>17</v>
      </c>
      <c r="O1" s="28" t="s">
        <v>18</v>
      </c>
      <c r="P1" s="28" t="s">
        <v>892</v>
      </c>
      <c r="Q1" s="28" t="s">
        <v>893</v>
      </c>
      <c r="R1" s="29" t="s">
        <v>894</v>
      </c>
      <c r="S1" s="29" t="s">
        <v>887</v>
      </c>
      <c r="T1" s="29" t="s">
        <v>895</v>
      </c>
      <c r="U1" s="29" t="s">
        <v>896</v>
      </c>
      <c r="V1" s="29" t="s">
        <v>897</v>
      </c>
      <c r="W1" s="29" t="s">
        <v>898</v>
      </c>
      <c r="X1" s="29" t="s">
        <v>899</v>
      </c>
      <c r="Y1" s="29" t="s">
        <v>900</v>
      </c>
      <c r="Z1" s="29" t="s">
        <v>901</v>
      </c>
      <c r="AA1" s="28" t="s">
        <v>902</v>
      </c>
      <c r="AB1" s="29" t="s">
        <v>903</v>
      </c>
      <c r="AC1" s="29" t="s">
        <v>19</v>
      </c>
      <c r="AD1" s="29" t="s">
        <v>20</v>
      </c>
      <c r="AE1" s="27" t="s">
        <v>904</v>
      </c>
      <c r="AF1" s="29" t="s">
        <v>905</v>
      </c>
      <c r="AG1" s="31" t="s">
        <v>906</v>
      </c>
      <c r="AH1" s="29" t="s">
        <v>907</v>
      </c>
      <c r="AI1" s="32" t="s">
        <v>8704</v>
      </c>
      <c r="AJ1" s="32" t="s">
        <v>8705</v>
      </c>
    </row>
    <row r="2" spans="1:36" ht="19.95" customHeight="1" thickTop="1" x14ac:dyDescent="0.3">
      <c r="A2" s="33" t="s">
        <v>908</v>
      </c>
      <c r="B2" s="34">
        <v>46153.595497685186</v>
      </c>
      <c r="C2" s="34" t="str">
        <f>TEXT(B2,"YYYYMM")</f>
        <v>202605</v>
      </c>
      <c r="D2" s="35" t="s">
        <v>909</v>
      </c>
      <c r="E2" s="36" t="s">
        <v>910</v>
      </c>
      <c r="F2" s="36" t="s">
        <v>911</v>
      </c>
      <c r="G2" s="37" t="s">
        <v>912</v>
      </c>
      <c r="H2" s="36" t="s">
        <v>913</v>
      </c>
      <c r="I2" s="35"/>
      <c r="J2" s="36" t="s">
        <v>914</v>
      </c>
      <c r="K2" s="33" t="s">
        <v>915</v>
      </c>
      <c r="L2" s="35" t="s">
        <v>916</v>
      </c>
      <c r="M2" s="36" t="s">
        <v>917</v>
      </c>
      <c r="N2" s="36" t="s">
        <v>916</v>
      </c>
      <c r="O2" s="36" t="s">
        <v>918</v>
      </c>
      <c r="P2" s="38" t="s">
        <v>916</v>
      </c>
      <c r="Q2" s="39" t="s">
        <v>919</v>
      </c>
      <c r="R2" s="35" t="s">
        <v>916</v>
      </c>
      <c r="S2" s="35"/>
      <c r="T2" s="35" t="s">
        <v>916</v>
      </c>
      <c r="U2" s="40">
        <v>46154</v>
      </c>
      <c r="V2" s="41">
        <v>46153.6250462963</v>
      </c>
      <c r="W2" s="40">
        <v>46153</v>
      </c>
      <c r="X2" s="35" t="s">
        <v>916</v>
      </c>
      <c r="Y2" s="35" t="s">
        <v>916</v>
      </c>
      <c r="Z2" s="35" t="s">
        <v>916</v>
      </c>
      <c r="AA2" s="38">
        <v>0</v>
      </c>
      <c r="AB2" s="42" t="s">
        <v>916</v>
      </c>
      <c r="AC2" s="43" t="s">
        <v>916</v>
      </c>
      <c r="AD2" s="43" t="s">
        <v>916</v>
      </c>
      <c r="AE2" s="33" t="s">
        <v>916</v>
      </c>
      <c r="AF2" s="35" t="s">
        <v>916</v>
      </c>
      <c r="AG2" s="44">
        <v>0</v>
      </c>
      <c r="AH2" s="42" t="s">
        <v>916</v>
      </c>
      <c r="AI2" s="32" t="e">
        <f>VLOOKUP(A2,'4月明細'!B:B,1,0)</f>
        <v>#N/A</v>
      </c>
    </row>
    <row r="3" spans="1:36" ht="19.95" customHeight="1" x14ac:dyDescent="0.3">
      <c r="A3" s="33" t="s">
        <v>920</v>
      </c>
      <c r="B3" s="34">
        <v>46153.499583333331</v>
      </c>
      <c r="C3" s="34" t="str">
        <f t="shared" ref="C3:C66" si="0">TEXT(B3,"YYYYMM")</f>
        <v>202605</v>
      </c>
      <c r="D3" s="35" t="s">
        <v>909</v>
      </c>
      <c r="E3" s="36" t="s">
        <v>910</v>
      </c>
      <c r="F3" s="36" t="s">
        <v>911</v>
      </c>
      <c r="G3" s="37" t="s">
        <v>921</v>
      </c>
      <c r="H3" s="36" t="s">
        <v>913</v>
      </c>
      <c r="I3" s="35" t="s">
        <v>922</v>
      </c>
      <c r="J3" s="36" t="s">
        <v>914</v>
      </c>
      <c r="K3" s="33" t="s">
        <v>915</v>
      </c>
      <c r="L3" s="35" t="s">
        <v>916</v>
      </c>
      <c r="M3" s="36" t="s">
        <v>923</v>
      </c>
      <c r="N3" s="36" t="s">
        <v>916</v>
      </c>
      <c r="O3" s="36" t="s">
        <v>918</v>
      </c>
      <c r="P3" s="38" t="s">
        <v>916</v>
      </c>
      <c r="Q3" s="39" t="s">
        <v>924</v>
      </c>
      <c r="R3" s="35" t="s">
        <v>916</v>
      </c>
      <c r="S3" s="35"/>
      <c r="T3" s="35" t="s">
        <v>916</v>
      </c>
      <c r="U3" s="40">
        <v>46154</v>
      </c>
      <c r="V3" s="41">
        <v>46153.624236111114</v>
      </c>
      <c r="W3" s="40">
        <v>46153</v>
      </c>
      <c r="X3" s="35" t="s">
        <v>916</v>
      </c>
      <c r="Y3" s="35" t="s">
        <v>916</v>
      </c>
      <c r="Z3" s="35" t="s">
        <v>916</v>
      </c>
      <c r="AA3" s="38">
        <v>0</v>
      </c>
      <c r="AB3" s="42" t="s">
        <v>916</v>
      </c>
      <c r="AC3" s="43" t="s">
        <v>916</v>
      </c>
      <c r="AD3" s="43" t="s">
        <v>916</v>
      </c>
      <c r="AE3" s="33" t="s">
        <v>916</v>
      </c>
      <c r="AF3" s="35" t="s">
        <v>916</v>
      </c>
      <c r="AG3" s="44">
        <v>0</v>
      </c>
      <c r="AH3" s="42" t="s">
        <v>916</v>
      </c>
      <c r="AI3" s="32" t="e">
        <f>VLOOKUP(A3,'4月明細'!B:B,1,0)</f>
        <v>#N/A</v>
      </c>
    </row>
    <row r="4" spans="1:36" ht="19.95" customHeight="1" x14ac:dyDescent="0.3">
      <c r="A4" s="33" t="s">
        <v>925</v>
      </c>
      <c r="B4" s="34">
        <v>46153.468541666669</v>
      </c>
      <c r="C4" s="34" t="str">
        <f t="shared" si="0"/>
        <v>202605</v>
      </c>
      <c r="D4" s="35" t="s">
        <v>909</v>
      </c>
      <c r="E4" s="36" t="s">
        <v>910</v>
      </c>
      <c r="F4" s="36" t="s">
        <v>926</v>
      </c>
      <c r="G4" s="37" t="s">
        <v>927</v>
      </c>
      <c r="H4" s="36" t="s">
        <v>928</v>
      </c>
      <c r="I4" s="35"/>
      <c r="J4" s="36" t="s">
        <v>929</v>
      </c>
      <c r="K4" s="33" t="s">
        <v>930</v>
      </c>
      <c r="L4" s="35" t="s">
        <v>916</v>
      </c>
      <c r="M4" s="36" t="s">
        <v>923</v>
      </c>
      <c r="N4" s="36" t="s">
        <v>916</v>
      </c>
      <c r="O4" s="36" t="s">
        <v>918</v>
      </c>
      <c r="P4" s="38" t="s">
        <v>916</v>
      </c>
      <c r="Q4" s="39" t="s">
        <v>931</v>
      </c>
      <c r="R4" s="35" t="s">
        <v>916</v>
      </c>
      <c r="S4" s="35"/>
      <c r="T4" s="35" t="s">
        <v>916</v>
      </c>
      <c r="U4" s="40">
        <v>46154</v>
      </c>
      <c r="V4" s="41">
        <v>46153.62641203704</v>
      </c>
      <c r="W4" s="40">
        <v>46153</v>
      </c>
      <c r="X4" s="35" t="s">
        <v>916</v>
      </c>
      <c r="Y4" s="35" t="s">
        <v>916</v>
      </c>
      <c r="Z4" s="35" t="s">
        <v>916</v>
      </c>
      <c r="AA4" s="38">
        <v>0</v>
      </c>
      <c r="AB4" s="42" t="s">
        <v>916</v>
      </c>
      <c r="AC4" s="43" t="s">
        <v>916</v>
      </c>
      <c r="AD4" s="43" t="s">
        <v>916</v>
      </c>
      <c r="AE4" s="33" t="s">
        <v>916</v>
      </c>
      <c r="AF4" s="35" t="s">
        <v>916</v>
      </c>
      <c r="AG4" s="44">
        <v>0</v>
      </c>
      <c r="AH4" s="42" t="s">
        <v>916</v>
      </c>
      <c r="AI4" s="32" t="e">
        <f>VLOOKUP(A4,'4月明細'!B:B,1,0)</f>
        <v>#N/A</v>
      </c>
    </row>
    <row r="5" spans="1:36" ht="19.95" customHeight="1" x14ac:dyDescent="0.3">
      <c r="A5" s="33" t="s">
        <v>932</v>
      </c>
      <c r="B5" s="34">
        <v>46153.380879629629</v>
      </c>
      <c r="C5" s="34" t="str">
        <f t="shared" si="0"/>
        <v>202605</v>
      </c>
      <c r="D5" s="35" t="s">
        <v>933</v>
      </c>
      <c r="E5" s="36" t="s">
        <v>934</v>
      </c>
      <c r="F5" s="36" t="s">
        <v>935</v>
      </c>
      <c r="G5" s="37" t="s">
        <v>936</v>
      </c>
      <c r="H5" s="36" t="s">
        <v>928</v>
      </c>
      <c r="I5" s="35" t="s">
        <v>937</v>
      </c>
      <c r="J5" s="36" t="s">
        <v>938</v>
      </c>
      <c r="K5" s="33" t="s">
        <v>930</v>
      </c>
      <c r="L5" s="35" t="s">
        <v>916</v>
      </c>
      <c r="M5" s="36" t="s">
        <v>916</v>
      </c>
      <c r="N5" s="36" t="s">
        <v>916</v>
      </c>
      <c r="O5" s="36" t="s">
        <v>939</v>
      </c>
      <c r="P5" s="38" t="s">
        <v>916</v>
      </c>
      <c r="Q5" s="36" t="s">
        <v>916</v>
      </c>
      <c r="R5" s="35" t="s">
        <v>916</v>
      </c>
      <c r="S5" s="35"/>
      <c r="T5" s="35" t="s">
        <v>916</v>
      </c>
      <c r="U5" s="40">
        <v>46154</v>
      </c>
      <c r="V5" s="41">
        <v>46153.53266203704</v>
      </c>
      <c r="W5" s="40">
        <v>46153</v>
      </c>
      <c r="X5" s="35" t="s">
        <v>916</v>
      </c>
      <c r="Y5" s="35" t="s">
        <v>916</v>
      </c>
      <c r="Z5" s="35" t="s">
        <v>916</v>
      </c>
      <c r="AA5" s="38">
        <v>0</v>
      </c>
      <c r="AB5" s="42" t="s">
        <v>916</v>
      </c>
      <c r="AC5" s="43" t="s">
        <v>916</v>
      </c>
      <c r="AD5" s="43" t="s">
        <v>916</v>
      </c>
      <c r="AE5" s="33" t="s">
        <v>916</v>
      </c>
      <c r="AF5" s="35" t="s">
        <v>916</v>
      </c>
      <c r="AG5" s="44">
        <v>0</v>
      </c>
      <c r="AH5" s="42" t="s">
        <v>916</v>
      </c>
      <c r="AI5" s="32" t="e">
        <f>VLOOKUP(A5,'4月明細'!B:B,1,0)</f>
        <v>#N/A</v>
      </c>
    </row>
    <row r="6" spans="1:36" ht="19.95" customHeight="1" x14ac:dyDescent="0.3">
      <c r="A6" s="33" t="s">
        <v>940</v>
      </c>
      <c r="B6" s="34">
        <v>46152.789861111109</v>
      </c>
      <c r="C6" s="34" t="str">
        <f t="shared" si="0"/>
        <v>202605</v>
      </c>
      <c r="D6" s="35" t="s">
        <v>941</v>
      </c>
      <c r="E6" s="36" t="s">
        <v>942</v>
      </c>
      <c r="F6" s="36" t="s">
        <v>943</v>
      </c>
      <c r="G6" s="37" t="s">
        <v>944</v>
      </c>
      <c r="H6" s="36" t="s">
        <v>913</v>
      </c>
      <c r="I6" s="35"/>
      <c r="J6" s="36" t="s">
        <v>945</v>
      </c>
      <c r="K6" s="33" t="s">
        <v>915</v>
      </c>
      <c r="L6" s="35" t="s">
        <v>916</v>
      </c>
      <c r="M6" s="36" t="s">
        <v>923</v>
      </c>
      <c r="N6" s="36" t="s">
        <v>916</v>
      </c>
      <c r="O6" s="36" t="s">
        <v>918</v>
      </c>
      <c r="P6" s="38" t="s">
        <v>916</v>
      </c>
      <c r="Q6" s="39" t="s">
        <v>919</v>
      </c>
      <c r="R6" s="35" t="s">
        <v>916</v>
      </c>
      <c r="S6" s="35"/>
      <c r="T6" s="35" t="s">
        <v>916</v>
      </c>
      <c r="U6" s="40">
        <v>46153</v>
      </c>
      <c r="V6" s="41">
        <v>46153.53266203704</v>
      </c>
      <c r="W6" s="40">
        <v>46152</v>
      </c>
      <c r="X6" s="35" t="s">
        <v>916</v>
      </c>
      <c r="Y6" s="35" t="s">
        <v>916</v>
      </c>
      <c r="Z6" s="35" t="s">
        <v>916</v>
      </c>
      <c r="AA6" s="38">
        <v>0</v>
      </c>
      <c r="AB6" s="42" t="s">
        <v>916</v>
      </c>
      <c r="AC6" s="43" t="s">
        <v>916</v>
      </c>
      <c r="AD6" s="43" t="s">
        <v>916</v>
      </c>
      <c r="AE6" s="33" t="s">
        <v>916</v>
      </c>
      <c r="AF6" s="35" t="s">
        <v>916</v>
      </c>
      <c r="AG6" s="44">
        <v>0</v>
      </c>
      <c r="AH6" s="42" t="s">
        <v>916</v>
      </c>
      <c r="AI6" s="32" t="e">
        <f>VLOOKUP(A6,'4月明細'!B:B,1,0)</f>
        <v>#N/A</v>
      </c>
    </row>
    <row r="7" spans="1:36" ht="19.95" customHeight="1" x14ac:dyDescent="0.3">
      <c r="A7" s="33" t="s">
        <v>946</v>
      </c>
      <c r="B7" s="34">
        <v>46152.652187500003</v>
      </c>
      <c r="C7" s="34" t="str">
        <f t="shared" si="0"/>
        <v>202605</v>
      </c>
      <c r="D7" s="35" t="s">
        <v>909</v>
      </c>
      <c r="E7" s="36" t="s">
        <v>910</v>
      </c>
      <c r="F7" s="36" t="s">
        <v>947</v>
      </c>
      <c r="G7" s="37" t="s">
        <v>948</v>
      </c>
      <c r="H7" s="36" t="s">
        <v>928</v>
      </c>
      <c r="I7" s="35" t="s">
        <v>949</v>
      </c>
      <c r="J7" s="36" t="s">
        <v>929</v>
      </c>
      <c r="K7" s="33" t="s">
        <v>930</v>
      </c>
      <c r="L7" s="35" t="s">
        <v>916</v>
      </c>
      <c r="M7" s="36" t="s">
        <v>916</v>
      </c>
      <c r="N7" s="36" t="s">
        <v>916</v>
      </c>
      <c r="O7" s="36" t="s">
        <v>939</v>
      </c>
      <c r="P7" s="38" t="s">
        <v>916</v>
      </c>
      <c r="Q7" s="36" t="s">
        <v>916</v>
      </c>
      <c r="R7" s="35" t="s">
        <v>916</v>
      </c>
      <c r="S7" s="35"/>
      <c r="T7" s="35" t="s">
        <v>916</v>
      </c>
      <c r="U7" s="40">
        <v>46153</v>
      </c>
      <c r="V7" s="41">
        <v>46153.53266203704</v>
      </c>
      <c r="W7" s="40">
        <v>46152</v>
      </c>
      <c r="X7" s="40">
        <v>46153</v>
      </c>
      <c r="Y7" s="35" t="s">
        <v>916</v>
      </c>
      <c r="Z7" s="35" t="s">
        <v>916</v>
      </c>
      <c r="AA7" s="38">
        <v>0</v>
      </c>
      <c r="AB7" s="42" t="s">
        <v>916</v>
      </c>
      <c r="AC7" s="43" t="s">
        <v>916</v>
      </c>
      <c r="AD7" s="43" t="s">
        <v>916</v>
      </c>
      <c r="AE7" s="33" t="s">
        <v>916</v>
      </c>
      <c r="AF7" s="35" t="s">
        <v>916</v>
      </c>
      <c r="AG7" s="44">
        <v>0</v>
      </c>
      <c r="AH7" s="42" t="s">
        <v>916</v>
      </c>
      <c r="AI7" s="32" t="e">
        <f>VLOOKUP(A7,'4月明細'!B:B,1,0)</f>
        <v>#N/A</v>
      </c>
    </row>
    <row r="8" spans="1:36" ht="19.95" customHeight="1" x14ac:dyDescent="0.3">
      <c r="A8" s="33" t="s">
        <v>950</v>
      </c>
      <c r="B8" s="34">
        <v>46151.706446759257</v>
      </c>
      <c r="C8" s="34" t="str">
        <f t="shared" si="0"/>
        <v>202605</v>
      </c>
      <c r="D8" s="35" t="s">
        <v>951</v>
      </c>
      <c r="E8" s="36" t="s">
        <v>910</v>
      </c>
      <c r="F8" s="36" t="s">
        <v>952</v>
      </c>
      <c r="G8" s="37" t="s">
        <v>953</v>
      </c>
      <c r="H8" s="36" t="s">
        <v>954</v>
      </c>
      <c r="I8" s="35" t="s">
        <v>955</v>
      </c>
      <c r="J8" s="36" t="s">
        <v>929</v>
      </c>
      <c r="K8" s="33" t="s">
        <v>956</v>
      </c>
      <c r="L8" s="35" t="s">
        <v>916</v>
      </c>
      <c r="M8" s="36" t="s">
        <v>957</v>
      </c>
      <c r="N8" s="36" t="s">
        <v>916</v>
      </c>
      <c r="O8" s="36" t="s">
        <v>918</v>
      </c>
      <c r="P8" s="38" t="s">
        <v>916</v>
      </c>
      <c r="Q8" s="39" t="s">
        <v>958</v>
      </c>
      <c r="R8" s="35" t="s">
        <v>916</v>
      </c>
      <c r="S8" s="35"/>
      <c r="T8" s="35" t="s">
        <v>916</v>
      </c>
      <c r="U8" s="40">
        <v>46152</v>
      </c>
      <c r="V8" s="41">
        <v>46153.53266203704</v>
      </c>
      <c r="W8" s="40">
        <v>46151</v>
      </c>
      <c r="X8" s="35" t="s">
        <v>916</v>
      </c>
      <c r="Y8" s="35" t="s">
        <v>916</v>
      </c>
      <c r="Z8" s="35" t="s">
        <v>916</v>
      </c>
      <c r="AA8" s="38">
        <v>0</v>
      </c>
      <c r="AB8" s="42" t="s">
        <v>916</v>
      </c>
      <c r="AC8" s="43" t="s">
        <v>916</v>
      </c>
      <c r="AD8" s="43" t="s">
        <v>916</v>
      </c>
      <c r="AE8" s="33" t="s">
        <v>916</v>
      </c>
      <c r="AF8" s="35" t="s">
        <v>916</v>
      </c>
      <c r="AG8" s="44">
        <v>0</v>
      </c>
      <c r="AH8" s="42" t="s">
        <v>916</v>
      </c>
      <c r="AI8" s="32" t="e">
        <f>VLOOKUP(A8,'4月明細'!B:B,1,0)</f>
        <v>#N/A</v>
      </c>
    </row>
    <row r="9" spans="1:36" ht="19.95" customHeight="1" x14ac:dyDescent="0.3">
      <c r="A9" s="33" t="s">
        <v>959</v>
      </c>
      <c r="B9" s="34">
        <v>46151.703715277778</v>
      </c>
      <c r="C9" s="34" t="str">
        <f t="shared" si="0"/>
        <v>202605</v>
      </c>
      <c r="D9" s="35" t="s">
        <v>960</v>
      </c>
      <c r="E9" s="36" t="s">
        <v>942</v>
      </c>
      <c r="F9" s="36" t="s">
        <v>961</v>
      </c>
      <c r="G9" s="37" t="s">
        <v>962</v>
      </c>
      <c r="H9" s="36" t="s">
        <v>913</v>
      </c>
      <c r="I9" s="35"/>
      <c r="J9" s="36" t="s">
        <v>929</v>
      </c>
      <c r="K9" s="33" t="s">
        <v>915</v>
      </c>
      <c r="L9" s="35" t="s">
        <v>916</v>
      </c>
      <c r="M9" s="36" t="s">
        <v>957</v>
      </c>
      <c r="N9" s="36" t="s">
        <v>916</v>
      </c>
      <c r="O9" s="36" t="s">
        <v>918</v>
      </c>
      <c r="P9" s="38" t="s">
        <v>916</v>
      </c>
      <c r="Q9" s="39" t="s">
        <v>919</v>
      </c>
      <c r="R9" s="35" t="s">
        <v>916</v>
      </c>
      <c r="S9" s="35"/>
      <c r="T9" s="35" t="s">
        <v>916</v>
      </c>
      <c r="U9" s="40">
        <v>46152</v>
      </c>
      <c r="V9" s="41">
        <v>46153.53266203704</v>
      </c>
      <c r="W9" s="40">
        <v>46151</v>
      </c>
      <c r="X9" s="35" t="s">
        <v>916</v>
      </c>
      <c r="Y9" s="35" t="s">
        <v>916</v>
      </c>
      <c r="Z9" s="35" t="s">
        <v>916</v>
      </c>
      <c r="AA9" s="38">
        <v>0</v>
      </c>
      <c r="AB9" s="42" t="s">
        <v>916</v>
      </c>
      <c r="AC9" s="43" t="s">
        <v>916</v>
      </c>
      <c r="AD9" s="43" t="s">
        <v>916</v>
      </c>
      <c r="AE9" s="33" t="s">
        <v>916</v>
      </c>
      <c r="AF9" s="35" t="s">
        <v>916</v>
      </c>
      <c r="AG9" s="44">
        <v>0</v>
      </c>
      <c r="AH9" s="42" t="s">
        <v>916</v>
      </c>
      <c r="AI9" s="32" t="e">
        <f>VLOOKUP(A9,'4月明細'!B:B,1,0)</f>
        <v>#N/A</v>
      </c>
    </row>
    <row r="10" spans="1:36" ht="19.95" customHeight="1" x14ac:dyDescent="0.3">
      <c r="A10" s="33" t="s">
        <v>963</v>
      </c>
      <c r="B10" s="34">
        <v>46151.683495370373</v>
      </c>
      <c r="C10" s="34" t="str">
        <f t="shared" si="0"/>
        <v>202605</v>
      </c>
      <c r="D10" s="35" t="s">
        <v>951</v>
      </c>
      <c r="E10" s="36" t="s">
        <v>910</v>
      </c>
      <c r="F10" s="36" t="s">
        <v>964</v>
      </c>
      <c r="G10" s="37" t="s">
        <v>965</v>
      </c>
      <c r="H10" s="36" t="s">
        <v>913</v>
      </c>
      <c r="I10" s="35" t="s">
        <v>966</v>
      </c>
      <c r="J10" s="36" t="s">
        <v>929</v>
      </c>
      <c r="K10" s="33" t="s">
        <v>915</v>
      </c>
      <c r="L10" s="35" t="s">
        <v>916</v>
      </c>
      <c r="M10" s="36" t="s">
        <v>957</v>
      </c>
      <c r="N10" s="36" t="s">
        <v>916</v>
      </c>
      <c r="O10" s="36" t="s">
        <v>918</v>
      </c>
      <c r="P10" s="38" t="s">
        <v>916</v>
      </c>
      <c r="Q10" s="39" t="s">
        <v>919</v>
      </c>
      <c r="R10" s="35" t="s">
        <v>916</v>
      </c>
      <c r="S10" s="35"/>
      <c r="T10" s="35" t="s">
        <v>916</v>
      </c>
      <c r="U10" s="40">
        <v>46152</v>
      </c>
      <c r="V10" s="41">
        <v>46153.53266203704</v>
      </c>
      <c r="W10" s="40">
        <v>46151</v>
      </c>
      <c r="X10" s="35" t="s">
        <v>916</v>
      </c>
      <c r="Y10" s="35" t="s">
        <v>916</v>
      </c>
      <c r="Z10" s="35" t="s">
        <v>916</v>
      </c>
      <c r="AA10" s="38">
        <v>0</v>
      </c>
      <c r="AB10" s="42" t="s">
        <v>916</v>
      </c>
      <c r="AC10" s="43" t="s">
        <v>916</v>
      </c>
      <c r="AD10" s="43" t="s">
        <v>916</v>
      </c>
      <c r="AE10" s="33" t="s">
        <v>916</v>
      </c>
      <c r="AF10" s="35" t="s">
        <v>916</v>
      </c>
      <c r="AG10" s="44">
        <v>0</v>
      </c>
      <c r="AH10" s="42" t="s">
        <v>916</v>
      </c>
      <c r="AI10" s="32" t="e">
        <f>VLOOKUP(A10,'4月明細'!B:B,1,0)</f>
        <v>#N/A</v>
      </c>
    </row>
    <row r="11" spans="1:36" ht="19.95" customHeight="1" x14ac:dyDescent="0.3">
      <c r="A11" s="33" t="s">
        <v>967</v>
      </c>
      <c r="B11" s="34">
        <v>46151.683078703703</v>
      </c>
      <c r="C11" s="34" t="str">
        <f t="shared" si="0"/>
        <v>202605</v>
      </c>
      <c r="D11" s="35" t="s">
        <v>951</v>
      </c>
      <c r="E11" s="36" t="s">
        <v>910</v>
      </c>
      <c r="F11" s="36" t="s">
        <v>964</v>
      </c>
      <c r="G11" s="37" t="s">
        <v>968</v>
      </c>
      <c r="H11" s="36" t="s">
        <v>954</v>
      </c>
      <c r="I11" s="35" t="s">
        <v>969</v>
      </c>
      <c r="J11" s="36" t="s">
        <v>929</v>
      </c>
      <c r="K11" s="33" t="s">
        <v>970</v>
      </c>
      <c r="L11" s="35" t="s">
        <v>916</v>
      </c>
      <c r="M11" s="36" t="s">
        <v>957</v>
      </c>
      <c r="N11" s="36" t="s">
        <v>916</v>
      </c>
      <c r="O11" s="36" t="s">
        <v>918</v>
      </c>
      <c r="P11" s="38" t="s">
        <v>916</v>
      </c>
      <c r="Q11" s="39" t="s">
        <v>958</v>
      </c>
      <c r="R11" s="35" t="s">
        <v>916</v>
      </c>
      <c r="S11" s="35"/>
      <c r="T11" s="35" t="s">
        <v>916</v>
      </c>
      <c r="U11" s="40">
        <v>46152</v>
      </c>
      <c r="V11" s="41">
        <v>46153.53266203704</v>
      </c>
      <c r="W11" s="40">
        <v>46151</v>
      </c>
      <c r="X11" s="35" t="s">
        <v>916</v>
      </c>
      <c r="Y11" s="35" t="s">
        <v>916</v>
      </c>
      <c r="Z11" s="35" t="s">
        <v>916</v>
      </c>
      <c r="AA11" s="38">
        <v>0</v>
      </c>
      <c r="AB11" s="42" t="s">
        <v>916</v>
      </c>
      <c r="AC11" s="43" t="s">
        <v>916</v>
      </c>
      <c r="AD11" s="43" t="s">
        <v>916</v>
      </c>
      <c r="AE11" s="33" t="s">
        <v>916</v>
      </c>
      <c r="AF11" s="35" t="s">
        <v>916</v>
      </c>
      <c r="AG11" s="44">
        <v>0</v>
      </c>
      <c r="AH11" s="42" t="s">
        <v>916</v>
      </c>
      <c r="AI11" s="32" t="e">
        <f>VLOOKUP(A11,'4月明細'!B:B,1,0)</f>
        <v>#N/A</v>
      </c>
    </row>
    <row r="12" spans="1:36" ht="19.95" customHeight="1" x14ac:dyDescent="0.3">
      <c r="A12" s="33" t="s">
        <v>971</v>
      </c>
      <c r="B12" s="34">
        <v>46151.624780092592</v>
      </c>
      <c r="C12" s="34" t="str">
        <f t="shared" si="0"/>
        <v>202605</v>
      </c>
      <c r="D12" s="35" t="s">
        <v>951</v>
      </c>
      <c r="E12" s="36" t="s">
        <v>910</v>
      </c>
      <c r="F12" s="36" t="s">
        <v>972</v>
      </c>
      <c r="G12" s="37" t="s">
        <v>973</v>
      </c>
      <c r="H12" s="36" t="s">
        <v>954</v>
      </c>
      <c r="I12" s="35" t="s">
        <v>974</v>
      </c>
      <c r="J12" s="36" t="s">
        <v>929</v>
      </c>
      <c r="K12" s="33" t="s">
        <v>970</v>
      </c>
      <c r="L12" s="35" t="s">
        <v>916</v>
      </c>
      <c r="M12" s="36" t="s">
        <v>957</v>
      </c>
      <c r="N12" s="36" t="s">
        <v>916</v>
      </c>
      <c r="O12" s="36" t="s">
        <v>918</v>
      </c>
      <c r="P12" s="38" t="s">
        <v>916</v>
      </c>
      <c r="Q12" s="39" t="s">
        <v>958</v>
      </c>
      <c r="R12" s="35" t="s">
        <v>916</v>
      </c>
      <c r="S12" s="35"/>
      <c r="T12" s="35" t="s">
        <v>916</v>
      </c>
      <c r="U12" s="40">
        <v>46152</v>
      </c>
      <c r="V12" s="41">
        <v>46153.53266203704</v>
      </c>
      <c r="W12" s="40">
        <v>46151</v>
      </c>
      <c r="X12" s="35" t="s">
        <v>916</v>
      </c>
      <c r="Y12" s="35" t="s">
        <v>916</v>
      </c>
      <c r="Z12" s="35" t="s">
        <v>916</v>
      </c>
      <c r="AA12" s="38">
        <v>0</v>
      </c>
      <c r="AB12" s="42" t="s">
        <v>916</v>
      </c>
      <c r="AC12" s="43" t="s">
        <v>916</v>
      </c>
      <c r="AD12" s="43" t="s">
        <v>916</v>
      </c>
      <c r="AE12" s="33" t="s">
        <v>916</v>
      </c>
      <c r="AF12" s="35" t="s">
        <v>916</v>
      </c>
      <c r="AG12" s="44">
        <v>0</v>
      </c>
      <c r="AH12" s="42" t="s">
        <v>916</v>
      </c>
      <c r="AI12" s="32" t="e">
        <f>VLOOKUP(A12,'4月明細'!B:B,1,0)</f>
        <v>#N/A</v>
      </c>
    </row>
    <row r="13" spans="1:36" ht="19.95" customHeight="1" x14ac:dyDescent="0.3">
      <c r="A13" s="33" t="s">
        <v>975</v>
      </c>
      <c r="B13" s="34">
        <v>46151.582291666666</v>
      </c>
      <c r="C13" s="34" t="str">
        <f t="shared" si="0"/>
        <v>202605</v>
      </c>
      <c r="D13" s="35" t="s">
        <v>909</v>
      </c>
      <c r="E13" s="36" t="s">
        <v>910</v>
      </c>
      <c r="F13" s="36" t="s">
        <v>976</v>
      </c>
      <c r="G13" s="37" t="s">
        <v>977</v>
      </c>
      <c r="H13" s="36" t="s">
        <v>978</v>
      </c>
      <c r="I13" s="35"/>
      <c r="J13" s="36" t="s">
        <v>929</v>
      </c>
      <c r="K13" s="33" t="s">
        <v>979</v>
      </c>
      <c r="L13" s="35" t="s">
        <v>916</v>
      </c>
      <c r="M13" s="36" t="s">
        <v>923</v>
      </c>
      <c r="N13" s="36" t="s">
        <v>916</v>
      </c>
      <c r="O13" s="36" t="s">
        <v>918</v>
      </c>
      <c r="P13" s="38" t="s">
        <v>916</v>
      </c>
      <c r="Q13" s="39" t="s">
        <v>931</v>
      </c>
      <c r="R13" s="35" t="s">
        <v>916</v>
      </c>
      <c r="S13" s="35"/>
      <c r="T13" s="35" t="s">
        <v>916</v>
      </c>
      <c r="U13" s="40">
        <v>46152</v>
      </c>
      <c r="V13" s="41">
        <v>46153.53266203704</v>
      </c>
      <c r="W13" s="40">
        <v>46151</v>
      </c>
      <c r="X13" s="35" t="s">
        <v>916</v>
      </c>
      <c r="Y13" s="35" t="s">
        <v>916</v>
      </c>
      <c r="Z13" s="35" t="s">
        <v>916</v>
      </c>
      <c r="AA13" s="38">
        <v>0</v>
      </c>
      <c r="AB13" s="42" t="s">
        <v>916</v>
      </c>
      <c r="AC13" s="43" t="s">
        <v>916</v>
      </c>
      <c r="AD13" s="43" t="s">
        <v>916</v>
      </c>
      <c r="AE13" s="33" t="s">
        <v>916</v>
      </c>
      <c r="AF13" s="35" t="s">
        <v>916</v>
      </c>
      <c r="AG13" s="44">
        <v>0</v>
      </c>
      <c r="AH13" s="42" t="s">
        <v>916</v>
      </c>
      <c r="AI13" s="32" t="e">
        <f>VLOOKUP(A13,'4月明細'!B:B,1,0)</f>
        <v>#N/A</v>
      </c>
    </row>
    <row r="14" spans="1:36" ht="19.95" customHeight="1" x14ac:dyDescent="0.3">
      <c r="A14" s="33" t="s">
        <v>980</v>
      </c>
      <c r="B14" s="34">
        <v>46151.518067129633</v>
      </c>
      <c r="C14" s="34" t="str">
        <f t="shared" si="0"/>
        <v>202605</v>
      </c>
      <c r="D14" s="35" t="s">
        <v>951</v>
      </c>
      <c r="E14" s="36" t="s">
        <v>910</v>
      </c>
      <c r="F14" s="36" t="s">
        <v>981</v>
      </c>
      <c r="G14" s="37" t="s">
        <v>982</v>
      </c>
      <c r="H14" s="36" t="s">
        <v>954</v>
      </c>
      <c r="I14" s="35" t="s">
        <v>983</v>
      </c>
      <c r="J14" s="36" t="s">
        <v>929</v>
      </c>
      <c r="K14" s="33" t="s">
        <v>970</v>
      </c>
      <c r="L14" s="35" t="s">
        <v>916</v>
      </c>
      <c r="M14" s="36" t="s">
        <v>957</v>
      </c>
      <c r="N14" s="36" t="s">
        <v>916</v>
      </c>
      <c r="O14" s="36" t="s">
        <v>918</v>
      </c>
      <c r="P14" s="38" t="s">
        <v>916</v>
      </c>
      <c r="Q14" s="39" t="s">
        <v>984</v>
      </c>
      <c r="R14" s="35" t="s">
        <v>916</v>
      </c>
      <c r="S14" s="35"/>
      <c r="T14" s="35" t="s">
        <v>916</v>
      </c>
      <c r="U14" s="40">
        <v>46152</v>
      </c>
      <c r="V14" s="41">
        <v>46153.53266203704</v>
      </c>
      <c r="W14" s="40">
        <v>46151</v>
      </c>
      <c r="X14" s="35" t="s">
        <v>916</v>
      </c>
      <c r="Y14" s="35" t="s">
        <v>916</v>
      </c>
      <c r="Z14" s="35" t="s">
        <v>916</v>
      </c>
      <c r="AA14" s="38">
        <v>0</v>
      </c>
      <c r="AB14" s="42" t="s">
        <v>916</v>
      </c>
      <c r="AC14" s="43" t="s">
        <v>916</v>
      </c>
      <c r="AD14" s="43" t="s">
        <v>916</v>
      </c>
      <c r="AE14" s="33" t="s">
        <v>916</v>
      </c>
      <c r="AF14" s="35" t="s">
        <v>916</v>
      </c>
      <c r="AG14" s="44">
        <v>0</v>
      </c>
      <c r="AH14" s="42" t="s">
        <v>916</v>
      </c>
      <c r="AI14" s="32" t="e">
        <f>VLOOKUP(A14,'4月明細'!B:B,1,0)</f>
        <v>#N/A</v>
      </c>
    </row>
    <row r="15" spans="1:36" ht="19.95" customHeight="1" x14ac:dyDescent="0.3">
      <c r="A15" s="33" t="s">
        <v>985</v>
      </c>
      <c r="B15" s="34">
        <v>46151.516898148147</v>
      </c>
      <c r="C15" s="34" t="str">
        <f t="shared" si="0"/>
        <v>202605</v>
      </c>
      <c r="D15" s="35" t="s">
        <v>986</v>
      </c>
      <c r="E15" s="36" t="s">
        <v>910</v>
      </c>
      <c r="F15" s="36" t="s">
        <v>987</v>
      </c>
      <c r="G15" s="37" t="s">
        <v>988</v>
      </c>
      <c r="H15" s="36" t="s">
        <v>989</v>
      </c>
      <c r="I15" s="35" t="s">
        <v>990</v>
      </c>
      <c r="J15" s="36" t="s">
        <v>929</v>
      </c>
      <c r="K15" s="33" t="s">
        <v>991</v>
      </c>
      <c r="L15" s="35" t="s">
        <v>916</v>
      </c>
      <c r="M15" s="36" t="s">
        <v>917</v>
      </c>
      <c r="N15" s="36" t="s">
        <v>916</v>
      </c>
      <c r="O15" s="36" t="s">
        <v>918</v>
      </c>
      <c r="P15" s="38" t="s">
        <v>916</v>
      </c>
      <c r="Q15" s="36" t="s">
        <v>916</v>
      </c>
      <c r="R15" s="35" t="s">
        <v>916</v>
      </c>
      <c r="S15" s="35"/>
      <c r="T15" s="35" t="s">
        <v>916</v>
      </c>
      <c r="U15" s="40">
        <v>46152</v>
      </c>
      <c r="V15" s="41">
        <v>46153.573252314818</v>
      </c>
      <c r="W15" s="40">
        <v>46151</v>
      </c>
      <c r="X15" s="35" t="s">
        <v>916</v>
      </c>
      <c r="Y15" s="35" t="s">
        <v>916</v>
      </c>
      <c r="Z15" s="35" t="s">
        <v>916</v>
      </c>
      <c r="AA15" s="38">
        <v>0</v>
      </c>
      <c r="AB15" s="42" t="s">
        <v>916</v>
      </c>
      <c r="AC15" s="43" t="s">
        <v>916</v>
      </c>
      <c r="AD15" s="43" t="s">
        <v>916</v>
      </c>
      <c r="AE15" s="33" t="s">
        <v>916</v>
      </c>
      <c r="AF15" s="35" t="s">
        <v>916</v>
      </c>
      <c r="AG15" s="44">
        <v>0</v>
      </c>
      <c r="AH15" s="42" t="s">
        <v>916</v>
      </c>
      <c r="AI15" s="32" t="e">
        <f>VLOOKUP(A15,'4月明細'!B:B,1,0)</f>
        <v>#N/A</v>
      </c>
    </row>
    <row r="16" spans="1:36" ht="19.95" customHeight="1" x14ac:dyDescent="0.3">
      <c r="A16" s="33" t="s">
        <v>992</v>
      </c>
      <c r="B16" s="34">
        <v>46151.512094907404</v>
      </c>
      <c r="C16" s="34" t="str">
        <f t="shared" si="0"/>
        <v>202605</v>
      </c>
      <c r="D16" s="35" t="s">
        <v>986</v>
      </c>
      <c r="E16" s="36" t="s">
        <v>910</v>
      </c>
      <c r="F16" s="36" t="s">
        <v>987</v>
      </c>
      <c r="G16" s="37" t="s">
        <v>993</v>
      </c>
      <c r="H16" s="36" t="s">
        <v>989</v>
      </c>
      <c r="I16" s="35"/>
      <c r="J16" s="36" t="s">
        <v>929</v>
      </c>
      <c r="K16" s="33" t="s">
        <v>991</v>
      </c>
      <c r="L16" s="35" t="s">
        <v>916</v>
      </c>
      <c r="M16" s="36" t="s">
        <v>957</v>
      </c>
      <c r="N16" s="36" t="s">
        <v>916</v>
      </c>
      <c r="O16" s="36" t="s">
        <v>918</v>
      </c>
      <c r="P16" s="38" t="s">
        <v>916</v>
      </c>
      <c r="Q16" s="39" t="s">
        <v>994</v>
      </c>
      <c r="R16" s="35" t="s">
        <v>916</v>
      </c>
      <c r="S16" s="35"/>
      <c r="T16" s="35" t="s">
        <v>916</v>
      </c>
      <c r="U16" s="40">
        <v>46152</v>
      </c>
      <c r="V16" s="41">
        <v>46153.53266203704</v>
      </c>
      <c r="W16" s="40">
        <v>46151</v>
      </c>
      <c r="X16" s="35" t="s">
        <v>916</v>
      </c>
      <c r="Y16" s="35" t="s">
        <v>916</v>
      </c>
      <c r="Z16" s="35" t="s">
        <v>916</v>
      </c>
      <c r="AA16" s="38">
        <v>0</v>
      </c>
      <c r="AB16" s="42" t="s">
        <v>916</v>
      </c>
      <c r="AC16" s="43" t="s">
        <v>916</v>
      </c>
      <c r="AD16" s="43" t="s">
        <v>916</v>
      </c>
      <c r="AE16" s="33" t="s">
        <v>916</v>
      </c>
      <c r="AF16" s="35" t="s">
        <v>916</v>
      </c>
      <c r="AG16" s="44">
        <v>0</v>
      </c>
      <c r="AH16" s="42" t="s">
        <v>916</v>
      </c>
      <c r="AI16" s="32" t="e">
        <f>VLOOKUP(A16,'4月明細'!B:B,1,0)</f>
        <v>#N/A</v>
      </c>
    </row>
    <row r="17" spans="1:35" ht="19.95" customHeight="1" x14ac:dyDescent="0.3">
      <c r="A17" s="33" t="s">
        <v>995</v>
      </c>
      <c r="B17" s="34">
        <v>46151.471215277779</v>
      </c>
      <c r="C17" s="34" t="str">
        <f t="shared" si="0"/>
        <v>202605</v>
      </c>
      <c r="D17" s="35" t="s">
        <v>996</v>
      </c>
      <c r="E17" s="36" t="s">
        <v>910</v>
      </c>
      <c r="F17" s="36" t="s">
        <v>997</v>
      </c>
      <c r="G17" s="37" t="s">
        <v>998</v>
      </c>
      <c r="H17" s="36" t="s">
        <v>928</v>
      </c>
      <c r="I17" s="35"/>
      <c r="J17" s="36" t="s">
        <v>914</v>
      </c>
      <c r="K17" s="33" t="s">
        <v>930</v>
      </c>
      <c r="L17" s="35" t="s">
        <v>916</v>
      </c>
      <c r="M17" s="36" t="s">
        <v>957</v>
      </c>
      <c r="N17" s="36" t="s">
        <v>916</v>
      </c>
      <c r="O17" s="36" t="s">
        <v>918</v>
      </c>
      <c r="P17" s="38" t="s">
        <v>916</v>
      </c>
      <c r="Q17" s="39" t="s">
        <v>958</v>
      </c>
      <c r="R17" s="35" t="s">
        <v>916</v>
      </c>
      <c r="S17" s="35"/>
      <c r="T17" s="35" t="s">
        <v>916</v>
      </c>
      <c r="U17" s="40">
        <v>46152</v>
      </c>
      <c r="V17" s="41">
        <v>46153.53266203704</v>
      </c>
      <c r="W17" s="40">
        <v>46151</v>
      </c>
      <c r="X17" s="35" t="s">
        <v>916</v>
      </c>
      <c r="Y17" s="35" t="s">
        <v>916</v>
      </c>
      <c r="Z17" s="35" t="s">
        <v>916</v>
      </c>
      <c r="AA17" s="38">
        <v>0</v>
      </c>
      <c r="AB17" s="42" t="s">
        <v>916</v>
      </c>
      <c r="AC17" s="43" t="s">
        <v>916</v>
      </c>
      <c r="AD17" s="43" t="s">
        <v>916</v>
      </c>
      <c r="AE17" s="33" t="s">
        <v>916</v>
      </c>
      <c r="AF17" s="35" t="s">
        <v>916</v>
      </c>
      <c r="AG17" s="44">
        <v>0</v>
      </c>
      <c r="AH17" s="42" t="s">
        <v>916</v>
      </c>
      <c r="AI17" s="32" t="e">
        <f>VLOOKUP(A17,'4月明細'!B:B,1,0)</f>
        <v>#N/A</v>
      </c>
    </row>
    <row r="18" spans="1:35" ht="19.95" customHeight="1" x14ac:dyDescent="0.3">
      <c r="A18" s="33" t="s">
        <v>999</v>
      </c>
      <c r="B18" s="34">
        <v>46151.470810185187</v>
      </c>
      <c r="C18" s="34" t="str">
        <f t="shared" si="0"/>
        <v>202605</v>
      </c>
      <c r="D18" s="35" t="s">
        <v>951</v>
      </c>
      <c r="E18" s="36" t="s">
        <v>910</v>
      </c>
      <c r="F18" s="36" t="s">
        <v>1000</v>
      </c>
      <c r="G18" s="37" t="s">
        <v>1001</v>
      </c>
      <c r="H18" s="36" t="s">
        <v>954</v>
      </c>
      <c r="I18" s="35" t="s">
        <v>1002</v>
      </c>
      <c r="J18" s="36" t="s">
        <v>914</v>
      </c>
      <c r="K18" s="33" t="s">
        <v>956</v>
      </c>
      <c r="L18" s="35" t="s">
        <v>916</v>
      </c>
      <c r="M18" s="36" t="s">
        <v>957</v>
      </c>
      <c r="N18" s="36" t="s">
        <v>916</v>
      </c>
      <c r="O18" s="36" t="s">
        <v>918</v>
      </c>
      <c r="P18" s="38" t="s">
        <v>916</v>
      </c>
      <c r="Q18" s="39" t="s">
        <v>958</v>
      </c>
      <c r="R18" s="35" t="s">
        <v>916</v>
      </c>
      <c r="S18" s="35"/>
      <c r="T18" s="35" t="s">
        <v>916</v>
      </c>
      <c r="U18" s="40">
        <v>46152</v>
      </c>
      <c r="V18" s="41">
        <v>46153.53266203704</v>
      </c>
      <c r="W18" s="40">
        <v>46151</v>
      </c>
      <c r="X18" s="35" t="s">
        <v>916</v>
      </c>
      <c r="Y18" s="35" t="s">
        <v>916</v>
      </c>
      <c r="Z18" s="35" t="s">
        <v>916</v>
      </c>
      <c r="AA18" s="38">
        <v>0</v>
      </c>
      <c r="AB18" s="42" t="s">
        <v>916</v>
      </c>
      <c r="AC18" s="43" t="s">
        <v>916</v>
      </c>
      <c r="AD18" s="43" t="s">
        <v>916</v>
      </c>
      <c r="AE18" s="33" t="s">
        <v>916</v>
      </c>
      <c r="AF18" s="35" t="s">
        <v>916</v>
      </c>
      <c r="AG18" s="44">
        <v>0</v>
      </c>
      <c r="AH18" s="42" t="s">
        <v>916</v>
      </c>
      <c r="AI18" s="32" t="e">
        <f>VLOOKUP(A18,'4月明細'!B:B,1,0)</f>
        <v>#N/A</v>
      </c>
    </row>
    <row r="19" spans="1:35" ht="19.95" customHeight="1" x14ac:dyDescent="0.3">
      <c r="A19" s="33" t="s">
        <v>1003</v>
      </c>
      <c r="B19" s="34">
        <v>46151.468449074076</v>
      </c>
      <c r="C19" s="34" t="str">
        <f t="shared" si="0"/>
        <v>202605</v>
      </c>
      <c r="D19" s="35" t="s">
        <v>909</v>
      </c>
      <c r="E19" s="36" t="s">
        <v>910</v>
      </c>
      <c r="F19" s="36" t="s">
        <v>1004</v>
      </c>
      <c r="G19" s="37" t="s">
        <v>1005</v>
      </c>
      <c r="H19" s="36" t="s">
        <v>928</v>
      </c>
      <c r="I19" s="35" t="s">
        <v>1006</v>
      </c>
      <c r="J19" s="36" t="s">
        <v>914</v>
      </c>
      <c r="K19" s="33" t="s">
        <v>1007</v>
      </c>
      <c r="L19" s="35" t="s">
        <v>916</v>
      </c>
      <c r="M19" s="36" t="s">
        <v>957</v>
      </c>
      <c r="N19" s="36" t="s">
        <v>916</v>
      </c>
      <c r="O19" s="36" t="s">
        <v>918</v>
      </c>
      <c r="P19" s="38" t="s">
        <v>916</v>
      </c>
      <c r="Q19" s="39" t="s">
        <v>1008</v>
      </c>
      <c r="R19" s="35" t="s">
        <v>916</v>
      </c>
      <c r="S19" s="35"/>
      <c r="T19" s="35" t="s">
        <v>916</v>
      </c>
      <c r="U19" s="40">
        <v>46152</v>
      </c>
      <c r="V19" s="41">
        <v>46153.53266203704</v>
      </c>
      <c r="W19" s="40">
        <v>46151</v>
      </c>
      <c r="X19" s="35" t="s">
        <v>916</v>
      </c>
      <c r="Y19" s="35" t="s">
        <v>916</v>
      </c>
      <c r="Z19" s="35" t="s">
        <v>916</v>
      </c>
      <c r="AA19" s="38">
        <v>0</v>
      </c>
      <c r="AB19" s="42" t="s">
        <v>916</v>
      </c>
      <c r="AC19" s="43" t="s">
        <v>916</v>
      </c>
      <c r="AD19" s="43" t="s">
        <v>916</v>
      </c>
      <c r="AE19" s="33" t="s">
        <v>916</v>
      </c>
      <c r="AF19" s="35" t="s">
        <v>916</v>
      </c>
      <c r="AG19" s="44">
        <v>0</v>
      </c>
      <c r="AH19" s="42" t="s">
        <v>916</v>
      </c>
      <c r="AI19" s="32" t="e">
        <f>VLOOKUP(A19,'4月明細'!B:B,1,0)</f>
        <v>#N/A</v>
      </c>
    </row>
    <row r="20" spans="1:35" ht="19.95" customHeight="1" x14ac:dyDescent="0.3">
      <c r="A20" s="33" t="s">
        <v>1009</v>
      </c>
      <c r="B20" s="34">
        <v>46151.451180555552</v>
      </c>
      <c r="C20" s="34" t="str">
        <f t="shared" si="0"/>
        <v>202605</v>
      </c>
      <c r="D20" s="35" t="s">
        <v>909</v>
      </c>
      <c r="E20" s="36" t="s">
        <v>910</v>
      </c>
      <c r="F20" s="36" t="s">
        <v>1010</v>
      </c>
      <c r="G20" s="37" t="s">
        <v>1011</v>
      </c>
      <c r="H20" s="36" t="s">
        <v>913</v>
      </c>
      <c r="I20" s="35" t="s">
        <v>1012</v>
      </c>
      <c r="J20" s="36" t="s">
        <v>929</v>
      </c>
      <c r="K20" s="33" t="s">
        <v>915</v>
      </c>
      <c r="L20" s="35" t="s">
        <v>916</v>
      </c>
      <c r="M20" s="36" t="s">
        <v>916</v>
      </c>
      <c r="N20" s="36" t="s">
        <v>916</v>
      </c>
      <c r="O20" s="36" t="s">
        <v>939</v>
      </c>
      <c r="P20" s="38" t="s">
        <v>916</v>
      </c>
      <c r="Q20" s="36" t="s">
        <v>916</v>
      </c>
      <c r="R20" s="35" t="s">
        <v>916</v>
      </c>
      <c r="S20" s="35"/>
      <c r="T20" s="35" t="s">
        <v>916</v>
      </c>
      <c r="U20" s="40">
        <v>46152</v>
      </c>
      <c r="V20" s="41">
        <v>46153.53266203704</v>
      </c>
      <c r="W20" s="40">
        <v>46151</v>
      </c>
      <c r="X20" s="40">
        <v>46153</v>
      </c>
      <c r="Y20" s="35" t="s">
        <v>916</v>
      </c>
      <c r="Z20" s="35" t="s">
        <v>916</v>
      </c>
      <c r="AA20" s="38">
        <v>0</v>
      </c>
      <c r="AB20" s="42" t="s">
        <v>916</v>
      </c>
      <c r="AC20" s="43" t="s">
        <v>916</v>
      </c>
      <c r="AD20" s="43" t="s">
        <v>916</v>
      </c>
      <c r="AE20" s="33" t="s">
        <v>916</v>
      </c>
      <c r="AF20" s="35" t="s">
        <v>916</v>
      </c>
      <c r="AG20" s="44">
        <v>0</v>
      </c>
      <c r="AH20" s="42" t="s">
        <v>916</v>
      </c>
      <c r="AI20" s="32" t="e">
        <f>VLOOKUP(A20,'4月明細'!B:B,1,0)</f>
        <v>#N/A</v>
      </c>
    </row>
    <row r="21" spans="1:35" ht="19.95" customHeight="1" x14ac:dyDescent="0.3">
      <c r="A21" s="33" t="s">
        <v>1013</v>
      </c>
      <c r="B21" s="34">
        <v>46151.383425925924</v>
      </c>
      <c r="C21" s="34" t="str">
        <f t="shared" si="0"/>
        <v>202605</v>
      </c>
      <c r="D21" s="35" t="s">
        <v>1014</v>
      </c>
      <c r="E21" s="36" t="s">
        <v>942</v>
      </c>
      <c r="F21" s="36" t="s">
        <v>961</v>
      </c>
      <c r="G21" s="37" t="s">
        <v>1015</v>
      </c>
      <c r="H21" s="36" t="s">
        <v>913</v>
      </c>
      <c r="I21" s="35"/>
      <c r="J21" s="36" t="s">
        <v>945</v>
      </c>
      <c r="K21" s="33" t="s">
        <v>915</v>
      </c>
      <c r="L21" s="35" t="s">
        <v>916</v>
      </c>
      <c r="M21" s="36" t="s">
        <v>957</v>
      </c>
      <c r="N21" s="36" t="s">
        <v>916</v>
      </c>
      <c r="O21" s="36" t="s">
        <v>918</v>
      </c>
      <c r="P21" s="38" t="s">
        <v>916</v>
      </c>
      <c r="Q21" s="39" t="s">
        <v>919</v>
      </c>
      <c r="R21" s="35" t="s">
        <v>916</v>
      </c>
      <c r="S21" s="35"/>
      <c r="T21" s="35" t="s">
        <v>916</v>
      </c>
      <c r="U21" s="40">
        <v>46152</v>
      </c>
      <c r="V21" s="41">
        <v>46153.53266203704</v>
      </c>
      <c r="W21" s="40">
        <v>46151</v>
      </c>
      <c r="X21" s="35" t="s">
        <v>916</v>
      </c>
      <c r="Y21" s="35" t="s">
        <v>916</v>
      </c>
      <c r="Z21" s="35" t="s">
        <v>916</v>
      </c>
      <c r="AA21" s="38">
        <v>0</v>
      </c>
      <c r="AB21" s="42" t="s">
        <v>916</v>
      </c>
      <c r="AC21" s="43" t="s">
        <v>916</v>
      </c>
      <c r="AD21" s="43" t="s">
        <v>916</v>
      </c>
      <c r="AE21" s="33" t="s">
        <v>916</v>
      </c>
      <c r="AF21" s="35" t="s">
        <v>916</v>
      </c>
      <c r="AG21" s="44">
        <v>0</v>
      </c>
      <c r="AH21" s="42" t="s">
        <v>916</v>
      </c>
      <c r="AI21" s="32" t="e">
        <f>VLOOKUP(A21,'4月明細'!B:B,1,0)</f>
        <v>#N/A</v>
      </c>
    </row>
    <row r="22" spans="1:35" ht="19.95" customHeight="1" x14ac:dyDescent="0.3">
      <c r="A22" s="33" t="s">
        <v>1016</v>
      </c>
      <c r="B22" s="34">
        <v>46150.817708333336</v>
      </c>
      <c r="C22" s="34" t="str">
        <f t="shared" si="0"/>
        <v>202605</v>
      </c>
      <c r="D22" s="35" t="s">
        <v>996</v>
      </c>
      <c r="E22" s="36" t="s">
        <v>910</v>
      </c>
      <c r="F22" s="36" t="s">
        <v>1017</v>
      </c>
      <c r="G22" s="37" t="s">
        <v>1018</v>
      </c>
      <c r="H22" s="36" t="s">
        <v>954</v>
      </c>
      <c r="I22" s="35" t="s">
        <v>1019</v>
      </c>
      <c r="J22" s="36" t="s">
        <v>929</v>
      </c>
      <c r="K22" s="33" t="s">
        <v>970</v>
      </c>
      <c r="L22" s="35" t="s">
        <v>916</v>
      </c>
      <c r="M22" s="36" t="s">
        <v>916</v>
      </c>
      <c r="N22" s="36" t="s">
        <v>916</v>
      </c>
      <c r="O22" s="36" t="s">
        <v>939</v>
      </c>
      <c r="P22" s="38" t="s">
        <v>916</v>
      </c>
      <c r="Q22" s="36" t="s">
        <v>916</v>
      </c>
      <c r="R22" s="35" t="s">
        <v>916</v>
      </c>
      <c r="S22" s="35"/>
      <c r="T22" s="35" t="s">
        <v>916</v>
      </c>
      <c r="U22" s="40">
        <v>46151</v>
      </c>
      <c r="V22" s="41">
        <v>46153.53266203704</v>
      </c>
      <c r="W22" s="40">
        <v>46150</v>
      </c>
      <c r="X22" s="40">
        <v>46153</v>
      </c>
      <c r="Y22" s="35" t="s">
        <v>916</v>
      </c>
      <c r="Z22" s="35" t="s">
        <v>916</v>
      </c>
      <c r="AA22" s="38">
        <v>0</v>
      </c>
      <c r="AB22" s="42" t="s">
        <v>916</v>
      </c>
      <c r="AC22" s="43" t="s">
        <v>916</v>
      </c>
      <c r="AD22" s="43" t="s">
        <v>916</v>
      </c>
      <c r="AE22" s="33" t="s">
        <v>916</v>
      </c>
      <c r="AF22" s="35" t="s">
        <v>916</v>
      </c>
      <c r="AG22" s="44">
        <v>0</v>
      </c>
      <c r="AH22" s="42" t="s">
        <v>916</v>
      </c>
      <c r="AI22" s="32" t="e">
        <f>VLOOKUP(A22,'4月明細'!B:B,1,0)</f>
        <v>#N/A</v>
      </c>
    </row>
    <row r="23" spans="1:35" ht="19.95" customHeight="1" x14ac:dyDescent="0.3">
      <c r="A23" s="33" t="s">
        <v>1020</v>
      </c>
      <c r="B23" s="34">
        <v>46150.705995370372</v>
      </c>
      <c r="C23" s="34" t="str">
        <f t="shared" si="0"/>
        <v>202605</v>
      </c>
      <c r="D23" s="35" t="s">
        <v>996</v>
      </c>
      <c r="E23" s="36" t="s">
        <v>910</v>
      </c>
      <c r="F23" s="36" t="s">
        <v>1021</v>
      </c>
      <c r="G23" s="37" t="s">
        <v>1022</v>
      </c>
      <c r="H23" s="36" t="s">
        <v>1023</v>
      </c>
      <c r="I23" s="35" t="s">
        <v>1024</v>
      </c>
      <c r="J23" s="36" t="s">
        <v>929</v>
      </c>
      <c r="K23" s="33" t="s">
        <v>1025</v>
      </c>
      <c r="L23" s="35" t="s">
        <v>916</v>
      </c>
      <c r="M23" s="36" t="s">
        <v>957</v>
      </c>
      <c r="N23" s="36" t="s">
        <v>916</v>
      </c>
      <c r="O23" s="36" t="s">
        <v>918</v>
      </c>
      <c r="P23" s="38" t="s">
        <v>916</v>
      </c>
      <c r="Q23" s="39" t="s">
        <v>958</v>
      </c>
      <c r="R23" s="35" t="s">
        <v>916</v>
      </c>
      <c r="S23" s="35"/>
      <c r="T23" s="35" t="s">
        <v>916</v>
      </c>
      <c r="U23" s="40">
        <v>46151</v>
      </c>
      <c r="V23" s="41">
        <v>46153.53266203704</v>
      </c>
      <c r="W23" s="40">
        <v>46150</v>
      </c>
      <c r="X23" s="35" t="s">
        <v>916</v>
      </c>
      <c r="Y23" s="35" t="s">
        <v>916</v>
      </c>
      <c r="Z23" s="35" t="s">
        <v>916</v>
      </c>
      <c r="AA23" s="38">
        <v>0</v>
      </c>
      <c r="AB23" s="42" t="s">
        <v>916</v>
      </c>
      <c r="AC23" s="43" t="s">
        <v>916</v>
      </c>
      <c r="AD23" s="43" t="s">
        <v>916</v>
      </c>
      <c r="AE23" s="33" t="s">
        <v>916</v>
      </c>
      <c r="AF23" s="35" t="s">
        <v>916</v>
      </c>
      <c r="AG23" s="44">
        <v>0</v>
      </c>
      <c r="AH23" s="42" t="s">
        <v>916</v>
      </c>
      <c r="AI23" s="32" t="e">
        <f>VLOOKUP(A23,'4月明細'!B:B,1,0)</f>
        <v>#N/A</v>
      </c>
    </row>
    <row r="24" spans="1:35" ht="19.95" customHeight="1" x14ac:dyDescent="0.3">
      <c r="A24" s="33" t="s">
        <v>1026</v>
      </c>
      <c r="B24" s="34">
        <v>46150.704965277779</v>
      </c>
      <c r="C24" s="34" t="str">
        <f t="shared" si="0"/>
        <v>202605</v>
      </c>
      <c r="D24" s="35" t="s">
        <v>996</v>
      </c>
      <c r="E24" s="36" t="s">
        <v>910</v>
      </c>
      <c r="F24" s="36" t="s">
        <v>1021</v>
      </c>
      <c r="G24" s="37" t="s">
        <v>1027</v>
      </c>
      <c r="H24" s="36" t="s">
        <v>928</v>
      </c>
      <c r="I24" s="35" t="s">
        <v>1028</v>
      </c>
      <c r="J24" s="36" t="s">
        <v>929</v>
      </c>
      <c r="K24" s="33" t="s">
        <v>930</v>
      </c>
      <c r="L24" s="35" t="s">
        <v>916</v>
      </c>
      <c r="M24" s="36" t="s">
        <v>957</v>
      </c>
      <c r="N24" s="36" t="s">
        <v>916</v>
      </c>
      <c r="O24" s="36" t="s">
        <v>918</v>
      </c>
      <c r="P24" s="38" t="s">
        <v>916</v>
      </c>
      <c r="Q24" s="39" t="s">
        <v>958</v>
      </c>
      <c r="R24" s="35" t="s">
        <v>916</v>
      </c>
      <c r="S24" s="35"/>
      <c r="T24" s="35" t="s">
        <v>916</v>
      </c>
      <c r="U24" s="40">
        <v>46151</v>
      </c>
      <c r="V24" s="41">
        <v>46153.53266203704</v>
      </c>
      <c r="W24" s="40">
        <v>46150</v>
      </c>
      <c r="X24" s="35" t="s">
        <v>916</v>
      </c>
      <c r="Y24" s="35" t="s">
        <v>916</v>
      </c>
      <c r="Z24" s="35" t="s">
        <v>916</v>
      </c>
      <c r="AA24" s="38">
        <v>0</v>
      </c>
      <c r="AB24" s="42" t="s">
        <v>916</v>
      </c>
      <c r="AC24" s="43" t="s">
        <v>916</v>
      </c>
      <c r="AD24" s="43" t="s">
        <v>916</v>
      </c>
      <c r="AE24" s="33" t="s">
        <v>916</v>
      </c>
      <c r="AF24" s="35" t="s">
        <v>916</v>
      </c>
      <c r="AG24" s="44">
        <v>0</v>
      </c>
      <c r="AH24" s="42" t="s">
        <v>916</v>
      </c>
      <c r="AI24" s="32" t="e">
        <f>VLOOKUP(A24,'4月明細'!B:B,1,0)</f>
        <v>#N/A</v>
      </c>
    </row>
    <row r="25" spans="1:35" ht="19.95" customHeight="1" x14ac:dyDescent="0.3">
      <c r="A25" s="33" t="s">
        <v>1029</v>
      </c>
      <c r="B25" s="34">
        <v>46150.695532407408</v>
      </c>
      <c r="C25" s="34" t="str">
        <f t="shared" si="0"/>
        <v>202605</v>
      </c>
      <c r="D25" s="35" t="s">
        <v>996</v>
      </c>
      <c r="E25" s="36" t="s">
        <v>910</v>
      </c>
      <c r="F25" s="36" t="s">
        <v>1021</v>
      </c>
      <c r="G25" s="37" t="s">
        <v>1030</v>
      </c>
      <c r="H25" s="36" t="s">
        <v>928</v>
      </c>
      <c r="I25" s="35" t="s">
        <v>1028</v>
      </c>
      <c r="J25" s="36" t="s">
        <v>929</v>
      </c>
      <c r="K25" s="33" t="s">
        <v>930</v>
      </c>
      <c r="L25" s="35" t="s">
        <v>916</v>
      </c>
      <c r="M25" s="36" t="s">
        <v>957</v>
      </c>
      <c r="N25" s="36" t="s">
        <v>916</v>
      </c>
      <c r="O25" s="36" t="s">
        <v>918</v>
      </c>
      <c r="P25" s="38" t="s">
        <v>916</v>
      </c>
      <c r="Q25" s="39" t="s">
        <v>994</v>
      </c>
      <c r="R25" s="35" t="s">
        <v>916</v>
      </c>
      <c r="S25" s="35"/>
      <c r="T25" s="35" t="s">
        <v>916</v>
      </c>
      <c r="U25" s="40">
        <v>46151</v>
      </c>
      <c r="V25" s="41">
        <v>46153.53266203704</v>
      </c>
      <c r="W25" s="40">
        <v>46150</v>
      </c>
      <c r="X25" s="35" t="s">
        <v>916</v>
      </c>
      <c r="Y25" s="35" t="s">
        <v>916</v>
      </c>
      <c r="Z25" s="35" t="s">
        <v>916</v>
      </c>
      <c r="AA25" s="38">
        <v>0</v>
      </c>
      <c r="AB25" s="42" t="s">
        <v>916</v>
      </c>
      <c r="AC25" s="43" t="s">
        <v>916</v>
      </c>
      <c r="AD25" s="43" t="s">
        <v>916</v>
      </c>
      <c r="AE25" s="33" t="s">
        <v>916</v>
      </c>
      <c r="AF25" s="35" t="s">
        <v>916</v>
      </c>
      <c r="AG25" s="44">
        <v>0</v>
      </c>
      <c r="AH25" s="42" t="s">
        <v>916</v>
      </c>
      <c r="AI25" s="32" t="e">
        <f>VLOOKUP(A25,'4月明細'!B:B,1,0)</f>
        <v>#N/A</v>
      </c>
    </row>
    <row r="26" spans="1:35" ht="19.95" customHeight="1" x14ac:dyDescent="0.3">
      <c r="A26" s="33" t="s">
        <v>1031</v>
      </c>
      <c r="B26" s="34">
        <v>46150.617268518516</v>
      </c>
      <c r="C26" s="34" t="str">
        <f t="shared" si="0"/>
        <v>202605</v>
      </c>
      <c r="D26" s="35" t="s">
        <v>996</v>
      </c>
      <c r="E26" s="36" t="s">
        <v>910</v>
      </c>
      <c r="F26" s="36" t="s">
        <v>1032</v>
      </c>
      <c r="G26" s="37" t="s">
        <v>1033</v>
      </c>
      <c r="H26" s="36" t="s">
        <v>1023</v>
      </c>
      <c r="I26" s="35" t="s">
        <v>1034</v>
      </c>
      <c r="J26" s="36" t="s">
        <v>929</v>
      </c>
      <c r="K26" s="33" t="s">
        <v>1025</v>
      </c>
      <c r="L26" s="35" t="s">
        <v>916</v>
      </c>
      <c r="M26" s="36" t="s">
        <v>916</v>
      </c>
      <c r="N26" s="36" t="s">
        <v>916</v>
      </c>
      <c r="O26" s="36" t="s">
        <v>939</v>
      </c>
      <c r="P26" s="38" t="s">
        <v>916</v>
      </c>
      <c r="Q26" s="36" t="s">
        <v>916</v>
      </c>
      <c r="R26" s="35" t="s">
        <v>916</v>
      </c>
      <c r="S26" s="35"/>
      <c r="T26" s="35" t="s">
        <v>916</v>
      </c>
      <c r="U26" s="40">
        <v>46151</v>
      </c>
      <c r="V26" s="41">
        <v>46153.53266203704</v>
      </c>
      <c r="W26" s="40">
        <v>46150</v>
      </c>
      <c r="X26" s="40">
        <v>46153</v>
      </c>
      <c r="Y26" s="35" t="s">
        <v>916</v>
      </c>
      <c r="Z26" s="35" t="s">
        <v>916</v>
      </c>
      <c r="AA26" s="38">
        <v>0</v>
      </c>
      <c r="AB26" s="42" t="s">
        <v>916</v>
      </c>
      <c r="AC26" s="43" t="s">
        <v>916</v>
      </c>
      <c r="AD26" s="43" t="s">
        <v>916</v>
      </c>
      <c r="AE26" s="33" t="s">
        <v>916</v>
      </c>
      <c r="AF26" s="35" t="s">
        <v>916</v>
      </c>
      <c r="AG26" s="44">
        <v>0</v>
      </c>
      <c r="AH26" s="42" t="s">
        <v>916</v>
      </c>
      <c r="AI26" s="32" t="e">
        <f>VLOOKUP(A26,'4月明細'!B:B,1,0)</f>
        <v>#N/A</v>
      </c>
    </row>
    <row r="27" spans="1:35" ht="19.95" customHeight="1" x14ac:dyDescent="0.3">
      <c r="A27" s="33" t="s">
        <v>1035</v>
      </c>
      <c r="B27" s="34">
        <v>46150.555879629632</v>
      </c>
      <c r="C27" s="34" t="str">
        <f t="shared" si="0"/>
        <v>202605</v>
      </c>
      <c r="D27" s="35" t="s">
        <v>960</v>
      </c>
      <c r="E27" s="36" t="s">
        <v>942</v>
      </c>
      <c r="F27" s="36" t="s">
        <v>911</v>
      </c>
      <c r="G27" s="37" t="s">
        <v>1036</v>
      </c>
      <c r="H27" s="36" t="s">
        <v>913</v>
      </c>
      <c r="I27" s="35"/>
      <c r="J27" s="36" t="s">
        <v>929</v>
      </c>
      <c r="K27" s="33" t="s">
        <v>1037</v>
      </c>
      <c r="L27" s="35" t="s">
        <v>916</v>
      </c>
      <c r="M27" s="36" t="s">
        <v>916</v>
      </c>
      <c r="N27" s="36" t="s">
        <v>916</v>
      </c>
      <c r="O27" s="36" t="s">
        <v>939</v>
      </c>
      <c r="P27" s="38" t="s">
        <v>916</v>
      </c>
      <c r="Q27" s="36" t="s">
        <v>916</v>
      </c>
      <c r="R27" s="35" t="s">
        <v>916</v>
      </c>
      <c r="S27" s="35"/>
      <c r="T27" s="35" t="s">
        <v>916</v>
      </c>
      <c r="U27" s="40">
        <v>46151</v>
      </c>
      <c r="V27" s="41">
        <v>46153.53266203704</v>
      </c>
      <c r="W27" s="40">
        <v>46150</v>
      </c>
      <c r="X27" s="40">
        <v>46153</v>
      </c>
      <c r="Y27" s="35" t="s">
        <v>916</v>
      </c>
      <c r="Z27" s="35" t="s">
        <v>916</v>
      </c>
      <c r="AA27" s="38">
        <v>0</v>
      </c>
      <c r="AB27" s="42" t="s">
        <v>916</v>
      </c>
      <c r="AC27" s="43" t="s">
        <v>916</v>
      </c>
      <c r="AD27" s="43" t="s">
        <v>916</v>
      </c>
      <c r="AE27" s="33" t="s">
        <v>916</v>
      </c>
      <c r="AF27" s="35" t="s">
        <v>916</v>
      </c>
      <c r="AG27" s="44">
        <v>0</v>
      </c>
      <c r="AH27" s="42" t="s">
        <v>916</v>
      </c>
      <c r="AI27" s="32" t="e">
        <f>VLOOKUP(A27,'4月明細'!B:B,1,0)</f>
        <v>#N/A</v>
      </c>
    </row>
    <row r="28" spans="1:35" ht="19.95" customHeight="1" x14ac:dyDescent="0.3">
      <c r="A28" s="33" t="s">
        <v>1038</v>
      </c>
      <c r="B28" s="34">
        <v>46150.542997685188</v>
      </c>
      <c r="C28" s="34" t="str">
        <f t="shared" si="0"/>
        <v>202605</v>
      </c>
      <c r="D28" s="35" t="s">
        <v>996</v>
      </c>
      <c r="E28" s="36" t="s">
        <v>910</v>
      </c>
      <c r="F28" s="36" t="s">
        <v>1017</v>
      </c>
      <c r="G28" s="37" t="s">
        <v>1018</v>
      </c>
      <c r="H28" s="36" t="s">
        <v>954</v>
      </c>
      <c r="I28" s="35" t="s">
        <v>1019</v>
      </c>
      <c r="J28" s="36" t="s">
        <v>929</v>
      </c>
      <c r="K28" s="33" t="s">
        <v>970</v>
      </c>
      <c r="L28" s="35" t="s">
        <v>916</v>
      </c>
      <c r="M28" s="36" t="s">
        <v>1039</v>
      </c>
      <c r="N28" s="36" t="s">
        <v>916</v>
      </c>
      <c r="O28" s="36" t="s">
        <v>918</v>
      </c>
      <c r="P28" s="38" t="s">
        <v>916</v>
      </c>
      <c r="Q28" s="36" t="s">
        <v>916</v>
      </c>
      <c r="R28" s="35" t="s">
        <v>916</v>
      </c>
      <c r="S28" s="35"/>
      <c r="T28" s="35" t="s">
        <v>916</v>
      </c>
      <c r="U28" s="40">
        <v>46151</v>
      </c>
      <c r="V28" s="41">
        <v>46153.53266203704</v>
      </c>
      <c r="W28" s="40">
        <v>46150</v>
      </c>
      <c r="X28" s="35" t="s">
        <v>916</v>
      </c>
      <c r="Y28" s="35" t="s">
        <v>916</v>
      </c>
      <c r="Z28" s="35" t="s">
        <v>916</v>
      </c>
      <c r="AA28" s="38">
        <v>0</v>
      </c>
      <c r="AB28" s="42" t="s">
        <v>916</v>
      </c>
      <c r="AC28" s="43" t="s">
        <v>916</v>
      </c>
      <c r="AD28" s="43" t="s">
        <v>916</v>
      </c>
      <c r="AE28" s="33" t="s">
        <v>916</v>
      </c>
      <c r="AF28" s="35" t="s">
        <v>916</v>
      </c>
      <c r="AG28" s="44">
        <v>0</v>
      </c>
      <c r="AH28" s="42" t="s">
        <v>916</v>
      </c>
      <c r="AI28" s="32" t="e">
        <f>VLOOKUP(A28,'4月明細'!B:B,1,0)</f>
        <v>#N/A</v>
      </c>
    </row>
    <row r="29" spans="1:35" ht="19.95" customHeight="1" x14ac:dyDescent="0.3">
      <c r="A29" s="33" t="s">
        <v>1040</v>
      </c>
      <c r="B29" s="34">
        <v>46150.536620370367</v>
      </c>
      <c r="C29" s="34" t="str">
        <f t="shared" si="0"/>
        <v>202605</v>
      </c>
      <c r="D29" s="35" t="s">
        <v>996</v>
      </c>
      <c r="E29" s="36" t="s">
        <v>910</v>
      </c>
      <c r="F29" s="36" t="s">
        <v>1017</v>
      </c>
      <c r="G29" s="37" t="s">
        <v>1041</v>
      </c>
      <c r="H29" s="36" t="s">
        <v>954</v>
      </c>
      <c r="I29" s="35" t="s">
        <v>1042</v>
      </c>
      <c r="J29" s="36" t="s">
        <v>929</v>
      </c>
      <c r="K29" s="33" t="s">
        <v>1043</v>
      </c>
      <c r="L29" s="35" t="s">
        <v>916</v>
      </c>
      <c r="M29" s="36" t="s">
        <v>957</v>
      </c>
      <c r="N29" s="36" t="s">
        <v>916</v>
      </c>
      <c r="O29" s="36" t="s">
        <v>918</v>
      </c>
      <c r="P29" s="38" t="s">
        <v>916</v>
      </c>
      <c r="Q29" s="39" t="s">
        <v>958</v>
      </c>
      <c r="R29" s="35" t="s">
        <v>916</v>
      </c>
      <c r="S29" s="35"/>
      <c r="T29" s="35" t="s">
        <v>916</v>
      </c>
      <c r="U29" s="40">
        <v>46151</v>
      </c>
      <c r="V29" s="41">
        <v>46153.53266203704</v>
      </c>
      <c r="W29" s="40">
        <v>46150</v>
      </c>
      <c r="X29" s="35" t="s">
        <v>916</v>
      </c>
      <c r="Y29" s="35" t="s">
        <v>916</v>
      </c>
      <c r="Z29" s="35" t="s">
        <v>916</v>
      </c>
      <c r="AA29" s="38">
        <v>0</v>
      </c>
      <c r="AB29" s="42" t="s">
        <v>916</v>
      </c>
      <c r="AC29" s="43" t="s">
        <v>916</v>
      </c>
      <c r="AD29" s="43" t="s">
        <v>916</v>
      </c>
      <c r="AE29" s="33" t="s">
        <v>916</v>
      </c>
      <c r="AF29" s="35" t="s">
        <v>916</v>
      </c>
      <c r="AG29" s="44">
        <v>0</v>
      </c>
      <c r="AH29" s="42" t="s">
        <v>916</v>
      </c>
      <c r="AI29" s="32" t="e">
        <f>VLOOKUP(A29,'4月明細'!B:B,1,0)</f>
        <v>#N/A</v>
      </c>
    </row>
    <row r="30" spans="1:35" ht="19.95" customHeight="1" x14ac:dyDescent="0.3">
      <c r="A30" s="33" t="s">
        <v>1044</v>
      </c>
      <c r="B30" s="34">
        <v>46150.516238425924</v>
      </c>
      <c r="C30" s="34" t="str">
        <f t="shared" si="0"/>
        <v>202605</v>
      </c>
      <c r="D30" s="35" t="s">
        <v>996</v>
      </c>
      <c r="E30" s="36" t="s">
        <v>910</v>
      </c>
      <c r="F30" s="36" t="s">
        <v>1045</v>
      </c>
      <c r="G30" s="37" t="s">
        <v>1046</v>
      </c>
      <c r="H30" s="36" t="s">
        <v>1047</v>
      </c>
      <c r="I30" s="35"/>
      <c r="J30" s="36" t="s">
        <v>929</v>
      </c>
      <c r="K30" s="33" t="s">
        <v>1048</v>
      </c>
      <c r="L30" s="35" t="s">
        <v>916</v>
      </c>
      <c r="M30" s="36" t="s">
        <v>916</v>
      </c>
      <c r="N30" s="36" t="s">
        <v>916</v>
      </c>
      <c r="O30" s="36" t="s">
        <v>939</v>
      </c>
      <c r="P30" s="38" t="s">
        <v>916</v>
      </c>
      <c r="Q30" s="36" t="s">
        <v>916</v>
      </c>
      <c r="R30" s="35" t="s">
        <v>916</v>
      </c>
      <c r="S30" s="35"/>
      <c r="T30" s="35" t="s">
        <v>916</v>
      </c>
      <c r="U30" s="40">
        <v>46151</v>
      </c>
      <c r="V30" s="41">
        <v>46153.53266203704</v>
      </c>
      <c r="W30" s="40">
        <v>46150</v>
      </c>
      <c r="X30" s="40">
        <v>46153</v>
      </c>
      <c r="Y30" s="35" t="s">
        <v>916</v>
      </c>
      <c r="Z30" s="35" t="s">
        <v>916</v>
      </c>
      <c r="AA30" s="38">
        <v>0</v>
      </c>
      <c r="AB30" s="42" t="s">
        <v>916</v>
      </c>
      <c r="AC30" s="43" t="s">
        <v>916</v>
      </c>
      <c r="AD30" s="43" t="s">
        <v>916</v>
      </c>
      <c r="AE30" s="33" t="s">
        <v>916</v>
      </c>
      <c r="AF30" s="35" t="s">
        <v>916</v>
      </c>
      <c r="AG30" s="44">
        <v>0</v>
      </c>
      <c r="AH30" s="42" t="s">
        <v>916</v>
      </c>
      <c r="AI30" s="32" t="e">
        <f>VLOOKUP(A30,'4月明細'!B:B,1,0)</f>
        <v>#N/A</v>
      </c>
    </row>
    <row r="31" spans="1:35" ht="19.95" customHeight="1" x14ac:dyDescent="0.3">
      <c r="A31" s="33" t="s">
        <v>1049</v>
      </c>
      <c r="B31" s="34">
        <v>46150.500069444446</v>
      </c>
      <c r="C31" s="34" t="str">
        <f t="shared" si="0"/>
        <v>202605</v>
      </c>
      <c r="D31" s="35" t="s">
        <v>996</v>
      </c>
      <c r="E31" s="36" t="s">
        <v>910</v>
      </c>
      <c r="F31" s="36" t="s">
        <v>1050</v>
      </c>
      <c r="G31" s="37" t="s">
        <v>1051</v>
      </c>
      <c r="H31" s="36" t="s">
        <v>1047</v>
      </c>
      <c r="I31" s="35"/>
      <c r="J31" s="36" t="s">
        <v>929</v>
      </c>
      <c r="K31" s="33" t="s">
        <v>1048</v>
      </c>
      <c r="L31" s="35" t="s">
        <v>916</v>
      </c>
      <c r="M31" s="36" t="s">
        <v>916</v>
      </c>
      <c r="N31" s="36" t="s">
        <v>916</v>
      </c>
      <c r="O31" s="36" t="s">
        <v>939</v>
      </c>
      <c r="P31" s="38" t="s">
        <v>916</v>
      </c>
      <c r="Q31" s="36" t="s">
        <v>916</v>
      </c>
      <c r="R31" s="35" t="s">
        <v>916</v>
      </c>
      <c r="S31" s="35"/>
      <c r="T31" s="35" t="s">
        <v>916</v>
      </c>
      <c r="U31" s="40">
        <v>46151</v>
      </c>
      <c r="V31" s="41">
        <v>46153.53266203704</v>
      </c>
      <c r="W31" s="40">
        <v>46150</v>
      </c>
      <c r="X31" s="40">
        <v>46153</v>
      </c>
      <c r="Y31" s="35" t="s">
        <v>916</v>
      </c>
      <c r="Z31" s="35" t="s">
        <v>916</v>
      </c>
      <c r="AA31" s="38">
        <v>0</v>
      </c>
      <c r="AB31" s="42" t="s">
        <v>916</v>
      </c>
      <c r="AC31" s="43" t="s">
        <v>916</v>
      </c>
      <c r="AD31" s="43" t="s">
        <v>916</v>
      </c>
      <c r="AE31" s="33" t="s">
        <v>916</v>
      </c>
      <c r="AF31" s="35" t="s">
        <v>916</v>
      </c>
      <c r="AG31" s="44">
        <v>0</v>
      </c>
      <c r="AH31" s="42" t="s">
        <v>916</v>
      </c>
      <c r="AI31" s="32" t="e">
        <f>VLOOKUP(A31,'4月明細'!B:B,1,0)</f>
        <v>#N/A</v>
      </c>
    </row>
    <row r="32" spans="1:35" ht="19.95" customHeight="1" x14ac:dyDescent="0.3">
      <c r="A32" s="33" t="s">
        <v>1052</v>
      </c>
      <c r="B32" s="34">
        <v>46150.469861111109</v>
      </c>
      <c r="C32" s="34" t="str">
        <f t="shared" si="0"/>
        <v>202605</v>
      </c>
      <c r="D32" s="35" t="s">
        <v>960</v>
      </c>
      <c r="E32" s="36" t="s">
        <v>942</v>
      </c>
      <c r="F32" s="36" t="s">
        <v>1045</v>
      </c>
      <c r="G32" s="37" t="s">
        <v>1053</v>
      </c>
      <c r="H32" s="36" t="s">
        <v>1047</v>
      </c>
      <c r="I32" s="35"/>
      <c r="J32" s="36" t="s">
        <v>929</v>
      </c>
      <c r="K32" s="33" t="s">
        <v>1048</v>
      </c>
      <c r="L32" s="35" t="s">
        <v>916</v>
      </c>
      <c r="M32" s="36" t="s">
        <v>916</v>
      </c>
      <c r="N32" s="36" t="s">
        <v>916</v>
      </c>
      <c r="O32" s="36" t="s">
        <v>939</v>
      </c>
      <c r="P32" s="38" t="s">
        <v>916</v>
      </c>
      <c r="Q32" s="36" t="s">
        <v>916</v>
      </c>
      <c r="R32" s="35" t="s">
        <v>916</v>
      </c>
      <c r="S32" s="35"/>
      <c r="T32" s="35" t="s">
        <v>916</v>
      </c>
      <c r="U32" s="40">
        <v>46151</v>
      </c>
      <c r="V32" s="41">
        <v>46153.53266203704</v>
      </c>
      <c r="W32" s="40">
        <v>46150</v>
      </c>
      <c r="X32" s="40">
        <v>46153</v>
      </c>
      <c r="Y32" s="35" t="s">
        <v>916</v>
      </c>
      <c r="Z32" s="35" t="s">
        <v>916</v>
      </c>
      <c r="AA32" s="38">
        <v>0</v>
      </c>
      <c r="AB32" s="42" t="s">
        <v>916</v>
      </c>
      <c r="AC32" s="43" t="s">
        <v>916</v>
      </c>
      <c r="AD32" s="43" t="s">
        <v>916</v>
      </c>
      <c r="AE32" s="33" t="s">
        <v>916</v>
      </c>
      <c r="AF32" s="35" t="s">
        <v>916</v>
      </c>
      <c r="AG32" s="44">
        <v>0</v>
      </c>
      <c r="AH32" s="42" t="s">
        <v>916</v>
      </c>
      <c r="AI32" s="32" t="e">
        <f>VLOOKUP(A32,'4月明細'!B:B,1,0)</f>
        <v>#N/A</v>
      </c>
    </row>
    <row r="33" spans="1:35" ht="19.95" customHeight="1" x14ac:dyDescent="0.3">
      <c r="A33" s="33" t="s">
        <v>1054</v>
      </c>
      <c r="B33" s="34">
        <v>46150.439618055556</v>
      </c>
      <c r="C33" s="34" t="str">
        <f t="shared" si="0"/>
        <v>202605</v>
      </c>
      <c r="D33" s="35" t="s">
        <v>996</v>
      </c>
      <c r="E33" s="36" t="s">
        <v>910</v>
      </c>
      <c r="F33" s="36" t="s">
        <v>1055</v>
      </c>
      <c r="G33" s="37" t="s">
        <v>1056</v>
      </c>
      <c r="H33" s="36" t="s">
        <v>928</v>
      </c>
      <c r="I33" s="35" t="s">
        <v>1057</v>
      </c>
      <c r="J33" s="36" t="s">
        <v>1058</v>
      </c>
      <c r="K33" s="33" t="s">
        <v>930</v>
      </c>
      <c r="L33" s="35" t="s">
        <v>916</v>
      </c>
      <c r="M33" s="36" t="s">
        <v>1039</v>
      </c>
      <c r="N33" s="36" t="s">
        <v>916</v>
      </c>
      <c r="O33" s="36" t="s">
        <v>918</v>
      </c>
      <c r="P33" s="38" t="s">
        <v>916</v>
      </c>
      <c r="Q33" s="36" t="s">
        <v>916</v>
      </c>
      <c r="R33" s="35" t="s">
        <v>916</v>
      </c>
      <c r="S33" s="35"/>
      <c r="T33" s="35" t="s">
        <v>916</v>
      </c>
      <c r="U33" s="40">
        <v>46151</v>
      </c>
      <c r="V33" s="41">
        <v>46153.53266203704</v>
      </c>
      <c r="W33" s="40">
        <v>46150</v>
      </c>
      <c r="X33" s="35" t="s">
        <v>916</v>
      </c>
      <c r="Y33" s="35" t="s">
        <v>916</v>
      </c>
      <c r="Z33" s="35" t="s">
        <v>916</v>
      </c>
      <c r="AA33" s="38">
        <v>0</v>
      </c>
      <c r="AB33" s="42" t="s">
        <v>916</v>
      </c>
      <c r="AC33" s="43" t="s">
        <v>916</v>
      </c>
      <c r="AD33" s="43" t="s">
        <v>916</v>
      </c>
      <c r="AE33" s="33" t="s">
        <v>916</v>
      </c>
      <c r="AF33" s="35" t="s">
        <v>916</v>
      </c>
      <c r="AG33" s="44">
        <v>0</v>
      </c>
      <c r="AH33" s="42" t="s">
        <v>916</v>
      </c>
      <c r="AI33" s="32" t="e">
        <f>VLOOKUP(A33,'4月明細'!B:B,1,0)</f>
        <v>#N/A</v>
      </c>
    </row>
    <row r="34" spans="1:35" ht="19.95" customHeight="1" x14ac:dyDescent="0.3">
      <c r="A34" s="33" t="s">
        <v>1059</v>
      </c>
      <c r="B34" s="34">
        <v>46148.735555555555</v>
      </c>
      <c r="C34" s="34" t="str">
        <f t="shared" si="0"/>
        <v>202605</v>
      </c>
      <c r="D34" s="35" t="s">
        <v>986</v>
      </c>
      <c r="E34" s="36" t="s">
        <v>910</v>
      </c>
      <c r="F34" s="36" t="s">
        <v>1060</v>
      </c>
      <c r="G34" s="37" t="s">
        <v>1061</v>
      </c>
      <c r="H34" s="36" t="s">
        <v>954</v>
      </c>
      <c r="I34" s="35" t="s">
        <v>1062</v>
      </c>
      <c r="J34" s="36" t="s">
        <v>929</v>
      </c>
      <c r="K34" s="33" t="s">
        <v>970</v>
      </c>
      <c r="L34" s="35" t="s">
        <v>916</v>
      </c>
      <c r="M34" s="36" t="s">
        <v>923</v>
      </c>
      <c r="N34" s="36" t="s">
        <v>916</v>
      </c>
      <c r="O34" s="36" t="s">
        <v>918</v>
      </c>
      <c r="P34" s="38" t="s">
        <v>916</v>
      </c>
      <c r="Q34" s="39" t="s">
        <v>958</v>
      </c>
      <c r="R34" s="35" t="s">
        <v>916</v>
      </c>
      <c r="S34" s="35"/>
      <c r="T34" s="35" t="s">
        <v>916</v>
      </c>
      <c r="U34" s="40">
        <v>46149</v>
      </c>
      <c r="V34" s="41">
        <v>46153.53266203704</v>
      </c>
      <c r="W34" s="40">
        <v>46148</v>
      </c>
      <c r="X34" s="35" t="s">
        <v>916</v>
      </c>
      <c r="Y34" s="35" t="s">
        <v>916</v>
      </c>
      <c r="Z34" s="35" t="s">
        <v>916</v>
      </c>
      <c r="AA34" s="38">
        <v>0</v>
      </c>
      <c r="AB34" s="42" t="s">
        <v>916</v>
      </c>
      <c r="AC34" s="43" t="s">
        <v>916</v>
      </c>
      <c r="AD34" s="43" t="s">
        <v>916</v>
      </c>
      <c r="AE34" s="33" t="s">
        <v>916</v>
      </c>
      <c r="AF34" s="35" t="s">
        <v>916</v>
      </c>
      <c r="AG34" s="44">
        <v>0</v>
      </c>
      <c r="AH34" s="42" t="s">
        <v>916</v>
      </c>
      <c r="AI34" s="32" t="e">
        <f>VLOOKUP(A34,'4月明細'!B:B,1,0)</f>
        <v>#N/A</v>
      </c>
    </row>
    <row r="35" spans="1:35" ht="19.95" customHeight="1" x14ac:dyDescent="0.3">
      <c r="A35" s="33" t="s">
        <v>1063</v>
      </c>
      <c r="B35" s="34">
        <v>46148.708090277774</v>
      </c>
      <c r="C35" s="34" t="str">
        <f t="shared" si="0"/>
        <v>202605</v>
      </c>
      <c r="D35" s="35" t="s">
        <v>996</v>
      </c>
      <c r="E35" s="36" t="s">
        <v>910</v>
      </c>
      <c r="F35" s="36" t="s">
        <v>1064</v>
      </c>
      <c r="G35" s="37" t="s">
        <v>1065</v>
      </c>
      <c r="H35" s="36" t="s">
        <v>954</v>
      </c>
      <c r="I35" s="35" t="s">
        <v>1066</v>
      </c>
      <c r="J35" s="36" t="s">
        <v>929</v>
      </c>
      <c r="K35" s="33" t="s">
        <v>970</v>
      </c>
      <c r="L35" s="35" t="s">
        <v>916</v>
      </c>
      <c r="M35" s="36" t="s">
        <v>923</v>
      </c>
      <c r="N35" s="36" t="s">
        <v>916</v>
      </c>
      <c r="O35" s="36" t="s">
        <v>918</v>
      </c>
      <c r="P35" s="38" t="s">
        <v>916</v>
      </c>
      <c r="Q35" s="39" t="s">
        <v>958</v>
      </c>
      <c r="R35" s="35" t="s">
        <v>916</v>
      </c>
      <c r="S35" s="35"/>
      <c r="T35" s="35" t="s">
        <v>916</v>
      </c>
      <c r="U35" s="40">
        <v>46149</v>
      </c>
      <c r="V35" s="41">
        <v>46153.53266203704</v>
      </c>
      <c r="W35" s="40">
        <v>46148</v>
      </c>
      <c r="X35" s="35" t="s">
        <v>916</v>
      </c>
      <c r="Y35" s="35" t="s">
        <v>916</v>
      </c>
      <c r="Z35" s="35" t="s">
        <v>916</v>
      </c>
      <c r="AA35" s="38">
        <v>0</v>
      </c>
      <c r="AB35" s="42" t="s">
        <v>916</v>
      </c>
      <c r="AC35" s="43" t="s">
        <v>916</v>
      </c>
      <c r="AD35" s="43" t="s">
        <v>916</v>
      </c>
      <c r="AE35" s="33" t="s">
        <v>916</v>
      </c>
      <c r="AF35" s="35" t="s">
        <v>916</v>
      </c>
      <c r="AG35" s="44">
        <v>0</v>
      </c>
      <c r="AH35" s="42" t="s">
        <v>916</v>
      </c>
      <c r="AI35" s="32" t="e">
        <f>VLOOKUP(A35,'4月明細'!B:B,1,0)</f>
        <v>#N/A</v>
      </c>
    </row>
    <row r="36" spans="1:35" ht="19.95" customHeight="1" x14ac:dyDescent="0.3">
      <c r="A36" s="33" t="s">
        <v>1067</v>
      </c>
      <c r="B36" s="34">
        <v>46148.696585648147</v>
      </c>
      <c r="C36" s="34" t="str">
        <f t="shared" si="0"/>
        <v>202605</v>
      </c>
      <c r="D36" s="35" t="s">
        <v>996</v>
      </c>
      <c r="E36" s="36" t="s">
        <v>910</v>
      </c>
      <c r="F36" s="36" t="s">
        <v>1068</v>
      </c>
      <c r="G36" s="37" t="s">
        <v>1069</v>
      </c>
      <c r="H36" s="36" t="s">
        <v>1023</v>
      </c>
      <c r="I36" s="35" t="s">
        <v>1070</v>
      </c>
      <c r="J36" s="36" t="s">
        <v>929</v>
      </c>
      <c r="K36" s="33" t="s">
        <v>1025</v>
      </c>
      <c r="L36" s="35" t="s">
        <v>916</v>
      </c>
      <c r="M36" s="36" t="s">
        <v>923</v>
      </c>
      <c r="N36" s="36" t="s">
        <v>916</v>
      </c>
      <c r="O36" s="36" t="s">
        <v>918</v>
      </c>
      <c r="P36" s="38" t="s">
        <v>916</v>
      </c>
      <c r="Q36" s="39" t="s">
        <v>1071</v>
      </c>
      <c r="R36" s="35" t="s">
        <v>916</v>
      </c>
      <c r="S36" s="35"/>
      <c r="T36" s="35" t="s">
        <v>916</v>
      </c>
      <c r="U36" s="40">
        <v>46149</v>
      </c>
      <c r="V36" s="41">
        <v>46153.53266203704</v>
      </c>
      <c r="W36" s="40">
        <v>46148</v>
      </c>
      <c r="X36" s="35" t="s">
        <v>916</v>
      </c>
      <c r="Y36" s="35" t="s">
        <v>916</v>
      </c>
      <c r="Z36" s="35" t="s">
        <v>916</v>
      </c>
      <c r="AA36" s="38">
        <v>0</v>
      </c>
      <c r="AB36" s="42" t="s">
        <v>916</v>
      </c>
      <c r="AC36" s="43" t="s">
        <v>916</v>
      </c>
      <c r="AD36" s="43" t="s">
        <v>916</v>
      </c>
      <c r="AE36" s="33" t="s">
        <v>916</v>
      </c>
      <c r="AF36" s="35" t="s">
        <v>916</v>
      </c>
      <c r="AG36" s="44">
        <v>0</v>
      </c>
      <c r="AH36" s="42" t="s">
        <v>916</v>
      </c>
      <c r="AI36" s="32" t="e">
        <f>VLOOKUP(A36,'4月明細'!B:B,1,0)</f>
        <v>#N/A</v>
      </c>
    </row>
    <row r="37" spans="1:35" ht="19.95" customHeight="1" x14ac:dyDescent="0.3">
      <c r="A37" s="33" t="s">
        <v>1072</v>
      </c>
      <c r="B37" s="34">
        <v>46148.686759259261</v>
      </c>
      <c r="C37" s="34" t="str">
        <f t="shared" si="0"/>
        <v>202605</v>
      </c>
      <c r="D37" s="35" t="s">
        <v>996</v>
      </c>
      <c r="E37" s="36" t="s">
        <v>910</v>
      </c>
      <c r="F37" s="36" t="s">
        <v>1068</v>
      </c>
      <c r="G37" s="37" t="s">
        <v>1073</v>
      </c>
      <c r="H37" s="36" t="s">
        <v>954</v>
      </c>
      <c r="I37" s="35" t="s">
        <v>1074</v>
      </c>
      <c r="J37" s="36" t="s">
        <v>929</v>
      </c>
      <c r="K37" s="33" t="s">
        <v>970</v>
      </c>
      <c r="L37" s="35" t="s">
        <v>916</v>
      </c>
      <c r="M37" s="36" t="s">
        <v>916</v>
      </c>
      <c r="N37" s="36" t="s">
        <v>916</v>
      </c>
      <c r="O37" s="36" t="s">
        <v>939</v>
      </c>
      <c r="P37" s="38" t="s">
        <v>916</v>
      </c>
      <c r="Q37" s="36" t="s">
        <v>916</v>
      </c>
      <c r="R37" s="35" t="s">
        <v>916</v>
      </c>
      <c r="S37" s="35"/>
      <c r="T37" s="35" t="s">
        <v>916</v>
      </c>
      <c r="U37" s="40">
        <v>46149</v>
      </c>
      <c r="V37" s="41">
        <v>46153.53266203704</v>
      </c>
      <c r="W37" s="40">
        <v>46148</v>
      </c>
      <c r="X37" s="40">
        <v>46153</v>
      </c>
      <c r="Y37" s="35" t="s">
        <v>916</v>
      </c>
      <c r="Z37" s="35" t="s">
        <v>916</v>
      </c>
      <c r="AA37" s="38">
        <v>0</v>
      </c>
      <c r="AB37" s="42" t="s">
        <v>916</v>
      </c>
      <c r="AC37" s="43" t="s">
        <v>916</v>
      </c>
      <c r="AD37" s="43" t="s">
        <v>916</v>
      </c>
      <c r="AE37" s="33" t="s">
        <v>916</v>
      </c>
      <c r="AF37" s="35" t="s">
        <v>916</v>
      </c>
      <c r="AG37" s="44">
        <v>0</v>
      </c>
      <c r="AH37" s="42" t="s">
        <v>916</v>
      </c>
      <c r="AI37" s="32" t="e">
        <f>VLOOKUP(A37,'4月明細'!B:B,1,0)</f>
        <v>#N/A</v>
      </c>
    </row>
    <row r="38" spans="1:35" ht="19.95" customHeight="1" x14ac:dyDescent="0.3">
      <c r="A38" s="33" t="s">
        <v>1075</v>
      </c>
      <c r="B38" s="34">
        <v>46148.677662037036</v>
      </c>
      <c r="C38" s="34" t="str">
        <f t="shared" si="0"/>
        <v>202605</v>
      </c>
      <c r="D38" s="35" t="s">
        <v>996</v>
      </c>
      <c r="E38" s="36" t="s">
        <v>910</v>
      </c>
      <c r="F38" s="36" t="s">
        <v>1076</v>
      </c>
      <c r="G38" s="37" t="s">
        <v>1077</v>
      </c>
      <c r="H38" s="36" t="s">
        <v>1078</v>
      </c>
      <c r="I38" s="35"/>
      <c r="J38" s="36" t="s">
        <v>929</v>
      </c>
      <c r="K38" s="33" t="s">
        <v>1079</v>
      </c>
      <c r="L38" s="35" t="s">
        <v>916</v>
      </c>
      <c r="M38" s="36" t="s">
        <v>923</v>
      </c>
      <c r="N38" s="36" t="s">
        <v>916</v>
      </c>
      <c r="O38" s="36" t="s">
        <v>918</v>
      </c>
      <c r="P38" s="38" t="s">
        <v>916</v>
      </c>
      <c r="Q38" s="39" t="s">
        <v>958</v>
      </c>
      <c r="R38" s="35" t="s">
        <v>916</v>
      </c>
      <c r="S38" s="35"/>
      <c r="T38" s="35" t="s">
        <v>916</v>
      </c>
      <c r="U38" s="40">
        <v>46149</v>
      </c>
      <c r="V38" s="41">
        <v>46153.53266203704</v>
      </c>
      <c r="W38" s="40">
        <v>46148</v>
      </c>
      <c r="X38" s="35" t="s">
        <v>916</v>
      </c>
      <c r="Y38" s="35" t="s">
        <v>916</v>
      </c>
      <c r="Z38" s="35" t="s">
        <v>916</v>
      </c>
      <c r="AA38" s="38">
        <v>0</v>
      </c>
      <c r="AB38" s="42" t="s">
        <v>916</v>
      </c>
      <c r="AC38" s="43" t="s">
        <v>916</v>
      </c>
      <c r="AD38" s="43" t="s">
        <v>916</v>
      </c>
      <c r="AE38" s="33" t="s">
        <v>916</v>
      </c>
      <c r="AF38" s="35" t="s">
        <v>916</v>
      </c>
      <c r="AG38" s="44">
        <v>0</v>
      </c>
      <c r="AH38" s="42" t="s">
        <v>916</v>
      </c>
      <c r="AI38" s="32" t="e">
        <f>VLOOKUP(A38,'4月明細'!B:B,1,0)</f>
        <v>#N/A</v>
      </c>
    </row>
    <row r="39" spans="1:35" ht="19.95" customHeight="1" x14ac:dyDescent="0.3">
      <c r="A39" s="33" t="s">
        <v>1080</v>
      </c>
      <c r="B39" s="34">
        <v>46148.563391203701</v>
      </c>
      <c r="C39" s="34" t="str">
        <f t="shared" si="0"/>
        <v>202605</v>
      </c>
      <c r="D39" s="35" t="s">
        <v>951</v>
      </c>
      <c r="E39" s="36" t="s">
        <v>910</v>
      </c>
      <c r="F39" s="36" t="s">
        <v>1045</v>
      </c>
      <c r="G39" s="37" t="s">
        <v>1081</v>
      </c>
      <c r="H39" s="36" t="s">
        <v>1047</v>
      </c>
      <c r="I39" s="35"/>
      <c r="J39" s="36" t="s">
        <v>1058</v>
      </c>
      <c r="K39" s="33" t="s">
        <v>1048</v>
      </c>
      <c r="L39" s="35" t="s">
        <v>916</v>
      </c>
      <c r="M39" s="36" t="s">
        <v>916</v>
      </c>
      <c r="N39" s="36" t="s">
        <v>916</v>
      </c>
      <c r="O39" s="36" t="s">
        <v>939</v>
      </c>
      <c r="P39" s="38" t="s">
        <v>916</v>
      </c>
      <c r="Q39" s="36" t="s">
        <v>916</v>
      </c>
      <c r="R39" s="35" t="s">
        <v>916</v>
      </c>
      <c r="S39" s="35"/>
      <c r="T39" s="35" t="s">
        <v>916</v>
      </c>
      <c r="U39" s="40">
        <v>46149</v>
      </c>
      <c r="V39" s="41">
        <v>46153.53266203704</v>
      </c>
      <c r="W39" s="40">
        <v>46148</v>
      </c>
      <c r="X39" s="40">
        <v>46153</v>
      </c>
      <c r="Y39" s="41">
        <v>46153</v>
      </c>
      <c r="Z39" s="35" t="s">
        <v>916</v>
      </c>
      <c r="AA39" s="38">
        <v>0</v>
      </c>
      <c r="AB39" s="42" t="s">
        <v>916</v>
      </c>
      <c r="AC39" s="43" t="s">
        <v>916</v>
      </c>
      <c r="AD39" s="43" t="s">
        <v>916</v>
      </c>
      <c r="AE39" s="33" t="s">
        <v>916</v>
      </c>
      <c r="AF39" s="35" t="s">
        <v>916</v>
      </c>
      <c r="AG39" s="44">
        <v>0</v>
      </c>
      <c r="AH39" s="42" t="s">
        <v>916</v>
      </c>
      <c r="AI39" s="32" t="e">
        <f>VLOOKUP(A39,'4月明細'!B:B,1,0)</f>
        <v>#N/A</v>
      </c>
    </row>
    <row r="40" spans="1:35" ht="19.95" customHeight="1" x14ac:dyDescent="0.3">
      <c r="A40" s="33" t="s">
        <v>1082</v>
      </c>
      <c r="B40" s="34">
        <v>46148.546435185184</v>
      </c>
      <c r="C40" s="34" t="str">
        <f t="shared" si="0"/>
        <v>202605</v>
      </c>
      <c r="D40" s="35" t="s">
        <v>986</v>
      </c>
      <c r="E40" s="36" t="s">
        <v>910</v>
      </c>
      <c r="F40" s="36" t="s">
        <v>926</v>
      </c>
      <c r="G40" s="37" t="s">
        <v>1083</v>
      </c>
      <c r="H40" s="36" t="s">
        <v>1078</v>
      </c>
      <c r="I40" s="35"/>
      <c r="J40" s="36" t="s">
        <v>945</v>
      </c>
      <c r="K40" s="33" t="s">
        <v>1079</v>
      </c>
      <c r="L40" s="35" t="s">
        <v>916</v>
      </c>
      <c r="M40" s="36" t="s">
        <v>923</v>
      </c>
      <c r="N40" s="36" t="s">
        <v>916</v>
      </c>
      <c r="O40" s="36" t="s">
        <v>918</v>
      </c>
      <c r="P40" s="38" t="s">
        <v>916</v>
      </c>
      <c r="Q40" s="39" t="s">
        <v>958</v>
      </c>
      <c r="R40" s="35" t="s">
        <v>916</v>
      </c>
      <c r="S40" s="35"/>
      <c r="T40" s="35" t="s">
        <v>916</v>
      </c>
      <c r="U40" s="40">
        <v>46149</v>
      </c>
      <c r="V40" s="41">
        <v>46153.53266203704</v>
      </c>
      <c r="W40" s="40">
        <v>46148</v>
      </c>
      <c r="X40" s="35" t="s">
        <v>916</v>
      </c>
      <c r="Y40" s="35" t="s">
        <v>916</v>
      </c>
      <c r="Z40" s="35" t="s">
        <v>916</v>
      </c>
      <c r="AA40" s="38">
        <v>0</v>
      </c>
      <c r="AB40" s="42" t="s">
        <v>916</v>
      </c>
      <c r="AC40" s="43" t="s">
        <v>916</v>
      </c>
      <c r="AD40" s="43" t="s">
        <v>916</v>
      </c>
      <c r="AE40" s="33" t="s">
        <v>916</v>
      </c>
      <c r="AF40" s="35" t="s">
        <v>916</v>
      </c>
      <c r="AG40" s="44">
        <v>0</v>
      </c>
      <c r="AH40" s="42" t="s">
        <v>916</v>
      </c>
      <c r="AI40" s="32" t="e">
        <f>VLOOKUP(A40,'4月明細'!B:B,1,0)</f>
        <v>#N/A</v>
      </c>
    </row>
    <row r="41" spans="1:35" ht="19.95" customHeight="1" x14ac:dyDescent="0.3">
      <c r="A41" s="33" t="s">
        <v>880</v>
      </c>
      <c r="B41" s="34">
        <v>46148.497928240744</v>
      </c>
      <c r="C41" s="34" t="str">
        <f t="shared" si="0"/>
        <v>202605</v>
      </c>
      <c r="D41" s="35" t="s">
        <v>996</v>
      </c>
      <c r="E41" s="36" t="s">
        <v>910</v>
      </c>
      <c r="F41" s="36" t="s">
        <v>961</v>
      </c>
      <c r="G41" s="37" t="s">
        <v>1084</v>
      </c>
      <c r="H41" s="36" t="s">
        <v>954</v>
      </c>
      <c r="I41" s="35" t="s">
        <v>1085</v>
      </c>
      <c r="J41" s="36" t="s">
        <v>929</v>
      </c>
      <c r="K41" s="33" t="s">
        <v>1086</v>
      </c>
      <c r="L41" s="35" t="s">
        <v>916</v>
      </c>
      <c r="M41" s="36" t="s">
        <v>923</v>
      </c>
      <c r="N41" s="45">
        <v>46148.740937499999</v>
      </c>
      <c r="O41" s="36" t="s">
        <v>25</v>
      </c>
      <c r="P41" s="38">
        <v>0.2430092593</v>
      </c>
      <c r="Q41" s="39" t="s">
        <v>1087</v>
      </c>
      <c r="R41" s="35" t="s">
        <v>916</v>
      </c>
      <c r="S41" s="35"/>
      <c r="T41" s="35" t="s">
        <v>916</v>
      </c>
      <c r="U41" s="40">
        <v>46149</v>
      </c>
      <c r="V41" s="41">
        <v>46153.53266203704</v>
      </c>
      <c r="W41" s="40">
        <v>46148</v>
      </c>
      <c r="X41" s="35" t="s">
        <v>916</v>
      </c>
      <c r="Y41" s="35" t="s">
        <v>916</v>
      </c>
      <c r="Z41" s="35" t="s">
        <v>916</v>
      </c>
      <c r="AA41" s="38">
        <v>5.8322222231999996</v>
      </c>
      <c r="AB41" s="42" t="s">
        <v>916</v>
      </c>
      <c r="AC41" s="43" t="s">
        <v>916</v>
      </c>
      <c r="AD41" s="43" t="s">
        <v>916</v>
      </c>
      <c r="AE41" s="33" t="s">
        <v>916</v>
      </c>
      <c r="AF41" s="35" t="s">
        <v>916</v>
      </c>
      <c r="AG41" s="44">
        <v>0</v>
      </c>
      <c r="AH41" s="42" t="s">
        <v>916</v>
      </c>
      <c r="AI41" s="32" t="e">
        <f>VLOOKUP(A41,'4月明細'!B:B,1,0)</f>
        <v>#N/A</v>
      </c>
    </row>
    <row r="42" spans="1:35" ht="19.95" customHeight="1" x14ac:dyDescent="0.3">
      <c r="A42" s="33" t="s">
        <v>1088</v>
      </c>
      <c r="B42" s="34">
        <v>46148.491041666668</v>
      </c>
      <c r="C42" s="34" t="str">
        <f t="shared" si="0"/>
        <v>202605</v>
      </c>
      <c r="D42" s="35" t="s">
        <v>951</v>
      </c>
      <c r="E42" s="36" t="s">
        <v>910</v>
      </c>
      <c r="F42" s="36" t="s">
        <v>1089</v>
      </c>
      <c r="G42" s="37" t="s">
        <v>1090</v>
      </c>
      <c r="H42" s="36" t="s">
        <v>928</v>
      </c>
      <c r="I42" s="35" t="s">
        <v>1091</v>
      </c>
      <c r="J42" s="36" t="s">
        <v>929</v>
      </c>
      <c r="K42" s="33" t="s">
        <v>930</v>
      </c>
      <c r="L42" s="35" t="s">
        <v>916</v>
      </c>
      <c r="M42" s="36" t="s">
        <v>923</v>
      </c>
      <c r="N42" s="36" t="s">
        <v>916</v>
      </c>
      <c r="O42" s="36" t="s">
        <v>918</v>
      </c>
      <c r="P42" s="38" t="s">
        <v>916</v>
      </c>
      <c r="Q42" s="39" t="s">
        <v>958</v>
      </c>
      <c r="R42" s="35" t="s">
        <v>916</v>
      </c>
      <c r="S42" s="35"/>
      <c r="T42" s="35" t="s">
        <v>916</v>
      </c>
      <c r="U42" s="40">
        <v>46149</v>
      </c>
      <c r="V42" s="41">
        <v>46153.53266203704</v>
      </c>
      <c r="W42" s="40">
        <v>46148</v>
      </c>
      <c r="X42" s="35" t="s">
        <v>916</v>
      </c>
      <c r="Y42" s="35" t="s">
        <v>916</v>
      </c>
      <c r="Z42" s="35" t="s">
        <v>916</v>
      </c>
      <c r="AA42" s="38">
        <v>0</v>
      </c>
      <c r="AB42" s="42" t="s">
        <v>916</v>
      </c>
      <c r="AC42" s="43" t="s">
        <v>916</v>
      </c>
      <c r="AD42" s="43" t="s">
        <v>916</v>
      </c>
      <c r="AE42" s="33" t="s">
        <v>916</v>
      </c>
      <c r="AF42" s="35" t="s">
        <v>916</v>
      </c>
      <c r="AG42" s="44">
        <v>0</v>
      </c>
      <c r="AH42" s="42" t="s">
        <v>916</v>
      </c>
      <c r="AI42" s="32" t="e">
        <f>VLOOKUP(A42,'4月明細'!B:B,1,0)</f>
        <v>#N/A</v>
      </c>
    </row>
    <row r="43" spans="1:35" ht="19.95" customHeight="1" x14ac:dyDescent="0.3">
      <c r="A43" s="33" t="s">
        <v>1092</v>
      </c>
      <c r="B43" s="34">
        <v>46148.488240740742</v>
      </c>
      <c r="C43" s="34" t="str">
        <f t="shared" si="0"/>
        <v>202605</v>
      </c>
      <c r="D43" s="35" t="s">
        <v>996</v>
      </c>
      <c r="E43" s="36" t="s">
        <v>910</v>
      </c>
      <c r="F43" s="36" t="s">
        <v>1093</v>
      </c>
      <c r="G43" s="37" t="s">
        <v>1094</v>
      </c>
      <c r="H43" s="36" t="s">
        <v>928</v>
      </c>
      <c r="I43" s="35"/>
      <c r="J43" s="36" t="s">
        <v>929</v>
      </c>
      <c r="K43" s="33" t="s">
        <v>930</v>
      </c>
      <c r="L43" s="35" t="s">
        <v>916</v>
      </c>
      <c r="M43" s="36" t="s">
        <v>923</v>
      </c>
      <c r="N43" s="36" t="s">
        <v>916</v>
      </c>
      <c r="O43" s="36" t="s">
        <v>918</v>
      </c>
      <c r="P43" s="38" t="s">
        <v>916</v>
      </c>
      <c r="Q43" s="39" t="s">
        <v>958</v>
      </c>
      <c r="R43" s="35" t="s">
        <v>916</v>
      </c>
      <c r="S43" s="35"/>
      <c r="T43" s="35" t="s">
        <v>916</v>
      </c>
      <c r="U43" s="40">
        <v>46149</v>
      </c>
      <c r="V43" s="41">
        <v>46153.53266203704</v>
      </c>
      <c r="W43" s="40">
        <v>46148</v>
      </c>
      <c r="X43" s="35" t="s">
        <v>916</v>
      </c>
      <c r="Y43" s="35" t="s">
        <v>916</v>
      </c>
      <c r="Z43" s="35" t="s">
        <v>916</v>
      </c>
      <c r="AA43" s="38">
        <v>0</v>
      </c>
      <c r="AB43" s="42" t="s">
        <v>916</v>
      </c>
      <c r="AC43" s="43" t="s">
        <v>916</v>
      </c>
      <c r="AD43" s="43" t="s">
        <v>916</v>
      </c>
      <c r="AE43" s="33" t="s">
        <v>916</v>
      </c>
      <c r="AF43" s="35" t="s">
        <v>916</v>
      </c>
      <c r="AG43" s="44">
        <v>0</v>
      </c>
      <c r="AH43" s="42" t="s">
        <v>916</v>
      </c>
      <c r="AI43" s="32" t="e">
        <f>VLOOKUP(A43,'4月明細'!B:B,1,0)</f>
        <v>#N/A</v>
      </c>
    </row>
    <row r="44" spans="1:35" ht="19.95" customHeight="1" x14ac:dyDescent="0.3">
      <c r="A44" s="33" t="s">
        <v>879</v>
      </c>
      <c r="B44" s="34">
        <v>46148.467766203707</v>
      </c>
      <c r="C44" s="34" t="str">
        <f t="shared" si="0"/>
        <v>202605</v>
      </c>
      <c r="D44" s="35" t="s">
        <v>996</v>
      </c>
      <c r="E44" s="36" t="s">
        <v>910</v>
      </c>
      <c r="F44" s="36" t="s">
        <v>1095</v>
      </c>
      <c r="G44" s="37" t="s">
        <v>1096</v>
      </c>
      <c r="H44" s="36" t="s">
        <v>928</v>
      </c>
      <c r="I44" s="35"/>
      <c r="J44" s="36" t="s">
        <v>929</v>
      </c>
      <c r="K44" s="33" t="s">
        <v>930</v>
      </c>
      <c r="L44" s="35" t="s">
        <v>916</v>
      </c>
      <c r="M44" s="36" t="s">
        <v>923</v>
      </c>
      <c r="N44" s="45">
        <v>46148.741851851853</v>
      </c>
      <c r="O44" s="36" t="s">
        <v>25</v>
      </c>
      <c r="P44" s="38">
        <v>0.27408564819999998</v>
      </c>
      <c r="Q44" s="39" t="s">
        <v>931</v>
      </c>
      <c r="R44" s="35" t="s">
        <v>916</v>
      </c>
      <c r="S44" s="35"/>
      <c r="T44" s="35" t="s">
        <v>916</v>
      </c>
      <c r="U44" s="40">
        <v>46149</v>
      </c>
      <c r="V44" s="41">
        <v>46153.53266203704</v>
      </c>
      <c r="W44" s="40">
        <v>46148</v>
      </c>
      <c r="X44" s="35" t="s">
        <v>916</v>
      </c>
      <c r="Y44" s="35" t="s">
        <v>916</v>
      </c>
      <c r="Z44" s="35" t="s">
        <v>916</v>
      </c>
      <c r="AA44" s="38">
        <v>6.5780555567999999</v>
      </c>
      <c r="AB44" s="42" t="s">
        <v>916</v>
      </c>
      <c r="AC44" s="43" t="s">
        <v>916</v>
      </c>
      <c r="AD44" s="43" t="s">
        <v>916</v>
      </c>
      <c r="AE44" s="33" t="s">
        <v>916</v>
      </c>
      <c r="AF44" s="35" t="s">
        <v>916</v>
      </c>
      <c r="AG44" s="44">
        <v>0</v>
      </c>
      <c r="AH44" s="42" t="s">
        <v>916</v>
      </c>
      <c r="AI44" s="32" t="e">
        <f>VLOOKUP(A44,'4月明細'!B:B,1,0)</f>
        <v>#N/A</v>
      </c>
    </row>
    <row r="45" spans="1:35" ht="19.95" customHeight="1" x14ac:dyDescent="0.3">
      <c r="A45" s="33" t="s">
        <v>1097</v>
      </c>
      <c r="B45" s="34">
        <v>46148.435925925929</v>
      </c>
      <c r="C45" s="34" t="str">
        <f t="shared" si="0"/>
        <v>202605</v>
      </c>
      <c r="D45" s="35" t="s">
        <v>986</v>
      </c>
      <c r="E45" s="36" t="s">
        <v>910</v>
      </c>
      <c r="F45" s="36" t="s">
        <v>1050</v>
      </c>
      <c r="G45" s="37" t="s">
        <v>1098</v>
      </c>
      <c r="H45" s="36" t="s">
        <v>1023</v>
      </c>
      <c r="I45" s="35" t="s">
        <v>1099</v>
      </c>
      <c r="J45" s="36" t="s">
        <v>914</v>
      </c>
      <c r="K45" s="33" t="s">
        <v>1025</v>
      </c>
      <c r="L45" s="35" t="s">
        <v>916</v>
      </c>
      <c r="M45" s="36" t="s">
        <v>916</v>
      </c>
      <c r="N45" s="36" t="s">
        <v>916</v>
      </c>
      <c r="O45" s="36" t="s">
        <v>939</v>
      </c>
      <c r="P45" s="38" t="s">
        <v>916</v>
      </c>
      <c r="Q45" s="36" t="s">
        <v>916</v>
      </c>
      <c r="R45" s="35" t="s">
        <v>916</v>
      </c>
      <c r="S45" s="35"/>
      <c r="T45" s="35" t="s">
        <v>916</v>
      </c>
      <c r="U45" s="40">
        <v>46149</v>
      </c>
      <c r="V45" s="41">
        <v>46153.53266203704</v>
      </c>
      <c r="W45" s="40">
        <v>46148</v>
      </c>
      <c r="X45" s="40">
        <v>46153</v>
      </c>
      <c r="Y45" s="35" t="s">
        <v>916</v>
      </c>
      <c r="Z45" s="35" t="s">
        <v>916</v>
      </c>
      <c r="AA45" s="38">
        <v>0</v>
      </c>
      <c r="AB45" s="42" t="s">
        <v>916</v>
      </c>
      <c r="AC45" s="43" t="s">
        <v>916</v>
      </c>
      <c r="AD45" s="43" t="s">
        <v>916</v>
      </c>
      <c r="AE45" s="33" t="s">
        <v>916</v>
      </c>
      <c r="AF45" s="35" t="s">
        <v>916</v>
      </c>
      <c r="AG45" s="44">
        <v>0</v>
      </c>
      <c r="AH45" s="42" t="s">
        <v>916</v>
      </c>
      <c r="AI45" s="32" t="e">
        <f>VLOOKUP(A45,'4月明細'!B:B,1,0)</f>
        <v>#N/A</v>
      </c>
    </row>
    <row r="46" spans="1:35" ht="19.95" customHeight="1" x14ac:dyDescent="0.3">
      <c r="A46" s="33" t="s">
        <v>1100</v>
      </c>
      <c r="B46" s="34">
        <v>46148.312337962961</v>
      </c>
      <c r="C46" s="34" t="str">
        <f t="shared" si="0"/>
        <v>202605</v>
      </c>
      <c r="D46" s="35" t="s">
        <v>1101</v>
      </c>
      <c r="E46" s="36" t="s">
        <v>1102</v>
      </c>
      <c r="F46" s="36" t="s">
        <v>1103</v>
      </c>
      <c r="G46" s="37" t="s">
        <v>1104</v>
      </c>
      <c r="H46" s="36" t="s">
        <v>1105</v>
      </c>
      <c r="I46" s="35"/>
      <c r="J46" s="36" t="s">
        <v>938</v>
      </c>
      <c r="K46" s="33" t="s">
        <v>1106</v>
      </c>
      <c r="L46" s="35" t="s">
        <v>916</v>
      </c>
      <c r="M46" s="36" t="s">
        <v>916</v>
      </c>
      <c r="N46" s="36" t="s">
        <v>916</v>
      </c>
      <c r="O46" s="36" t="s">
        <v>939</v>
      </c>
      <c r="P46" s="38" t="s">
        <v>916</v>
      </c>
      <c r="Q46" s="36" t="s">
        <v>916</v>
      </c>
      <c r="R46" s="35" t="s">
        <v>916</v>
      </c>
      <c r="S46" s="35"/>
      <c r="T46" s="35" t="s">
        <v>916</v>
      </c>
      <c r="U46" s="40">
        <v>46149</v>
      </c>
      <c r="V46" s="41">
        <v>46153.53266203704</v>
      </c>
      <c r="W46" s="40">
        <v>46148</v>
      </c>
      <c r="X46" s="40">
        <v>46153</v>
      </c>
      <c r="Y46" s="35" t="s">
        <v>916</v>
      </c>
      <c r="Z46" s="35" t="s">
        <v>916</v>
      </c>
      <c r="AA46" s="38">
        <v>0</v>
      </c>
      <c r="AB46" s="42" t="s">
        <v>916</v>
      </c>
      <c r="AC46" s="43" t="s">
        <v>916</v>
      </c>
      <c r="AD46" s="43" t="s">
        <v>916</v>
      </c>
      <c r="AE46" s="33" t="s">
        <v>916</v>
      </c>
      <c r="AF46" s="35" t="s">
        <v>916</v>
      </c>
      <c r="AG46" s="44">
        <v>0</v>
      </c>
      <c r="AH46" s="42" t="s">
        <v>916</v>
      </c>
      <c r="AI46" s="32" t="e">
        <f>VLOOKUP(A46,'4月明細'!B:B,1,0)</f>
        <v>#N/A</v>
      </c>
    </row>
    <row r="47" spans="1:35" ht="19.95" customHeight="1" x14ac:dyDescent="0.3">
      <c r="A47" s="33" t="s">
        <v>878</v>
      </c>
      <c r="B47" s="34">
        <v>46147.811261574076</v>
      </c>
      <c r="C47" s="34" t="str">
        <f t="shared" si="0"/>
        <v>202605</v>
      </c>
      <c r="D47" s="35" t="s">
        <v>1107</v>
      </c>
      <c r="E47" s="36" t="s">
        <v>942</v>
      </c>
      <c r="F47" s="36" t="s">
        <v>1108</v>
      </c>
      <c r="G47" s="37" t="s">
        <v>1109</v>
      </c>
      <c r="H47" s="36" t="s">
        <v>913</v>
      </c>
      <c r="I47" s="35"/>
      <c r="J47" s="36" t="s">
        <v>945</v>
      </c>
      <c r="K47" s="33" t="s">
        <v>915</v>
      </c>
      <c r="L47" s="35" t="s">
        <v>916</v>
      </c>
      <c r="M47" s="36" t="s">
        <v>923</v>
      </c>
      <c r="N47" s="45">
        <v>46148.741678240738</v>
      </c>
      <c r="O47" s="36" t="s">
        <v>25</v>
      </c>
      <c r="P47" s="38">
        <v>0.93041666670000001</v>
      </c>
      <c r="Q47" s="39" t="s">
        <v>919</v>
      </c>
      <c r="R47" s="35" t="s">
        <v>916</v>
      </c>
      <c r="S47" s="35"/>
      <c r="T47" s="35" t="s">
        <v>916</v>
      </c>
      <c r="U47" s="40">
        <v>46148</v>
      </c>
      <c r="V47" s="41">
        <v>46153.53266203704</v>
      </c>
      <c r="W47" s="40">
        <v>46147</v>
      </c>
      <c r="X47" s="35" t="s">
        <v>916</v>
      </c>
      <c r="Y47" s="35" t="s">
        <v>916</v>
      </c>
      <c r="Z47" s="35" t="s">
        <v>916</v>
      </c>
      <c r="AA47" s="38">
        <v>22.330000000799998</v>
      </c>
      <c r="AB47" s="42" t="s">
        <v>916</v>
      </c>
      <c r="AC47" s="43" t="s">
        <v>916</v>
      </c>
      <c r="AD47" s="43" t="s">
        <v>916</v>
      </c>
      <c r="AE47" s="33" t="s">
        <v>916</v>
      </c>
      <c r="AF47" s="35" t="s">
        <v>916</v>
      </c>
      <c r="AG47" s="44">
        <v>0</v>
      </c>
      <c r="AH47" s="42" t="s">
        <v>916</v>
      </c>
      <c r="AI47" s="32" t="e">
        <f>VLOOKUP(A47,'4月明細'!B:B,1,0)</f>
        <v>#N/A</v>
      </c>
    </row>
    <row r="48" spans="1:35" ht="19.95" customHeight="1" x14ac:dyDescent="0.3">
      <c r="A48" s="33" t="s">
        <v>1110</v>
      </c>
      <c r="B48" s="34">
        <v>46147.809872685182</v>
      </c>
      <c r="C48" s="34" t="str">
        <f t="shared" si="0"/>
        <v>202605</v>
      </c>
      <c r="D48" s="35" t="s">
        <v>1111</v>
      </c>
      <c r="E48" s="36" t="s">
        <v>1112</v>
      </c>
      <c r="F48" s="36" t="s">
        <v>1045</v>
      </c>
      <c r="G48" s="37" t="s">
        <v>1113</v>
      </c>
      <c r="H48" s="36" t="s">
        <v>1114</v>
      </c>
      <c r="I48" s="35"/>
      <c r="J48" s="36" t="s">
        <v>945</v>
      </c>
      <c r="K48" s="33" t="s">
        <v>1115</v>
      </c>
      <c r="L48" s="35" t="s">
        <v>1116</v>
      </c>
      <c r="M48" s="36" t="s">
        <v>923</v>
      </c>
      <c r="N48" s="36" t="s">
        <v>916</v>
      </c>
      <c r="O48" s="36" t="s">
        <v>1117</v>
      </c>
      <c r="P48" s="38" t="s">
        <v>916</v>
      </c>
      <c r="Q48" s="39" t="s">
        <v>1118</v>
      </c>
      <c r="R48" s="46" t="s">
        <v>1119</v>
      </c>
      <c r="S48" s="35"/>
      <c r="T48" s="35" t="s">
        <v>916</v>
      </c>
      <c r="U48" s="40">
        <v>46148</v>
      </c>
      <c r="V48" s="41">
        <v>46153.53266203704</v>
      </c>
      <c r="W48" s="40">
        <v>46147</v>
      </c>
      <c r="X48" s="35" t="s">
        <v>916</v>
      </c>
      <c r="Y48" s="35" t="s">
        <v>916</v>
      </c>
      <c r="Z48" s="35" t="s">
        <v>916</v>
      </c>
      <c r="AA48" s="38">
        <v>0</v>
      </c>
      <c r="AB48" s="42" t="s">
        <v>916</v>
      </c>
      <c r="AC48" s="43" t="s">
        <v>916</v>
      </c>
      <c r="AD48" s="43" t="s">
        <v>916</v>
      </c>
      <c r="AE48" s="33" t="s">
        <v>916</v>
      </c>
      <c r="AF48" s="35" t="s">
        <v>916</v>
      </c>
      <c r="AG48" s="44">
        <v>0</v>
      </c>
      <c r="AH48" s="42" t="s">
        <v>916</v>
      </c>
      <c r="AI48" s="32" t="e">
        <f>VLOOKUP(A48,'4月明細'!B:B,1,0)</f>
        <v>#N/A</v>
      </c>
    </row>
    <row r="49" spans="1:35" ht="19.95" customHeight="1" x14ac:dyDescent="0.3">
      <c r="A49" s="33" t="s">
        <v>1120</v>
      </c>
      <c r="B49" s="34">
        <v>46147.733749999999</v>
      </c>
      <c r="C49" s="34" t="str">
        <f t="shared" si="0"/>
        <v>202605</v>
      </c>
      <c r="D49" s="35" t="s">
        <v>996</v>
      </c>
      <c r="E49" s="36" t="s">
        <v>910</v>
      </c>
      <c r="F49" s="36" t="s">
        <v>1121</v>
      </c>
      <c r="G49" s="37" t="s">
        <v>1122</v>
      </c>
      <c r="H49" s="36" t="s">
        <v>954</v>
      </c>
      <c r="I49" s="35"/>
      <c r="J49" s="36" t="s">
        <v>929</v>
      </c>
      <c r="K49" s="33" t="s">
        <v>970</v>
      </c>
      <c r="L49" s="35" t="s">
        <v>916</v>
      </c>
      <c r="M49" s="36" t="s">
        <v>957</v>
      </c>
      <c r="N49" s="36" t="s">
        <v>916</v>
      </c>
      <c r="O49" s="36" t="s">
        <v>918</v>
      </c>
      <c r="P49" s="38" t="s">
        <v>916</v>
      </c>
      <c r="Q49" s="39" t="s">
        <v>1071</v>
      </c>
      <c r="R49" s="35" t="s">
        <v>916</v>
      </c>
      <c r="S49" s="35"/>
      <c r="T49" s="35" t="s">
        <v>916</v>
      </c>
      <c r="U49" s="40">
        <v>46148</v>
      </c>
      <c r="V49" s="41">
        <v>46153.53266203704</v>
      </c>
      <c r="W49" s="40">
        <v>46147</v>
      </c>
      <c r="X49" s="35" t="s">
        <v>916</v>
      </c>
      <c r="Y49" s="35" t="s">
        <v>916</v>
      </c>
      <c r="Z49" s="35" t="s">
        <v>916</v>
      </c>
      <c r="AA49" s="38">
        <v>0</v>
      </c>
      <c r="AB49" s="42" t="s">
        <v>916</v>
      </c>
      <c r="AC49" s="43" t="s">
        <v>916</v>
      </c>
      <c r="AD49" s="43" t="s">
        <v>916</v>
      </c>
      <c r="AE49" s="33" t="s">
        <v>916</v>
      </c>
      <c r="AF49" s="35" t="s">
        <v>916</v>
      </c>
      <c r="AG49" s="44">
        <v>0</v>
      </c>
      <c r="AH49" s="42" t="s">
        <v>916</v>
      </c>
      <c r="AI49" s="32" t="e">
        <f>VLOOKUP(A49,'4月明細'!B:B,1,0)</f>
        <v>#N/A</v>
      </c>
    </row>
    <row r="50" spans="1:35" ht="19.95" customHeight="1" x14ac:dyDescent="0.3">
      <c r="A50" s="33" t="s">
        <v>877</v>
      </c>
      <c r="B50" s="34">
        <v>46147.723703703705</v>
      </c>
      <c r="C50" s="34" t="str">
        <f t="shared" si="0"/>
        <v>202605</v>
      </c>
      <c r="D50" s="35" t="s">
        <v>996</v>
      </c>
      <c r="E50" s="36" t="s">
        <v>910</v>
      </c>
      <c r="F50" s="36" t="s">
        <v>1123</v>
      </c>
      <c r="G50" s="37" t="s">
        <v>1122</v>
      </c>
      <c r="H50" s="36" t="s">
        <v>954</v>
      </c>
      <c r="I50" s="35" t="s">
        <v>1124</v>
      </c>
      <c r="J50" s="36" t="s">
        <v>929</v>
      </c>
      <c r="K50" s="33" t="s">
        <v>970</v>
      </c>
      <c r="L50" s="35" t="s">
        <v>916</v>
      </c>
      <c r="M50" s="36" t="s">
        <v>923</v>
      </c>
      <c r="N50" s="45">
        <v>46148.740636574075</v>
      </c>
      <c r="O50" s="36" t="s">
        <v>25</v>
      </c>
      <c r="P50" s="38">
        <v>1.0169328704</v>
      </c>
      <c r="Q50" s="39" t="s">
        <v>1125</v>
      </c>
      <c r="R50" s="35" t="s">
        <v>916</v>
      </c>
      <c r="S50" s="35"/>
      <c r="T50" s="35" t="s">
        <v>916</v>
      </c>
      <c r="U50" s="40">
        <v>46148</v>
      </c>
      <c r="V50" s="41">
        <v>46153.53266203704</v>
      </c>
      <c r="W50" s="40">
        <v>46147</v>
      </c>
      <c r="X50" s="35" t="s">
        <v>916</v>
      </c>
      <c r="Y50" s="35" t="s">
        <v>916</v>
      </c>
      <c r="Z50" s="35" t="s">
        <v>916</v>
      </c>
      <c r="AA50" s="38">
        <v>24.406388889599999</v>
      </c>
      <c r="AB50" s="42" t="s">
        <v>916</v>
      </c>
      <c r="AC50" s="43" t="s">
        <v>916</v>
      </c>
      <c r="AD50" s="43" t="s">
        <v>916</v>
      </c>
      <c r="AE50" s="33" t="s">
        <v>916</v>
      </c>
      <c r="AF50" s="35" t="s">
        <v>916</v>
      </c>
      <c r="AG50" s="44">
        <v>0</v>
      </c>
      <c r="AH50" s="42" t="s">
        <v>916</v>
      </c>
      <c r="AI50" s="32" t="e">
        <f>VLOOKUP(A50,'4月明細'!B:B,1,0)</f>
        <v>#N/A</v>
      </c>
    </row>
    <row r="51" spans="1:35" ht="19.95" customHeight="1" x14ac:dyDescent="0.3">
      <c r="A51" s="33" t="s">
        <v>1126</v>
      </c>
      <c r="B51" s="34">
        <v>46147.664085648146</v>
      </c>
      <c r="C51" s="34" t="str">
        <f t="shared" si="0"/>
        <v>202605</v>
      </c>
      <c r="D51" s="35" t="s">
        <v>996</v>
      </c>
      <c r="E51" s="36" t="s">
        <v>910</v>
      </c>
      <c r="F51" s="36" t="s">
        <v>1123</v>
      </c>
      <c r="G51" s="37" t="s">
        <v>1127</v>
      </c>
      <c r="H51" s="36" t="s">
        <v>954</v>
      </c>
      <c r="I51" s="35" t="s">
        <v>1128</v>
      </c>
      <c r="J51" s="36" t="s">
        <v>929</v>
      </c>
      <c r="K51" s="33" t="s">
        <v>970</v>
      </c>
      <c r="L51" s="35" t="s">
        <v>916</v>
      </c>
      <c r="M51" s="36" t="s">
        <v>916</v>
      </c>
      <c r="N51" s="36" t="s">
        <v>916</v>
      </c>
      <c r="O51" s="36" t="s">
        <v>939</v>
      </c>
      <c r="P51" s="38" t="s">
        <v>916</v>
      </c>
      <c r="Q51" s="36" t="s">
        <v>916</v>
      </c>
      <c r="R51" s="35" t="s">
        <v>916</v>
      </c>
      <c r="S51" s="35"/>
      <c r="T51" s="35" t="s">
        <v>916</v>
      </c>
      <c r="U51" s="40">
        <v>46148</v>
      </c>
      <c r="V51" s="41">
        <v>46153.53266203704</v>
      </c>
      <c r="W51" s="40">
        <v>46147</v>
      </c>
      <c r="X51" s="40">
        <v>46153</v>
      </c>
      <c r="Y51" s="35" t="s">
        <v>916</v>
      </c>
      <c r="Z51" s="35" t="s">
        <v>916</v>
      </c>
      <c r="AA51" s="38">
        <v>0</v>
      </c>
      <c r="AB51" s="42" t="s">
        <v>916</v>
      </c>
      <c r="AC51" s="43" t="s">
        <v>916</v>
      </c>
      <c r="AD51" s="43" t="s">
        <v>916</v>
      </c>
      <c r="AE51" s="33" t="s">
        <v>916</v>
      </c>
      <c r="AF51" s="35" t="s">
        <v>916</v>
      </c>
      <c r="AG51" s="44">
        <v>0</v>
      </c>
      <c r="AH51" s="42" t="s">
        <v>916</v>
      </c>
      <c r="AI51" s="32" t="e">
        <f>VLOOKUP(A51,'4月明細'!B:B,1,0)</f>
        <v>#N/A</v>
      </c>
    </row>
    <row r="52" spans="1:35" ht="19.95" customHeight="1" x14ac:dyDescent="0.3">
      <c r="A52" s="33" t="s">
        <v>1129</v>
      </c>
      <c r="B52" s="34">
        <v>46147.635081018518</v>
      </c>
      <c r="C52" s="34" t="str">
        <f t="shared" si="0"/>
        <v>202605</v>
      </c>
      <c r="D52" s="35" t="s">
        <v>986</v>
      </c>
      <c r="E52" s="36" t="s">
        <v>910</v>
      </c>
      <c r="F52" s="36" t="s">
        <v>1130</v>
      </c>
      <c r="G52" s="37" t="s">
        <v>1131</v>
      </c>
      <c r="H52" s="36" t="s">
        <v>928</v>
      </c>
      <c r="I52" s="35" t="s">
        <v>1132</v>
      </c>
      <c r="J52" s="36" t="s">
        <v>929</v>
      </c>
      <c r="K52" s="33" t="s">
        <v>930</v>
      </c>
      <c r="L52" s="35" t="s">
        <v>916</v>
      </c>
      <c r="M52" s="36" t="s">
        <v>923</v>
      </c>
      <c r="N52" s="36" t="s">
        <v>916</v>
      </c>
      <c r="O52" s="36" t="s">
        <v>918</v>
      </c>
      <c r="P52" s="38" t="s">
        <v>916</v>
      </c>
      <c r="Q52" s="39" t="s">
        <v>1087</v>
      </c>
      <c r="R52" s="35" t="s">
        <v>916</v>
      </c>
      <c r="S52" s="35"/>
      <c r="T52" s="35" t="s">
        <v>916</v>
      </c>
      <c r="U52" s="40">
        <v>46148</v>
      </c>
      <c r="V52" s="41">
        <v>46153.53266203704</v>
      </c>
      <c r="W52" s="40">
        <v>46147</v>
      </c>
      <c r="X52" s="35" t="s">
        <v>916</v>
      </c>
      <c r="Y52" s="35" t="s">
        <v>916</v>
      </c>
      <c r="Z52" s="35" t="s">
        <v>916</v>
      </c>
      <c r="AA52" s="38">
        <v>0</v>
      </c>
      <c r="AB52" s="42" t="s">
        <v>916</v>
      </c>
      <c r="AC52" s="43" t="s">
        <v>916</v>
      </c>
      <c r="AD52" s="43" t="s">
        <v>916</v>
      </c>
      <c r="AE52" s="33" t="s">
        <v>916</v>
      </c>
      <c r="AF52" s="35" t="s">
        <v>916</v>
      </c>
      <c r="AG52" s="44">
        <v>0</v>
      </c>
      <c r="AH52" s="42" t="s">
        <v>916</v>
      </c>
      <c r="AI52" s="32" t="e">
        <f>VLOOKUP(A52,'4月明細'!B:B,1,0)</f>
        <v>#N/A</v>
      </c>
    </row>
    <row r="53" spans="1:35" ht="19.95" customHeight="1" x14ac:dyDescent="0.3">
      <c r="A53" s="33" t="s">
        <v>876</v>
      </c>
      <c r="B53" s="34">
        <v>46147.603622685187</v>
      </c>
      <c r="C53" s="34" t="str">
        <f t="shared" si="0"/>
        <v>202605</v>
      </c>
      <c r="D53" s="35" t="s">
        <v>951</v>
      </c>
      <c r="E53" s="36" t="s">
        <v>910</v>
      </c>
      <c r="F53" s="36" t="s">
        <v>1133</v>
      </c>
      <c r="G53" s="37" t="s">
        <v>1134</v>
      </c>
      <c r="H53" s="36" t="s">
        <v>954</v>
      </c>
      <c r="I53" s="35"/>
      <c r="J53" s="36" t="s">
        <v>914</v>
      </c>
      <c r="K53" s="33" t="s">
        <v>970</v>
      </c>
      <c r="L53" s="35" t="s">
        <v>916</v>
      </c>
      <c r="M53" s="36" t="s">
        <v>1135</v>
      </c>
      <c r="N53" s="45">
        <v>46148.740428240744</v>
      </c>
      <c r="O53" s="36" t="s">
        <v>25</v>
      </c>
      <c r="P53" s="38">
        <v>1.1368055556000001</v>
      </c>
      <c r="Q53" s="39" t="s">
        <v>919</v>
      </c>
      <c r="R53" s="35" t="s">
        <v>916</v>
      </c>
      <c r="S53" s="35"/>
      <c r="T53" s="35" t="s">
        <v>916</v>
      </c>
      <c r="U53" s="40">
        <v>46148</v>
      </c>
      <c r="V53" s="41">
        <v>46153.53266203704</v>
      </c>
      <c r="W53" s="40">
        <v>46147</v>
      </c>
      <c r="X53" s="35" t="s">
        <v>916</v>
      </c>
      <c r="Y53" s="35" t="s">
        <v>916</v>
      </c>
      <c r="Z53" s="35" t="s">
        <v>916</v>
      </c>
      <c r="AA53" s="38">
        <v>27.283333334400002</v>
      </c>
      <c r="AB53" s="42" t="s">
        <v>916</v>
      </c>
      <c r="AC53" s="43" t="s">
        <v>916</v>
      </c>
      <c r="AD53" s="43" t="s">
        <v>916</v>
      </c>
      <c r="AE53" s="33" t="s">
        <v>916</v>
      </c>
      <c r="AF53" s="35" t="s">
        <v>916</v>
      </c>
      <c r="AG53" s="44">
        <v>0</v>
      </c>
      <c r="AH53" s="42" t="s">
        <v>916</v>
      </c>
      <c r="AI53" s="32" t="e">
        <f>VLOOKUP(A53,'4月明細'!B:B,1,0)</f>
        <v>#N/A</v>
      </c>
    </row>
    <row r="54" spans="1:35" ht="19.95" customHeight="1" x14ac:dyDescent="0.3">
      <c r="A54" s="33" t="s">
        <v>875</v>
      </c>
      <c r="B54" s="34">
        <v>46147.60328703704</v>
      </c>
      <c r="C54" s="34" t="str">
        <f t="shared" si="0"/>
        <v>202605</v>
      </c>
      <c r="D54" s="35" t="s">
        <v>951</v>
      </c>
      <c r="E54" s="36" t="s">
        <v>910</v>
      </c>
      <c r="F54" s="36" t="s">
        <v>1133</v>
      </c>
      <c r="G54" s="37" t="s">
        <v>1136</v>
      </c>
      <c r="H54" s="36" t="s">
        <v>954</v>
      </c>
      <c r="I54" s="35" t="s">
        <v>1137</v>
      </c>
      <c r="J54" s="36" t="s">
        <v>914</v>
      </c>
      <c r="K54" s="33" t="s">
        <v>1086</v>
      </c>
      <c r="L54" s="35" t="s">
        <v>916</v>
      </c>
      <c r="M54" s="36" t="s">
        <v>923</v>
      </c>
      <c r="N54" s="45">
        <v>46148.74013888889</v>
      </c>
      <c r="O54" s="36" t="s">
        <v>25</v>
      </c>
      <c r="P54" s="38">
        <v>1.1368518518999999</v>
      </c>
      <c r="Q54" s="39" t="s">
        <v>958</v>
      </c>
      <c r="R54" s="35" t="s">
        <v>916</v>
      </c>
      <c r="S54" s="35"/>
      <c r="T54" s="35" t="s">
        <v>916</v>
      </c>
      <c r="U54" s="40">
        <v>46148</v>
      </c>
      <c r="V54" s="41">
        <v>46153.53266203704</v>
      </c>
      <c r="W54" s="40">
        <v>46147</v>
      </c>
      <c r="X54" s="35" t="s">
        <v>916</v>
      </c>
      <c r="Y54" s="35" t="s">
        <v>916</v>
      </c>
      <c r="Z54" s="35" t="s">
        <v>916</v>
      </c>
      <c r="AA54" s="38">
        <v>27.284444445599998</v>
      </c>
      <c r="AB54" s="42" t="s">
        <v>916</v>
      </c>
      <c r="AC54" s="43" t="s">
        <v>916</v>
      </c>
      <c r="AD54" s="43" t="s">
        <v>916</v>
      </c>
      <c r="AE54" s="33" t="s">
        <v>916</v>
      </c>
      <c r="AF54" s="35" t="s">
        <v>916</v>
      </c>
      <c r="AG54" s="44">
        <v>0</v>
      </c>
      <c r="AH54" s="42" t="s">
        <v>916</v>
      </c>
      <c r="AI54" s="32" t="e">
        <f>VLOOKUP(A54,'4月明細'!B:B,1,0)</f>
        <v>#N/A</v>
      </c>
    </row>
    <row r="55" spans="1:35" ht="19.95" customHeight="1" x14ac:dyDescent="0.3">
      <c r="A55" s="33" t="s">
        <v>874</v>
      </c>
      <c r="B55" s="34">
        <v>46147.576979166668</v>
      </c>
      <c r="C55" s="34" t="str">
        <f t="shared" si="0"/>
        <v>202605</v>
      </c>
      <c r="D55" s="35" t="s">
        <v>951</v>
      </c>
      <c r="E55" s="36" t="s">
        <v>910</v>
      </c>
      <c r="F55" s="36" t="s">
        <v>1138</v>
      </c>
      <c r="G55" s="37" t="s">
        <v>1139</v>
      </c>
      <c r="H55" s="36" t="s">
        <v>913</v>
      </c>
      <c r="I55" s="35" t="s">
        <v>1140</v>
      </c>
      <c r="J55" s="36" t="s">
        <v>1058</v>
      </c>
      <c r="K55" s="33" t="s">
        <v>915</v>
      </c>
      <c r="L55" s="35" t="s">
        <v>916</v>
      </c>
      <c r="M55" s="36" t="s">
        <v>923</v>
      </c>
      <c r="N55" s="45">
        <v>46148.739895833336</v>
      </c>
      <c r="O55" s="36" t="s">
        <v>25</v>
      </c>
      <c r="P55" s="38">
        <v>1.1629166666999999</v>
      </c>
      <c r="Q55" s="39" t="s">
        <v>919</v>
      </c>
      <c r="R55" s="35" t="s">
        <v>916</v>
      </c>
      <c r="S55" s="35"/>
      <c r="T55" s="35" t="s">
        <v>916</v>
      </c>
      <c r="U55" s="40">
        <v>46148</v>
      </c>
      <c r="V55" s="41">
        <v>46153.53266203704</v>
      </c>
      <c r="W55" s="40">
        <v>46147</v>
      </c>
      <c r="X55" s="35" t="s">
        <v>916</v>
      </c>
      <c r="Y55" s="35" t="s">
        <v>916</v>
      </c>
      <c r="Z55" s="35" t="s">
        <v>916</v>
      </c>
      <c r="AA55" s="38">
        <v>27.9100000008</v>
      </c>
      <c r="AB55" s="42" t="s">
        <v>916</v>
      </c>
      <c r="AC55" s="43" t="s">
        <v>916</v>
      </c>
      <c r="AD55" s="43" t="s">
        <v>916</v>
      </c>
      <c r="AE55" s="33" t="s">
        <v>916</v>
      </c>
      <c r="AF55" s="35" t="s">
        <v>916</v>
      </c>
      <c r="AG55" s="44">
        <v>0</v>
      </c>
      <c r="AH55" s="42" t="s">
        <v>916</v>
      </c>
      <c r="AI55" s="32" t="e">
        <f>VLOOKUP(A55,'4月明細'!B:B,1,0)</f>
        <v>#N/A</v>
      </c>
    </row>
    <row r="56" spans="1:35" ht="19.95" customHeight="1" x14ac:dyDescent="0.3">
      <c r="A56" s="33" t="s">
        <v>873</v>
      </c>
      <c r="B56" s="34">
        <v>46147.574826388889</v>
      </c>
      <c r="C56" s="34" t="str">
        <f t="shared" si="0"/>
        <v>202605</v>
      </c>
      <c r="D56" s="35" t="s">
        <v>996</v>
      </c>
      <c r="E56" s="36" t="s">
        <v>910</v>
      </c>
      <c r="F56" s="36" t="s">
        <v>1141</v>
      </c>
      <c r="G56" s="37" t="s">
        <v>1142</v>
      </c>
      <c r="H56" s="36" t="s">
        <v>954</v>
      </c>
      <c r="I56" s="35" t="s">
        <v>1143</v>
      </c>
      <c r="J56" s="36" t="s">
        <v>929</v>
      </c>
      <c r="K56" s="33" t="s">
        <v>970</v>
      </c>
      <c r="L56" s="35" t="s">
        <v>916</v>
      </c>
      <c r="M56" s="36" t="s">
        <v>923</v>
      </c>
      <c r="N56" s="45">
        <v>46148.739606481482</v>
      </c>
      <c r="O56" s="36" t="s">
        <v>25</v>
      </c>
      <c r="P56" s="38">
        <v>1.1647800926</v>
      </c>
      <c r="Q56" s="39" t="s">
        <v>994</v>
      </c>
      <c r="R56" s="35" t="s">
        <v>916</v>
      </c>
      <c r="S56" s="35"/>
      <c r="T56" s="35" t="s">
        <v>916</v>
      </c>
      <c r="U56" s="40">
        <v>46148</v>
      </c>
      <c r="V56" s="41">
        <v>46153.53266203704</v>
      </c>
      <c r="W56" s="40">
        <v>46147</v>
      </c>
      <c r="X56" s="35" t="s">
        <v>916</v>
      </c>
      <c r="Y56" s="35" t="s">
        <v>916</v>
      </c>
      <c r="Z56" s="35" t="s">
        <v>916</v>
      </c>
      <c r="AA56" s="38">
        <v>27.954722222400001</v>
      </c>
      <c r="AB56" s="42" t="s">
        <v>916</v>
      </c>
      <c r="AC56" s="43" t="s">
        <v>916</v>
      </c>
      <c r="AD56" s="43" t="s">
        <v>916</v>
      </c>
      <c r="AE56" s="33" t="s">
        <v>916</v>
      </c>
      <c r="AF56" s="35" t="s">
        <v>916</v>
      </c>
      <c r="AG56" s="44">
        <v>0</v>
      </c>
      <c r="AH56" s="42" t="s">
        <v>916</v>
      </c>
      <c r="AI56" s="32" t="e">
        <f>VLOOKUP(A56,'4月明細'!B:B,1,0)</f>
        <v>#N/A</v>
      </c>
    </row>
    <row r="57" spans="1:35" ht="19.95" customHeight="1" x14ac:dyDescent="0.3">
      <c r="A57" s="33" t="s">
        <v>872</v>
      </c>
      <c r="B57" s="34">
        <v>46147.57403935185</v>
      </c>
      <c r="C57" s="34" t="str">
        <f t="shared" si="0"/>
        <v>202605</v>
      </c>
      <c r="D57" s="35" t="s">
        <v>996</v>
      </c>
      <c r="E57" s="36" t="s">
        <v>910</v>
      </c>
      <c r="F57" s="36" t="s">
        <v>1141</v>
      </c>
      <c r="G57" s="37" t="s">
        <v>1144</v>
      </c>
      <c r="H57" s="36" t="s">
        <v>954</v>
      </c>
      <c r="I57" s="35"/>
      <c r="J57" s="36" t="s">
        <v>929</v>
      </c>
      <c r="K57" s="33" t="s">
        <v>970</v>
      </c>
      <c r="L57" s="35" t="s">
        <v>916</v>
      </c>
      <c r="M57" s="36" t="s">
        <v>1135</v>
      </c>
      <c r="N57" s="45">
        <v>46148.739247685182</v>
      </c>
      <c r="O57" s="36" t="s">
        <v>25</v>
      </c>
      <c r="P57" s="38">
        <v>1.1652083333000001</v>
      </c>
      <c r="Q57" s="39" t="s">
        <v>919</v>
      </c>
      <c r="R57" s="35" t="s">
        <v>916</v>
      </c>
      <c r="S57" s="35"/>
      <c r="T57" s="35" t="s">
        <v>916</v>
      </c>
      <c r="U57" s="40">
        <v>46148</v>
      </c>
      <c r="V57" s="41">
        <v>46153.53266203704</v>
      </c>
      <c r="W57" s="40">
        <v>46147</v>
      </c>
      <c r="X57" s="35" t="s">
        <v>916</v>
      </c>
      <c r="Y57" s="35" t="s">
        <v>916</v>
      </c>
      <c r="Z57" s="35" t="s">
        <v>916</v>
      </c>
      <c r="AA57" s="38">
        <v>27.9649999992</v>
      </c>
      <c r="AB57" s="42" t="s">
        <v>916</v>
      </c>
      <c r="AC57" s="43" t="s">
        <v>916</v>
      </c>
      <c r="AD57" s="43" t="s">
        <v>916</v>
      </c>
      <c r="AE57" s="33" t="s">
        <v>916</v>
      </c>
      <c r="AF57" s="35" t="s">
        <v>916</v>
      </c>
      <c r="AG57" s="44">
        <v>0</v>
      </c>
      <c r="AH57" s="42" t="s">
        <v>916</v>
      </c>
      <c r="AI57" s="32" t="e">
        <f>VLOOKUP(A57,'4月明細'!B:B,1,0)</f>
        <v>#N/A</v>
      </c>
    </row>
    <row r="58" spans="1:35" ht="19.95" customHeight="1" x14ac:dyDescent="0.3">
      <c r="A58" s="33" t="s">
        <v>871</v>
      </c>
      <c r="B58" s="34">
        <v>46147.573622685188</v>
      </c>
      <c r="C58" s="34" t="str">
        <f t="shared" si="0"/>
        <v>202605</v>
      </c>
      <c r="D58" s="35" t="s">
        <v>996</v>
      </c>
      <c r="E58" s="36" t="s">
        <v>910</v>
      </c>
      <c r="F58" s="36" t="s">
        <v>1145</v>
      </c>
      <c r="G58" s="37" t="s">
        <v>1144</v>
      </c>
      <c r="H58" s="36" t="s">
        <v>954</v>
      </c>
      <c r="I58" s="35"/>
      <c r="J58" s="36" t="s">
        <v>929</v>
      </c>
      <c r="K58" s="33" t="s">
        <v>970</v>
      </c>
      <c r="L58" s="35" t="s">
        <v>916</v>
      </c>
      <c r="M58" s="36" t="s">
        <v>1135</v>
      </c>
      <c r="N58" s="45">
        <v>46148.738541666666</v>
      </c>
      <c r="O58" s="36" t="s">
        <v>25</v>
      </c>
      <c r="P58" s="38">
        <v>1.1649189815000001</v>
      </c>
      <c r="Q58" s="39" t="s">
        <v>919</v>
      </c>
      <c r="R58" s="35" t="s">
        <v>916</v>
      </c>
      <c r="S58" s="35"/>
      <c r="T58" s="35" t="s">
        <v>916</v>
      </c>
      <c r="U58" s="40">
        <v>46148</v>
      </c>
      <c r="V58" s="41">
        <v>46153.53266203704</v>
      </c>
      <c r="W58" s="40">
        <v>46147</v>
      </c>
      <c r="X58" s="35" t="s">
        <v>916</v>
      </c>
      <c r="Y58" s="35" t="s">
        <v>916</v>
      </c>
      <c r="Z58" s="35" t="s">
        <v>916</v>
      </c>
      <c r="AA58" s="38">
        <v>27.958055556000001</v>
      </c>
      <c r="AB58" s="42" t="s">
        <v>916</v>
      </c>
      <c r="AC58" s="43" t="s">
        <v>916</v>
      </c>
      <c r="AD58" s="43" t="s">
        <v>916</v>
      </c>
      <c r="AE58" s="33" t="s">
        <v>916</v>
      </c>
      <c r="AF58" s="35" t="s">
        <v>916</v>
      </c>
      <c r="AG58" s="44">
        <v>0</v>
      </c>
      <c r="AH58" s="42" t="s">
        <v>916</v>
      </c>
      <c r="AI58" s="32" t="e">
        <f>VLOOKUP(A58,'4月明細'!B:B,1,0)</f>
        <v>#N/A</v>
      </c>
    </row>
    <row r="59" spans="1:35" ht="19.95" customHeight="1" x14ac:dyDescent="0.3">
      <c r="A59" s="33" t="s">
        <v>870</v>
      </c>
      <c r="B59" s="34">
        <v>46147.527245370373</v>
      </c>
      <c r="C59" s="34" t="str">
        <f t="shared" si="0"/>
        <v>202605</v>
      </c>
      <c r="D59" s="35" t="s">
        <v>996</v>
      </c>
      <c r="E59" s="36" t="s">
        <v>910</v>
      </c>
      <c r="F59" s="36" t="s">
        <v>1093</v>
      </c>
      <c r="G59" s="37" t="s">
        <v>1144</v>
      </c>
      <c r="H59" s="36" t="s">
        <v>954</v>
      </c>
      <c r="I59" s="35"/>
      <c r="J59" s="36" t="s">
        <v>914</v>
      </c>
      <c r="K59" s="33" t="s">
        <v>970</v>
      </c>
      <c r="L59" s="35" t="s">
        <v>916</v>
      </c>
      <c r="M59" s="36" t="s">
        <v>1135</v>
      </c>
      <c r="N59" s="45">
        <v>46148.738449074073</v>
      </c>
      <c r="O59" s="36" t="s">
        <v>25</v>
      </c>
      <c r="P59" s="38">
        <v>1.2112037037000001</v>
      </c>
      <c r="Q59" s="39" t="s">
        <v>919</v>
      </c>
      <c r="R59" s="35" t="s">
        <v>916</v>
      </c>
      <c r="S59" s="35"/>
      <c r="T59" s="35" t="s">
        <v>916</v>
      </c>
      <c r="U59" s="40">
        <v>46148</v>
      </c>
      <c r="V59" s="41">
        <v>46153.532673611109</v>
      </c>
      <c r="W59" s="40">
        <v>46147</v>
      </c>
      <c r="X59" s="35" t="s">
        <v>916</v>
      </c>
      <c r="Y59" s="35" t="s">
        <v>916</v>
      </c>
      <c r="Z59" s="35" t="s">
        <v>916</v>
      </c>
      <c r="AA59" s="38">
        <v>29.0688888888</v>
      </c>
      <c r="AB59" s="42" t="s">
        <v>916</v>
      </c>
      <c r="AC59" s="43" t="s">
        <v>916</v>
      </c>
      <c r="AD59" s="43" t="s">
        <v>916</v>
      </c>
      <c r="AE59" s="33" t="s">
        <v>916</v>
      </c>
      <c r="AF59" s="35" t="s">
        <v>916</v>
      </c>
      <c r="AG59" s="44">
        <v>0</v>
      </c>
      <c r="AH59" s="42" t="s">
        <v>916</v>
      </c>
      <c r="AI59" s="32" t="e">
        <f>VLOOKUP(A59,'4月明細'!B:B,1,0)</f>
        <v>#N/A</v>
      </c>
    </row>
    <row r="60" spans="1:35" ht="19.95" customHeight="1" x14ac:dyDescent="0.3">
      <c r="A60" s="33" t="s">
        <v>869</v>
      </c>
      <c r="B60" s="34">
        <v>46147.488587962966</v>
      </c>
      <c r="C60" s="34" t="str">
        <f t="shared" si="0"/>
        <v>202605</v>
      </c>
      <c r="D60" s="35" t="s">
        <v>996</v>
      </c>
      <c r="E60" s="36" t="s">
        <v>910</v>
      </c>
      <c r="F60" s="36" t="s">
        <v>961</v>
      </c>
      <c r="G60" s="37" t="s">
        <v>1146</v>
      </c>
      <c r="H60" s="36" t="s">
        <v>954</v>
      </c>
      <c r="I60" s="35" t="s">
        <v>1147</v>
      </c>
      <c r="J60" s="36" t="s">
        <v>914</v>
      </c>
      <c r="K60" s="33" t="s">
        <v>970</v>
      </c>
      <c r="L60" s="35" t="s">
        <v>916</v>
      </c>
      <c r="M60" s="36" t="s">
        <v>923</v>
      </c>
      <c r="N60" s="45">
        <v>46148.738935185182</v>
      </c>
      <c r="O60" s="36" t="s">
        <v>25</v>
      </c>
      <c r="P60" s="38">
        <v>1.2503472222000001</v>
      </c>
      <c r="Q60" s="39" t="s">
        <v>994</v>
      </c>
      <c r="R60" s="35" t="s">
        <v>916</v>
      </c>
      <c r="S60" s="35"/>
      <c r="T60" s="35" t="s">
        <v>916</v>
      </c>
      <c r="U60" s="40">
        <v>46148</v>
      </c>
      <c r="V60" s="41">
        <v>46153.532673611109</v>
      </c>
      <c r="W60" s="40">
        <v>46147</v>
      </c>
      <c r="X60" s="35" t="s">
        <v>916</v>
      </c>
      <c r="Y60" s="35" t="s">
        <v>916</v>
      </c>
      <c r="Z60" s="35" t="s">
        <v>916</v>
      </c>
      <c r="AA60" s="38">
        <v>30.008333332799999</v>
      </c>
      <c r="AB60" s="42" t="s">
        <v>916</v>
      </c>
      <c r="AC60" s="43" t="s">
        <v>916</v>
      </c>
      <c r="AD60" s="43" t="s">
        <v>916</v>
      </c>
      <c r="AE60" s="33" t="s">
        <v>916</v>
      </c>
      <c r="AF60" s="35" t="s">
        <v>916</v>
      </c>
      <c r="AG60" s="44">
        <v>0</v>
      </c>
      <c r="AH60" s="42" t="s">
        <v>916</v>
      </c>
      <c r="AI60" s="32" t="e">
        <f>VLOOKUP(A60,'4月明細'!B:B,1,0)</f>
        <v>#N/A</v>
      </c>
    </row>
    <row r="61" spans="1:35" ht="19.95" customHeight="1" x14ac:dyDescent="0.3">
      <c r="A61" s="33" t="s">
        <v>1148</v>
      </c>
      <c r="B61" s="34">
        <v>46147.422094907408</v>
      </c>
      <c r="C61" s="34" t="str">
        <f t="shared" si="0"/>
        <v>202605</v>
      </c>
      <c r="D61" s="35" t="s">
        <v>986</v>
      </c>
      <c r="E61" s="36" t="s">
        <v>1149</v>
      </c>
      <c r="F61" s="36" t="s">
        <v>1150</v>
      </c>
      <c r="G61" s="37" t="s">
        <v>1151</v>
      </c>
      <c r="H61" s="36" t="s">
        <v>1023</v>
      </c>
      <c r="I61" s="35" t="s">
        <v>1152</v>
      </c>
      <c r="J61" s="36" t="s">
        <v>1058</v>
      </c>
      <c r="K61" s="33" t="s">
        <v>1025</v>
      </c>
      <c r="L61" s="35" t="s">
        <v>916</v>
      </c>
      <c r="M61" s="36" t="s">
        <v>1135</v>
      </c>
      <c r="N61" s="36" t="s">
        <v>916</v>
      </c>
      <c r="O61" s="36" t="s">
        <v>939</v>
      </c>
      <c r="P61" s="38" t="s">
        <v>916</v>
      </c>
      <c r="Q61" s="39" t="s">
        <v>1153</v>
      </c>
      <c r="R61" s="35" t="s">
        <v>916</v>
      </c>
      <c r="S61" s="35"/>
      <c r="T61" s="35" t="s">
        <v>916</v>
      </c>
      <c r="U61" s="40">
        <v>46148</v>
      </c>
      <c r="V61" s="41">
        <v>46153.532673611109</v>
      </c>
      <c r="W61" s="40">
        <v>46147</v>
      </c>
      <c r="X61" s="40">
        <v>46153</v>
      </c>
      <c r="Y61" s="41">
        <v>46153</v>
      </c>
      <c r="Z61" s="35" t="s">
        <v>916</v>
      </c>
      <c r="AA61" s="38">
        <v>0</v>
      </c>
      <c r="AB61" s="42" t="s">
        <v>916</v>
      </c>
      <c r="AC61" s="43" t="s">
        <v>916</v>
      </c>
      <c r="AD61" s="43" t="s">
        <v>916</v>
      </c>
      <c r="AE61" s="33" t="s">
        <v>916</v>
      </c>
      <c r="AF61" s="35" t="s">
        <v>916</v>
      </c>
      <c r="AG61" s="44">
        <v>0</v>
      </c>
      <c r="AH61" s="42" t="s">
        <v>916</v>
      </c>
      <c r="AI61" s="32" t="e">
        <f>VLOOKUP(A61,'4月明細'!B:B,1,0)</f>
        <v>#N/A</v>
      </c>
    </row>
    <row r="62" spans="1:35" ht="19.95" customHeight="1" x14ac:dyDescent="0.3">
      <c r="A62" s="33" t="s">
        <v>1154</v>
      </c>
      <c r="B62" s="34">
        <v>46147.418657407405</v>
      </c>
      <c r="C62" s="34" t="str">
        <f t="shared" si="0"/>
        <v>202605</v>
      </c>
      <c r="D62" s="35" t="s">
        <v>986</v>
      </c>
      <c r="E62" s="36" t="s">
        <v>1149</v>
      </c>
      <c r="F62" s="36" t="s">
        <v>1155</v>
      </c>
      <c r="G62" s="37" t="s">
        <v>1156</v>
      </c>
      <c r="H62" s="36" t="s">
        <v>1157</v>
      </c>
      <c r="I62" s="35"/>
      <c r="J62" s="36" t="s">
        <v>929</v>
      </c>
      <c r="K62" s="33" t="s">
        <v>1158</v>
      </c>
      <c r="L62" s="35" t="s">
        <v>916</v>
      </c>
      <c r="M62" s="36" t="s">
        <v>923</v>
      </c>
      <c r="N62" s="36" t="s">
        <v>916</v>
      </c>
      <c r="O62" s="36" t="s">
        <v>918</v>
      </c>
      <c r="P62" s="38" t="s">
        <v>916</v>
      </c>
      <c r="Q62" s="39" t="s">
        <v>1159</v>
      </c>
      <c r="R62" s="35" t="s">
        <v>916</v>
      </c>
      <c r="S62" s="35"/>
      <c r="T62" s="35" t="s">
        <v>916</v>
      </c>
      <c r="U62" s="40">
        <v>46148</v>
      </c>
      <c r="V62" s="41">
        <v>46153.532673611109</v>
      </c>
      <c r="W62" s="40">
        <v>46147</v>
      </c>
      <c r="X62" s="35" t="s">
        <v>916</v>
      </c>
      <c r="Y62" s="35" t="s">
        <v>916</v>
      </c>
      <c r="Z62" s="35" t="s">
        <v>916</v>
      </c>
      <c r="AA62" s="38">
        <v>0</v>
      </c>
      <c r="AB62" s="42" t="s">
        <v>916</v>
      </c>
      <c r="AC62" s="43" t="s">
        <v>916</v>
      </c>
      <c r="AD62" s="43" t="s">
        <v>916</v>
      </c>
      <c r="AE62" s="33" t="s">
        <v>916</v>
      </c>
      <c r="AF62" s="35" t="s">
        <v>916</v>
      </c>
      <c r="AG62" s="44">
        <v>0</v>
      </c>
      <c r="AH62" s="42" t="s">
        <v>916</v>
      </c>
      <c r="AI62" s="32" t="e">
        <f>VLOOKUP(A62,'4月明細'!B:B,1,0)</f>
        <v>#N/A</v>
      </c>
    </row>
    <row r="63" spans="1:35" ht="19.95" customHeight="1" x14ac:dyDescent="0.3">
      <c r="A63" s="33" t="s">
        <v>868</v>
      </c>
      <c r="B63" s="34">
        <v>46147.41306712963</v>
      </c>
      <c r="C63" s="34" t="str">
        <f t="shared" si="0"/>
        <v>202605</v>
      </c>
      <c r="D63" s="35" t="s">
        <v>996</v>
      </c>
      <c r="E63" s="36" t="s">
        <v>910</v>
      </c>
      <c r="F63" s="36" t="s">
        <v>961</v>
      </c>
      <c r="G63" s="37" t="s">
        <v>1160</v>
      </c>
      <c r="H63" s="36" t="s">
        <v>954</v>
      </c>
      <c r="I63" s="35"/>
      <c r="J63" s="36" t="s">
        <v>914</v>
      </c>
      <c r="K63" s="33" t="s">
        <v>1086</v>
      </c>
      <c r="L63" s="35" t="s">
        <v>916</v>
      </c>
      <c r="M63" s="36" t="s">
        <v>923</v>
      </c>
      <c r="N63" s="45">
        <v>46148.738252314812</v>
      </c>
      <c r="O63" s="36" t="s">
        <v>25</v>
      </c>
      <c r="P63" s="38">
        <v>1.3251851852000001</v>
      </c>
      <c r="Q63" s="39" t="s">
        <v>1087</v>
      </c>
      <c r="R63" s="35" t="s">
        <v>916</v>
      </c>
      <c r="S63" s="35"/>
      <c r="T63" s="35" t="s">
        <v>916</v>
      </c>
      <c r="U63" s="40">
        <v>46148</v>
      </c>
      <c r="V63" s="41">
        <v>46153.532673611109</v>
      </c>
      <c r="W63" s="40">
        <v>46147</v>
      </c>
      <c r="X63" s="35" t="s">
        <v>916</v>
      </c>
      <c r="Y63" s="35" t="s">
        <v>916</v>
      </c>
      <c r="Z63" s="35" t="s">
        <v>916</v>
      </c>
      <c r="AA63" s="38">
        <v>31.804444444800001</v>
      </c>
      <c r="AB63" s="42" t="s">
        <v>916</v>
      </c>
      <c r="AC63" s="43" t="s">
        <v>916</v>
      </c>
      <c r="AD63" s="43" t="s">
        <v>916</v>
      </c>
      <c r="AE63" s="33" t="s">
        <v>916</v>
      </c>
      <c r="AF63" s="35" t="s">
        <v>916</v>
      </c>
      <c r="AG63" s="44">
        <v>0</v>
      </c>
      <c r="AH63" s="42" t="s">
        <v>916</v>
      </c>
      <c r="AI63" s="32" t="e">
        <f>VLOOKUP(A63,'4月明細'!B:B,1,0)</f>
        <v>#N/A</v>
      </c>
    </row>
    <row r="64" spans="1:35" ht="19.95" customHeight="1" x14ac:dyDescent="0.3">
      <c r="A64" s="33" t="s">
        <v>867</v>
      </c>
      <c r="B64" s="34">
        <v>46147.410243055558</v>
      </c>
      <c r="C64" s="34" t="str">
        <f t="shared" si="0"/>
        <v>202605</v>
      </c>
      <c r="D64" s="35" t="s">
        <v>996</v>
      </c>
      <c r="E64" s="36" t="s">
        <v>910</v>
      </c>
      <c r="F64" s="36" t="s">
        <v>1161</v>
      </c>
      <c r="G64" s="37" t="s">
        <v>1162</v>
      </c>
      <c r="H64" s="36" t="s">
        <v>954</v>
      </c>
      <c r="I64" s="35" t="s">
        <v>1163</v>
      </c>
      <c r="J64" s="36" t="s">
        <v>929</v>
      </c>
      <c r="K64" s="33" t="s">
        <v>1043</v>
      </c>
      <c r="L64" s="35" t="s">
        <v>916</v>
      </c>
      <c r="M64" s="36" t="s">
        <v>923</v>
      </c>
      <c r="N64" s="45">
        <v>46148.73810185185</v>
      </c>
      <c r="O64" s="36" t="s">
        <v>25</v>
      </c>
      <c r="P64" s="38">
        <v>1.3278587962999999</v>
      </c>
      <c r="Q64" s="39" t="s">
        <v>1087</v>
      </c>
      <c r="R64" s="35" t="s">
        <v>916</v>
      </c>
      <c r="S64" s="35"/>
      <c r="T64" s="35" t="s">
        <v>916</v>
      </c>
      <c r="U64" s="40">
        <v>46148</v>
      </c>
      <c r="V64" s="41">
        <v>46153.532673611109</v>
      </c>
      <c r="W64" s="40">
        <v>46147</v>
      </c>
      <c r="X64" s="35" t="s">
        <v>916</v>
      </c>
      <c r="Y64" s="35" t="s">
        <v>916</v>
      </c>
      <c r="Z64" s="35" t="s">
        <v>916</v>
      </c>
      <c r="AA64" s="38">
        <v>31.8686111112</v>
      </c>
      <c r="AB64" s="42" t="s">
        <v>916</v>
      </c>
      <c r="AC64" s="43" t="s">
        <v>916</v>
      </c>
      <c r="AD64" s="43" t="s">
        <v>916</v>
      </c>
      <c r="AE64" s="33" t="s">
        <v>916</v>
      </c>
      <c r="AF64" s="35" t="s">
        <v>916</v>
      </c>
      <c r="AG64" s="44">
        <v>0</v>
      </c>
      <c r="AH64" s="42" t="s">
        <v>916</v>
      </c>
      <c r="AI64" s="32" t="e">
        <f>VLOOKUP(A64,'4月明細'!B:B,1,0)</f>
        <v>#N/A</v>
      </c>
    </row>
    <row r="65" spans="1:35" ht="19.95" customHeight="1" x14ac:dyDescent="0.3">
      <c r="A65" s="33" t="s">
        <v>866</v>
      </c>
      <c r="B65" s="34">
        <v>46147.310543981483</v>
      </c>
      <c r="C65" s="34" t="str">
        <f t="shared" si="0"/>
        <v>202605</v>
      </c>
      <c r="D65" s="35" t="s">
        <v>1164</v>
      </c>
      <c r="E65" s="36" t="s">
        <v>910</v>
      </c>
      <c r="F65" s="36" t="s">
        <v>1138</v>
      </c>
      <c r="G65" s="37" t="s">
        <v>1165</v>
      </c>
      <c r="H65" s="36" t="s">
        <v>913</v>
      </c>
      <c r="I65" s="35"/>
      <c r="J65" s="36" t="s">
        <v>938</v>
      </c>
      <c r="K65" s="33" t="s">
        <v>915</v>
      </c>
      <c r="L65" s="35" t="s">
        <v>916</v>
      </c>
      <c r="M65" s="36" t="s">
        <v>923</v>
      </c>
      <c r="N65" s="45">
        <v>46148.73878472222</v>
      </c>
      <c r="O65" s="36" t="s">
        <v>25</v>
      </c>
      <c r="P65" s="38">
        <v>1.4282407407</v>
      </c>
      <c r="Q65" s="39" t="s">
        <v>919</v>
      </c>
      <c r="R65" s="35" t="s">
        <v>916</v>
      </c>
      <c r="S65" s="35"/>
      <c r="T65" s="35" t="s">
        <v>916</v>
      </c>
      <c r="U65" s="40">
        <v>46148</v>
      </c>
      <c r="V65" s="41">
        <v>46153.532673611109</v>
      </c>
      <c r="W65" s="40">
        <v>46147</v>
      </c>
      <c r="X65" s="35" t="s">
        <v>916</v>
      </c>
      <c r="Y65" s="35" t="s">
        <v>916</v>
      </c>
      <c r="Z65" s="35" t="s">
        <v>916</v>
      </c>
      <c r="AA65" s="38">
        <v>34.277777776800001</v>
      </c>
      <c r="AB65" s="42" t="s">
        <v>916</v>
      </c>
      <c r="AC65" s="43" t="s">
        <v>916</v>
      </c>
      <c r="AD65" s="43" t="s">
        <v>916</v>
      </c>
      <c r="AE65" s="33" t="s">
        <v>916</v>
      </c>
      <c r="AF65" s="35" t="s">
        <v>916</v>
      </c>
      <c r="AG65" s="44">
        <v>0</v>
      </c>
      <c r="AH65" s="42" t="s">
        <v>916</v>
      </c>
      <c r="AI65" s="32" t="e">
        <f>VLOOKUP(A65,'4月明細'!B:B,1,0)</f>
        <v>#N/A</v>
      </c>
    </row>
    <row r="66" spans="1:35" ht="19.95" customHeight="1" x14ac:dyDescent="0.3">
      <c r="A66" s="33" t="s">
        <v>865</v>
      </c>
      <c r="B66" s="34">
        <v>46146.903657407405</v>
      </c>
      <c r="C66" s="34" t="str">
        <f t="shared" si="0"/>
        <v>202605</v>
      </c>
      <c r="D66" s="35" t="s">
        <v>986</v>
      </c>
      <c r="E66" s="36" t="s">
        <v>910</v>
      </c>
      <c r="F66" s="36" t="s">
        <v>1166</v>
      </c>
      <c r="G66" s="37" t="s">
        <v>1167</v>
      </c>
      <c r="H66" s="36" t="s">
        <v>954</v>
      </c>
      <c r="I66" s="35"/>
      <c r="J66" s="36" t="s">
        <v>1058</v>
      </c>
      <c r="K66" s="33" t="s">
        <v>956</v>
      </c>
      <c r="L66" s="35" t="s">
        <v>916</v>
      </c>
      <c r="M66" s="36" t="s">
        <v>923</v>
      </c>
      <c r="N66" s="45">
        <v>46147.431967592594</v>
      </c>
      <c r="O66" s="36" t="s">
        <v>25</v>
      </c>
      <c r="P66" s="38">
        <v>0.52831018519999995</v>
      </c>
      <c r="Q66" s="39" t="s">
        <v>958</v>
      </c>
      <c r="R66" s="35" t="s">
        <v>916</v>
      </c>
      <c r="S66" s="35"/>
      <c r="T66" s="35" t="s">
        <v>916</v>
      </c>
      <c r="U66" s="40">
        <v>46147</v>
      </c>
      <c r="V66" s="41">
        <v>46153.532673611109</v>
      </c>
      <c r="W66" s="40">
        <v>46147</v>
      </c>
      <c r="X66" s="35" t="s">
        <v>916</v>
      </c>
      <c r="Y66" s="35" t="s">
        <v>916</v>
      </c>
      <c r="Z66" s="35" t="s">
        <v>916</v>
      </c>
      <c r="AA66" s="38">
        <v>12.6794444448</v>
      </c>
      <c r="AB66" s="42" t="s">
        <v>916</v>
      </c>
      <c r="AC66" s="43" t="s">
        <v>916</v>
      </c>
      <c r="AD66" s="43" t="s">
        <v>916</v>
      </c>
      <c r="AE66" s="33" t="s">
        <v>916</v>
      </c>
      <c r="AF66" s="35" t="s">
        <v>916</v>
      </c>
      <c r="AG66" s="44">
        <v>0</v>
      </c>
      <c r="AH66" s="42" t="s">
        <v>916</v>
      </c>
      <c r="AI66" s="32" t="e">
        <f>VLOOKUP(A66,'4月明細'!B:B,1,0)</f>
        <v>#N/A</v>
      </c>
    </row>
    <row r="67" spans="1:35" ht="19.95" customHeight="1" x14ac:dyDescent="0.3">
      <c r="A67" s="33" t="s">
        <v>864</v>
      </c>
      <c r="B67" s="34">
        <v>46146.725613425922</v>
      </c>
      <c r="C67" s="34" t="str">
        <f t="shared" ref="C67:C130" si="1">TEXT(B67,"YYYYMM")</f>
        <v>202605</v>
      </c>
      <c r="D67" s="35" t="s">
        <v>1168</v>
      </c>
      <c r="E67" s="36" t="s">
        <v>942</v>
      </c>
      <c r="F67" s="36" t="s">
        <v>964</v>
      </c>
      <c r="G67" s="37" t="s">
        <v>1169</v>
      </c>
      <c r="H67" s="36" t="s">
        <v>913</v>
      </c>
      <c r="I67" s="35"/>
      <c r="J67" s="36" t="s">
        <v>945</v>
      </c>
      <c r="K67" s="33" t="s">
        <v>915</v>
      </c>
      <c r="L67" s="35" t="s">
        <v>916</v>
      </c>
      <c r="M67" s="36" t="s">
        <v>923</v>
      </c>
      <c r="N67" s="45">
        <v>46147.432523148149</v>
      </c>
      <c r="O67" s="36" t="s">
        <v>25</v>
      </c>
      <c r="P67" s="38">
        <v>0.70690972220000003</v>
      </c>
      <c r="Q67" s="39" t="s">
        <v>919</v>
      </c>
      <c r="R67" s="35" t="s">
        <v>916</v>
      </c>
      <c r="S67" s="35"/>
      <c r="T67" s="35" t="s">
        <v>916</v>
      </c>
      <c r="U67" s="40">
        <v>46147</v>
      </c>
      <c r="V67" s="41">
        <v>46153.532673611109</v>
      </c>
      <c r="W67" s="40">
        <v>46146</v>
      </c>
      <c r="X67" s="35" t="s">
        <v>916</v>
      </c>
      <c r="Y67" s="35" t="s">
        <v>916</v>
      </c>
      <c r="Z67" s="35" t="s">
        <v>916</v>
      </c>
      <c r="AA67" s="38">
        <v>16.965833332799999</v>
      </c>
      <c r="AB67" s="42" t="s">
        <v>916</v>
      </c>
      <c r="AC67" s="43" t="s">
        <v>916</v>
      </c>
      <c r="AD67" s="43" t="s">
        <v>916</v>
      </c>
      <c r="AE67" s="33" t="s">
        <v>916</v>
      </c>
      <c r="AF67" s="35" t="s">
        <v>916</v>
      </c>
      <c r="AG67" s="44">
        <v>0</v>
      </c>
      <c r="AH67" s="42" t="s">
        <v>916</v>
      </c>
      <c r="AI67" s="32" t="e">
        <f>VLOOKUP(A67,'4月明細'!B:B,1,0)</f>
        <v>#N/A</v>
      </c>
    </row>
    <row r="68" spans="1:35" ht="19.95" customHeight="1" x14ac:dyDescent="0.3">
      <c r="A68" s="33" t="s">
        <v>1170</v>
      </c>
      <c r="B68" s="34">
        <v>46146.7028587963</v>
      </c>
      <c r="C68" s="34" t="str">
        <f t="shared" si="1"/>
        <v>202605</v>
      </c>
      <c r="D68" s="35" t="s">
        <v>1171</v>
      </c>
      <c r="E68" s="36" t="s">
        <v>1149</v>
      </c>
      <c r="F68" s="36" t="s">
        <v>1172</v>
      </c>
      <c r="G68" s="37" t="s">
        <v>1173</v>
      </c>
      <c r="H68" s="36" t="s">
        <v>954</v>
      </c>
      <c r="I68" s="35"/>
      <c r="J68" s="36" t="s">
        <v>1058</v>
      </c>
      <c r="K68" s="33" t="s">
        <v>956</v>
      </c>
      <c r="L68" s="35" t="s">
        <v>916</v>
      </c>
      <c r="M68" s="36" t="s">
        <v>917</v>
      </c>
      <c r="N68" s="36" t="s">
        <v>916</v>
      </c>
      <c r="O68" s="36" t="s">
        <v>918</v>
      </c>
      <c r="P68" s="38" t="s">
        <v>916</v>
      </c>
      <c r="Q68" s="39" t="s">
        <v>1174</v>
      </c>
      <c r="R68" s="35" t="s">
        <v>916</v>
      </c>
      <c r="S68" s="35"/>
      <c r="T68" s="35" t="s">
        <v>916</v>
      </c>
      <c r="U68" s="40">
        <v>46147</v>
      </c>
      <c r="V68" s="41">
        <v>46153.532673611109</v>
      </c>
      <c r="W68" s="40">
        <v>46146</v>
      </c>
      <c r="X68" s="35" t="s">
        <v>916</v>
      </c>
      <c r="Y68" s="35" t="s">
        <v>916</v>
      </c>
      <c r="Z68" s="35" t="s">
        <v>916</v>
      </c>
      <c r="AA68" s="38">
        <v>0</v>
      </c>
      <c r="AB68" s="42" t="s">
        <v>916</v>
      </c>
      <c r="AC68" s="43" t="s">
        <v>916</v>
      </c>
      <c r="AD68" s="43" t="s">
        <v>916</v>
      </c>
      <c r="AE68" s="33" t="s">
        <v>916</v>
      </c>
      <c r="AF68" s="35" t="s">
        <v>916</v>
      </c>
      <c r="AG68" s="44">
        <v>0</v>
      </c>
      <c r="AH68" s="42" t="s">
        <v>916</v>
      </c>
      <c r="AI68" s="32" t="e">
        <f>VLOOKUP(A68,'4月明細'!B:B,1,0)</f>
        <v>#N/A</v>
      </c>
    </row>
    <row r="69" spans="1:35" ht="19.95" customHeight="1" x14ac:dyDescent="0.3">
      <c r="A69" s="33" t="s">
        <v>1175</v>
      </c>
      <c r="B69" s="34">
        <v>46146.559328703705</v>
      </c>
      <c r="C69" s="34" t="str">
        <f t="shared" si="1"/>
        <v>202605</v>
      </c>
      <c r="D69" s="35" t="s">
        <v>1014</v>
      </c>
      <c r="E69" s="36" t="s">
        <v>1112</v>
      </c>
      <c r="F69" s="36" t="s">
        <v>1150</v>
      </c>
      <c r="G69" s="37" t="s">
        <v>1176</v>
      </c>
      <c r="H69" s="36" t="s">
        <v>1114</v>
      </c>
      <c r="I69" s="35"/>
      <c r="J69" s="36" t="s">
        <v>938</v>
      </c>
      <c r="K69" s="33" t="s">
        <v>1115</v>
      </c>
      <c r="L69" s="35" t="s">
        <v>916</v>
      </c>
      <c r="M69" s="36" t="s">
        <v>916</v>
      </c>
      <c r="N69" s="36" t="s">
        <v>916</v>
      </c>
      <c r="O69" s="36" t="s">
        <v>939</v>
      </c>
      <c r="P69" s="38" t="s">
        <v>916</v>
      </c>
      <c r="Q69" s="36" t="s">
        <v>916</v>
      </c>
      <c r="R69" s="35" t="s">
        <v>916</v>
      </c>
      <c r="S69" s="35"/>
      <c r="T69" s="35" t="s">
        <v>916</v>
      </c>
      <c r="U69" s="40">
        <v>46147</v>
      </c>
      <c r="V69" s="41">
        <v>46153.532673611109</v>
      </c>
      <c r="W69" s="40">
        <v>46146</v>
      </c>
      <c r="X69" s="40">
        <v>46153</v>
      </c>
      <c r="Y69" s="35" t="s">
        <v>916</v>
      </c>
      <c r="Z69" s="35" t="s">
        <v>916</v>
      </c>
      <c r="AA69" s="38">
        <v>0</v>
      </c>
      <c r="AB69" s="42" t="s">
        <v>916</v>
      </c>
      <c r="AC69" s="43" t="s">
        <v>916</v>
      </c>
      <c r="AD69" s="43" t="s">
        <v>916</v>
      </c>
      <c r="AE69" s="33" t="s">
        <v>916</v>
      </c>
      <c r="AF69" s="35" t="s">
        <v>916</v>
      </c>
      <c r="AG69" s="44">
        <v>0</v>
      </c>
      <c r="AH69" s="42" t="s">
        <v>916</v>
      </c>
      <c r="AI69" s="32" t="e">
        <f>VLOOKUP(A69,'4月明細'!B:B,1,0)</f>
        <v>#N/A</v>
      </c>
    </row>
    <row r="70" spans="1:35" ht="19.95" customHeight="1" x14ac:dyDescent="0.3">
      <c r="A70" s="33" t="s">
        <v>1177</v>
      </c>
      <c r="B70" s="34">
        <v>46146.529016203705</v>
      </c>
      <c r="C70" s="34" t="str">
        <f t="shared" si="1"/>
        <v>202605</v>
      </c>
      <c r="D70" s="35" t="s">
        <v>1178</v>
      </c>
      <c r="E70" s="36" t="s">
        <v>910</v>
      </c>
      <c r="F70" s="36" t="s">
        <v>1179</v>
      </c>
      <c r="G70" s="37" t="s">
        <v>1180</v>
      </c>
      <c r="H70" s="36" t="s">
        <v>928</v>
      </c>
      <c r="I70" s="35" t="s">
        <v>1181</v>
      </c>
      <c r="J70" s="36" t="s">
        <v>914</v>
      </c>
      <c r="K70" s="33" t="s">
        <v>1182</v>
      </c>
      <c r="L70" s="35" t="s">
        <v>916</v>
      </c>
      <c r="M70" s="36" t="s">
        <v>916</v>
      </c>
      <c r="N70" s="36" t="s">
        <v>916</v>
      </c>
      <c r="O70" s="36" t="s">
        <v>939</v>
      </c>
      <c r="P70" s="38" t="s">
        <v>916</v>
      </c>
      <c r="Q70" s="36" t="s">
        <v>916</v>
      </c>
      <c r="R70" s="35" t="s">
        <v>916</v>
      </c>
      <c r="S70" s="35"/>
      <c r="T70" s="35" t="s">
        <v>916</v>
      </c>
      <c r="U70" s="40">
        <v>46147</v>
      </c>
      <c r="V70" s="41">
        <v>46153.532673611109</v>
      </c>
      <c r="W70" s="40">
        <v>46146</v>
      </c>
      <c r="X70" s="40">
        <v>46153</v>
      </c>
      <c r="Y70" s="35" t="s">
        <v>916</v>
      </c>
      <c r="Z70" s="35" t="s">
        <v>916</v>
      </c>
      <c r="AA70" s="38">
        <v>0</v>
      </c>
      <c r="AB70" s="42" t="s">
        <v>916</v>
      </c>
      <c r="AC70" s="43" t="s">
        <v>916</v>
      </c>
      <c r="AD70" s="43" t="s">
        <v>916</v>
      </c>
      <c r="AE70" s="33" t="s">
        <v>916</v>
      </c>
      <c r="AF70" s="35" t="s">
        <v>916</v>
      </c>
      <c r="AG70" s="44">
        <v>0</v>
      </c>
      <c r="AH70" s="42" t="s">
        <v>916</v>
      </c>
      <c r="AI70" s="32" t="e">
        <f>VLOOKUP(A70,'4月明細'!B:B,1,0)</f>
        <v>#N/A</v>
      </c>
    </row>
    <row r="71" spans="1:35" ht="19.95" customHeight="1" x14ac:dyDescent="0.3">
      <c r="A71" s="33" t="s">
        <v>863</v>
      </c>
      <c r="B71" s="34">
        <v>46145.730127314811</v>
      </c>
      <c r="C71" s="34" t="str">
        <f t="shared" si="1"/>
        <v>202605</v>
      </c>
      <c r="D71" s="35" t="s">
        <v>1014</v>
      </c>
      <c r="E71" s="36" t="s">
        <v>942</v>
      </c>
      <c r="F71" s="36" t="s">
        <v>1183</v>
      </c>
      <c r="G71" s="37" t="s">
        <v>1184</v>
      </c>
      <c r="H71" s="36" t="s">
        <v>954</v>
      </c>
      <c r="I71" s="35"/>
      <c r="J71" s="36" t="s">
        <v>929</v>
      </c>
      <c r="K71" s="33" t="s">
        <v>970</v>
      </c>
      <c r="L71" s="35" t="s">
        <v>916</v>
      </c>
      <c r="M71" s="36" t="s">
        <v>923</v>
      </c>
      <c r="N71" s="45">
        <v>46147.454965277779</v>
      </c>
      <c r="O71" s="36" t="s">
        <v>25</v>
      </c>
      <c r="P71" s="38">
        <v>1.7248379629999999</v>
      </c>
      <c r="Q71" s="39" t="s">
        <v>994</v>
      </c>
      <c r="R71" s="35" t="s">
        <v>916</v>
      </c>
      <c r="S71" s="35"/>
      <c r="T71" s="35" t="s">
        <v>916</v>
      </c>
      <c r="U71" s="40">
        <v>46146</v>
      </c>
      <c r="V71" s="41">
        <v>46153.532673611109</v>
      </c>
      <c r="W71" s="40">
        <v>46145</v>
      </c>
      <c r="X71" s="35" t="s">
        <v>916</v>
      </c>
      <c r="Y71" s="35" t="s">
        <v>916</v>
      </c>
      <c r="Z71" s="35" t="s">
        <v>916</v>
      </c>
      <c r="AA71" s="38">
        <v>41.396111112</v>
      </c>
      <c r="AB71" s="42" t="s">
        <v>916</v>
      </c>
      <c r="AC71" s="43" t="s">
        <v>916</v>
      </c>
      <c r="AD71" s="43" t="s">
        <v>916</v>
      </c>
      <c r="AE71" s="33" t="s">
        <v>916</v>
      </c>
      <c r="AF71" s="35" t="s">
        <v>916</v>
      </c>
      <c r="AG71" s="44">
        <v>0</v>
      </c>
      <c r="AH71" s="42" t="s">
        <v>916</v>
      </c>
      <c r="AI71" s="32" t="e">
        <f>VLOOKUP(A71,'4月明細'!B:B,1,0)</f>
        <v>#N/A</v>
      </c>
    </row>
    <row r="72" spans="1:35" ht="19.95" customHeight="1" x14ac:dyDescent="0.3">
      <c r="A72" s="33" t="s">
        <v>862</v>
      </c>
      <c r="B72" s="34">
        <v>46145.56523148148</v>
      </c>
      <c r="C72" s="34" t="str">
        <f t="shared" si="1"/>
        <v>202605</v>
      </c>
      <c r="D72" s="35" t="s">
        <v>951</v>
      </c>
      <c r="E72" s="36" t="s">
        <v>910</v>
      </c>
      <c r="F72" s="36" t="s">
        <v>1183</v>
      </c>
      <c r="G72" s="37" t="s">
        <v>1185</v>
      </c>
      <c r="H72" s="36" t="s">
        <v>954</v>
      </c>
      <c r="I72" s="35" t="s">
        <v>1186</v>
      </c>
      <c r="J72" s="36" t="s">
        <v>914</v>
      </c>
      <c r="K72" s="33" t="s">
        <v>970</v>
      </c>
      <c r="L72" s="35" t="s">
        <v>916</v>
      </c>
      <c r="M72" s="36" t="s">
        <v>923</v>
      </c>
      <c r="N72" s="45">
        <v>46147.458680555559</v>
      </c>
      <c r="O72" s="36" t="s">
        <v>25</v>
      </c>
      <c r="P72" s="38">
        <v>1.8934490741000001</v>
      </c>
      <c r="Q72" s="39" t="s">
        <v>984</v>
      </c>
      <c r="R72" s="35" t="s">
        <v>916</v>
      </c>
      <c r="S72" s="35"/>
      <c r="T72" s="35" t="s">
        <v>916</v>
      </c>
      <c r="U72" s="40">
        <v>46146</v>
      </c>
      <c r="V72" s="41">
        <v>46153.532673611109</v>
      </c>
      <c r="W72" s="40">
        <v>46145</v>
      </c>
      <c r="X72" s="35" t="s">
        <v>916</v>
      </c>
      <c r="Y72" s="35" t="s">
        <v>916</v>
      </c>
      <c r="Z72" s="35" t="s">
        <v>916</v>
      </c>
      <c r="AA72" s="38">
        <v>45.4427777784</v>
      </c>
      <c r="AB72" s="42" t="s">
        <v>916</v>
      </c>
      <c r="AC72" s="43" t="s">
        <v>916</v>
      </c>
      <c r="AD72" s="43" t="s">
        <v>916</v>
      </c>
      <c r="AE72" s="33" t="s">
        <v>916</v>
      </c>
      <c r="AF72" s="35" t="s">
        <v>916</v>
      </c>
      <c r="AG72" s="44">
        <v>0</v>
      </c>
      <c r="AH72" s="42" t="s">
        <v>916</v>
      </c>
      <c r="AI72" s="32" t="e">
        <f>VLOOKUP(A72,'4月明細'!B:B,1,0)</f>
        <v>#N/A</v>
      </c>
    </row>
    <row r="73" spans="1:35" ht="19.95" customHeight="1" x14ac:dyDescent="0.3">
      <c r="A73" s="33" t="s">
        <v>861</v>
      </c>
      <c r="B73" s="34">
        <v>46145.531284722223</v>
      </c>
      <c r="C73" s="34" t="str">
        <f t="shared" si="1"/>
        <v>202605</v>
      </c>
      <c r="D73" s="35" t="s">
        <v>951</v>
      </c>
      <c r="E73" s="36" t="s">
        <v>910</v>
      </c>
      <c r="F73" s="36" t="s">
        <v>1121</v>
      </c>
      <c r="G73" s="37" t="s">
        <v>1187</v>
      </c>
      <c r="H73" s="36" t="s">
        <v>954</v>
      </c>
      <c r="I73" s="35" t="s">
        <v>1188</v>
      </c>
      <c r="J73" s="36" t="s">
        <v>929</v>
      </c>
      <c r="K73" s="33" t="s">
        <v>970</v>
      </c>
      <c r="L73" s="35" t="s">
        <v>916</v>
      </c>
      <c r="M73" s="36" t="s">
        <v>923</v>
      </c>
      <c r="N73" s="45">
        <v>46148.737974537034</v>
      </c>
      <c r="O73" s="36" t="s">
        <v>25</v>
      </c>
      <c r="P73" s="38">
        <v>3.2066898147999998</v>
      </c>
      <c r="Q73" s="39" t="s">
        <v>984</v>
      </c>
      <c r="R73" s="35" t="s">
        <v>916</v>
      </c>
      <c r="S73" s="35"/>
      <c r="T73" s="35" t="s">
        <v>916</v>
      </c>
      <c r="U73" s="40">
        <v>46146</v>
      </c>
      <c r="V73" s="41">
        <v>46153.532673611109</v>
      </c>
      <c r="W73" s="40">
        <v>46145</v>
      </c>
      <c r="X73" s="35" t="s">
        <v>916</v>
      </c>
      <c r="Y73" s="35" t="s">
        <v>916</v>
      </c>
      <c r="Z73" s="35" t="s">
        <v>916</v>
      </c>
      <c r="AA73" s="38">
        <v>76.960555555200003</v>
      </c>
      <c r="AB73" s="42" t="s">
        <v>916</v>
      </c>
      <c r="AC73" s="43" t="s">
        <v>916</v>
      </c>
      <c r="AD73" s="43" t="s">
        <v>916</v>
      </c>
      <c r="AE73" s="33" t="s">
        <v>916</v>
      </c>
      <c r="AF73" s="35" t="s">
        <v>916</v>
      </c>
      <c r="AG73" s="44">
        <v>0</v>
      </c>
      <c r="AH73" s="42" t="s">
        <v>916</v>
      </c>
      <c r="AI73" s="32" t="e">
        <f>VLOOKUP(A73,'4月明細'!B:B,1,0)</f>
        <v>#N/A</v>
      </c>
    </row>
    <row r="74" spans="1:35" ht="19.95" customHeight="1" x14ac:dyDescent="0.3">
      <c r="A74" s="33" t="s">
        <v>860</v>
      </c>
      <c r="B74" s="34">
        <v>46145.530289351853</v>
      </c>
      <c r="C74" s="34" t="str">
        <f t="shared" si="1"/>
        <v>202605</v>
      </c>
      <c r="D74" s="35" t="s">
        <v>951</v>
      </c>
      <c r="E74" s="36" t="s">
        <v>910</v>
      </c>
      <c r="F74" s="36" t="s">
        <v>1121</v>
      </c>
      <c r="G74" s="37" t="s">
        <v>1189</v>
      </c>
      <c r="H74" s="36" t="s">
        <v>954</v>
      </c>
      <c r="I74" s="35" t="s">
        <v>1190</v>
      </c>
      <c r="J74" s="36" t="s">
        <v>929</v>
      </c>
      <c r="K74" s="33" t="s">
        <v>1086</v>
      </c>
      <c r="L74" s="35" t="s">
        <v>916</v>
      </c>
      <c r="M74" s="36" t="s">
        <v>923</v>
      </c>
      <c r="N74" s="45">
        <v>46148.737858796296</v>
      </c>
      <c r="O74" s="36" t="s">
        <v>25</v>
      </c>
      <c r="P74" s="38">
        <v>3.2075694443999998</v>
      </c>
      <c r="Q74" s="39" t="s">
        <v>1087</v>
      </c>
      <c r="R74" s="35" t="s">
        <v>916</v>
      </c>
      <c r="S74" s="35"/>
      <c r="T74" s="35" t="s">
        <v>916</v>
      </c>
      <c r="U74" s="40">
        <v>46146</v>
      </c>
      <c r="V74" s="41">
        <v>46153.532673611109</v>
      </c>
      <c r="W74" s="40">
        <v>46145</v>
      </c>
      <c r="X74" s="35" t="s">
        <v>916</v>
      </c>
      <c r="Y74" s="35" t="s">
        <v>916</v>
      </c>
      <c r="Z74" s="35" t="s">
        <v>916</v>
      </c>
      <c r="AA74" s="38">
        <v>76.981666665600002</v>
      </c>
      <c r="AB74" s="42" t="s">
        <v>916</v>
      </c>
      <c r="AC74" s="43" t="s">
        <v>916</v>
      </c>
      <c r="AD74" s="43" t="s">
        <v>916</v>
      </c>
      <c r="AE74" s="33" t="s">
        <v>916</v>
      </c>
      <c r="AF74" s="35" t="s">
        <v>916</v>
      </c>
      <c r="AG74" s="44">
        <v>0</v>
      </c>
      <c r="AH74" s="42" t="s">
        <v>916</v>
      </c>
      <c r="AI74" s="32" t="e">
        <f>VLOOKUP(A74,'4月明細'!B:B,1,0)</f>
        <v>#N/A</v>
      </c>
    </row>
    <row r="75" spans="1:35" ht="19.95" customHeight="1" x14ac:dyDescent="0.3">
      <c r="A75" s="33" t="s">
        <v>1191</v>
      </c>
      <c r="B75" s="34">
        <v>46145.34716435185</v>
      </c>
      <c r="C75" s="34" t="str">
        <f t="shared" si="1"/>
        <v>202605</v>
      </c>
      <c r="D75" s="35" t="s">
        <v>1192</v>
      </c>
      <c r="E75" s="36" t="s">
        <v>1102</v>
      </c>
      <c r="F75" s="36" t="s">
        <v>1193</v>
      </c>
      <c r="G75" s="37" t="s">
        <v>1194</v>
      </c>
      <c r="H75" s="36" t="s">
        <v>1114</v>
      </c>
      <c r="I75" s="35" t="s">
        <v>1195</v>
      </c>
      <c r="J75" s="36" t="s">
        <v>938</v>
      </c>
      <c r="K75" s="33" t="s">
        <v>1196</v>
      </c>
      <c r="L75" s="35" t="s">
        <v>916</v>
      </c>
      <c r="M75" s="36" t="s">
        <v>916</v>
      </c>
      <c r="N75" s="36" t="s">
        <v>916</v>
      </c>
      <c r="O75" s="36" t="s">
        <v>939</v>
      </c>
      <c r="P75" s="38" t="s">
        <v>916</v>
      </c>
      <c r="Q75" s="36" t="s">
        <v>916</v>
      </c>
      <c r="R75" s="35" t="s">
        <v>916</v>
      </c>
      <c r="S75" s="35"/>
      <c r="T75" s="35" t="s">
        <v>916</v>
      </c>
      <c r="U75" s="40">
        <v>46146</v>
      </c>
      <c r="V75" s="41">
        <v>46153.532673611109</v>
      </c>
      <c r="W75" s="40">
        <v>46145</v>
      </c>
      <c r="X75" s="40">
        <v>46153</v>
      </c>
      <c r="Y75" s="35" t="s">
        <v>916</v>
      </c>
      <c r="Z75" s="35" t="s">
        <v>916</v>
      </c>
      <c r="AA75" s="38">
        <v>0</v>
      </c>
      <c r="AB75" s="42" t="s">
        <v>916</v>
      </c>
      <c r="AC75" s="43" t="s">
        <v>916</v>
      </c>
      <c r="AD75" s="43" t="s">
        <v>916</v>
      </c>
      <c r="AE75" s="33" t="s">
        <v>916</v>
      </c>
      <c r="AF75" s="35" t="s">
        <v>916</v>
      </c>
      <c r="AG75" s="44">
        <v>0</v>
      </c>
      <c r="AH75" s="42" t="s">
        <v>916</v>
      </c>
      <c r="AI75" s="32" t="e">
        <f>VLOOKUP(A75,'4月明細'!B:B,1,0)</f>
        <v>#N/A</v>
      </c>
    </row>
    <row r="76" spans="1:35" ht="19.95" customHeight="1" x14ac:dyDescent="0.3">
      <c r="A76" s="33" t="s">
        <v>1197</v>
      </c>
      <c r="B76" s="34">
        <v>46144.838564814818</v>
      </c>
      <c r="C76" s="34" t="str">
        <f t="shared" si="1"/>
        <v>202605</v>
      </c>
      <c r="D76" s="35" t="s">
        <v>1198</v>
      </c>
      <c r="E76" s="36" t="s">
        <v>1199</v>
      </c>
      <c r="F76" s="36" t="s">
        <v>1200</v>
      </c>
      <c r="G76" s="37" t="s">
        <v>1201</v>
      </c>
      <c r="H76" s="36" t="s">
        <v>1023</v>
      </c>
      <c r="I76" s="35" t="s">
        <v>1202</v>
      </c>
      <c r="J76" s="36" t="s">
        <v>938</v>
      </c>
      <c r="K76" s="33" t="s">
        <v>1025</v>
      </c>
      <c r="L76" s="35" t="s">
        <v>916</v>
      </c>
      <c r="M76" s="36" t="s">
        <v>916</v>
      </c>
      <c r="N76" s="36" t="s">
        <v>916</v>
      </c>
      <c r="O76" s="36" t="s">
        <v>939</v>
      </c>
      <c r="P76" s="38" t="s">
        <v>916</v>
      </c>
      <c r="Q76" s="36" t="s">
        <v>916</v>
      </c>
      <c r="R76" s="35" t="s">
        <v>916</v>
      </c>
      <c r="S76" s="35"/>
      <c r="T76" s="35" t="s">
        <v>916</v>
      </c>
      <c r="U76" s="40">
        <v>46145</v>
      </c>
      <c r="V76" s="41">
        <v>46153.532673611109</v>
      </c>
      <c r="W76" s="40">
        <v>46145</v>
      </c>
      <c r="X76" s="40">
        <v>46153</v>
      </c>
      <c r="Y76" s="35" t="s">
        <v>916</v>
      </c>
      <c r="Z76" s="35" t="s">
        <v>916</v>
      </c>
      <c r="AA76" s="38">
        <v>0</v>
      </c>
      <c r="AB76" s="42" t="s">
        <v>916</v>
      </c>
      <c r="AC76" s="43" t="s">
        <v>916</v>
      </c>
      <c r="AD76" s="43" t="s">
        <v>916</v>
      </c>
      <c r="AE76" s="33" t="s">
        <v>916</v>
      </c>
      <c r="AF76" s="35" t="s">
        <v>916</v>
      </c>
      <c r="AG76" s="44">
        <v>0</v>
      </c>
      <c r="AH76" s="42" t="s">
        <v>916</v>
      </c>
      <c r="AI76" s="32" t="e">
        <f>VLOOKUP(A76,'4月明細'!B:B,1,0)</f>
        <v>#N/A</v>
      </c>
    </row>
    <row r="77" spans="1:35" ht="19.95" customHeight="1" x14ac:dyDescent="0.3">
      <c r="A77" s="33" t="s">
        <v>859</v>
      </c>
      <c r="B77" s="34">
        <v>46144.649861111109</v>
      </c>
      <c r="C77" s="34" t="str">
        <f t="shared" si="1"/>
        <v>202605</v>
      </c>
      <c r="D77" s="35" t="s">
        <v>951</v>
      </c>
      <c r="E77" s="36" t="s">
        <v>910</v>
      </c>
      <c r="F77" s="36" t="s">
        <v>1203</v>
      </c>
      <c r="G77" s="37" t="s">
        <v>1204</v>
      </c>
      <c r="H77" s="36" t="s">
        <v>954</v>
      </c>
      <c r="I77" s="35" t="s">
        <v>1205</v>
      </c>
      <c r="J77" s="36" t="s">
        <v>914</v>
      </c>
      <c r="K77" s="33" t="s">
        <v>970</v>
      </c>
      <c r="L77" s="35" t="s">
        <v>916</v>
      </c>
      <c r="M77" s="36" t="s">
        <v>917</v>
      </c>
      <c r="N77" s="45">
        <v>46147.45857638889</v>
      </c>
      <c r="O77" s="36" t="s">
        <v>25</v>
      </c>
      <c r="P77" s="38">
        <v>2.8087152778000002</v>
      </c>
      <c r="Q77" s="39" t="s">
        <v>1206</v>
      </c>
      <c r="R77" s="35" t="s">
        <v>916</v>
      </c>
      <c r="S77" s="35"/>
      <c r="T77" s="35" t="s">
        <v>916</v>
      </c>
      <c r="U77" s="40">
        <v>46145</v>
      </c>
      <c r="V77" s="41">
        <v>46153.532673611109</v>
      </c>
      <c r="W77" s="40">
        <v>46144</v>
      </c>
      <c r="X77" s="35" t="s">
        <v>916</v>
      </c>
      <c r="Y77" s="35" t="s">
        <v>916</v>
      </c>
      <c r="Z77" s="35" t="s">
        <v>916</v>
      </c>
      <c r="AA77" s="38">
        <v>67.409166667199997</v>
      </c>
      <c r="AB77" s="42" t="s">
        <v>916</v>
      </c>
      <c r="AC77" s="43" t="s">
        <v>916</v>
      </c>
      <c r="AD77" s="43" t="s">
        <v>916</v>
      </c>
      <c r="AE77" s="33" t="s">
        <v>916</v>
      </c>
      <c r="AF77" s="35" t="s">
        <v>916</v>
      </c>
      <c r="AG77" s="44">
        <v>1.6666666600000001E-2</v>
      </c>
      <c r="AH77" s="42" t="s">
        <v>916</v>
      </c>
      <c r="AI77" s="32" t="e">
        <f>VLOOKUP(A77,'4月明細'!B:B,1,0)</f>
        <v>#N/A</v>
      </c>
    </row>
    <row r="78" spans="1:35" ht="19.95" customHeight="1" x14ac:dyDescent="0.3">
      <c r="A78" s="33" t="s">
        <v>858</v>
      </c>
      <c r="B78" s="34">
        <v>46144.613298611112</v>
      </c>
      <c r="C78" s="34" t="str">
        <f t="shared" si="1"/>
        <v>202605</v>
      </c>
      <c r="D78" s="35" t="s">
        <v>951</v>
      </c>
      <c r="E78" s="36" t="s">
        <v>910</v>
      </c>
      <c r="F78" s="36" t="s">
        <v>1207</v>
      </c>
      <c r="G78" s="37" t="s">
        <v>1208</v>
      </c>
      <c r="H78" s="36" t="s">
        <v>954</v>
      </c>
      <c r="I78" s="35" t="s">
        <v>1209</v>
      </c>
      <c r="J78" s="36" t="s">
        <v>914</v>
      </c>
      <c r="K78" s="33" t="s">
        <v>970</v>
      </c>
      <c r="L78" s="35" t="s">
        <v>916</v>
      </c>
      <c r="M78" s="36" t="s">
        <v>917</v>
      </c>
      <c r="N78" s="45">
        <v>46147.458506944444</v>
      </c>
      <c r="O78" s="36" t="s">
        <v>25</v>
      </c>
      <c r="P78" s="38">
        <v>2.8452083333</v>
      </c>
      <c r="Q78" s="39" t="s">
        <v>958</v>
      </c>
      <c r="R78" s="35" t="s">
        <v>916</v>
      </c>
      <c r="S78" s="35"/>
      <c r="T78" s="35" t="s">
        <v>916</v>
      </c>
      <c r="U78" s="40">
        <v>46145</v>
      </c>
      <c r="V78" s="41">
        <v>46153.532673611109</v>
      </c>
      <c r="W78" s="40">
        <v>46144</v>
      </c>
      <c r="X78" s="35" t="s">
        <v>916</v>
      </c>
      <c r="Y78" s="35" t="s">
        <v>916</v>
      </c>
      <c r="Z78" s="35" t="s">
        <v>916</v>
      </c>
      <c r="AA78" s="38">
        <v>68.284999999199997</v>
      </c>
      <c r="AB78" s="42" t="s">
        <v>916</v>
      </c>
      <c r="AC78" s="43" t="s">
        <v>916</v>
      </c>
      <c r="AD78" s="43" t="s">
        <v>916</v>
      </c>
      <c r="AE78" s="33" t="s">
        <v>916</v>
      </c>
      <c r="AF78" s="35" t="s">
        <v>916</v>
      </c>
      <c r="AG78" s="44">
        <v>0</v>
      </c>
      <c r="AH78" s="42" t="s">
        <v>916</v>
      </c>
      <c r="AI78" s="32" t="e">
        <f>VLOOKUP(A78,'4月明細'!B:B,1,0)</f>
        <v>#N/A</v>
      </c>
    </row>
    <row r="79" spans="1:35" ht="19.95" customHeight="1" x14ac:dyDescent="0.3">
      <c r="A79" s="33" t="s">
        <v>1210</v>
      </c>
      <c r="B79" s="34">
        <v>46144.452847222223</v>
      </c>
      <c r="C79" s="34" t="str">
        <f t="shared" si="1"/>
        <v>202605</v>
      </c>
      <c r="D79" s="35" t="s">
        <v>1014</v>
      </c>
      <c r="E79" s="36" t="s">
        <v>942</v>
      </c>
      <c r="F79" s="36" t="s">
        <v>1211</v>
      </c>
      <c r="G79" s="37" t="s">
        <v>1212</v>
      </c>
      <c r="H79" s="36" t="s">
        <v>1114</v>
      </c>
      <c r="I79" s="35"/>
      <c r="J79" s="36" t="s">
        <v>938</v>
      </c>
      <c r="K79" s="33" t="s">
        <v>1115</v>
      </c>
      <c r="L79" s="35" t="s">
        <v>916</v>
      </c>
      <c r="M79" s="36" t="s">
        <v>916</v>
      </c>
      <c r="N79" s="36" t="s">
        <v>916</v>
      </c>
      <c r="O79" s="36" t="s">
        <v>939</v>
      </c>
      <c r="P79" s="38" t="s">
        <v>916</v>
      </c>
      <c r="Q79" s="36" t="s">
        <v>916</v>
      </c>
      <c r="R79" s="35" t="s">
        <v>916</v>
      </c>
      <c r="S79" s="35"/>
      <c r="T79" s="35" t="s">
        <v>916</v>
      </c>
      <c r="U79" s="40">
        <v>46145</v>
      </c>
      <c r="V79" s="41">
        <v>46153.532673611109</v>
      </c>
      <c r="W79" s="40">
        <v>46144</v>
      </c>
      <c r="X79" s="40">
        <v>46153</v>
      </c>
      <c r="Y79" s="35" t="s">
        <v>916</v>
      </c>
      <c r="Z79" s="35" t="s">
        <v>916</v>
      </c>
      <c r="AA79" s="38">
        <v>0</v>
      </c>
      <c r="AB79" s="42" t="s">
        <v>916</v>
      </c>
      <c r="AC79" s="43" t="s">
        <v>916</v>
      </c>
      <c r="AD79" s="43" t="s">
        <v>916</v>
      </c>
      <c r="AE79" s="33" t="s">
        <v>916</v>
      </c>
      <c r="AF79" s="35" t="s">
        <v>916</v>
      </c>
      <c r="AG79" s="44">
        <v>0</v>
      </c>
      <c r="AH79" s="42" t="s">
        <v>916</v>
      </c>
      <c r="AI79" s="32" t="e">
        <f>VLOOKUP(A79,'4月明細'!B:B,1,0)</f>
        <v>#N/A</v>
      </c>
    </row>
    <row r="80" spans="1:35" ht="19.95" customHeight="1" x14ac:dyDescent="0.3">
      <c r="A80" s="33" t="s">
        <v>857</v>
      </c>
      <c r="B80" s="34">
        <v>46144.467407407406</v>
      </c>
      <c r="C80" s="34" t="str">
        <f t="shared" si="1"/>
        <v>202605</v>
      </c>
      <c r="D80" s="35" t="s">
        <v>1178</v>
      </c>
      <c r="E80" s="36" t="s">
        <v>910</v>
      </c>
      <c r="F80" s="36" t="s">
        <v>1213</v>
      </c>
      <c r="G80" s="37" t="s">
        <v>1214</v>
      </c>
      <c r="H80" s="36" t="s">
        <v>1078</v>
      </c>
      <c r="I80" s="35" t="s">
        <v>1215</v>
      </c>
      <c r="J80" s="36" t="s">
        <v>945</v>
      </c>
      <c r="K80" s="33" t="s">
        <v>1079</v>
      </c>
      <c r="L80" s="35" t="s">
        <v>916</v>
      </c>
      <c r="M80" s="36" t="s">
        <v>917</v>
      </c>
      <c r="N80" s="45">
        <v>46147.458402777775</v>
      </c>
      <c r="O80" s="36" t="s">
        <v>25</v>
      </c>
      <c r="P80" s="38">
        <v>2.9909953703999999</v>
      </c>
      <c r="Q80" s="39" t="s">
        <v>958</v>
      </c>
      <c r="R80" s="35" t="s">
        <v>916</v>
      </c>
      <c r="S80" s="35"/>
      <c r="T80" s="35" t="s">
        <v>916</v>
      </c>
      <c r="U80" s="40">
        <v>46145</v>
      </c>
      <c r="V80" s="41">
        <v>46153.532673611109</v>
      </c>
      <c r="W80" s="40">
        <v>46144</v>
      </c>
      <c r="X80" s="35" t="s">
        <v>916</v>
      </c>
      <c r="Y80" s="35" t="s">
        <v>916</v>
      </c>
      <c r="Z80" s="35" t="s">
        <v>916</v>
      </c>
      <c r="AA80" s="38">
        <v>71.783888889599993</v>
      </c>
      <c r="AB80" s="42" t="s">
        <v>916</v>
      </c>
      <c r="AC80" s="43" t="s">
        <v>916</v>
      </c>
      <c r="AD80" s="43" t="s">
        <v>916</v>
      </c>
      <c r="AE80" s="33" t="s">
        <v>916</v>
      </c>
      <c r="AF80" s="35" t="s">
        <v>916</v>
      </c>
      <c r="AG80" s="44">
        <v>0</v>
      </c>
      <c r="AH80" s="42" t="s">
        <v>916</v>
      </c>
      <c r="AI80" s="32" t="e">
        <f>VLOOKUP(A80,'4月明細'!B:B,1,0)</f>
        <v>#N/A</v>
      </c>
    </row>
    <row r="81" spans="1:35" ht="19.95" customHeight="1" x14ac:dyDescent="0.3">
      <c r="A81" s="33" t="s">
        <v>1216</v>
      </c>
      <c r="B81" s="34">
        <v>46144.342743055553</v>
      </c>
      <c r="C81" s="34" t="str">
        <f t="shared" si="1"/>
        <v>202605</v>
      </c>
      <c r="D81" s="35" t="s">
        <v>1217</v>
      </c>
      <c r="E81" s="36" t="s">
        <v>942</v>
      </c>
      <c r="F81" s="36" t="s">
        <v>1218</v>
      </c>
      <c r="G81" s="37" t="s">
        <v>1219</v>
      </c>
      <c r="H81" s="36" t="s">
        <v>1078</v>
      </c>
      <c r="I81" s="35"/>
      <c r="J81" s="36" t="s">
        <v>945</v>
      </c>
      <c r="K81" s="33" t="s">
        <v>1079</v>
      </c>
      <c r="L81" s="35" t="s">
        <v>916</v>
      </c>
      <c r="M81" s="36" t="s">
        <v>916</v>
      </c>
      <c r="N81" s="36" t="s">
        <v>916</v>
      </c>
      <c r="O81" s="36" t="s">
        <v>939</v>
      </c>
      <c r="P81" s="38" t="s">
        <v>916</v>
      </c>
      <c r="Q81" s="36" t="s">
        <v>916</v>
      </c>
      <c r="R81" s="35" t="s">
        <v>916</v>
      </c>
      <c r="S81" s="35"/>
      <c r="T81" s="35" t="s">
        <v>916</v>
      </c>
      <c r="U81" s="40">
        <v>46145</v>
      </c>
      <c r="V81" s="41">
        <v>46153.532673611109</v>
      </c>
      <c r="W81" s="40">
        <v>46144</v>
      </c>
      <c r="X81" s="40">
        <v>46153</v>
      </c>
      <c r="Y81" s="35" t="s">
        <v>916</v>
      </c>
      <c r="Z81" s="35" t="s">
        <v>916</v>
      </c>
      <c r="AA81" s="38">
        <v>0</v>
      </c>
      <c r="AB81" s="42" t="s">
        <v>916</v>
      </c>
      <c r="AC81" s="43" t="s">
        <v>916</v>
      </c>
      <c r="AD81" s="43" t="s">
        <v>916</v>
      </c>
      <c r="AE81" s="33" t="s">
        <v>916</v>
      </c>
      <c r="AF81" s="35" t="s">
        <v>916</v>
      </c>
      <c r="AG81" s="44">
        <v>0</v>
      </c>
      <c r="AH81" s="42" t="s">
        <v>916</v>
      </c>
      <c r="AI81" s="32" t="e">
        <f>VLOOKUP(A81,'4月明細'!B:B,1,0)</f>
        <v>#N/A</v>
      </c>
    </row>
    <row r="82" spans="1:35" ht="19.95" customHeight="1" x14ac:dyDescent="0.3">
      <c r="A82" s="33" t="s">
        <v>856</v>
      </c>
      <c r="B82" s="34">
        <v>46144.341365740744</v>
      </c>
      <c r="C82" s="34" t="str">
        <f t="shared" si="1"/>
        <v>202605</v>
      </c>
      <c r="D82" s="35" t="s">
        <v>1217</v>
      </c>
      <c r="E82" s="36" t="s">
        <v>942</v>
      </c>
      <c r="F82" s="36" t="s">
        <v>1220</v>
      </c>
      <c r="G82" s="37" t="s">
        <v>1221</v>
      </c>
      <c r="H82" s="36" t="s">
        <v>1078</v>
      </c>
      <c r="I82" s="35"/>
      <c r="J82" s="36" t="s">
        <v>945</v>
      </c>
      <c r="K82" s="33" t="s">
        <v>1079</v>
      </c>
      <c r="L82" s="35" t="s">
        <v>916</v>
      </c>
      <c r="M82" s="36" t="s">
        <v>917</v>
      </c>
      <c r="N82" s="45">
        <v>46147.45821759259</v>
      </c>
      <c r="O82" s="36" t="s">
        <v>25</v>
      </c>
      <c r="P82" s="38">
        <v>3.1168518518999999</v>
      </c>
      <c r="Q82" s="39" t="s">
        <v>994</v>
      </c>
      <c r="R82" s="35" t="s">
        <v>916</v>
      </c>
      <c r="S82" s="35"/>
      <c r="T82" s="35" t="s">
        <v>916</v>
      </c>
      <c r="U82" s="40">
        <v>46145</v>
      </c>
      <c r="V82" s="41">
        <v>46153.532673611109</v>
      </c>
      <c r="W82" s="40">
        <v>46144</v>
      </c>
      <c r="X82" s="35" t="s">
        <v>916</v>
      </c>
      <c r="Y82" s="35" t="s">
        <v>916</v>
      </c>
      <c r="Z82" s="35" t="s">
        <v>916</v>
      </c>
      <c r="AA82" s="38">
        <v>74.804444445599998</v>
      </c>
      <c r="AB82" s="42" t="s">
        <v>916</v>
      </c>
      <c r="AC82" s="43" t="s">
        <v>916</v>
      </c>
      <c r="AD82" s="43" t="s">
        <v>916</v>
      </c>
      <c r="AE82" s="33" t="s">
        <v>916</v>
      </c>
      <c r="AF82" s="35" t="s">
        <v>916</v>
      </c>
      <c r="AG82" s="44">
        <v>0</v>
      </c>
      <c r="AH82" s="42" t="s">
        <v>916</v>
      </c>
      <c r="AI82" s="32" t="e">
        <f>VLOOKUP(A82,'4月明細'!B:B,1,0)</f>
        <v>#N/A</v>
      </c>
    </row>
    <row r="83" spans="1:35" ht="19.95" customHeight="1" x14ac:dyDescent="0.3">
      <c r="A83" s="33" t="s">
        <v>855</v>
      </c>
      <c r="B83" s="34">
        <v>46143.864398148151</v>
      </c>
      <c r="C83" s="34" t="str">
        <f t="shared" si="1"/>
        <v>202605</v>
      </c>
      <c r="D83" s="35" t="s">
        <v>960</v>
      </c>
      <c r="E83" s="36" t="s">
        <v>942</v>
      </c>
      <c r="F83" s="36" t="s">
        <v>981</v>
      </c>
      <c r="G83" s="37" t="s">
        <v>1184</v>
      </c>
      <c r="H83" s="36" t="s">
        <v>954</v>
      </c>
      <c r="I83" s="35"/>
      <c r="J83" s="36" t="s">
        <v>945</v>
      </c>
      <c r="K83" s="33" t="s">
        <v>970</v>
      </c>
      <c r="L83" s="35" t="s">
        <v>916</v>
      </c>
      <c r="M83" s="36" t="s">
        <v>957</v>
      </c>
      <c r="N83" s="45">
        <v>46147.458321759259</v>
      </c>
      <c r="O83" s="36" t="s">
        <v>25</v>
      </c>
      <c r="P83" s="38">
        <v>3.5939236111000001</v>
      </c>
      <c r="Q83" s="39" t="s">
        <v>994</v>
      </c>
      <c r="R83" s="35" t="s">
        <v>916</v>
      </c>
      <c r="S83" s="35"/>
      <c r="T83" s="35" t="s">
        <v>916</v>
      </c>
      <c r="U83" s="40">
        <v>46144</v>
      </c>
      <c r="V83" s="41">
        <v>46153.532673611109</v>
      </c>
      <c r="W83" s="40">
        <v>46144</v>
      </c>
      <c r="X83" s="35" t="s">
        <v>916</v>
      </c>
      <c r="Y83" s="35" t="s">
        <v>916</v>
      </c>
      <c r="Z83" s="35" t="s">
        <v>916</v>
      </c>
      <c r="AA83" s="38">
        <v>86.254166666399996</v>
      </c>
      <c r="AB83" s="42" t="s">
        <v>916</v>
      </c>
      <c r="AC83" s="43" t="s">
        <v>916</v>
      </c>
      <c r="AD83" s="43" t="s">
        <v>916</v>
      </c>
      <c r="AE83" s="33" t="s">
        <v>916</v>
      </c>
      <c r="AF83" s="35" t="s">
        <v>916</v>
      </c>
      <c r="AG83" s="44">
        <v>0</v>
      </c>
      <c r="AH83" s="42" t="s">
        <v>916</v>
      </c>
      <c r="AI83" s="32" t="e">
        <f>VLOOKUP(A83,'4月明細'!B:B,1,0)</f>
        <v>#N/A</v>
      </c>
    </row>
    <row r="84" spans="1:35" ht="19.95" customHeight="1" x14ac:dyDescent="0.3">
      <c r="A84" s="33" t="s">
        <v>854</v>
      </c>
      <c r="B84" s="34">
        <v>46143.686041666668</v>
      </c>
      <c r="C84" s="34" t="str">
        <f t="shared" si="1"/>
        <v>202605</v>
      </c>
      <c r="D84" s="35" t="s">
        <v>951</v>
      </c>
      <c r="E84" s="36" t="s">
        <v>942</v>
      </c>
      <c r="F84" s="36" t="s">
        <v>1222</v>
      </c>
      <c r="G84" s="37" t="s">
        <v>1223</v>
      </c>
      <c r="H84" s="36" t="s">
        <v>954</v>
      </c>
      <c r="I84" s="35" t="s">
        <v>1224</v>
      </c>
      <c r="J84" s="36" t="s">
        <v>945</v>
      </c>
      <c r="K84" s="33" t="s">
        <v>1043</v>
      </c>
      <c r="L84" s="35" t="s">
        <v>916</v>
      </c>
      <c r="M84" s="36" t="s">
        <v>917</v>
      </c>
      <c r="N84" s="45">
        <v>46147.458101851851</v>
      </c>
      <c r="O84" s="36" t="s">
        <v>25</v>
      </c>
      <c r="P84" s="38">
        <v>3.7720601852</v>
      </c>
      <c r="Q84" s="39" t="s">
        <v>958</v>
      </c>
      <c r="R84" s="35" t="s">
        <v>916</v>
      </c>
      <c r="S84" s="35"/>
      <c r="T84" s="35" t="s">
        <v>916</v>
      </c>
      <c r="U84" s="40">
        <v>46144</v>
      </c>
      <c r="V84" s="41">
        <v>46153.532673611109</v>
      </c>
      <c r="W84" s="40">
        <v>46143</v>
      </c>
      <c r="X84" s="35" t="s">
        <v>916</v>
      </c>
      <c r="Y84" s="35" t="s">
        <v>916</v>
      </c>
      <c r="Z84" s="35" t="s">
        <v>916</v>
      </c>
      <c r="AA84" s="38">
        <v>90.529444444800006</v>
      </c>
      <c r="AB84" s="42" t="s">
        <v>916</v>
      </c>
      <c r="AC84" s="43" t="s">
        <v>916</v>
      </c>
      <c r="AD84" s="43" t="s">
        <v>916</v>
      </c>
      <c r="AE84" s="33" t="s">
        <v>916</v>
      </c>
      <c r="AF84" s="35" t="s">
        <v>916</v>
      </c>
      <c r="AG84" s="44">
        <v>0</v>
      </c>
      <c r="AH84" s="42" t="s">
        <v>916</v>
      </c>
      <c r="AI84" s="32" t="e">
        <f>VLOOKUP(A84,'4月明細'!B:B,1,0)</f>
        <v>#N/A</v>
      </c>
    </row>
    <row r="85" spans="1:35" ht="19.95" customHeight="1" x14ac:dyDescent="0.3">
      <c r="A85" s="33" t="s">
        <v>853</v>
      </c>
      <c r="B85" s="34">
        <v>46143.671469907407</v>
      </c>
      <c r="C85" s="34" t="str">
        <f t="shared" si="1"/>
        <v>202605</v>
      </c>
      <c r="D85" s="35" t="s">
        <v>941</v>
      </c>
      <c r="E85" s="36" t="s">
        <v>942</v>
      </c>
      <c r="F85" s="36" t="s">
        <v>1225</v>
      </c>
      <c r="G85" s="37" t="s">
        <v>1226</v>
      </c>
      <c r="H85" s="36" t="s">
        <v>954</v>
      </c>
      <c r="I85" s="35"/>
      <c r="J85" s="36" t="s">
        <v>945</v>
      </c>
      <c r="K85" s="33" t="s">
        <v>970</v>
      </c>
      <c r="L85" s="35" t="s">
        <v>916</v>
      </c>
      <c r="M85" s="36" t="s">
        <v>917</v>
      </c>
      <c r="N85" s="45">
        <v>46147.455960648149</v>
      </c>
      <c r="O85" s="36" t="s">
        <v>25</v>
      </c>
      <c r="P85" s="38">
        <v>3.7844907406999999</v>
      </c>
      <c r="Q85" s="39" t="s">
        <v>919</v>
      </c>
      <c r="R85" s="35" t="s">
        <v>916</v>
      </c>
      <c r="S85" s="35"/>
      <c r="T85" s="35" t="s">
        <v>916</v>
      </c>
      <c r="U85" s="40">
        <v>46144</v>
      </c>
      <c r="V85" s="41">
        <v>46153.532673611109</v>
      </c>
      <c r="W85" s="40">
        <v>46143</v>
      </c>
      <c r="X85" s="35" t="s">
        <v>916</v>
      </c>
      <c r="Y85" s="35" t="s">
        <v>916</v>
      </c>
      <c r="Z85" s="35" t="s">
        <v>916</v>
      </c>
      <c r="AA85" s="38">
        <v>90.827777776800005</v>
      </c>
      <c r="AB85" s="42" t="s">
        <v>916</v>
      </c>
      <c r="AC85" s="43" t="s">
        <v>916</v>
      </c>
      <c r="AD85" s="43" t="s">
        <v>916</v>
      </c>
      <c r="AE85" s="33" t="s">
        <v>916</v>
      </c>
      <c r="AF85" s="35" t="s">
        <v>916</v>
      </c>
      <c r="AG85" s="44">
        <v>0</v>
      </c>
      <c r="AH85" s="42" t="s">
        <v>916</v>
      </c>
      <c r="AI85" s="32" t="e">
        <f>VLOOKUP(A85,'4月明細'!B:B,1,0)</f>
        <v>#N/A</v>
      </c>
    </row>
    <row r="86" spans="1:35" ht="19.95" customHeight="1" x14ac:dyDescent="0.3">
      <c r="A86" s="33" t="s">
        <v>852</v>
      </c>
      <c r="B86" s="34">
        <v>46143.638981481483</v>
      </c>
      <c r="C86" s="34" t="str">
        <f t="shared" si="1"/>
        <v>202605</v>
      </c>
      <c r="D86" s="35" t="s">
        <v>951</v>
      </c>
      <c r="E86" s="36" t="s">
        <v>910</v>
      </c>
      <c r="F86" s="36" t="s">
        <v>1227</v>
      </c>
      <c r="G86" s="37" t="s">
        <v>1228</v>
      </c>
      <c r="H86" s="36" t="s">
        <v>954</v>
      </c>
      <c r="I86" s="35"/>
      <c r="J86" s="36" t="s">
        <v>945</v>
      </c>
      <c r="K86" s="33" t="s">
        <v>970</v>
      </c>
      <c r="L86" s="35" t="s">
        <v>916</v>
      </c>
      <c r="M86" s="36" t="s">
        <v>917</v>
      </c>
      <c r="N86" s="45">
        <v>46147.456076388888</v>
      </c>
      <c r="O86" s="36" t="s">
        <v>25</v>
      </c>
      <c r="P86" s="38">
        <v>3.8170949074</v>
      </c>
      <c r="Q86" s="39" t="s">
        <v>919</v>
      </c>
      <c r="R86" s="35" t="s">
        <v>916</v>
      </c>
      <c r="S86" s="35"/>
      <c r="T86" s="35" t="s">
        <v>916</v>
      </c>
      <c r="U86" s="40">
        <v>46144</v>
      </c>
      <c r="V86" s="41">
        <v>46153.532673611109</v>
      </c>
      <c r="W86" s="40">
        <v>46143</v>
      </c>
      <c r="X86" s="35" t="s">
        <v>916</v>
      </c>
      <c r="Y86" s="35" t="s">
        <v>916</v>
      </c>
      <c r="Z86" s="35" t="s">
        <v>916</v>
      </c>
      <c r="AA86" s="38">
        <v>91.610277777600004</v>
      </c>
      <c r="AB86" s="42" t="s">
        <v>916</v>
      </c>
      <c r="AC86" s="43" t="s">
        <v>916</v>
      </c>
      <c r="AD86" s="43" t="s">
        <v>916</v>
      </c>
      <c r="AE86" s="33" t="s">
        <v>916</v>
      </c>
      <c r="AF86" s="35" t="s">
        <v>916</v>
      </c>
      <c r="AG86" s="44">
        <v>0</v>
      </c>
      <c r="AH86" s="42" t="s">
        <v>916</v>
      </c>
      <c r="AI86" s="32" t="e">
        <f>VLOOKUP(A86,'4月明細'!B:B,1,0)</f>
        <v>#N/A</v>
      </c>
    </row>
    <row r="87" spans="1:35" ht="19.95" customHeight="1" x14ac:dyDescent="0.3">
      <c r="A87" s="33" t="s">
        <v>851</v>
      </c>
      <c r="B87" s="34">
        <v>46143.636435185188</v>
      </c>
      <c r="C87" s="34" t="str">
        <f t="shared" si="1"/>
        <v>202605</v>
      </c>
      <c r="D87" s="35" t="s">
        <v>951</v>
      </c>
      <c r="E87" s="36" t="s">
        <v>910</v>
      </c>
      <c r="F87" s="36" t="s">
        <v>1229</v>
      </c>
      <c r="G87" s="37" t="s">
        <v>1230</v>
      </c>
      <c r="H87" s="36" t="s">
        <v>954</v>
      </c>
      <c r="I87" s="35" t="s">
        <v>1231</v>
      </c>
      <c r="J87" s="36" t="s">
        <v>914</v>
      </c>
      <c r="K87" s="33" t="s">
        <v>1086</v>
      </c>
      <c r="L87" s="35" t="s">
        <v>916</v>
      </c>
      <c r="M87" s="36" t="s">
        <v>917</v>
      </c>
      <c r="N87" s="45">
        <v>46147.45621527778</v>
      </c>
      <c r="O87" s="36" t="s">
        <v>25</v>
      </c>
      <c r="P87" s="38">
        <v>3.8197800925999998</v>
      </c>
      <c r="Q87" s="39" t="s">
        <v>1206</v>
      </c>
      <c r="R87" s="35" t="s">
        <v>916</v>
      </c>
      <c r="S87" s="35"/>
      <c r="T87" s="35" t="s">
        <v>916</v>
      </c>
      <c r="U87" s="40">
        <v>46144</v>
      </c>
      <c r="V87" s="41">
        <v>46153.532673611109</v>
      </c>
      <c r="W87" s="40">
        <v>46143</v>
      </c>
      <c r="X87" s="35" t="s">
        <v>916</v>
      </c>
      <c r="Y87" s="35" t="s">
        <v>916</v>
      </c>
      <c r="Z87" s="35" t="s">
        <v>916</v>
      </c>
      <c r="AA87" s="38">
        <v>91.674722222400007</v>
      </c>
      <c r="AB87" s="42" t="s">
        <v>916</v>
      </c>
      <c r="AC87" s="43" t="s">
        <v>916</v>
      </c>
      <c r="AD87" s="43" t="s">
        <v>916</v>
      </c>
      <c r="AE87" s="33" t="s">
        <v>916</v>
      </c>
      <c r="AF87" s="35" t="s">
        <v>916</v>
      </c>
      <c r="AG87" s="44">
        <v>0</v>
      </c>
      <c r="AH87" s="42" t="s">
        <v>916</v>
      </c>
      <c r="AI87" s="32" t="e">
        <f>VLOOKUP(A87,'4月明細'!B:B,1,0)</f>
        <v>#N/A</v>
      </c>
    </row>
    <row r="88" spans="1:35" ht="19.95" customHeight="1" x14ac:dyDescent="0.3">
      <c r="A88" s="33" t="s">
        <v>850</v>
      </c>
      <c r="B88" s="34">
        <v>46142.766273148147</v>
      </c>
      <c r="C88" s="34" t="str">
        <f t="shared" si="1"/>
        <v>202604</v>
      </c>
      <c r="D88" s="35" t="s">
        <v>951</v>
      </c>
      <c r="E88" s="36" t="s">
        <v>910</v>
      </c>
      <c r="F88" s="36" t="s">
        <v>1232</v>
      </c>
      <c r="G88" s="37" t="s">
        <v>1233</v>
      </c>
      <c r="H88" s="36" t="s">
        <v>954</v>
      </c>
      <c r="I88" s="35" t="s">
        <v>1234</v>
      </c>
      <c r="J88" s="36" t="s">
        <v>929</v>
      </c>
      <c r="K88" s="33" t="s">
        <v>970</v>
      </c>
      <c r="L88" s="35" t="s">
        <v>916</v>
      </c>
      <c r="M88" s="36" t="s">
        <v>917</v>
      </c>
      <c r="N88" s="45">
        <v>46147.422650462962</v>
      </c>
      <c r="O88" s="36" t="s">
        <v>25</v>
      </c>
      <c r="P88" s="38">
        <v>4.6563773148000003</v>
      </c>
      <c r="Q88" s="39" t="s">
        <v>994</v>
      </c>
      <c r="R88" s="35" t="s">
        <v>916</v>
      </c>
      <c r="S88" s="35"/>
      <c r="T88" s="35" t="s">
        <v>916</v>
      </c>
      <c r="U88" s="40">
        <v>46143</v>
      </c>
      <c r="V88" s="41">
        <v>46153.532673611109</v>
      </c>
      <c r="W88" s="40">
        <v>46142</v>
      </c>
      <c r="X88" s="35" t="s">
        <v>916</v>
      </c>
      <c r="Y88" s="35" t="s">
        <v>916</v>
      </c>
      <c r="Z88" s="35" t="s">
        <v>916</v>
      </c>
      <c r="AA88" s="38">
        <v>111.75305555520001</v>
      </c>
      <c r="AB88" s="42" t="s">
        <v>916</v>
      </c>
      <c r="AC88" s="43" t="s">
        <v>916</v>
      </c>
      <c r="AD88" s="43" t="s">
        <v>916</v>
      </c>
      <c r="AE88" s="33" t="s">
        <v>916</v>
      </c>
      <c r="AF88" s="35" t="s">
        <v>916</v>
      </c>
      <c r="AG88" s="44">
        <v>0</v>
      </c>
      <c r="AH88" s="42" t="s">
        <v>916</v>
      </c>
      <c r="AI88" s="32" t="e">
        <f>VLOOKUP(A88,'4月明細'!B:B,1,0)</f>
        <v>#N/A</v>
      </c>
    </row>
    <row r="89" spans="1:35" ht="19.95" customHeight="1" x14ac:dyDescent="0.3">
      <c r="A89" s="33" t="s">
        <v>849</v>
      </c>
      <c r="B89" s="34">
        <v>46142.707048611112</v>
      </c>
      <c r="C89" s="34" t="str">
        <f t="shared" si="1"/>
        <v>202604</v>
      </c>
      <c r="D89" s="35" t="s">
        <v>951</v>
      </c>
      <c r="E89" s="36" t="s">
        <v>910</v>
      </c>
      <c r="F89" s="36" t="s">
        <v>1021</v>
      </c>
      <c r="G89" s="37" t="s">
        <v>1235</v>
      </c>
      <c r="H89" s="36" t="s">
        <v>954</v>
      </c>
      <c r="I89" s="35" t="s">
        <v>1236</v>
      </c>
      <c r="J89" s="36" t="s">
        <v>929</v>
      </c>
      <c r="K89" s="33" t="s">
        <v>970</v>
      </c>
      <c r="L89" s="35" t="s">
        <v>916</v>
      </c>
      <c r="M89" s="36" t="s">
        <v>917</v>
      </c>
      <c r="N89" s="45">
        <v>46147.418564814812</v>
      </c>
      <c r="O89" s="36" t="s">
        <v>25</v>
      </c>
      <c r="P89" s="38">
        <v>4.7115162036999996</v>
      </c>
      <c r="Q89" s="39" t="s">
        <v>958</v>
      </c>
      <c r="R89" s="35" t="s">
        <v>916</v>
      </c>
      <c r="S89" s="35"/>
      <c r="T89" s="35" t="s">
        <v>916</v>
      </c>
      <c r="U89" s="40">
        <v>46143</v>
      </c>
      <c r="V89" s="41">
        <v>46153.532673611109</v>
      </c>
      <c r="W89" s="40">
        <v>46142</v>
      </c>
      <c r="X89" s="35" t="s">
        <v>916</v>
      </c>
      <c r="Y89" s="35" t="s">
        <v>916</v>
      </c>
      <c r="Z89" s="35" t="s">
        <v>916</v>
      </c>
      <c r="AA89" s="38">
        <v>113.0763888888</v>
      </c>
      <c r="AB89" s="42" t="s">
        <v>916</v>
      </c>
      <c r="AC89" s="43" t="s">
        <v>916</v>
      </c>
      <c r="AD89" s="43" t="s">
        <v>916</v>
      </c>
      <c r="AE89" s="33" t="s">
        <v>916</v>
      </c>
      <c r="AF89" s="35" t="s">
        <v>916</v>
      </c>
      <c r="AG89" s="44">
        <v>0</v>
      </c>
      <c r="AH89" s="42" t="s">
        <v>916</v>
      </c>
      <c r="AI89" s="32" t="e">
        <f>VLOOKUP(A89,'4月明細'!B:B,1,0)</f>
        <v>#N/A</v>
      </c>
    </row>
    <row r="90" spans="1:35" ht="19.95" customHeight="1" x14ac:dyDescent="0.3">
      <c r="A90" s="33" t="s">
        <v>848</v>
      </c>
      <c r="B90" s="34">
        <v>46142.626377314817</v>
      </c>
      <c r="C90" s="34" t="str">
        <f t="shared" si="1"/>
        <v>202604</v>
      </c>
      <c r="D90" s="35" t="s">
        <v>951</v>
      </c>
      <c r="E90" s="36" t="s">
        <v>910</v>
      </c>
      <c r="F90" s="36" t="s">
        <v>1237</v>
      </c>
      <c r="G90" s="37" t="s">
        <v>1238</v>
      </c>
      <c r="H90" s="36" t="s">
        <v>954</v>
      </c>
      <c r="I90" s="35" t="s">
        <v>1239</v>
      </c>
      <c r="J90" s="36" t="s">
        <v>929</v>
      </c>
      <c r="K90" s="33" t="s">
        <v>1086</v>
      </c>
      <c r="L90" s="35" t="s">
        <v>916</v>
      </c>
      <c r="M90" s="36" t="s">
        <v>917</v>
      </c>
      <c r="N90" s="45">
        <v>46147.394270833334</v>
      </c>
      <c r="O90" s="36" t="s">
        <v>25</v>
      </c>
      <c r="P90" s="38">
        <v>4.7678935185000002</v>
      </c>
      <c r="Q90" s="39" t="s">
        <v>1087</v>
      </c>
      <c r="R90" s="35" t="s">
        <v>916</v>
      </c>
      <c r="S90" s="35"/>
      <c r="T90" s="35" t="s">
        <v>916</v>
      </c>
      <c r="U90" s="40">
        <v>46143</v>
      </c>
      <c r="V90" s="41">
        <v>46153.532673611109</v>
      </c>
      <c r="W90" s="40">
        <v>46142</v>
      </c>
      <c r="X90" s="35" t="s">
        <v>916</v>
      </c>
      <c r="Y90" s="35" t="s">
        <v>916</v>
      </c>
      <c r="Z90" s="35" t="s">
        <v>916</v>
      </c>
      <c r="AA90" s="38">
        <v>114.429444444</v>
      </c>
      <c r="AB90" s="42" t="s">
        <v>916</v>
      </c>
      <c r="AC90" s="43" t="s">
        <v>916</v>
      </c>
      <c r="AD90" s="43" t="s">
        <v>916</v>
      </c>
      <c r="AE90" s="33" t="s">
        <v>916</v>
      </c>
      <c r="AF90" s="35" t="s">
        <v>916</v>
      </c>
      <c r="AG90" s="44">
        <v>0</v>
      </c>
      <c r="AH90" s="42" t="s">
        <v>916</v>
      </c>
      <c r="AI90" s="32" t="e">
        <f>VLOOKUP(A90,'4月明細'!B:B,1,0)</f>
        <v>#N/A</v>
      </c>
    </row>
    <row r="91" spans="1:35" ht="19.95" customHeight="1" x14ac:dyDescent="0.3">
      <c r="A91" s="33" t="s">
        <v>847</v>
      </c>
      <c r="B91" s="34">
        <v>46142.625960648147</v>
      </c>
      <c r="C91" s="34" t="str">
        <f t="shared" si="1"/>
        <v>202604</v>
      </c>
      <c r="D91" s="35" t="s">
        <v>951</v>
      </c>
      <c r="E91" s="36" t="s">
        <v>942</v>
      </c>
      <c r="F91" s="36" t="s">
        <v>1240</v>
      </c>
      <c r="G91" s="37" t="s">
        <v>1241</v>
      </c>
      <c r="H91" s="36" t="s">
        <v>954</v>
      </c>
      <c r="I91" s="35"/>
      <c r="J91" s="36" t="s">
        <v>1058</v>
      </c>
      <c r="K91" s="33" t="s">
        <v>970</v>
      </c>
      <c r="L91" s="35" t="s">
        <v>916</v>
      </c>
      <c r="M91" s="36" t="s">
        <v>923</v>
      </c>
      <c r="N91" s="45">
        <v>46147.394120370373</v>
      </c>
      <c r="O91" s="36" t="s">
        <v>25</v>
      </c>
      <c r="P91" s="38">
        <v>4.7681597222000001</v>
      </c>
      <c r="Q91" s="39" t="s">
        <v>994</v>
      </c>
      <c r="R91" s="35" t="s">
        <v>916</v>
      </c>
      <c r="S91" s="35"/>
      <c r="T91" s="35" t="s">
        <v>916</v>
      </c>
      <c r="U91" s="40">
        <v>46143</v>
      </c>
      <c r="V91" s="41">
        <v>46153.532673611109</v>
      </c>
      <c r="W91" s="40">
        <v>46142</v>
      </c>
      <c r="X91" s="35" t="s">
        <v>916</v>
      </c>
      <c r="Y91" s="35" t="s">
        <v>916</v>
      </c>
      <c r="Z91" s="35" t="s">
        <v>916</v>
      </c>
      <c r="AA91" s="38">
        <v>114.4358333328</v>
      </c>
      <c r="AB91" s="42" t="s">
        <v>916</v>
      </c>
      <c r="AC91" s="43" t="s">
        <v>916</v>
      </c>
      <c r="AD91" s="43" t="s">
        <v>916</v>
      </c>
      <c r="AE91" s="33" t="s">
        <v>916</v>
      </c>
      <c r="AF91" s="35" t="s">
        <v>916</v>
      </c>
      <c r="AG91" s="44">
        <v>0</v>
      </c>
      <c r="AH91" s="42" t="s">
        <v>916</v>
      </c>
      <c r="AI91" s="32" t="e">
        <f>VLOOKUP(A91,'4月明細'!B:B,1,0)</f>
        <v>#N/A</v>
      </c>
    </row>
    <row r="92" spans="1:35" ht="19.95" customHeight="1" x14ac:dyDescent="0.3">
      <c r="A92" s="33" t="s">
        <v>1242</v>
      </c>
      <c r="B92" s="34">
        <v>46142.598611111112</v>
      </c>
      <c r="C92" s="34" t="str">
        <f t="shared" si="1"/>
        <v>202604</v>
      </c>
      <c r="D92" s="35" t="s">
        <v>941</v>
      </c>
      <c r="E92" s="36" t="s">
        <v>1199</v>
      </c>
      <c r="F92" s="36" t="s">
        <v>1243</v>
      </c>
      <c r="G92" s="37" t="s">
        <v>1244</v>
      </c>
      <c r="H92" s="36" t="s">
        <v>1047</v>
      </c>
      <c r="I92" s="35"/>
      <c r="J92" s="36" t="s">
        <v>1058</v>
      </c>
      <c r="K92" s="33" t="s">
        <v>1048</v>
      </c>
      <c r="L92" s="35" t="s">
        <v>916</v>
      </c>
      <c r="M92" s="36" t="s">
        <v>917</v>
      </c>
      <c r="N92" s="36" t="s">
        <v>916</v>
      </c>
      <c r="O92" s="36" t="s">
        <v>918</v>
      </c>
      <c r="P92" s="38" t="s">
        <v>916</v>
      </c>
      <c r="Q92" s="39" t="s">
        <v>994</v>
      </c>
      <c r="R92" s="35" t="s">
        <v>916</v>
      </c>
      <c r="S92" s="35"/>
      <c r="T92" s="35" t="s">
        <v>916</v>
      </c>
      <c r="U92" s="40">
        <v>46143</v>
      </c>
      <c r="V92" s="41">
        <v>46153.532673611109</v>
      </c>
      <c r="W92" s="40">
        <v>46142</v>
      </c>
      <c r="X92" s="35" t="s">
        <v>916</v>
      </c>
      <c r="Y92" s="35" t="s">
        <v>916</v>
      </c>
      <c r="Z92" s="35" t="s">
        <v>916</v>
      </c>
      <c r="AA92" s="38">
        <v>0</v>
      </c>
      <c r="AB92" s="42" t="s">
        <v>916</v>
      </c>
      <c r="AC92" s="43" t="s">
        <v>916</v>
      </c>
      <c r="AD92" s="43" t="s">
        <v>916</v>
      </c>
      <c r="AE92" s="33" t="s">
        <v>916</v>
      </c>
      <c r="AF92" s="35" t="s">
        <v>916</v>
      </c>
      <c r="AG92" s="44">
        <v>0</v>
      </c>
      <c r="AH92" s="42" t="s">
        <v>916</v>
      </c>
      <c r="AI92" s="32" t="e">
        <f>VLOOKUP(A92,'4月明細'!B:B,1,0)</f>
        <v>#N/A</v>
      </c>
    </row>
    <row r="93" spans="1:35" ht="19.95" customHeight="1" x14ac:dyDescent="0.3">
      <c r="A93" s="33" t="s">
        <v>846</v>
      </c>
      <c r="B93" s="34">
        <v>46142.494537037041</v>
      </c>
      <c r="C93" s="34" t="str">
        <f t="shared" si="1"/>
        <v>202604</v>
      </c>
      <c r="D93" s="35" t="s">
        <v>986</v>
      </c>
      <c r="E93" s="36" t="s">
        <v>910</v>
      </c>
      <c r="F93" s="36" t="s">
        <v>987</v>
      </c>
      <c r="G93" s="37" t="s">
        <v>1245</v>
      </c>
      <c r="H93" s="36" t="s">
        <v>928</v>
      </c>
      <c r="I93" s="35" t="s">
        <v>1246</v>
      </c>
      <c r="J93" s="36" t="s">
        <v>914</v>
      </c>
      <c r="K93" s="33" t="s">
        <v>930</v>
      </c>
      <c r="L93" s="35" t="s">
        <v>916</v>
      </c>
      <c r="M93" s="36" t="s">
        <v>923</v>
      </c>
      <c r="N93" s="45">
        <v>46147.393877314818</v>
      </c>
      <c r="O93" s="36" t="s">
        <v>25</v>
      </c>
      <c r="P93" s="38">
        <v>4.8993402778000004</v>
      </c>
      <c r="Q93" s="39" t="s">
        <v>1087</v>
      </c>
      <c r="R93" s="35" t="s">
        <v>916</v>
      </c>
      <c r="S93" s="35"/>
      <c r="T93" s="35" t="s">
        <v>916</v>
      </c>
      <c r="U93" s="40">
        <v>46143</v>
      </c>
      <c r="V93" s="41">
        <v>46153.532673611109</v>
      </c>
      <c r="W93" s="40">
        <v>46142</v>
      </c>
      <c r="X93" s="35" t="s">
        <v>916</v>
      </c>
      <c r="Y93" s="35" t="s">
        <v>916</v>
      </c>
      <c r="Z93" s="35" t="s">
        <v>916</v>
      </c>
      <c r="AA93" s="38">
        <v>117.58416666719999</v>
      </c>
      <c r="AB93" s="42" t="s">
        <v>916</v>
      </c>
      <c r="AC93" s="43" t="s">
        <v>916</v>
      </c>
      <c r="AD93" s="43" t="s">
        <v>916</v>
      </c>
      <c r="AE93" s="33" t="s">
        <v>916</v>
      </c>
      <c r="AF93" s="35" t="s">
        <v>916</v>
      </c>
      <c r="AG93" s="44">
        <v>0</v>
      </c>
      <c r="AH93" s="42" t="s">
        <v>916</v>
      </c>
      <c r="AI93" s="32" t="e">
        <f>VLOOKUP(A93,'4月明細'!B:B,1,0)</f>
        <v>#N/A</v>
      </c>
    </row>
    <row r="94" spans="1:35" ht="19.95" customHeight="1" x14ac:dyDescent="0.3">
      <c r="A94" s="33" t="s">
        <v>845</v>
      </c>
      <c r="B94" s="34">
        <v>46142.492210648146</v>
      </c>
      <c r="C94" s="34" t="str">
        <f t="shared" si="1"/>
        <v>202604</v>
      </c>
      <c r="D94" s="35" t="s">
        <v>986</v>
      </c>
      <c r="E94" s="36" t="s">
        <v>910</v>
      </c>
      <c r="F94" s="36" t="s">
        <v>987</v>
      </c>
      <c r="G94" s="37" t="s">
        <v>1247</v>
      </c>
      <c r="H94" s="36" t="s">
        <v>928</v>
      </c>
      <c r="I94" s="35"/>
      <c r="J94" s="36" t="s">
        <v>914</v>
      </c>
      <c r="K94" s="33" t="s">
        <v>1007</v>
      </c>
      <c r="L94" s="35" t="s">
        <v>916</v>
      </c>
      <c r="M94" s="36" t="s">
        <v>923</v>
      </c>
      <c r="N94" s="45">
        <v>46147.393958333334</v>
      </c>
      <c r="O94" s="36" t="s">
        <v>25</v>
      </c>
      <c r="P94" s="38">
        <v>4.9017476852000001</v>
      </c>
      <c r="Q94" s="39" t="s">
        <v>1008</v>
      </c>
      <c r="R94" s="35" t="s">
        <v>916</v>
      </c>
      <c r="S94" s="35"/>
      <c r="T94" s="35" t="s">
        <v>916</v>
      </c>
      <c r="U94" s="40">
        <v>46143</v>
      </c>
      <c r="V94" s="41">
        <v>46153.532673611109</v>
      </c>
      <c r="W94" s="40">
        <v>46142</v>
      </c>
      <c r="X94" s="35" t="s">
        <v>916</v>
      </c>
      <c r="Y94" s="35" t="s">
        <v>916</v>
      </c>
      <c r="Z94" s="35" t="s">
        <v>916</v>
      </c>
      <c r="AA94" s="38">
        <v>117.6419444448</v>
      </c>
      <c r="AB94" s="42" t="s">
        <v>916</v>
      </c>
      <c r="AC94" s="43" t="s">
        <v>916</v>
      </c>
      <c r="AD94" s="43" t="s">
        <v>916</v>
      </c>
      <c r="AE94" s="33" t="s">
        <v>916</v>
      </c>
      <c r="AF94" s="35" t="s">
        <v>916</v>
      </c>
      <c r="AG94" s="44">
        <v>1.6666666699999999E-2</v>
      </c>
      <c r="AH94" s="42" t="s">
        <v>916</v>
      </c>
      <c r="AI94" s="32" t="e">
        <f>VLOOKUP(A94,'4月明細'!B:B,1,0)</f>
        <v>#N/A</v>
      </c>
    </row>
    <row r="95" spans="1:35" ht="19.95" customHeight="1" x14ac:dyDescent="0.3">
      <c r="A95" s="33" t="s">
        <v>844</v>
      </c>
      <c r="B95" s="34">
        <v>46142.492210648146</v>
      </c>
      <c r="C95" s="34" t="str">
        <f t="shared" si="1"/>
        <v>202604</v>
      </c>
      <c r="D95" s="35" t="s">
        <v>951</v>
      </c>
      <c r="E95" s="36" t="s">
        <v>910</v>
      </c>
      <c r="F95" s="36" t="s">
        <v>1064</v>
      </c>
      <c r="G95" s="37" t="s">
        <v>1248</v>
      </c>
      <c r="H95" s="36" t="s">
        <v>954</v>
      </c>
      <c r="I95" s="35" t="s">
        <v>1249</v>
      </c>
      <c r="J95" s="36" t="s">
        <v>929</v>
      </c>
      <c r="K95" s="33" t="s">
        <v>970</v>
      </c>
      <c r="L95" s="35" t="s">
        <v>916</v>
      </c>
      <c r="M95" s="36" t="s">
        <v>917</v>
      </c>
      <c r="N95" s="45">
        <v>46147.393726851849</v>
      </c>
      <c r="O95" s="36" t="s">
        <v>25</v>
      </c>
      <c r="P95" s="38">
        <v>4.9015162037</v>
      </c>
      <c r="Q95" s="39" t="s">
        <v>984</v>
      </c>
      <c r="R95" s="35" t="s">
        <v>916</v>
      </c>
      <c r="S95" s="35"/>
      <c r="T95" s="35" t="s">
        <v>916</v>
      </c>
      <c r="U95" s="40">
        <v>46143</v>
      </c>
      <c r="V95" s="41">
        <v>46153.532673611109</v>
      </c>
      <c r="W95" s="40">
        <v>46142</v>
      </c>
      <c r="X95" s="35" t="s">
        <v>916</v>
      </c>
      <c r="Y95" s="35" t="s">
        <v>916</v>
      </c>
      <c r="Z95" s="35" t="s">
        <v>916</v>
      </c>
      <c r="AA95" s="38">
        <v>117.6363888888</v>
      </c>
      <c r="AB95" s="42" t="s">
        <v>916</v>
      </c>
      <c r="AC95" s="43" t="s">
        <v>916</v>
      </c>
      <c r="AD95" s="43" t="s">
        <v>916</v>
      </c>
      <c r="AE95" s="33" t="s">
        <v>916</v>
      </c>
      <c r="AF95" s="35" t="s">
        <v>916</v>
      </c>
      <c r="AG95" s="44">
        <v>0</v>
      </c>
      <c r="AH95" s="42" t="s">
        <v>916</v>
      </c>
      <c r="AI95" s="32" t="e">
        <f>VLOOKUP(A95,'4月明細'!B:B,1,0)</f>
        <v>#N/A</v>
      </c>
    </row>
    <row r="96" spans="1:35" ht="19.95" customHeight="1" x14ac:dyDescent="0.3">
      <c r="A96" s="33" t="s">
        <v>1250</v>
      </c>
      <c r="B96" s="34">
        <v>46142.435706018521</v>
      </c>
      <c r="C96" s="34" t="str">
        <f t="shared" si="1"/>
        <v>202604</v>
      </c>
      <c r="D96" s="35" t="s">
        <v>1171</v>
      </c>
      <c r="E96" s="36" t="s">
        <v>1149</v>
      </c>
      <c r="F96" s="36" t="s">
        <v>1068</v>
      </c>
      <c r="G96" s="37" t="s">
        <v>1251</v>
      </c>
      <c r="H96" s="36" t="s">
        <v>1157</v>
      </c>
      <c r="I96" s="35"/>
      <c r="J96" s="36" t="s">
        <v>938</v>
      </c>
      <c r="K96" s="33" t="s">
        <v>1252</v>
      </c>
      <c r="L96" s="35" t="s">
        <v>916</v>
      </c>
      <c r="M96" s="36" t="s">
        <v>916</v>
      </c>
      <c r="N96" s="36" t="s">
        <v>916</v>
      </c>
      <c r="O96" s="36" t="s">
        <v>939</v>
      </c>
      <c r="P96" s="38" t="s">
        <v>916</v>
      </c>
      <c r="Q96" s="36" t="s">
        <v>916</v>
      </c>
      <c r="R96" s="35" t="s">
        <v>916</v>
      </c>
      <c r="S96" s="35"/>
      <c r="T96" s="35" t="s">
        <v>916</v>
      </c>
      <c r="U96" s="40">
        <v>46143</v>
      </c>
      <c r="V96" s="41">
        <v>46153.532673611109</v>
      </c>
      <c r="W96" s="40">
        <v>46142</v>
      </c>
      <c r="X96" s="40">
        <v>46153</v>
      </c>
      <c r="Y96" s="35" t="s">
        <v>916</v>
      </c>
      <c r="Z96" s="35" t="s">
        <v>916</v>
      </c>
      <c r="AA96" s="38">
        <v>0</v>
      </c>
      <c r="AB96" s="42" t="s">
        <v>916</v>
      </c>
      <c r="AC96" s="43" t="s">
        <v>916</v>
      </c>
      <c r="AD96" s="43" t="s">
        <v>916</v>
      </c>
      <c r="AE96" s="33" t="s">
        <v>916</v>
      </c>
      <c r="AF96" s="35" t="s">
        <v>916</v>
      </c>
      <c r="AG96" s="44">
        <v>0</v>
      </c>
      <c r="AH96" s="42" t="s">
        <v>916</v>
      </c>
      <c r="AI96" s="32" t="e">
        <f>VLOOKUP(A96,'4月明細'!B:B,1,0)</f>
        <v>#N/A</v>
      </c>
    </row>
    <row r="97" spans="1:35" ht="19.95" customHeight="1" x14ac:dyDescent="0.3">
      <c r="A97" s="33" t="s">
        <v>843</v>
      </c>
      <c r="B97" s="34">
        <v>46142.43414351852</v>
      </c>
      <c r="C97" s="34" t="str">
        <f t="shared" si="1"/>
        <v>202604</v>
      </c>
      <c r="D97" s="35" t="s">
        <v>1171</v>
      </c>
      <c r="E97" s="36" t="s">
        <v>1149</v>
      </c>
      <c r="F97" s="36" t="s">
        <v>1253</v>
      </c>
      <c r="G97" s="37" t="s">
        <v>1254</v>
      </c>
      <c r="H97" s="36" t="s">
        <v>954</v>
      </c>
      <c r="I97" s="35" t="s">
        <v>1255</v>
      </c>
      <c r="J97" s="36" t="s">
        <v>938</v>
      </c>
      <c r="K97" s="33" t="s">
        <v>1086</v>
      </c>
      <c r="L97" s="35" t="s">
        <v>916</v>
      </c>
      <c r="M97" s="36" t="s">
        <v>957</v>
      </c>
      <c r="N97" s="45">
        <v>46147.457962962966</v>
      </c>
      <c r="O97" s="36" t="s">
        <v>25</v>
      </c>
      <c r="P97" s="38">
        <v>5.0238194443999999</v>
      </c>
      <c r="Q97" s="39" t="s">
        <v>994</v>
      </c>
      <c r="R97" s="35" t="s">
        <v>916</v>
      </c>
      <c r="S97" s="35"/>
      <c r="T97" s="35" t="s">
        <v>916</v>
      </c>
      <c r="U97" s="40">
        <v>46143</v>
      </c>
      <c r="V97" s="41">
        <v>46153.532673611109</v>
      </c>
      <c r="W97" s="40">
        <v>46142</v>
      </c>
      <c r="X97" s="35" t="s">
        <v>916</v>
      </c>
      <c r="Y97" s="35" t="s">
        <v>916</v>
      </c>
      <c r="Z97" s="35" t="s">
        <v>916</v>
      </c>
      <c r="AA97" s="38">
        <v>120.57166666560001</v>
      </c>
      <c r="AB97" s="42" t="s">
        <v>916</v>
      </c>
      <c r="AC97" s="43" t="s">
        <v>916</v>
      </c>
      <c r="AD97" s="43" t="s">
        <v>916</v>
      </c>
      <c r="AE97" s="33" t="s">
        <v>916</v>
      </c>
      <c r="AF97" s="35" t="s">
        <v>916</v>
      </c>
      <c r="AG97" s="44">
        <v>0</v>
      </c>
      <c r="AH97" s="42" t="s">
        <v>916</v>
      </c>
      <c r="AI97" s="32" t="e">
        <f>VLOOKUP(A97,'4月明細'!B:B,1,0)</f>
        <v>#N/A</v>
      </c>
    </row>
    <row r="98" spans="1:35" ht="19.95" customHeight="1" x14ac:dyDescent="0.3">
      <c r="A98" s="33" t="s">
        <v>1256</v>
      </c>
      <c r="B98" s="34">
        <v>46142.433495370373</v>
      </c>
      <c r="C98" s="34" t="str">
        <f t="shared" si="1"/>
        <v>202604</v>
      </c>
      <c r="D98" s="35" t="s">
        <v>1171</v>
      </c>
      <c r="E98" s="36" t="s">
        <v>1149</v>
      </c>
      <c r="F98" s="36" t="s">
        <v>1253</v>
      </c>
      <c r="G98" s="37" t="s">
        <v>1257</v>
      </c>
      <c r="H98" s="36" t="s">
        <v>1078</v>
      </c>
      <c r="I98" s="35"/>
      <c r="J98" s="36" t="s">
        <v>938</v>
      </c>
      <c r="K98" s="33" t="s">
        <v>1258</v>
      </c>
      <c r="L98" s="35" t="s">
        <v>916</v>
      </c>
      <c r="M98" s="36" t="s">
        <v>916</v>
      </c>
      <c r="N98" s="36" t="s">
        <v>916</v>
      </c>
      <c r="O98" s="36" t="s">
        <v>939</v>
      </c>
      <c r="P98" s="38" t="s">
        <v>916</v>
      </c>
      <c r="Q98" s="36" t="s">
        <v>916</v>
      </c>
      <c r="R98" s="35" t="s">
        <v>916</v>
      </c>
      <c r="S98" s="35"/>
      <c r="T98" s="35" t="s">
        <v>916</v>
      </c>
      <c r="U98" s="40">
        <v>46143</v>
      </c>
      <c r="V98" s="41">
        <v>46153.532673611109</v>
      </c>
      <c r="W98" s="40">
        <v>46142</v>
      </c>
      <c r="X98" s="40">
        <v>46153</v>
      </c>
      <c r="Y98" s="35" t="s">
        <v>916</v>
      </c>
      <c r="Z98" s="35" t="s">
        <v>916</v>
      </c>
      <c r="AA98" s="38">
        <v>0</v>
      </c>
      <c r="AB98" s="42" t="s">
        <v>916</v>
      </c>
      <c r="AC98" s="43" t="s">
        <v>916</v>
      </c>
      <c r="AD98" s="43" t="s">
        <v>916</v>
      </c>
      <c r="AE98" s="33" t="s">
        <v>916</v>
      </c>
      <c r="AF98" s="35" t="s">
        <v>916</v>
      </c>
      <c r="AG98" s="44">
        <v>0</v>
      </c>
      <c r="AH98" s="42" t="s">
        <v>916</v>
      </c>
      <c r="AI98" s="32" t="e">
        <f>VLOOKUP(A98,'4月明細'!B:B,1,0)</f>
        <v>#N/A</v>
      </c>
    </row>
    <row r="99" spans="1:35" ht="19.95" customHeight="1" x14ac:dyDescent="0.3">
      <c r="A99" s="33" t="s">
        <v>1259</v>
      </c>
      <c r="B99" s="34">
        <v>46142.433009259257</v>
      </c>
      <c r="C99" s="34" t="str">
        <f t="shared" si="1"/>
        <v>202604</v>
      </c>
      <c r="D99" s="35" t="s">
        <v>1171</v>
      </c>
      <c r="E99" s="36" t="s">
        <v>1149</v>
      </c>
      <c r="F99" s="36" t="s">
        <v>1260</v>
      </c>
      <c r="G99" s="37" t="s">
        <v>1261</v>
      </c>
      <c r="H99" s="36" t="s">
        <v>1157</v>
      </c>
      <c r="I99" s="35" t="s">
        <v>1262</v>
      </c>
      <c r="J99" s="36" t="s">
        <v>938</v>
      </c>
      <c r="K99" s="33" t="s">
        <v>1252</v>
      </c>
      <c r="L99" s="35" t="s">
        <v>916</v>
      </c>
      <c r="M99" s="36" t="s">
        <v>923</v>
      </c>
      <c r="N99" s="36" t="s">
        <v>916</v>
      </c>
      <c r="O99" s="36" t="s">
        <v>918</v>
      </c>
      <c r="P99" s="38" t="s">
        <v>916</v>
      </c>
      <c r="Q99" s="39" t="s">
        <v>1008</v>
      </c>
      <c r="R99" s="35" t="s">
        <v>916</v>
      </c>
      <c r="S99" s="35"/>
      <c r="T99" s="35" t="s">
        <v>916</v>
      </c>
      <c r="U99" s="40">
        <v>46143</v>
      </c>
      <c r="V99" s="41">
        <v>46153.532673611109</v>
      </c>
      <c r="W99" s="40">
        <v>46142</v>
      </c>
      <c r="X99" s="35" t="s">
        <v>916</v>
      </c>
      <c r="Y99" s="35" t="s">
        <v>916</v>
      </c>
      <c r="Z99" s="35" t="s">
        <v>916</v>
      </c>
      <c r="AA99" s="38">
        <v>0</v>
      </c>
      <c r="AB99" s="42" t="s">
        <v>916</v>
      </c>
      <c r="AC99" s="43" t="s">
        <v>916</v>
      </c>
      <c r="AD99" s="43" t="s">
        <v>916</v>
      </c>
      <c r="AE99" s="33" t="s">
        <v>916</v>
      </c>
      <c r="AF99" s="35" t="s">
        <v>916</v>
      </c>
      <c r="AG99" s="44">
        <v>0</v>
      </c>
      <c r="AH99" s="42" t="s">
        <v>916</v>
      </c>
      <c r="AI99" s="32" t="e">
        <f>VLOOKUP(A99,'4月明細'!B:B,1,0)</f>
        <v>#N/A</v>
      </c>
    </row>
    <row r="100" spans="1:35" ht="19.95" customHeight="1" x14ac:dyDescent="0.3">
      <c r="A100" s="33" t="s">
        <v>1263</v>
      </c>
      <c r="B100" s="34">
        <v>46142.432500000003</v>
      </c>
      <c r="C100" s="34" t="str">
        <f t="shared" si="1"/>
        <v>202604</v>
      </c>
      <c r="D100" s="35" t="s">
        <v>1171</v>
      </c>
      <c r="E100" s="36" t="s">
        <v>1149</v>
      </c>
      <c r="F100" s="36" t="s">
        <v>1010</v>
      </c>
      <c r="G100" s="37" t="s">
        <v>1257</v>
      </c>
      <c r="H100" s="36" t="s">
        <v>1023</v>
      </c>
      <c r="I100" s="35"/>
      <c r="J100" s="36" t="s">
        <v>938</v>
      </c>
      <c r="K100" s="33" t="s">
        <v>1025</v>
      </c>
      <c r="L100" s="35" t="s">
        <v>916</v>
      </c>
      <c r="M100" s="36" t="s">
        <v>916</v>
      </c>
      <c r="N100" s="36" t="s">
        <v>916</v>
      </c>
      <c r="O100" s="36" t="s">
        <v>939</v>
      </c>
      <c r="P100" s="38" t="s">
        <v>916</v>
      </c>
      <c r="Q100" s="36" t="s">
        <v>916</v>
      </c>
      <c r="R100" s="35" t="s">
        <v>916</v>
      </c>
      <c r="S100" s="35"/>
      <c r="T100" s="35" t="s">
        <v>916</v>
      </c>
      <c r="U100" s="40">
        <v>46143</v>
      </c>
      <c r="V100" s="41">
        <v>46153.532673611109</v>
      </c>
      <c r="W100" s="40">
        <v>46142</v>
      </c>
      <c r="X100" s="40">
        <v>46153</v>
      </c>
      <c r="Y100" s="35" t="s">
        <v>916</v>
      </c>
      <c r="Z100" s="35" t="s">
        <v>916</v>
      </c>
      <c r="AA100" s="38">
        <v>0</v>
      </c>
      <c r="AB100" s="42" t="s">
        <v>916</v>
      </c>
      <c r="AC100" s="43" t="s">
        <v>916</v>
      </c>
      <c r="AD100" s="43" t="s">
        <v>916</v>
      </c>
      <c r="AE100" s="33" t="s">
        <v>916</v>
      </c>
      <c r="AF100" s="35" t="s">
        <v>916</v>
      </c>
      <c r="AG100" s="44">
        <v>0</v>
      </c>
      <c r="AH100" s="42" t="s">
        <v>916</v>
      </c>
      <c r="AI100" s="32" t="e">
        <f>VLOOKUP(A100,'4月明細'!B:B,1,0)</f>
        <v>#N/A</v>
      </c>
    </row>
    <row r="101" spans="1:35" ht="19.95" customHeight="1" x14ac:dyDescent="0.3">
      <c r="A101" s="33" t="s">
        <v>1264</v>
      </c>
      <c r="B101" s="34">
        <v>46142.432118055556</v>
      </c>
      <c r="C101" s="34" t="str">
        <f t="shared" si="1"/>
        <v>202604</v>
      </c>
      <c r="D101" s="35" t="s">
        <v>1171</v>
      </c>
      <c r="E101" s="36" t="s">
        <v>1149</v>
      </c>
      <c r="F101" s="36" t="s">
        <v>1010</v>
      </c>
      <c r="G101" s="37" t="s">
        <v>1261</v>
      </c>
      <c r="H101" s="36" t="s">
        <v>1157</v>
      </c>
      <c r="I101" s="35" t="s">
        <v>1265</v>
      </c>
      <c r="J101" s="36" t="s">
        <v>929</v>
      </c>
      <c r="K101" s="33" t="s">
        <v>1252</v>
      </c>
      <c r="L101" s="35" t="s">
        <v>916</v>
      </c>
      <c r="M101" s="36" t="s">
        <v>923</v>
      </c>
      <c r="N101" s="36" t="s">
        <v>916</v>
      </c>
      <c r="O101" s="36" t="s">
        <v>918</v>
      </c>
      <c r="P101" s="38" t="s">
        <v>916</v>
      </c>
      <c r="Q101" s="39" t="s">
        <v>1008</v>
      </c>
      <c r="R101" s="35" t="s">
        <v>916</v>
      </c>
      <c r="S101" s="35"/>
      <c r="T101" s="35" t="s">
        <v>916</v>
      </c>
      <c r="U101" s="40">
        <v>46143</v>
      </c>
      <c r="V101" s="41">
        <v>46153.532673611109</v>
      </c>
      <c r="W101" s="40">
        <v>46142</v>
      </c>
      <c r="X101" s="35" t="s">
        <v>916</v>
      </c>
      <c r="Y101" s="35" t="s">
        <v>916</v>
      </c>
      <c r="Z101" s="35" t="s">
        <v>916</v>
      </c>
      <c r="AA101" s="38">
        <v>0</v>
      </c>
      <c r="AB101" s="42" t="s">
        <v>916</v>
      </c>
      <c r="AC101" s="43" t="s">
        <v>916</v>
      </c>
      <c r="AD101" s="43" t="s">
        <v>916</v>
      </c>
      <c r="AE101" s="33" t="s">
        <v>916</v>
      </c>
      <c r="AF101" s="35" t="s">
        <v>916</v>
      </c>
      <c r="AG101" s="44">
        <v>0</v>
      </c>
      <c r="AH101" s="42" t="s">
        <v>916</v>
      </c>
      <c r="AI101" s="32" t="e">
        <f>VLOOKUP(A101,'4月明細'!B:B,1,0)</f>
        <v>#N/A</v>
      </c>
    </row>
    <row r="102" spans="1:35" ht="19.95" customHeight="1" x14ac:dyDescent="0.3">
      <c r="A102" s="33" t="s">
        <v>1266</v>
      </c>
      <c r="B102" s="34">
        <v>46142.431550925925</v>
      </c>
      <c r="C102" s="34" t="str">
        <f t="shared" si="1"/>
        <v>202604</v>
      </c>
      <c r="D102" s="35" t="s">
        <v>1171</v>
      </c>
      <c r="E102" s="36" t="s">
        <v>1149</v>
      </c>
      <c r="F102" s="36" t="s">
        <v>1010</v>
      </c>
      <c r="G102" s="37" t="s">
        <v>1261</v>
      </c>
      <c r="H102" s="36" t="s">
        <v>1157</v>
      </c>
      <c r="I102" s="35" t="s">
        <v>1267</v>
      </c>
      <c r="J102" s="36" t="s">
        <v>938</v>
      </c>
      <c r="K102" s="33" t="s">
        <v>1252</v>
      </c>
      <c r="L102" s="35" t="s">
        <v>916</v>
      </c>
      <c r="M102" s="36" t="s">
        <v>923</v>
      </c>
      <c r="N102" s="36" t="s">
        <v>916</v>
      </c>
      <c r="O102" s="36" t="s">
        <v>918</v>
      </c>
      <c r="P102" s="38" t="s">
        <v>916</v>
      </c>
      <c r="Q102" s="39" t="s">
        <v>1008</v>
      </c>
      <c r="R102" s="35" t="s">
        <v>916</v>
      </c>
      <c r="S102" s="35"/>
      <c r="T102" s="35" t="s">
        <v>916</v>
      </c>
      <c r="U102" s="40">
        <v>46143</v>
      </c>
      <c r="V102" s="41">
        <v>46153.532673611109</v>
      </c>
      <c r="W102" s="40">
        <v>46142</v>
      </c>
      <c r="X102" s="35" t="s">
        <v>916</v>
      </c>
      <c r="Y102" s="35" t="s">
        <v>916</v>
      </c>
      <c r="Z102" s="35" t="s">
        <v>916</v>
      </c>
      <c r="AA102" s="38">
        <v>0</v>
      </c>
      <c r="AB102" s="42" t="s">
        <v>916</v>
      </c>
      <c r="AC102" s="43" t="s">
        <v>916</v>
      </c>
      <c r="AD102" s="43" t="s">
        <v>916</v>
      </c>
      <c r="AE102" s="33" t="s">
        <v>916</v>
      </c>
      <c r="AF102" s="35" t="s">
        <v>916</v>
      </c>
      <c r="AG102" s="44">
        <v>0</v>
      </c>
      <c r="AH102" s="42" t="s">
        <v>916</v>
      </c>
      <c r="AI102" s="32" t="e">
        <f>VLOOKUP(A102,'4月明細'!B:B,1,0)</f>
        <v>#N/A</v>
      </c>
    </row>
    <row r="103" spans="1:35" ht="19.95" customHeight="1" x14ac:dyDescent="0.3">
      <c r="A103" s="33" t="s">
        <v>1268</v>
      </c>
      <c r="B103" s="34">
        <v>46142.429988425924</v>
      </c>
      <c r="C103" s="34" t="str">
        <f t="shared" si="1"/>
        <v>202604</v>
      </c>
      <c r="D103" s="35" t="s">
        <v>1171</v>
      </c>
      <c r="E103" s="36" t="s">
        <v>1149</v>
      </c>
      <c r="F103" s="36" t="s">
        <v>1010</v>
      </c>
      <c r="G103" s="37" t="s">
        <v>1261</v>
      </c>
      <c r="H103" s="36" t="s">
        <v>1114</v>
      </c>
      <c r="I103" s="35" t="s">
        <v>1269</v>
      </c>
      <c r="J103" s="36" t="s">
        <v>938</v>
      </c>
      <c r="K103" s="33" t="s">
        <v>1196</v>
      </c>
      <c r="L103" s="35" t="s">
        <v>916</v>
      </c>
      <c r="M103" s="36" t="s">
        <v>923</v>
      </c>
      <c r="N103" s="36" t="s">
        <v>916</v>
      </c>
      <c r="O103" s="36" t="s">
        <v>918</v>
      </c>
      <c r="P103" s="38" t="s">
        <v>916</v>
      </c>
      <c r="Q103" s="39" t="s">
        <v>1008</v>
      </c>
      <c r="R103" s="35" t="s">
        <v>916</v>
      </c>
      <c r="S103" s="35"/>
      <c r="T103" s="35" t="s">
        <v>916</v>
      </c>
      <c r="U103" s="40">
        <v>46143</v>
      </c>
      <c r="V103" s="41">
        <v>46153.532673611109</v>
      </c>
      <c r="W103" s="40">
        <v>46142</v>
      </c>
      <c r="X103" s="35" t="s">
        <v>916</v>
      </c>
      <c r="Y103" s="35" t="s">
        <v>916</v>
      </c>
      <c r="Z103" s="35" t="s">
        <v>916</v>
      </c>
      <c r="AA103" s="38">
        <v>0</v>
      </c>
      <c r="AB103" s="42" t="s">
        <v>916</v>
      </c>
      <c r="AC103" s="43" t="s">
        <v>916</v>
      </c>
      <c r="AD103" s="43" t="s">
        <v>916</v>
      </c>
      <c r="AE103" s="33" t="s">
        <v>916</v>
      </c>
      <c r="AF103" s="35" t="s">
        <v>916</v>
      </c>
      <c r="AG103" s="44">
        <v>0</v>
      </c>
      <c r="AH103" s="42" t="s">
        <v>916</v>
      </c>
      <c r="AI103" s="32" t="e">
        <f>VLOOKUP(A103,'4月明細'!B:B,1,0)</f>
        <v>#N/A</v>
      </c>
    </row>
    <row r="104" spans="1:35" ht="19.95" customHeight="1" x14ac:dyDescent="0.3">
      <c r="A104" s="33" t="s">
        <v>1270</v>
      </c>
      <c r="B104" s="34">
        <v>46142.388749999998</v>
      </c>
      <c r="C104" s="34" t="str">
        <f t="shared" si="1"/>
        <v>202604</v>
      </c>
      <c r="D104" s="35" t="s">
        <v>1271</v>
      </c>
      <c r="E104" s="36" t="s">
        <v>1102</v>
      </c>
      <c r="F104" s="36" t="s">
        <v>935</v>
      </c>
      <c r="G104" s="37" t="s">
        <v>1272</v>
      </c>
      <c r="H104" s="36" t="s">
        <v>928</v>
      </c>
      <c r="I104" s="35" t="s">
        <v>1273</v>
      </c>
      <c r="J104" s="36" t="s">
        <v>938</v>
      </c>
      <c r="K104" s="33" t="s">
        <v>930</v>
      </c>
      <c r="L104" s="35" t="s">
        <v>916</v>
      </c>
      <c r="M104" s="36" t="s">
        <v>1039</v>
      </c>
      <c r="N104" s="36" t="s">
        <v>916</v>
      </c>
      <c r="O104" s="36" t="s">
        <v>939</v>
      </c>
      <c r="P104" s="38" t="s">
        <v>916</v>
      </c>
      <c r="Q104" s="36" t="s">
        <v>916</v>
      </c>
      <c r="R104" s="35" t="s">
        <v>916</v>
      </c>
      <c r="S104" s="35"/>
      <c r="T104" s="35" t="s">
        <v>916</v>
      </c>
      <c r="U104" s="40">
        <v>46143</v>
      </c>
      <c r="V104" s="41">
        <v>46153.532673611109</v>
      </c>
      <c r="W104" s="40">
        <v>46142</v>
      </c>
      <c r="X104" s="40">
        <v>46153</v>
      </c>
      <c r="Y104" s="35" t="s">
        <v>916</v>
      </c>
      <c r="Z104" s="35" t="s">
        <v>916</v>
      </c>
      <c r="AA104" s="38">
        <v>0</v>
      </c>
      <c r="AB104" s="42" t="s">
        <v>916</v>
      </c>
      <c r="AC104" s="43" t="s">
        <v>916</v>
      </c>
      <c r="AD104" s="43" t="s">
        <v>916</v>
      </c>
      <c r="AE104" s="33" t="s">
        <v>916</v>
      </c>
      <c r="AF104" s="35" t="s">
        <v>916</v>
      </c>
      <c r="AG104" s="44">
        <v>0</v>
      </c>
      <c r="AH104" s="42" t="s">
        <v>916</v>
      </c>
      <c r="AI104" s="32" t="e">
        <f>VLOOKUP(A104,'4月明細'!B:B,1,0)</f>
        <v>#N/A</v>
      </c>
    </row>
    <row r="105" spans="1:35" ht="19.95" customHeight="1" x14ac:dyDescent="0.3">
      <c r="A105" s="33" t="s">
        <v>1274</v>
      </c>
      <c r="B105" s="34">
        <v>46142.372245370374</v>
      </c>
      <c r="C105" s="34" t="str">
        <f t="shared" si="1"/>
        <v>202604</v>
      </c>
      <c r="D105" s="35" t="s">
        <v>1275</v>
      </c>
      <c r="E105" s="36" t="s">
        <v>1102</v>
      </c>
      <c r="F105" s="36" t="s">
        <v>1276</v>
      </c>
      <c r="G105" s="37" t="s">
        <v>1277</v>
      </c>
      <c r="H105" s="36" t="s">
        <v>1278</v>
      </c>
      <c r="I105" s="35" t="s">
        <v>1279</v>
      </c>
      <c r="J105" s="36" t="s">
        <v>938</v>
      </c>
      <c r="K105" s="33" t="s">
        <v>1280</v>
      </c>
      <c r="L105" s="35" t="s">
        <v>916</v>
      </c>
      <c r="M105" s="36" t="s">
        <v>916</v>
      </c>
      <c r="N105" s="36" t="s">
        <v>916</v>
      </c>
      <c r="O105" s="36" t="s">
        <v>939</v>
      </c>
      <c r="P105" s="38" t="s">
        <v>916</v>
      </c>
      <c r="Q105" s="36" t="s">
        <v>916</v>
      </c>
      <c r="R105" s="35" t="s">
        <v>916</v>
      </c>
      <c r="S105" s="35"/>
      <c r="T105" s="35" t="s">
        <v>916</v>
      </c>
      <c r="U105" s="40">
        <v>46143</v>
      </c>
      <c r="V105" s="41">
        <v>46153.532673611109</v>
      </c>
      <c r="W105" s="40">
        <v>46142</v>
      </c>
      <c r="X105" s="40">
        <v>46153</v>
      </c>
      <c r="Y105" s="35" t="s">
        <v>916</v>
      </c>
      <c r="Z105" s="35" t="s">
        <v>916</v>
      </c>
      <c r="AA105" s="38">
        <v>0</v>
      </c>
      <c r="AB105" s="42" t="s">
        <v>916</v>
      </c>
      <c r="AC105" s="43" t="s">
        <v>916</v>
      </c>
      <c r="AD105" s="43" t="s">
        <v>916</v>
      </c>
      <c r="AE105" s="33" t="s">
        <v>916</v>
      </c>
      <c r="AF105" s="35" t="s">
        <v>916</v>
      </c>
      <c r="AG105" s="44">
        <v>0</v>
      </c>
      <c r="AH105" s="42" t="s">
        <v>916</v>
      </c>
      <c r="AI105" s="32" t="e">
        <f>VLOOKUP(A105,'4月明細'!B:B,1,0)</f>
        <v>#N/A</v>
      </c>
    </row>
    <row r="106" spans="1:35" ht="19.95" customHeight="1" x14ac:dyDescent="0.3">
      <c r="A106" s="33" t="s">
        <v>1281</v>
      </c>
      <c r="B106" s="34">
        <v>46141.702685185184</v>
      </c>
      <c r="C106" s="34" t="str">
        <f t="shared" si="1"/>
        <v>202604</v>
      </c>
      <c r="D106" s="35" t="s">
        <v>996</v>
      </c>
      <c r="E106" s="36" t="s">
        <v>910</v>
      </c>
      <c r="F106" s="36" t="s">
        <v>1282</v>
      </c>
      <c r="G106" s="37" t="s">
        <v>1283</v>
      </c>
      <c r="H106" s="36" t="s">
        <v>928</v>
      </c>
      <c r="I106" s="35" t="s">
        <v>1284</v>
      </c>
      <c r="J106" s="36" t="s">
        <v>929</v>
      </c>
      <c r="K106" s="33" t="s">
        <v>930</v>
      </c>
      <c r="L106" s="35" t="s">
        <v>916</v>
      </c>
      <c r="M106" s="36" t="s">
        <v>916</v>
      </c>
      <c r="N106" s="36" t="s">
        <v>916</v>
      </c>
      <c r="O106" s="36" t="s">
        <v>939</v>
      </c>
      <c r="P106" s="38" t="s">
        <v>916</v>
      </c>
      <c r="Q106" s="36" t="s">
        <v>916</v>
      </c>
      <c r="R106" s="35" t="s">
        <v>916</v>
      </c>
      <c r="S106" s="35"/>
      <c r="T106" s="35" t="s">
        <v>916</v>
      </c>
      <c r="U106" s="40">
        <v>46142</v>
      </c>
      <c r="V106" s="41">
        <v>46153.532673611109</v>
      </c>
      <c r="W106" s="40">
        <v>46141</v>
      </c>
      <c r="X106" s="40">
        <v>46153</v>
      </c>
      <c r="Y106" s="35" t="s">
        <v>916</v>
      </c>
      <c r="Z106" s="35" t="s">
        <v>916</v>
      </c>
      <c r="AA106" s="38">
        <v>0</v>
      </c>
      <c r="AB106" s="42" t="s">
        <v>916</v>
      </c>
      <c r="AC106" s="43" t="s">
        <v>916</v>
      </c>
      <c r="AD106" s="43" t="s">
        <v>916</v>
      </c>
      <c r="AE106" s="33" t="s">
        <v>916</v>
      </c>
      <c r="AF106" s="35" t="s">
        <v>916</v>
      </c>
      <c r="AG106" s="44">
        <v>0</v>
      </c>
      <c r="AH106" s="42" t="s">
        <v>916</v>
      </c>
      <c r="AI106" s="32" t="e">
        <f>VLOOKUP(A106,'4月明細'!B:B,1,0)</f>
        <v>#N/A</v>
      </c>
    </row>
    <row r="107" spans="1:35" ht="19.95" customHeight="1" x14ac:dyDescent="0.3">
      <c r="A107" s="33" t="s">
        <v>842</v>
      </c>
      <c r="B107" s="34">
        <v>46141.701319444444</v>
      </c>
      <c r="C107" s="34" t="str">
        <f t="shared" si="1"/>
        <v>202604</v>
      </c>
      <c r="D107" s="35" t="s">
        <v>909</v>
      </c>
      <c r="E107" s="36" t="s">
        <v>910</v>
      </c>
      <c r="F107" s="36" t="s">
        <v>1285</v>
      </c>
      <c r="G107" s="37" t="s">
        <v>1286</v>
      </c>
      <c r="H107" s="36" t="s">
        <v>954</v>
      </c>
      <c r="I107" s="35" t="s">
        <v>1287</v>
      </c>
      <c r="J107" s="36" t="s">
        <v>929</v>
      </c>
      <c r="K107" s="33" t="s">
        <v>970</v>
      </c>
      <c r="L107" s="35" t="s">
        <v>916</v>
      </c>
      <c r="M107" s="36" t="s">
        <v>917</v>
      </c>
      <c r="N107" s="45">
        <v>46147.455833333333</v>
      </c>
      <c r="O107" s="36" t="s">
        <v>25</v>
      </c>
      <c r="P107" s="38">
        <v>5.7545138889</v>
      </c>
      <c r="Q107" s="39" t="s">
        <v>958</v>
      </c>
      <c r="R107" s="35" t="s">
        <v>916</v>
      </c>
      <c r="S107" s="35"/>
      <c r="T107" s="35" t="s">
        <v>916</v>
      </c>
      <c r="U107" s="40">
        <v>46142</v>
      </c>
      <c r="V107" s="41">
        <v>46153.532673611109</v>
      </c>
      <c r="W107" s="40">
        <v>46141</v>
      </c>
      <c r="X107" s="35" t="s">
        <v>916</v>
      </c>
      <c r="Y107" s="35" t="s">
        <v>916</v>
      </c>
      <c r="Z107" s="35" t="s">
        <v>916</v>
      </c>
      <c r="AA107" s="38">
        <v>138.1083333336</v>
      </c>
      <c r="AB107" s="42" t="s">
        <v>916</v>
      </c>
      <c r="AC107" s="43" t="s">
        <v>916</v>
      </c>
      <c r="AD107" s="43" t="s">
        <v>916</v>
      </c>
      <c r="AE107" s="33" t="s">
        <v>916</v>
      </c>
      <c r="AF107" s="35" t="s">
        <v>916</v>
      </c>
      <c r="AG107" s="44">
        <v>0</v>
      </c>
      <c r="AH107" s="42" t="s">
        <v>916</v>
      </c>
      <c r="AI107" s="32" t="e">
        <f>VLOOKUP(A107,'4月明細'!B:B,1,0)</f>
        <v>#N/A</v>
      </c>
    </row>
    <row r="108" spans="1:35" ht="19.95" customHeight="1" x14ac:dyDescent="0.3">
      <c r="A108" s="33" t="s">
        <v>841</v>
      </c>
      <c r="B108" s="34">
        <v>46141.670601851853</v>
      </c>
      <c r="C108" s="34" t="str">
        <f t="shared" si="1"/>
        <v>202604</v>
      </c>
      <c r="D108" s="35" t="s">
        <v>996</v>
      </c>
      <c r="E108" s="36" t="s">
        <v>910</v>
      </c>
      <c r="F108" s="36" t="s">
        <v>987</v>
      </c>
      <c r="G108" s="37" t="s">
        <v>1288</v>
      </c>
      <c r="H108" s="36" t="s">
        <v>928</v>
      </c>
      <c r="I108" s="35" t="s">
        <v>1289</v>
      </c>
      <c r="J108" s="36" t="s">
        <v>929</v>
      </c>
      <c r="K108" s="33" t="s">
        <v>930</v>
      </c>
      <c r="L108" s="35" t="s">
        <v>916</v>
      </c>
      <c r="M108" s="36" t="s">
        <v>923</v>
      </c>
      <c r="N108" s="45">
        <v>46147.456296296295</v>
      </c>
      <c r="O108" s="36" t="s">
        <v>25</v>
      </c>
      <c r="P108" s="38">
        <v>5.7856944443999998</v>
      </c>
      <c r="Q108" s="39" t="s">
        <v>1087</v>
      </c>
      <c r="R108" s="35" t="s">
        <v>916</v>
      </c>
      <c r="S108" s="35"/>
      <c r="T108" s="35" t="s">
        <v>916</v>
      </c>
      <c r="U108" s="40">
        <v>46142</v>
      </c>
      <c r="V108" s="41">
        <v>46153.532673611109</v>
      </c>
      <c r="W108" s="40">
        <v>46141</v>
      </c>
      <c r="X108" s="35" t="s">
        <v>916</v>
      </c>
      <c r="Y108" s="35" t="s">
        <v>916</v>
      </c>
      <c r="Z108" s="35" t="s">
        <v>916</v>
      </c>
      <c r="AA108" s="38">
        <v>138.85666666559999</v>
      </c>
      <c r="AB108" s="42" t="s">
        <v>916</v>
      </c>
      <c r="AC108" s="43" t="s">
        <v>916</v>
      </c>
      <c r="AD108" s="43" t="s">
        <v>916</v>
      </c>
      <c r="AE108" s="33" t="s">
        <v>916</v>
      </c>
      <c r="AF108" s="35" t="s">
        <v>916</v>
      </c>
      <c r="AG108" s="44">
        <v>0</v>
      </c>
      <c r="AH108" s="42" t="s">
        <v>916</v>
      </c>
      <c r="AI108" s="32" t="e">
        <f>VLOOKUP(A108,'4月明細'!B:B,1,0)</f>
        <v>#N/A</v>
      </c>
    </row>
    <row r="109" spans="1:35" ht="19.95" customHeight="1" x14ac:dyDescent="0.3">
      <c r="A109" s="33" t="s">
        <v>840</v>
      </c>
      <c r="B109" s="34">
        <v>46141.644201388888</v>
      </c>
      <c r="C109" s="34" t="str">
        <f t="shared" si="1"/>
        <v>202604</v>
      </c>
      <c r="D109" s="35" t="s">
        <v>996</v>
      </c>
      <c r="E109" s="36" t="s">
        <v>910</v>
      </c>
      <c r="F109" s="36" t="s">
        <v>1145</v>
      </c>
      <c r="G109" s="37" t="s">
        <v>1290</v>
      </c>
      <c r="H109" s="36" t="s">
        <v>928</v>
      </c>
      <c r="I109" s="35"/>
      <c r="J109" s="36" t="s">
        <v>929</v>
      </c>
      <c r="K109" s="33" t="s">
        <v>930</v>
      </c>
      <c r="L109" s="35" t="s">
        <v>916</v>
      </c>
      <c r="M109" s="36" t="s">
        <v>923</v>
      </c>
      <c r="N109" s="45">
        <v>46147.456608796296</v>
      </c>
      <c r="O109" s="36" t="s">
        <v>25</v>
      </c>
      <c r="P109" s="38">
        <v>5.8124074074000003</v>
      </c>
      <c r="Q109" s="39" t="s">
        <v>1291</v>
      </c>
      <c r="R109" s="35" t="s">
        <v>916</v>
      </c>
      <c r="S109" s="35"/>
      <c r="T109" s="35" t="s">
        <v>916</v>
      </c>
      <c r="U109" s="40">
        <v>46142</v>
      </c>
      <c r="V109" s="41">
        <v>46153.532673611109</v>
      </c>
      <c r="W109" s="40">
        <v>46141</v>
      </c>
      <c r="X109" s="35" t="s">
        <v>916</v>
      </c>
      <c r="Y109" s="35" t="s">
        <v>916</v>
      </c>
      <c r="Z109" s="35" t="s">
        <v>916</v>
      </c>
      <c r="AA109" s="38">
        <v>139.49777777759999</v>
      </c>
      <c r="AB109" s="42" t="s">
        <v>916</v>
      </c>
      <c r="AC109" s="43" t="s">
        <v>916</v>
      </c>
      <c r="AD109" s="43" t="s">
        <v>916</v>
      </c>
      <c r="AE109" s="33" t="s">
        <v>916</v>
      </c>
      <c r="AF109" s="35" t="s">
        <v>916</v>
      </c>
      <c r="AG109" s="44">
        <v>0</v>
      </c>
      <c r="AH109" s="42" t="s">
        <v>916</v>
      </c>
      <c r="AI109" s="32" t="e">
        <f>VLOOKUP(A109,'4月明細'!B:B,1,0)</f>
        <v>#N/A</v>
      </c>
    </row>
    <row r="110" spans="1:35" ht="19.95" customHeight="1" x14ac:dyDescent="0.3">
      <c r="A110" s="33" t="s">
        <v>1292</v>
      </c>
      <c r="B110" s="34">
        <v>46141.633969907409</v>
      </c>
      <c r="C110" s="34" t="str">
        <f t="shared" si="1"/>
        <v>202604</v>
      </c>
      <c r="D110" s="35" t="s">
        <v>996</v>
      </c>
      <c r="E110" s="36" t="s">
        <v>910</v>
      </c>
      <c r="F110" s="36" t="s">
        <v>1145</v>
      </c>
      <c r="G110" s="37" t="s">
        <v>1293</v>
      </c>
      <c r="H110" s="36" t="s">
        <v>1047</v>
      </c>
      <c r="I110" s="35"/>
      <c r="J110" s="36" t="s">
        <v>929</v>
      </c>
      <c r="K110" s="33" t="s">
        <v>1048</v>
      </c>
      <c r="L110" s="35" t="s">
        <v>916</v>
      </c>
      <c r="M110" s="36" t="s">
        <v>916</v>
      </c>
      <c r="N110" s="36" t="s">
        <v>916</v>
      </c>
      <c r="O110" s="36" t="s">
        <v>939</v>
      </c>
      <c r="P110" s="38" t="s">
        <v>916</v>
      </c>
      <c r="Q110" s="36" t="s">
        <v>916</v>
      </c>
      <c r="R110" s="35" t="s">
        <v>916</v>
      </c>
      <c r="S110" s="35"/>
      <c r="T110" s="35" t="s">
        <v>916</v>
      </c>
      <c r="U110" s="40">
        <v>46142</v>
      </c>
      <c r="V110" s="41">
        <v>46153.532673611109</v>
      </c>
      <c r="W110" s="40">
        <v>46141</v>
      </c>
      <c r="X110" s="40">
        <v>46153</v>
      </c>
      <c r="Y110" s="35" t="s">
        <v>916</v>
      </c>
      <c r="Z110" s="35" t="s">
        <v>916</v>
      </c>
      <c r="AA110" s="38">
        <v>0</v>
      </c>
      <c r="AB110" s="42" t="s">
        <v>916</v>
      </c>
      <c r="AC110" s="43" t="s">
        <v>916</v>
      </c>
      <c r="AD110" s="43" t="s">
        <v>916</v>
      </c>
      <c r="AE110" s="33" t="s">
        <v>916</v>
      </c>
      <c r="AF110" s="35" t="s">
        <v>916</v>
      </c>
      <c r="AG110" s="44">
        <v>0</v>
      </c>
      <c r="AH110" s="42" t="s">
        <v>916</v>
      </c>
      <c r="AI110" s="32" t="e">
        <f>VLOOKUP(A110,'4月明細'!B:B,1,0)</f>
        <v>#N/A</v>
      </c>
    </row>
    <row r="111" spans="1:35" ht="19.95" customHeight="1" x14ac:dyDescent="0.3">
      <c r="A111" s="33" t="s">
        <v>1294</v>
      </c>
      <c r="B111" s="34">
        <v>46141.631516203706</v>
      </c>
      <c r="C111" s="34" t="str">
        <f t="shared" si="1"/>
        <v>202604</v>
      </c>
      <c r="D111" s="35" t="s">
        <v>909</v>
      </c>
      <c r="E111" s="36" t="s">
        <v>910</v>
      </c>
      <c r="F111" s="36" t="s">
        <v>1295</v>
      </c>
      <c r="G111" s="37" t="s">
        <v>1296</v>
      </c>
      <c r="H111" s="36" t="s">
        <v>1023</v>
      </c>
      <c r="I111" s="35" t="s">
        <v>1297</v>
      </c>
      <c r="J111" s="36" t="s">
        <v>929</v>
      </c>
      <c r="K111" s="33" t="s">
        <v>1025</v>
      </c>
      <c r="L111" s="35" t="s">
        <v>916</v>
      </c>
      <c r="M111" s="36" t="s">
        <v>916</v>
      </c>
      <c r="N111" s="36" t="s">
        <v>916</v>
      </c>
      <c r="O111" s="36" t="s">
        <v>939</v>
      </c>
      <c r="P111" s="38" t="s">
        <v>916</v>
      </c>
      <c r="Q111" s="36" t="s">
        <v>916</v>
      </c>
      <c r="R111" s="35" t="s">
        <v>916</v>
      </c>
      <c r="S111" s="35"/>
      <c r="T111" s="35" t="s">
        <v>916</v>
      </c>
      <c r="U111" s="40">
        <v>46142</v>
      </c>
      <c r="V111" s="41">
        <v>46153.532673611109</v>
      </c>
      <c r="W111" s="40">
        <v>46141</v>
      </c>
      <c r="X111" s="40">
        <v>46153</v>
      </c>
      <c r="Y111" s="35" t="s">
        <v>916</v>
      </c>
      <c r="Z111" s="35" t="s">
        <v>916</v>
      </c>
      <c r="AA111" s="38">
        <v>0</v>
      </c>
      <c r="AB111" s="42" t="s">
        <v>916</v>
      </c>
      <c r="AC111" s="43" t="s">
        <v>916</v>
      </c>
      <c r="AD111" s="43" t="s">
        <v>916</v>
      </c>
      <c r="AE111" s="33" t="s">
        <v>916</v>
      </c>
      <c r="AF111" s="35" t="s">
        <v>916</v>
      </c>
      <c r="AG111" s="44">
        <v>0</v>
      </c>
      <c r="AH111" s="42" t="s">
        <v>916</v>
      </c>
      <c r="AI111" s="32" t="e">
        <f>VLOOKUP(A111,'4月明細'!B:B,1,0)</f>
        <v>#N/A</v>
      </c>
    </row>
    <row r="112" spans="1:35" ht="19.95" customHeight="1" x14ac:dyDescent="0.3">
      <c r="A112" s="33" t="s">
        <v>839</v>
      </c>
      <c r="B112" s="34">
        <v>46141.611620370371</v>
      </c>
      <c r="C112" s="34" t="str">
        <f t="shared" si="1"/>
        <v>202604</v>
      </c>
      <c r="D112" s="35" t="s">
        <v>996</v>
      </c>
      <c r="E112" s="36" t="s">
        <v>910</v>
      </c>
      <c r="F112" s="36" t="s">
        <v>987</v>
      </c>
      <c r="G112" s="37" t="s">
        <v>1298</v>
      </c>
      <c r="H112" s="36" t="s">
        <v>928</v>
      </c>
      <c r="I112" s="35"/>
      <c r="J112" s="36" t="s">
        <v>1058</v>
      </c>
      <c r="K112" s="33" t="s">
        <v>1007</v>
      </c>
      <c r="L112" s="35" t="s">
        <v>916</v>
      </c>
      <c r="M112" s="36" t="s">
        <v>923</v>
      </c>
      <c r="N112" s="45">
        <v>46147.456504629627</v>
      </c>
      <c r="O112" s="36" t="s">
        <v>25</v>
      </c>
      <c r="P112" s="38">
        <v>5.8448842592999997</v>
      </c>
      <c r="Q112" s="39" t="s">
        <v>1299</v>
      </c>
      <c r="R112" s="35" t="s">
        <v>916</v>
      </c>
      <c r="S112" s="35"/>
      <c r="T112" s="35" t="s">
        <v>916</v>
      </c>
      <c r="U112" s="40">
        <v>46142</v>
      </c>
      <c r="V112" s="41">
        <v>46153.532673611109</v>
      </c>
      <c r="W112" s="40">
        <v>46141</v>
      </c>
      <c r="X112" s="35" t="s">
        <v>916</v>
      </c>
      <c r="Y112" s="35" t="s">
        <v>916</v>
      </c>
      <c r="Z112" s="35" t="s">
        <v>916</v>
      </c>
      <c r="AA112" s="38">
        <v>140.2772222232</v>
      </c>
      <c r="AB112" s="42" t="s">
        <v>916</v>
      </c>
      <c r="AC112" s="43" t="s">
        <v>916</v>
      </c>
      <c r="AD112" s="43" t="s">
        <v>916</v>
      </c>
      <c r="AE112" s="33" t="s">
        <v>916</v>
      </c>
      <c r="AF112" s="35" t="s">
        <v>916</v>
      </c>
      <c r="AG112" s="44">
        <v>0</v>
      </c>
      <c r="AH112" s="42" t="s">
        <v>916</v>
      </c>
      <c r="AI112" s="32" t="e">
        <f>VLOOKUP(A112,'4月明細'!B:B,1,0)</f>
        <v>#N/A</v>
      </c>
    </row>
    <row r="113" spans="1:37" ht="19.95" customHeight="1" x14ac:dyDescent="0.3">
      <c r="A113" s="33" t="s">
        <v>838</v>
      </c>
      <c r="B113" s="34">
        <v>46141.609872685185</v>
      </c>
      <c r="C113" s="34" t="str">
        <f t="shared" si="1"/>
        <v>202604</v>
      </c>
      <c r="D113" s="35" t="s">
        <v>996</v>
      </c>
      <c r="E113" s="36" t="s">
        <v>910</v>
      </c>
      <c r="F113" s="36" t="s">
        <v>987</v>
      </c>
      <c r="G113" s="37" t="s">
        <v>1300</v>
      </c>
      <c r="H113" s="36" t="s">
        <v>928</v>
      </c>
      <c r="I113" s="35"/>
      <c r="J113" s="36" t="s">
        <v>1058</v>
      </c>
      <c r="K113" s="33" t="s">
        <v>1007</v>
      </c>
      <c r="L113" s="35" t="s">
        <v>916</v>
      </c>
      <c r="M113" s="36" t="s">
        <v>923</v>
      </c>
      <c r="N113" s="45">
        <v>46148.741099537037</v>
      </c>
      <c r="O113" s="36" t="s">
        <v>25</v>
      </c>
      <c r="P113" s="38">
        <v>7.1312268519000002</v>
      </c>
      <c r="Q113" s="39" t="s">
        <v>994</v>
      </c>
      <c r="R113" s="35" t="s">
        <v>916</v>
      </c>
      <c r="S113" s="35"/>
      <c r="T113" s="35" t="s">
        <v>916</v>
      </c>
      <c r="U113" s="40">
        <v>46142</v>
      </c>
      <c r="V113" s="41">
        <v>46153.532673611109</v>
      </c>
      <c r="W113" s="40">
        <v>46141</v>
      </c>
      <c r="X113" s="35" t="s">
        <v>916</v>
      </c>
      <c r="Y113" s="35" t="s">
        <v>916</v>
      </c>
      <c r="Z113" s="35" t="s">
        <v>916</v>
      </c>
      <c r="AA113" s="38">
        <v>171.14944444560001</v>
      </c>
      <c r="AB113" s="42" t="s">
        <v>916</v>
      </c>
      <c r="AC113" s="43" t="s">
        <v>916</v>
      </c>
      <c r="AD113" s="43" t="s">
        <v>916</v>
      </c>
      <c r="AE113" s="33" t="s">
        <v>916</v>
      </c>
      <c r="AF113" s="35" t="s">
        <v>916</v>
      </c>
      <c r="AG113" s="44">
        <v>0</v>
      </c>
      <c r="AH113" s="42" t="s">
        <v>916</v>
      </c>
      <c r="AI113" s="32" t="e">
        <f>VLOOKUP(A113,'4月明細'!B:B,1,0)</f>
        <v>#N/A</v>
      </c>
    </row>
    <row r="114" spans="1:37" ht="19.95" customHeight="1" x14ac:dyDescent="0.3">
      <c r="A114" s="33" t="s">
        <v>1301</v>
      </c>
      <c r="B114" s="34">
        <v>46141.562002314815</v>
      </c>
      <c r="C114" s="34" t="str">
        <f t="shared" si="1"/>
        <v>202604</v>
      </c>
      <c r="D114" s="35" t="s">
        <v>996</v>
      </c>
      <c r="E114" s="36" t="s">
        <v>910</v>
      </c>
      <c r="F114" s="36" t="s">
        <v>1055</v>
      </c>
      <c r="G114" s="37" t="s">
        <v>1302</v>
      </c>
      <c r="H114" s="36" t="s">
        <v>928</v>
      </c>
      <c r="I114" s="35"/>
      <c r="J114" s="36" t="s">
        <v>929</v>
      </c>
      <c r="K114" s="33" t="s">
        <v>930</v>
      </c>
      <c r="L114" s="35" t="s">
        <v>916</v>
      </c>
      <c r="M114" s="36" t="s">
        <v>916</v>
      </c>
      <c r="N114" s="36" t="s">
        <v>916</v>
      </c>
      <c r="O114" s="36" t="s">
        <v>939</v>
      </c>
      <c r="P114" s="38" t="s">
        <v>916</v>
      </c>
      <c r="Q114" s="36" t="s">
        <v>916</v>
      </c>
      <c r="R114" s="35" t="s">
        <v>916</v>
      </c>
      <c r="S114" s="35"/>
      <c r="T114" s="35" t="s">
        <v>916</v>
      </c>
      <c r="U114" s="40">
        <v>46142</v>
      </c>
      <c r="V114" s="41">
        <v>46153.532673611109</v>
      </c>
      <c r="W114" s="40">
        <v>46141</v>
      </c>
      <c r="X114" s="40">
        <v>46153</v>
      </c>
      <c r="Y114" s="35" t="s">
        <v>916</v>
      </c>
      <c r="Z114" s="35" t="s">
        <v>916</v>
      </c>
      <c r="AA114" s="38">
        <v>0</v>
      </c>
      <c r="AB114" s="42" t="s">
        <v>916</v>
      </c>
      <c r="AC114" s="43" t="s">
        <v>916</v>
      </c>
      <c r="AD114" s="43" t="s">
        <v>916</v>
      </c>
      <c r="AE114" s="33" t="s">
        <v>916</v>
      </c>
      <c r="AF114" s="35" t="s">
        <v>916</v>
      </c>
      <c r="AG114" s="44">
        <v>0</v>
      </c>
      <c r="AH114" s="42" t="s">
        <v>916</v>
      </c>
      <c r="AI114" s="32" t="e">
        <f>VLOOKUP(A114,'4月明細'!B:B,1,0)</f>
        <v>#N/A</v>
      </c>
    </row>
    <row r="115" spans="1:37" ht="19.95" customHeight="1" x14ac:dyDescent="0.3">
      <c r="A115" s="33" t="s">
        <v>1303</v>
      </c>
      <c r="B115" s="34">
        <v>46141.483437499999</v>
      </c>
      <c r="C115" s="34" t="str">
        <f t="shared" si="1"/>
        <v>202604</v>
      </c>
      <c r="D115" s="35" t="s">
        <v>909</v>
      </c>
      <c r="E115" s="36" t="s">
        <v>910</v>
      </c>
      <c r="F115" s="36" t="s">
        <v>1304</v>
      </c>
      <c r="G115" s="37" t="s">
        <v>1305</v>
      </c>
      <c r="H115" s="36" t="s">
        <v>954</v>
      </c>
      <c r="I115" s="35" t="s">
        <v>1306</v>
      </c>
      <c r="J115" s="36" t="s">
        <v>929</v>
      </c>
      <c r="K115" s="33" t="s">
        <v>1086</v>
      </c>
      <c r="L115" s="35" t="s">
        <v>916</v>
      </c>
      <c r="M115" s="36" t="s">
        <v>917</v>
      </c>
      <c r="N115" s="36" t="s">
        <v>916</v>
      </c>
      <c r="O115" s="36" t="s">
        <v>939</v>
      </c>
      <c r="P115" s="38" t="s">
        <v>916</v>
      </c>
      <c r="Q115" s="39" t="s">
        <v>1307</v>
      </c>
      <c r="R115" s="35" t="s">
        <v>916</v>
      </c>
      <c r="S115" s="35"/>
      <c r="T115" s="35" t="s">
        <v>916</v>
      </c>
      <c r="U115" s="40">
        <v>46142</v>
      </c>
      <c r="V115" s="41">
        <v>46153.532673611109</v>
      </c>
      <c r="W115" s="40">
        <v>46141</v>
      </c>
      <c r="X115" s="40">
        <v>46153</v>
      </c>
      <c r="Y115" s="35" t="s">
        <v>916</v>
      </c>
      <c r="Z115" s="35" t="s">
        <v>916</v>
      </c>
      <c r="AA115" s="38">
        <v>0</v>
      </c>
      <c r="AB115" s="42" t="s">
        <v>916</v>
      </c>
      <c r="AC115" s="43" t="s">
        <v>916</v>
      </c>
      <c r="AD115" s="43" t="s">
        <v>916</v>
      </c>
      <c r="AE115" s="33" t="s">
        <v>916</v>
      </c>
      <c r="AF115" s="35" t="s">
        <v>916</v>
      </c>
      <c r="AG115" s="44">
        <v>0</v>
      </c>
      <c r="AH115" s="42" t="s">
        <v>916</v>
      </c>
      <c r="AI115" s="32" t="e">
        <f>VLOOKUP(A115,'4月明細'!B:B,1,0)</f>
        <v>#N/A</v>
      </c>
    </row>
    <row r="116" spans="1:37" ht="19.95" customHeight="1" x14ac:dyDescent="0.3">
      <c r="A116" s="33" t="s">
        <v>1308</v>
      </c>
      <c r="B116" s="34">
        <v>46141.408449074072</v>
      </c>
      <c r="C116" s="34" t="str">
        <f t="shared" si="1"/>
        <v>202604</v>
      </c>
      <c r="D116" s="35" t="s">
        <v>1275</v>
      </c>
      <c r="E116" s="36" t="s">
        <v>1102</v>
      </c>
      <c r="F116" s="36" t="s">
        <v>1309</v>
      </c>
      <c r="G116" s="37" t="s">
        <v>1310</v>
      </c>
      <c r="H116" s="36" t="s">
        <v>1105</v>
      </c>
      <c r="I116" s="35" t="s">
        <v>1311</v>
      </c>
      <c r="J116" s="36" t="s">
        <v>938</v>
      </c>
      <c r="K116" s="33" t="s">
        <v>1106</v>
      </c>
      <c r="L116" s="35" t="s">
        <v>916</v>
      </c>
      <c r="M116" s="36" t="s">
        <v>916</v>
      </c>
      <c r="N116" s="36" t="s">
        <v>916</v>
      </c>
      <c r="O116" s="36" t="s">
        <v>939</v>
      </c>
      <c r="P116" s="38" t="s">
        <v>916</v>
      </c>
      <c r="Q116" s="36" t="s">
        <v>916</v>
      </c>
      <c r="R116" s="35" t="s">
        <v>916</v>
      </c>
      <c r="S116" s="35"/>
      <c r="T116" s="35" t="s">
        <v>916</v>
      </c>
      <c r="U116" s="40">
        <v>46142</v>
      </c>
      <c r="V116" s="41">
        <v>46153.532685185186</v>
      </c>
      <c r="W116" s="40">
        <v>46141</v>
      </c>
      <c r="X116" s="40">
        <v>46153</v>
      </c>
      <c r="Y116" s="35" t="s">
        <v>916</v>
      </c>
      <c r="Z116" s="35" t="s">
        <v>916</v>
      </c>
      <c r="AA116" s="38">
        <v>0</v>
      </c>
      <c r="AB116" s="42" t="s">
        <v>916</v>
      </c>
      <c r="AC116" s="43" t="s">
        <v>916</v>
      </c>
      <c r="AD116" s="43" t="s">
        <v>916</v>
      </c>
      <c r="AE116" s="33" t="s">
        <v>916</v>
      </c>
      <c r="AF116" s="35" t="s">
        <v>916</v>
      </c>
      <c r="AG116" s="44">
        <v>0</v>
      </c>
      <c r="AH116" s="42" t="s">
        <v>916</v>
      </c>
      <c r="AI116" s="32" t="e">
        <f>VLOOKUP(A116,'4月明細'!B:B,1,0)</f>
        <v>#N/A</v>
      </c>
    </row>
    <row r="117" spans="1:37" ht="19.95" customHeight="1" x14ac:dyDescent="0.3">
      <c r="A117" s="33" t="s">
        <v>1312</v>
      </c>
      <c r="B117" s="34">
        <v>46141.403263888889</v>
      </c>
      <c r="C117" s="34" t="str">
        <f t="shared" si="1"/>
        <v>202604</v>
      </c>
      <c r="D117" s="35" t="s">
        <v>909</v>
      </c>
      <c r="E117" s="36" t="s">
        <v>910</v>
      </c>
      <c r="F117" s="36" t="s">
        <v>964</v>
      </c>
      <c r="G117" s="37" t="s">
        <v>1313</v>
      </c>
      <c r="H117" s="36" t="s">
        <v>1023</v>
      </c>
      <c r="I117" s="35" t="s">
        <v>1314</v>
      </c>
      <c r="J117" s="36" t="s">
        <v>929</v>
      </c>
      <c r="K117" s="33" t="s">
        <v>1025</v>
      </c>
      <c r="L117" s="35" t="s">
        <v>916</v>
      </c>
      <c r="M117" s="36" t="s">
        <v>916</v>
      </c>
      <c r="N117" s="36" t="s">
        <v>916</v>
      </c>
      <c r="O117" s="36" t="s">
        <v>939</v>
      </c>
      <c r="P117" s="38" t="s">
        <v>916</v>
      </c>
      <c r="Q117" s="36" t="s">
        <v>916</v>
      </c>
      <c r="R117" s="35" t="s">
        <v>916</v>
      </c>
      <c r="S117" s="35"/>
      <c r="T117" s="35" t="s">
        <v>916</v>
      </c>
      <c r="U117" s="40">
        <v>46142</v>
      </c>
      <c r="V117" s="41">
        <v>46153.532685185186</v>
      </c>
      <c r="W117" s="40">
        <v>46141</v>
      </c>
      <c r="X117" s="40">
        <v>46153</v>
      </c>
      <c r="Y117" s="35" t="s">
        <v>916</v>
      </c>
      <c r="Z117" s="35" t="s">
        <v>916</v>
      </c>
      <c r="AA117" s="38">
        <v>0</v>
      </c>
      <c r="AB117" s="42" t="s">
        <v>916</v>
      </c>
      <c r="AC117" s="43" t="s">
        <v>916</v>
      </c>
      <c r="AD117" s="43" t="s">
        <v>916</v>
      </c>
      <c r="AE117" s="33" t="s">
        <v>916</v>
      </c>
      <c r="AF117" s="35" t="s">
        <v>916</v>
      </c>
      <c r="AG117" s="44">
        <v>0</v>
      </c>
      <c r="AH117" s="42" t="s">
        <v>916</v>
      </c>
      <c r="AI117" s="32" t="e">
        <f>VLOOKUP(A117,'4月明細'!B:B,1,0)</f>
        <v>#N/A</v>
      </c>
    </row>
    <row r="118" spans="1:37" ht="19.95" customHeight="1" x14ac:dyDescent="0.3">
      <c r="A118" s="33" t="s">
        <v>1315</v>
      </c>
      <c r="B118" s="34">
        <v>46140.660497685189</v>
      </c>
      <c r="C118" s="34" t="str">
        <f t="shared" si="1"/>
        <v>202604</v>
      </c>
      <c r="D118" s="35" t="s">
        <v>996</v>
      </c>
      <c r="E118" s="36" t="s">
        <v>910</v>
      </c>
      <c r="F118" s="36" t="s">
        <v>1316</v>
      </c>
      <c r="G118" s="37" t="s">
        <v>1317</v>
      </c>
      <c r="H118" s="36" t="s">
        <v>928</v>
      </c>
      <c r="I118" s="35" t="s">
        <v>1318</v>
      </c>
      <c r="J118" s="36" t="s">
        <v>914</v>
      </c>
      <c r="K118" s="33" t="s">
        <v>930</v>
      </c>
      <c r="L118" s="35" t="s">
        <v>916</v>
      </c>
      <c r="M118" s="36" t="s">
        <v>923</v>
      </c>
      <c r="N118" s="36" t="s">
        <v>916</v>
      </c>
      <c r="O118" s="36" t="s">
        <v>939</v>
      </c>
      <c r="P118" s="38" t="s">
        <v>916</v>
      </c>
      <c r="Q118" s="36" t="s">
        <v>916</v>
      </c>
      <c r="R118" s="35" t="s">
        <v>916</v>
      </c>
      <c r="S118" s="35"/>
      <c r="T118" s="35" t="s">
        <v>916</v>
      </c>
      <c r="U118" s="40">
        <v>46141</v>
      </c>
      <c r="V118" s="41">
        <v>46153.532685185186</v>
      </c>
      <c r="W118" s="40">
        <v>46140</v>
      </c>
      <c r="X118" s="40">
        <v>46153</v>
      </c>
      <c r="Y118" s="35" t="s">
        <v>916</v>
      </c>
      <c r="Z118" s="35" t="s">
        <v>916</v>
      </c>
      <c r="AA118" s="38">
        <v>0</v>
      </c>
      <c r="AB118" s="42" t="s">
        <v>916</v>
      </c>
      <c r="AC118" s="43" t="s">
        <v>916</v>
      </c>
      <c r="AD118" s="43" t="s">
        <v>916</v>
      </c>
      <c r="AE118" s="33" t="s">
        <v>916</v>
      </c>
      <c r="AF118" s="35" t="s">
        <v>916</v>
      </c>
      <c r="AG118" s="44">
        <v>1.66666665E-2</v>
      </c>
      <c r="AH118" s="42" t="s">
        <v>916</v>
      </c>
      <c r="AI118" s="32" t="e">
        <f>VLOOKUP(A118,'4月明細'!B:B,1,0)</f>
        <v>#N/A</v>
      </c>
    </row>
    <row r="119" spans="1:37" ht="19.95" customHeight="1" x14ac:dyDescent="0.3">
      <c r="A119" s="33" t="s">
        <v>836</v>
      </c>
      <c r="B119" s="34">
        <v>46140.470983796295</v>
      </c>
      <c r="C119" s="34" t="str">
        <f t="shared" si="1"/>
        <v>202604</v>
      </c>
      <c r="D119" s="35" t="s">
        <v>909</v>
      </c>
      <c r="E119" s="36" t="s">
        <v>910</v>
      </c>
      <c r="F119" s="36" t="s">
        <v>1032</v>
      </c>
      <c r="G119" s="37" t="s">
        <v>1319</v>
      </c>
      <c r="H119" s="36" t="s">
        <v>1023</v>
      </c>
      <c r="I119" s="35" t="s">
        <v>1320</v>
      </c>
      <c r="J119" s="36" t="s">
        <v>914</v>
      </c>
      <c r="K119" s="33" t="s">
        <v>1025</v>
      </c>
      <c r="L119" s="35" t="s">
        <v>916</v>
      </c>
      <c r="M119" s="36" t="s">
        <v>923</v>
      </c>
      <c r="N119" s="45">
        <v>46147.457800925928</v>
      </c>
      <c r="O119" s="36" t="s">
        <v>25</v>
      </c>
      <c r="P119" s="38">
        <v>6.9868171296000003</v>
      </c>
      <c r="Q119" s="39" t="s">
        <v>958</v>
      </c>
      <c r="R119" s="35" t="s">
        <v>916</v>
      </c>
      <c r="S119" s="35"/>
      <c r="T119" s="35" t="s">
        <v>916</v>
      </c>
      <c r="U119" s="40">
        <v>46141</v>
      </c>
      <c r="V119" s="41">
        <v>46153.532685185186</v>
      </c>
      <c r="W119" s="40">
        <v>46140</v>
      </c>
      <c r="X119" s="35" t="s">
        <v>916</v>
      </c>
      <c r="Y119" s="35" t="s">
        <v>916</v>
      </c>
      <c r="Z119" s="35" t="s">
        <v>916</v>
      </c>
      <c r="AA119" s="38">
        <v>167.68361111039999</v>
      </c>
      <c r="AB119" s="42" t="s">
        <v>916</v>
      </c>
      <c r="AC119" s="43" t="s">
        <v>916</v>
      </c>
      <c r="AD119" s="43" t="s">
        <v>916</v>
      </c>
      <c r="AE119" s="33" t="s">
        <v>916</v>
      </c>
      <c r="AF119" s="35" t="s">
        <v>916</v>
      </c>
      <c r="AG119" s="44">
        <v>0</v>
      </c>
      <c r="AH119" s="42" t="s">
        <v>916</v>
      </c>
      <c r="AI119" s="32" t="e">
        <f>VLOOKUP(A119,'4月明細'!B:B,1,0)</f>
        <v>#N/A</v>
      </c>
    </row>
    <row r="120" spans="1:37" ht="19.95" customHeight="1" x14ac:dyDescent="0.3">
      <c r="A120" s="33" t="s">
        <v>837</v>
      </c>
      <c r="B120" s="34">
        <v>46140.474178240744</v>
      </c>
      <c r="C120" s="34" t="str">
        <f t="shared" si="1"/>
        <v>202604</v>
      </c>
      <c r="D120" s="35" t="s">
        <v>996</v>
      </c>
      <c r="E120" s="36" t="s">
        <v>910</v>
      </c>
      <c r="F120" s="36" t="s">
        <v>1138</v>
      </c>
      <c r="G120" s="37" t="s">
        <v>1321</v>
      </c>
      <c r="H120" s="36" t="s">
        <v>928</v>
      </c>
      <c r="I120" s="35" t="s">
        <v>1322</v>
      </c>
      <c r="J120" s="36" t="s">
        <v>914</v>
      </c>
      <c r="K120" s="33" t="s">
        <v>930</v>
      </c>
      <c r="L120" s="35" t="s">
        <v>916</v>
      </c>
      <c r="M120" s="36" t="s">
        <v>923</v>
      </c>
      <c r="N120" s="45">
        <v>46147.457430555558</v>
      </c>
      <c r="O120" s="36" t="s">
        <v>25</v>
      </c>
      <c r="P120" s="38">
        <v>6.9832523147999996</v>
      </c>
      <c r="Q120" s="39" t="s">
        <v>1087</v>
      </c>
      <c r="R120" s="35" t="s">
        <v>916</v>
      </c>
      <c r="S120" s="35"/>
      <c r="T120" s="35" t="s">
        <v>916</v>
      </c>
      <c r="U120" s="40">
        <v>46141</v>
      </c>
      <c r="V120" s="41">
        <v>46153.532685185186</v>
      </c>
      <c r="W120" s="40">
        <v>46140</v>
      </c>
      <c r="X120" s="35" t="s">
        <v>916</v>
      </c>
      <c r="Y120" s="35" t="s">
        <v>916</v>
      </c>
      <c r="Z120" s="35" t="s">
        <v>916</v>
      </c>
      <c r="AA120" s="38">
        <v>167.59805555520001</v>
      </c>
      <c r="AB120" s="42" t="s">
        <v>916</v>
      </c>
      <c r="AC120" s="43" t="s">
        <v>916</v>
      </c>
      <c r="AD120" s="43" t="s">
        <v>916</v>
      </c>
      <c r="AE120" s="33" t="s">
        <v>916</v>
      </c>
      <c r="AF120" s="35" t="s">
        <v>916</v>
      </c>
      <c r="AG120" s="44">
        <v>0</v>
      </c>
      <c r="AH120" s="42" t="s">
        <v>916</v>
      </c>
      <c r="AI120" s="32" t="e">
        <f>VLOOKUP(A120,'4月明細'!B:B,1,0)</f>
        <v>#N/A</v>
      </c>
    </row>
    <row r="121" spans="1:37" ht="19.95" customHeight="1" x14ac:dyDescent="0.3">
      <c r="A121" s="33" t="s">
        <v>835</v>
      </c>
      <c r="B121" s="34">
        <v>46140.465960648151</v>
      </c>
      <c r="C121" s="34" t="str">
        <f t="shared" si="1"/>
        <v>202604</v>
      </c>
      <c r="D121" s="35" t="s">
        <v>909</v>
      </c>
      <c r="E121" s="36" t="s">
        <v>910</v>
      </c>
      <c r="F121" s="36" t="s">
        <v>1183</v>
      </c>
      <c r="G121" s="37" t="s">
        <v>1323</v>
      </c>
      <c r="H121" s="36" t="s">
        <v>928</v>
      </c>
      <c r="I121" s="35"/>
      <c r="J121" s="36" t="s">
        <v>914</v>
      </c>
      <c r="K121" s="33" t="s">
        <v>930</v>
      </c>
      <c r="L121" s="35" t="s">
        <v>916</v>
      </c>
      <c r="M121" s="36" t="s">
        <v>923</v>
      </c>
      <c r="N121" s="45">
        <v>46147.457280092596</v>
      </c>
      <c r="O121" s="36" t="s">
        <v>25</v>
      </c>
      <c r="P121" s="38">
        <v>6.9913194444000002</v>
      </c>
      <c r="Q121" s="39" t="s">
        <v>958</v>
      </c>
      <c r="R121" s="35" t="s">
        <v>916</v>
      </c>
      <c r="S121" s="35"/>
      <c r="T121" s="35" t="s">
        <v>916</v>
      </c>
      <c r="U121" s="40">
        <v>46141</v>
      </c>
      <c r="V121" s="41">
        <v>46153.532685185186</v>
      </c>
      <c r="W121" s="40">
        <v>46140</v>
      </c>
      <c r="X121" s="35" t="s">
        <v>916</v>
      </c>
      <c r="Y121" s="35" t="s">
        <v>916</v>
      </c>
      <c r="Z121" s="35" t="s">
        <v>916</v>
      </c>
      <c r="AA121" s="38">
        <v>167.79166666559999</v>
      </c>
      <c r="AB121" s="42" t="s">
        <v>916</v>
      </c>
      <c r="AC121" s="43" t="s">
        <v>916</v>
      </c>
      <c r="AD121" s="43" t="s">
        <v>916</v>
      </c>
      <c r="AE121" s="33" t="s">
        <v>916</v>
      </c>
      <c r="AF121" s="35" t="s">
        <v>916</v>
      </c>
      <c r="AG121" s="44">
        <v>0</v>
      </c>
      <c r="AH121" s="42" t="s">
        <v>916</v>
      </c>
      <c r="AI121" s="32" t="e">
        <f>VLOOKUP(A121,'4月明細'!B:B,1,0)</f>
        <v>#N/A</v>
      </c>
    </row>
    <row r="122" spans="1:37" ht="19.95" customHeight="1" x14ac:dyDescent="0.3">
      <c r="A122" s="33" t="s">
        <v>834</v>
      </c>
      <c r="B122" s="34">
        <v>46140.44253472222</v>
      </c>
      <c r="C122" s="34" t="str">
        <f t="shared" si="1"/>
        <v>202604</v>
      </c>
      <c r="D122" s="35" t="s">
        <v>909</v>
      </c>
      <c r="E122" s="36" t="s">
        <v>910</v>
      </c>
      <c r="F122" s="36" t="s">
        <v>1203</v>
      </c>
      <c r="G122" s="37" t="s">
        <v>1324</v>
      </c>
      <c r="H122" s="36" t="s">
        <v>1047</v>
      </c>
      <c r="I122" s="35"/>
      <c r="J122" s="36" t="s">
        <v>929</v>
      </c>
      <c r="K122" s="33" t="s">
        <v>1048</v>
      </c>
      <c r="L122" s="35" t="s">
        <v>916</v>
      </c>
      <c r="M122" s="36" t="s">
        <v>957</v>
      </c>
      <c r="N122" s="45">
        <v>46147.45548611111</v>
      </c>
      <c r="O122" s="36" t="s">
        <v>25</v>
      </c>
      <c r="P122" s="38">
        <v>7.0129513889000004</v>
      </c>
      <c r="Q122" s="39" t="s">
        <v>958</v>
      </c>
      <c r="R122" s="35" t="s">
        <v>916</v>
      </c>
      <c r="S122" s="35"/>
      <c r="T122" s="35" t="s">
        <v>916</v>
      </c>
      <c r="U122" s="40">
        <v>46141</v>
      </c>
      <c r="V122" s="41">
        <v>46153.532685185186</v>
      </c>
      <c r="W122" s="40">
        <v>46140</v>
      </c>
      <c r="X122" s="35" t="s">
        <v>916</v>
      </c>
      <c r="Y122" s="35" t="s">
        <v>916</v>
      </c>
      <c r="Z122" s="35" t="s">
        <v>916</v>
      </c>
      <c r="AA122" s="38">
        <v>168.31083333359999</v>
      </c>
      <c r="AB122" s="42" t="s">
        <v>916</v>
      </c>
      <c r="AC122" s="43" t="s">
        <v>916</v>
      </c>
      <c r="AD122" s="43" t="s">
        <v>916</v>
      </c>
      <c r="AE122" s="33" t="s">
        <v>916</v>
      </c>
      <c r="AF122" s="35" t="s">
        <v>916</v>
      </c>
      <c r="AG122" s="44">
        <v>0</v>
      </c>
      <c r="AH122" s="42" t="s">
        <v>916</v>
      </c>
      <c r="AI122" s="32" t="e">
        <f>VLOOKUP(A122,'4月明細'!B:B,1,0)</f>
        <v>#N/A</v>
      </c>
    </row>
    <row r="123" spans="1:37" ht="19.95" customHeight="1" x14ac:dyDescent="0.3">
      <c r="A123" s="33" t="s">
        <v>833</v>
      </c>
      <c r="B123" s="34">
        <v>46139.575219907405</v>
      </c>
      <c r="C123" s="34" t="str">
        <f t="shared" si="1"/>
        <v>202604</v>
      </c>
      <c r="D123" s="35" t="s">
        <v>909</v>
      </c>
      <c r="E123" s="36" t="s">
        <v>910</v>
      </c>
      <c r="F123" s="36" t="s">
        <v>1055</v>
      </c>
      <c r="G123" s="37" t="s">
        <v>1325</v>
      </c>
      <c r="H123" s="36" t="s">
        <v>954</v>
      </c>
      <c r="I123" s="35" t="s">
        <v>1326</v>
      </c>
      <c r="J123" s="36" t="s">
        <v>929</v>
      </c>
      <c r="K123" s="33" t="s">
        <v>956</v>
      </c>
      <c r="L123" s="35" t="s">
        <v>916</v>
      </c>
      <c r="M123" s="36" t="s">
        <v>923</v>
      </c>
      <c r="N123" s="45">
        <v>46147.45521990741</v>
      </c>
      <c r="O123" s="36" t="s">
        <v>25</v>
      </c>
      <c r="P123" s="38">
        <v>7.88</v>
      </c>
      <c r="Q123" s="39" t="s">
        <v>958</v>
      </c>
      <c r="R123" s="35" t="s">
        <v>916</v>
      </c>
      <c r="S123" s="35"/>
      <c r="T123" s="35" t="s">
        <v>916</v>
      </c>
      <c r="U123" s="40">
        <v>46140</v>
      </c>
      <c r="V123" s="41">
        <v>46153.532685185186</v>
      </c>
      <c r="W123" s="40">
        <v>46139</v>
      </c>
      <c r="X123" s="35" t="s">
        <v>916</v>
      </c>
      <c r="Y123" s="35" t="s">
        <v>916</v>
      </c>
      <c r="Z123" s="35" t="s">
        <v>916</v>
      </c>
      <c r="AA123" s="38">
        <v>189.12</v>
      </c>
      <c r="AB123" s="42" t="s">
        <v>916</v>
      </c>
      <c r="AC123" s="43" t="s">
        <v>916</v>
      </c>
      <c r="AD123" s="43" t="s">
        <v>916</v>
      </c>
      <c r="AE123" s="33" t="s">
        <v>916</v>
      </c>
      <c r="AF123" s="35" t="s">
        <v>916</v>
      </c>
      <c r="AG123" s="44">
        <v>0</v>
      </c>
      <c r="AH123" s="42" t="s">
        <v>916</v>
      </c>
      <c r="AI123" s="32" t="e">
        <f>VLOOKUP(A123,'4月明細'!B:B,1,0)</f>
        <v>#N/A</v>
      </c>
    </row>
    <row r="124" spans="1:37" ht="19.95" customHeight="1" x14ac:dyDescent="0.3">
      <c r="A124" s="33" t="s">
        <v>828</v>
      </c>
      <c r="B124" s="34">
        <v>46139.556898148148</v>
      </c>
      <c r="C124" s="34" t="str">
        <f t="shared" si="1"/>
        <v>202604</v>
      </c>
      <c r="D124" s="35" t="s">
        <v>1014</v>
      </c>
      <c r="E124" s="36" t="s">
        <v>942</v>
      </c>
      <c r="F124" s="36" t="s">
        <v>1240</v>
      </c>
      <c r="G124" s="37" t="s">
        <v>1327</v>
      </c>
      <c r="H124" s="36" t="s">
        <v>954</v>
      </c>
      <c r="I124" s="35"/>
      <c r="J124" s="36" t="s">
        <v>945</v>
      </c>
      <c r="K124" s="33" t="s">
        <v>970</v>
      </c>
      <c r="L124" s="35" t="s">
        <v>916</v>
      </c>
      <c r="M124" s="36" t="s">
        <v>1039</v>
      </c>
      <c r="N124" s="45">
        <v>46140.38417824074</v>
      </c>
      <c r="O124" s="36" t="s">
        <v>25</v>
      </c>
      <c r="P124" s="38">
        <v>0.82728009260000002</v>
      </c>
      <c r="Q124" s="39" t="s">
        <v>1328</v>
      </c>
      <c r="R124" s="35" t="s">
        <v>916</v>
      </c>
      <c r="S124" s="35"/>
      <c r="T124" s="35" t="s">
        <v>916</v>
      </c>
      <c r="U124" s="40">
        <v>46140</v>
      </c>
      <c r="V124" s="41">
        <v>46153.532685185186</v>
      </c>
      <c r="W124" s="40">
        <v>46139</v>
      </c>
      <c r="X124" s="35" t="s">
        <v>916</v>
      </c>
      <c r="Y124" s="35" t="s">
        <v>916</v>
      </c>
      <c r="Z124" s="35" t="s">
        <v>916</v>
      </c>
      <c r="AA124" s="38">
        <v>19.8547222224</v>
      </c>
      <c r="AB124" s="42" t="s">
        <v>916</v>
      </c>
      <c r="AC124" s="43" t="s">
        <v>916</v>
      </c>
      <c r="AD124" s="43" t="s">
        <v>916</v>
      </c>
      <c r="AE124" s="33" t="s">
        <v>916</v>
      </c>
      <c r="AF124" s="35" t="s">
        <v>916</v>
      </c>
      <c r="AG124" s="44">
        <v>0</v>
      </c>
      <c r="AH124" s="42" t="s">
        <v>916</v>
      </c>
      <c r="AI124" s="32" t="str">
        <f>VLOOKUP(A124,'4月明細'!B:B,1,0)</f>
        <v>In202604-081</v>
      </c>
      <c r="AJ124" s="32">
        <f>VLOOKUP(A124,'4月明細'!B:I,8,0)</f>
        <v>0.83</v>
      </c>
      <c r="AK124" s="47">
        <f>AJ124-P124</f>
        <v>2.7199073999999435E-3</v>
      </c>
    </row>
    <row r="125" spans="1:37" ht="19.95" customHeight="1" x14ac:dyDescent="0.3">
      <c r="A125" s="33" t="s">
        <v>832</v>
      </c>
      <c r="B125" s="34">
        <v>46139.552291666667</v>
      </c>
      <c r="C125" s="34" t="str">
        <f t="shared" si="1"/>
        <v>202604</v>
      </c>
      <c r="D125" s="35" t="s">
        <v>909</v>
      </c>
      <c r="E125" s="36" t="s">
        <v>910</v>
      </c>
      <c r="F125" s="36" t="s">
        <v>1032</v>
      </c>
      <c r="G125" s="37" t="s">
        <v>1329</v>
      </c>
      <c r="H125" s="36" t="s">
        <v>1023</v>
      </c>
      <c r="I125" s="35" t="s">
        <v>1330</v>
      </c>
      <c r="J125" s="36" t="s">
        <v>929</v>
      </c>
      <c r="K125" s="33" t="s">
        <v>1025</v>
      </c>
      <c r="L125" s="35" t="s">
        <v>916</v>
      </c>
      <c r="M125" s="36" t="s">
        <v>923</v>
      </c>
      <c r="N125" s="45">
        <v>46147.457696759258</v>
      </c>
      <c r="O125" s="36" t="s">
        <v>25</v>
      </c>
      <c r="P125" s="38">
        <v>7.9054050925999997</v>
      </c>
      <c r="Q125" s="39" t="s">
        <v>1331</v>
      </c>
      <c r="R125" s="35" t="s">
        <v>916</v>
      </c>
      <c r="S125" s="35"/>
      <c r="T125" s="35" t="s">
        <v>916</v>
      </c>
      <c r="U125" s="40">
        <v>46140</v>
      </c>
      <c r="V125" s="41">
        <v>46153.532685185186</v>
      </c>
      <c r="W125" s="40">
        <v>46139</v>
      </c>
      <c r="X125" s="35" t="s">
        <v>916</v>
      </c>
      <c r="Y125" s="35" t="s">
        <v>916</v>
      </c>
      <c r="Z125" s="35" t="s">
        <v>916</v>
      </c>
      <c r="AA125" s="38">
        <v>189.7297222224</v>
      </c>
      <c r="AB125" s="42" t="s">
        <v>916</v>
      </c>
      <c r="AC125" s="43" t="s">
        <v>916</v>
      </c>
      <c r="AD125" s="43" t="s">
        <v>916</v>
      </c>
      <c r="AE125" s="33" t="s">
        <v>916</v>
      </c>
      <c r="AF125" s="35" t="s">
        <v>916</v>
      </c>
      <c r="AG125" s="44">
        <v>0</v>
      </c>
      <c r="AH125" s="42" t="s">
        <v>916</v>
      </c>
      <c r="AI125" s="32" t="e">
        <f>VLOOKUP(A125,'4月明細'!B:B,1,0)</f>
        <v>#N/A</v>
      </c>
    </row>
    <row r="126" spans="1:37" ht="19.95" customHeight="1" x14ac:dyDescent="0.3">
      <c r="A126" s="33" t="s">
        <v>831</v>
      </c>
      <c r="B126" s="34">
        <v>46139.545173611114</v>
      </c>
      <c r="C126" s="34" t="str">
        <f t="shared" si="1"/>
        <v>202604</v>
      </c>
      <c r="D126" s="35" t="s">
        <v>951</v>
      </c>
      <c r="E126" s="36" t="s">
        <v>910</v>
      </c>
      <c r="F126" s="36" t="s">
        <v>952</v>
      </c>
      <c r="G126" s="37" t="s">
        <v>1332</v>
      </c>
      <c r="H126" s="36" t="s">
        <v>954</v>
      </c>
      <c r="I126" s="35" t="s">
        <v>1333</v>
      </c>
      <c r="J126" s="36" t="s">
        <v>929</v>
      </c>
      <c r="K126" s="33" t="s">
        <v>1043</v>
      </c>
      <c r="L126" s="35" t="s">
        <v>916</v>
      </c>
      <c r="M126" s="36" t="s">
        <v>917</v>
      </c>
      <c r="N126" s="45">
        <v>46147.457187499997</v>
      </c>
      <c r="O126" s="36" t="s">
        <v>25</v>
      </c>
      <c r="P126" s="38">
        <v>7.9120138888999998</v>
      </c>
      <c r="Q126" s="39" t="s">
        <v>1206</v>
      </c>
      <c r="R126" s="35" t="s">
        <v>916</v>
      </c>
      <c r="S126" s="35"/>
      <c r="T126" s="35" t="s">
        <v>916</v>
      </c>
      <c r="U126" s="40">
        <v>46140</v>
      </c>
      <c r="V126" s="41">
        <v>46153.532685185186</v>
      </c>
      <c r="W126" s="40">
        <v>46139</v>
      </c>
      <c r="X126" s="35" t="s">
        <v>916</v>
      </c>
      <c r="Y126" s="35" t="s">
        <v>916</v>
      </c>
      <c r="Z126" s="35" t="s">
        <v>916</v>
      </c>
      <c r="AA126" s="38">
        <v>189.8883333336</v>
      </c>
      <c r="AB126" s="42" t="s">
        <v>916</v>
      </c>
      <c r="AC126" s="43" t="s">
        <v>916</v>
      </c>
      <c r="AD126" s="43" t="s">
        <v>916</v>
      </c>
      <c r="AE126" s="33" t="s">
        <v>916</v>
      </c>
      <c r="AF126" s="35" t="s">
        <v>916</v>
      </c>
      <c r="AG126" s="44">
        <v>0</v>
      </c>
      <c r="AH126" s="42" t="s">
        <v>916</v>
      </c>
      <c r="AI126" s="32" t="e">
        <f>VLOOKUP(A126,'4月明細'!B:B,1,0)</f>
        <v>#N/A</v>
      </c>
    </row>
    <row r="127" spans="1:37" ht="19.95" customHeight="1" x14ac:dyDescent="0.3">
      <c r="A127" s="33" t="s">
        <v>827</v>
      </c>
      <c r="B127" s="34">
        <v>46139.536053240743</v>
      </c>
      <c r="C127" s="34" t="str">
        <f t="shared" si="1"/>
        <v>202604</v>
      </c>
      <c r="D127" s="35" t="s">
        <v>909</v>
      </c>
      <c r="E127" s="36" t="s">
        <v>910</v>
      </c>
      <c r="F127" s="36" t="s">
        <v>987</v>
      </c>
      <c r="G127" s="37" t="s">
        <v>1334</v>
      </c>
      <c r="H127" s="36" t="s">
        <v>954</v>
      </c>
      <c r="I127" s="35"/>
      <c r="J127" s="36" t="s">
        <v>1058</v>
      </c>
      <c r="K127" s="33" t="s">
        <v>970</v>
      </c>
      <c r="L127" s="35" t="s">
        <v>916</v>
      </c>
      <c r="M127" s="36" t="s">
        <v>1039</v>
      </c>
      <c r="N127" s="45">
        <v>46140.384375000001</v>
      </c>
      <c r="O127" s="36" t="s">
        <v>25</v>
      </c>
      <c r="P127" s="38">
        <v>0.84832175929999998</v>
      </c>
      <c r="Q127" s="39" t="s">
        <v>1328</v>
      </c>
      <c r="R127" s="35" t="s">
        <v>916</v>
      </c>
      <c r="S127" s="35"/>
      <c r="T127" s="35" t="s">
        <v>916</v>
      </c>
      <c r="U127" s="40">
        <v>46140</v>
      </c>
      <c r="V127" s="41">
        <v>46153.532685185186</v>
      </c>
      <c r="W127" s="40">
        <v>46139</v>
      </c>
      <c r="X127" s="35" t="s">
        <v>916</v>
      </c>
      <c r="Y127" s="35" t="s">
        <v>916</v>
      </c>
      <c r="Z127" s="35" t="s">
        <v>916</v>
      </c>
      <c r="AA127" s="38">
        <v>20.359722223199999</v>
      </c>
      <c r="AB127" s="42" t="s">
        <v>916</v>
      </c>
      <c r="AC127" s="43" t="s">
        <v>916</v>
      </c>
      <c r="AD127" s="43" t="s">
        <v>916</v>
      </c>
      <c r="AE127" s="33" t="s">
        <v>916</v>
      </c>
      <c r="AF127" s="35" t="s">
        <v>916</v>
      </c>
      <c r="AG127" s="44">
        <v>0</v>
      </c>
      <c r="AH127" s="42" t="s">
        <v>916</v>
      </c>
      <c r="AI127" s="32" t="str">
        <f>VLOOKUP(A127,'4月明細'!B:B,1,0)</f>
        <v>In202604-078</v>
      </c>
      <c r="AJ127" s="32">
        <f>VLOOKUP(A127,'4月明細'!B:I,8,0)</f>
        <v>0.85</v>
      </c>
      <c r="AK127" s="47">
        <f>AJ127-P127</f>
        <v>1.6782406999999999E-3</v>
      </c>
    </row>
    <row r="128" spans="1:37" ht="19.95" customHeight="1" x14ac:dyDescent="0.3">
      <c r="A128" s="33" t="s">
        <v>830</v>
      </c>
      <c r="B128" s="34">
        <v>46139.516527777778</v>
      </c>
      <c r="C128" s="34" t="str">
        <f t="shared" si="1"/>
        <v>202604</v>
      </c>
      <c r="D128" s="35" t="s">
        <v>909</v>
      </c>
      <c r="E128" s="36" t="s">
        <v>910</v>
      </c>
      <c r="F128" s="36" t="s">
        <v>1335</v>
      </c>
      <c r="G128" s="37" t="s">
        <v>1336</v>
      </c>
      <c r="H128" s="36" t="s">
        <v>928</v>
      </c>
      <c r="I128" s="35" t="s">
        <v>1337</v>
      </c>
      <c r="J128" s="36" t="s">
        <v>929</v>
      </c>
      <c r="K128" s="33" t="s">
        <v>930</v>
      </c>
      <c r="L128" s="35" t="s">
        <v>916</v>
      </c>
      <c r="M128" s="36" t="s">
        <v>917</v>
      </c>
      <c r="N128" s="45">
        <v>46147.456736111111</v>
      </c>
      <c r="O128" s="36" t="s">
        <v>25</v>
      </c>
      <c r="P128" s="38">
        <v>7.9402083333000002</v>
      </c>
      <c r="Q128" s="39" t="s">
        <v>1087</v>
      </c>
      <c r="R128" s="35" t="s">
        <v>916</v>
      </c>
      <c r="S128" s="35"/>
      <c r="T128" s="35" t="s">
        <v>916</v>
      </c>
      <c r="U128" s="40">
        <v>46140</v>
      </c>
      <c r="V128" s="41">
        <v>46153.532685185186</v>
      </c>
      <c r="W128" s="40">
        <v>46139</v>
      </c>
      <c r="X128" s="35" t="s">
        <v>916</v>
      </c>
      <c r="Y128" s="35" t="s">
        <v>916</v>
      </c>
      <c r="Z128" s="35" t="s">
        <v>916</v>
      </c>
      <c r="AA128" s="38">
        <v>190.56499999920001</v>
      </c>
      <c r="AB128" s="42" t="s">
        <v>916</v>
      </c>
      <c r="AC128" s="43" t="s">
        <v>916</v>
      </c>
      <c r="AD128" s="43" t="s">
        <v>916</v>
      </c>
      <c r="AE128" s="33" t="s">
        <v>916</v>
      </c>
      <c r="AF128" s="35" t="s">
        <v>916</v>
      </c>
      <c r="AG128" s="44">
        <v>0</v>
      </c>
      <c r="AH128" s="42" t="s">
        <v>916</v>
      </c>
      <c r="AI128" s="32" t="e">
        <f>VLOOKUP(A128,'4月明細'!B:B,1,0)</f>
        <v>#N/A</v>
      </c>
    </row>
    <row r="129" spans="1:37" ht="19.95" customHeight="1" x14ac:dyDescent="0.3">
      <c r="A129" s="33" t="s">
        <v>826</v>
      </c>
      <c r="B129" s="34">
        <v>46139.427245370367</v>
      </c>
      <c r="C129" s="34" t="str">
        <f t="shared" si="1"/>
        <v>202604</v>
      </c>
      <c r="D129" s="35" t="s">
        <v>909</v>
      </c>
      <c r="E129" s="36" t="s">
        <v>910</v>
      </c>
      <c r="F129" s="36" t="s">
        <v>1338</v>
      </c>
      <c r="G129" s="37" t="s">
        <v>1339</v>
      </c>
      <c r="H129" s="36" t="s">
        <v>954</v>
      </c>
      <c r="I129" s="35" t="s">
        <v>1340</v>
      </c>
      <c r="J129" s="36" t="s">
        <v>914</v>
      </c>
      <c r="K129" s="33" t="s">
        <v>970</v>
      </c>
      <c r="L129" s="35" t="s">
        <v>916</v>
      </c>
      <c r="M129" s="36" t="s">
        <v>923</v>
      </c>
      <c r="N129" s="45">
        <v>46140.384953703702</v>
      </c>
      <c r="O129" s="36" t="s">
        <v>25</v>
      </c>
      <c r="P129" s="38">
        <v>0.95770833330000005</v>
      </c>
      <c r="Q129" s="39" t="s">
        <v>994</v>
      </c>
      <c r="R129" s="35" t="s">
        <v>916</v>
      </c>
      <c r="S129" s="35"/>
      <c r="T129" s="35" t="s">
        <v>916</v>
      </c>
      <c r="U129" s="40">
        <v>46140</v>
      </c>
      <c r="V129" s="41">
        <v>46153.532685185186</v>
      </c>
      <c r="W129" s="40">
        <v>46139</v>
      </c>
      <c r="X129" s="35" t="s">
        <v>916</v>
      </c>
      <c r="Y129" s="35" t="s">
        <v>916</v>
      </c>
      <c r="Z129" s="35" t="s">
        <v>916</v>
      </c>
      <c r="AA129" s="38">
        <v>22.984999999199999</v>
      </c>
      <c r="AB129" s="42" t="s">
        <v>916</v>
      </c>
      <c r="AC129" s="43" t="s">
        <v>916</v>
      </c>
      <c r="AD129" s="43" t="s">
        <v>916</v>
      </c>
      <c r="AE129" s="33" t="s">
        <v>916</v>
      </c>
      <c r="AF129" s="35" t="s">
        <v>916</v>
      </c>
      <c r="AG129" s="44">
        <v>0</v>
      </c>
      <c r="AH129" s="42" t="s">
        <v>916</v>
      </c>
      <c r="AI129" s="32" t="str">
        <f>VLOOKUP(A129,'4月明細'!B:B,1,0)</f>
        <v>In202604-076</v>
      </c>
      <c r="AJ129" s="32">
        <f>VLOOKUP(A129,'4月明細'!B:I,8,0)</f>
        <v>0.96</v>
      </c>
      <c r="AK129" s="47">
        <f>AJ129-P129</f>
        <v>2.2916666999999169E-3</v>
      </c>
    </row>
    <row r="130" spans="1:37" ht="19.95" customHeight="1" x14ac:dyDescent="0.3">
      <c r="A130" s="33" t="s">
        <v>829</v>
      </c>
      <c r="B130" s="34">
        <v>46139.410543981481</v>
      </c>
      <c r="C130" s="34" t="str">
        <f t="shared" si="1"/>
        <v>202604</v>
      </c>
      <c r="D130" s="35" t="s">
        <v>909</v>
      </c>
      <c r="E130" s="36" t="s">
        <v>910</v>
      </c>
      <c r="F130" s="36" t="s">
        <v>1341</v>
      </c>
      <c r="G130" s="37" t="s">
        <v>1342</v>
      </c>
      <c r="H130" s="36" t="s">
        <v>928</v>
      </c>
      <c r="I130" s="35" t="s">
        <v>1343</v>
      </c>
      <c r="J130" s="36" t="s">
        <v>929</v>
      </c>
      <c r="K130" s="33" t="s">
        <v>1182</v>
      </c>
      <c r="L130" s="35" t="s">
        <v>916</v>
      </c>
      <c r="M130" s="36" t="s">
        <v>923</v>
      </c>
      <c r="N130" s="45">
        <v>46147.457071759258</v>
      </c>
      <c r="O130" s="36" t="s">
        <v>25</v>
      </c>
      <c r="P130" s="38">
        <v>8.0465277777999997</v>
      </c>
      <c r="Q130" s="39" t="s">
        <v>984</v>
      </c>
      <c r="R130" s="35" t="s">
        <v>916</v>
      </c>
      <c r="S130" s="35"/>
      <c r="T130" s="35" t="s">
        <v>916</v>
      </c>
      <c r="U130" s="40">
        <v>46140</v>
      </c>
      <c r="V130" s="41">
        <v>46153.532685185186</v>
      </c>
      <c r="W130" s="40">
        <v>46139</v>
      </c>
      <c r="X130" s="35" t="s">
        <v>916</v>
      </c>
      <c r="Y130" s="35" t="s">
        <v>916</v>
      </c>
      <c r="Z130" s="35" t="s">
        <v>916</v>
      </c>
      <c r="AA130" s="38">
        <v>193.11666666720001</v>
      </c>
      <c r="AB130" s="42" t="s">
        <v>916</v>
      </c>
      <c r="AC130" s="43" t="s">
        <v>916</v>
      </c>
      <c r="AD130" s="43" t="s">
        <v>916</v>
      </c>
      <c r="AE130" s="33" t="s">
        <v>916</v>
      </c>
      <c r="AF130" s="35" t="s">
        <v>916</v>
      </c>
      <c r="AG130" s="44">
        <v>0</v>
      </c>
      <c r="AH130" s="42" t="s">
        <v>916</v>
      </c>
      <c r="AI130" s="32" t="e">
        <f>VLOOKUP(A130,'4月明細'!B:B,1,0)</f>
        <v>#N/A</v>
      </c>
    </row>
    <row r="131" spans="1:37" ht="19.95" customHeight="1" x14ac:dyDescent="0.3">
      <c r="A131" s="33" t="s">
        <v>825</v>
      </c>
      <c r="B131" s="34">
        <v>46138.721736111111</v>
      </c>
      <c r="C131" s="34" t="str">
        <f t="shared" ref="C131:C194" si="2">TEXT(B131,"YYYYMM")</f>
        <v>202604</v>
      </c>
      <c r="D131" s="35" t="s">
        <v>996</v>
      </c>
      <c r="E131" s="36" t="s">
        <v>910</v>
      </c>
      <c r="F131" s="36" t="s">
        <v>1344</v>
      </c>
      <c r="G131" s="37" t="s">
        <v>1345</v>
      </c>
      <c r="H131" s="36" t="s">
        <v>928</v>
      </c>
      <c r="I131" s="35"/>
      <c r="J131" s="36" t="s">
        <v>929</v>
      </c>
      <c r="K131" s="33" t="s">
        <v>1182</v>
      </c>
      <c r="L131" s="35" t="s">
        <v>916</v>
      </c>
      <c r="M131" s="36" t="s">
        <v>923</v>
      </c>
      <c r="N131" s="45">
        <v>46140.385034722225</v>
      </c>
      <c r="O131" s="36" t="s">
        <v>25</v>
      </c>
      <c r="P131" s="38">
        <v>1.6632986111000001</v>
      </c>
      <c r="Q131" s="39" t="s">
        <v>994</v>
      </c>
      <c r="R131" s="35" t="s">
        <v>916</v>
      </c>
      <c r="S131" s="35"/>
      <c r="T131" s="35" t="s">
        <v>916</v>
      </c>
      <c r="U131" s="40">
        <v>46139</v>
      </c>
      <c r="V131" s="41">
        <v>46153.532685185186</v>
      </c>
      <c r="W131" s="40">
        <v>46138</v>
      </c>
      <c r="X131" s="35" t="s">
        <v>916</v>
      </c>
      <c r="Y131" s="35" t="s">
        <v>916</v>
      </c>
      <c r="Z131" s="35" t="s">
        <v>916</v>
      </c>
      <c r="AA131" s="38">
        <v>39.919166666400002</v>
      </c>
      <c r="AB131" s="42" t="s">
        <v>916</v>
      </c>
      <c r="AC131" s="43" t="s">
        <v>916</v>
      </c>
      <c r="AD131" s="43" t="s">
        <v>916</v>
      </c>
      <c r="AE131" s="33" t="s">
        <v>916</v>
      </c>
      <c r="AF131" s="35" t="s">
        <v>916</v>
      </c>
      <c r="AG131" s="44">
        <v>0</v>
      </c>
      <c r="AH131" s="42" t="s">
        <v>916</v>
      </c>
      <c r="AI131" s="32" t="str">
        <f>VLOOKUP(A131,'4月明細'!B:B,1,0)</f>
        <v>In202604-074</v>
      </c>
      <c r="AJ131" s="32">
        <f>VLOOKUP(A131,'4月明細'!B:I,8,0)</f>
        <v>1.66</v>
      </c>
      <c r="AK131" s="47">
        <f t="shared" ref="AK131:AK145" si="3">AJ131-P131</f>
        <v>-3.2986111000001817E-3</v>
      </c>
    </row>
    <row r="132" spans="1:37" ht="19.95" customHeight="1" x14ac:dyDescent="0.3">
      <c r="A132" s="33" t="s">
        <v>824</v>
      </c>
      <c r="B132" s="34">
        <v>46138.714861111112</v>
      </c>
      <c r="C132" s="34" t="str">
        <f t="shared" si="2"/>
        <v>202604</v>
      </c>
      <c r="D132" s="35" t="s">
        <v>1178</v>
      </c>
      <c r="E132" s="36" t="s">
        <v>910</v>
      </c>
      <c r="F132" s="36" t="s">
        <v>1093</v>
      </c>
      <c r="G132" s="37" t="s">
        <v>1346</v>
      </c>
      <c r="H132" s="36" t="s">
        <v>1023</v>
      </c>
      <c r="I132" s="35" t="s">
        <v>1347</v>
      </c>
      <c r="J132" s="36" t="s">
        <v>929</v>
      </c>
      <c r="K132" s="33" t="s">
        <v>1025</v>
      </c>
      <c r="L132" s="35" t="s">
        <v>916</v>
      </c>
      <c r="M132" s="36" t="s">
        <v>1039</v>
      </c>
      <c r="N132" s="45">
        <v>46140.385972222219</v>
      </c>
      <c r="O132" s="36" t="s">
        <v>25</v>
      </c>
      <c r="P132" s="38">
        <v>1.6711111111000001</v>
      </c>
      <c r="Q132" s="39" t="s">
        <v>994</v>
      </c>
      <c r="R132" s="35" t="s">
        <v>916</v>
      </c>
      <c r="S132" s="35"/>
      <c r="T132" s="35" t="s">
        <v>916</v>
      </c>
      <c r="U132" s="40">
        <v>46139</v>
      </c>
      <c r="V132" s="41">
        <v>46153.532685185186</v>
      </c>
      <c r="W132" s="40">
        <v>46138</v>
      </c>
      <c r="X132" s="35" t="s">
        <v>916</v>
      </c>
      <c r="Y132" s="35" t="s">
        <v>916</v>
      </c>
      <c r="Z132" s="35" t="s">
        <v>916</v>
      </c>
      <c r="AA132" s="38">
        <v>40.106666666400002</v>
      </c>
      <c r="AB132" s="42" t="s">
        <v>916</v>
      </c>
      <c r="AC132" s="43" t="s">
        <v>916</v>
      </c>
      <c r="AD132" s="43" t="s">
        <v>916</v>
      </c>
      <c r="AE132" s="33" t="s">
        <v>916</v>
      </c>
      <c r="AF132" s="35" t="s">
        <v>916</v>
      </c>
      <c r="AG132" s="44">
        <v>0</v>
      </c>
      <c r="AH132" s="42" t="s">
        <v>916</v>
      </c>
      <c r="AI132" s="32" t="str">
        <f>VLOOKUP(A132,'4月明細'!B:B,1,0)</f>
        <v>In202604-073</v>
      </c>
      <c r="AJ132" s="32">
        <f>VLOOKUP(A132,'4月明細'!B:I,8,0)</f>
        <v>1.67</v>
      </c>
      <c r="AK132" s="47">
        <f t="shared" si="3"/>
        <v>-1.1111111000001728E-3</v>
      </c>
    </row>
    <row r="133" spans="1:37" ht="19.95" customHeight="1" x14ac:dyDescent="0.3">
      <c r="A133" s="33" t="s">
        <v>823</v>
      </c>
      <c r="B133" s="34">
        <v>46138.709340277775</v>
      </c>
      <c r="C133" s="34" t="str">
        <f t="shared" si="2"/>
        <v>202604</v>
      </c>
      <c r="D133" s="35" t="s">
        <v>951</v>
      </c>
      <c r="E133" s="36" t="s">
        <v>910</v>
      </c>
      <c r="F133" s="36" t="s">
        <v>1032</v>
      </c>
      <c r="G133" s="37" t="s">
        <v>1348</v>
      </c>
      <c r="H133" s="36" t="s">
        <v>954</v>
      </c>
      <c r="I133" s="35" t="s">
        <v>1349</v>
      </c>
      <c r="J133" s="36" t="s">
        <v>929</v>
      </c>
      <c r="K133" s="33" t="s">
        <v>970</v>
      </c>
      <c r="L133" s="35" t="s">
        <v>916</v>
      </c>
      <c r="M133" s="36" t="s">
        <v>917</v>
      </c>
      <c r="N133" s="45">
        <v>46140.386076388888</v>
      </c>
      <c r="O133" s="36" t="s">
        <v>25</v>
      </c>
      <c r="P133" s="38">
        <v>1.6767361111000001</v>
      </c>
      <c r="Q133" s="39" t="s">
        <v>994</v>
      </c>
      <c r="R133" s="35" t="s">
        <v>916</v>
      </c>
      <c r="S133" s="35"/>
      <c r="T133" s="35" t="s">
        <v>916</v>
      </c>
      <c r="U133" s="40">
        <v>46139</v>
      </c>
      <c r="V133" s="41">
        <v>46153.532685185186</v>
      </c>
      <c r="W133" s="40">
        <v>46138</v>
      </c>
      <c r="X133" s="35" t="s">
        <v>916</v>
      </c>
      <c r="Y133" s="35" t="s">
        <v>916</v>
      </c>
      <c r="Z133" s="35" t="s">
        <v>916</v>
      </c>
      <c r="AA133" s="38">
        <v>40.2416666664</v>
      </c>
      <c r="AB133" s="42" t="s">
        <v>916</v>
      </c>
      <c r="AC133" s="43" t="s">
        <v>916</v>
      </c>
      <c r="AD133" s="43" t="s">
        <v>916</v>
      </c>
      <c r="AE133" s="33" t="s">
        <v>916</v>
      </c>
      <c r="AF133" s="35" t="s">
        <v>916</v>
      </c>
      <c r="AG133" s="44">
        <v>0</v>
      </c>
      <c r="AH133" s="42" t="s">
        <v>916</v>
      </c>
      <c r="AI133" s="32" t="str">
        <f>VLOOKUP(A133,'4月明細'!B:B,1,0)</f>
        <v>In202604-072</v>
      </c>
      <c r="AJ133" s="32">
        <f>VLOOKUP(A133,'4月明細'!B:I,8,0)</f>
        <v>1.68</v>
      </c>
      <c r="AK133" s="47">
        <f t="shared" si="3"/>
        <v>3.263888899999845E-3</v>
      </c>
    </row>
    <row r="134" spans="1:37" ht="19.95" customHeight="1" x14ac:dyDescent="0.3">
      <c r="A134" s="33" t="s">
        <v>822</v>
      </c>
      <c r="B134" s="34">
        <v>46138.69258101852</v>
      </c>
      <c r="C134" s="34" t="str">
        <f t="shared" si="2"/>
        <v>202604</v>
      </c>
      <c r="D134" s="35" t="s">
        <v>996</v>
      </c>
      <c r="E134" s="36" t="s">
        <v>910</v>
      </c>
      <c r="F134" s="36" t="s">
        <v>1350</v>
      </c>
      <c r="G134" s="37" t="s">
        <v>1351</v>
      </c>
      <c r="H134" s="36" t="s">
        <v>928</v>
      </c>
      <c r="I134" s="35"/>
      <c r="J134" s="36" t="s">
        <v>929</v>
      </c>
      <c r="K134" s="33" t="s">
        <v>1352</v>
      </c>
      <c r="L134" s="35" t="s">
        <v>916</v>
      </c>
      <c r="M134" s="36" t="s">
        <v>917</v>
      </c>
      <c r="N134" s="45">
        <v>46140.386180555557</v>
      </c>
      <c r="O134" s="36" t="s">
        <v>25</v>
      </c>
      <c r="P134" s="38">
        <v>1.6935995370000001</v>
      </c>
      <c r="Q134" s="39" t="s">
        <v>994</v>
      </c>
      <c r="R134" s="35" t="s">
        <v>916</v>
      </c>
      <c r="S134" s="35"/>
      <c r="T134" s="35" t="s">
        <v>916</v>
      </c>
      <c r="U134" s="40">
        <v>46139</v>
      </c>
      <c r="V134" s="41">
        <v>46153.532685185186</v>
      </c>
      <c r="W134" s="40">
        <v>46138</v>
      </c>
      <c r="X134" s="35" t="s">
        <v>916</v>
      </c>
      <c r="Y134" s="35" t="s">
        <v>916</v>
      </c>
      <c r="Z134" s="35" t="s">
        <v>916</v>
      </c>
      <c r="AA134" s="38">
        <v>40.646388887999997</v>
      </c>
      <c r="AB134" s="42" t="s">
        <v>916</v>
      </c>
      <c r="AC134" s="43" t="s">
        <v>916</v>
      </c>
      <c r="AD134" s="43" t="s">
        <v>916</v>
      </c>
      <c r="AE134" s="33" t="s">
        <v>916</v>
      </c>
      <c r="AF134" s="35" t="s">
        <v>916</v>
      </c>
      <c r="AG134" s="44">
        <v>0</v>
      </c>
      <c r="AH134" s="42" t="s">
        <v>916</v>
      </c>
      <c r="AI134" s="32" t="str">
        <f>VLOOKUP(A134,'4月明細'!B:B,1,0)</f>
        <v>In202604-071</v>
      </c>
      <c r="AJ134" s="32">
        <f>VLOOKUP(A134,'4月明細'!B:I,8,0)</f>
        <v>1.69</v>
      </c>
      <c r="AK134" s="47">
        <f t="shared" si="3"/>
        <v>-3.5995370000001525E-3</v>
      </c>
    </row>
    <row r="135" spans="1:37" ht="19.95" customHeight="1" x14ac:dyDescent="0.3">
      <c r="A135" s="33" t="s">
        <v>821</v>
      </c>
      <c r="B135" s="34">
        <v>46138.683344907404</v>
      </c>
      <c r="C135" s="34" t="str">
        <f t="shared" si="2"/>
        <v>202604</v>
      </c>
      <c r="D135" s="35" t="s">
        <v>996</v>
      </c>
      <c r="E135" s="36" t="s">
        <v>910</v>
      </c>
      <c r="F135" s="36" t="s">
        <v>1203</v>
      </c>
      <c r="G135" s="37" t="s">
        <v>1353</v>
      </c>
      <c r="H135" s="36" t="s">
        <v>928</v>
      </c>
      <c r="I135" s="35"/>
      <c r="J135" s="36" t="s">
        <v>929</v>
      </c>
      <c r="K135" s="33" t="s">
        <v>1352</v>
      </c>
      <c r="L135" s="35" t="s">
        <v>916</v>
      </c>
      <c r="M135" s="36" t="s">
        <v>923</v>
      </c>
      <c r="N135" s="45">
        <v>46140.386273148149</v>
      </c>
      <c r="O135" s="36" t="s">
        <v>25</v>
      </c>
      <c r="P135" s="38">
        <v>1.7029282406999999</v>
      </c>
      <c r="Q135" s="39" t="s">
        <v>994</v>
      </c>
      <c r="R135" s="35" t="s">
        <v>916</v>
      </c>
      <c r="S135" s="35"/>
      <c r="T135" s="35" t="s">
        <v>916</v>
      </c>
      <c r="U135" s="40">
        <v>46139</v>
      </c>
      <c r="V135" s="41">
        <v>46153.532685185186</v>
      </c>
      <c r="W135" s="40">
        <v>46138</v>
      </c>
      <c r="X135" s="35" t="s">
        <v>916</v>
      </c>
      <c r="Y135" s="35" t="s">
        <v>916</v>
      </c>
      <c r="Z135" s="35" t="s">
        <v>916</v>
      </c>
      <c r="AA135" s="38">
        <v>40.870277776800002</v>
      </c>
      <c r="AB135" s="42" t="s">
        <v>916</v>
      </c>
      <c r="AC135" s="43" t="s">
        <v>916</v>
      </c>
      <c r="AD135" s="43" t="s">
        <v>916</v>
      </c>
      <c r="AE135" s="33" t="s">
        <v>916</v>
      </c>
      <c r="AF135" s="35" t="s">
        <v>916</v>
      </c>
      <c r="AG135" s="44">
        <v>0</v>
      </c>
      <c r="AH135" s="42" t="s">
        <v>916</v>
      </c>
      <c r="AI135" s="32" t="str">
        <f>VLOOKUP(A135,'4月明細'!B:B,1,0)</f>
        <v>In202604-070</v>
      </c>
      <c r="AJ135" s="32">
        <f>VLOOKUP(A135,'4月明細'!B:I,8,0)</f>
        <v>1.7</v>
      </c>
      <c r="AK135" s="47">
        <f t="shared" si="3"/>
        <v>-2.9282406999999733E-3</v>
      </c>
    </row>
    <row r="136" spans="1:37" ht="19.95" customHeight="1" x14ac:dyDescent="0.3">
      <c r="A136" s="33" t="s">
        <v>820</v>
      </c>
      <c r="B136" s="34">
        <v>46138.573541666665</v>
      </c>
      <c r="C136" s="34" t="str">
        <f t="shared" si="2"/>
        <v>202604</v>
      </c>
      <c r="D136" s="35" t="s">
        <v>951</v>
      </c>
      <c r="E136" s="36" t="s">
        <v>910</v>
      </c>
      <c r="F136" s="36" t="s">
        <v>1354</v>
      </c>
      <c r="G136" s="37" t="s">
        <v>1355</v>
      </c>
      <c r="H136" s="36" t="s">
        <v>954</v>
      </c>
      <c r="I136" s="35" t="s">
        <v>1356</v>
      </c>
      <c r="J136" s="36" t="s">
        <v>1058</v>
      </c>
      <c r="K136" s="33" t="s">
        <v>1043</v>
      </c>
      <c r="L136" s="35" t="s">
        <v>916</v>
      </c>
      <c r="M136" s="36" t="s">
        <v>917</v>
      </c>
      <c r="N136" s="45">
        <v>46140.387326388889</v>
      </c>
      <c r="O136" s="36" t="s">
        <v>25</v>
      </c>
      <c r="P136" s="38">
        <v>1.8137847222000001</v>
      </c>
      <c r="Q136" s="39" t="s">
        <v>1357</v>
      </c>
      <c r="R136" s="35" t="s">
        <v>916</v>
      </c>
      <c r="S136" s="35"/>
      <c r="T136" s="35" t="s">
        <v>916</v>
      </c>
      <c r="U136" s="40">
        <v>46139</v>
      </c>
      <c r="V136" s="41">
        <v>46153.532685185186</v>
      </c>
      <c r="W136" s="40">
        <v>46138</v>
      </c>
      <c r="X136" s="35" t="s">
        <v>916</v>
      </c>
      <c r="Y136" s="35" t="s">
        <v>916</v>
      </c>
      <c r="Z136" s="35" t="s">
        <v>916</v>
      </c>
      <c r="AA136" s="38">
        <v>43.5308333328</v>
      </c>
      <c r="AB136" s="42" t="s">
        <v>916</v>
      </c>
      <c r="AC136" s="43" t="s">
        <v>916</v>
      </c>
      <c r="AD136" s="43" t="s">
        <v>916</v>
      </c>
      <c r="AE136" s="33" t="s">
        <v>916</v>
      </c>
      <c r="AF136" s="35" t="s">
        <v>916</v>
      </c>
      <c r="AG136" s="44">
        <v>0</v>
      </c>
      <c r="AH136" s="42" t="s">
        <v>916</v>
      </c>
      <c r="AI136" s="32" t="str">
        <f>VLOOKUP(A136,'4月明細'!B:B,1,0)</f>
        <v>In202604-069</v>
      </c>
      <c r="AJ136" s="32">
        <f>VLOOKUP(A136,'4月明細'!B:I,8,0)</f>
        <v>1.81</v>
      </c>
      <c r="AK136" s="47">
        <f t="shared" si="3"/>
        <v>-3.7847222000000347E-3</v>
      </c>
    </row>
    <row r="137" spans="1:37" ht="19.95" customHeight="1" x14ac:dyDescent="0.3">
      <c r="A137" s="33" t="s">
        <v>819</v>
      </c>
      <c r="B137" s="34">
        <v>46138.572881944441</v>
      </c>
      <c r="C137" s="34" t="str">
        <f t="shared" si="2"/>
        <v>202604</v>
      </c>
      <c r="D137" s="35" t="s">
        <v>951</v>
      </c>
      <c r="E137" s="36" t="s">
        <v>910</v>
      </c>
      <c r="F137" s="36" t="s">
        <v>1133</v>
      </c>
      <c r="G137" s="37" t="s">
        <v>1358</v>
      </c>
      <c r="H137" s="36" t="s">
        <v>954</v>
      </c>
      <c r="I137" s="35" t="s">
        <v>1359</v>
      </c>
      <c r="J137" s="36" t="s">
        <v>914</v>
      </c>
      <c r="K137" s="33" t="s">
        <v>1086</v>
      </c>
      <c r="L137" s="35" t="s">
        <v>916</v>
      </c>
      <c r="M137" s="36" t="s">
        <v>917</v>
      </c>
      <c r="N137" s="45">
        <v>46140.387395833335</v>
      </c>
      <c r="O137" s="36" t="s">
        <v>25</v>
      </c>
      <c r="P137" s="38">
        <v>1.8145138889000001</v>
      </c>
      <c r="Q137" s="39" t="s">
        <v>1357</v>
      </c>
      <c r="R137" s="35" t="s">
        <v>916</v>
      </c>
      <c r="S137" s="35"/>
      <c r="T137" s="35" t="s">
        <v>916</v>
      </c>
      <c r="U137" s="40">
        <v>46139</v>
      </c>
      <c r="V137" s="41">
        <v>46153.532685185186</v>
      </c>
      <c r="W137" s="40">
        <v>46138</v>
      </c>
      <c r="X137" s="35" t="s">
        <v>916</v>
      </c>
      <c r="Y137" s="35" t="s">
        <v>916</v>
      </c>
      <c r="Z137" s="35" t="s">
        <v>916</v>
      </c>
      <c r="AA137" s="38">
        <v>43.548333333599999</v>
      </c>
      <c r="AB137" s="42" t="s">
        <v>916</v>
      </c>
      <c r="AC137" s="43" t="s">
        <v>916</v>
      </c>
      <c r="AD137" s="43" t="s">
        <v>916</v>
      </c>
      <c r="AE137" s="33" t="s">
        <v>916</v>
      </c>
      <c r="AF137" s="35" t="s">
        <v>916</v>
      </c>
      <c r="AG137" s="44">
        <v>0</v>
      </c>
      <c r="AH137" s="42" t="s">
        <v>916</v>
      </c>
      <c r="AI137" s="32" t="str">
        <f>VLOOKUP(A137,'4月明細'!B:B,1,0)</f>
        <v>In202604-068</v>
      </c>
      <c r="AJ137" s="32">
        <f>VLOOKUP(A137,'4月明細'!B:I,8,0)</f>
        <v>1.81</v>
      </c>
      <c r="AK137" s="47">
        <f t="shared" si="3"/>
        <v>-4.5138889000000404E-3</v>
      </c>
    </row>
    <row r="138" spans="1:37" ht="19.95" customHeight="1" x14ac:dyDescent="0.3">
      <c r="A138" s="33" t="s">
        <v>818</v>
      </c>
      <c r="B138" s="34">
        <v>46138.510092592594</v>
      </c>
      <c r="C138" s="34" t="str">
        <f t="shared" si="2"/>
        <v>202604</v>
      </c>
      <c r="D138" s="35" t="s">
        <v>1360</v>
      </c>
      <c r="E138" s="36" t="s">
        <v>910</v>
      </c>
      <c r="F138" s="36" t="s">
        <v>1004</v>
      </c>
      <c r="G138" s="37" t="s">
        <v>1293</v>
      </c>
      <c r="H138" s="36" t="s">
        <v>1361</v>
      </c>
      <c r="I138" s="35" t="s">
        <v>1362</v>
      </c>
      <c r="J138" s="36" t="s">
        <v>938</v>
      </c>
      <c r="K138" s="33" t="s">
        <v>1363</v>
      </c>
      <c r="L138" s="35" t="s">
        <v>916</v>
      </c>
      <c r="M138" s="36" t="s">
        <v>917</v>
      </c>
      <c r="N138" s="45">
        <v>46140.387499999997</v>
      </c>
      <c r="O138" s="36" t="s">
        <v>25</v>
      </c>
      <c r="P138" s="38">
        <v>1.8774074074</v>
      </c>
      <c r="Q138" s="39" t="s">
        <v>1357</v>
      </c>
      <c r="R138" s="35" t="s">
        <v>916</v>
      </c>
      <c r="S138" s="35"/>
      <c r="T138" s="35" t="s">
        <v>916</v>
      </c>
      <c r="U138" s="40">
        <v>46139</v>
      </c>
      <c r="V138" s="41">
        <v>46153.532685185186</v>
      </c>
      <c r="W138" s="40">
        <v>46138</v>
      </c>
      <c r="X138" s="35" t="s">
        <v>916</v>
      </c>
      <c r="Y138" s="35" t="s">
        <v>916</v>
      </c>
      <c r="Z138" s="35" t="s">
        <v>916</v>
      </c>
      <c r="AA138" s="38">
        <v>45.057777777600002</v>
      </c>
      <c r="AB138" s="42" t="s">
        <v>916</v>
      </c>
      <c r="AC138" s="43" t="s">
        <v>916</v>
      </c>
      <c r="AD138" s="43" t="s">
        <v>916</v>
      </c>
      <c r="AE138" s="33" t="s">
        <v>916</v>
      </c>
      <c r="AF138" s="35" t="s">
        <v>916</v>
      </c>
      <c r="AG138" s="44">
        <v>0</v>
      </c>
      <c r="AH138" s="42" t="s">
        <v>916</v>
      </c>
      <c r="AI138" s="32" t="str">
        <f>VLOOKUP(A138,'4月明細'!B:B,1,0)</f>
        <v>In202604-067</v>
      </c>
      <c r="AJ138" s="32">
        <f>VLOOKUP(A138,'4月明細'!B:I,8,0)</f>
        <v>1.88</v>
      </c>
      <c r="AK138" s="47">
        <f t="shared" si="3"/>
        <v>2.5925925999998878E-3</v>
      </c>
    </row>
    <row r="139" spans="1:37" ht="19.95" customHeight="1" x14ac:dyDescent="0.3">
      <c r="A139" s="33" t="s">
        <v>817</v>
      </c>
      <c r="B139" s="34">
        <v>46138.474074074074</v>
      </c>
      <c r="C139" s="34" t="str">
        <f t="shared" si="2"/>
        <v>202604</v>
      </c>
      <c r="D139" s="35" t="s">
        <v>1364</v>
      </c>
      <c r="E139" s="36" t="s">
        <v>942</v>
      </c>
      <c r="F139" s="36" t="s">
        <v>997</v>
      </c>
      <c r="G139" s="37" t="s">
        <v>1365</v>
      </c>
      <c r="H139" s="36" t="s">
        <v>913</v>
      </c>
      <c r="I139" s="35"/>
      <c r="J139" s="36" t="s">
        <v>945</v>
      </c>
      <c r="K139" s="33" t="s">
        <v>915</v>
      </c>
      <c r="L139" s="35" t="s">
        <v>916</v>
      </c>
      <c r="M139" s="36" t="s">
        <v>917</v>
      </c>
      <c r="N139" s="45">
        <v>46140.387662037036</v>
      </c>
      <c r="O139" s="36" t="s">
        <v>25</v>
      </c>
      <c r="P139" s="38">
        <v>1.9135879629999999</v>
      </c>
      <c r="Q139" s="39" t="s">
        <v>1366</v>
      </c>
      <c r="R139" s="35" t="s">
        <v>916</v>
      </c>
      <c r="S139" s="35"/>
      <c r="T139" s="35" t="s">
        <v>916</v>
      </c>
      <c r="U139" s="40">
        <v>46139</v>
      </c>
      <c r="V139" s="41">
        <v>46153.532685185186</v>
      </c>
      <c r="W139" s="40">
        <v>46138</v>
      </c>
      <c r="X139" s="35" t="s">
        <v>916</v>
      </c>
      <c r="Y139" s="35" t="s">
        <v>916</v>
      </c>
      <c r="Z139" s="35" t="s">
        <v>916</v>
      </c>
      <c r="AA139" s="38">
        <v>45.926111112000001</v>
      </c>
      <c r="AB139" s="42" t="s">
        <v>916</v>
      </c>
      <c r="AC139" s="43" t="s">
        <v>916</v>
      </c>
      <c r="AD139" s="43" t="s">
        <v>916</v>
      </c>
      <c r="AE139" s="33" t="s">
        <v>916</v>
      </c>
      <c r="AF139" s="35" t="s">
        <v>916</v>
      </c>
      <c r="AG139" s="44">
        <v>0</v>
      </c>
      <c r="AH139" s="42" t="s">
        <v>916</v>
      </c>
      <c r="AI139" s="32" t="str">
        <f>VLOOKUP(A139,'4月明細'!B:B,1,0)</f>
        <v>In202604-066</v>
      </c>
      <c r="AJ139" s="32">
        <f>VLOOKUP(A139,'4月明細'!B:I,8,0)</f>
        <v>1.91</v>
      </c>
      <c r="AK139" s="47">
        <f t="shared" si="3"/>
        <v>-3.5879629999999718E-3</v>
      </c>
    </row>
    <row r="140" spans="1:37" ht="19.95" customHeight="1" x14ac:dyDescent="0.3">
      <c r="A140" s="33" t="s">
        <v>816</v>
      </c>
      <c r="B140" s="34">
        <v>46138.447962962964</v>
      </c>
      <c r="C140" s="34" t="str">
        <f t="shared" si="2"/>
        <v>202604</v>
      </c>
      <c r="D140" s="35" t="s">
        <v>951</v>
      </c>
      <c r="E140" s="36" t="s">
        <v>910</v>
      </c>
      <c r="F140" s="36" t="s">
        <v>1316</v>
      </c>
      <c r="G140" s="37" t="s">
        <v>1367</v>
      </c>
      <c r="H140" s="36" t="s">
        <v>928</v>
      </c>
      <c r="I140" s="35" t="s">
        <v>1368</v>
      </c>
      <c r="J140" s="36" t="s">
        <v>929</v>
      </c>
      <c r="K140" s="33" t="s">
        <v>930</v>
      </c>
      <c r="L140" s="35" t="s">
        <v>916</v>
      </c>
      <c r="M140" s="36" t="s">
        <v>917</v>
      </c>
      <c r="N140" s="45">
        <v>46140.387754629628</v>
      </c>
      <c r="O140" s="36" t="s">
        <v>25</v>
      </c>
      <c r="P140" s="38">
        <v>1.9397916666999999</v>
      </c>
      <c r="Q140" s="39" t="s">
        <v>1369</v>
      </c>
      <c r="R140" s="35" t="s">
        <v>916</v>
      </c>
      <c r="S140" s="35"/>
      <c r="T140" s="35" t="s">
        <v>916</v>
      </c>
      <c r="U140" s="40">
        <v>46139</v>
      </c>
      <c r="V140" s="41">
        <v>46153.532685185186</v>
      </c>
      <c r="W140" s="40">
        <v>46138</v>
      </c>
      <c r="X140" s="35" t="s">
        <v>916</v>
      </c>
      <c r="Y140" s="35" t="s">
        <v>916</v>
      </c>
      <c r="Z140" s="35" t="s">
        <v>916</v>
      </c>
      <c r="AA140" s="38">
        <v>46.5550000008</v>
      </c>
      <c r="AB140" s="42" t="s">
        <v>916</v>
      </c>
      <c r="AC140" s="43" t="s">
        <v>916</v>
      </c>
      <c r="AD140" s="43" t="s">
        <v>916</v>
      </c>
      <c r="AE140" s="33" t="s">
        <v>916</v>
      </c>
      <c r="AF140" s="35" t="s">
        <v>916</v>
      </c>
      <c r="AG140" s="44">
        <v>0</v>
      </c>
      <c r="AH140" s="42" t="s">
        <v>916</v>
      </c>
      <c r="AI140" s="32" t="str">
        <f>VLOOKUP(A140,'4月明細'!B:B,1,0)</f>
        <v>In202604-065</v>
      </c>
      <c r="AJ140" s="32">
        <f>VLOOKUP(A140,'4月明細'!B:I,8,0)</f>
        <v>1.94</v>
      </c>
      <c r="AK140" s="47">
        <f t="shared" si="3"/>
        <v>2.0833330000002981E-4</v>
      </c>
    </row>
    <row r="141" spans="1:37" ht="19.95" customHeight="1" x14ac:dyDescent="0.3">
      <c r="A141" s="33" t="s">
        <v>815</v>
      </c>
      <c r="B141" s="34">
        <v>46138.347557870373</v>
      </c>
      <c r="C141" s="34" t="str">
        <f t="shared" si="2"/>
        <v>202604</v>
      </c>
      <c r="D141" s="35" t="s">
        <v>1014</v>
      </c>
      <c r="E141" s="36" t="s">
        <v>942</v>
      </c>
      <c r="F141" s="36" t="s">
        <v>1370</v>
      </c>
      <c r="G141" s="37" t="s">
        <v>1371</v>
      </c>
      <c r="H141" s="36" t="s">
        <v>913</v>
      </c>
      <c r="I141" s="35"/>
      <c r="J141" s="36" t="s">
        <v>929</v>
      </c>
      <c r="K141" s="33" t="s">
        <v>915</v>
      </c>
      <c r="L141" s="35" t="s">
        <v>916</v>
      </c>
      <c r="M141" s="36" t="s">
        <v>957</v>
      </c>
      <c r="N141" s="45">
        <v>46140.38784722222</v>
      </c>
      <c r="O141" s="36" t="s">
        <v>25</v>
      </c>
      <c r="P141" s="38">
        <v>2.0402893518999998</v>
      </c>
      <c r="Q141" s="39" t="s">
        <v>1366</v>
      </c>
      <c r="R141" s="35" t="s">
        <v>916</v>
      </c>
      <c r="S141" s="35"/>
      <c r="T141" s="35" t="s">
        <v>916</v>
      </c>
      <c r="U141" s="40">
        <v>46139</v>
      </c>
      <c r="V141" s="41">
        <v>46153.532685185186</v>
      </c>
      <c r="W141" s="40">
        <v>46138</v>
      </c>
      <c r="X141" s="35" t="s">
        <v>916</v>
      </c>
      <c r="Y141" s="35" t="s">
        <v>916</v>
      </c>
      <c r="Z141" s="35" t="s">
        <v>916</v>
      </c>
      <c r="AA141" s="38">
        <v>48.966944445599999</v>
      </c>
      <c r="AB141" s="42" t="s">
        <v>916</v>
      </c>
      <c r="AC141" s="43" t="s">
        <v>916</v>
      </c>
      <c r="AD141" s="43" t="s">
        <v>916</v>
      </c>
      <c r="AE141" s="33" t="s">
        <v>916</v>
      </c>
      <c r="AF141" s="35" t="s">
        <v>916</v>
      </c>
      <c r="AG141" s="44">
        <v>0</v>
      </c>
      <c r="AH141" s="42" t="s">
        <v>916</v>
      </c>
      <c r="AI141" s="32" t="str">
        <f>VLOOKUP(A141,'4月明細'!B:B,1,0)</f>
        <v>In202604-064</v>
      </c>
      <c r="AJ141" s="32">
        <f>VLOOKUP(A141,'4月明細'!B:I,8,0)</f>
        <v>2.04</v>
      </c>
      <c r="AK141" s="47">
        <f t="shared" si="3"/>
        <v>-2.8935189999979016E-4</v>
      </c>
    </row>
    <row r="142" spans="1:37" ht="19.95" customHeight="1" x14ac:dyDescent="0.3">
      <c r="A142" s="33" t="s">
        <v>814</v>
      </c>
      <c r="B142" s="34">
        <v>46137.787905092591</v>
      </c>
      <c r="C142" s="34" t="str">
        <f t="shared" si="2"/>
        <v>202604</v>
      </c>
      <c r="D142" s="35" t="s">
        <v>941</v>
      </c>
      <c r="E142" s="36" t="s">
        <v>942</v>
      </c>
      <c r="F142" s="36" t="s">
        <v>1350</v>
      </c>
      <c r="G142" s="37" t="s">
        <v>1372</v>
      </c>
      <c r="H142" s="36" t="s">
        <v>1047</v>
      </c>
      <c r="I142" s="35"/>
      <c r="J142" s="36" t="s">
        <v>945</v>
      </c>
      <c r="K142" s="33" t="s">
        <v>1048</v>
      </c>
      <c r="L142" s="35" t="s">
        <v>916</v>
      </c>
      <c r="M142" s="36" t="s">
        <v>917</v>
      </c>
      <c r="N142" s="45">
        <v>46140.388564814813</v>
      </c>
      <c r="O142" s="36" t="s">
        <v>25</v>
      </c>
      <c r="P142" s="38">
        <v>2.6006597222000001</v>
      </c>
      <c r="Q142" s="39" t="s">
        <v>1373</v>
      </c>
      <c r="R142" s="35" t="s">
        <v>916</v>
      </c>
      <c r="S142" s="35"/>
      <c r="T142" s="35" t="s">
        <v>916</v>
      </c>
      <c r="U142" s="40">
        <v>46138</v>
      </c>
      <c r="V142" s="41">
        <v>46153.532685185186</v>
      </c>
      <c r="W142" s="40">
        <v>46137</v>
      </c>
      <c r="X142" s="35" t="s">
        <v>916</v>
      </c>
      <c r="Y142" s="35" t="s">
        <v>916</v>
      </c>
      <c r="Z142" s="35" t="s">
        <v>916</v>
      </c>
      <c r="AA142" s="38">
        <v>62.415833332799998</v>
      </c>
      <c r="AB142" s="42" t="s">
        <v>916</v>
      </c>
      <c r="AC142" s="43" t="s">
        <v>916</v>
      </c>
      <c r="AD142" s="43" t="s">
        <v>916</v>
      </c>
      <c r="AE142" s="33" t="s">
        <v>916</v>
      </c>
      <c r="AF142" s="35" t="s">
        <v>916</v>
      </c>
      <c r="AG142" s="44">
        <v>0</v>
      </c>
      <c r="AH142" s="42" t="s">
        <v>916</v>
      </c>
      <c r="AI142" s="32" t="str">
        <f>VLOOKUP(A142,'4月明細'!B:B,1,0)</f>
        <v>In202604-063</v>
      </c>
      <c r="AJ142" s="32">
        <f>VLOOKUP(A142,'4月明細'!B:I,8,0)</f>
        <v>2.6</v>
      </c>
      <c r="AK142" s="47">
        <f t="shared" si="3"/>
        <v>-6.5972219999999027E-4</v>
      </c>
    </row>
    <row r="143" spans="1:37" ht="19.95" customHeight="1" x14ac:dyDescent="0.3">
      <c r="A143" s="33" t="s">
        <v>813</v>
      </c>
      <c r="B143" s="34">
        <v>46137.711689814816</v>
      </c>
      <c r="C143" s="34" t="str">
        <f t="shared" si="2"/>
        <v>202604</v>
      </c>
      <c r="D143" s="35" t="s">
        <v>951</v>
      </c>
      <c r="E143" s="36" t="s">
        <v>910</v>
      </c>
      <c r="F143" s="36" t="s">
        <v>1316</v>
      </c>
      <c r="G143" s="37" t="s">
        <v>1374</v>
      </c>
      <c r="H143" s="36" t="s">
        <v>1078</v>
      </c>
      <c r="I143" s="35" t="s">
        <v>1375</v>
      </c>
      <c r="J143" s="36" t="s">
        <v>929</v>
      </c>
      <c r="K143" s="33" t="s">
        <v>1079</v>
      </c>
      <c r="L143" s="35" t="s">
        <v>916</v>
      </c>
      <c r="M143" s="36" t="s">
        <v>917</v>
      </c>
      <c r="N143" s="45">
        <v>46140.388645833336</v>
      </c>
      <c r="O143" s="36" t="s">
        <v>25</v>
      </c>
      <c r="P143" s="38">
        <v>2.6769560184999999</v>
      </c>
      <c r="Q143" s="39" t="s">
        <v>1376</v>
      </c>
      <c r="R143" s="35" t="s">
        <v>916</v>
      </c>
      <c r="S143" s="35"/>
      <c r="T143" s="35" t="s">
        <v>916</v>
      </c>
      <c r="U143" s="40">
        <v>46138</v>
      </c>
      <c r="V143" s="41">
        <v>46153.532685185186</v>
      </c>
      <c r="W143" s="40">
        <v>46137</v>
      </c>
      <c r="X143" s="35" t="s">
        <v>916</v>
      </c>
      <c r="Y143" s="35" t="s">
        <v>916</v>
      </c>
      <c r="Z143" s="35" t="s">
        <v>916</v>
      </c>
      <c r="AA143" s="38">
        <v>64.246944443999993</v>
      </c>
      <c r="AB143" s="42" t="s">
        <v>916</v>
      </c>
      <c r="AC143" s="43" t="s">
        <v>916</v>
      </c>
      <c r="AD143" s="43" t="s">
        <v>916</v>
      </c>
      <c r="AE143" s="33" t="s">
        <v>916</v>
      </c>
      <c r="AF143" s="35" t="s">
        <v>916</v>
      </c>
      <c r="AG143" s="44">
        <v>0</v>
      </c>
      <c r="AH143" s="42" t="s">
        <v>916</v>
      </c>
      <c r="AI143" s="32" t="str">
        <f>VLOOKUP(A143,'4月明細'!B:B,1,0)</f>
        <v>In202604-062</v>
      </c>
      <c r="AJ143" s="32">
        <f>VLOOKUP(A143,'4月明細'!B:I,8,0)</f>
        <v>2.68</v>
      </c>
      <c r="AK143" s="47">
        <f t="shared" si="3"/>
        <v>3.0439815000002923E-3</v>
      </c>
    </row>
    <row r="144" spans="1:37" ht="19.95" customHeight="1" x14ac:dyDescent="0.3">
      <c r="A144" s="33" t="s">
        <v>812</v>
      </c>
      <c r="B144" s="34">
        <v>46137.640567129631</v>
      </c>
      <c r="C144" s="34" t="str">
        <f t="shared" si="2"/>
        <v>202604</v>
      </c>
      <c r="D144" s="35" t="s">
        <v>909</v>
      </c>
      <c r="E144" s="36" t="s">
        <v>910</v>
      </c>
      <c r="F144" s="36" t="s">
        <v>1377</v>
      </c>
      <c r="G144" s="37" t="s">
        <v>1378</v>
      </c>
      <c r="H144" s="36" t="s">
        <v>954</v>
      </c>
      <c r="I144" s="35"/>
      <c r="J144" s="36" t="s">
        <v>1058</v>
      </c>
      <c r="K144" s="33" t="s">
        <v>970</v>
      </c>
      <c r="L144" s="35" t="s">
        <v>916</v>
      </c>
      <c r="M144" s="36" t="s">
        <v>957</v>
      </c>
      <c r="N144" s="45">
        <v>46140.388738425929</v>
      </c>
      <c r="O144" s="36" t="s">
        <v>25</v>
      </c>
      <c r="P144" s="38">
        <v>2.7481712962999998</v>
      </c>
      <c r="Q144" s="39" t="s">
        <v>1366</v>
      </c>
      <c r="R144" s="35" t="s">
        <v>916</v>
      </c>
      <c r="S144" s="35"/>
      <c r="T144" s="35" t="s">
        <v>916</v>
      </c>
      <c r="U144" s="40">
        <v>46138</v>
      </c>
      <c r="V144" s="41">
        <v>46153.532685185186</v>
      </c>
      <c r="W144" s="40">
        <v>46137</v>
      </c>
      <c r="X144" s="35" t="s">
        <v>916</v>
      </c>
      <c r="Y144" s="35" t="s">
        <v>916</v>
      </c>
      <c r="Z144" s="35" t="s">
        <v>916</v>
      </c>
      <c r="AA144" s="38">
        <v>65.956111111200002</v>
      </c>
      <c r="AB144" s="42" t="s">
        <v>916</v>
      </c>
      <c r="AC144" s="43" t="s">
        <v>916</v>
      </c>
      <c r="AD144" s="43" t="s">
        <v>916</v>
      </c>
      <c r="AE144" s="33" t="s">
        <v>916</v>
      </c>
      <c r="AF144" s="35" t="s">
        <v>916</v>
      </c>
      <c r="AG144" s="44">
        <v>0</v>
      </c>
      <c r="AH144" s="42" t="s">
        <v>916</v>
      </c>
      <c r="AI144" s="32" t="str">
        <f>VLOOKUP(A144,'4月明細'!B:B,1,0)</f>
        <v>In202604-061</v>
      </c>
      <c r="AJ144" s="32">
        <f>VLOOKUP(A144,'4月明細'!B:I,8,0)</f>
        <v>2.75</v>
      </c>
      <c r="AK144" s="47">
        <f t="shared" si="3"/>
        <v>1.8287037000002115E-3</v>
      </c>
    </row>
    <row r="145" spans="1:37" ht="19.95" customHeight="1" x14ac:dyDescent="0.3">
      <c r="A145" s="33" t="s">
        <v>811</v>
      </c>
      <c r="B145" s="34">
        <v>46137.638333333336</v>
      </c>
      <c r="C145" s="34" t="str">
        <f t="shared" si="2"/>
        <v>202604</v>
      </c>
      <c r="D145" s="35" t="s">
        <v>996</v>
      </c>
      <c r="E145" s="36" t="s">
        <v>910</v>
      </c>
      <c r="F145" s="36" t="s">
        <v>1229</v>
      </c>
      <c r="G145" s="37" t="s">
        <v>1379</v>
      </c>
      <c r="H145" s="36" t="s">
        <v>954</v>
      </c>
      <c r="I145" s="35"/>
      <c r="J145" s="36" t="s">
        <v>929</v>
      </c>
      <c r="K145" s="33" t="s">
        <v>970</v>
      </c>
      <c r="L145" s="35" t="s">
        <v>916</v>
      </c>
      <c r="M145" s="36" t="s">
        <v>957</v>
      </c>
      <c r="N145" s="45">
        <v>46140.388831018521</v>
      </c>
      <c r="O145" s="36" t="s">
        <v>25</v>
      </c>
      <c r="P145" s="38">
        <v>2.7504976852</v>
      </c>
      <c r="Q145" s="39" t="s">
        <v>1366</v>
      </c>
      <c r="R145" s="35" t="s">
        <v>916</v>
      </c>
      <c r="S145" s="35"/>
      <c r="T145" s="35" t="s">
        <v>916</v>
      </c>
      <c r="U145" s="40">
        <v>46138</v>
      </c>
      <c r="V145" s="41">
        <v>46153.532685185186</v>
      </c>
      <c r="W145" s="40">
        <v>46137</v>
      </c>
      <c r="X145" s="35" t="s">
        <v>916</v>
      </c>
      <c r="Y145" s="35" t="s">
        <v>916</v>
      </c>
      <c r="Z145" s="35" t="s">
        <v>916</v>
      </c>
      <c r="AA145" s="38">
        <v>66.011944444799994</v>
      </c>
      <c r="AB145" s="42" t="s">
        <v>916</v>
      </c>
      <c r="AC145" s="43" t="s">
        <v>916</v>
      </c>
      <c r="AD145" s="43" t="s">
        <v>916</v>
      </c>
      <c r="AE145" s="33" t="s">
        <v>916</v>
      </c>
      <c r="AF145" s="35" t="s">
        <v>916</v>
      </c>
      <c r="AG145" s="44">
        <v>0</v>
      </c>
      <c r="AH145" s="42" t="s">
        <v>916</v>
      </c>
      <c r="AI145" s="32" t="str">
        <f>VLOOKUP(A145,'4月明細'!B:B,1,0)</f>
        <v>In202604-060</v>
      </c>
      <c r="AJ145" s="32">
        <f>VLOOKUP(A145,'4月明細'!B:I,8,0)</f>
        <v>2.75</v>
      </c>
      <c r="AK145" s="47">
        <f t="shared" si="3"/>
        <v>-4.9768520000004202E-4</v>
      </c>
    </row>
    <row r="146" spans="1:37" ht="19.95" customHeight="1" x14ac:dyDescent="0.3">
      <c r="A146" s="33" t="s">
        <v>1380</v>
      </c>
      <c r="B146" s="34">
        <v>46137.625671296293</v>
      </c>
      <c r="C146" s="34" t="str">
        <f t="shared" si="2"/>
        <v>202604</v>
      </c>
      <c r="D146" s="35" t="s">
        <v>996</v>
      </c>
      <c r="E146" s="36" t="s">
        <v>910</v>
      </c>
      <c r="F146" s="36" t="s">
        <v>1381</v>
      </c>
      <c r="G146" s="37" t="s">
        <v>1382</v>
      </c>
      <c r="H146" s="36" t="s">
        <v>928</v>
      </c>
      <c r="I146" s="35" t="s">
        <v>1383</v>
      </c>
      <c r="J146" s="36" t="s">
        <v>914</v>
      </c>
      <c r="K146" s="33" t="s">
        <v>1352</v>
      </c>
      <c r="L146" s="35" t="s">
        <v>916</v>
      </c>
      <c r="M146" s="36" t="s">
        <v>957</v>
      </c>
      <c r="N146" s="36" t="s">
        <v>916</v>
      </c>
      <c r="O146" s="36" t="s">
        <v>1384</v>
      </c>
      <c r="P146" s="38" t="s">
        <v>916</v>
      </c>
      <c r="Q146" s="39" t="s">
        <v>1385</v>
      </c>
      <c r="R146" s="35" t="s">
        <v>916</v>
      </c>
      <c r="S146" s="35"/>
      <c r="T146" s="35" t="s">
        <v>916</v>
      </c>
      <c r="U146" s="40">
        <v>46138</v>
      </c>
      <c r="V146" s="41">
        <v>46153.532685185186</v>
      </c>
      <c r="W146" s="40">
        <v>46137</v>
      </c>
      <c r="X146" s="35" t="s">
        <v>916</v>
      </c>
      <c r="Y146" s="35" t="s">
        <v>916</v>
      </c>
      <c r="Z146" s="35" t="s">
        <v>916</v>
      </c>
      <c r="AA146" s="38">
        <v>0</v>
      </c>
      <c r="AB146" s="42" t="s">
        <v>916</v>
      </c>
      <c r="AC146" s="43" t="s">
        <v>916</v>
      </c>
      <c r="AD146" s="43" t="s">
        <v>916</v>
      </c>
      <c r="AE146" s="33" t="s">
        <v>916</v>
      </c>
      <c r="AF146" s="35" t="s">
        <v>916</v>
      </c>
      <c r="AG146" s="44">
        <v>0</v>
      </c>
      <c r="AH146" s="42" t="s">
        <v>916</v>
      </c>
      <c r="AI146" s="32" t="e">
        <f>VLOOKUP(A146,'4月明細'!B:B,1,0)</f>
        <v>#N/A</v>
      </c>
    </row>
    <row r="147" spans="1:37" ht="19.95" customHeight="1" x14ac:dyDescent="0.3">
      <c r="A147" s="33" t="s">
        <v>810</v>
      </c>
      <c r="B147" s="34">
        <v>46137.612233796295</v>
      </c>
      <c r="C147" s="34" t="str">
        <f t="shared" si="2"/>
        <v>202604</v>
      </c>
      <c r="D147" s="35" t="s">
        <v>996</v>
      </c>
      <c r="E147" s="36" t="s">
        <v>910</v>
      </c>
      <c r="F147" s="36" t="s">
        <v>1000</v>
      </c>
      <c r="G147" s="37" t="s">
        <v>1096</v>
      </c>
      <c r="H147" s="36" t="s">
        <v>928</v>
      </c>
      <c r="I147" s="35"/>
      <c r="J147" s="36" t="s">
        <v>929</v>
      </c>
      <c r="K147" s="33" t="s">
        <v>930</v>
      </c>
      <c r="L147" s="35" t="s">
        <v>916</v>
      </c>
      <c r="M147" s="36" t="s">
        <v>957</v>
      </c>
      <c r="N147" s="45">
        <v>46140.388912037037</v>
      </c>
      <c r="O147" s="36" t="s">
        <v>25</v>
      </c>
      <c r="P147" s="38">
        <v>2.7766782406999999</v>
      </c>
      <c r="Q147" s="39" t="s">
        <v>1366</v>
      </c>
      <c r="R147" s="35" t="s">
        <v>916</v>
      </c>
      <c r="S147" s="35"/>
      <c r="T147" s="35" t="s">
        <v>916</v>
      </c>
      <c r="U147" s="40">
        <v>46138</v>
      </c>
      <c r="V147" s="41">
        <v>46153.532685185186</v>
      </c>
      <c r="W147" s="40">
        <v>46137</v>
      </c>
      <c r="X147" s="35" t="s">
        <v>916</v>
      </c>
      <c r="Y147" s="35" t="s">
        <v>916</v>
      </c>
      <c r="Z147" s="35" t="s">
        <v>916</v>
      </c>
      <c r="AA147" s="38">
        <v>66.640277776800005</v>
      </c>
      <c r="AB147" s="42" t="s">
        <v>916</v>
      </c>
      <c r="AC147" s="43" t="s">
        <v>916</v>
      </c>
      <c r="AD147" s="43" t="s">
        <v>916</v>
      </c>
      <c r="AE147" s="33" t="s">
        <v>916</v>
      </c>
      <c r="AF147" s="35" t="s">
        <v>916</v>
      </c>
      <c r="AG147" s="44">
        <v>0</v>
      </c>
      <c r="AH147" s="42" t="s">
        <v>916</v>
      </c>
      <c r="AI147" s="32" t="str">
        <f>VLOOKUP(A147,'4月明細'!B:B,1,0)</f>
        <v>In202604-058</v>
      </c>
      <c r="AJ147" s="32">
        <f>VLOOKUP(A147,'4月明細'!B:I,8,0)</f>
        <v>2.78</v>
      </c>
      <c r="AK147" s="47">
        <f t="shared" ref="AK147:AK155" si="4">AJ147-P147</f>
        <v>3.3217592999998935E-3</v>
      </c>
    </row>
    <row r="148" spans="1:37" ht="19.95" customHeight="1" x14ac:dyDescent="0.3">
      <c r="A148" s="33" t="s">
        <v>809</v>
      </c>
      <c r="B148" s="34">
        <v>46137.587002314816</v>
      </c>
      <c r="C148" s="34" t="str">
        <f t="shared" si="2"/>
        <v>202604</v>
      </c>
      <c r="D148" s="35" t="s">
        <v>951</v>
      </c>
      <c r="E148" s="36" t="s">
        <v>910</v>
      </c>
      <c r="F148" s="36" t="s">
        <v>1386</v>
      </c>
      <c r="G148" s="37" t="s">
        <v>1387</v>
      </c>
      <c r="H148" s="36" t="s">
        <v>928</v>
      </c>
      <c r="I148" s="35" t="s">
        <v>1388</v>
      </c>
      <c r="J148" s="36" t="s">
        <v>914</v>
      </c>
      <c r="K148" s="33" t="s">
        <v>930</v>
      </c>
      <c r="L148" s="35" t="s">
        <v>916</v>
      </c>
      <c r="M148" s="36" t="s">
        <v>957</v>
      </c>
      <c r="N148" s="45">
        <v>46140.389074074075</v>
      </c>
      <c r="O148" s="36" t="s">
        <v>25</v>
      </c>
      <c r="P148" s="38">
        <v>2.8020717593</v>
      </c>
      <c r="Q148" s="39" t="s">
        <v>1328</v>
      </c>
      <c r="R148" s="35" t="s">
        <v>916</v>
      </c>
      <c r="S148" s="35"/>
      <c r="T148" s="35" t="s">
        <v>916</v>
      </c>
      <c r="U148" s="40">
        <v>46138</v>
      </c>
      <c r="V148" s="41">
        <v>46153.532685185186</v>
      </c>
      <c r="W148" s="40">
        <v>46137</v>
      </c>
      <c r="X148" s="35" t="s">
        <v>916</v>
      </c>
      <c r="Y148" s="35" t="s">
        <v>916</v>
      </c>
      <c r="Z148" s="35" t="s">
        <v>916</v>
      </c>
      <c r="AA148" s="38">
        <v>67.249722223199996</v>
      </c>
      <c r="AB148" s="42" t="s">
        <v>916</v>
      </c>
      <c r="AC148" s="43" t="s">
        <v>916</v>
      </c>
      <c r="AD148" s="43" t="s">
        <v>916</v>
      </c>
      <c r="AE148" s="33" t="s">
        <v>916</v>
      </c>
      <c r="AF148" s="35" t="s">
        <v>916</v>
      </c>
      <c r="AG148" s="44">
        <v>0</v>
      </c>
      <c r="AH148" s="42" t="s">
        <v>916</v>
      </c>
      <c r="AI148" s="32" t="str">
        <f>VLOOKUP(A148,'4月明細'!B:B,1,0)</f>
        <v>In202604-057</v>
      </c>
      <c r="AJ148" s="32">
        <f>VLOOKUP(A148,'4月明細'!B:I,8,0)</f>
        <v>2.8</v>
      </c>
      <c r="AK148" s="47">
        <f t="shared" si="4"/>
        <v>-2.0717593000001422E-3</v>
      </c>
    </row>
    <row r="149" spans="1:37" ht="19.95" customHeight="1" x14ac:dyDescent="0.3">
      <c r="A149" s="33" t="s">
        <v>808</v>
      </c>
      <c r="B149" s="34">
        <v>46137.585659722223</v>
      </c>
      <c r="C149" s="34" t="str">
        <f t="shared" si="2"/>
        <v>202604</v>
      </c>
      <c r="D149" s="35" t="s">
        <v>951</v>
      </c>
      <c r="E149" s="36" t="s">
        <v>910</v>
      </c>
      <c r="F149" s="36" t="s">
        <v>1032</v>
      </c>
      <c r="G149" s="37" t="s">
        <v>1389</v>
      </c>
      <c r="H149" s="36" t="s">
        <v>954</v>
      </c>
      <c r="I149" s="35" t="s">
        <v>1390</v>
      </c>
      <c r="J149" s="36" t="s">
        <v>914</v>
      </c>
      <c r="K149" s="33" t="s">
        <v>970</v>
      </c>
      <c r="L149" s="35" t="s">
        <v>916</v>
      </c>
      <c r="M149" s="36" t="s">
        <v>957</v>
      </c>
      <c r="N149" s="45">
        <v>46140.389189814814</v>
      </c>
      <c r="O149" s="36" t="s">
        <v>25</v>
      </c>
      <c r="P149" s="38">
        <v>2.8035300926</v>
      </c>
      <c r="Q149" s="39" t="s">
        <v>1391</v>
      </c>
      <c r="R149" s="35" t="s">
        <v>916</v>
      </c>
      <c r="S149" s="35"/>
      <c r="T149" s="35" t="s">
        <v>916</v>
      </c>
      <c r="U149" s="40">
        <v>46138</v>
      </c>
      <c r="V149" s="41">
        <v>46153.532685185186</v>
      </c>
      <c r="W149" s="40">
        <v>46137</v>
      </c>
      <c r="X149" s="35" t="s">
        <v>916</v>
      </c>
      <c r="Y149" s="35" t="s">
        <v>916</v>
      </c>
      <c r="Z149" s="35" t="s">
        <v>916</v>
      </c>
      <c r="AA149" s="38">
        <v>67.284722222400006</v>
      </c>
      <c r="AB149" s="42" t="s">
        <v>916</v>
      </c>
      <c r="AC149" s="43" t="s">
        <v>916</v>
      </c>
      <c r="AD149" s="43" t="s">
        <v>916</v>
      </c>
      <c r="AE149" s="33" t="s">
        <v>916</v>
      </c>
      <c r="AF149" s="35" t="s">
        <v>916</v>
      </c>
      <c r="AG149" s="44">
        <v>0</v>
      </c>
      <c r="AH149" s="42" t="s">
        <v>916</v>
      </c>
      <c r="AI149" s="32" t="str">
        <f>VLOOKUP(A149,'4月明細'!B:B,1,0)</f>
        <v>In202604-056</v>
      </c>
      <c r="AJ149" s="32">
        <f>VLOOKUP(A149,'4月明細'!B:I,8,0)</f>
        <v>2.8</v>
      </c>
      <c r="AK149" s="47">
        <f t="shared" si="4"/>
        <v>-3.5300926000001454E-3</v>
      </c>
    </row>
    <row r="150" spans="1:37" ht="19.95" customHeight="1" x14ac:dyDescent="0.3">
      <c r="A150" s="33" t="s">
        <v>807</v>
      </c>
      <c r="B150" s="34">
        <v>46137.550034722219</v>
      </c>
      <c r="C150" s="34" t="str">
        <f t="shared" si="2"/>
        <v>202604</v>
      </c>
      <c r="D150" s="35" t="s">
        <v>951</v>
      </c>
      <c r="E150" s="36" t="s">
        <v>910</v>
      </c>
      <c r="F150" s="36" t="s">
        <v>1392</v>
      </c>
      <c r="G150" s="37" t="s">
        <v>1393</v>
      </c>
      <c r="H150" s="36" t="s">
        <v>954</v>
      </c>
      <c r="I150" s="35" t="s">
        <v>1394</v>
      </c>
      <c r="J150" s="36" t="s">
        <v>914</v>
      </c>
      <c r="K150" s="33" t="s">
        <v>956</v>
      </c>
      <c r="L150" s="35" t="s">
        <v>916</v>
      </c>
      <c r="M150" s="36" t="s">
        <v>957</v>
      </c>
      <c r="N150" s="45">
        <v>46140.389270833337</v>
      </c>
      <c r="O150" s="36" t="s">
        <v>25</v>
      </c>
      <c r="P150" s="38">
        <v>2.8392361111</v>
      </c>
      <c r="Q150" s="39" t="s">
        <v>1395</v>
      </c>
      <c r="R150" s="35" t="s">
        <v>916</v>
      </c>
      <c r="S150" s="35"/>
      <c r="T150" s="35" t="s">
        <v>916</v>
      </c>
      <c r="U150" s="40">
        <v>46138</v>
      </c>
      <c r="V150" s="41">
        <v>46153.532685185186</v>
      </c>
      <c r="W150" s="40">
        <v>46137</v>
      </c>
      <c r="X150" s="35" t="s">
        <v>916</v>
      </c>
      <c r="Y150" s="35" t="s">
        <v>916</v>
      </c>
      <c r="Z150" s="35" t="s">
        <v>916</v>
      </c>
      <c r="AA150" s="38">
        <v>68.141666666399999</v>
      </c>
      <c r="AB150" s="42" t="s">
        <v>916</v>
      </c>
      <c r="AC150" s="43" t="s">
        <v>916</v>
      </c>
      <c r="AD150" s="43" t="s">
        <v>916</v>
      </c>
      <c r="AE150" s="33" t="s">
        <v>916</v>
      </c>
      <c r="AF150" s="35" t="s">
        <v>916</v>
      </c>
      <c r="AG150" s="44">
        <v>0</v>
      </c>
      <c r="AH150" s="42" t="s">
        <v>916</v>
      </c>
      <c r="AI150" s="32" t="str">
        <f>VLOOKUP(A150,'4月明細'!B:B,1,0)</f>
        <v>In202604-055</v>
      </c>
      <c r="AJ150" s="32">
        <f>VLOOKUP(A150,'4月明細'!B:I,8,0)</f>
        <v>2.84</v>
      </c>
      <c r="AK150" s="47">
        <f t="shared" si="4"/>
        <v>7.6388889999989829E-4</v>
      </c>
    </row>
    <row r="151" spans="1:37" ht="19.95" customHeight="1" x14ac:dyDescent="0.3">
      <c r="A151" s="33" t="s">
        <v>806</v>
      </c>
      <c r="B151" s="34">
        <v>46137.533055555556</v>
      </c>
      <c r="C151" s="34" t="str">
        <f t="shared" si="2"/>
        <v>202604</v>
      </c>
      <c r="D151" s="35" t="s">
        <v>996</v>
      </c>
      <c r="E151" s="36" t="s">
        <v>910</v>
      </c>
      <c r="F151" s="36" t="s">
        <v>947</v>
      </c>
      <c r="G151" s="37" t="s">
        <v>1396</v>
      </c>
      <c r="H151" s="36" t="s">
        <v>954</v>
      </c>
      <c r="I151" s="35"/>
      <c r="J151" s="36" t="s">
        <v>914</v>
      </c>
      <c r="K151" s="33" t="s">
        <v>970</v>
      </c>
      <c r="L151" s="35" t="s">
        <v>916</v>
      </c>
      <c r="M151" s="36" t="s">
        <v>957</v>
      </c>
      <c r="N151" s="45">
        <v>46140.389351851853</v>
      </c>
      <c r="O151" s="36" t="s">
        <v>25</v>
      </c>
      <c r="P151" s="38">
        <v>2.8562962963</v>
      </c>
      <c r="Q151" s="39" t="s">
        <v>1328</v>
      </c>
      <c r="R151" s="35" t="s">
        <v>916</v>
      </c>
      <c r="S151" s="35"/>
      <c r="T151" s="35" t="s">
        <v>916</v>
      </c>
      <c r="U151" s="40">
        <v>46138</v>
      </c>
      <c r="V151" s="41">
        <v>46153.532685185186</v>
      </c>
      <c r="W151" s="40">
        <v>46137</v>
      </c>
      <c r="X151" s="35" t="s">
        <v>916</v>
      </c>
      <c r="Y151" s="35" t="s">
        <v>916</v>
      </c>
      <c r="Z151" s="35" t="s">
        <v>916</v>
      </c>
      <c r="AA151" s="38">
        <v>68.551111111200001</v>
      </c>
      <c r="AB151" s="42" t="s">
        <v>916</v>
      </c>
      <c r="AC151" s="43" t="s">
        <v>916</v>
      </c>
      <c r="AD151" s="43" t="s">
        <v>916</v>
      </c>
      <c r="AE151" s="33" t="s">
        <v>916</v>
      </c>
      <c r="AF151" s="35" t="s">
        <v>916</v>
      </c>
      <c r="AG151" s="44">
        <v>0</v>
      </c>
      <c r="AH151" s="42" t="s">
        <v>916</v>
      </c>
      <c r="AI151" s="32" t="str">
        <f>VLOOKUP(A151,'4月明細'!B:B,1,0)</f>
        <v>In202604-054</v>
      </c>
      <c r="AJ151" s="32">
        <f>VLOOKUP(A151,'4月明細'!B:I,8,0)</f>
        <v>2.86</v>
      </c>
      <c r="AK151" s="47">
        <f t="shared" si="4"/>
        <v>3.7037036999998385E-3</v>
      </c>
    </row>
    <row r="152" spans="1:37" ht="19.95" customHeight="1" x14ac:dyDescent="0.3">
      <c r="A152" s="33" t="s">
        <v>805</v>
      </c>
      <c r="B152" s="34">
        <v>46137.504444444443</v>
      </c>
      <c r="C152" s="34" t="str">
        <f t="shared" si="2"/>
        <v>202604</v>
      </c>
      <c r="D152" s="35" t="s">
        <v>996</v>
      </c>
      <c r="E152" s="36" t="s">
        <v>910</v>
      </c>
      <c r="F152" s="36" t="s">
        <v>1397</v>
      </c>
      <c r="G152" s="37" t="s">
        <v>1398</v>
      </c>
      <c r="H152" s="36" t="s">
        <v>954</v>
      </c>
      <c r="I152" s="35" t="s">
        <v>1399</v>
      </c>
      <c r="J152" s="36" t="s">
        <v>914</v>
      </c>
      <c r="K152" s="33" t="s">
        <v>1398</v>
      </c>
      <c r="L152" s="35" t="s">
        <v>916</v>
      </c>
      <c r="M152" s="36" t="s">
        <v>917</v>
      </c>
      <c r="N152" s="45">
        <v>46140.389444444445</v>
      </c>
      <c r="O152" s="36" t="s">
        <v>25</v>
      </c>
      <c r="P152" s="38">
        <v>2.8849999999999998</v>
      </c>
      <c r="Q152" s="39" t="s">
        <v>1391</v>
      </c>
      <c r="R152" s="35" t="s">
        <v>916</v>
      </c>
      <c r="S152" s="35"/>
      <c r="T152" s="35" t="s">
        <v>916</v>
      </c>
      <c r="U152" s="40">
        <v>46138</v>
      </c>
      <c r="V152" s="41">
        <v>46153.532685185186</v>
      </c>
      <c r="W152" s="40">
        <v>46137</v>
      </c>
      <c r="X152" s="35" t="s">
        <v>916</v>
      </c>
      <c r="Y152" s="35" t="s">
        <v>916</v>
      </c>
      <c r="Z152" s="35" t="s">
        <v>916</v>
      </c>
      <c r="AA152" s="38">
        <v>69.239999999999995</v>
      </c>
      <c r="AB152" s="42" t="s">
        <v>916</v>
      </c>
      <c r="AC152" s="43" t="s">
        <v>916</v>
      </c>
      <c r="AD152" s="43" t="s">
        <v>916</v>
      </c>
      <c r="AE152" s="33" t="s">
        <v>916</v>
      </c>
      <c r="AF152" s="35" t="s">
        <v>916</v>
      </c>
      <c r="AG152" s="44">
        <v>0</v>
      </c>
      <c r="AH152" s="42" t="s">
        <v>916</v>
      </c>
      <c r="AI152" s="32" t="str">
        <f>VLOOKUP(A152,'4月明細'!B:B,1,0)</f>
        <v>In202604-053</v>
      </c>
      <c r="AJ152" s="32">
        <f>VLOOKUP(A152,'4月明細'!B:I,8,0)</f>
        <v>2.88</v>
      </c>
      <c r="AK152" s="47">
        <f t="shared" si="4"/>
        <v>-4.9999999999998934E-3</v>
      </c>
    </row>
    <row r="153" spans="1:37" ht="19.95" customHeight="1" x14ac:dyDescent="0.3">
      <c r="A153" s="33" t="s">
        <v>804</v>
      </c>
      <c r="B153" s="34">
        <v>46137.496504629627</v>
      </c>
      <c r="C153" s="34" t="str">
        <f t="shared" si="2"/>
        <v>202604</v>
      </c>
      <c r="D153" s="35" t="s">
        <v>996</v>
      </c>
      <c r="E153" s="36" t="s">
        <v>910</v>
      </c>
      <c r="F153" s="36" t="s">
        <v>1397</v>
      </c>
      <c r="G153" s="37" t="s">
        <v>1400</v>
      </c>
      <c r="H153" s="36" t="s">
        <v>954</v>
      </c>
      <c r="I153" s="35"/>
      <c r="J153" s="36" t="s">
        <v>914</v>
      </c>
      <c r="K153" s="33" t="s">
        <v>1086</v>
      </c>
      <c r="L153" s="35" t="s">
        <v>916</v>
      </c>
      <c r="M153" s="36" t="s">
        <v>917</v>
      </c>
      <c r="N153" s="45">
        <v>46140.389513888891</v>
      </c>
      <c r="O153" s="36" t="s">
        <v>25</v>
      </c>
      <c r="P153" s="38">
        <v>2.8930092592999999</v>
      </c>
      <c r="Q153" s="39" t="s">
        <v>1391</v>
      </c>
      <c r="R153" s="35" t="s">
        <v>916</v>
      </c>
      <c r="S153" s="35"/>
      <c r="T153" s="35" t="s">
        <v>916</v>
      </c>
      <c r="U153" s="40">
        <v>46138</v>
      </c>
      <c r="V153" s="41">
        <v>46153.532685185186</v>
      </c>
      <c r="W153" s="40">
        <v>46137</v>
      </c>
      <c r="X153" s="35" t="s">
        <v>916</v>
      </c>
      <c r="Y153" s="35" t="s">
        <v>916</v>
      </c>
      <c r="Z153" s="35" t="s">
        <v>916</v>
      </c>
      <c r="AA153" s="38">
        <v>69.4322222232</v>
      </c>
      <c r="AB153" s="42" t="s">
        <v>916</v>
      </c>
      <c r="AC153" s="43" t="s">
        <v>916</v>
      </c>
      <c r="AD153" s="43" t="s">
        <v>916</v>
      </c>
      <c r="AE153" s="33" t="s">
        <v>916</v>
      </c>
      <c r="AF153" s="35" t="s">
        <v>916</v>
      </c>
      <c r="AG153" s="44">
        <v>0</v>
      </c>
      <c r="AH153" s="42" t="s">
        <v>916</v>
      </c>
      <c r="AI153" s="32" t="str">
        <f>VLOOKUP(A153,'4月明細'!B:B,1,0)</f>
        <v>In202604-052</v>
      </c>
      <c r="AJ153" s="32">
        <f>VLOOKUP(A153,'4月明細'!B:I,8,0)</f>
        <v>2.89</v>
      </c>
      <c r="AK153" s="47">
        <f t="shared" si="4"/>
        <v>-3.0092592999997336E-3</v>
      </c>
    </row>
    <row r="154" spans="1:37" ht="19.95" customHeight="1" x14ac:dyDescent="0.3">
      <c r="A154" s="33" t="s">
        <v>803</v>
      </c>
      <c r="B154" s="34">
        <v>46137.467361111114</v>
      </c>
      <c r="C154" s="34" t="str">
        <f t="shared" si="2"/>
        <v>202604</v>
      </c>
      <c r="D154" s="35" t="s">
        <v>996</v>
      </c>
      <c r="E154" s="36" t="s">
        <v>910</v>
      </c>
      <c r="F154" s="36" t="s">
        <v>947</v>
      </c>
      <c r="G154" s="37" t="s">
        <v>1401</v>
      </c>
      <c r="H154" s="36" t="s">
        <v>928</v>
      </c>
      <c r="I154" s="35"/>
      <c r="J154" s="36" t="s">
        <v>929</v>
      </c>
      <c r="K154" s="33" t="s">
        <v>930</v>
      </c>
      <c r="L154" s="35" t="s">
        <v>916</v>
      </c>
      <c r="M154" s="36" t="s">
        <v>917</v>
      </c>
      <c r="N154" s="45">
        <v>46140.389594907407</v>
      </c>
      <c r="O154" s="36" t="s">
        <v>25</v>
      </c>
      <c r="P154" s="38">
        <v>2.9222337963</v>
      </c>
      <c r="Q154" s="39" t="s">
        <v>1402</v>
      </c>
      <c r="R154" s="35" t="s">
        <v>916</v>
      </c>
      <c r="S154" s="35"/>
      <c r="T154" s="35" t="s">
        <v>916</v>
      </c>
      <c r="U154" s="40">
        <v>46138</v>
      </c>
      <c r="V154" s="41">
        <v>46153.532685185186</v>
      </c>
      <c r="W154" s="40">
        <v>46137</v>
      </c>
      <c r="X154" s="35" t="s">
        <v>916</v>
      </c>
      <c r="Y154" s="35" t="s">
        <v>916</v>
      </c>
      <c r="Z154" s="35" t="s">
        <v>916</v>
      </c>
      <c r="AA154" s="38">
        <v>70.133611111199997</v>
      </c>
      <c r="AB154" s="42" t="s">
        <v>916</v>
      </c>
      <c r="AC154" s="43" t="s">
        <v>916</v>
      </c>
      <c r="AD154" s="43" t="s">
        <v>916</v>
      </c>
      <c r="AE154" s="33" t="s">
        <v>916</v>
      </c>
      <c r="AF154" s="35" t="s">
        <v>916</v>
      </c>
      <c r="AG154" s="44">
        <v>0</v>
      </c>
      <c r="AH154" s="42" t="s">
        <v>916</v>
      </c>
      <c r="AI154" s="32" t="str">
        <f>VLOOKUP(A154,'4月明細'!B:B,1,0)</f>
        <v>In202604-051</v>
      </c>
      <c r="AJ154" s="32">
        <f>VLOOKUP(A154,'4月明細'!B:I,8,0)</f>
        <v>2.92</v>
      </c>
      <c r="AK154" s="47">
        <f t="shared" si="4"/>
        <v>-2.2337963000000904E-3</v>
      </c>
    </row>
    <row r="155" spans="1:37" ht="19.95" customHeight="1" x14ac:dyDescent="0.3">
      <c r="A155" s="33" t="s">
        <v>802</v>
      </c>
      <c r="B155" s="34">
        <v>46137.4296412037</v>
      </c>
      <c r="C155" s="34" t="str">
        <f t="shared" si="2"/>
        <v>202604</v>
      </c>
      <c r="D155" s="35" t="s">
        <v>1168</v>
      </c>
      <c r="E155" s="36" t="s">
        <v>942</v>
      </c>
      <c r="F155" s="36" t="s">
        <v>1295</v>
      </c>
      <c r="G155" s="37" t="s">
        <v>1403</v>
      </c>
      <c r="H155" s="36" t="s">
        <v>928</v>
      </c>
      <c r="I155" s="35"/>
      <c r="J155" s="36" t="s">
        <v>914</v>
      </c>
      <c r="K155" s="33" t="s">
        <v>930</v>
      </c>
      <c r="L155" s="35" t="s">
        <v>916</v>
      </c>
      <c r="M155" s="36" t="s">
        <v>917</v>
      </c>
      <c r="N155" s="45">
        <v>46140.38453703704</v>
      </c>
      <c r="O155" s="36" t="s">
        <v>25</v>
      </c>
      <c r="P155" s="38">
        <v>2.9548958333000002</v>
      </c>
      <c r="Q155" s="39" t="s">
        <v>1404</v>
      </c>
      <c r="R155" s="35" t="s">
        <v>916</v>
      </c>
      <c r="S155" s="35"/>
      <c r="T155" s="35" t="s">
        <v>916</v>
      </c>
      <c r="U155" s="40">
        <v>46138</v>
      </c>
      <c r="V155" s="41">
        <v>46153.532685185186</v>
      </c>
      <c r="W155" s="40">
        <v>46137</v>
      </c>
      <c r="X155" s="35" t="s">
        <v>916</v>
      </c>
      <c r="Y155" s="35" t="s">
        <v>916</v>
      </c>
      <c r="Z155" s="35" t="s">
        <v>916</v>
      </c>
      <c r="AA155" s="38">
        <v>70.917499999200004</v>
      </c>
      <c r="AB155" s="42" t="s">
        <v>916</v>
      </c>
      <c r="AC155" s="43" t="s">
        <v>916</v>
      </c>
      <c r="AD155" s="43" t="s">
        <v>916</v>
      </c>
      <c r="AE155" s="33" t="s">
        <v>916</v>
      </c>
      <c r="AF155" s="35" t="s">
        <v>916</v>
      </c>
      <c r="AG155" s="44">
        <v>0</v>
      </c>
      <c r="AH155" s="42" t="s">
        <v>916</v>
      </c>
      <c r="AI155" s="32" t="str">
        <f>VLOOKUP(A155,'4月明細'!B:B,1,0)</f>
        <v>In202604-050</v>
      </c>
      <c r="AJ155" s="32">
        <f>VLOOKUP(A155,'4月明細'!B:I,8,0)</f>
        <v>2.95</v>
      </c>
      <c r="AK155" s="47">
        <f t="shared" si="4"/>
        <v>-4.8958332999999854E-3</v>
      </c>
    </row>
    <row r="156" spans="1:37" ht="19.95" customHeight="1" x14ac:dyDescent="0.3">
      <c r="A156" s="33" t="s">
        <v>1405</v>
      </c>
      <c r="B156" s="34">
        <v>46136.623784722222</v>
      </c>
      <c r="C156" s="34" t="str">
        <f t="shared" si="2"/>
        <v>202604</v>
      </c>
      <c r="D156" s="35" t="s">
        <v>1198</v>
      </c>
      <c r="E156" s="36" t="s">
        <v>1199</v>
      </c>
      <c r="F156" s="36" t="s">
        <v>1243</v>
      </c>
      <c r="G156" s="37" t="s">
        <v>1406</v>
      </c>
      <c r="H156" s="36" t="s">
        <v>1047</v>
      </c>
      <c r="I156" s="35" t="s">
        <v>1407</v>
      </c>
      <c r="J156" s="36" t="s">
        <v>938</v>
      </c>
      <c r="K156" s="33" t="s">
        <v>1408</v>
      </c>
      <c r="L156" s="35" t="s">
        <v>916</v>
      </c>
      <c r="M156" s="36" t="s">
        <v>917</v>
      </c>
      <c r="N156" s="36" t="s">
        <v>916</v>
      </c>
      <c r="O156" s="36" t="s">
        <v>918</v>
      </c>
      <c r="P156" s="38" t="s">
        <v>916</v>
      </c>
      <c r="Q156" s="39" t="s">
        <v>1409</v>
      </c>
      <c r="R156" s="35" t="s">
        <v>916</v>
      </c>
      <c r="S156" s="35"/>
      <c r="T156" s="35" t="s">
        <v>916</v>
      </c>
      <c r="U156" s="40">
        <v>46137</v>
      </c>
      <c r="V156" s="41">
        <v>46153.532685185186</v>
      </c>
      <c r="W156" s="40">
        <v>46136</v>
      </c>
      <c r="X156" s="35" t="s">
        <v>916</v>
      </c>
      <c r="Y156" s="35" t="s">
        <v>916</v>
      </c>
      <c r="Z156" s="35" t="s">
        <v>916</v>
      </c>
      <c r="AA156" s="38">
        <v>0</v>
      </c>
      <c r="AB156" s="42" t="s">
        <v>916</v>
      </c>
      <c r="AC156" s="43" t="s">
        <v>916</v>
      </c>
      <c r="AD156" s="43" t="s">
        <v>916</v>
      </c>
      <c r="AE156" s="33" t="s">
        <v>916</v>
      </c>
      <c r="AF156" s="35" t="s">
        <v>916</v>
      </c>
      <c r="AG156" s="44">
        <v>0</v>
      </c>
      <c r="AH156" s="42" t="s">
        <v>916</v>
      </c>
      <c r="AI156" s="32" t="e">
        <f>VLOOKUP(A156,'4月明細'!B:B,1,0)</f>
        <v>#N/A</v>
      </c>
    </row>
    <row r="157" spans="1:37" ht="19.95" customHeight="1" x14ac:dyDescent="0.3">
      <c r="A157" s="33" t="s">
        <v>1410</v>
      </c>
      <c r="B157" s="34">
        <v>46135.715671296297</v>
      </c>
      <c r="C157" s="34" t="str">
        <f t="shared" si="2"/>
        <v>202604</v>
      </c>
      <c r="D157" s="35" t="s">
        <v>986</v>
      </c>
      <c r="E157" s="36" t="s">
        <v>1149</v>
      </c>
      <c r="F157" s="36" t="s">
        <v>1411</v>
      </c>
      <c r="G157" s="37" t="s">
        <v>1412</v>
      </c>
      <c r="H157" s="36" t="s">
        <v>1023</v>
      </c>
      <c r="I157" s="35" t="s">
        <v>1152</v>
      </c>
      <c r="J157" s="36" t="s">
        <v>938</v>
      </c>
      <c r="K157" s="33" t="s">
        <v>1025</v>
      </c>
      <c r="L157" s="35" t="s">
        <v>916</v>
      </c>
      <c r="M157" s="36" t="s">
        <v>1135</v>
      </c>
      <c r="N157" s="36" t="s">
        <v>916</v>
      </c>
      <c r="O157" s="36" t="s">
        <v>918</v>
      </c>
      <c r="P157" s="38" t="s">
        <v>916</v>
      </c>
      <c r="Q157" s="39" t="s">
        <v>1413</v>
      </c>
      <c r="R157" s="35" t="s">
        <v>916</v>
      </c>
      <c r="S157" s="35"/>
      <c r="T157" s="35" t="s">
        <v>916</v>
      </c>
      <c r="U157" s="40">
        <v>46136</v>
      </c>
      <c r="V157" s="41">
        <v>46153.586574074077</v>
      </c>
      <c r="W157" s="40">
        <v>46135</v>
      </c>
      <c r="X157" s="35" t="s">
        <v>916</v>
      </c>
      <c r="Y157" s="35" t="s">
        <v>916</v>
      </c>
      <c r="Z157" s="35" t="s">
        <v>916</v>
      </c>
      <c r="AA157" s="38">
        <v>0</v>
      </c>
      <c r="AB157" s="42" t="s">
        <v>916</v>
      </c>
      <c r="AC157" s="43" t="s">
        <v>916</v>
      </c>
      <c r="AD157" s="43" t="s">
        <v>916</v>
      </c>
      <c r="AE157" s="33" t="s">
        <v>916</v>
      </c>
      <c r="AF157" s="35" t="s">
        <v>916</v>
      </c>
      <c r="AG157" s="44">
        <v>0</v>
      </c>
      <c r="AH157" s="42" t="s">
        <v>916</v>
      </c>
      <c r="AI157" s="32" t="e">
        <f>VLOOKUP(A157,'4月明細'!B:B,1,0)</f>
        <v>#N/A</v>
      </c>
    </row>
    <row r="158" spans="1:37" ht="19.95" customHeight="1" x14ac:dyDescent="0.3">
      <c r="A158" s="33" t="s">
        <v>801</v>
      </c>
      <c r="B158" s="34">
        <v>46135.494722222225</v>
      </c>
      <c r="C158" s="34" t="str">
        <f t="shared" si="2"/>
        <v>202604</v>
      </c>
      <c r="D158" s="35" t="s">
        <v>986</v>
      </c>
      <c r="E158" s="36" t="s">
        <v>910</v>
      </c>
      <c r="F158" s="36" t="s">
        <v>1414</v>
      </c>
      <c r="G158" s="37" t="s">
        <v>1415</v>
      </c>
      <c r="H158" s="36" t="s">
        <v>989</v>
      </c>
      <c r="I158" s="35" t="s">
        <v>1416</v>
      </c>
      <c r="J158" s="36" t="s">
        <v>1058</v>
      </c>
      <c r="K158" s="33" t="s">
        <v>991</v>
      </c>
      <c r="L158" s="35" t="s">
        <v>916</v>
      </c>
      <c r="M158" s="36" t="s">
        <v>917</v>
      </c>
      <c r="N158" s="45">
        <v>46137.579340277778</v>
      </c>
      <c r="O158" s="36" t="s">
        <v>25</v>
      </c>
      <c r="P158" s="38">
        <v>2.0846180556</v>
      </c>
      <c r="Q158" s="39" t="s">
        <v>1174</v>
      </c>
      <c r="R158" s="35" t="s">
        <v>916</v>
      </c>
      <c r="S158" s="35"/>
      <c r="T158" s="35" t="s">
        <v>916</v>
      </c>
      <c r="U158" s="40">
        <v>46136</v>
      </c>
      <c r="V158" s="41">
        <v>46153.532685185186</v>
      </c>
      <c r="W158" s="40">
        <v>46135</v>
      </c>
      <c r="X158" s="35" t="s">
        <v>916</v>
      </c>
      <c r="Y158" s="35" t="s">
        <v>916</v>
      </c>
      <c r="Z158" s="35" t="s">
        <v>916</v>
      </c>
      <c r="AA158" s="38">
        <v>50.0308333344</v>
      </c>
      <c r="AB158" s="42" t="s">
        <v>916</v>
      </c>
      <c r="AC158" s="43" t="s">
        <v>916</v>
      </c>
      <c r="AD158" s="43" t="s">
        <v>916</v>
      </c>
      <c r="AE158" s="33" t="s">
        <v>916</v>
      </c>
      <c r="AF158" s="35" t="s">
        <v>916</v>
      </c>
      <c r="AG158" s="44">
        <v>0</v>
      </c>
      <c r="AH158" s="42" t="s">
        <v>916</v>
      </c>
      <c r="AI158" s="32" t="str">
        <f>VLOOKUP(A158,'4月明細'!B:B,1,0)</f>
        <v>In202604-047</v>
      </c>
      <c r="AJ158" s="32">
        <f>VLOOKUP(A158,'4月明細'!B:I,8,0)</f>
        <v>2.08</v>
      </c>
      <c r="AK158" s="47">
        <f t="shared" ref="AK158:AK162" si="5">AJ158-P158</f>
        <v>-4.6180555999999484E-3</v>
      </c>
    </row>
    <row r="159" spans="1:37" ht="19.95" customHeight="1" x14ac:dyDescent="0.3">
      <c r="A159" s="33" t="s">
        <v>800</v>
      </c>
      <c r="B159" s="34">
        <v>46134.687025462961</v>
      </c>
      <c r="C159" s="34" t="str">
        <f t="shared" si="2"/>
        <v>202604</v>
      </c>
      <c r="D159" s="35" t="s">
        <v>996</v>
      </c>
      <c r="E159" s="36" t="s">
        <v>910</v>
      </c>
      <c r="F159" s="36" t="s">
        <v>1050</v>
      </c>
      <c r="G159" s="37" t="s">
        <v>1417</v>
      </c>
      <c r="H159" s="36" t="s">
        <v>928</v>
      </c>
      <c r="I159" s="35" t="s">
        <v>1418</v>
      </c>
      <c r="J159" s="36" t="s">
        <v>914</v>
      </c>
      <c r="K159" s="33" t="s">
        <v>1352</v>
      </c>
      <c r="L159" s="35" t="s">
        <v>916</v>
      </c>
      <c r="M159" s="36" t="s">
        <v>1135</v>
      </c>
      <c r="N159" s="45">
        <v>46137.579479166663</v>
      </c>
      <c r="O159" s="36" t="s">
        <v>25</v>
      </c>
      <c r="P159" s="38">
        <v>2.8924537037000002</v>
      </c>
      <c r="Q159" s="39" t="s">
        <v>958</v>
      </c>
      <c r="R159" s="35" t="s">
        <v>916</v>
      </c>
      <c r="S159" s="35"/>
      <c r="T159" s="35" t="s">
        <v>916</v>
      </c>
      <c r="U159" s="40">
        <v>46135</v>
      </c>
      <c r="V159" s="41">
        <v>46153.532685185186</v>
      </c>
      <c r="W159" s="40">
        <v>46134</v>
      </c>
      <c r="X159" s="35" t="s">
        <v>916</v>
      </c>
      <c r="Y159" s="35" t="s">
        <v>916</v>
      </c>
      <c r="Z159" s="35" t="s">
        <v>916</v>
      </c>
      <c r="AA159" s="38">
        <v>69.418888888799998</v>
      </c>
      <c r="AB159" s="42" t="s">
        <v>916</v>
      </c>
      <c r="AC159" s="43" t="s">
        <v>916</v>
      </c>
      <c r="AD159" s="43" t="s">
        <v>916</v>
      </c>
      <c r="AE159" s="33" t="s">
        <v>916</v>
      </c>
      <c r="AF159" s="35" t="s">
        <v>916</v>
      </c>
      <c r="AG159" s="44">
        <v>0</v>
      </c>
      <c r="AH159" s="42" t="s">
        <v>916</v>
      </c>
      <c r="AI159" s="32" t="str">
        <f>VLOOKUP(A159,'4月明細'!B:B,1,0)</f>
        <v>In202604-046</v>
      </c>
      <c r="AJ159" s="32">
        <f>VLOOKUP(A159,'4月明細'!B:I,8,0)</f>
        <v>2.89</v>
      </c>
      <c r="AK159" s="47">
        <f t="shared" si="5"/>
        <v>-2.4537037000000872E-3</v>
      </c>
    </row>
    <row r="160" spans="1:37" ht="19.95" customHeight="1" x14ac:dyDescent="0.3">
      <c r="A160" s="33" t="s">
        <v>799</v>
      </c>
      <c r="B160" s="34">
        <v>46134.643067129633</v>
      </c>
      <c r="C160" s="34" t="str">
        <f t="shared" si="2"/>
        <v>202604</v>
      </c>
      <c r="D160" s="35" t="s">
        <v>909</v>
      </c>
      <c r="E160" s="36" t="s">
        <v>910</v>
      </c>
      <c r="F160" s="36" t="s">
        <v>1419</v>
      </c>
      <c r="G160" s="37" t="s">
        <v>1420</v>
      </c>
      <c r="H160" s="36" t="s">
        <v>928</v>
      </c>
      <c r="I160" s="35" t="s">
        <v>1421</v>
      </c>
      <c r="J160" s="36" t="s">
        <v>914</v>
      </c>
      <c r="K160" s="33" t="s">
        <v>1352</v>
      </c>
      <c r="L160" s="35" t="s">
        <v>916</v>
      </c>
      <c r="M160" s="36" t="s">
        <v>923</v>
      </c>
      <c r="N160" s="45">
        <v>46134.784722222219</v>
      </c>
      <c r="O160" s="36" t="s">
        <v>25</v>
      </c>
      <c r="P160" s="38">
        <v>0.1416550926</v>
      </c>
      <c r="Q160" s="39" t="s">
        <v>1422</v>
      </c>
      <c r="R160" s="35" t="s">
        <v>916</v>
      </c>
      <c r="S160" s="35"/>
      <c r="T160" s="35" t="s">
        <v>916</v>
      </c>
      <c r="U160" s="40">
        <v>46135</v>
      </c>
      <c r="V160" s="41">
        <v>46153.532685185186</v>
      </c>
      <c r="W160" s="40">
        <v>46134</v>
      </c>
      <c r="X160" s="35" t="s">
        <v>916</v>
      </c>
      <c r="Y160" s="35" t="s">
        <v>916</v>
      </c>
      <c r="Z160" s="35" t="s">
        <v>916</v>
      </c>
      <c r="AA160" s="38">
        <v>3.3997222223999999</v>
      </c>
      <c r="AB160" s="42" t="s">
        <v>916</v>
      </c>
      <c r="AC160" s="43" t="s">
        <v>916</v>
      </c>
      <c r="AD160" s="43" t="s">
        <v>916</v>
      </c>
      <c r="AE160" s="33" t="s">
        <v>916</v>
      </c>
      <c r="AF160" s="35" t="s">
        <v>916</v>
      </c>
      <c r="AG160" s="44">
        <v>0</v>
      </c>
      <c r="AH160" s="42" t="s">
        <v>916</v>
      </c>
      <c r="AI160" s="32" t="str">
        <f>VLOOKUP(A160,'4月明細'!B:B,1,0)</f>
        <v>In202604-045</v>
      </c>
      <c r="AJ160" s="32">
        <f>VLOOKUP(A160,'4月明細'!B:I,8,0)</f>
        <v>0.14000000000000001</v>
      </c>
      <c r="AK160" s="47">
        <f t="shared" si="5"/>
        <v>-1.655092599999991E-3</v>
      </c>
    </row>
    <row r="161" spans="1:37" ht="19.95" customHeight="1" x14ac:dyDescent="0.3">
      <c r="A161" s="33" t="s">
        <v>798</v>
      </c>
      <c r="B161" s="34">
        <v>46134.617905092593</v>
      </c>
      <c r="C161" s="34" t="str">
        <f t="shared" si="2"/>
        <v>202604</v>
      </c>
      <c r="D161" s="35" t="s">
        <v>996</v>
      </c>
      <c r="E161" s="36" t="s">
        <v>910</v>
      </c>
      <c r="F161" s="36" t="s">
        <v>1423</v>
      </c>
      <c r="G161" s="37" t="s">
        <v>1424</v>
      </c>
      <c r="H161" s="36" t="s">
        <v>954</v>
      </c>
      <c r="I161" s="35"/>
      <c r="J161" s="36" t="s">
        <v>914</v>
      </c>
      <c r="K161" s="33" t="s">
        <v>956</v>
      </c>
      <c r="L161" s="35" t="s">
        <v>916</v>
      </c>
      <c r="M161" s="36" t="s">
        <v>923</v>
      </c>
      <c r="N161" s="45">
        <v>46134.786111111112</v>
      </c>
      <c r="O161" s="36" t="s">
        <v>25</v>
      </c>
      <c r="P161" s="38">
        <v>0.1682060185</v>
      </c>
      <c r="Q161" s="39" t="s">
        <v>1425</v>
      </c>
      <c r="R161" s="35" t="s">
        <v>916</v>
      </c>
      <c r="S161" s="35"/>
      <c r="T161" s="35" t="s">
        <v>916</v>
      </c>
      <c r="U161" s="40">
        <v>46135</v>
      </c>
      <c r="V161" s="41">
        <v>46153.532685185186</v>
      </c>
      <c r="W161" s="40">
        <v>46134</v>
      </c>
      <c r="X161" s="35" t="s">
        <v>916</v>
      </c>
      <c r="Y161" s="35" t="s">
        <v>916</v>
      </c>
      <c r="Z161" s="35" t="s">
        <v>916</v>
      </c>
      <c r="AA161" s="38">
        <v>4.0369444440000004</v>
      </c>
      <c r="AB161" s="42" t="s">
        <v>916</v>
      </c>
      <c r="AC161" s="43" t="s">
        <v>916</v>
      </c>
      <c r="AD161" s="43" t="s">
        <v>916</v>
      </c>
      <c r="AE161" s="33" t="s">
        <v>916</v>
      </c>
      <c r="AF161" s="35" t="s">
        <v>916</v>
      </c>
      <c r="AG161" s="44">
        <v>0</v>
      </c>
      <c r="AH161" s="42" t="s">
        <v>916</v>
      </c>
      <c r="AI161" s="32" t="str">
        <f>VLOOKUP(A161,'4月明細'!B:B,1,0)</f>
        <v>In202604-044</v>
      </c>
      <c r="AJ161" s="32">
        <f>VLOOKUP(A161,'4月明細'!B:I,8,0)</f>
        <v>0.17</v>
      </c>
      <c r="AK161" s="47">
        <f t="shared" si="5"/>
        <v>1.7939815000000137E-3</v>
      </c>
    </row>
    <row r="162" spans="1:37" ht="19.95" customHeight="1" x14ac:dyDescent="0.3">
      <c r="A162" s="33" t="s">
        <v>797</v>
      </c>
      <c r="B162" s="34">
        <v>46134.606296296297</v>
      </c>
      <c r="C162" s="34" t="str">
        <f t="shared" si="2"/>
        <v>202604</v>
      </c>
      <c r="D162" s="35" t="s">
        <v>1178</v>
      </c>
      <c r="E162" s="36" t="s">
        <v>910</v>
      </c>
      <c r="F162" s="36" t="s">
        <v>1386</v>
      </c>
      <c r="G162" s="37" t="s">
        <v>1426</v>
      </c>
      <c r="H162" s="36" t="s">
        <v>954</v>
      </c>
      <c r="I162" s="35" t="s">
        <v>1427</v>
      </c>
      <c r="J162" s="36" t="s">
        <v>914</v>
      </c>
      <c r="K162" s="33" t="s">
        <v>970</v>
      </c>
      <c r="L162" s="35" t="s">
        <v>916</v>
      </c>
      <c r="M162" s="36" t="s">
        <v>923</v>
      </c>
      <c r="N162" s="45">
        <v>46134.786805555559</v>
      </c>
      <c r="O162" s="36" t="s">
        <v>25</v>
      </c>
      <c r="P162" s="38">
        <v>0.1805092593</v>
      </c>
      <c r="Q162" s="39" t="s">
        <v>994</v>
      </c>
      <c r="R162" s="35" t="s">
        <v>916</v>
      </c>
      <c r="S162" s="35"/>
      <c r="T162" s="35" t="s">
        <v>916</v>
      </c>
      <c r="U162" s="40">
        <v>46135</v>
      </c>
      <c r="V162" s="41">
        <v>46153.532685185186</v>
      </c>
      <c r="W162" s="40">
        <v>46134</v>
      </c>
      <c r="X162" s="35" t="s">
        <v>916</v>
      </c>
      <c r="Y162" s="35" t="s">
        <v>916</v>
      </c>
      <c r="Z162" s="35" t="s">
        <v>916</v>
      </c>
      <c r="AA162" s="38">
        <v>4.3322222231999996</v>
      </c>
      <c r="AB162" s="42" t="s">
        <v>916</v>
      </c>
      <c r="AC162" s="43" t="s">
        <v>916</v>
      </c>
      <c r="AD162" s="43" t="s">
        <v>916</v>
      </c>
      <c r="AE162" s="33" t="s">
        <v>916</v>
      </c>
      <c r="AF162" s="35" t="s">
        <v>916</v>
      </c>
      <c r="AG162" s="44">
        <v>0</v>
      </c>
      <c r="AH162" s="42" t="s">
        <v>916</v>
      </c>
      <c r="AI162" s="32" t="str">
        <f>VLOOKUP(A162,'4月明細'!B:B,1,0)</f>
        <v>In202604-043</v>
      </c>
      <c r="AJ162" s="32">
        <f>VLOOKUP(A162,'4月明細'!B:I,8,0)</f>
        <v>0.18</v>
      </c>
      <c r="AK162" s="47">
        <f t="shared" si="5"/>
        <v>-5.0925930000000896E-4</v>
      </c>
    </row>
    <row r="163" spans="1:37" ht="19.95" customHeight="1" x14ac:dyDescent="0.3">
      <c r="A163" s="33" t="s">
        <v>1428</v>
      </c>
      <c r="B163" s="34">
        <v>46134.582638888889</v>
      </c>
      <c r="C163" s="34" t="str">
        <f t="shared" si="2"/>
        <v>202604</v>
      </c>
      <c r="D163" s="35" t="s">
        <v>941</v>
      </c>
      <c r="E163" s="36" t="s">
        <v>1199</v>
      </c>
      <c r="F163" s="36" t="s">
        <v>1429</v>
      </c>
      <c r="G163" s="37" t="s">
        <v>1430</v>
      </c>
      <c r="H163" s="36" t="s">
        <v>928</v>
      </c>
      <c r="I163" s="35" t="s">
        <v>1431</v>
      </c>
      <c r="J163" s="36" t="s">
        <v>938</v>
      </c>
      <c r="K163" s="33" t="s">
        <v>1432</v>
      </c>
      <c r="L163" s="35" t="s">
        <v>916</v>
      </c>
      <c r="M163" s="36" t="s">
        <v>916</v>
      </c>
      <c r="N163" s="36" t="s">
        <v>916</v>
      </c>
      <c r="O163" s="36" t="s">
        <v>939</v>
      </c>
      <c r="P163" s="38" t="s">
        <v>916</v>
      </c>
      <c r="Q163" s="36" t="s">
        <v>916</v>
      </c>
      <c r="R163" s="35" t="s">
        <v>916</v>
      </c>
      <c r="S163" s="35"/>
      <c r="T163" s="35" t="s">
        <v>916</v>
      </c>
      <c r="U163" s="40">
        <v>46135</v>
      </c>
      <c r="V163" s="41">
        <v>46153.532685185186</v>
      </c>
      <c r="W163" s="40">
        <v>46134</v>
      </c>
      <c r="X163" s="40">
        <v>46153</v>
      </c>
      <c r="Y163" s="35" t="s">
        <v>916</v>
      </c>
      <c r="Z163" s="35" t="s">
        <v>916</v>
      </c>
      <c r="AA163" s="38">
        <v>0</v>
      </c>
      <c r="AB163" s="42" t="s">
        <v>916</v>
      </c>
      <c r="AC163" s="43" t="s">
        <v>916</v>
      </c>
      <c r="AD163" s="43" t="s">
        <v>916</v>
      </c>
      <c r="AE163" s="33" t="s">
        <v>916</v>
      </c>
      <c r="AF163" s="35" t="s">
        <v>916</v>
      </c>
      <c r="AG163" s="44">
        <v>0</v>
      </c>
      <c r="AH163" s="42" t="s">
        <v>916</v>
      </c>
      <c r="AI163" s="32" t="e">
        <f>VLOOKUP(A163,'4月明細'!B:B,1,0)</f>
        <v>#N/A</v>
      </c>
    </row>
    <row r="164" spans="1:37" ht="19.95" customHeight="1" x14ac:dyDescent="0.3">
      <c r="A164" s="33" t="s">
        <v>796</v>
      </c>
      <c r="B164" s="34">
        <v>46134.581250000003</v>
      </c>
      <c r="C164" s="34" t="str">
        <f t="shared" si="2"/>
        <v>202604</v>
      </c>
      <c r="D164" s="35" t="s">
        <v>941</v>
      </c>
      <c r="E164" s="36" t="s">
        <v>1199</v>
      </c>
      <c r="F164" s="36" t="s">
        <v>1433</v>
      </c>
      <c r="G164" s="37" t="s">
        <v>1434</v>
      </c>
      <c r="H164" s="36" t="s">
        <v>1435</v>
      </c>
      <c r="I164" s="35" t="s">
        <v>1436</v>
      </c>
      <c r="J164" s="36" t="s">
        <v>1058</v>
      </c>
      <c r="K164" s="33" t="s">
        <v>1437</v>
      </c>
      <c r="L164" s="35" t="s">
        <v>916</v>
      </c>
      <c r="M164" s="36" t="s">
        <v>917</v>
      </c>
      <c r="N164" s="45">
        <v>46134.807638888888</v>
      </c>
      <c r="O164" s="36" t="s">
        <v>25</v>
      </c>
      <c r="P164" s="38">
        <v>0.2263888889</v>
      </c>
      <c r="Q164" s="39" t="s">
        <v>1438</v>
      </c>
      <c r="R164" s="46" t="s">
        <v>1439</v>
      </c>
      <c r="S164" s="35"/>
      <c r="T164" s="35" t="s">
        <v>916</v>
      </c>
      <c r="U164" s="40">
        <v>46135</v>
      </c>
      <c r="V164" s="41">
        <v>46153.532685185186</v>
      </c>
      <c r="W164" s="40">
        <v>46134</v>
      </c>
      <c r="X164" s="35" t="s">
        <v>916</v>
      </c>
      <c r="Y164" s="35" t="s">
        <v>916</v>
      </c>
      <c r="Z164" s="35" t="s">
        <v>916</v>
      </c>
      <c r="AA164" s="38">
        <v>5.4333333336000003</v>
      </c>
      <c r="AB164" s="42" t="s">
        <v>916</v>
      </c>
      <c r="AC164" s="43" t="s">
        <v>916</v>
      </c>
      <c r="AD164" s="43" t="s">
        <v>916</v>
      </c>
      <c r="AE164" s="33" t="s">
        <v>916</v>
      </c>
      <c r="AF164" s="35" t="s">
        <v>916</v>
      </c>
      <c r="AG164" s="44">
        <v>0</v>
      </c>
      <c r="AH164" s="42" t="s">
        <v>916</v>
      </c>
      <c r="AI164" s="32" t="str">
        <f>VLOOKUP(A164,'4月明細'!B:B,1,0)</f>
        <v>In202604-041</v>
      </c>
      <c r="AJ164" s="32">
        <f>VLOOKUP(A164,'4月明細'!B:I,8,0)</f>
        <v>0.23</v>
      </c>
      <c r="AK164" s="47">
        <f t="shared" ref="AK164:AK169" si="6">AJ164-P164</f>
        <v>3.6111111000000085E-3</v>
      </c>
    </row>
    <row r="165" spans="1:37" ht="19.95" customHeight="1" x14ac:dyDescent="0.3">
      <c r="A165" s="33" t="s">
        <v>795</v>
      </c>
      <c r="B165" s="34">
        <v>46134.574050925927</v>
      </c>
      <c r="C165" s="34" t="str">
        <f t="shared" si="2"/>
        <v>202604</v>
      </c>
      <c r="D165" s="35" t="s">
        <v>909</v>
      </c>
      <c r="E165" s="36" t="s">
        <v>910</v>
      </c>
      <c r="F165" s="36" t="s">
        <v>1344</v>
      </c>
      <c r="G165" s="37" t="s">
        <v>1440</v>
      </c>
      <c r="H165" s="36" t="s">
        <v>928</v>
      </c>
      <c r="I165" s="35" t="s">
        <v>1362</v>
      </c>
      <c r="J165" s="36" t="s">
        <v>914</v>
      </c>
      <c r="K165" s="33" t="s">
        <v>1352</v>
      </c>
      <c r="L165" s="35" t="s">
        <v>916</v>
      </c>
      <c r="M165" s="36" t="s">
        <v>923</v>
      </c>
      <c r="N165" s="45">
        <v>46134.787499999999</v>
      </c>
      <c r="O165" s="36" t="s">
        <v>25</v>
      </c>
      <c r="P165" s="38">
        <v>0.2134490741</v>
      </c>
      <c r="Q165" s="39" t="s">
        <v>994</v>
      </c>
      <c r="R165" s="35" t="s">
        <v>916</v>
      </c>
      <c r="S165" s="35"/>
      <c r="T165" s="35" t="s">
        <v>916</v>
      </c>
      <c r="U165" s="40">
        <v>46135</v>
      </c>
      <c r="V165" s="41">
        <v>46153.532685185186</v>
      </c>
      <c r="W165" s="40">
        <v>46134</v>
      </c>
      <c r="X165" s="35" t="s">
        <v>916</v>
      </c>
      <c r="Y165" s="35" t="s">
        <v>916</v>
      </c>
      <c r="Z165" s="35" t="s">
        <v>916</v>
      </c>
      <c r="AA165" s="38">
        <v>5.1227777783999997</v>
      </c>
      <c r="AB165" s="42" t="s">
        <v>916</v>
      </c>
      <c r="AC165" s="43" t="s">
        <v>916</v>
      </c>
      <c r="AD165" s="43" t="s">
        <v>916</v>
      </c>
      <c r="AE165" s="33" t="s">
        <v>916</v>
      </c>
      <c r="AF165" s="35" t="s">
        <v>916</v>
      </c>
      <c r="AG165" s="44">
        <v>0</v>
      </c>
      <c r="AH165" s="42" t="s">
        <v>916</v>
      </c>
      <c r="AI165" s="32" t="str">
        <f>VLOOKUP(A165,'4月明細'!B:B,1,0)</f>
        <v>In202604-040</v>
      </c>
      <c r="AJ165" s="32">
        <f>VLOOKUP(A165,'4月明細'!B:I,8,0)</f>
        <v>0.21</v>
      </c>
      <c r="AK165" s="47">
        <f t="shared" si="6"/>
        <v>-3.4490741000000047E-3</v>
      </c>
    </row>
    <row r="166" spans="1:37" ht="19.95" customHeight="1" x14ac:dyDescent="0.3">
      <c r="A166" s="33" t="s">
        <v>794</v>
      </c>
      <c r="B166" s="34">
        <v>46134.558553240742</v>
      </c>
      <c r="C166" s="34" t="str">
        <f t="shared" si="2"/>
        <v>202604</v>
      </c>
      <c r="D166" s="35" t="s">
        <v>996</v>
      </c>
      <c r="E166" s="36" t="s">
        <v>910</v>
      </c>
      <c r="F166" s="36" t="s">
        <v>1441</v>
      </c>
      <c r="G166" s="37" t="s">
        <v>1442</v>
      </c>
      <c r="H166" s="36" t="s">
        <v>928</v>
      </c>
      <c r="I166" s="35" t="s">
        <v>1443</v>
      </c>
      <c r="J166" s="36" t="s">
        <v>914</v>
      </c>
      <c r="K166" s="33" t="s">
        <v>930</v>
      </c>
      <c r="L166" s="35" t="s">
        <v>916</v>
      </c>
      <c r="M166" s="36" t="s">
        <v>917</v>
      </c>
      <c r="N166" s="45">
        <v>46134.80972222222</v>
      </c>
      <c r="O166" s="36" t="s">
        <v>25</v>
      </c>
      <c r="P166" s="38">
        <v>0.2511689815</v>
      </c>
      <c r="Q166" s="39" t="s">
        <v>1422</v>
      </c>
      <c r="R166" s="35" t="s">
        <v>916</v>
      </c>
      <c r="S166" s="35"/>
      <c r="T166" s="35" t="s">
        <v>916</v>
      </c>
      <c r="U166" s="40">
        <v>46135</v>
      </c>
      <c r="V166" s="41">
        <v>46153.532685185186</v>
      </c>
      <c r="W166" s="40">
        <v>46134</v>
      </c>
      <c r="X166" s="35" t="s">
        <v>916</v>
      </c>
      <c r="Y166" s="35" t="s">
        <v>916</v>
      </c>
      <c r="Z166" s="35" t="s">
        <v>916</v>
      </c>
      <c r="AA166" s="38">
        <v>6.028055556</v>
      </c>
      <c r="AB166" s="42" t="s">
        <v>916</v>
      </c>
      <c r="AC166" s="43" t="s">
        <v>916</v>
      </c>
      <c r="AD166" s="43" t="s">
        <v>916</v>
      </c>
      <c r="AE166" s="33" t="s">
        <v>916</v>
      </c>
      <c r="AF166" s="35" t="s">
        <v>916</v>
      </c>
      <c r="AG166" s="44">
        <v>0</v>
      </c>
      <c r="AH166" s="42" t="s">
        <v>916</v>
      </c>
      <c r="AI166" s="32" t="str">
        <f>VLOOKUP(A166,'4月明細'!B:B,1,0)</f>
        <v>In202604-039</v>
      </c>
      <c r="AJ166" s="32">
        <f>VLOOKUP(A166,'4月明細'!B:I,8,0)</f>
        <v>0.25</v>
      </c>
      <c r="AK166" s="47">
        <f t="shared" si="6"/>
        <v>-1.1689814999999992E-3</v>
      </c>
    </row>
    <row r="167" spans="1:37" ht="19.95" customHeight="1" x14ac:dyDescent="0.3">
      <c r="A167" s="33" t="s">
        <v>793</v>
      </c>
      <c r="B167" s="34">
        <v>46134.512986111113</v>
      </c>
      <c r="C167" s="34" t="str">
        <f t="shared" si="2"/>
        <v>202604</v>
      </c>
      <c r="D167" s="35" t="s">
        <v>996</v>
      </c>
      <c r="E167" s="36" t="s">
        <v>910</v>
      </c>
      <c r="F167" s="36" t="s">
        <v>1237</v>
      </c>
      <c r="G167" s="37" t="s">
        <v>1444</v>
      </c>
      <c r="H167" s="36" t="s">
        <v>954</v>
      </c>
      <c r="I167" s="35"/>
      <c r="J167" s="36" t="s">
        <v>914</v>
      </c>
      <c r="K167" s="33" t="s">
        <v>1086</v>
      </c>
      <c r="L167" s="35" t="s">
        <v>916</v>
      </c>
      <c r="M167" s="36" t="s">
        <v>923</v>
      </c>
      <c r="N167" s="45">
        <v>46134.807638888888</v>
      </c>
      <c r="O167" s="36" t="s">
        <v>25</v>
      </c>
      <c r="P167" s="38">
        <v>0.29465277779999999</v>
      </c>
      <c r="Q167" s="39" t="s">
        <v>984</v>
      </c>
      <c r="R167" s="35" t="s">
        <v>916</v>
      </c>
      <c r="S167" s="35"/>
      <c r="T167" s="35" t="s">
        <v>916</v>
      </c>
      <c r="U167" s="40">
        <v>46135</v>
      </c>
      <c r="V167" s="41">
        <v>46153.532685185186</v>
      </c>
      <c r="W167" s="40">
        <v>46134</v>
      </c>
      <c r="X167" s="35" t="s">
        <v>916</v>
      </c>
      <c r="Y167" s="35" t="s">
        <v>916</v>
      </c>
      <c r="Z167" s="35" t="s">
        <v>916</v>
      </c>
      <c r="AA167" s="38">
        <v>7.0716666671999997</v>
      </c>
      <c r="AB167" s="42" t="s">
        <v>916</v>
      </c>
      <c r="AC167" s="43" t="s">
        <v>916</v>
      </c>
      <c r="AD167" s="43" t="s">
        <v>916</v>
      </c>
      <c r="AE167" s="33" t="s">
        <v>916</v>
      </c>
      <c r="AF167" s="35" t="s">
        <v>916</v>
      </c>
      <c r="AG167" s="44">
        <v>0</v>
      </c>
      <c r="AH167" s="42" t="s">
        <v>916</v>
      </c>
      <c r="AI167" s="32" t="str">
        <f>VLOOKUP(A167,'4月明細'!B:B,1,0)</f>
        <v>In202604-038</v>
      </c>
      <c r="AJ167" s="32">
        <f>VLOOKUP(A167,'4月明細'!B:I,8,0)</f>
        <v>0.28999999999999998</v>
      </c>
      <c r="AK167" s="47">
        <f t="shared" si="6"/>
        <v>-4.6527778000000075E-3</v>
      </c>
    </row>
    <row r="168" spans="1:37" ht="19.95" customHeight="1" x14ac:dyDescent="0.3">
      <c r="A168" s="33" t="s">
        <v>792</v>
      </c>
      <c r="B168" s="34">
        <v>46134.452962962961</v>
      </c>
      <c r="C168" s="34" t="str">
        <f t="shared" si="2"/>
        <v>202604</v>
      </c>
      <c r="D168" s="35" t="s">
        <v>996</v>
      </c>
      <c r="E168" s="36" t="s">
        <v>910</v>
      </c>
      <c r="F168" s="36" t="s">
        <v>1237</v>
      </c>
      <c r="G168" s="37" t="s">
        <v>1445</v>
      </c>
      <c r="H168" s="36" t="s">
        <v>954</v>
      </c>
      <c r="I168" s="35"/>
      <c r="J168" s="36" t="s">
        <v>914</v>
      </c>
      <c r="K168" s="33" t="s">
        <v>970</v>
      </c>
      <c r="L168" s="35" t="s">
        <v>916</v>
      </c>
      <c r="M168" s="36" t="s">
        <v>923</v>
      </c>
      <c r="N168" s="45">
        <v>46137.579583333332</v>
      </c>
      <c r="O168" s="36" t="s">
        <v>25</v>
      </c>
      <c r="P168" s="38">
        <v>3.1266203704</v>
      </c>
      <c r="Q168" s="39" t="s">
        <v>1299</v>
      </c>
      <c r="R168" s="35" t="s">
        <v>916</v>
      </c>
      <c r="S168" s="35"/>
      <c r="T168" s="35" t="s">
        <v>916</v>
      </c>
      <c r="U168" s="40">
        <v>46135</v>
      </c>
      <c r="V168" s="41">
        <v>46153.532685185186</v>
      </c>
      <c r="W168" s="40">
        <v>46134</v>
      </c>
      <c r="X168" s="35" t="s">
        <v>916</v>
      </c>
      <c r="Y168" s="35" t="s">
        <v>916</v>
      </c>
      <c r="Z168" s="35" t="s">
        <v>916</v>
      </c>
      <c r="AA168" s="38">
        <v>75.038888889600003</v>
      </c>
      <c r="AB168" s="42" t="s">
        <v>916</v>
      </c>
      <c r="AC168" s="43" t="s">
        <v>916</v>
      </c>
      <c r="AD168" s="43" t="s">
        <v>916</v>
      </c>
      <c r="AE168" s="33" t="s">
        <v>916</v>
      </c>
      <c r="AF168" s="35" t="s">
        <v>916</v>
      </c>
      <c r="AG168" s="44">
        <v>0</v>
      </c>
      <c r="AH168" s="42" t="s">
        <v>916</v>
      </c>
      <c r="AI168" s="32" t="str">
        <f>VLOOKUP(A168,'4月明細'!B:B,1,0)</f>
        <v>In202604-037</v>
      </c>
      <c r="AJ168" s="32">
        <f>VLOOKUP(A168,'4月明細'!B:I,8,0)</f>
        <v>3.13</v>
      </c>
      <c r="AK168" s="47">
        <f t="shared" si="6"/>
        <v>3.3796295999999337E-3</v>
      </c>
    </row>
    <row r="169" spans="1:37" ht="19.95" customHeight="1" x14ac:dyDescent="0.3">
      <c r="A169" s="33" t="s">
        <v>791</v>
      </c>
      <c r="B169" s="34">
        <v>46134.113888888889</v>
      </c>
      <c r="C169" s="34" t="str">
        <f t="shared" si="2"/>
        <v>202604</v>
      </c>
      <c r="D169" s="35" t="s">
        <v>1217</v>
      </c>
      <c r="E169" s="36" t="s">
        <v>942</v>
      </c>
      <c r="F169" s="36" t="s">
        <v>911</v>
      </c>
      <c r="G169" s="37" t="s">
        <v>1446</v>
      </c>
      <c r="H169" s="36" t="s">
        <v>913</v>
      </c>
      <c r="I169" s="35"/>
      <c r="J169" s="36" t="s">
        <v>945</v>
      </c>
      <c r="K169" s="33" t="s">
        <v>1447</v>
      </c>
      <c r="L169" s="35" t="s">
        <v>916</v>
      </c>
      <c r="M169" s="36" t="s">
        <v>923</v>
      </c>
      <c r="N169" s="45">
        <v>46137.579687500001</v>
      </c>
      <c r="O169" s="36" t="s">
        <v>25</v>
      </c>
      <c r="P169" s="38">
        <v>3.4657986110999999</v>
      </c>
      <c r="Q169" s="39" t="s">
        <v>919</v>
      </c>
      <c r="R169" s="35" t="s">
        <v>916</v>
      </c>
      <c r="S169" s="35"/>
      <c r="T169" s="35" t="s">
        <v>916</v>
      </c>
      <c r="U169" s="40">
        <v>46135</v>
      </c>
      <c r="V169" s="41">
        <v>46153.532685185186</v>
      </c>
      <c r="W169" s="40">
        <v>46134</v>
      </c>
      <c r="X169" s="35" t="s">
        <v>916</v>
      </c>
      <c r="Y169" s="35" t="s">
        <v>916</v>
      </c>
      <c r="Z169" s="35" t="s">
        <v>916</v>
      </c>
      <c r="AA169" s="38">
        <v>83.179166666399993</v>
      </c>
      <c r="AB169" s="42" t="s">
        <v>916</v>
      </c>
      <c r="AC169" s="43" t="s">
        <v>916</v>
      </c>
      <c r="AD169" s="43" t="s">
        <v>916</v>
      </c>
      <c r="AE169" s="33" t="s">
        <v>916</v>
      </c>
      <c r="AF169" s="35" t="s">
        <v>916</v>
      </c>
      <c r="AG169" s="44">
        <v>0</v>
      </c>
      <c r="AH169" s="42" t="s">
        <v>916</v>
      </c>
      <c r="AI169" s="32" t="str">
        <f>VLOOKUP(A169,'4月明細'!B:B,1,0)</f>
        <v>In202604-036</v>
      </c>
      <c r="AJ169" s="32">
        <f>VLOOKUP(A169,'4月明細'!B:I,8,0)</f>
        <v>3.47</v>
      </c>
      <c r="AK169" s="47">
        <f t="shared" si="6"/>
        <v>4.2013889000003246E-3</v>
      </c>
    </row>
    <row r="170" spans="1:37" ht="19.95" customHeight="1" x14ac:dyDescent="0.3">
      <c r="A170" s="33" t="s">
        <v>1448</v>
      </c>
      <c r="B170" s="34">
        <v>46133.66810185185</v>
      </c>
      <c r="C170" s="34" t="str">
        <f t="shared" si="2"/>
        <v>202604</v>
      </c>
      <c r="D170" s="35" t="s">
        <v>996</v>
      </c>
      <c r="E170" s="36" t="s">
        <v>910</v>
      </c>
      <c r="F170" s="36" t="s">
        <v>1032</v>
      </c>
      <c r="G170" s="37" t="s">
        <v>1449</v>
      </c>
      <c r="H170" s="36" t="s">
        <v>1023</v>
      </c>
      <c r="I170" s="35" t="s">
        <v>1450</v>
      </c>
      <c r="J170" s="36" t="s">
        <v>914</v>
      </c>
      <c r="K170" s="33" t="s">
        <v>916</v>
      </c>
      <c r="L170" s="35" t="s">
        <v>916</v>
      </c>
      <c r="M170" s="36" t="s">
        <v>923</v>
      </c>
      <c r="N170" s="45">
        <v>46139.910416666666</v>
      </c>
      <c r="O170" s="36" t="s">
        <v>918</v>
      </c>
      <c r="P170" s="38">
        <v>6.2423148148000003</v>
      </c>
      <c r="Q170" s="39" t="s">
        <v>1451</v>
      </c>
      <c r="R170" s="35" t="s">
        <v>916</v>
      </c>
      <c r="S170" s="35"/>
      <c r="T170" s="35" t="s">
        <v>916</v>
      </c>
      <c r="U170" s="40">
        <v>46134</v>
      </c>
      <c r="V170" s="41">
        <v>46153.532685185186</v>
      </c>
      <c r="W170" s="40">
        <v>46133</v>
      </c>
      <c r="X170" s="35" t="s">
        <v>916</v>
      </c>
      <c r="Y170" s="35" t="s">
        <v>916</v>
      </c>
      <c r="Z170" s="35" t="s">
        <v>916</v>
      </c>
      <c r="AA170" s="38">
        <v>149.81555555520001</v>
      </c>
      <c r="AB170" s="42" t="s">
        <v>916</v>
      </c>
      <c r="AC170" s="43" t="s">
        <v>916</v>
      </c>
      <c r="AD170" s="43" t="s">
        <v>916</v>
      </c>
      <c r="AE170" s="33" t="s">
        <v>916</v>
      </c>
      <c r="AF170" s="35" t="s">
        <v>916</v>
      </c>
      <c r="AG170" s="44">
        <v>0</v>
      </c>
      <c r="AH170" s="42" t="s">
        <v>916</v>
      </c>
      <c r="AI170" s="32" t="e">
        <f>VLOOKUP(A170,'4月明細'!B:B,1,0)</f>
        <v>#N/A</v>
      </c>
    </row>
    <row r="171" spans="1:37" ht="19.95" customHeight="1" x14ac:dyDescent="0.3">
      <c r="A171" s="33" t="s">
        <v>1452</v>
      </c>
      <c r="B171" s="34">
        <v>46133.655972222223</v>
      </c>
      <c r="C171" s="34" t="str">
        <f t="shared" si="2"/>
        <v>202604</v>
      </c>
      <c r="D171" s="35" t="s">
        <v>996</v>
      </c>
      <c r="E171" s="36" t="s">
        <v>910</v>
      </c>
      <c r="F171" s="36" t="s">
        <v>1032</v>
      </c>
      <c r="G171" s="37" t="s">
        <v>1453</v>
      </c>
      <c r="H171" s="36" t="s">
        <v>954</v>
      </c>
      <c r="I171" s="35" t="s">
        <v>1454</v>
      </c>
      <c r="J171" s="36" t="s">
        <v>914</v>
      </c>
      <c r="K171" s="33" t="s">
        <v>916</v>
      </c>
      <c r="L171" s="35" t="s">
        <v>916</v>
      </c>
      <c r="M171" s="36" t="s">
        <v>917</v>
      </c>
      <c r="N171" s="45">
        <v>46135.857638888891</v>
      </c>
      <c r="O171" s="36" t="s">
        <v>918</v>
      </c>
      <c r="P171" s="38">
        <v>2.2016666667</v>
      </c>
      <c r="Q171" s="39" t="s">
        <v>1071</v>
      </c>
      <c r="R171" s="35" t="s">
        <v>916</v>
      </c>
      <c r="S171" s="35"/>
      <c r="T171" s="35" t="s">
        <v>916</v>
      </c>
      <c r="U171" s="40">
        <v>46134</v>
      </c>
      <c r="V171" s="41">
        <v>46153.532685185186</v>
      </c>
      <c r="W171" s="40">
        <v>46133</v>
      </c>
      <c r="X171" s="35" t="s">
        <v>916</v>
      </c>
      <c r="Y171" s="35" t="s">
        <v>916</v>
      </c>
      <c r="Z171" s="35" t="s">
        <v>916</v>
      </c>
      <c r="AA171" s="38">
        <v>52.840000000800003</v>
      </c>
      <c r="AB171" s="42" t="s">
        <v>916</v>
      </c>
      <c r="AC171" s="43" t="s">
        <v>916</v>
      </c>
      <c r="AD171" s="43" t="s">
        <v>916</v>
      </c>
      <c r="AE171" s="33" t="s">
        <v>916</v>
      </c>
      <c r="AF171" s="35" t="s">
        <v>916</v>
      </c>
      <c r="AG171" s="44">
        <v>0</v>
      </c>
      <c r="AH171" s="42" t="s">
        <v>916</v>
      </c>
      <c r="AI171" s="32" t="e">
        <f>VLOOKUP(A171,'4月明細'!B:B,1,0)</f>
        <v>#N/A</v>
      </c>
    </row>
    <row r="172" spans="1:37" ht="19.95" customHeight="1" x14ac:dyDescent="0.3">
      <c r="A172" s="33" t="s">
        <v>1455</v>
      </c>
      <c r="B172" s="34">
        <v>46133.608831018515</v>
      </c>
      <c r="C172" s="34" t="str">
        <f t="shared" si="2"/>
        <v>202604</v>
      </c>
      <c r="D172" s="35" t="s">
        <v>996</v>
      </c>
      <c r="E172" s="36" t="s">
        <v>910</v>
      </c>
      <c r="F172" s="36" t="s">
        <v>1055</v>
      </c>
      <c r="G172" s="37" t="s">
        <v>1456</v>
      </c>
      <c r="H172" s="36" t="s">
        <v>954</v>
      </c>
      <c r="I172" s="35" t="s">
        <v>1457</v>
      </c>
      <c r="J172" s="36" t="s">
        <v>914</v>
      </c>
      <c r="K172" s="33" t="s">
        <v>916</v>
      </c>
      <c r="L172" s="35" t="s">
        <v>916</v>
      </c>
      <c r="M172" s="36" t="s">
        <v>923</v>
      </c>
      <c r="N172" s="45">
        <v>46135.857638888891</v>
      </c>
      <c r="O172" s="36" t="s">
        <v>918</v>
      </c>
      <c r="P172" s="38">
        <v>2.2488078703999999</v>
      </c>
      <c r="Q172" s="39" t="s">
        <v>984</v>
      </c>
      <c r="R172" s="35" t="s">
        <v>916</v>
      </c>
      <c r="S172" s="35"/>
      <c r="T172" s="35" t="s">
        <v>916</v>
      </c>
      <c r="U172" s="40">
        <v>46134</v>
      </c>
      <c r="V172" s="41">
        <v>46153.532685185186</v>
      </c>
      <c r="W172" s="40">
        <v>46133</v>
      </c>
      <c r="X172" s="35" t="s">
        <v>916</v>
      </c>
      <c r="Y172" s="35" t="s">
        <v>916</v>
      </c>
      <c r="Z172" s="35" t="s">
        <v>916</v>
      </c>
      <c r="AA172" s="38">
        <v>53.9713888896</v>
      </c>
      <c r="AB172" s="42" t="s">
        <v>916</v>
      </c>
      <c r="AC172" s="43" t="s">
        <v>916</v>
      </c>
      <c r="AD172" s="43" t="s">
        <v>916</v>
      </c>
      <c r="AE172" s="33" t="s">
        <v>916</v>
      </c>
      <c r="AF172" s="35" t="s">
        <v>916</v>
      </c>
      <c r="AG172" s="44">
        <v>0</v>
      </c>
      <c r="AH172" s="42" t="s">
        <v>916</v>
      </c>
      <c r="AI172" s="32" t="e">
        <f>VLOOKUP(A172,'4月明細'!B:B,1,0)</f>
        <v>#N/A</v>
      </c>
    </row>
    <row r="173" spans="1:37" ht="19.95" customHeight="1" x14ac:dyDescent="0.3">
      <c r="A173" s="33" t="s">
        <v>1458</v>
      </c>
      <c r="B173" s="34">
        <v>46133.445104166669</v>
      </c>
      <c r="C173" s="34" t="str">
        <f t="shared" si="2"/>
        <v>202604</v>
      </c>
      <c r="D173" s="35" t="s">
        <v>909</v>
      </c>
      <c r="E173" s="36" t="s">
        <v>910</v>
      </c>
      <c r="F173" s="36" t="s">
        <v>1060</v>
      </c>
      <c r="G173" s="37" t="s">
        <v>1459</v>
      </c>
      <c r="H173" s="36" t="s">
        <v>928</v>
      </c>
      <c r="I173" s="35"/>
      <c r="J173" s="36" t="s">
        <v>914</v>
      </c>
      <c r="K173" s="33" t="s">
        <v>916</v>
      </c>
      <c r="L173" s="35" t="s">
        <v>916</v>
      </c>
      <c r="M173" s="36" t="s">
        <v>923</v>
      </c>
      <c r="N173" s="45">
        <v>46135.856944444444</v>
      </c>
      <c r="O173" s="36" t="s">
        <v>918</v>
      </c>
      <c r="P173" s="38">
        <v>2.4118402778000001</v>
      </c>
      <c r="Q173" s="39" t="s">
        <v>958</v>
      </c>
      <c r="R173" s="35" t="s">
        <v>916</v>
      </c>
      <c r="S173" s="35"/>
      <c r="T173" s="35" t="s">
        <v>916</v>
      </c>
      <c r="U173" s="40">
        <v>46134</v>
      </c>
      <c r="V173" s="41">
        <v>46153.532685185186</v>
      </c>
      <c r="W173" s="40">
        <v>46133</v>
      </c>
      <c r="X173" s="35" t="s">
        <v>916</v>
      </c>
      <c r="Y173" s="35" t="s">
        <v>916</v>
      </c>
      <c r="Z173" s="35" t="s">
        <v>916</v>
      </c>
      <c r="AA173" s="38">
        <v>57.884166667199999</v>
      </c>
      <c r="AB173" s="42" t="s">
        <v>916</v>
      </c>
      <c r="AC173" s="43" t="s">
        <v>916</v>
      </c>
      <c r="AD173" s="43" t="s">
        <v>916</v>
      </c>
      <c r="AE173" s="33" t="s">
        <v>916</v>
      </c>
      <c r="AF173" s="35" t="s">
        <v>916</v>
      </c>
      <c r="AG173" s="44">
        <v>0</v>
      </c>
      <c r="AH173" s="42" t="s">
        <v>916</v>
      </c>
      <c r="AI173" s="32" t="e">
        <f>VLOOKUP(A173,'4月明細'!B:B,1,0)</f>
        <v>#N/A</v>
      </c>
    </row>
    <row r="174" spans="1:37" ht="19.95" customHeight="1" x14ac:dyDescent="0.3">
      <c r="A174" s="33" t="s">
        <v>1460</v>
      </c>
      <c r="B174" s="34">
        <v>46133.240949074076</v>
      </c>
      <c r="C174" s="34" t="str">
        <f t="shared" si="2"/>
        <v>202604</v>
      </c>
      <c r="D174" s="35" t="s">
        <v>1217</v>
      </c>
      <c r="E174" s="36" t="s">
        <v>942</v>
      </c>
      <c r="F174" s="36" t="s">
        <v>1461</v>
      </c>
      <c r="G174" s="37" t="s">
        <v>1462</v>
      </c>
      <c r="H174" s="36" t="s">
        <v>913</v>
      </c>
      <c r="I174" s="35"/>
      <c r="J174" s="36" t="s">
        <v>945</v>
      </c>
      <c r="K174" s="33" t="s">
        <v>916</v>
      </c>
      <c r="L174" s="35" t="s">
        <v>916</v>
      </c>
      <c r="M174" s="36" t="s">
        <v>916</v>
      </c>
      <c r="N174" s="36" t="s">
        <v>916</v>
      </c>
      <c r="O174" s="36" t="s">
        <v>939</v>
      </c>
      <c r="P174" s="38" t="s">
        <v>916</v>
      </c>
      <c r="Q174" s="36" t="s">
        <v>916</v>
      </c>
      <c r="R174" s="35" t="s">
        <v>916</v>
      </c>
      <c r="S174" s="35"/>
      <c r="T174" s="35" t="s">
        <v>916</v>
      </c>
      <c r="U174" s="40">
        <v>46134</v>
      </c>
      <c r="V174" s="41">
        <v>46153.532685185186</v>
      </c>
      <c r="W174" s="40">
        <v>46133</v>
      </c>
      <c r="X174" s="40">
        <v>46153</v>
      </c>
      <c r="Y174" s="35" t="s">
        <v>916</v>
      </c>
      <c r="Z174" s="35" t="s">
        <v>916</v>
      </c>
      <c r="AA174" s="38">
        <v>0</v>
      </c>
      <c r="AB174" s="42" t="s">
        <v>916</v>
      </c>
      <c r="AC174" s="43" t="s">
        <v>916</v>
      </c>
      <c r="AD174" s="43" t="s">
        <v>916</v>
      </c>
      <c r="AE174" s="33" t="s">
        <v>916</v>
      </c>
      <c r="AF174" s="35" t="s">
        <v>916</v>
      </c>
      <c r="AG174" s="44">
        <v>0</v>
      </c>
      <c r="AH174" s="42" t="s">
        <v>916</v>
      </c>
      <c r="AI174" s="32" t="e">
        <f>VLOOKUP(A174,'4月明細'!B:B,1,0)</f>
        <v>#N/A</v>
      </c>
    </row>
    <row r="175" spans="1:37" ht="19.95" customHeight="1" x14ac:dyDescent="0.3">
      <c r="A175" s="33" t="s">
        <v>1463</v>
      </c>
      <c r="B175" s="34">
        <v>46132.942175925928</v>
      </c>
      <c r="C175" s="34" t="str">
        <f t="shared" si="2"/>
        <v>202604</v>
      </c>
      <c r="D175" s="35" t="s">
        <v>1014</v>
      </c>
      <c r="E175" s="36" t="s">
        <v>942</v>
      </c>
      <c r="F175" s="36" t="s">
        <v>1461</v>
      </c>
      <c r="G175" s="37" t="s">
        <v>1464</v>
      </c>
      <c r="H175" s="36" t="s">
        <v>913</v>
      </c>
      <c r="I175" s="35"/>
      <c r="J175" s="36" t="s">
        <v>938</v>
      </c>
      <c r="K175" s="33" t="s">
        <v>916</v>
      </c>
      <c r="L175" s="35" t="s">
        <v>916</v>
      </c>
      <c r="M175" s="36" t="s">
        <v>916</v>
      </c>
      <c r="N175" s="36" t="s">
        <v>916</v>
      </c>
      <c r="O175" s="36" t="s">
        <v>939</v>
      </c>
      <c r="P175" s="38" t="s">
        <v>916</v>
      </c>
      <c r="Q175" s="36" t="s">
        <v>916</v>
      </c>
      <c r="R175" s="35" t="s">
        <v>916</v>
      </c>
      <c r="S175" s="35"/>
      <c r="T175" s="35" t="s">
        <v>916</v>
      </c>
      <c r="U175" s="40">
        <v>46133</v>
      </c>
      <c r="V175" s="41">
        <v>46153.532685185186</v>
      </c>
      <c r="W175" s="40">
        <v>46133</v>
      </c>
      <c r="X175" s="40">
        <v>46153</v>
      </c>
      <c r="Y175" s="35" t="s">
        <v>916</v>
      </c>
      <c r="Z175" s="35" t="s">
        <v>916</v>
      </c>
      <c r="AA175" s="38">
        <v>0</v>
      </c>
      <c r="AB175" s="42" t="s">
        <v>916</v>
      </c>
      <c r="AC175" s="43" t="s">
        <v>916</v>
      </c>
      <c r="AD175" s="43" t="s">
        <v>916</v>
      </c>
      <c r="AE175" s="33" t="s">
        <v>916</v>
      </c>
      <c r="AF175" s="35" t="s">
        <v>916</v>
      </c>
      <c r="AG175" s="44">
        <v>0</v>
      </c>
      <c r="AH175" s="42" t="s">
        <v>916</v>
      </c>
      <c r="AI175" s="32" t="e">
        <f>VLOOKUP(A175,'4月明細'!B:B,1,0)</f>
        <v>#N/A</v>
      </c>
    </row>
    <row r="176" spans="1:37" ht="19.95" customHeight="1" x14ac:dyDescent="0.3">
      <c r="A176" s="33" t="s">
        <v>1465</v>
      </c>
      <c r="B176" s="34">
        <v>46132.729861111111</v>
      </c>
      <c r="C176" s="34" t="str">
        <f t="shared" si="2"/>
        <v>202604</v>
      </c>
      <c r="D176" s="35" t="s">
        <v>941</v>
      </c>
      <c r="E176" s="36" t="s">
        <v>1199</v>
      </c>
      <c r="F176" s="36" t="s">
        <v>1166</v>
      </c>
      <c r="G176" s="37" t="s">
        <v>1466</v>
      </c>
      <c r="H176" s="36" t="s">
        <v>928</v>
      </c>
      <c r="I176" s="35" t="s">
        <v>1467</v>
      </c>
      <c r="J176" s="36" t="s">
        <v>938</v>
      </c>
      <c r="K176" s="33" t="s">
        <v>916</v>
      </c>
      <c r="L176" s="35" t="s">
        <v>916</v>
      </c>
      <c r="M176" s="36" t="s">
        <v>916</v>
      </c>
      <c r="N176" s="36" t="s">
        <v>916</v>
      </c>
      <c r="O176" s="36" t="s">
        <v>939</v>
      </c>
      <c r="P176" s="38" t="s">
        <v>916</v>
      </c>
      <c r="Q176" s="36" t="s">
        <v>916</v>
      </c>
      <c r="R176" s="35" t="s">
        <v>916</v>
      </c>
      <c r="S176" s="35"/>
      <c r="T176" s="35" t="s">
        <v>916</v>
      </c>
      <c r="U176" s="40">
        <v>46133</v>
      </c>
      <c r="V176" s="41">
        <v>46153.532685185186</v>
      </c>
      <c r="W176" s="40">
        <v>46132</v>
      </c>
      <c r="X176" s="40">
        <v>46153</v>
      </c>
      <c r="Y176" s="35" t="s">
        <v>916</v>
      </c>
      <c r="Z176" s="35" t="s">
        <v>916</v>
      </c>
      <c r="AA176" s="38">
        <v>0</v>
      </c>
      <c r="AB176" s="42" t="s">
        <v>916</v>
      </c>
      <c r="AC176" s="43" t="s">
        <v>916</v>
      </c>
      <c r="AD176" s="43" t="s">
        <v>916</v>
      </c>
      <c r="AE176" s="33" t="s">
        <v>916</v>
      </c>
      <c r="AF176" s="35" t="s">
        <v>916</v>
      </c>
      <c r="AG176" s="44">
        <v>0</v>
      </c>
      <c r="AH176" s="42" t="s">
        <v>916</v>
      </c>
      <c r="AI176" s="32" t="e">
        <f>VLOOKUP(A176,'4月明細'!B:B,1,0)</f>
        <v>#N/A</v>
      </c>
    </row>
    <row r="177" spans="1:35" ht="19.95" customHeight="1" x14ac:dyDescent="0.3">
      <c r="A177" s="33" t="s">
        <v>1468</v>
      </c>
      <c r="B177" s="34">
        <v>46132.634201388886</v>
      </c>
      <c r="C177" s="34" t="str">
        <f t="shared" si="2"/>
        <v>202604</v>
      </c>
      <c r="D177" s="35" t="s">
        <v>909</v>
      </c>
      <c r="E177" s="36" t="s">
        <v>910</v>
      </c>
      <c r="F177" s="36" t="s">
        <v>1469</v>
      </c>
      <c r="G177" s="37" t="s">
        <v>1470</v>
      </c>
      <c r="H177" s="36" t="s">
        <v>928</v>
      </c>
      <c r="I177" s="35"/>
      <c r="J177" s="36" t="s">
        <v>929</v>
      </c>
      <c r="K177" s="33" t="s">
        <v>916</v>
      </c>
      <c r="L177" s="35" t="s">
        <v>916</v>
      </c>
      <c r="M177" s="36" t="s">
        <v>916</v>
      </c>
      <c r="N177" s="36" t="s">
        <v>916</v>
      </c>
      <c r="O177" s="36" t="s">
        <v>939</v>
      </c>
      <c r="P177" s="38" t="s">
        <v>916</v>
      </c>
      <c r="Q177" s="36" t="s">
        <v>916</v>
      </c>
      <c r="R177" s="35" t="s">
        <v>916</v>
      </c>
      <c r="S177" s="35"/>
      <c r="T177" s="35" t="s">
        <v>916</v>
      </c>
      <c r="U177" s="40">
        <v>46133</v>
      </c>
      <c r="V177" s="41">
        <v>46153.532685185186</v>
      </c>
      <c r="W177" s="40">
        <v>46132</v>
      </c>
      <c r="X177" s="40">
        <v>46153</v>
      </c>
      <c r="Y177" s="35" t="s">
        <v>916</v>
      </c>
      <c r="Z177" s="35" t="s">
        <v>916</v>
      </c>
      <c r="AA177" s="38">
        <v>0</v>
      </c>
      <c r="AB177" s="42" t="s">
        <v>916</v>
      </c>
      <c r="AC177" s="43" t="s">
        <v>916</v>
      </c>
      <c r="AD177" s="43" t="s">
        <v>916</v>
      </c>
      <c r="AE177" s="33" t="s">
        <v>916</v>
      </c>
      <c r="AF177" s="35" t="s">
        <v>916</v>
      </c>
      <c r="AG177" s="44">
        <v>0</v>
      </c>
      <c r="AH177" s="42" t="s">
        <v>916</v>
      </c>
      <c r="AI177" s="32" t="e">
        <f>VLOOKUP(A177,'4月明細'!B:B,1,0)</f>
        <v>#N/A</v>
      </c>
    </row>
    <row r="178" spans="1:35" ht="19.95" customHeight="1" x14ac:dyDescent="0.3">
      <c r="A178" s="33" t="s">
        <v>1471</v>
      </c>
      <c r="B178" s="34">
        <v>46132.582939814813</v>
      </c>
      <c r="C178" s="34" t="str">
        <f t="shared" si="2"/>
        <v>202604</v>
      </c>
      <c r="D178" s="35" t="s">
        <v>996</v>
      </c>
      <c r="E178" s="36" t="s">
        <v>910</v>
      </c>
      <c r="F178" s="36" t="s">
        <v>1316</v>
      </c>
      <c r="G178" s="37" t="s">
        <v>1472</v>
      </c>
      <c r="H178" s="36" t="s">
        <v>954</v>
      </c>
      <c r="I178" s="35" t="s">
        <v>1473</v>
      </c>
      <c r="J178" s="36" t="s">
        <v>929</v>
      </c>
      <c r="K178" s="33" t="s">
        <v>916</v>
      </c>
      <c r="L178" s="35" t="s">
        <v>916</v>
      </c>
      <c r="M178" s="36" t="s">
        <v>1135</v>
      </c>
      <c r="N178" s="45">
        <v>46135.856249999997</v>
      </c>
      <c r="O178" s="36" t="s">
        <v>918</v>
      </c>
      <c r="P178" s="38">
        <v>3.2733101852000002</v>
      </c>
      <c r="Q178" s="39" t="s">
        <v>984</v>
      </c>
      <c r="R178" s="35" t="s">
        <v>916</v>
      </c>
      <c r="S178" s="35"/>
      <c r="T178" s="35" t="s">
        <v>916</v>
      </c>
      <c r="U178" s="40">
        <v>46133</v>
      </c>
      <c r="V178" s="41">
        <v>46153.532685185186</v>
      </c>
      <c r="W178" s="40">
        <v>46132</v>
      </c>
      <c r="X178" s="35" t="s">
        <v>916</v>
      </c>
      <c r="Y178" s="35" t="s">
        <v>916</v>
      </c>
      <c r="Z178" s="35" t="s">
        <v>916</v>
      </c>
      <c r="AA178" s="38">
        <v>78.559444444799993</v>
      </c>
      <c r="AB178" s="42" t="s">
        <v>916</v>
      </c>
      <c r="AC178" s="43" t="s">
        <v>916</v>
      </c>
      <c r="AD178" s="43" t="s">
        <v>916</v>
      </c>
      <c r="AE178" s="33" t="s">
        <v>916</v>
      </c>
      <c r="AF178" s="35" t="s">
        <v>916</v>
      </c>
      <c r="AG178" s="44">
        <v>0</v>
      </c>
      <c r="AH178" s="42" t="s">
        <v>916</v>
      </c>
      <c r="AI178" s="32" t="e">
        <f>VLOOKUP(A178,'4月明細'!B:B,1,0)</f>
        <v>#N/A</v>
      </c>
    </row>
    <row r="179" spans="1:35" ht="19.95" customHeight="1" x14ac:dyDescent="0.3">
      <c r="A179" s="33" t="s">
        <v>1474</v>
      </c>
      <c r="B179" s="34">
        <v>46132.57675925926</v>
      </c>
      <c r="C179" s="34" t="str">
        <f t="shared" si="2"/>
        <v>202604</v>
      </c>
      <c r="D179" s="35" t="s">
        <v>1475</v>
      </c>
      <c r="E179" s="36" t="s">
        <v>910</v>
      </c>
      <c r="F179" s="36" t="s">
        <v>1475</v>
      </c>
      <c r="G179" s="37" t="s">
        <v>1476</v>
      </c>
      <c r="H179" s="36" t="s">
        <v>928</v>
      </c>
      <c r="I179" s="35" t="s">
        <v>1477</v>
      </c>
      <c r="J179" s="36" t="s">
        <v>929</v>
      </c>
      <c r="K179" s="33" t="s">
        <v>916</v>
      </c>
      <c r="L179" s="35" t="s">
        <v>916</v>
      </c>
      <c r="M179" s="36" t="s">
        <v>923</v>
      </c>
      <c r="N179" s="45">
        <v>46135.856249999997</v>
      </c>
      <c r="O179" s="36" t="s">
        <v>918</v>
      </c>
      <c r="P179" s="38">
        <v>3.2794907407</v>
      </c>
      <c r="Q179" s="39" t="s">
        <v>958</v>
      </c>
      <c r="R179" s="35" t="s">
        <v>916</v>
      </c>
      <c r="S179" s="35"/>
      <c r="T179" s="35" t="s">
        <v>916</v>
      </c>
      <c r="U179" s="40">
        <v>46133</v>
      </c>
      <c r="V179" s="41">
        <v>46153.532685185186</v>
      </c>
      <c r="W179" s="40">
        <v>46132</v>
      </c>
      <c r="X179" s="35" t="s">
        <v>916</v>
      </c>
      <c r="Y179" s="35" t="s">
        <v>916</v>
      </c>
      <c r="Z179" s="35" t="s">
        <v>916</v>
      </c>
      <c r="AA179" s="38">
        <v>78.7077777768</v>
      </c>
      <c r="AB179" s="42" t="s">
        <v>916</v>
      </c>
      <c r="AC179" s="43" t="s">
        <v>916</v>
      </c>
      <c r="AD179" s="43" t="s">
        <v>916</v>
      </c>
      <c r="AE179" s="33" t="s">
        <v>916</v>
      </c>
      <c r="AF179" s="35" t="s">
        <v>916</v>
      </c>
      <c r="AG179" s="44">
        <v>0</v>
      </c>
      <c r="AH179" s="42" t="s">
        <v>916</v>
      </c>
      <c r="AI179" s="32" t="e">
        <f>VLOOKUP(A179,'4月明細'!B:B,1,0)</f>
        <v>#N/A</v>
      </c>
    </row>
    <row r="180" spans="1:35" ht="19.95" customHeight="1" x14ac:dyDescent="0.3">
      <c r="A180" s="33" t="s">
        <v>1478</v>
      </c>
      <c r="B180" s="34">
        <v>46132.519571759258</v>
      </c>
      <c r="C180" s="34" t="str">
        <f t="shared" si="2"/>
        <v>202604</v>
      </c>
      <c r="D180" s="35" t="s">
        <v>996</v>
      </c>
      <c r="E180" s="36" t="s">
        <v>910</v>
      </c>
      <c r="F180" s="36" t="s">
        <v>1479</v>
      </c>
      <c r="G180" s="37" t="s">
        <v>1480</v>
      </c>
      <c r="H180" s="36" t="s">
        <v>954</v>
      </c>
      <c r="I180" s="35" t="s">
        <v>1481</v>
      </c>
      <c r="J180" s="36" t="s">
        <v>929</v>
      </c>
      <c r="K180" s="33" t="s">
        <v>916</v>
      </c>
      <c r="L180" s="35" t="s">
        <v>916</v>
      </c>
      <c r="M180" s="36" t="s">
        <v>923</v>
      </c>
      <c r="N180" s="45">
        <v>46135.855555555558</v>
      </c>
      <c r="O180" s="36" t="s">
        <v>918</v>
      </c>
      <c r="P180" s="38">
        <v>3.3359837962999999</v>
      </c>
      <c r="Q180" s="39" t="s">
        <v>1299</v>
      </c>
      <c r="R180" s="35" t="s">
        <v>916</v>
      </c>
      <c r="S180" s="35"/>
      <c r="T180" s="35" t="s">
        <v>916</v>
      </c>
      <c r="U180" s="40">
        <v>46133</v>
      </c>
      <c r="V180" s="41">
        <v>46153.532685185186</v>
      </c>
      <c r="W180" s="40">
        <v>46132</v>
      </c>
      <c r="X180" s="35" t="s">
        <v>916</v>
      </c>
      <c r="Y180" s="35" t="s">
        <v>916</v>
      </c>
      <c r="Z180" s="35" t="s">
        <v>916</v>
      </c>
      <c r="AA180" s="38">
        <v>80.063611111200004</v>
      </c>
      <c r="AB180" s="42" t="s">
        <v>916</v>
      </c>
      <c r="AC180" s="43" t="s">
        <v>916</v>
      </c>
      <c r="AD180" s="43" t="s">
        <v>916</v>
      </c>
      <c r="AE180" s="33" t="s">
        <v>916</v>
      </c>
      <c r="AF180" s="35" t="s">
        <v>916</v>
      </c>
      <c r="AG180" s="44">
        <v>0</v>
      </c>
      <c r="AH180" s="42" t="s">
        <v>916</v>
      </c>
      <c r="AI180" s="32" t="e">
        <f>VLOOKUP(A180,'4月明細'!B:B,1,0)</f>
        <v>#N/A</v>
      </c>
    </row>
    <row r="181" spans="1:35" ht="19.95" customHeight="1" x14ac:dyDescent="0.3">
      <c r="A181" s="33" t="s">
        <v>1482</v>
      </c>
      <c r="B181" s="34">
        <v>46132.518171296295</v>
      </c>
      <c r="C181" s="34" t="str">
        <f t="shared" si="2"/>
        <v>202604</v>
      </c>
      <c r="D181" s="35" t="s">
        <v>996</v>
      </c>
      <c r="E181" s="36" t="s">
        <v>910</v>
      </c>
      <c r="F181" s="36" t="s">
        <v>1479</v>
      </c>
      <c r="G181" s="37" t="s">
        <v>1018</v>
      </c>
      <c r="H181" s="36" t="s">
        <v>954</v>
      </c>
      <c r="I181" s="35" t="s">
        <v>1483</v>
      </c>
      <c r="J181" s="36" t="s">
        <v>929</v>
      </c>
      <c r="K181" s="33" t="s">
        <v>916</v>
      </c>
      <c r="L181" s="35" t="s">
        <v>916</v>
      </c>
      <c r="M181" s="36" t="s">
        <v>917</v>
      </c>
      <c r="N181" s="45">
        <v>46135.855555555558</v>
      </c>
      <c r="O181" s="36" t="s">
        <v>918</v>
      </c>
      <c r="P181" s="38">
        <v>3.3373842592999998</v>
      </c>
      <c r="Q181" s="39" t="s">
        <v>1071</v>
      </c>
      <c r="R181" s="35" t="s">
        <v>916</v>
      </c>
      <c r="S181" s="35"/>
      <c r="T181" s="35" t="s">
        <v>916</v>
      </c>
      <c r="U181" s="40">
        <v>46133</v>
      </c>
      <c r="V181" s="41">
        <v>46153.532685185186</v>
      </c>
      <c r="W181" s="40">
        <v>46132</v>
      </c>
      <c r="X181" s="35" t="s">
        <v>916</v>
      </c>
      <c r="Y181" s="35" t="s">
        <v>916</v>
      </c>
      <c r="Z181" s="35" t="s">
        <v>916</v>
      </c>
      <c r="AA181" s="38">
        <v>80.097222223200006</v>
      </c>
      <c r="AB181" s="42" t="s">
        <v>916</v>
      </c>
      <c r="AC181" s="43" t="s">
        <v>916</v>
      </c>
      <c r="AD181" s="43" t="s">
        <v>916</v>
      </c>
      <c r="AE181" s="33" t="s">
        <v>916</v>
      </c>
      <c r="AF181" s="35" t="s">
        <v>916</v>
      </c>
      <c r="AG181" s="44">
        <v>0</v>
      </c>
      <c r="AH181" s="42" t="s">
        <v>916</v>
      </c>
      <c r="AI181" s="32" t="e">
        <f>VLOOKUP(A181,'4月明細'!B:B,1,0)</f>
        <v>#N/A</v>
      </c>
    </row>
    <row r="182" spans="1:35" ht="19.95" customHeight="1" x14ac:dyDescent="0.3">
      <c r="A182" s="33" t="s">
        <v>1484</v>
      </c>
      <c r="B182" s="34">
        <v>46132.48333333333</v>
      </c>
      <c r="C182" s="34" t="str">
        <f t="shared" si="2"/>
        <v>202604</v>
      </c>
      <c r="D182" s="35" t="s">
        <v>941</v>
      </c>
      <c r="E182" s="36" t="s">
        <v>1199</v>
      </c>
      <c r="F182" s="36" t="s">
        <v>1433</v>
      </c>
      <c r="G182" s="37" t="s">
        <v>1485</v>
      </c>
      <c r="H182" s="36" t="s">
        <v>928</v>
      </c>
      <c r="I182" s="35"/>
      <c r="J182" s="36" t="s">
        <v>938</v>
      </c>
      <c r="K182" s="33" t="s">
        <v>916</v>
      </c>
      <c r="L182" s="35" t="s">
        <v>916</v>
      </c>
      <c r="M182" s="36" t="s">
        <v>916</v>
      </c>
      <c r="N182" s="36" t="s">
        <v>916</v>
      </c>
      <c r="O182" s="36" t="s">
        <v>939</v>
      </c>
      <c r="P182" s="38" t="s">
        <v>916</v>
      </c>
      <c r="Q182" s="36" t="s">
        <v>916</v>
      </c>
      <c r="R182" s="35" t="s">
        <v>916</v>
      </c>
      <c r="S182" s="35"/>
      <c r="T182" s="35" t="s">
        <v>916</v>
      </c>
      <c r="U182" s="40">
        <v>46133</v>
      </c>
      <c r="V182" s="41">
        <v>46153.532685185186</v>
      </c>
      <c r="W182" s="40">
        <v>46132</v>
      </c>
      <c r="X182" s="40">
        <v>46153</v>
      </c>
      <c r="Y182" s="35" t="s">
        <v>916</v>
      </c>
      <c r="Z182" s="35" t="s">
        <v>916</v>
      </c>
      <c r="AA182" s="38">
        <v>0</v>
      </c>
      <c r="AB182" s="42" t="s">
        <v>916</v>
      </c>
      <c r="AC182" s="43" t="s">
        <v>916</v>
      </c>
      <c r="AD182" s="43" t="s">
        <v>916</v>
      </c>
      <c r="AE182" s="33" t="s">
        <v>916</v>
      </c>
      <c r="AF182" s="35" t="s">
        <v>916</v>
      </c>
      <c r="AG182" s="44">
        <v>0</v>
      </c>
      <c r="AH182" s="42" t="s">
        <v>916</v>
      </c>
      <c r="AI182" s="32" t="e">
        <f>VLOOKUP(A182,'4月明細'!B:B,1,0)</f>
        <v>#N/A</v>
      </c>
    </row>
    <row r="183" spans="1:35" ht="19.95" customHeight="1" x14ac:dyDescent="0.3">
      <c r="A183" s="33" t="s">
        <v>1486</v>
      </c>
      <c r="B183" s="34">
        <v>46132.482638888891</v>
      </c>
      <c r="C183" s="34" t="str">
        <f t="shared" si="2"/>
        <v>202604</v>
      </c>
      <c r="D183" s="35" t="s">
        <v>941</v>
      </c>
      <c r="E183" s="36" t="s">
        <v>1199</v>
      </c>
      <c r="F183" s="36" t="s">
        <v>1433</v>
      </c>
      <c r="G183" s="37" t="s">
        <v>1487</v>
      </c>
      <c r="H183" s="36" t="s">
        <v>1023</v>
      </c>
      <c r="I183" s="35"/>
      <c r="J183" s="36" t="s">
        <v>938</v>
      </c>
      <c r="K183" s="33" t="s">
        <v>916</v>
      </c>
      <c r="L183" s="35" t="s">
        <v>916</v>
      </c>
      <c r="M183" s="36" t="s">
        <v>916</v>
      </c>
      <c r="N183" s="36" t="s">
        <v>916</v>
      </c>
      <c r="O183" s="36" t="s">
        <v>939</v>
      </c>
      <c r="P183" s="38" t="s">
        <v>916</v>
      </c>
      <c r="Q183" s="36" t="s">
        <v>916</v>
      </c>
      <c r="R183" s="35" t="s">
        <v>916</v>
      </c>
      <c r="S183" s="35"/>
      <c r="T183" s="35" t="s">
        <v>916</v>
      </c>
      <c r="U183" s="40">
        <v>46133</v>
      </c>
      <c r="V183" s="41">
        <v>46153.532685185186</v>
      </c>
      <c r="W183" s="40">
        <v>46132</v>
      </c>
      <c r="X183" s="40">
        <v>46153</v>
      </c>
      <c r="Y183" s="35" t="s">
        <v>916</v>
      </c>
      <c r="Z183" s="35" t="s">
        <v>916</v>
      </c>
      <c r="AA183" s="38">
        <v>0</v>
      </c>
      <c r="AB183" s="42" t="s">
        <v>916</v>
      </c>
      <c r="AC183" s="43" t="s">
        <v>916</v>
      </c>
      <c r="AD183" s="43" t="s">
        <v>916</v>
      </c>
      <c r="AE183" s="33" t="s">
        <v>916</v>
      </c>
      <c r="AF183" s="35" t="s">
        <v>916</v>
      </c>
      <c r="AG183" s="44">
        <v>0</v>
      </c>
      <c r="AH183" s="42" t="s">
        <v>916</v>
      </c>
      <c r="AI183" s="32" t="e">
        <f>VLOOKUP(A183,'4月明細'!B:B,1,0)</f>
        <v>#N/A</v>
      </c>
    </row>
    <row r="184" spans="1:35" ht="19.95" customHeight="1" x14ac:dyDescent="0.3">
      <c r="A184" s="33" t="s">
        <v>1488</v>
      </c>
      <c r="B184" s="34">
        <v>46132.481249999997</v>
      </c>
      <c r="C184" s="34" t="str">
        <f t="shared" si="2"/>
        <v>202604</v>
      </c>
      <c r="D184" s="35" t="s">
        <v>941</v>
      </c>
      <c r="E184" s="36" t="s">
        <v>1199</v>
      </c>
      <c r="F184" s="36" t="s">
        <v>1433</v>
      </c>
      <c r="G184" s="37" t="s">
        <v>1489</v>
      </c>
      <c r="H184" s="36" t="s">
        <v>954</v>
      </c>
      <c r="I184" s="35"/>
      <c r="J184" s="36" t="s">
        <v>938</v>
      </c>
      <c r="K184" s="33" t="s">
        <v>916</v>
      </c>
      <c r="L184" s="35" t="s">
        <v>916</v>
      </c>
      <c r="M184" s="36" t="s">
        <v>916</v>
      </c>
      <c r="N184" s="36" t="s">
        <v>916</v>
      </c>
      <c r="O184" s="36" t="s">
        <v>939</v>
      </c>
      <c r="P184" s="38" t="s">
        <v>916</v>
      </c>
      <c r="Q184" s="36" t="s">
        <v>916</v>
      </c>
      <c r="R184" s="35" t="s">
        <v>916</v>
      </c>
      <c r="S184" s="35"/>
      <c r="T184" s="35" t="s">
        <v>916</v>
      </c>
      <c r="U184" s="40">
        <v>46133</v>
      </c>
      <c r="V184" s="41">
        <v>46153.532685185186</v>
      </c>
      <c r="W184" s="40">
        <v>46132</v>
      </c>
      <c r="X184" s="40">
        <v>46153</v>
      </c>
      <c r="Y184" s="35" t="s">
        <v>916</v>
      </c>
      <c r="Z184" s="35" t="s">
        <v>916</v>
      </c>
      <c r="AA184" s="38">
        <v>0</v>
      </c>
      <c r="AB184" s="42" t="s">
        <v>916</v>
      </c>
      <c r="AC184" s="43" t="s">
        <v>916</v>
      </c>
      <c r="AD184" s="43" t="s">
        <v>916</v>
      </c>
      <c r="AE184" s="33" t="s">
        <v>916</v>
      </c>
      <c r="AF184" s="35" t="s">
        <v>916</v>
      </c>
      <c r="AG184" s="44">
        <v>0</v>
      </c>
      <c r="AH184" s="42" t="s">
        <v>916</v>
      </c>
      <c r="AI184" s="32" t="e">
        <f>VLOOKUP(A184,'4月明細'!B:B,1,0)</f>
        <v>#N/A</v>
      </c>
    </row>
    <row r="185" spans="1:35" ht="19.95" customHeight="1" x14ac:dyDescent="0.3">
      <c r="A185" s="33" t="s">
        <v>1490</v>
      </c>
      <c r="B185" s="34">
        <v>46132.463263888887</v>
      </c>
      <c r="C185" s="34" t="str">
        <f t="shared" si="2"/>
        <v>202604</v>
      </c>
      <c r="D185" s="35" t="s">
        <v>996</v>
      </c>
      <c r="E185" s="36" t="s">
        <v>910</v>
      </c>
      <c r="F185" s="36" t="s">
        <v>1032</v>
      </c>
      <c r="G185" s="37" t="s">
        <v>1491</v>
      </c>
      <c r="H185" s="36" t="s">
        <v>928</v>
      </c>
      <c r="I185" s="35" t="s">
        <v>1492</v>
      </c>
      <c r="J185" s="36" t="s">
        <v>914</v>
      </c>
      <c r="K185" s="33" t="s">
        <v>916</v>
      </c>
      <c r="L185" s="35" t="s">
        <v>916</v>
      </c>
      <c r="M185" s="36" t="s">
        <v>923</v>
      </c>
      <c r="N185" s="45">
        <v>46135.854861111111</v>
      </c>
      <c r="O185" s="36" t="s">
        <v>918</v>
      </c>
      <c r="P185" s="38">
        <v>3.3915972222000002</v>
      </c>
      <c r="Q185" s="39" t="s">
        <v>1087</v>
      </c>
      <c r="R185" s="35" t="s">
        <v>916</v>
      </c>
      <c r="S185" s="35"/>
      <c r="T185" s="35" t="s">
        <v>916</v>
      </c>
      <c r="U185" s="40">
        <v>46133</v>
      </c>
      <c r="V185" s="41">
        <v>46153.532685185186</v>
      </c>
      <c r="W185" s="40">
        <v>46132</v>
      </c>
      <c r="X185" s="35" t="s">
        <v>916</v>
      </c>
      <c r="Y185" s="35" t="s">
        <v>916</v>
      </c>
      <c r="Z185" s="35" t="s">
        <v>916</v>
      </c>
      <c r="AA185" s="38">
        <v>81.398333332799993</v>
      </c>
      <c r="AB185" s="42" t="s">
        <v>916</v>
      </c>
      <c r="AC185" s="43" t="s">
        <v>916</v>
      </c>
      <c r="AD185" s="43" t="s">
        <v>916</v>
      </c>
      <c r="AE185" s="33" t="s">
        <v>916</v>
      </c>
      <c r="AF185" s="35" t="s">
        <v>916</v>
      </c>
      <c r="AG185" s="44">
        <v>0</v>
      </c>
      <c r="AH185" s="42" t="s">
        <v>916</v>
      </c>
      <c r="AI185" s="32" t="e">
        <f>VLOOKUP(A185,'4月明細'!B:B,1,0)</f>
        <v>#N/A</v>
      </c>
    </row>
    <row r="186" spans="1:35" ht="19.95" customHeight="1" x14ac:dyDescent="0.3">
      <c r="A186" s="33" t="s">
        <v>1493</v>
      </c>
      <c r="B186" s="34">
        <v>46132.456145833334</v>
      </c>
      <c r="C186" s="34" t="str">
        <f t="shared" si="2"/>
        <v>202604</v>
      </c>
      <c r="D186" s="35" t="s">
        <v>909</v>
      </c>
      <c r="E186" s="36" t="s">
        <v>910</v>
      </c>
      <c r="F186" s="36" t="s">
        <v>1064</v>
      </c>
      <c r="G186" s="37" t="s">
        <v>1494</v>
      </c>
      <c r="H186" s="36" t="s">
        <v>928</v>
      </c>
      <c r="I186" s="35"/>
      <c r="J186" s="36" t="s">
        <v>929</v>
      </c>
      <c r="K186" s="33" t="s">
        <v>916</v>
      </c>
      <c r="L186" s="35" t="s">
        <v>916</v>
      </c>
      <c r="M186" s="36" t="s">
        <v>923</v>
      </c>
      <c r="N186" s="45">
        <v>46135.852777777778</v>
      </c>
      <c r="O186" s="36" t="s">
        <v>918</v>
      </c>
      <c r="P186" s="38">
        <v>3.3966319444000002</v>
      </c>
      <c r="Q186" s="39" t="s">
        <v>958</v>
      </c>
      <c r="R186" s="35" t="s">
        <v>916</v>
      </c>
      <c r="S186" s="35"/>
      <c r="T186" s="35" t="s">
        <v>916</v>
      </c>
      <c r="U186" s="40">
        <v>46133</v>
      </c>
      <c r="V186" s="41">
        <v>46153.532685185186</v>
      </c>
      <c r="W186" s="40">
        <v>46132</v>
      </c>
      <c r="X186" s="35" t="s">
        <v>916</v>
      </c>
      <c r="Y186" s="35" t="s">
        <v>916</v>
      </c>
      <c r="Z186" s="35" t="s">
        <v>916</v>
      </c>
      <c r="AA186" s="38">
        <v>81.519166665599997</v>
      </c>
      <c r="AB186" s="42" t="s">
        <v>916</v>
      </c>
      <c r="AC186" s="43" t="s">
        <v>916</v>
      </c>
      <c r="AD186" s="43" t="s">
        <v>916</v>
      </c>
      <c r="AE186" s="33" t="s">
        <v>916</v>
      </c>
      <c r="AF186" s="35" t="s">
        <v>916</v>
      </c>
      <c r="AG186" s="44">
        <v>0</v>
      </c>
      <c r="AH186" s="42" t="s">
        <v>916</v>
      </c>
      <c r="AI186" s="32" t="e">
        <f>VLOOKUP(A186,'4月明細'!B:B,1,0)</f>
        <v>#N/A</v>
      </c>
    </row>
    <row r="187" spans="1:35" ht="19.95" customHeight="1" x14ac:dyDescent="0.3">
      <c r="A187" s="33" t="s">
        <v>1495</v>
      </c>
      <c r="B187" s="34">
        <v>46132.430428240739</v>
      </c>
      <c r="C187" s="34" t="str">
        <f t="shared" si="2"/>
        <v>202604</v>
      </c>
      <c r="D187" s="35" t="s">
        <v>1178</v>
      </c>
      <c r="E187" s="36" t="s">
        <v>910</v>
      </c>
      <c r="F187" s="36" t="s">
        <v>1032</v>
      </c>
      <c r="G187" s="37" t="s">
        <v>1496</v>
      </c>
      <c r="H187" s="36" t="s">
        <v>1023</v>
      </c>
      <c r="I187" s="35"/>
      <c r="J187" s="36" t="s">
        <v>929</v>
      </c>
      <c r="K187" s="33" t="s">
        <v>916</v>
      </c>
      <c r="L187" s="35" t="s">
        <v>916</v>
      </c>
      <c r="M187" s="36" t="s">
        <v>916</v>
      </c>
      <c r="N187" s="45">
        <v>46132.520833333336</v>
      </c>
      <c r="O187" s="36" t="s">
        <v>918</v>
      </c>
      <c r="P187" s="38">
        <v>9.04050926E-2</v>
      </c>
      <c r="Q187" s="39" t="s">
        <v>1497</v>
      </c>
      <c r="R187" s="35" t="s">
        <v>916</v>
      </c>
      <c r="S187" s="35"/>
      <c r="T187" s="35" t="s">
        <v>916</v>
      </c>
      <c r="U187" s="40">
        <v>46133</v>
      </c>
      <c r="V187" s="41">
        <v>46153.532685185186</v>
      </c>
      <c r="W187" s="40">
        <v>46132</v>
      </c>
      <c r="X187" s="35" t="s">
        <v>916</v>
      </c>
      <c r="Y187" s="35" t="s">
        <v>916</v>
      </c>
      <c r="Z187" s="35" t="s">
        <v>916</v>
      </c>
      <c r="AA187" s="38">
        <v>2.1697222223999999</v>
      </c>
      <c r="AB187" s="42" t="s">
        <v>916</v>
      </c>
      <c r="AC187" s="43" t="s">
        <v>916</v>
      </c>
      <c r="AD187" s="43" t="s">
        <v>916</v>
      </c>
      <c r="AE187" s="33" t="s">
        <v>916</v>
      </c>
      <c r="AF187" s="35" t="s">
        <v>916</v>
      </c>
      <c r="AG187" s="44">
        <v>0</v>
      </c>
      <c r="AH187" s="42" t="s">
        <v>916</v>
      </c>
      <c r="AI187" s="32" t="e">
        <f>VLOOKUP(A187,'4月明細'!B:B,1,0)</f>
        <v>#N/A</v>
      </c>
    </row>
    <row r="188" spans="1:35" ht="19.95" customHeight="1" x14ac:dyDescent="0.3">
      <c r="A188" s="33" t="s">
        <v>1498</v>
      </c>
      <c r="B188" s="34">
        <v>46132.421458333331</v>
      </c>
      <c r="C188" s="34" t="str">
        <f t="shared" si="2"/>
        <v>202604</v>
      </c>
      <c r="D188" s="35" t="s">
        <v>909</v>
      </c>
      <c r="E188" s="36" t="s">
        <v>910</v>
      </c>
      <c r="F188" s="36" t="s">
        <v>1123</v>
      </c>
      <c r="G188" s="37" t="s">
        <v>1499</v>
      </c>
      <c r="H188" s="36" t="s">
        <v>928</v>
      </c>
      <c r="I188" s="35"/>
      <c r="J188" s="36" t="s">
        <v>929</v>
      </c>
      <c r="K188" s="33" t="s">
        <v>916</v>
      </c>
      <c r="L188" s="35" t="s">
        <v>916</v>
      </c>
      <c r="M188" s="36" t="s">
        <v>917</v>
      </c>
      <c r="N188" s="45">
        <v>46135.854166666664</v>
      </c>
      <c r="O188" s="36" t="s">
        <v>918</v>
      </c>
      <c r="P188" s="38">
        <v>3.4327083332999999</v>
      </c>
      <c r="Q188" s="39" t="s">
        <v>958</v>
      </c>
      <c r="R188" s="35" t="s">
        <v>916</v>
      </c>
      <c r="S188" s="35"/>
      <c r="T188" s="35" t="s">
        <v>916</v>
      </c>
      <c r="U188" s="40">
        <v>46133</v>
      </c>
      <c r="V188" s="41">
        <v>46153.532685185186</v>
      </c>
      <c r="W188" s="40">
        <v>46132</v>
      </c>
      <c r="X188" s="35" t="s">
        <v>916</v>
      </c>
      <c r="Y188" s="35" t="s">
        <v>916</v>
      </c>
      <c r="Z188" s="35" t="s">
        <v>916</v>
      </c>
      <c r="AA188" s="38">
        <v>82.384999999200005</v>
      </c>
      <c r="AB188" s="42" t="s">
        <v>916</v>
      </c>
      <c r="AC188" s="43" t="s">
        <v>916</v>
      </c>
      <c r="AD188" s="43" t="s">
        <v>916</v>
      </c>
      <c r="AE188" s="33" t="s">
        <v>916</v>
      </c>
      <c r="AF188" s="35" t="s">
        <v>916</v>
      </c>
      <c r="AG188" s="44">
        <v>0</v>
      </c>
      <c r="AH188" s="42" t="s">
        <v>916</v>
      </c>
      <c r="AI188" s="32" t="e">
        <f>VLOOKUP(A188,'4月明細'!B:B,1,0)</f>
        <v>#N/A</v>
      </c>
    </row>
    <row r="189" spans="1:35" ht="19.95" customHeight="1" x14ac:dyDescent="0.3">
      <c r="A189" s="33" t="s">
        <v>1500</v>
      </c>
      <c r="B189" s="34">
        <v>46132.415567129632</v>
      </c>
      <c r="C189" s="34" t="str">
        <f t="shared" si="2"/>
        <v>202604</v>
      </c>
      <c r="D189" s="35" t="s">
        <v>1101</v>
      </c>
      <c r="E189" s="36" t="s">
        <v>1102</v>
      </c>
      <c r="F189" s="36" t="s">
        <v>1103</v>
      </c>
      <c r="G189" s="37" t="s">
        <v>1501</v>
      </c>
      <c r="H189" s="36" t="s">
        <v>913</v>
      </c>
      <c r="I189" s="35"/>
      <c r="J189" s="36" t="s">
        <v>1058</v>
      </c>
      <c r="K189" s="33" t="s">
        <v>916</v>
      </c>
      <c r="L189" s="35" t="s">
        <v>916</v>
      </c>
      <c r="M189" s="36" t="s">
        <v>916</v>
      </c>
      <c r="N189" s="36" t="s">
        <v>916</v>
      </c>
      <c r="O189" s="36" t="s">
        <v>939</v>
      </c>
      <c r="P189" s="38" t="s">
        <v>916</v>
      </c>
      <c r="Q189" s="36" t="s">
        <v>916</v>
      </c>
      <c r="R189" s="35" t="s">
        <v>916</v>
      </c>
      <c r="S189" s="35"/>
      <c r="T189" s="35" t="s">
        <v>916</v>
      </c>
      <c r="U189" s="40">
        <v>46133</v>
      </c>
      <c r="V189" s="41">
        <v>46153.532685185186</v>
      </c>
      <c r="W189" s="40">
        <v>46132</v>
      </c>
      <c r="X189" s="40">
        <v>46153</v>
      </c>
      <c r="Y189" s="41">
        <v>46153</v>
      </c>
      <c r="Z189" s="35" t="s">
        <v>916</v>
      </c>
      <c r="AA189" s="38">
        <v>0</v>
      </c>
      <c r="AB189" s="42" t="s">
        <v>916</v>
      </c>
      <c r="AC189" s="43" t="s">
        <v>916</v>
      </c>
      <c r="AD189" s="43" t="s">
        <v>916</v>
      </c>
      <c r="AE189" s="33" t="s">
        <v>916</v>
      </c>
      <c r="AF189" s="35" t="s">
        <v>916</v>
      </c>
      <c r="AG189" s="44">
        <v>0</v>
      </c>
      <c r="AH189" s="42" t="s">
        <v>916</v>
      </c>
      <c r="AI189" s="32" t="e">
        <f>VLOOKUP(A189,'4月明細'!B:B,1,0)</f>
        <v>#N/A</v>
      </c>
    </row>
    <row r="190" spans="1:35" ht="19.95" customHeight="1" x14ac:dyDescent="0.3">
      <c r="A190" s="33" t="s">
        <v>1502</v>
      </c>
      <c r="B190" s="34">
        <v>46132.381944444445</v>
      </c>
      <c r="C190" s="34" t="str">
        <f t="shared" si="2"/>
        <v>202604</v>
      </c>
      <c r="D190" s="35" t="s">
        <v>1101</v>
      </c>
      <c r="E190" s="36" t="s">
        <v>1102</v>
      </c>
      <c r="F190" s="36" t="s">
        <v>1103</v>
      </c>
      <c r="G190" s="37" t="s">
        <v>1503</v>
      </c>
      <c r="H190" s="36" t="s">
        <v>913</v>
      </c>
      <c r="I190" s="35"/>
      <c r="J190" s="36" t="s">
        <v>1058</v>
      </c>
      <c r="K190" s="33" t="s">
        <v>916</v>
      </c>
      <c r="L190" s="35" t="s">
        <v>916</v>
      </c>
      <c r="M190" s="36" t="s">
        <v>1135</v>
      </c>
      <c r="N190" s="36" t="s">
        <v>916</v>
      </c>
      <c r="O190" s="36" t="s">
        <v>1504</v>
      </c>
      <c r="P190" s="38" t="s">
        <v>916</v>
      </c>
      <c r="Q190" s="36" t="s">
        <v>916</v>
      </c>
      <c r="R190" s="35" t="s">
        <v>916</v>
      </c>
      <c r="S190" s="35"/>
      <c r="T190" s="35" t="s">
        <v>916</v>
      </c>
      <c r="U190" s="40">
        <v>46133</v>
      </c>
      <c r="V190" s="41">
        <v>46153.532685185186</v>
      </c>
      <c r="W190" s="40">
        <v>46132</v>
      </c>
      <c r="X190" s="35" t="s">
        <v>916</v>
      </c>
      <c r="Y190" s="35" t="s">
        <v>916</v>
      </c>
      <c r="Z190" s="35" t="s">
        <v>916</v>
      </c>
      <c r="AA190" s="38">
        <v>0</v>
      </c>
      <c r="AB190" s="42" t="s">
        <v>916</v>
      </c>
      <c r="AC190" s="43" t="s">
        <v>916</v>
      </c>
      <c r="AD190" s="43" t="s">
        <v>916</v>
      </c>
      <c r="AE190" s="33" t="s">
        <v>916</v>
      </c>
      <c r="AF190" s="35" t="s">
        <v>916</v>
      </c>
      <c r="AG190" s="44">
        <v>0</v>
      </c>
      <c r="AH190" s="42" t="s">
        <v>916</v>
      </c>
      <c r="AI190" s="32" t="e">
        <f>VLOOKUP(A190,'4月明細'!B:B,1,0)</f>
        <v>#N/A</v>
      </c>
    </row>
    <row r="191" spans="1:35" ht="19.95" customHeight="1" x14ac:dyDescent="0.3">
      <c r="A191" s="33" t="s">
        <v>1505</v>
      </c>
      <c r="B191" s="34">
        <v>46131.950277777774</v>
      </c>
      <c r="C191" s="34" t="str">
        <f t="shared" si="2"/>
        <v>202604</v>
      </c>
      <c r="D191" s="35" t="s">
        <v>1506</v>
      </c>
      <c r="E191" s="36" t="s">
        <v>942</v>
      </c>
      <c r="F191" s="36" t="s">
        <v>1507</v>
      </c>
      <c r="G191" s="37" t="s">
        <v>1508</v>
      </c>
      <c r="H191" s="36" t="s">
        <v>913</v>
      </c>
      <c r="I191" s="35"/>
      <c r="J191" s="36" t="s">
        <v>1058</v>
      </c>
      <c r="K191" s="33" t="s">
        <v>916</v>
      </c>
      <c r="L191" s="35" t="s">
        <v>916</v>
      </c>
      <c r="M191" s="36" t="s">
        <v>916</v>
      </c>
      <c r="N191" s="36" t="s">
        <v>916</v>
      </c>
      <c r="O191" s="36" t="s">
        <v>939</v>
      </c>
      <c r="P191" s="38" t="s">
        <v>916</v>
      </c>
      <c r="Q191" s="36" t="s">
        <v>916</v>
      </c>
      <c r="R191" s="35" t="s">
        <v>916</v>
      </c>
      <c r="S191" s="35"/>
      <c r="T191" s="35" t="s">
        <v>916</v>
      </c>
      <c r="U191" s="40">
        <v>46132</v>
      </c>
      <c r="V191" s="41">
        <v>46153.532696759263</v>
      </c>
      <c r="W191" s="40">
        <v>46132</v>
      </c>
      <c r="X191" s="40">
        <v>46153</v>
      </c>
      <c r="Y191" s="41">
        <v>46153</v>
      </c>
      <c r="Z191" s="35" t="s">
        <v>916</v>
      </c>
      <c r="AA191" s="38">
        <v>0</v>
      </c>
      <c r="AB191" s="42" t="s">
        <v>916</v>
      </c>
      <c r="AC191" s="43" t="s">
        <v>916</v>
      </c>
      <c r="AD191" s="43" t="s">
        <v>916</v>
      </c>
      <c r="AE191" s="33" t="s">
        <v>916</v>
      </c>
      <c r="AF191" s="35" t="s">
        <v>916</v>
      </c>
      <c r="AG191" s="44">
        <v>0</v>
      </c>
      <c r="AH191" s="42" t="s">
        <v>916</v>
      </c>
      <c r="AI191" s="32" t="e">
        <f>VLOOKUP(A191,'4月明細'!B:B,1,0)</f>
        <v>#N/A</v>
      </c>
    </row>
    <row r="192" spans="1:35" ht="19.95" customHeight="1" x14ac:dyDescent="0.3">
      <c r="A192" s="33" t="s">
        <v>1509</v>
      </c>
      <c r="B192" s="34">
        <v>46131.949687499997</v>
      </c>
      <c r="C192" s="34" t="str">
        <f t="shared" si="2"/>
        <v>202604</v>
      </c>
      <c r="D192" s="35" t="s">
        <v>1510</v>
      </c>
      <c r="E192" s="36" t="s">
        <v>942</v>
      </c>
      <c r="F192" s="36" t="s">
        <v>1511</v>
      </c>
      <c r="G192" s="37" t="s">
        <v>1512</v>
      </c>
      <c r="H192" s="36" t="s">
        <v>913</v>
      </c>
      <c r="I192" s="35"/>
      <c r="J192" s="36" t="s">
        <v>938</v>
      </c>
      <c r="K192" s="33" t="s">
        <v>916</v>
      </c>
      <c r="L192" s="35" t="s">
        <v>916</v>
      </c>
      <c r="M192" s="36" t="s">
        <v>916</v>
      </c>
      <c r="N192" s="36" t="s">
        <v>916</v>
      </c>
      <c r="O192" s="36" t="s">
        <v>939</v>
      </c>
      <c r="P192" s="38" t="s">
        <v>916</v>
      </c>
      <c r="Q192" s="36" t="s">
        <v>916</v>
      </c>
      <c r="R192" s="35" t="s">
        <v>916</v>
      </c>
      <c r="S192" s="35"/>
      <c r="T192" s="35" t="s">
        <v>916</v>
      </c>
      <c r="U192" s="40">
        <v>46132</v>
      </c>
      <c r="V192" s="41">
        <v>46153.532696759263</v>
      </c>
      <c r="W192" s="40">
        <v>46132</v>
      </c>
      <c r="X192" s="40">
        <v>46153</v>
      </c>
      <c r="Y192" s="35" t="s">
        <v>916</v>
      </c>
      <c r="Z192" s="35" t="s">
        <v>916</v>
      </c>
      <c r="AA192" s="38">
        <v>0</v>
      </c>
      <c r="AB192" s="42" t="s">
        <v>916</v>
      </c>
      <c r="AC192" s="43" t="s">
        <v>916</v>
      </c>
      <c r="AD192" s="43" t="s">
        <v>916</v>
      </c>
      <c r="AE192" s="33" t="s">
        <v>916</v>
      </c>
      <c r="AF192" s="35" t="s">
        <v>916</v>
      </c>
      <c r="AG192" s="44">
        <v>0</v>
      </c>
      <c r="AH192" s="42" t="s">
        <v>916</v>
      </c>
      <c r="AI192" s="32" t="e">
        <f>VLOOKUP(A192,'4月明細'!B:B,1,0)</f>
        <v>#N/A</v>
      </c>
    </row>
    <row r="193" spans="1:37" ht="19.95" customHeight="1" x14ac:dyDescent="0.3">
      <c r="A193" s="33" t="s">
        <v>790</v>
      </c>
      <c r="B193" s="34">
        <v>46131.645462962966</v>
      </c>
      <c r="C193" s="34" t="str">
        <f t="shared" si="2"/>
        <v>202604</v>
      </c>
      <c r="D193" s="35" t="s">
        <v>986</v>
      </c>
      <c r="E193" s="36" t="s">
        <v>910</v>
      </c>
      <c r="F193" s="36" t="s">
        <v>997</v>
      </c>
      <c r="G193" s="37" t="s">
        <v>1513</v>
      </c>
      <c r="H193" s="36" t="s">
        <v>954</v>
      </c>
      <c r="I193" s="35"/>
      <c r="J193" s="36" t="s">
        <v>929</v>
      </c>
      <c r="K193" s="33" t="s">
        <v>916</v>
      </c>
      <c r="L193" s="35" t="s">
        <v>916</v>
      </c>
      <c r="M193" s="36" t="s">
        <v>957</v>
      </c>
      <c r="N193" s="45">
        <v>46131.822916666664</v>
      </c>
      <c r="O193" s="36" t="s">
        <v>25</v>
      </c>
      <c r="P193" s="38">
        <v>0.17745370369999999</v>
      </c>
      <c r="Q193" s="39" t="s">
        <v>994</v>
      </c>
      <c r="R193" s="35" t="s">
        <v>916</v>
      </c>
      <c r="S193" s="35"/>
      <c r="T193" s="35" t="s">
        <v>916</v>
      </c>
      <c r="U193" s="40">
        <v>46132</v>
      </c>
      <c r="V193" s="41">
        <v>46153.532696759263</v>
      </c>
      <c r="W193" s="40">
        <v>46131</v>
      </c>
      <c r="X193" s="35" t="s">
        <v>916</v>
      </c>
      <c r="Y193" s="35" t="s">
        <v>916</v>
      </c>
      <c r="Z193" s="35" t="s">
        <v>916</v>
      </c>
      <c r="AA193" s="38">
        <v>4.2588888887999996</v>
      </c>
      <c r="AB193" s="42" t="s">
        <v>916</v>
      </c>
      <c r="AC193" s="43" t="s">
        <v>916</v>
      </c>
      <c r="AD193" s="43" t="s">
        <v>916</v>
      </c>
      <c r="AE193" s="33" t="s">
        <v>916</v>
      </c>
      <c r="AF193" s="35" t="s">
        <v>916</v>
      </c>
      <c r="AG193" s="44">
        <v>0</v>
      </c>
      <c r="AH193" s="42" t="s">
        <v>916</v>
      </c>
      <c r="AI193" s="32" t="str">
        <f>VLOOKUP(A193,'4月明細'!B:B,1,0)</f>
        <v>In202604-013</v>
      </c>
      <c r="AJ193" s="32">
        <f>VLOOKUP(A193,'4月明細'!B:I,8,0)</f>
        <v>0.18</v>
      </c>
      <c r="AK193" s="47">
        <f t="shared" ref="AK193:AK195" si="7">AJ193-P193</f>
        <v>2.5462963000000005E-3</v>
      </c>
    </row>
    <row r="194" spans="1:37" ht="19.95" customHeight="1" x14ac:dyDescent="0.3">
      <c r="A194" s="33" t="s">
        <v>789</v>
      </c>
      <c r="B194" s="34">
        <v>46131.54451388889</v>
      </c>
      <c r="C194" s="34" t="str">
        <f t="shared" si="2"/>
        <v>202604</v>
      </c>
      <c r="D194" s="35" t="s">
        <v>986</v>
      </c>
      <c r="E194" s="36" t="s">
        <v>910</v>
      </c>
      <c r="F194" s="36" t="s">
        <v>961</v>
      </c>
      <c r="G194" s="37" t="s">
        <v>1513</v>
      </c>
      <c r="H194" s="36" t="s">
        <v>954</v>
      </c>
      <c r="I194" s="35"/>
      <c r="J194" s="36" t="s">
        <v>929</v>
      </c>
      <c r="K194" s="33" t="s">
        <v>916</v>
      </c>
      <c r="L194" s="35" t="s">
        <v>916</v>
      </c>
      <c r="M194" s="36" t="s">
        <v>957</v>
      </c>
      <c r="N194" s="45">
        <v>46131.822222222225</v>
      </c>
      <c r="O194" s="36" t="s">
        <v>25</v>
      </c>
      <c r="P194" s="38">
        <v>0.2777083333</v>
      </c>
      <c r="Q194" s="39" t="s">
        <v>994</v>
      </c>
      <c r="R194" s="35" t="s">
        <v>916</v>
      </c>
      <c r="S194" s="35"/>
      <c r="T194" s="35" t="s">
        <v>916</v>
      </c>
      <c r="U194" s="40">
        <v>46132</v>
      </c>
      <c r="V194" s="41">
        <v>46153.532696759263</v>
      </c>
      <c r="W194" s="40">
        <v>46131</v>
      </c>
      <c r="X194" s="35" t="s">
        <v>916</v>
      </c>
      <c r="Y194" s="35" t="s">
        <v>916</v>
      </c>
      <c r="Z194" s="35" t="s">
        <v>916</v>
      </c>
      <c r="AA194" s="38">
        <v>6.6649999992</v>
      </c>
      <c r="AB194" s="42" t="s">
        <v>916</v>
      </c>
      <c r="AC194" s="43" t="s">
        <v>916</v>
      </c>
      <c r="AD194" s="43" t="s">
        <v>916</v>
      </c>
      <c r="AE194" s="33" t="s">
        <v>916</v>
      </c>
      <c r="AF194" s="35" t="s">
        <v>916</v>
      </c>
      <c r="AG194" s="44">
        <v>0</v>
      </c>
      <c r="AH194" s="42" t="s">
        <v>916</v>
      </c>
      <c r="AI194" s="32" t="str">
        <f>VLOOKUP(A194,'4月明細'!B:B,1,0)</f>
        <v>In202604-012</v>
      </c>
      <c r="AJ194" s="32">
        <f>VLOOKUP(A194,'4月明細'!B:I,8,0)</f>
        <v>0.28000000000000003</v>
      </c>
      <c r="AK194" s="47">
        <f t="shared" si="7"/>
        <v>2.2916667000000279E-3</v>
      </c>
    </row>
    <row r="195" spans="1:37" ht="19.95" customHeight="1" x14ac:dyDescent="0.3">
      <c r="A195" s="33" t="s">
        <v>788</v>
      </c>
      <c r="B195" s="34">
        <v>46129.69903935185</v>
      </c>
      <c r="C195" s="34" t="str">
        <f t="shared" ref="C195:C258" si="8">TEXT(B195,"YYYYMM")</f>
        <v>202604</v>
      </c>
      <c r="D195" s="35" t="s">
        <v>986</v>
      </c>
      <c r="E195" s="36" t="s">
        <v>910</v>
      </c>
      <c r="F195" s="36" t="s">
        <v>1397</v>
      </c>
      <c r="G195" s="37" t="s">
        <v>1514</v>
      </c>
      <c r="H195" s="36" t="s">
        <v>928</v>
      </c>
      <c r="I195" s="35" t="s">
        <v>1515</v>
      </c>
      <c r="J195" s="36" t="s">
        <v>929</v>
      </c>
      <c r="K195" s="33" t="s">
        <v>916</v>
      </c>
      <c r="L195" s="35" t="s">
        <v>916</v>
      </c>
      <c r="M195" s="36" t="s">
        <v>923</v>
      </c>
      <c r="N195" s="45">
        <v>46129.886805555558</v>
      </c>
      <c r="O195" s="36" t="s">
        <v>25</v>
      </c>
      <c r="P195" s="38">
        <v>0.1877662037</v>
      </c>
      <c r="Q195" s="39" t="s">
        <v>984</v>
      </c>
      <c r="R195" s="35" t="s">
        <v>916</v>
      </c>
      <c r="S195" s="35"/>
      <c r="T195" s="35" t="s">
        <v>916</v>
      </c>
      <c r="U195" s="40">
        <v>46130</v>
      </c>
      <c r="V195" s="41">
        <v>46153.532696759263</v>
      </c>
      <c r="W195" s="40">
        <v>46129</v>
      </c>
      <c r="X195" s="35" t="s">
        <v>916</v>
      </c>
      <c r="Y195" s="35" t="s">
        <v>916</v>
      </c>
      <c r="Z195" s="35" t="s">
        <v>916</v>
      </c>
      <c r="AA195" s="38">
        <v>4.5063888888000001</v>
      </c>
      <c r="AB195" s="42" t="s">
        <v>916</v>
      </c>
      <c r="AC195" s="43" t="s">
        <v>916</v>
      </c>
      <c r="AD195" s="43" t="s">
        <v>916</v>
      </c>
      <c r="AE195" s="33" t="s">
        <v>916</v>
      </c>
      <c r="AF195" s="35" t="s">
        <v>916</v>
      </c>
      <c r="AG195" s="44">
        <v>0</v>
      </c>
      <c r="AH195" s="42" t="s">
        <v>916</v>
      </c>
      <c r="AI195" s="32" t="str">
        <f>VLOOKUP(A195,'4月明細'!B:B,1,0)</f>
        <v>In202604-011</v>
      </c>
      <c r="AJ195" s="32">
        <f>VLOOKUP(A195,'4月明細'!B:I,8,0)</f>
        <v>0.19</v>
      </c>
      <c r="AK195" s="47">
        <f t="shared" si="7"/>
        <v>2.2337963000000072E-3</v>
      </c>
    </row>
    <row r="196" spans="1:37" ht="19.95" customHeight="1" x14ac:dyDescent="0.3">
      <c r="A196" s="33" t="s">
        <v>1516</v>
      </c>
      <c r="B196" s="34">
        <v>46129.671527777777</v>
      </c>
      <c r="C196" s="34" t="str">
        <f t="shared" si="8"/>
        <v>202604</v>
      </c>
      <c r="D196" s="35" t="s">
        <v>941</v>
      </c>
      <c r="E196" s="36" t="s">
        <v>1199</v>
      </c>
      <c r="F196" s="36" t="s">
        <v>1517</v>
      </c>
      <c r="G196" s="37" t="s">
        <v>1518</v>
      </c>
      <c r="H196" s="36" t="s">
        <v>928</v>
      </c>
      <c r="I196" s="35"/>
      <c r="J196" s="36" t="s">
        <v>1058</v>
      </c>
      <c r="K196" s="33" t="s">
        <v>916</v>
      </c>
      <c r="L196" s="35" t="s">
        <v>916</v>
      </c>
      <c r="M196" s="36" t="s">
        <v>916</v>
      </c>
      <c r="N196" s="36" t="s">
        <v>916</v>
      </c>
      <c r="O196" s="36" t="s">
        <v>939</v>
      </c>
      <c r="P196" s="38" t="s">
        <v>916</v>
      </c>
      <c r="Q196" s="36" t="s">
        <v>916</v>
      </c>
      <c r="R196" s="35" t="s">
        <v>916</v>
      </c>
      <c r="S196" s="35"/>
      <c r="T196" s="35" t="s">
        <v>916</v>
      </c>
      <c r="U196" s="40">
        <v>46130</v>
      </c>
      <c r="V196" s="41">
        <v>46153.532696759263</v>
      </c>
      <c r="W196" s="40">
        <v>46129</v>
      </c>
      <c r="X196" s="40">
        <v>46153</v>
      </c>
      <c r="Y196" s="41">
        <v>46153</v>
      </c>
      <c r="Z196" s="35" t="s">
        <v>916</v>
      </c>
      <c r="AA196" s="38">
        <v>0</v>
      </c>
      <c r="AB196" s="42" t="s">
        <v>916</v>
      </c>
      <c r="AC196" s="43" t="s">
        <v>916</v>
      </c>
      <c r="AD196" s="43" t="s">
        <v>916</v>
      </c>
      <c r="AE196" s="33" t="s">
        <v>916</v>
      </c>
      <c r="AF196" s="35" t="s">
        <v>916</v>
      </c>
      <c r="AG196" s="44">
        <v>0</v>
      </c>
      <c r="AH196" s="42" t="s">
        <v>916</v>
      </c>
      <c r="AI196" s="32" t="e">
        <f>VLOOKUP(A196,'4月明細'!B:B,1,0)</f>
        <v>#N/A</v>
      </c>
    </row>
    <row r="197" spans="1:37" ht="19.95" customHeight="1" x14ac:dyDescent="0.3">
      <c r="A197" s="33" t="s">
        <v>787</v>
      </c>
      <c r="B197" s="34">
        <v>46129.674456018518</v>
      </c>
      <c r="C197" s="34" t="str">
        <f t="shared" si="8"/>
        <v>202604</v>
      </c>
      <c r="D197" s="35" t="s">
        <v>996</v>
      </c>
      <c r="E197" s="36" t="s">
        <v>910</v>
      </c>
      <c r="F197" s="36" t="s">
        <v>1021</v>
      </c>
      <c r="G197" s="37" t="s">
        <v>1519</v>
      </c>
      <c r="H197" s="36" t="s">
        <v>954</v>
      </c>
      <c r="I197" s="35"/>
      <c r="J197" s="36" t="s">
        <v>929</v>
      </c>
      <c r="K197" s="33" t="s">
        <v>916</v>
      </c>
      <c r="L197" s="35" t="s">
        <v>916</v>
      </c>
      <c r="M197" s="36" t="s">
        <v>923</v>
      </c>
      <c r="N197" s="45">
        <v>46129.886805555558</v>
      </c>
      <c r="O197" s="36" t="s">
        <v>25</v>
      </c>
      <c r="P197" s="38">
        <v>0.212349537</v>
      </c>
      <c r="Q197" s="39" t="s">
        <v>1087</v>
      </c>
      <c r="R197" s="35" t="s">
        <v>916</v>
      </c>
      <c r="S197" s="35"/>
      <c r="T197" s="35" t="s">
        <v>916</v>
      </c>
      <c r="U197" s="40">
        <v>46130</v>
      </c>
      <c r="V197" s="41">
        <v>46153.532696759263</v>
      </c>
      <c r="W197" s="40">
        <v>46129</v>
      </c>
      <c r="X197" s="35" t="s">
        <v>916</v>
      </c>
      <c r="Y197" s="35" t="s">
        <v>916</v>
      </c>
      <c r="Z197" s="35" t="s">
        <v>916</v>
      </c>
      <c r="AA197" s="38">
        <v>5.0963888879999999</v>
      </c>
      <c r="AB197" s="42" t="s">
        <v>916</v>
      </c>
      <c r="AC197" s="43" t="s">
        <v>916</v>
      </c>
      <c r="AD197" s="43" t="s">
        <v>916</v>
      </c>
      <c r="AE197" s="33" t="s">
        <v>916</v>
      </c>
      <c r="AF197" s="35" t="s">
        <v>916</v>
      </c>
      <c r="AG197" s="44">
        <v>0</v>
      </c>
      <c r="AH197" s="42" t="s">
        <v>916</v>
      </c>
      <c r="AI197" s="32" t="str">
        <f>VLOOKUP(A197,'4月明細'!B:B,1,0)</f>
        <v>In202604-009</v>
      </c>
      <c r="AJ197" s="32">
        <f>VLOOKUP(A197,'4月明細'!B:I,8,0)</f>
        <v>0.21</v>
      </c>
      <c r="AK197" s="47">
        <f t="shared" ref="AK197:AK206" si="9">AJ197-P197</f>
        <v>-2.3495370000000126E-3</v>
      </c>
    </row>
    <row r="198" spans="1:37" ht="19.95" customHeight="1" x14ac:dyDescent="0.3">
      <c r="A198" s="33" t="s">
        <v>786</v>
      </c>
      <c r="B198" s="34">
        <v>46129.622337962966</v>
      </c>
      <c r="C198" s="34" t="str">
        <f t="shared" si="8"/>
        <v>202604</v>
      </c>
      <c r="D198" s="35" t="s">
        <v>996</v>
      </c>
      <c r="E198" s="36" t="s">
        <v>910</v>
      </c>
      <c r="F198" s="36" t="s">
        <v>1183</v>
      </c>
      <c r="G198" s="37" t="s">
        <v>1520</v>
      </c>
      <c r="H198" s="36" t="s">
        <v>954</v>
      </c>
      <c r="I198" s="35"/>
      <c r="J198" s="36" t="s">
        <v>929</v>
      </c>
      <c r="K198" s="33" t="s">
        <v>916</v>
      </c>
      <c r="L198" s="35" t="s">
        <v>916</v>
      </c>
      <c r="M198" s="36" t="s">
        <v>917</v>
      </c>
      <c r="N198" s="45">
        <v>46129.887499999997</v>
      </c>
      <c r="O198" s="36" t="s">
        <v>25</v>
      </c>
      <c r="P198" s="38">
        <v>0.26516203700000002</v>
      </c>
      <c r="Q198" s="39" t="s">
        <v>984</v>
      </c>
      <c r="R198" s="35" t="s">
        <v>916</v>
      </c>
      <c r="S198" s="35"/>
      <c r="T198" s="35" t="s">
        <v>916</v>
      </c>
      <c r="U198" s="40">
        <v>46130</v>
      </c>
      <c r="V198" s="41">
        <v>46153.532696759263</v>
      </c>
      <c r="W198" s="40">
        <v>46129</v>
      </c>
      <c r="X198" s="35" t="s">
        <v>916</v>
      </c>
      <c r="Y198" s="35" t="s">
        <v>916</v>
      </c>
      <c r="Z198" s="35" t="s">
        <v>916</v>
      </c>
      <c r="AA198" s="38">
        <v>6.363888888</v>
      </c>
      <c r="AB198" s="42" t="s">
        <v>916</v>
      </c>
      <c r="AC198" s="43" t="s">
        <v>916</v>
      </c>
      <c r="AD198" s="43" t="s">
        <v>916</v>
      </c>
      <c r="AE198" s="33" t="s">
        <v>916</v>
      </c>
      <c r="AF198" s="35" t="s">
        <v>916</v>
      </c>
      <c r="AG198" s="44">
        <v>0</v>
      </c>
      <c r="AH198" s="42" t="s">
        <v>916</v>
      </c>
      <c r="AI198" s="32" t="str">
        <f>VLOOKUP(A198,'4月明細'!B:B,1,0)</f>
        <v>In202604-008</v>
      </c>
      <c r="AJ198" s="32">
        <f>VLOOKUP(A198,'4月明細'!B:I,8,0)</f>
        <v>0.27</v>
      </c>
      <c r="AK198" s="47">
        <f t="shared" si="9"/>
        <v>4.8379630000000007E-3</v>
      </c>
    </row>
    <row r="199" spans="1:37" ht="19.95" customHeight="1" x14ac:dyDescent="0.3">
      <c r="A199" s="33" t="s">
        <v>785</v>
      </c>
      <c r="B199" s="34">
        <v>46129.579733796294</v>
      </c>
      <c r="C199" s="34" t="str">
        <f t="shared" si="8"/>
        <v>202604</v>
      </c>
      <c r="D199" s="35" t="s">
        <v>996</v>
      </c>
      <c r="E199" s="36" t="s">
        <v>910</v>
      </c>
      <c r="F199" s="36" t="s">
        <v>1521</v>
      </c>
      <c r="G199" s="37" t="s">
        <v>1522</v>
      </c>
      <c r="H199" s="36" t="s">
        <v>928</v>
      </c>
      <c r="I199" s="35"/>
      <c r="J199" s="36" t="s">
        <v>914</v>
      </c>
      <c r="K199" s="33" t="s">
        <v>916</v>
      </c>
      <c r="L199" s="35" t="s">
        <v>916</v>
      </c>
      <c r="M199" s="36" t="s">
        <v>917</v>
      </c>
      <c r="N199" s="45">
        <v>46129.887499999997</v>
      </c>
      <c r="O199" s="36" t="s">
        <v>25</v>
      </c>
      <c r="P199" s="38">
        <v>0.30776620370000002</v>
      </c>
      <c r="Q199" s="39" t="s">
        <v>1422</v>
      </c>
      <c r="R199" s="35" t="s">
        <v>916</v>
      </c>
      <c r="S199" s="35"/>
      <c r="T199" s="35" t="s">
        <v>916</v>
      </c>
      <c r="U199" s="40">
        <v>46130</v>
      </c>
      <c r="V199" s="41">
        <v>46153.532696759263</v>
      </c>
      <c r="W199" s="40">
        <v>46129</v>
      </c>
      <c r="X199" s="35" t="s">
        <v>916</v>
      </c>
      <c r="Y199" s="35" t="s">
        <v>916</v>
      </c>
      <c r="Z199" s="35" t="s">
        <v>916</v>
      </c>
      <c r="AA199" s="38">
        <v>7.3863888888</v>
      </c>
      <c r="AB199" s="42" t="s">
        <v>916</v>
      </c>
      <c r="AC199" s="43" t="s">
        <v>916</v>
      </c>
      <c r="AD199" s="43" t="s">
        <v>916</v>
      </c>
      <c r="AE199" s="33" t="s">
        <v>916</v>
      </c>
      <c r="AF199" s="35" t="s">
        <v>916</v>
      </c>
      <c r="AG199" s="44">
        <v>0</v>
      </c>
      <c r="AH199" s="42" t="s">
        <v>916</v>
      </c>
      <c r="AI199" s="32" t="str">
        <f>VLOOKUP(A199,'4月明細'!B:B,1,0)</f>
        <v>In202604-007</v>
      </c>
      <c r="AJ199" s="32">
        <f>VLOOKUP(A199,'4月明細'!B:I,8,0)</f>
        <v>0.31</v>
      </c>
      <c r="AK199" s="47">
        <f t="shared" si="9"/>
        <v>2.2337962999999794E-3</v>
      </c>
    </row>
    <row r="200" spans="1:37" ht="19.95" customHeight="1" x14ac:dyDescent="0.3">
      <c r="A200" s="33" t="s">
        <v>784</v>
      </c>
      <c r="B200" s="34">
        <v>46129.561550925922</v>
      </c>
      <c r="C200" s="34" t="str">
        <f t="shared" si="8"/>
        <v>202604</v>
      </c>
      <c r="D200" s="35" t="s">
        <v>951</v>
      </c>
      <c r="E200" s="36" t="s">
        <v>910</v>
      </c>
      <c r="F200" s="36" t="s">
        <v>981</v>
      </c>
      <c r="G200" s="37" t="s">
        <v>1523</v>
      </c>
      <c r="H200" s="36" t="s">
        <v>954</v>
      </c>
      <c r="I200" s="35" t="s">
        <v>1524</v>
      </c>
      <c r="J200" s="36" t="s">
        <v>914</v>
      </c>
      <c r="K200" s="33" t="s">
        <v>916</v>
      </c>
      <c r="L200" s="35" t="s">
        <v>916</v>
      </c>
      <c r="M200" s="36" t="s">
        <v>917</v>
      </c>
      <c r="N200" s="45">
        <v>46129.887499999997</v>
      </c>
      <c r="O200" s="36" t="s">
        <v>25</v>
      </c>
      <c r="P200" s="38">
        <v>0.32594907410000001</v>
      </c>
      <c r="Q200" s="39" t="s">
        <v>1174</v>
      </c>
      <c r="R200" s="35" t="s">
        <v>916</v>
      </c>
      <c r="S200" s="35"/>
      <c r="T200" s="35" t="s">
        <v>916</v>
      </c>
      <c r="U200" s="40">
        <v>46130</v>
      </c>
      <c r="V200" s="41">
        <v>46153.532696759263</v>
      </c>
      <c r="W200" s="40">
        <v>46129</v>
      </c>
      <c r="X200" s="35" t="s">
        <v>916</v>
      </c>
      <c r="Y200" s="35" t="s">
        <v>916</v>
      </c>
      <c r="Z200" s="35" t="s">
        <v>916</v>
      </c>
      <c r="AA200" s="38">
        <v>7.8227777783999999</v>
      </c>
      <c r="AB200" s="42" t="s">
        <v>916</v>
      </c>
      <c r="AC200" s="43" t="s">
        <v>916</v>
      </c>
      <c r="AD200" s="43" t="s">
        <v>916</v>
      </c>
      <c r="AE200" s="33" t="s">
        <v>916</v>
      </c>
      <c r="AF200" s="35" t="s">
        <v>916</v>
      </c>
      <c r="AG200" s="44">
        <v>0</v>
      </c>
      <c r="AH200" s="42" t="s">
        <v>916</v>
      </c>
      <c r="AI200" s="32" t="str">
        <f>VLOOKUP(A200,'4月明細'!B:B,1,0)</f>
        <v>In202604-006</v>
      </c>
      <c r="AJ200" s="32">
        <f>VLOOKUP(A200,'4月明細'!B:I,8,0)</f>
        <v>0.33</v>
      </c>
      <c r="AK200" s="47">
        <f t="shared" si="9"/>
        <v>4.050925900000002E-3</v>
      </c>
    </row>
    <row r="201" spans="1:37" ht="19.95" customHeight="1" x14ac:dyDescent="0.3">
      <c r="A201" s="33" t="s">
        <v>782</v>
      </c>
      <c r="B201" s="34">
        <v>46129.547546296293</v>
      </c>
      <c r="C201" s="34" t="str">
        <f t="shared" si="8"/>
        <v>202604</v>
      </c>
      <c r="D201" s="35" t="s">
        <v>996</v>
      </c>
      <c r="E201" s="36" t="s">
        <v>910</v>
      </c>
      <c r="F201" s="36" t="s">
        <v>1521</v>
      </c>
      <c r="G201" s="37" t="s">
        <v>1525</v>
      </c>
      <c r="H201" s="36" t="s">
        <v>1114</v>
      </c>
      <c r="I201" s="35" t="s">
        <v>1526</v>
      </c>
      <c r="J201" s="36" t="s">
        <v>914</v>
      </c>
      <c r="K201" s="33" t="s">
        <v>916</v>
      </c>
      <c r="L201" s="35" t="s">
        <v>916</v>
      </c>
      <c r="M201" s="36" t="s">
        <v>923</v>
      </c>
      <c r="N201" s="45">
        <v>46129.888888888891</v>
      </c>
      <c r="O201" s="36" t="s">
        <v>25</v>
      </c>
      <c r="P201" s="38">
        <v>0.34134259259999999</v>
      </c>
      <c r="Q201" s="39" t="s">
        <v>1071</v>
      </c>
      <c r="R201" s="35" t="s">
        <v>916</v>
      </c>
      <c r="S201" s="35"/>
      <c r="T201" s="35" t="s">
        <v>916</v>
      </c>
      <c r="U201" s="40">
        <v>46130</v>
      </c>
      <c r="V201" s="41">
        <v>46153.532696759263</v>
      </c>
      <c r="W201" s="40">
        <v>46129</v>
      </c>
      <c r="X201" s="35" t="s">
        <v>916</v>
      </c>
      <c r="Y201" s="35" t="s">
        <v>916</v>
      </c>
      <c r="Z201" s="35" t="s">
        <v>916</v>
      </c>
      <c r="AA201" s="38">
        <v>8.1922222223999999</v>
      </c>
      <c r="AB201" s="42" t="s">
        <v>916</v>
      </c>
      <c r="AC201" s="43" t="s">
        <v>916</v>
      </c>
      <c r="AD201" s="43" t="s">
        <v>916</v>
      </c>
      <c r="AE201" s="33" t="s">
        <v>916</v>
      </c>
      <c r="AF201" s="35" t="s">
        <v>916</v>
      </c>
      <c r="AG201" s="44">
        <v>0</v>
      </c>
      <c r="AH201" s="42" t="s">
        <v>916</v>
      </c>
      <c r="AI201" s="32" t="str">
        <f>VLOOKUP(A201,'4月明細'!B:B,1,0)</f>
        <v>In202604-005</v>
      </c>
      <c r="AJ201" s="32">
        <f>VLOOKUP(A201,'4月明細'!B:I,8,0)</f>
        <v>0.34</v>
      </c>
      <c r="AK201" s="47">
        <f t="shared" si="9"/>
        <v>-1.3425925999999699E-3</v>
      </c>
    </row>
    <row r="202" spans="1:37" ht="19.95" customHeight="1" x14ac:dyDescent="0.3">
      <c r="A202" s="33" t="s">
        <v>783</v>
      </c>
      <c r="B202" s="34">
        <v>46129.548148148147</v>
      </c>
      <c r="C202" s="34" t="str">
        <f t="shared" si="8"/>
        <v>202604</v>
      </c>
      <c r="D202" s="35" t="s">
        <v>951</v>
      </c>
      <c r="E202" s="36" t="s">
        <v>910</v>
      </c>
      <c r="F202" s="36" t="s">
        <v>981</v>
      </c>
      <c r="G202" s="37" t="s">
        <v>1527</v>
      </c>
      <c r="H202" s="36" t="s">
        <v>928</v>
      </c>
      <c r="I202" s="35" t="s">
        <v>1528</v>
      </c>
      <c r="J202" s="36" t="s">
        <v>914</v>
      </c>
      <c r="K202" s="33" t="s">
        <v>916</v>
      </c>
      <c r="L202" s="35" t="s">
        <v>916</v>
      </c>
      <c r="M202" s="36" t="s">
        <v>917</v>
      </c>
      <c r="N202" s="45">
        <v>46129.88958333333</v>
      </c>
      <c r="O202" s="36" t="s">
        <v>25</v>
      </c>
      <c r="P202" s="38">
        <v>0.34143518519999999</v>
      </c>
      <c r="Q202" s="39" t="s">
        <v>1422</v>
      </c>
      <c r="R202" s="35" t="s">
        <v>916</v>
      </c>
      <c r="S202" s="35"/>
      <c r="T202" s="35" t="s">
        <v>916</v>
      </c>
      <c r="U202" s="40">
        <v>46130</v>
      </c>
      <c r="V202" s="41">
        <v>46153.532696759263</v>
      </c>
      <c r="W202" s="40">
        <v>46129</v>
      </c>
      <c r="X202" s="35" t="s">
        <v>916</v>
      </c>
      <c r="Y202" s="35" t="s">
        <v>916</v>
      </c>
      <c r="Z202" s="35" t="s">
        <v>916</v>
      </c>
      <c r="AA202" s="38">
        <v>8.1944444448000002</v>
      </c>
      <c r="AB202" s="42" t="s">
        <v>916</v>
      </c>
      <c r="AC202" s="43" t="s">
        <v>916</v>
      </c>
      <c r="AD202" s="43" t="s">
        <v>916</v>
      </c>
      <c r="AE202" s="33" t="s">
        <v>916</v>
      </c>
      <c r="AF202" s="35" t="s">
        <v>916</v>
      </c>
      <c r="AG202" s="44">
        <v>0</v>
      </c>
      <c r="AH202" s="42" t="s">
        <v>916</v>
      </c>
      <c r="AI202" s="32" t="str">
        <f>VLOOKUP(A202,'4月明細'!B:B,1,0)</f>
        <v>In202604-004</v>
      </c>
      <c r="AJ202" s="32">
        <f>VLOOKUP(A202,'4月明細'!B:I,8,0)</f>
        <v>0.34</v>
      </c>
      <c r="AK202" s="47">
        <f t="shared" si="9"/>
        <v>-1.4351851999999665E-3</v>
      </c>
    </row>
    <row r="203" spans="1:37" ht="19.95" customHeight="1" x14ac:dyDescent="0.3">
      <c r="A203" s="33" t="s">
        <v>781</v>
      </c>
      <c r="B203" s="34">
        <v>46129.54724537037</v>
      </c>
      <c r="C203" s="34" t="str">
        <f t="shared" si="8"/>
        <v>202604</v>
      </c>
      <c r="D203" s="35" t="s">
        <v>951</v>
      </c>
      <c r="E203" s="36" t="s">
        <v>910</v>
      </c>
      <c r="F203" s="36" t="s">
        <v>981</v>
      </c>
      <c r="G203" s="37" t="s">
        <v>1529</v>
      </c>
      <c r="H203" s="36" t="s">
        <v>928</v>
      </c>
      <c r="I203" s="35" t="s">
        <v>1530</v>
      </c>
      <c r="J203" s="36" t="s">
        <v>914</v>
      </c>
      <c r="K203" s="33" t="s">
        <v>916</v>
      </c>
      <c r="L203" s="35" t="s">
        <v>916</v>
      </c>
      <c r="M203" s="36" t="s">
        <v>923</v>
      </c>
      <c r="N203" s="45">
        <v>46129.888888888891</v>
      </c>
      <c r="O203" s="36" t="s">
        <v>25</v>
      </c>
      <c r="P203" s="38">
        <v>0.34164351850000002</v>
      </c>
      <c r="Q203" s="39" t="s">
        <v>1206</v>
      </c>
      <c r="R203" s="35" t="s">
        <v>916</v>
      </c>
      <c r="S203" s="35"/>
      <c r="T203" s="35" t="s">
        <v>916</v>
      </c>
      <c r="U203" s="40">
        <v>46130</v>
      </c>
      <c r="V203" s="41">
        <v>46153.532696759263</v>
      </c>
      <c r="W203" s="40">
        <v>46129</v>
      </c>
      <c r="X203" s="35" t="s">
        <v>916</v>
      </c>
      <c r="Y203" s="35" t="s">
        <v>916</v>
      </c>
      <c r="Z203" s="35" t="s">
        <v>916</v>
      </c>
      <c r="AA203" s="38">
        <v>8.1994444439999992</v>
      </c>
      <c r="AB203" s="42" t="s">
        <v>916</v>
      </c>
      <c r="AC203" s="43" t="s">
        <v>916</v>
      </c>
      <c r="AD203" s="43" t="s">
        <v>916</v>
      </c>
      <c r="AE203" s="33" t="s">
        <v>916</v>
      </c>
      <c r="AF203" s="35" t="s">
        <v>916</v>
      </c>
      <c r="AG203" s="44">
        <v>0</v>
      </c>
      <c r="AH203" s="42" t="s">
        <v>916</v>
      </c>
      <c r="AI203" s="32" t="str">
        <f>VLOOKUP(A203,'4月明細'!B:B,1,0)</f>
        <v>In202604-003</v>
      </c>
      <c r="AJ203" s="32">
        <f>VLOOKUP(A203,'4月明細'!B:I,8,0)</f>
        <v>0.34</v>
      </c>
      <c r="AK203" s="47">
        <f t="shared" si="9"/>
        <v>-1.6435184999999963E-3</v>
      </c>
    </row>
    <row r="204" spans="1:37" ht="19.95" customHeight="1" x14ac:dyDescent="0.3">
      <c r="A204" s="33" t="s">
        <v>780</v>
      </c>
      <c r="B204" s="34">
        <v>46129.528634259259</v>
      </c>
      <c r="C204" s="34" t="str">
        <f t="shared" si="8"/>
        <v>202604</v>
      </c>
      <c r="D204" s="35" t="s">
        <v>951</v>
      </c>
      <c r="E204" s="36" t="s">
        <v>910</v>
      </c>
      <c r="F204" s="36" t="s">
        <v>1531</v>
      </c>
      <c r="G204" s="37" t="s">
        <v>1532</v>
      </c>
      <c r="H204" s="36" t="s">
        <v>928</v>
      </c>
      <c r="I204" s="35" t="s">
        <v>1533</v>
      </c>
      <c r="J204" s="36" t="s">
        <v>914</v>
      </c>
      <c r="K204" s="33" t="s">
        <v>916</v>
      </c>
      <c r="L204" s="35" t="s">
        <v>916</v>
      </c>
      <c r="M204" s="36" t="s">
        <v>917</v>
      </c>
      <c r="N204" s="45">
        <v>46129.888194444444</v>
      </c>
      <c r="O204" s="36" t="s">
        <v>25</v>
      </c>
      <c r="P204" s="38">
        <v>0.35956018519999999</v>
      </c>
      <c r="Q204" s="39" t="s">
        <v>984</v>
      </c>
      <c r="R204" s="35" t="s">
        <v>916</v>
      </c>
      <c r="S204" s="35"/>
      <c r="T204" s="35" t="s">
        <v>916</v>
      </c>
      <c r="U204" s="40">
        <v>46130</v>
      </c>
      <c r="V204" s="41">
        <v>46153.532696759263</v>
      </c>
      <c r="W204" s="40">
        <v>46129</v>
      </c>
      <c r="X204" s="35" t="s">
        <v>916</v>
      </c>
      <c r="Y204" s="35" t="s">
        <v>916</v>
      </c>
      <c r="Z204" s="35" t="s">
        <v>916</v>
      </c>
      <c r="AA204" s="38">
        <v>8.6294444448000007</v>
      </c>
      <c r="AB204" s="42" t="s">
        <v>916</v>
      </c>
      <c r="AC204" s="43" t="s">
        <v>916</v>
      </c>
      <c r="AD204" s="43" t="s">
        <v>916</v>
      </c>
      <c r="AE204" s="33" t="s">
        <v>916</v>
      </c>
      <c r="AF204" s="35" t="s">
        <v>916</v>
      </c>
      <c r="AG204" s="44">
        <v>0</v>
      </c>
      <c r="AH204" s="42" t="s">
        <v>916</v>
      </c>
      <c r="AI204" s="32" t="str">
        <f>VLOOKUP(A204,'4月明細'!B:B,1,0)</f>
        <v>In202604-002</v>
      </c>
      <c r="AJ204" s="32">
        <f>VLOOKUP(A204,'4月明細'!B:I,8,0)</f>
        <v>0.36</v>
      </c>
      <c r="AK204" s="47">
        <f t="shared" si="9"/>
        <v>4.3981479999999351E-4</v>
      </c>
    </row>
    <row r="205" spans="1:37" ht="19.95" customHeight="1" x14ac:dyDescent="0.3">
      <c r="A205" s="33" t="s">
        <v>779</v>
      </c>
      <c r="B205" s="34">
        <v>46129.418761574074</v>
      </c>
      <c r="C205" s="34" t="str">
        <f t="shared" si="8"/>
        <v>202604</v>
      </c>
      <c r="D205" s="35" t="s">
        <v>909</v>
      </c>
      <c r="E205" s="36" t="s">
        <v>910</v>
      </c>
      <c r="F205" s="36" t="s">
        <v>1534</v>
      </c>
      <c r="G205" s="37" t="s">
        <v>1535</v>
      </c>
      <c r="H205" s="36" t="s">
        <v>928</v>
      </c>
      <c r="I205" s="35" t="s">
        <v>1536</v>
      </c>
      <c r="J205" s="36" t="s">
        <v>914</v>
      </c>
      <c r="K205" s="33" t="s">
        <v>916</v>
      </c>
      <c r="L205" s="35" t="s">
        <v>916</v>
      </c>
      <c r="M205" s="36" t="s">
        <v>1135</v>
      </c>
      <c r="N205" s="45">
        <v>46129.890972222223</v>
      </c>
      <c r="O205" s="36" t="s">
        <v>25</v>
      </c>
      <c r="P205" s="38">
        <v>0.47221064810000002</v>
      </c>
      <c r="Q205" s="39" t="s">
        <v>1422</v>
      </c>
      <c r="R205" s="35" t="s">
        <v>916</v>
      </c>
      <c r="S205" s="35"/>
      <c r="T205" s="35" t="s">
        <v>916</v>
      </c>
      <c r="U205" s="40">
        <v>46130</v>
      </c>
      <c r="V205" s="41">
        <v>46153.532696759263</v>
      </c>
      <c r="W205" s="40">
        <v>46129</v>
      </c>
      <c r="X205" s="35" t="s">
        <v>916</v>
      </c>
      <c r="Y205" s="35" t="s">
        <v>916</v>
      </c>
      <c r="Z205" s="35" t="s">
        <v>916</v>
      </c>
      <c r="AA205" s="38">
        <v>11.3330555544</v>
      </c>
      <c r="AB205" s="42" t="s">
        <v>916</v>
      </c>
      <c r="AC205" s="43" t="s">
        <v>916</v>
      </c>
      <c r="AD205" s="43" t="s">
        <v>916</v>
      </c>
      <c r="AE205" s="33" t="s">
        <v>916</v>
      </c>
      <c r="AF205" s="35" t="s">
        <v>916</v>
      </c>
      <c r="AG205" s="44">
        <v>0</v>
      </c>
      <c r="AH205" s="42" t="s">
        <v>916</v>
      </c>
      <c r="AI205" s="32" t="str">
        <f>VLOOKUP(A205,'4月明細'!B:B,1,0)</f>
        <v>In202604-001</v>
      </c>
      <c r="AJ205" s="32">
        <f>VLOOKUP(A205,'4月明細'!B:I,8,0)</f>
        <v>0.47</v>
      </c>
      <c r="AK205" s="47">
        <f t="shared" si="9"/>
        <v>-2.2106481000000455E-3</v>
      </c>
    </row>
    <row r="206" spans="1:37" ht="19.95" customHeight="1" x14ac:dyDescent="0.3">
      <c r="A206" s="33" t="s">
        <v>778</v>
      </c>
      <c r="B206" s="34">
        <v>46128.541979166665</v>
      </c>
      <c r="C206" s="34" t="str">
        <f t="shared" si="8"/>
        <v>202604</v>
      </c>
      <c r="D206" s="35" t="s">
        <v>996</v>
      </c>
      <c r="E206" s="36" t="s">
        <v>910</v>
      </c>
      <c r="F206" s="36" t="s">
        <v>1537</v>
      </c>
      <c r="G206" s="37" t="s">
        <v>1538</v>
      </c>
      <c r="H206" s="36" t="s">
        <v>1078</v>
      </c>
      <c r="I206" s="35"/>
      <c r="J206" s="36" t="s">
        <v>1058</v>
      </c>
      <c r="K206" s="33" t="s">
        <v>916</v>
      </c>
      <c r="L206" s="35" t="s">
        <v>916</v>
      </c>
      <c r="M206" s="36" t="s">
        <v>923</v>
      </c>
      <c r="N206" s="45">
        <v>46128.902083333334</v>
      </c>
      <c r="O206" s="36" t="s">
        <v>25</v>
      </c>
      <c r="P206" s="38">
        <v>0.36010416670000001</v>
      </c>
      <c r="Q206" s="39" t="s">
        <v>1422</v>
      </c>
      <c r="R206" s="35" t="s">
        <v>916</v>
      </c>
      <c r="S206" s="35"/>
      <c r="T206" s="35" t="s">
        <v>916</v>
      </c>
      <c r="U206" s="40">
        <v>46129</v>
      </c>
      <c r="V206" s="41">
        <v>46153.532696759263</v>
      </c>
      <c r="W206" s="40">
        <v>46128</v>
      </c>
      <c r="X206" s="35" t="s">
        <v>916</v>
      </c>
      <c r="Y206" s="35" t="s">
        <v>916</v>
      </c>
      <c r="Z206" s="35" t="s">
        <v>916</v>
      </c>
      <c r="AA206" s="38">
        <v>8.6425000008000001</v>
      </c>
      <c r="AB206" s="42" t="s">
        <v>916</v>
      </c>
      <c r="AC206" s="43" t="s">
        <v>916</v>
      </c>
      <c r="AD206" s="43" t="s">
        <v>916</v>
      </c>
      <c r="AE206" s="33" t="s">
        <v>916</v>
      </c>
      <c r="AF206" s="35" t="s">
        <v>916</v>
      </c>
      <c r="AG206" s="44">
        <v>0</v>
      </c>
      <c r="AH206" s="42" t="s">
        <v>916</v>
      </c>
      <c r="AI206" s="32" t="str">
        <f>VLOOKUP(A206,'4月明細'!B:B,1,0)</f>
        <v>20260416-002</v>
      </c>
      <c r="AJ206" s="32">
        <f>VLOOKUP(A206,'4月明細'!B:I,8,0)</f>
        <v>0.36</v>
      </c>
      <c r="AK206" s="47">
        <f t="shared" si="9"/>
        <v>-1.0416670000001904E-4</v>
      </c>
    </row>
    <row r="207" spans="1:37" ht="19.95" customHeight="1" x14ac:dyDescent="0.3">
      <c r="A207" s="33" t="s">
        <v>1539</v>
      </c>
      <c r="B207" s="34">
        <v>46128.425509259258</v>
      </c>
      <c r="C207" s="34" t="str">
        <f t="shared" si="8"/>
        <v>202604</v>
      </c>
      <c r="D207" s="35" t="s">
        <v>909</v>
      </c>
      <c r="E207" s="36" t="s">
        <v>910</v>
      </c>
      <c r="F207" s="36" t="s">
        <v>1295</v>
      </c>
      <c r="G207" s="37" t="s">
        <v>1540</v>
      </c>
      <c r="H207" s="36" t="s">
        <v>913</v>
      </c>
      <c r="I207" s="35"/>
      <c r="J207" s="36" t="s">
        <v>914</v>
      </c>
      <c r="K207" s="33" t="s">
        <v>916</v>
      </c>
      <c r="L207" s="35" t="s">
        <v>916</v>
      </c>
      <c r="M207" s="36" t="s">
        <v>916</v>
      </c>
      <c r="N207" s="36" t="s">
        <v>916</v>
      </c>
      <c r="O207" s="36" t="s">
        <v>939</v>
      </c>
      <c r="P207" s="38" t="s">
        <v>916</v>
      </c>
      <c r="Q207" s="36" t="s">
        <v>916</v>
      </c>
      <c r="R207" s="35" t="s">
        <v>916</v>
      </c>
      <c r="S207" s="35"/>
      <c r="T207" s="35" t="s">
        <v>916</v>
      </c>
      <c r="U207" s="40">
        <v>46129</v>
      </c>
      <c r="V207" s="41">
        <v>46153.532696759263</v>
      </c>
      <c r="W207" s="40">
        <v>46128</v>
      </c>
      <c r="X207" s="40">
        <v>46153</v>
      </c>
      <c r="Y207" s="35" t="s">
        <v>916</v>
      </c>
      <c r="Z207" s="35" t="s">
        <v>916</v>
      </c>
      <c r="AA207" s="38">
        <v>0</v>
      </c>
      <c r="AB207" s="42" t="s">
        <v>916</v>
      </c>
      <c r="AC207" s="43" t="s">
        <v>916</v>
      </c>
      <c r="AD207" s="43" t="s">
        <v>916</v>
      </c>
      <c r="AE207" s="33" t="s">
        <v>916</v>
      </c>
      <c r="AF207" s="35" t="s">
        <v>916</v>
      </c>
      <c r="AG207" s="44">
        <v>0</v>
      </c>
      <c r="AH207" s="42" t="s">
        <v>916</v>
      </c>
      <c r="AI207" s="32" t="e">
        <f>VLOOKUP(A207,'4月明細'!B:B,1,0)</f>
        <v>#N/A</v>
      </c>
    </row>
    <row r="208" spans="1:37" ht="19.95" customHeight="1" x14ac:dyDescent="0.3">
      <c r="A208" s="33" t="s">
        <v>777</v>
      </c>
      <c r="B208" s="34">
        <v>46127.614374999997</v>
      </c>
      <c r="C208" s="34" t="str">
        <f t="shared" si="8"/>
        <v>202604</v>
      </c>
      <c r="D208" s="35" t="s">
        <v>996</v>
      </c>
      <c r="E208" s="36" t="s">
        <v>910</v>
      </c>
      <c r="F208" s="36" t="s">
        <v>1237</v>
      </c>
      <c r="G208" s="37" t="s">
        <v>1541</v>
      </c>
      <c r="H208" s="36" t="s">
        <v>954</v>
      </c>
      <c r="I208" s="35" t="s">
        <v>1542</v>
      </c>
      <c r="J208" s="36" t="s">
        <v>914</v>
      </c>
      <c r="K208" s="33" t="s">
        <v>916</v>
      </c>
      <c r="L208" s="35" t="s">
        <v>916</v>
      </c>
      <c r="M208" s="36" t="s">
        <v>923</v>
      </c>
      <c r="N208" s="45">
        <v>46127.896527777775</v>
      </c>
      <c r="O208" s="36" t="s">
        <v>25</v>
      </c>
      <c r="P208" s="38">
        <v>0.28215277779999998</v>
      </c>
      <c r="Q208" s="39" t="s">
        <v>1543</v>
      </c>
      <c r="R208" s="35" t="s">
        <v>916</v>
      </c>
      <c r="S208" s="35"/>
      <c r="T208" s="35" t="s">
        <v>916</v>
      </c>
      <c r="U208" s="40">
        <v>46128</v>
      </c>
      <c r="V208" s="41">
        <v>46153.532696759263</v>
      </c>
      <c r="W208" s="40">
        <v>46127</v>
      </c>
      <c r="X208" s="35" t="s">
        <v>916</v>
      </c>
      <c r="Y208" s="35" t="s">
        <v>916</v>
      </c>
      <c r="Z208" s="35" t="s">
        <v>916</v>
      </c>
      <c r="AA208" s="38">
        <v>6.7716666671999999</v>
      </c>
      <c r="AB208" s="42" t="s">
        <v>916</v>
      </c>
      <c r="AC208" s="43" t="s">
        <v>916</v>
      </c>
      <c r="AD208" s="43" t="s">
        <v>916</v>
      </c>
      <c r="AE208" s="33" t="s">
        <v>916</v>
      </c>
      <c r="AF208" s="35" t="s">
        <v>916</v>
      </c>
      <c r="AG208" s="44">
        <v>0</v>
      </c>
      <c r="AH208" s="42" t="s">
        <v>916</v>
      </c>
      <c r="AI208" s="32" t="str">
        <f>VLOOKUP(A208,'4月明細'!B:B,1,0)</f>
        <v>20260415-010</v>
      </c>
      <c r="AJ208" s="32">
        <f>VLOOKUP(A208,'4月明細'!B:I,8,0)</f>
        <v>0.28000000000000003</v>
      </c>
      <c r="AK208" s="47">
        <f t="shared" ref="AK208:AK209" si="10">AJ208-P208</f>
        <v>-2.1527777999999498E-3</v>
      </c>
    </row>
    <row r="209" spans="1:37" ht="19.95" customHeight="1" x14ac:dyDescent="0.3">
      <c r="A209" s="33" t="s">
        <v>776</v>
      </c>
      <c r="B209" s="34">
        <v>46127.609942129631</v>
      </c>
      <c r="C209" s="34" t="str">
        <f t="shared" si="8"/>
        <v>202604</v>
      </c>
      <c r="D209" s="35" t="s">
        <v>909</v>
      </c>
      <c r="E209" s="36" t="s">
        <v>910</v>
      </c>
      <c r="F209" s="36" t="s">
        <v>1017</v>
      </c>
      <c r="G209" s="37" t="s">
        <v>1544</v>
      </c>
      <c r="H209" s="36" t="s">
        <v>928</v>
      </c>
      <c r="I209" s="35"/>
      <c r="J209" s="36" t="s">
        <v>929</v>
      </c>
      <c r="K209" s="33" t="s">
        <v>916</v>
      </c>
      <c r="L209" s="35" t="s">
        <v>916</v>
      </c>
      <c r="M209" s="36" t="s">
        <v>917</v>
      </c>
      <c r="N209" s="45">
        <v>46128.9</v>
      </c>
      <c r="O209" s="36" t="s">
        <v>25</v>
      </c>
      <c r="P209" s="38">
        <v>1.2900578704000001</v>
      </c>
      <c r="Q209" s="39" t="s">
        <v>984</v>
      </c>
      <c r="R209" s="35" t="s">
        <v>916</v>
      </c>
      <c r="S209" s="35"/>
      <c r="T209" s="35" t="s">
        <v>916</v>
      </c>
      <c r="U209" s="40">
        <v>46128</v>
      </c>
      <c r="V209" s="41">
        <v>46153.532696759263</v>
      </c>
      <c r="W209" s="40">
        <v>46127</v>
      </c>
      <c r="X209" s="35" t="s">
        <v>916</v>
      </c>
      <c r="Y209" s="35" t="s">
        <v>916</v>
      </c>
      <c r="Z209" s="35" t="s">
        <v>916</v>
      </c>
      <c r="AA209" s="38">
        <v>30.961388889599998</v>
      </c>
      <c r="AB209" s="42" t="s">
        <v>916</v>
      </c>
      <c r="AC209" s="43" t="s">
        <v>916</v>
      </c>
      <c r="AD209" s="43" t="s">
        <v>916</v>
      </c>
      <c r="AE209" s="33" t="s">
        <v>916</v>
      </c>
      <c r="AF209" s="35" t="s">
        <v>916</v>
      </c>
      <c r="AG209" s="44">
        <v>0</v>
      </c>
      <c r="AH209" s="42" t="s">
        <v>916</v>
      </c>
      <c r="AI209" s="32" t="str">
        <f>VLOOKUP(A209,'4月明細'!B:B,1,0)</f>
        <v>20260415-009</v>
      </c>
      <c r="AJ209" s="32">
        <f>VLOOKUP(A209,'4月明細'!B:I,8,0)</f>
        <v>1.29</v>
      </c>
      <c r="AK209" s="47">
        <f t="shared" si="10"/>
        <v>-5.7870400000048505E-5</v>
      </c>
    </row>
    <row r="210" spans="1:37" ht="19.95" customHeight="1" x14ac:dyDescent="0.3">
      <c r="A210" s="33" t="s">
        <v>1545</v>
      </c>
      <c r="B210" s="34">
        <v>46127.56145833333</v>
      </c>
      <c r="C210" s="34" t="str">
        <f t="shared" si="8"/>
        <v>202604</v>
      </c>
      <c r="D210" s="35" t="s">
        <v>996</v>
      </c>
      <c r="E210" s="36" t="s">
        <v>910</v>
      </c>
      <c r="F210" s="36" t="s">
        <v>1546</v>
      </c>
      <c r="G210" s="37" t="s">
        <v>1547</v>
      </c>
      <c r="H210" s="36" t="s">
        <v>928</v>
      </c>
      <c r="I210" s="35"/>
      <c r="J210" s="36" t="s">
        <v>914</v>
      </c>
      <c r="K210" s="33" t="s">
        <v>916</v>
      </c>
      <c r="L210" s="35" t="s">
        <v>916</v>
      </c>
      <c r="M210" s="36" t="s">
        <v>923</v>
      </c>
      <c r="N210" s="45">
        <v>46127.897916666669</v>
      </c>
      <c r="O210" s="36" t="s">
        <v>939</v>
      </c>
      <c r="P210" s="38">
        <v>0.33645833330000002</v>
      </c>
      <c r="Q210" s="39" t="s">
        <v>1548</v>
      </c>
      <c r="R210" s="35" t="s">
        <v>916</v>
      </c>
      <c r="S210" s="35"/>
      <c r="T210" s="35" t="s">
        <v>916</v>
      </c>
      <c r="U210" s="40">
        <v>46128</v>
      </c>
      <c r="V210" s="41">
        <v>46153.532696759263</v>
      </c>
      <c r="W210" s="40">
        <v>46127</v>
      </c>
      <c r="X210" s="40">
        <v>46153</v>
      </c>
      <c r="Y210" s="35" t="s">
        <v>916</v>
      </c>
      <c r="Z210" s="35" t="s">
        <v>916</v>
      </c>
      <c r="AA210" s="38">
        <v>8.0749999991999992</v>
      </c>
      <c r="AB210" s="42" t="s">
        <v>916</v>
      </c>
      <c r="AC210" s="43" t="s">
        <v>916</v>
      </c>
      <c r="AD210" s="43" t="s">
        <v>916</v>
      </c>
      <c r="AE210" s="33" t="s">
        <v>916</v>
      </c>
      <c r="AF210" s="35" t="s">
        <v>916</v>
      </c>
      <c r="AG210" s="44">
        <v>0</v>
      </c>
      <c r="AH210" s="42" t="s">
        <v>916</v>
      </c>
      <c r="AI210" s="32" t="e">
        <f>VLOOKUP(A210,'4月明細'!B:B,1,0)</f>
        <v>#N/A</v>
      </c>
    </row>
    <row r="211" spans="1:37" ht="19.95" customHeight="1" x14ac:dyDescent="0.3">
      <c r="A211" s="33" t="s">
        <v>775</v>
      </c>
      <c r="B211" s="34">
        <v>46127.558148148149</v>
      </c>
      <c r="C211" s="34" t="str">
        <f t="shared" si="8"/>
        <v>202604</v>
      </c>
      <c r="D211" s="35" t="s">
        <v>996</v>
      </c>
      <c r="E211" s="36" t="s">
        <v>910</v>
      </c>
      <c r="F211" s="36" t="s">
        <v>1546</v>
      </c>
      <c r="G211" s="37" t="s">
        <v>1549</v>
      </c>
      <c r="H211" s="36" t="s">
        <v>928</v>
      </c>
      <c r="I211" s="35"/>
      <c r="J211" s="36" t="s">
        <v>914</v>
      </c>
      <c r="K211" s="33" t="s">
        <v>916</v>
      </c>
      <c r="L211" s="35" t="s">
        <v>916</v>
      </c>
      <c r="M211" s="36" t="s">
        <v>923</v>
      </c>
      <c r="N211" s="45">
        <v>46128.900694444441</v>
      </c>
      <c r="O211" s="36" t="s">
        <v>25</v>
      </c>
      <c r="P211" s="38">
        <v>1.3425462963000001</v>
      </c>
      <c r="Q211" s="39" t="s">
        <v>1422</v>
      </c>
      <c r="R211" s="35" t="s">
        <v>916</v>
      </c>
      <c r="S211" s="35"/>
      <c r="T211" s="35" t="s">
        <v>916</v>
      </c>
      <c r="U211" s="40">
        <v>46128</v>
      </c>
      <c r="V211" s="41">
        <v>46153.532696759263</v>
      </c>
      <c r="W211" s="40">
        <v>46127</v>
      </c>
      <c r="X211" s="35" t="s">
        <v>916</v>
      </c>
      <c r="Y211" s="35" t="s">
        <v>916</v>
      </c>
      <c r="Z211" s="35" t="s">
        <v>916</v>
      </c>
      <c r="AA211" s="38">
        <v>32.221111111200003</v>
      </c>
      <c r="AB211" s="42" t="s">
        <v>916</v>
      </c>
      <c r="AC211" s="43" t="s">
        <v>916</v>
      </c>
      <c r="AD211" s="43" t="s">
        <v>916</v>
      </c>
      <c r="AE211" s="33" t="s">
        <v>916</v>
      </c>
      <c r="AF211" s="35" t="s">
        <v>916</v>
      </c>
      <c r="AG211" s="44">
        <v>0</v>
      </c>
      <c r="AH211" s="42" t="s">
        <v>916</v>
      </c>
      <c r="AI211" s="32" t="str">
        <f>VLOOKUP(A211,'4月明細'!B:B,1,0)</f>
        <v>20260415-007</v>
      </c>
      <c r="AJ211" s="32">
        <f>VLOOKUP(A211,'4月明細'!B:I,8,0)</f>
        <v>1.34</v>
      </c>
      <c r="AK211" s="47">
        <f t="shared" ref="AK211:AK214" si="11">AJ211-P211</f>
        <v>-2.5462963000000283E-3</v>
      </c>
    </row>
    <row r="212" spans="1:37" ht="19.95" customHeight="1" x14ac:dyDescent="0.3">
      <c r="A212" s="33" t="s">
        <v>774</v>
      </c>
      <c r="B212" s="34">
        <v>46127.555335648147</v>
      </c>
      <c r="C212" s="34" t="str">
        <f t="shared" si="8"/>
        <v>202604</v>
      </c>
      <c r="D212" s="35" t="s">
        <v>996</v>
      </c>
      <c r="E212" s="36" t="s">
        <v>910</v>
      </c>
      <c r="F212" s="36" t="s">
        <v>1546</v>
      </c>
      <c r="G212" s="37" t="s">
        <v>1550</v>
      </c>
      <c r="H212" s="36" t="s">
        <v>954</v>
      </c>
      <c r="I212" s="35" t="s">
        <v>1551</v>
      </c>
      <c r="J212" s="36" t="s">
        <v>914</v>
      </c>
      <c r="K212" s="33" t="s">
        <v>916</v>
      </c>
      <c r="L212" s="35" t="s">
        <v>916</v>
      </c>
      <c r="M212" s="36" t="s">
        <v>923</v>
      </c>
      <c r="N212" s="45">
        <v>46128.9</v>
      </c>
      <c r="O212" s="36" t="s">
        <v>25</v>
      </c>
      <c r="P212" s="38">
        <v>1.3446643519000001</v>
      </c>
      <c r="Q212" s="39" t="s">
        <v>984</v>
      </c>
      <c r="R212" s="35" t="s">
        <v>916</v>
      </c>
      <c r="S212" s="35"/>
      <c r="T212" s="35" t="s">
        <v>916</v>
      </c>
      <c r="U212" s="40">
        <v>46128</v>
      </c>
      <c r="V212" s="41">
        <v>46153.532696759263</v>
      </c>
      <c r="W212" s="40">
        <v>46127</v>
      </c>
      <c r="X212" s="35" t="s">
        <v>916</v>
      </c>
      <c r="Y212" s="35" t="s">
        <v>916</v>
      </c>
      <c r="Z212" s="35" t="s">
        <v>916</v>
      </c>
      <c r="AA212" s="38">
        <v>32.271944445599999</v>
      </c>
      <c r="AB212" s="42" t="s">
        <v>916</v>
      </c>
      <c r="AC212" s="43" t="s">
        <v>916</v>
      </c>
      <c r="AD212" s="43" t="s">
        <v>916</v>
      </c>
      <c r="AE212" s="33" t="s">
        <v>916</v>
      </c>
      <c r="AF212" s="35" t="s">
        <v>916</v>
      </c>
      <c r="AG212" s="44">
        <v>0</v>
      </c>
      <c r="AH212" s="42" t="s">
        <v>916</v>
      </c>
      <c r="AI212" s="32" t="str">
        <f>VLOOKUP(A212,'4月明細'!B:B,1,0)</f>
        <v>20260415-006</v>
      </c>
      <c r="AJ212" s="32">
        <f>VLOOKUP(A212,'4月明細'!B:I,8,0)</f>
        <v>1.34</v>
      </c>
      <c r="AK212" s="47">
        <f t="shared" si="11"/>
        <v>-4.66435190000003E-3</v>
      </c>
    </row>
    <row r="213" spans="1:37" ht="19.95" customHeight="1" x14ac:dyDescent="0.3">
      <c r="A213" s="33" t="s">
        <v>773</v>
      </c>
      <c r="B213" s="34">
        <v>46127.544166666667</v>
      </c>
      <c r="C213" s="34" t="str">
        <f t="shared" si="8"/>
        <v>202604</v>
      </c>
      <c r="D213" s="35" t="s">
        <v>996</v>
      </c>
      <c r="E213" s="36" t="s">
        <v>910</v>
      </c>
      <c r="F213" s="36" t="s">
        <v>1552</v>
      </c>
      <c r="G213" s="37" t="s">
        <v>1553</v>
      </c>
      <c r="H213" s="36" t="s">
        <v>928</v>
      </c>
      <c r="I213" s="35"/>
      <c r="J213" s="36" t="s">
        <v>914</v>
      </c>
      <c r="K213" s="33" t="s">
        <v>916</v>
      </c>
      <c r="L213" s="35" t="s">
        <v>916</v>
      </c>
      <c r="M213" s="36" t="s">
        <v>917</v>
      </c>
      <c r="N213" s="45">
        <v>46128.901388888888</v>
      </c>
      <c r="O213" s="36" t="s">
        <v>25</v>
      </c>
      <c r="P213" s="38">
        <v>1.3572222222000001</v>
      </c>
      <c r="Q213" s="39" t="s">
        <v>1422</v>
      </c>
      <c r="R213" s="35" t="s">
        <v>916</v>
      </c>
      <c r="S213" s="35"/>
      <c r="T213" s="35" t="s">
        <v>916</v>
      </c>
      <c r="U213" s="40">
        <v>46128</v>
      </c>
      <c r="V213" s="41">
        <v>46153.532696759263</v>
      </c>
      <c r="W213" s="40">
        <v>46127</v>
      </c>
      <c r="X213" s="35" t="s">
        <v>916</v>
      </c>
      <c r="Y213" s="35" t="s">
        <v>916</v>
      </c>
      <c r="Z213" s="35" t="s">
        <v>916</v>
      </c>
      <c r="AA213" s="38">
        <v>32.573333332799997</v>
      </c>
      <c r="AB213" s="42" t="s">
        <v>916</v>
      </c>
      <c r="AC213" s="43" t="s">
        <v>916</v>
      </c>
      <c r="AD213" s="43" t="s">
        <v>916</v>
      </c>
      <c r="AE213" s="33" t="s">
        <v>916</v>
      </c>
      <c r="AF213" s="35" t="s">
        <v>916</v>
      </c>
      <c r="AG213" s="44">
        <v>0</v>
      </c>
      <c r="AH213" s="42" t="s">
        <v>916</v>
      </c>
      <c r="AI213" s="32" t="str">
        <f>VLOOKUP(A213,'4月明細'!B:B,1,0)</f>
        <v>20260415-005</v>
      </c>
      <c r="AJ213" s="32">
        <f>VLOOKUP(A213,'4月明細'!B:I,8,0)</f>
        <v>1.36</v>
      </c>
      <c r="AK213" s="47">
        <f t="shared" si="11"/>
        <v>2.777777799999992E-3</v>
      </c>
    </row>
    <row r="214" spans="1:37" ht="19.95" customHeight="1" x14ac:dyDescent="0.3">
      <c r="A214" s="33" t="s">
        <v>772</v>
      </c>
      <c r="B214" s="34">
        <v>46127.542731481481</v>
      </c>
      <c r="C214" s="34" t="str">
        <f t="shared" si="8"/>
        <v>202604</v>
      </c>
      <c r="D214" s="35" t="s">
        <v>996</v>
      </c>
      <c r="E214" s="36" t="s">
        <v>910</v>
      </c>
      <c r="F214" s="36" t="s">
        <v>1552</v>
      </c>
      <c r="G214" s="37" t="s">
        <v>1525</v>
      </c>
      <c r="H214" s="36" t="s">
        <v>1114</v>
      </c>
      <c r="I214" s="35"/>
      <c r="J214" s="36" t="s">
        <v>914</v>
      </c>
      <c r="K214" s="33" t="s">
        <v>916</v>
      </c>
      <c r="L214" s="35" t="s">
        <v>916</v>
      </c>
      <c r="M214" s="36" t="s">
        <v>923</v>
      </c>
      <c r="N214" s="45">
        <v>46127.9</v>
      </c>
      <c r="O214" s="36" t="s">
        <v>25</v>
      </c>
      <c r="P214" s="38">
        <v>0.35726851850000002</v>
      </c>
      <c r="Q214" s="39" t="s">
        <v>1554</v>
      </c>
      <c r="R214" s="35" t="s">
        <v>916</v>
      </c>
      <c r="S214" s="35"/>
      <c r="T214" s="35" t="s">
        <v>916</v>
      </c>
      <c r="U214" s="40">
        <v>46128</v>
      </c>
      <c r="V214" s="41">
        <v>46153.532696759263</v>
      </c>
      <c r="W214" s="40">
        <v>46127</v>
      </c>
      <c r="X214" s="35" t="s">
        <v>916</v>
      </c>
      <c r="Y214" s="35" t="s">
        <v>916</v>
      </c>
      <c r="Z214" s="35" t="s">
        <v>916</v>
      </c>
      <c r="AA214" s="38">
        <v>8.5744444439999992</v>
      </c>
      <c r="AB214" s="42" t="s">
        <v>916</v>
      </c>
      <c r="AC214" s="43" t="s">
        <v>916</v>
      </c>
      <c r="AD214" s="43" t="s">
        <v>916</v>
      </c>
      <c r="AE214" s="33" t="s">
        <v>916</v>
      </c>
      <c r="AF214" s="35" t="s">
        <v>916</v>
      </c>
      <c r="AG214" s="44">
        <v>0</v>
      </c>
      <c r="AH214" s="42" t="s">
        <v>916</v>
      </c>
      <c r="AI214" s="32" t="str">
        <f>VLOOKUP(A214,'4月明細'!B:B,1,0)</f>
        <v>20260415-004</v>
      </c>
      <c r="AJ214" s="32">
        <f>VLOOKUP(A214,'4月明細'!B:I,8,0)</f>
        <v>0.36</v>
      </c>
      <c r="AK214" s="47">
        <f t="shared" si="11"/>
        <v>2.7314814999999659E-3</v>
      </c>
    </row>
    <row r="215" spans="1:37" ht="19.95" customHeight="1" x14ac:dyDescent="0.3">
      <c r="A215" s="33" t="s">
        <v>1555</v>
      </c>
      <c r="B215" s="34">
        <v>46127.492337962962</v>
      </c>
      <c r="C215" s="34" t="str">
        <f t="shared" si="8"/>
        <v>202604</v>
      </c>
      <c r="D215" s="35" t="s">
        <v>1198</v>
      </c>
      <c r="E215" s="36" t="s">
        <v>1199</v>
      </c>
      <c r="F215" s="36" t="s">
        <v>1200</v>
      </c>
      <c r="G215" s="37" t="s">
        <v>1556</v>
      </c>
      <c r="H215" s="36" t="s">
        <v>989</v>
      </c>
      <c r="I215" s="35" t="s">
        <v>1362</v>
      </c>
      <c r="J215" s="36" t="s">
        <v>938</v>
      </c>
      <c r="K215" s="33" t="s">
        <v>916</v>
      </c>
      <c r="L215" s="35" t="s">
        <v>916</v>
      </c>
      <c r="M215" s="36" t="s">
        <v>916</v>
      </c>
      <c r="N215" s="36" t="s">
        <v>916</v>
      </c>
      <c r="O215" s="36" t="s">
        <v>939</v>
      </c>
      <c r="P215" s="38" t="s">
        <v>916</v>
      </c>
      <c r="Q215" s="36" t="s">
        <v>916</v>
      </c>
      <c r="R215" s="35" t="s">
        <v>916</v>
      </c>
      <c r="S215" s="35"/>
      <c r="T215" s="35" t="s">
        <v>916</v>
      </c>
      <c r="U215" s="40">
        <v>46128</v>
      </c>
      <c r="V215" s="41">
        <v>46153.532696759263</v>
      </c>
      <c r="W215" s="40">
        <v>46127</v>
      </c>
      <c r="X215" s="40">
        <v>46153</v>
      </c>
      <c r="Y215" s="35" t="s">
        <v>916</v>
      </c>
      <c r="Z215" s="35" t="s">
        <v>916</v>
      </c>
      <c r="AA215" s="38">
        <v>0</v>
      </c>
      <c r="AB215" s="42" t="s">
        <v>916</v>
      </c>
      <c r="AC215" s="43" t="s">
        <v>916</v>
      </c>
      <c r="AD215" s="43" t="s">
        <v>916</v>
      </c>
      <c r="AE215" s="33" t="s">
        <v>916</v>
      </c>
      <c r="AF215" s="35" t="s">
        <v>916</v>
      </c>
      <c r="AG215" s="44">
        <v>0</v>
      </c>
      <c r="AH215" s="42" t="s">
        <v>916</v>
      </c>
      <c r="AI215" s="32" t="e">
        <f>VLOOKUP(A215,'4月明細'!B:B,1,0)</f>
        <v>#N/A</v>
      </c>
    </row>
    <row r="216" spans="1:37" ht="19.95" customHeight="1" x14ac:dyDescent="0.3">
      <c r="A216" s="33" t="s">
        <v>771</v>
      </c>
      <c r="B216" s="34">
        <v>46127.466145833336</v>
      </c>
      <c r="C216" s="34" t="str">
        <f t="shared" si="8"/>
        <v>202604</v>
      </c>
      <c r="D216" s="35" t="s">
        <v>996</v>
      </c>
      <c r="E216" s="36" t="s">
        <v>910</v>
      </c>
      <c r="F216" s="36" t="s">
        <v>1354</v>
      </c>
      <c r="G216" s="37" t="s">
        <v>1557</v>
      </c>
      <c r="H216" s="36" t="s">
        <v>928</v>
      </c>
      <c r="I216" s="35"/>
      <c r="J216" s="36" t="s">
        <v>914</v>
      </c>
      <c r="K216" s="33" t="s">
        <v>916</v>
      </c>
      <c r="L216" s="35" t="s">
        <v>916</v>
      </c>
      <c r="M216" s="36" t="s">
        <v>917</v>
      </c>
      <c r="N216" s="45">
        <v>46127.901388888888</v>
      </c>
      <c r="O216" s="36" t="s">
        <v>25</v>
      </c>
      <c r="P216" s="38">
        <v>0.43524305559999998</v>
      </c>
      <c r="Q216" s="39" t="s">
        <v>1404</v>
      </c>
      <c r="R216" s="35" t="s">
        <v>916</v>
      </c>
      <c r="S216" s="35"/>
      <c r="T216" s="35" t="s">
        <v>916</v>
      </c>
      <c r="U216" s="40">
        <v>46128</v>
      </c>
      <c r="V216" s="41">
        <v>46153.532696759263</v>
      </c>
      <c r="W216" s="40">
        <v>46127</v>
      </c>
      <c r="X216" s="35" t="s">
        <v>916</v>
      </c>
      <c r="Y216" s="35" t="s">
        <v>916</v>
      </c>
      <c r="Z216" s="35" t="s">
        <v>916</v>
      </c>
      <c r="AA216" s="38">
        <v>10.4458333344</v>
      </c>
      <c r="AB216" s="42" t="s">
        <v>916</v>
      </c>
      <c r="AC216" s="43" t="s">
        <v>916</v>
      </c>
      <c r="AD216" s="43" t="s">
        <v>916</v>
      </c>
      <c r="AE216" s="33" t="s">
        <v>916</v>
      </c>
      <c r="AF216" s="35" t="s">
        <v>916</v>
      </c>
      <c r="AG216" s="44">
        <v>0</v>
      </c>
      <c r="AH216" s="42" t="s">
        <v>916</v>
      </c>
      <c r="AI216" s="32" t="str">
        <f>VLOOKUP(A216,'4月明細'!B:B,1,0)</f>
        <v>20260415-002</v>
      </c>
      <c r="AJ216" s="32">
        <f>VLOOKUP(A216,'4月明細'!B:I,8,0)</f>
        <v>0.44</v>
      </c>
      <c r="AK216" s="47">
        <f t="shared" ref="AK216:AK237" si="12">AJ216-P216</f>
        <v>4.7569444000000183E-3</v>
      </c>
    </row>
    <row r="217" spans="1:37" ht="19.95" customHeight="1" x14ac:dyDescent="0.3">
      <c r="A217" s="33" t="s">
        <v>770</v>
      </c>
      <c r="B217" s="34">
        <v>46127.443969907406</v>
      </c>
      <c r="C217" s="34" t="str">
        <f t="shared" si="8"/>
        <v>202604</v>
      </c>
      <c r="D217" s="35" t="s">
        <v>996</v>
      </c>
      <c r="E217" s="36" t="s">
        <v>910</v>
      </c>
      <c r="F217" s="36" t="s">
        <v>1227</v>
      </c>
      <c r="G217" s="37" t="s">
        <v>1041</v>
      </c>
      <c r="H217" s="36" t="s">
        <v>954</v>
      </c>
      <c r="I217" s="35" t="s">
        <v>1558</v>
      </c>
      <c r="J217" s="36" t="s">
        <v>914</v>
      </c>
      <c r="K217" s="33" t="s">
        <v>916</v>
      </c>
      <c r="L217" s="35" t="s">
        <v>916</v>
      </c>
      <c r="M217" s="36" t="s">
        <v>917</v>
      </c>
      <c r="N217" s="45">
        <v>46127.902083333334</v>
      </c>
      <c r="O217" s="36" t="s">
        <v>25</v>
      </c>
      <c r="P217" s="38">
        <v>0.45811342589999998</v>
      </c>
      <c r="Q217" s="39" t="s">
        <v>1404</v>
      </c>
      <c r="R217" s="35" t="s">
        <v>916</v>
      </c>
      <c r="S217" s="35"/>
      <c r="T217" s="35" t="s">
        <v>916</v>
      </c>
      <c r="U217" s="40">
        <v>46128</v>
      </c>
      <c r="V217" s="41">
        <v>46153.532696759263</v>
      </c>
      <c r="W217" s="40">
        <v>46127</v>
      </c>
      <c r="X217" s="35" t="s">
        <v>916</v>
      </c>
      <c r="Y217" s="35" t="s">
        <v>916</v>
      </c>
      <c r="Z217" s="35" t="s">
        <v>916</v>
      </c>
      <c r="AA217" s="38">
        <v>10.9947222216</v>
      </c>
      <c r="AB217" s="42" t="s">
        <v>916</v>
      </c>
      <c r="AC217" s="43" t="s">
        <v>916</v>
      </c>
      <c r="AD217" s="43" t="s">
        <v>916</v>
      </c>
      <c r="AE217" s="33" t="s">
        <v>916</v>
      </c>
      <c r="AF217" s="35" t="s">
        <v>916</v>
      </c>
      <c r="AG217" s="44">
        <v>0</v>
      </c>
      <c r="AH217" s="42" t="s">
        <v>916</v>
      </c>
      <c r="AI217" s="32" t="str">
        <f>VLOOKUP(A217,'4月明細'!B:B,1,0)</f>
        <v>20260415-001</v>
      </c>
      <c r="AJ217" s="32">
        <f>VLOOKUP(A217,'4月明細'!B:I,8,0)</f>
        <v>0.46</v>
      </c>
      <c r="AK217" s="47">
        <f t="shared" si="12"/>
        <v>1.886574100000038E-3</v>
      </c>
    </row>
    <row r="218" spans="1:37" ht="19.95" customHeight="1" x14ac:dyDescent="0.3">
      <c r="A218" s="33" t="s">
        <v>769</v>
      </c>
      <c r="B218" s="34">
        <v>46126.707592592589</v>
      </c>
      <c r="C218" s="34" t="str">
        <f t="shared" si="8"/>
        <v>202604</v>
      </c>
      <c r="D218" s="35" t="s">
        <v>951</v>
      </c>
      <c r="E218" s="36" t="s">
        <v>910</v>
      </c>
      <c r="F218" s="36" t="s">
        <v>1220</v>
      </c>
      <c r="G218" s="37" t="s">
        <v>1559</v>
      </c>
      <c r="H218" s="36" t="s">
        <v>1078</v>
      </c>
      <c r="I218" s="35" t="s">
        <v>1560</v>
      </c>
      <c r="J218" s="36" t="s">
        <v>929</v>
      </c>
      <c r="K218" s="33" t="s">
        <v>916</v>
      </c>
      <c r="L218" s="35" t="s">
        <v>916</v>
      </c>
      <c r="M218" s="36" t="s">
        <v>923</v>
      </c>
      <c r="N218" s="45">
        <v>46126.848611111112</v>
      </c>
      <c r="O218" s="36" t="s">
        <v>25</v>
      </c>
      <c r="P218" s="38">
        <v>0.1410185185</v>
      </c>
      <c r="Q218" s="39" t="s">
        <v>958</v>
      </c>
      <c r="R218" s="35" t="s">
        <v>916</v>
      </c>
      <c r="S218" s="35"/>
      <c r="T218" s="35" t="s">
        <v>916</v>
      </c>
      <c r="U218" s="40">
        <v>46127</v>
      </c>
      <c r="V218" s="41">
        <v>46153.532696759263</v>
      </c>
      <c r="W218" s="40">
        <v>46126</v>
      </c>
      <c r="X218" s="35" t="s">
        <v>916</v>
      </c>
      <c r="Y218" s="35" t="s">
        <v>916</v>
      </c>
      <c r="Z218" s="35" t="s">
        <v>916</v>
      </c>
      <c r="AA218" s="38">
        <v>3.3844444440000001</v>
      </c>
      <c r="AB218" s="42" t="s">
        <v>916</v>
      </c>
      <c r="AC218" s="43" t="s">
        <v>916</v>
      </c>
      <c r="AD218" s="43" t="s">
        <v>916</v>
      </c>
      <c r="AE218" s="33" t="s">
        <v>916</v>
      </c>
      <c r="AF218" s="35" t="s">
        <v>916</v>
      </c>
      <c r="AG218" s="44">
        <v>0</v>
      </c>
      <c r="AH218" s="42" t="s">
        <v>916</v>
      </c>
      <c r="AI218" s="32" t="str">
        <f>VLOOKUP(A218,'4月明細'!B:B,1,0)</f>
        <v>20260414-004</v>
      </c>
      <c r="AJ218" s="32">
        <f>VLOOKUP(A218,'4月明細'!B:I,8,0)</f>
        <v>0.14000000000000001</v>
      </c>
      <c r="AK218" s="47">
        <f t="shared" si="12"/>
        <v>-1.0185184999999819E-3</v>
      </c>
    </row>
    <row r="219" spans="1:37" ht="19.95" customHeight="1" x14ac:dyDescent="0.3">
      <c r="A219" s="33" t="s">
        <v>768</v>
      </c>
      <c r="B219" s="34">
        <v>46126.653877314813</v>
      </c>
      <c r="C219" s="34" t="str">
        <f t="shared" si="8"/>
        <v>202604</v>
      </c>
      <c r="D219" s="35" t="s">
        <v>1510</v>
      </c>
      <c r="E219" s="36" t="s">
        <v>942</v>
      </c>
      <c r="F219" s="36" t="s">
        <v>1561</v>
      </c>
      <c r="G219" s="37" t="s">
        <v>1562</v>
      </c>
      <c r="H219" s="36" t="s">
        <v>913</v>
      </c>
      <c r="I219" s="35"/>
      <c r="J219" s="36" t="s">
        <v>938</v>
      </c>
      <c r="K219" s="33" t="s">
        <v>916</v>
      </c>
      <c r="L219" s="35" t="s">
        <v>916</v>
      </c>
      <c r="M219" s="36" t="s">
        <v>1563</v>
      </c>
      <c r="N219" s="45">
        <v>46126.852777777778</v>
      </c>
      <c r="O219" s="36" t="s">
        <v>25</v>
      </c>
      <c r="P219" s="38">
        <v>0.198900463</v>
      </c>
      <c r="Q219" s="39" t="s">
        <v>919</v>
      </c>
      <c r="R219" s="35" t="s">
        <v>916</v>
      </c>
      <c r="S219" s="35"/>
      <c r="T219" s="35" t="s">
        <v>916</v>
      </c>
      <c r="U219" s="40">
        <v>46127</v>
      </c>
      <c r="V219" s="41">
        <v>46153.532696759263</v>
      </c>
      <c r="W219" s="40">
        <v>46126</v>
      </c>
      <c r="X219" s="35" t="s">
        <v>916</v>
      </c>
      <c r="Y219" s="35" t="s">
        <v>916</v>
      </c>
      <c r="Z219" s="35" t="s">
        <v>916</v>
      </c>
      <c r="AA219" s="38">
        <v>4.7736111120000002</v>
      </c>
      <c r="AB219" s="42" t="s">
        <v>916</v>
      </c>
      <c r="AC219" s="43" t="s">
        <v>916</v>
      </c>
      <c r="AD219" s="43" t="s">
        <v>916</v>
      </c>
      <c r="AE219" s="33" t="s">
        <v>916</v>
      </c>
      <c r="AF219" s="35" t="s">
        <v>916</v>
      </c>
      <c r="AG219" s="44">
        <v>0</v>
      </c>
      <c r="AH219" s="42" t="s">
        <v>916</v>
      </c>
      <c r="AI219" s="32" t="str">
        <f>VLOOKUP(A219,'4月明細'!B:B,1,0)</f>
        <v>20260414-003</v>
      </c>
      <c r="AJ219" s="32">
        <f>VLOOKUP(A219,'4月明細'!B:I,8,0)</f>
        <v>0.2</v>
      </c>
      <c r="AK219" s="47">
        <f t="shared" si="12"/>
        <v>1.0995370000000115E-3</v>
      </c>
    </row>
    <row r="220" spans="1:37" ht="19.95" customHeight="1" x14ac:dyDescent="0.3">
      <c r="A220" s="33" t="s">
        <v>767</v>
      </c>
      <c r="B220" s="34">
        <v>46126.520520833335</v>
      </c>
      <c r="C220" s="34" t="str">
        <f t="shared" si="8"/>
        <v>202604</v>
      </c>
      <c r="D220" s="35" t="s">
        <v>951</v>
      </c>
      <c r="E220" s="36" t="s">
        <v>910</v>
      </c>
      <c r="F220" s="36" t="s">
        <v>1564</v>
      </c>
      <c r="G220" s="37" t="s">
        <v>1565</v>
      </c>
      <c r="H220" s="36" t="s">
        <v>913</v>
      </c>
      <c r="I220" s="35" t="s">
        <v>1566</v>
      </c>
      <c r="J220" s="36" t="s">
        <v>1058</v>
      </c>
      <c r="K220" s="33" t="s">
        <v>916</v>
      </c>
      <c r="L220" s="35" t="s">
        <v>916</v>
      </c>
      <c r="M220" s="36" t="s">
        <v>923</v>
      </c>
      <c r="N220" s="45">
        <v>46126.852083333331</v>
      </c>
      <c r="O220" s="36" t="s">
        <v>25</v>
      </c>
      <c r="P220" s="38">
        <v>0.33156249999999998</v>
      </c>
      <c r="Q220" s="39" t="s">
        <v>919</v>
      </c>
      <c r="R220" s="35" t="s">
        <v>916</v>
      </c>
      <c r="S220" s="35"/>
      <c r="T220" s="35" t="s">
        <v>916</v>
      </c>
      <c r="U220" s="40">
        <v>46127</v>
      </c>
      <c r="V220" s="41">
        <v>46153.532696759263</v>
      </c>
      <c r="W220" s="40">
        <v>46126</v>
      </c>
      <c r="X220" s="35" t="s">
        <v>916</v>
      </c>
      <c r="Y220" s="35" t="s">
        <v>916</v>
      </c>
      <c r="Z220" s="35" t="s">
        <v>916</v>
      </c>
      <c r="AA220" s="38">
        <v>7.9574999999999996</v>
      </c>
      <c r="AB220" s="42" t="s">
        <v>916</v>
      </c>
      <c r="AC220" s="43" t="s">
        <v>916</v>
      </c>
      <c r="AD220" s="43" t="s">
        <v>916</v>
      </c>
      <c r="AE220" s="33" t="s">
        <v>916</v>
      </c>
      <c r="AF220" s="35" t="s">
        <v>916</v>
      </c>
      <c r="AG220" s="44">
        <v>0</v>
      </c>
      <c r="AH220" s="42" t="s">
        <v>916</v>
      </c>
      <c r="AI220" s="32" t="str">
        <f>VLOOKUP(A220,'4月明細'!B:B,1,0)</f>
        <v>20260414-002</v>
      </c>
      <c r="AJ220" s="32">
        <f>VLOOKUP(A220,'4月明細'!B:I,8,0)</f>
        <v>0.33</v>
      </c>
      <c r="AK220" s="47">
        <f t="shared" si="12"/>
        <v>-1.5624999999999667E-3</v>
      </c>
    </row>
    <row r="221" spans="1:37" ht="19.95" customHeight="1" x14ac:dyDescent="0.3">
      <c r="A221" s="33" t="s">
        <v>766</v>
      </c>
      <c r="B221" s="34">
        <v>46126.409085648149</v>
      </c>
      <c r="C221" s="34" t="str">
        <f t="shared" si="8"/>
        <v>202604</v>
      </c>
      <c r="D221" s="35" t="s">
        <v>951</v>
      </c>
      <c r="E221" s="36" t="s">
        <v>910</v>
      </c>
      <c r="F221" s="36" t="s">
        <v>1386</v>
      </c>
      <c r="G221" s="37" t="s">
        <v>1567</v>
      </c>
      <c r="H221" s="36" t="s">
        <v>954</v>
      </c>
      <c r="I221" s="35"/>
      <c r="J221" s="36" t="s">
        <v>929</v>
      </c>
      <c r="K221" s="33" t="s">
        <v>916</v>
      </c>
      <c r="L221" s="35" t="s">
        <v>916</v>
      </c>
      <c r="M221" s="36" t="s">
        <v>917</v>
      </c>
      <c r="N221" s="45">
        <v>46126.851388888892</v>
      </c>
      <c r="O221" s="36" t="s">
        <v>25</v>
      </c>
      <c r="P221" s="38">
        <v>0.44230324069999999</v>
      </c>
      <c r="Q221" s="39" t="s">
        <v>994</v>
      </c>
      <c r="R221" s="35" t="s">
        <v>916</v>
      </c>
      <c r="S221" s="35"/>
      <c r="T221" s="35" t="s">
        <v>916</v>
      </c>
      <c r="U221" s="40">
        <v>46127</v>
      </c>
      <c r="V221" s="41">
        <v>46153.532696759263</v>
      </c>
      <c r="W221" s="40">
        <v>46126</v>
      </c>
      <c r="X221" s="35" t="s">
        <v>916</v>
      </c>
      <c r="Y221" s="35" t="s">
        <v>916</v>
      </c>
      <c r="Z221" s="35" t="s">
        <v>916</v>
      </c>
      <c r="AA221" s="38">
        <v>10.615277776799999</v>
      </c>
      <c r="AB221" s="42" t="s">
        <v>916</v>
      </c>
      <c r="AC221" s="43" t="s">
        <v>916</v>
      </c>
      <c r="AD221" s="43" t="s">
        <v>916</v>
      </c>
      <c r="AE221" s="33" t="s">
        <v>916</v>
      </c>
      <c r="AF221" s="35" t="s">
        <v>916</v>
      </c>
      <c r="AG221" s="44">
        <v>0</v>
      </c>
      <c r="AH221" s="42" t="s">
        <v>916</v>
      </c>
      <c r="AI221" s="32" t="str">
        <f>VLOOKUP(A221,'4月明細'!B:B,1,0)</f>
        <v>20260414-001</v>
      </c>
      <c r="AJ221" s="32">
        <f>VLOOKUP(A221,'4月明細'!B:I,8,0)</f>
        <v>0.44</v>
      </c>
      <c r="AK221" s="47">
        <f t="shared" si="12"/>
        <v>-2.3032406999999866E-3</v>
      </c>
    </row>
    <row r="222" spans="1:37" ht="19.95" customHeight="1" x14ac:dyDescent="0.3">
      <c r="A222" s="33" t="s">
        <v>765</v>
      </c>
      <c r="B222" s="34">
        <v>46125.950949074075</v>
      </c>
      <c r="C222" s="34" t="str">
        <f t="shared" si="8"/>
        <v>202604</v>
      </c>
      <c r="D222" s="35" t="s">
        <v>1014</v>
      </c>
      <c r="E222" s="36" t="s">
        <v>942</v>
      </c>
      <c r="F222" s="36" t="s">
        <v>1568</v>
      </c>
      <c r="G222" s="37" t="s">
        <v>1569</v>
      </c>
      <c r="H222" s="36" t="s">
        <v>1078</v>
      </c>
      <c r="I222" s="35"/>
      <c r="J222" s="36" t="s">
        <v>945</v>
      </c>
      <c r="K222" s="33" t="s">
        <v>916</v>
      </c>
      <c r="L222" s="35" t="s">
        <v>916</v>
      </c>
      <c r="M222" s="36" t="s">
        <v>1135</v>
      </c>
      <c r="N222" s="45">
        <v>46126.599305555559</v>
      </c>
      <c r="O222" s="36" t="s">
        <v>25</v>
      </c>
      <c r="P222" s="38">
        <v>0.64835648150000003</v>
      </c>
      <c r="Q222" s="39" t="s">
        <v>1570</v>
      </c>
      <c r="R222" s="35" t="s">
        <v>916</v>
      </c>
      <c r="S222" s="35"/>
      <c r="T222" s="35" t="s">
        <v>1571</v>
      </c>
      <c r="U222" s="40">
        <v>46126</v>
      </c>
      <c r="V222" s="41">
        <v>46153.532696759263</v>
      </c>
      <c r="W222" s="40">
        <v>46126</v>
      </c>
      <c r="X222" s="35" t="s">
        <v>916</v>
      </c>
      <c r="Y222" s="35" t="s">
        <v>916</v>
      </c>
      <c r="Z222" s="35" t="s">
        <v>916</v>
      </c>
      <c r="AA222" s="38">
        <v>15.560555556000001</v>
      </c>
      <c r="AB222" s="42" t="s">
        <v>916</v>
      </c>
      <c r="AC222" s="43" t="s">
        <v>916</v>
      </c>
      <c r="AD222" s="43" t="s">
        <v>916</v>
      </c>
      <c r="AE222" s="33" t="s">
        <v>916</v>
      </c>
      <c r="AF222" s="35" t="s">
        <v>916</v>
      </c>
      <c r="AG222" s="44">
        <v>0</v>
      </c>
      <c r="AH222" s="42" t="s">
        <v>916</v>
      </c>
      <c r="AI222" s="32" t="str">
        <f>VLOOKUP(A222,'4月明細'!B:B,1,0)</f>
        <v>20260413-005</v>
      </c>
      <c r="AJ222" s="32">
        <f>VLOOKUP(A222,'4月明細'!B:I,8,0)</f>
        <v>0.65</v>
      </c>
      <c r="AK222" s="47">
        <f t="shared" si="12"/>
        <v>1.6435184999999963E-3</v>
      </c>
    </row>
    <row r="223" spans="1:37" ht="19.95" customHeight="1" x14ac:dyDescent="0.3">
      <c r="A223" s="33" t="s">
        <v>764</v>
      </c>
      <c r="B223" s="34">
        <v>46125.663888888892</v>
      </c>
      <c r="C223" s="34" t="str">
        <f t="shared" si="8"/>
        <v>202604</v>
      </c>
      <c r="D223" s="35" t="s">
        <v>996</v>
      </c>
      <c r="E223" s="36" t="s">
        <v>910</v>
      </c>
      <c r="F223" s="36" t="s">
        <v>1572</v>
      </c>
      <c r="G223" s="37" t="s">
        <v>1573</v>
      </c>
      <c r="H223" s="36" t="s">
        <v>928</v>
      </c>
      <c r="I223" s="35" t="s">
        <v>1574</v>
      </c>
      <c r="J223" s="36" t="s">
        <v>914</v>
      </c>
      <c r="K223" s="33" t="s">
        <v>916</v>
      </c>
      <c r="L223" s="35" t="s">
        <v>916</v>
      </c>
      <c r="M223" s="36" t="s">
        <v>917</v>
      </c>
      <c r="N223" s="45">
        <v>46128.904166666667</v>
      </c>
      <c r="O223" s="36" t="s">
        <v>25</v>
      </c>
      <c r="P223" s="38">
        <v>3.2402777777999998</v>
      </c>
      <c r="Q223" s="39" t="s">
        <v>1291</v>
      </c>
      <c r="R223" s="35" t="s">
        <v>916</v>
      </c>
      <c r="S223" s="35"/>
      <c r="T223" s="35" t="s">
        <v>916</v>
      </c>
      <c r="U223" s="40">
        <v>46126</v>
      </c>
      <c r="V223" s="41">
        <v>46153.532696759263</v>
      </c>
      <c r="W223" s="40">
        <v>46125</v>
      </c>
      <c r="X223" s="35" t="s">
        <v>916</v>
      </c>
      <c r="Y223" s="35" t="s">
        <v>916</v>
      </c>
      <c r="Z223" s="35" t="s">
        <v>916</v>
      </c>
      <c r="AA223" s="38">
        <v>77.766666667199999</v>
      </c>
      <c r="AB223" s="42" t="s">
        <v>916</v>
      </c>
      <c r="AC223" s="43" t="s">
        <v>916</v>
      </c>
      <c r="AD223" s="43" t="s">
        <v>916</v>
      </c>
      <c r="AE223" s="33" t="s">
        <v>916</v>
      </c>
      <c r="AF223" s="35" t="s">
        <v>916</v>
      </c>
      <c r="AG223" s="44">
        <v>0</v>
      </c>
      <c r="AH223" s="42" t="s">
        <v>916</v>
      </c>
      <c r="AI223" s="32" t="str">
        <f>VLOOKUP(A223,'4月明細'!B:B,1,0)</f>
        <v>20260413-004</v>
      </c>
      <c r="AJ223" s="32">
        <f>VLOOKUP(A223,'4月明細'!B:I,8,0)</f>
        <v>3.24</v>
      </c>
      <c r="AK223" s="47">
        <f t="shared" si="12"/>
        <v>-2.7777779999960117E-4</v>
      </c>
    </row>
    <row r="224" spans="1:37" ht="19.95" customHeight="1" x14ac:dyDescent="0.3">
      <c r="A224" s="33" t="s">
        <v>763</v>
      </c>
      <c r="B224" s="34">
        <v>46125.594178240739</v>
      </c>
      <c r="C224" s="34" t="str">
        <f t="shared" si="8"/>
        <v>202604</v>
      </c>
      <c r="D224" s="35" t="s">
        <v>996</v>
      </c>
      <c r="E224" s="36" t="s">
        <v>910</v>
      </c>
      <c r="F224" s="36" t="s">
        <v>1370</v>
      </c>
      <c r="G224" s="37" t="s">
        <v>1575</v>
      </c>
      <c r="H224" s="36" t="s">
        <v>913</v>
      </c>
      <c r="I224" s="35"/>
      <c r="J224" s="36" t="s">
        <v>914</v>
      </c>
      <c r="K224" s="33" t="s">
        <v>916</v>
      </c>
      <c r="L224" s="35" t="s">
        <v>916</v>
      </c>
      <c r="M224" s="36" t="s">
        <v>923</v>
      </c>
      <c r="N224" s="45">
        <v>46128.904166666667</v>
      </c>
      <c r="O224" s="36" t="s">
        <v>25</v>
      </c>
      <c r="P224" s="38">
        <v>3.3099884258999999</v>
      </c>
      <c r="Q224" s="39" t="s">
        <v>919</v>
      </c>
      <c r="R224" s="35" t="s">
        <v>916</v>
      </c>
      <c r="S224" s="35"/>
      <c r="T224" s="35" t="s">
        <v>916</v>
      </c>
      <c r="U224" s="40">
        <v>46126</v>
      </c>
      <c r="V224" s="41">
        <v>46153.532696759263</v>
      </c>
      <c r="W224" s="40">
        <v>46125</v>
      </c>
      <c r="X224" s="35" t="s">
        <v>916</v>
      </c>
      <c r="Y224" s="35" t="s">
        <v>916</v>
      </c>
      <c r="Z224" s="35" t="s">
        <v>916</v>
      </c>
      <c r="AA224" s="38">
        <v>79.439722221599993</v>
      </c>
      <c r="AB224" s="42" t="s">
        <v>916</v>
      </c>
      <c r="AC224" s="43" t="s">
        <v>916</v>
      </c>
      <c r="AD224" s="43" t="s">
        <v>916</v>
      </c>
      <c r="AE224" s="33" t="s">
        <v>916</v>
      </c>
      <c r="AF224" s="35" t="s">
        <v>916</v>
      </c>
      <c r="AG224" s="44">
        <v>0</v>
      </c>
      <c r="AH224" s="42" t="s">
        <v>916</v>
      </c>
      <c r="AI224" s="32" t="str">
        <f>VLOOKUP(A224,'4月明細'!B:B,1,0)</f>
        <v>20260413-003</v>
      </c>
      <c r="AJ224" s="32">
        <f>VLOOKUP(A224,'4月明細'!B:I,8,0)</f>
        <v>3.31</v>
      </c>
      <c r="AK224" s="47">
        <f t="shared" si="12"/>
        <v>1.1574100000188992E-5</v>
      </c>
    </row>
    <row r="225" spans="1:37" ht="19.95" customHeight="1" x14ac:dyDescent="0.3">
      <c r="A225" s="33" t="s">
        <v>762</v>
      </c>
      <c r="B225" s="34">
        <v>46125.538368055553</v>
      </c>
      <c r="C225" s="34" t="str">
        <f t="shared" si="8"/>
        <v>202604</v>
      </c>
      <c r="D225" s="35" t="s">
        <v>951</v>
      </c>
      <c r="E225" s="36" t="s">
        <v>910</v>
      </c>
      <c r="F225" s="36" t="s">
        <v>1475</v>
      </c>
      <c r="G225" s="37" t="s">
        <v>1576</v>
      </c>
      <c r="H225" s="36" t="s">
        <v>928</v>
      </c>
      <c r="I225" s="35" t="s">
        <v>1577</v>
      </c>
      <c r="J225" s="36" t="s">
        <v>929</v>
      </c>
      <c r="K225" s="33" t="s">
        <v>916</v>
      </c>
      <c r="L225" s="35" t="s">
        <v>916</v>
      </c>
      <c r="M225" s="36" t="s">
        <v>1135</v>
      </c>
      <c r="N225" s="45">
        <v>46126.85833333333</v>
      </c>
      <c r="O225" s="36" t="s">
        <v>25</v>
      </c>
      <c r="P225" s="38">
        <v>1.3199652777999999</v>
      </c>
      <c r="Q225" s="39" t="s">
        <v>1422</v>
      </c>
      <c r="R225" s="35" t="s">
        <v>916</v>
      </c>
      <c r="S225" s="35"/>
      <c r="T225" s="35" t="s">
        <v>916</v>
      </c>
      <c r="U225" s="40">
        <v>46126</v>
      </c>
      <c r="V225" s="41">
        <v>46153.532696759263</v>
      </c>
      <c r="W225" s="40">
        <v>46125</v>
      </c>
      <c r="X225" s="35" t="s">
        <v>916</v>
      </c>
      <c r="Y225" s="35" t="s">
        <v>916</v>
      </c>
      <c r="Z225" s="35" t="s">
        <v>916</v>
      </c>
      <c r="AA225" s="38">
        <v>31.679166667200001</v>
      </c>
      <c r="AB225" s="42" t="s">
        <v>916</v>
      </c>
      <c r="AC225" s="43" t="s">
        <v>916</v>
      </c>
      <c r="AD225" s="43" t="s">
        <v>916</v>
      </c>
      <c r="AE225" s="33" t="s">
        <v>916</v>
      </c>
      <c r="AF225" s="35" t="s">
        <v>916</v>
      </c>
      <c r="AG225" s="44">
        <v>0</v>
      </c>
      <c r="AH225" s="42" t="s">
        <v>916</v>
      </c>
      <c r="AI225" s="32" t="str">
        <f>VLOOKUP(A225,'4月明細'!B:B,1,0)</f>
        <v>20260413-002</v>
      </c>
      <c r="AJ225" s="32">
        <f>VLOOKUP(A225,'4月明細'!B:I,8,0)</f>
        <v>1.32</v>
      </c>
      <c r="AK225" s="47">
        <f t="shared" si="12"/>
        <v>3.4722200000114611E-5</v>
      </c>
    </row>
    <row r="226" spans="1:37" ht="19.95" customHeight="1" x14ac:dyDescent="0.3">
      <c r="A226" s="33" t="s">
        <v>761</v>
      </c>
      <c r="B226" s="34">
        <v>46125.453587962962</v>
      </c>
      <c r="C226" s="34" t="str">
        <f t="shared" si="8"/>
        <v>202604</v>
      </c>
      <c r="D226" s="35" t="s">
        <v>1578</v>
      </c>
      <c r="E226" s="36" t="s">
        <v>910</v>
      </c>
      <c r="F226" s="36" t="s">
        <v>1370</v>
      </c>
      <c r="G226" s="37" t="s">
        <v>1579</v>
      </c>
      <c r="H226" s="36" t="s">
        <v>913</v>
      </c>
      <c r="I226" s="35"/>
      <c r="J226" s="36" t="s">
        <v>1058</v>
      </c>
      <c r="K226" s="33" t="s">
        <v>916</v>
      </c>
      <c r="L226" s="35" t="s">
        <v>916</v>
      </c>
      <c r="M226" s="36" t="s">
        <v>923</v>
      </c>
      <c r="N226" s="45">
        <v>46128.90347222222</v>
      </c>
      <c r="O226" s="36" t="s">
        <v>25</v>
      </c>
      <c r="P226" s="38">
        <v>3.4498842593000001</v>
      </c>
      <c r="Q226" s="39" t="s">
        <v>919</v>
      </c>
      <c r="R226" s="35" t="s">
        <v>916</v>
      </c>
      <c r="S226" s="35"/>
      <c r="T226" s="35" t="s">
        <v>916</v>
      </c>
      <c r="U226" s="40">
        <v>46126</v>
      </c>
      <c r="V226" s="41">
        <v>46153.532696759263</v>
      </c>
      <c r="W226" s="40">
        <v>46125</v>
      </c>
      <c r="X226" s="35" t="s">
        <v>916</v>
      </c>
      <c r="Y226" s="35" t="s">
        <v>916</v>
      </c>
      <c r="Z226" s="35" t="s">
        <v>916</v>
      </c>
      <c r="AA226" s="38">
        <v>82.797222223199995</v>
      </c>
      <c r="AB226" s="42" t="s">
        <v>916</v>
      </c>
      <c r="AC226" s="43" t="s">
        <v>916</v>
      </c>
      <c r="AD226" s="43" t="s">
        <v>916</v>
      </c>
      <c r="AE226" s="33" t="s">
        <v>916</v>
      </c>
      <c r="AF226" s="35" t="s">
        <v>916</v>
      </c>
      <c r="AG226" s="44">
        <v>0</v>
      </c>
      <c r="AH226" s="42" t="s">
        <v>916</v>
      </c>
      <c r="AI226" s="32" t="str">
        <f>VLOOKUP(A226,'4月明細'!B:B,1,0)</f>
        <v>20260413-001</v>
      </c>
      <c r="AJ226" s="32">
        <f>VLOOKUP(A226,'4月明細'!B:I,8,0)</f>
        <v>3.45</v>
      </c>
      <c r="AK226" s="47">
        <f t="shared" si="12"/>
        <v>1.1574070000008874E-4</v>
      </c>
    </row>
    <row r="227" spans="1:37" ht="19.95" customHeight="1" x14ac:dyDescent="0.3">
      <c r="A227" s="33" t="s">
        <v>760</v>
      </c>
      <c r="B227" s="34">
        <v>46124.700289351851</v>
      </c>
      <c r="C227" s="34" t="str">
        <f t="shared" si="8"/>
        <v>202604</v>
      </c>
      <c r="D227" s="35" t="s">
        <v>996</v>
      </c>
      <c r="E227" s="36" t="s">
        <v>910</v>
      </c>
      <c r="F227" s="36" t="s">
        <v>1089</v>
      </c>
      <c r="G227" s="37" t="s">
        <v>1580</v>
      </c>
      <c r="H227" s="36" t="s">
        <v>928</v>
      </c>
      <c r="I227" s="35"/>
      <c r="J227" s="36" t="s">
        <v>914</v>
      </c>
      <c r="K227" s="33" t="s">
        <v>916</v>
      </c>
      <c r="L227" s="35" t="s">
        <v>916</v>
      </c>
      <c r="M227" s="36" t="s">
        <v>1039</v>
      </c>
      <c r="N227" s="45">
        <v>46124.890972222223</v>
      </c>
      <c r="O227" s="36" t="s">
        <v>25</v>
      </c>
      <c r="P227" s="38">
        <v>0.19068287040000001</v>
      </c>
      <c r="Q227" s="36" t="s">
        <v>916</v>
      </c>
      <c r="R227" s="46" t="s">
        <v>958</v>
      </c>
      <c r="S227" s="35"/>
      <c r="T227" s="35" t="s">
        <v>916</v>
      </c>
      <c r="U227" s="40">
        <v>46125</v>
      </c>
      <c r="V227" s="41">
        <v>46153.532696759263</v>
      </c>
      <c r="W227" s="40">
        <v>46124</v>
      </c>
      <c r="X227" s="35" t="s">
        <v>916</v>
      </c>
      <c r="Y227" s="35" t="s">
        <v>916</v>
      </c>
      <c r="Z227" s="35" t="s">
        <v>916</v>
      </c>
      <c r="AA227" s="38">
        <v>4.5763888895999996</v>
      </c>
      <c r="AB227" s="42" t="s">
        <v>916</v>
      </c>
      <c r="AC227" s="43" t="s">
        <v>916</v>
      </c>
      <c r="AD227" s="43" t="s">
        <v>916</v>
      </c>
      <c r="AE227" s="33" t="s">
        <v>916</v>
      </c>
      <c r="AF227" s="35" t="s">
        <v>916</v>
      </c>
      <c r="AG227" s="44">
        <v>0</v>
      </c>
      <c r="AH227" s="42" t="s">
        <v>916</v>
      </c>
      <c r="AI227" s="32" t="str">
        <f>VLOOKUP(A227,'4月明細'!B:B,1,0)</f>
        <v>20260412-003</v>
      </c>
      <c r="AJ227" s="32">
        <f>VLOOKUP(A227,'4月明細'!B:I,8,0)</f>
        <v>0.19</v>
      </c>
      <c r="AK227" s="47">
        <f t="shared" si="12"/>
        <v>-6.8287040000000743E-4</v>
      </c>
    </row>
    <row r="228" spans="1:37" ht="19.95" customHeight="1" x14ac:dyDescent="0.3">
      <c r="A228" s="33" t="s">
        <v>759</v>
      </c>
      <c r="B228" s="34">
        <v>46124.582604166666</v>
      </c>
      <c r="C228" s="34" t="str">
        <f t="shared" si="8"/>
        <v>202604</v>
      </c>
      <c r="D228" s="35" t="s">
        <v>909</v>
      </c>
      <c r="E228" s="36" t="s">
        <v>910</v>
      </c>
      <c r="F228" s="36" t="s">
        <v>1581</v>
      </c>
      <c r="G228" s="37" t="s">
        <v>1499</v>
      </c>
      <c r="H228" s="36" t="s">
        <v>928</v>
      </c>
      <c r="I228" s="35"/>
      <c r="J228" s="36" t="s">
        <v>929</v>
      </c>
      <c r="K228" s="33" t="s">
        <v>916</v>
      </c>
      <c r="L228" s="35" t="s">
        <v>916</v>
      </c>
      <c r="M228" s="36" t="s">
        <v>1039</v>
      </c>
      <c r="N228" s="45">
        <v>46124.890277777777</v>
      </c>
      <c r="O228" s="36" t="s">
        <v>25</v>
      </c>
      <c r="P228" s="38">
        <v>0.30767361110000002</v>
      </c>
      <c r="Q228" s="36" t="s">
        <v>916</v>
      </c>
      <c r="R228" s="46" t="s">
        <v>1582</v>
      </c>
      <c r="S228" s="35"/>
      <c r="T228" s="35" t="s">
        <v>916</v>
      </c>
      <c r="U228" s="40">
        <v>46125</v>
      </c>
      <c r="V228" s="41">
        <v>46153.532696759263</v>
      </c>
      <c r="W228" s="40">
        <v>46124</v>
      </c>
      <c r="X228" s="35" t="s">
        <v>916</v>
      </c>
      <c r="Y228" s="35" t="s">
        <v>916</v>
      </c>
      <c r="Z228" s="35" t="s">
        <v>916</v>
      </c>
      <c r="AA228" s="38">
        <v>7.3841666663999996</v>
      </c>
      <c r="AB228" s="42" t="s">
        <v>916</v>
      </c>
      <c r="AC228" s="43" t="s">
        <v>916</v>
      </c>
      <c r="AD228" s="43" t="s">
        <v>916</v>
      </c>
      <c r="AE228" s="33" t="s">
        <v>916</v>
      </c>
      <c r="AF228" s="35" t="s">
        <v>916</v>
      </c>
      <c r="AG228" s="44">
        <v>0</v>
      </c>
      <c r="AH228" s="42" t="s">
        <v>916</v>
      </c>
      <c r="AI228" s="32" t="str">
        <f>VLOOKUP(A228,'4月明細'!B:B,1,0)</f>
        <v>20260412-002</v>
      </c>
      <c r="AJ228" s="32">
        <f>VLOOKUP(A228,'4月明細'!B:I,8,0)</f>
        <v>0.31</v>
      </c>
      <c r="AK228" s="47">
        <f t="shared" si="12"/>
        <v>2.326388899999976E-3</v>
      </c>
    </row>
    <row r="229" spans="1:37" ht="19.95" customHeight="1" x14ac:dyDescent="0.3">
      <c r="A229" s="33" t="s">
        <v>758</v>
      </c>
      <c r="B229" s="34">
        <v>46124.536481481482</v>
      </c>
      <c r="C229" s="34" t="str">
        <f t="shared" si="8"/>
        <v>202604</v>
      </c>
      <c r="D229" s="35" t="s">
        <v>996</v>
      </c>
      <c r="E229" s="36" t="s">
        <v>910</v>
      </c>
      <c r="F229" s="36" t="s">
        <v>1017</v>
      </c>
      <c r="G229" s="37" t="s">
        <v>1444</v>
      </c>
      <c r="H229" s="36" t="s">
        <v>954</v>
      </c>
      <c r="I229" s="35"/>
      <c r="J229" s="36" t="s">
        <v>914</v>
      </c>
      <c r="K229" s="33" t="s">
        <v>916</v>
      </c>
      <c r="L229" s="35" t="s">
        <v>916</v>
      </c>
      <c r="M229" s="36" t="s">
        <v>1039</v>
      </c>
      <c r="N229" s="45">
        <v>46125.374305555553</v>
      </c>
      <c r="O229" s="36" t="s">
        <v>25</v>
      </c>
      <c r="P229" s="38">
        <v>0.83782407410000004</v>
      </c>
      <c r="Q229" s="39" t="s">
        <v>1583</v>
      </c>
      <c r="R229" s="35" t="s">
        <v>916</v>
      </c>
      <c r="S229" s="35"/>
      <c r="T229" s="35" t="s">
        <v>916</v>
      </c>
      <c r="U229" s="40">
        <v>46125</v>
      </c>
      <c r="V229" s="41">
        <v>46153.532696759263</v>
      </c>
      <c r="W229" s="40">
        <v>46124</v>
      </c>
      <c r="X229" s="35" t="s">
        <v>916</v>
      </c>
      <c r="Y229" s="35" t="s">
        <v>916</v>
      </c>
      <c r="Z229" s="35" t="s">
        <v>916</v>
      </c>
      <c r="AA229" s="38">
        <v>20.107777778399999</v>
      </c>
      <c r="AB229" s="42" t="s">
        <v>916</v>
      </c>
      <c r="AC229" s="43" t="s">
        <v>916</v>
      </c>
      <c r="AD229" s="43" t="s">
        <v>916</v>
      </c>
      <c r="AE229" s="33" t="s">
        <v>916</v>
      </c>
      <c r="AF229" s="35" t="s">
        <v>916</v>
      </c>
      <c r="AG229" s="44">
        <v>0</v>
      </c>
      <c r="AH229" s="42" t="s">
        <v>916</v>
      </c>
      <c r="AI229" s="32" t="str">
        <f>VLOOKUP(A229,'4月明細'!B:B,1,0)</f>
        <v>20260412-001</v>
      </c>
      <c r="AJ229" s="32">
        <f>VLOOKUP(A229,'4月明細'!B:I,8,0)</f>
        <v>0.84</v>
      </c>
      <c r="AK229" s="47">
        <f t="shared" si="12"/>
        <v>2.1759258999999309E-3</v>
      </c>
    </row>
    <row r="230" spans="1:37" ht="19.95" customHeight="1" x14ac:dyDescent="0.3">
      <c r="A230" s="33" t="s">
        <v>757</v>
      </c>
      <c r="B230" s="34">
        <v>46123.738877314812</v>
      </c>
      <c r="C230" s="34" t="str">
        <f t="shared" si="8"/>
        <v>202604</v>
      </c>
      <c r="D230" s="35" t="s">
        <v>996</v>
      </c>
      <c r="E230" s="36" t="s">
        <v>910</v>
      </c>
      <c r="F230" s="36" t="s">
        <v>1161</v>
      </c>
      <c r="G230" s="37" t="s">
        <v>1005</v>
      </c>
      <c r="H230" s="36" t="s">
        <v>928</v>
      </c>
      <c r="I230" s="35"/>
      <c r="J230" s="36" t="s">
        <v>914</v>
      </c>
      <c r="K230" s="33" t="s">
        <v>916</v>
      </c>
      <c r="L230" s="35" t="s">
        <v>916</v>
      </c>
      <c r="M230" s="36" t="s">
        <v>923</v>
      </c>
      <c r="N230" s="45">
        <v>46123.828472222223</v>
      </c>
      <c r="O230" s="36" t="s">
        <v>25</v>
      </c>
      <c r="P230" s="38">
        <v>8.9594907400000007E-2</v>
      </c>
      <c r="Q230" s="39" t="s">
        <v>1291</v>
      </c>
      <c r="R230" s="35" t="s">
        <v>916</v>
      </c>
      <c r="S230" s="35"/>
      <c r="T230" s="35" t="s">
        <v>916</v>
      </c>
      <c r="U230" s="40">
        <v>46124</v>
      </c>
      <c r="V230" s="41">
        <v>46153.532696759263</v>
      </c>
      <c r="W230" s="40">
        <v>46123</v>
      </c>
      <c r="X230" s="35" t="s">
        <v>916</v>
      </c>
      <c r="Y230" s="35" t="s">
        <v>916</v>
      </c>
      <c r="Z230" s="35" t="s">
        <v>916</v>
      </c>
      <c r="AA230" s="38">
        <v>2.1502777775999999</v>
      </c>
      <c r="AB230" s="42" t="s">
        <v>916</v>
      </c>
      <c r="AC230" s="43" t="s">
        <v>916</v>
      </c>
      <c r="AD230" s="43" t="s">
        <v>916</v>
      </c>
      <c r="AE230" s="33" t="s">
        <v>916</v>
      </c>
      <c r="AF230" s="35" t="s">
        <v>916</v>
      </c>
      <c r="AG230" s="44">
        <v>0</v>
      </c>
      <c r="AH230" s="42" t="s">
        <v>916</v>
      </c>
      <c r="AI230" s="32" t="str">
        <f>VLOOKUP(A230,'4月明細'!B:B,1,0)</f>
        <v>20260411-003</v>
      </c>
      <c r="AJ230" s="32">
        <f>VLOOKUP(A230,'4月明細'!B:I,8,0)</f>
        <v>0.09</v>
      </c>
      <c r="AK230" s="47">
        <f t="shared" si="12"/>
        <v>4.0509259999998992E-4</v>
      </c>
    </row>
    <row r="231" spans="1:37" ht="19.95" customHeight="1" x14ac:dyDescent="0.3">
      <c r="A231" s="33" t="s">
        <v>756</v>
      </c>
      <c r="B231" s="34">
        <v>46123.477314814816</v>
      </c>
      <c r="C231" s="34" t="str">
        <f t="shared" si="8"/>
        <v>202604</v>
      </c>
      <c r="D231" s="35" t="s">
        <v>909</v>
      </c>
      <c r="E231" s="36" t="s">
        <v>910</v>
      </c>
      <c r="F231" s="36" t="s">
        <v>1584</v>
      </c>
      <c r="G231" s="37" t="s">
        <v>1585</v>
      </c>
      <c r="H231" s="36" t="s">
        <v>928</v>
      </c>
      <c r="I231" s="35" t="s">
        <v>1586</v>
      </c>
      <c r="J231" s="36" t="s">
        <v>929</v>
      </c>
      <c r="K231" s="33" t="s">
        <v>916</v>
      </c>
      <c r="L231" s="35" t="s">
        <v>916</v>
      </c>
      <c r="M231" s="36" t="s">
        <v>957</v>
      </c>
      <c r="N231" s="45">
        <v>46123.774305555555</v>
      </c>
      <c r="O231" s="36" t="s">
        <v>25</v>
      </c>
      <c r="P231" s="38">
        <v>0.29699074069999998</v>
      </c>
      <c r="Q231" s="39" t="s">
        <v>919</v>
      </c>
      <c r="R231" s="35" t="s">
        <v>916</v>
      </c>
      <c r="S231" s="35"/>
      <c r="T231" s="35" t="s">
        <v>916</v>
      </c>
      <c r="U231" s="40">
        <v>46124</v>
      </c>
      <c r="V231" s="41">
        <v>46153.532696759263</v>
      </c>
      <c r="W231" s="40">
        <v>46123</v>
      </c>
      <c r="X231" s="35" t="s">
        <v>916</v>
      </c>
      <c r="Y231" s="35" t="s">
        <v>916</v>
      </c>
      <c r="Z231" s="35" t="s">
        <v>916</v>
      </c>
      <c r="AA231" s="38">
        <v>7.1277777768000004</v>
      </c>
      <c r="AB231" s="42" t="s">
        <v>916</v>
      </c>
      <c r="AC231" s="43" t="s">
        <v>916</v>
      </c>
      <c r="AD231" s="43" t="s">
        <v>916</v>
      </c>
      <c r="AE231" s="33" t="s">
        <v>916</v>
      </c>
      <c r="AF231" s="35" t="s">
        <v>916</v>
      </c>
      <c r="AG231" s="44">
        <v>0</v>
      </c>
      <c r="AH231" s="42" t="s">
        <v>916</v>
      </c>
      <c r="AI231" s="32" t="str">
        <f>VLOOKUP(A231,'4月明細'!B:B,1,0)</f>
        <v>20260411-002</v>
      </c>
      <c r="AJ231" s="32">
        <f>VLOOKUP(A231,'4月明細'!B:I,8,0)</f>
        <v>0.3</v>
      </c>
      <c r="AK231" s="47">
        <f t="shared" si="12"/>
        <v>3.0092593000000112E-3</v>
      </c>
    </row>
    <row r="232" spans="1:37" ht="19.95" customHeight="1" x14ac:dyDescent="0.3">
      <c r="A232" s="33" t="s">
        <v>755</v>
      </c>
      <c r="B232" s="34">
        <v>46123.44804398148</v>
      </c>
      <c r="C232" s="34" t="str">
        <f t="shared" si="8"/>
        <v>202604</v>
      </c>
      <c r="D232" s="35" t="s">
        <v>1587</v>
      </c>
      <c r="E232" s="36" t="s">
        <v>942</v>
      </c>
      <c r="F232" s="36" t="s">
        <v>1588</v>
      </c>
      <c r="G232" s="37" t="s">
        <v>1589</v>
      </c>
      <c r="H232" s="36" t="s">
        <v>989</v>
      </c>
      <c r="I232" s="35"/>
      <c r="J232" s="36" t="s">
        <v>929</v>
      </c>
      <c r="K232" s="33" t="s">
        <v>916</v>
      </c>
      <c r="L232" s="35" t="s">
        <v>916</v>
      </c>
      <c r="M232" s="36" t="s">
        <v>957</v>
      </c>
      <c r="N232" s="45">
        <v>46123.775000000001</v>
      </c>
      <c r="O232" s="36" t="s">
        <v>25</v>
      </c>
      <c r="P232" s="38">
        <v>0.3269560185</v>
      </c>
      <c r="Q232" s="39" t="s">
        <v>1590</v>
      </c>
      <c r="R232" s="35" t="s">
        <v>916</v>
      </c>
      <c r="S232" s="35"/>
      <c r="T232" s="35" t="s">
        <v>916</v>
      </c>
      <c r="U232" s="40">
        <v>46124</v>
      </c>
      <c r="V232" s="41">
        <v>46153.532696759263</v>
      </c>
      <c r="W232" s="40">
        <v>46123</v>
      </c>
      <c r="X232" s="35" t="s">
        <v>916</v>
      </c>
      <c r="Y232" s="35" t="s">
        <v>916</v>
      </c>
      <c r="Z232" s="35" t="s">
        <v>916</v>
      </c>
      <c r="AA232" s="38">
        <v>7.846944444</v>
      </c>
      <c r="AB232" s="42" t="s">
        <v>916</v>
      </c>
      <c r="AC232" s="43" t="s">
        <v>916</v>
      </c>
      <c r="AD232" s="43" t="s">
        <v>916</v>
      </c>
      <c r="AE232" s="33" t="s">
        <v>916</v>
      </c>
      <c r="AF232" s="35" t="s">
        <v>916</v>
      </c>
      <c r="AG232" s="44">
        <v>0</v>
      </c>
      <c r="AH232" s="42" t="s">
        <v>916</v>
      </c>
      <c r="AI232" s="32" t="str">
        <f>VLOOKUP(A232,'4月明細'!B:B,1,0)</f>
        <v>20260411-001</v>
      </c>
      <c r="AJ232" s="32">
        <f>VLOOKUP(A232,'4月明細'!B:I,8,0)</f>
        <v>0.33</v>
      </c>
      <c r="AK232" s="47">
        <f t="shared" si="12"/>
        <v>3.0439815000000148E-3</v>
      </c>
    </row>
    <row r="233" spans="1:37" ht="19.95" customHeight="1" x14ac:dyDescent="0.3">
      <c r="A233" s="33" t="s">
        <v>754</v>
      </c>
      <c r="B233" s="34">
        <v>46121.654606481483</v>
      </c>
      <c r="C233" s="34" t="str">
        <f t="shared" si="8"/>
        <v>202604</v>
      </c>
      <c r="D233" s="35" t="s">
        <v>996</v>
      </c>
      <c r="E233" s="36" t="s">
        <v>910</v>
      </c>
      <c r="F233" s="36" t="s">
        <v>1591</v>
      </c>
      <c r="G233" s="37" t="s">
        <v>1592</v>
      </c>
      <c r="H233" s="36" t="s">
        <v>913</v>
      </c>
      <c r="I233" s="35"/>
      <c r="J233" s="36" t="s">
        <v>914</v>
      </c>
      <c r="K233" s="33" t="s">
        <v>916</v>
      </c>
      <c r="L233" s="35" t="s">
        <v>916</v>
      </c>
      <c r="M233" s="36" t="s">
        <v>923</v>
      </c>
      <c r="N233" s="45">
        <v>46121.727083333331</v>
      </c>
      <c r="O233" s="36" t="s">
        <v>25</v>
      </c>
      <c r="P233" s="38">
        <v>7.24768519E-2</v>
      </c>
      <c r="Q233" s="39" t="s">
        <v>919</v>
      </c>
      <c r="R233" s="35" t="s">
        <v>916</v>
      </c>
      <c r="S233" s="35"/>
      <c r="T233" s="35" t="s">
        <v>916</v>
      </c>
      <c r="U233" s="40">
        <v>46122</v>
      </c>
      <c r="V233" s="41">
        <v>46153.532696759263</v>
      </c>
      <c r="W233" s="40">
        <v>46121</v>
      </c>
      <c r="X233" s="35" t="s">
        <v>916</v>
      </c>
      <c r="Y233" s="35" t="s">
        <v>916</v>
      </c>
      <c r="Z233" s="35" t="s">
        <v>916</v>
      </c>
      <c r="AA233" s="38">
        <v>1.7394444456</v>
      </c>
      <c r="AB233" s="42" t="s">
        <v>916</v>
      </c>
      <c r="AC233" s="43" t="s">
        <v>916</v>
      </c>
      <c r="AD233" s="43" t="s">
        <v>916</v>
      </c>
      <c r="AE233" s="33" t="s">
        <v>916</v>
      </c>
      <c r="AF233" s="35" t="s">
        <v>916</v>
      </c>
      <c r="AG233" s="44">
        <v>0</v>
      </c>
      <c r="AH233" s="42" t="s">
        <v>916</v>
      </c>
      <c r="AI233" s="32" t="str">
        <f>VLOOKUP(A233,'4月明細'!B:B,1,0)</f>
        <v>20260409-007</v>
      </c>
      <c r="AJ233" s="32">
        <f>VLOOKUP(A233,'4月明細'!B:I,8,0)</f>
        <v>7.0000000000000007E-2</v>
      </c>
      <c r="AK233" s="47">
        <f t="shared" si="12"/>
        <v>-2.4768518999999933E-3</v>
      </c>
    </row>
    <row r="234" spans="1:37" ht="19.95" customHeight="1" x14ac:dyDescent="0.3">
      <c r="A234" s="33" t="s">
        <v>753</v>
      </c>
      <c r="B234" s="34">
        <v>46121.649409722224</v>
      </c>
      <c r="C234" s="34" t="str">
        <f t="shared" si="8"/>
        <v>202604</v>
      </c>
      <c r="D234" s="35" t="s">
        <v>996</v>
      </c>
      <c r="E234" s="36" t="s">
        <v>910</v>
      </c>
      <c r="F234" s="36" t="s">
        <v>947</v>
      </c>
      <c r="G234" s="37" t="s">
        <v>1593</v>
      </c>
      <c r="H234" s="36" t="s">
        <v>954</v>
      </c>
      <c r="I234" s="35" t="s">
        <v>1594</v>
      </c>
      <c r="J234" s="36" t="s">
        <v>914</v>
      </c>
      <c r="K234" s="33" t="s">
        <v>916</v>
      </c>
      <c r="L234" s="35" t="s">
        <v>916</v>
      </c>
      <c r="M234" s="36" t="s">
        <v>917</v>
      </c>
      <c r="N234" s="45">
        <v>46121.727777777778</v>
      </c>
      <c r="O234" s="36" t="s">
        <v>25</v>
      </c>
      <c r="P234" s="38">
        <v>7.83680556E-2</v>
      </c>
      <c r="Q234" s="39" t="s">
        <v>1071</v>
      </c>
      <c r="R234" s="35" t="s">
        <v>916</v>
      </c>
      <c r="S234" s="35"/>
      <c r="T234" s="35" t="s">
        <v>916</v>
      </c>
      <c r="U234" s="40">
        <v>46122</v>
      </c>
      <c r="V234" s="41">
        <v>46153.532696759263</v>
      </c>
      <c r="W234" s="40">
        <v>46121</v>
      </c>
      <c r="X234" s="35" t="s">
        <v>916</v>
      </c>
      <c r="Y234" s="35" t="s">
        <v>916</v>
      </c>
      <c r="Z234" s="35" t="s">
        <v>916</v>
      </c>
      <c r="AA234" s="38">
        <v>1.8808333343999999</v>
      </c>
      <c r="AB234" s="42" t="s">
        <v>916</v>
      </c>
      <c r="AC234" s="43" t="s">
        <v>916</v>
      </c>
      <c r="AD234" s="43" t="s">
        <v>916</v>
      </c>
      <c r="AE234" s="33" t="s">
        <v>916</v>
      </c>
      <c r="AF234" s="35" t="s">
        <v>916</v>
      </c>
      <c r="AG234" s="44">
        <v>0</v>
      </c>
      <c r="AH234" s="42" t="s">
        <v>916</v>
      </c>
      <c r="AI234" s="32" t="str">
        <f>VLOOKUP(A234,'4月明細'!B:B,1,0)</f>
        <v>20260409-006</v>
      </c>
      <c r="AJ234" s="32">
        <f>VLOOKUP(A234,'4月明細'!B:I,8,0)</f>
        <v>0.08</v>
      </c>
      <c r="AK234" s="47">
        <f t="shared" si="12"/>
        <v>1.6319444000000016E-3</v>
      </c>
    </row>
    <row r="235" spans="1:37" ht="19.95" customHeight="1" x14ac:dyDescent="0.3">
      <c r="A235" s="33" t="s">
        <v>752</v>
      </c>
      <c r="B235" s="34">
        <v>46121.608657407407</v>
      </c>
      <c r="C235" s="34" t="str">
        <f t="shared" si="8"/>
        <v>202604</v>
      </c>
      <c r="D235" s="35" t="s">
        <v>996</v>
      </c>
      <c r="E235" s="36" t="s">
        <v>910</v>
      </c>
      <c r="F235" s="36" t="s">
        <v>1285</v>
      </c>
      <c r="G235" s="37" t="s">
        <v>1096</v>
      </c>
      <c r="H235" s="36" t="s">
        <v>928</v>
      </c>
      <c r="I235" s="35"/>
      <c r="J235" s="36" t="s">
        <v>914</v>
      </c>
      <c r="K235" s="33" t="s">
        <v>916</v>
      </c>
      <c r="L235" s="35" t="s">
        <v>916</v>
      </c>
      <c r="M235" s="36" t="s">
        <v>923</v>
      </c>
      <c r="N235" s="45">
        <v>46121.787499999999</v>
      </c>
      <c r="O235" s="36" t="s">
        <v>25</v>
      </c>
      <c r="P235" s="38">
        <v>0.17884259259999999</v>
      </c>
      <c r="Q235" s="39" t="s">
        <v>1422</v>
      </c>
      <c r="R235" s="35" t="s">
        <v>916</v>
      </c>
      <c r="S235" s="35"/>
      <c r="T235" s="35" t="s">
        <v>916</v>
      </c>
      <c r="U235" s="40">
        <v>46122</v>
      </c>
      <c r="V235" s="41">
        <v>46153.532696759263</v>
      </c>
      <c r="W235" s="40">
        <v>46121</v>
      </c>
      <c r="X235" s="35" t="s">
        <v>916</v>
      </c>
      <c r="Y235" s="35" t="s">
        <v>916</v>
      </c>
      <c r="Z235" s="35" t="s">
        <v>916</v>
      </c>
      <c r="AA235" s="38">
        <v>4.2922222224000004</v>
      </c>
      <c r="AB235" s="42" t="s">
        <v>916</v>
      </c>
      <c r="AC235" s="43" t="s">
        <v>916</v>
      </c>
      <c r="AD235" s="43" t="s">
        <v>916</v>
      </c>
      <c r="AE235" s="33" t="s">
        <v>916</v>
      </c>
      <c r="AF235" s="35" t="s">
        <v>916</v>
      </c>
      <c r="AG235" s="44">
        <v>0</v>
      </c>
      <c r="AH235" s="42" t="s">
        <v>916</v>
      </c>
      <c r="AI235" s="32" t="str">
        <f>VLOOKUP(A235,'4月明細'!B:B,1,0)</f>
        <v>20260409-005</v>
      </c>
      <c r="AJ235" s="32">
        <f>VLOOKUP(A235,'4月明細'!B:I,8,0)</f>
        <v>0.18</v>
      </c>
      <c r="AK235" s="47">
        <f t="shared" si="12"/>
        <v>1.1574074000000045E-3</v>
      </c>
    </row>
    <row r="236" spans="1:37" ht="19.95" customHeight="1" x14ac:dyDescent="0.3">
      <c r="A236" s="33" t="s">
        <v>751</v>
      </c>
      <c r="B236" s="34">
        <v>46121.508668981478</v>
      </c>
      <c r="C236" s="34" t="str">
        <f t="shared" si="8"/>
        <v>202604</v>
      </c>
      <c r="D236" s="35" t="s">
        <v>951</v>
      </c>
      <c r="E236" s="36" t="s">
        <v>910</v>
      </c>
      <c r="F236" s="36" t="s">
        <v>1316</v>
      </c>
      <c r="G236" s="37" t="s">
        <v>1595</v>
      </c>
      <c r="H236" s="36" t="s">
        <v>928</v>
      </c>
      <c r="I236" s="35" t="s">
        <v>1596</v>
      </c>
      <c r="J236" s="36" t="s">
        <v>929</v>
      </c>
      <c r="K236" s="33" t="s">
        <v>916</v>
      </c>
      <c r="L236" s="35" t="s">
        <v>916</v>
      </c>
      <c r="M236" s="36" t="s">
        <v>923</v>
      </c>
      <c r="N236" s="45">
        <v>46121.787499999999</v>
      </c>
      <c r="O236" s="36" t="s">
        <v>25</v>
      </c>
      <c r="P236" s="38">
        <v>0.27883101850000003</v>
      </c>
      <c r="Q236" s="39" t="s">
        <v>1087</v>
      </c>
      <c r="R236" s="35" t="s">
        <v>916</v>
      </c>
      <c r="S236" s="35"/>
      <c r="T236" s="35" t="s">
        <v>916</v>
      </c>
      <c r="U236" s="40">
        <v>46122</v>
      </c>
      <c r="V236" s="41">
        <v>46153.532696759263</v>
      </c>
      <c r="W236" s="40">
        <v>46121</v>
      </c>
      <c r="X236" s="35" t="s">
        <v>916</v>
      </c>
      <c r="Y236" s="35" t="s">
        <v>916</v>
      </c>
      <c r="Z236" s="35" t="s">
        <v>916</v>
      </c>
      <c r="AA236" s="38">
        <v>6.6919444439999998</v>
      </c>
      <c r="AB236" s="42" t="s">
        <v>916</v>
      </c>
      <c r="AC236" s="43" t="s">
        <v>916</v>
      </c>
      <c r="AD236" s="43" t="s">
        <v>916</v>
      </c>
      <c r="AE236" s="33" t="s">
        <v>916</v>
      </c>
      <c r="AF236" s="35" t="s">
        <v>916</v>
      </c>
      <c r="AG236" s="44">
        <v>0</v>
      </c>
      <c r="AH236" s="42" t="s">
        <v>916</v>
      </c>
      <c r="AI236" s="32" t="str">
        <f>VLOOKUP(A236,'4月明細'!B:B,1,0)</f>
        <v>20260409-004</v>
      </c>
      <c r="AJ236" s="32">
        <f>VLOOKUP(A236,'4月明細'!B:I,8,0)</f>
        <v>0.28000000000000003</v>
      </c>
      <c r="AK236" s="47">
        <f t="shared" si="12"/>
        <v>1.1689814999999992E-3</v>
      </c>
    </row>
    <row r="237" spans="1:37" ht="19.95" customHeight="1" x14ac:dyDescent="0.3">
      <c r="A237" s="33" t="s">
        <v>750</v>
      </c>
      <c r="B237" s="34">
        <v>46121.467523148145</v>
      </c>
      <c r="C237" s="34" t="str">
        <f t="shared" si="8"/>
        <v>202604</v>
      </c>
      <c r="D237" s="35" t="s">
        <v>1597</v>
      </c>
      <c r="E237" s="36" t="s">
        <v>942</v>
      </c>
      <c r="F237" s="36" t="s">
        <v>1229</v>
      </c>
      <c r="G237" s="37" t="s">
        <v>1598</v>
      </c>
      <c r="H237" s="36" t="s">
        <v>1023</v>
      </c>
      <c r="I237" s="35"/>
      <c r="J237" s="36" t="s">
        <v>945</v>
      </c>
      <c r="K237" s="33" t="s">
        <v>916</v>
      </c>
      <c r="L237" s="35" t="s">
        <v>916</v>
      </c>
      <c r="M237" s="36" t="s">
        <v>923</v>
      </c>
      <c r="N237" s="45">
        <v>46121.788194444445</v>
      </c>
      <c r="O237" s="36" t="s">
        <v>25</v>
      </c>
      <c r="P237" s="38">
        <v>0.32067129630000002</v>
      </c>
      <c r="Q237" s="39" t="s">
        <v>1599</v>
      </c>
      <c r="R237" s="35" t="s">
        <v>916</v>
      </c>
      <c r="S237" s="35"/>
      <c r="T237" s="35" t="s">
        <v>916</v>
      </c>
      <c r="U237" s="40">
        <v>46122</v>
      </c>
      <c r="V237" s="41">
        <v>46153.532696759263</v>
      </c>
      <c r="W237" s="40">
        <v>46121</v>
      </c>
      <c r="X237" s="35" t="s">
        <v>916</v>
      </c>
      <c r="Y237" s="35" t="s">
        <v>916</v>
      </c>
      <c r="Z237" s="35" t="s">
        <v>916</v>
      </c>
      <c r="AA237" s="38">
        <v>7.6961111111999996</v>
      </c>
      <c r="AB237" s="42" t="s">
        <v>916</v>
      </c>
      <c r="AC237" s="43" t="s">
        <v>916</v>
      </c>
      <c r="AD237" s="43" t="s">
        <v>916</v>
      </c>
      <c r="AE237" s="33" t="s">
        <v>916</v>
      </c>
      <c r="AF237" s="35" t="s">
        <v>916</v>
      </c>
      <c r="AG237" s="44">
        <v>0</v>
      </c>
      <c r="AH237" s="42" t="s">
        <v>916</v>
      </c>
      <c r="AI237" s="32" t="str">
        <f>VLOOKUP(A237,'4月明細'!B:B,1,0)</f>
        <v>20260409-003</v>
      </c>
      <c r="AJ237" s="32">
        <f>VLOOKUP(A237,'4月明細'!B:I,8,0)</f>
        <v>0.32</v>
      </c>
      <c r="AK237" s="47">
        <f t="shared" si="12"/>
        <v>-6.7129630000001272E-4</v>
      </c>
    </row>
    <row r="238" spans="1:37" ht="19.95" customHeight="1" x14ac:dyDescent="0.3">
      <c r="A238" s="33" t="s">
        <v>1600</v>
      </c>
      <c r="B238" s="34">
        <v>46121.386574074073</v>
      </c>
      <c r="C238" s="34" t="str">
        <f t="shared" si="8"/>
        <v>202604</v>
      </c>
      <c r="D238" s="35" t="s">
        <v>941</v>
      </c>
      <c r="E238" s="36" t="s">
        <v>1199</v>
      </c>
      <c r="F238" s="36" t="s">
        <v>1433</v>
      </c>
      <c r="G238" s="37" t="s">
        <v>1601</v>
      </c>
      <c r="H238" s="36" t="s">
        <v>1114</v>
      </c>
      <c r="I238" s="35"/>
      <c r="J238" s="36" t="s">
        <v>938</v>
      </c>
      <c r="K238" s="33" t="s">
        <v>916</v>
      </c>
      <c r="L238" s="35" t="s">
        <v>916</v>
      </c>
      <c r="M238" s="36" t="s">
        <v>1039</v>
      </c>
      <c r="N238" s="45">
        <v>46122.466666666667</v>
      </c>
      <c r="O238" s="36" t="s">
        <v>1602</v>
      </c>
      <c r="P238" s="38">
        <v>1.0800925926</v>
      </c>
      <c r="Q238" s="39" t="s">
        <v>1603</v>
      </c>
      <c r="R238" s="35" t="s">
        <v>916</v>
      </c>
      <c r="S238" s="35"/>
      <c r="T238" s="35" t="s">
        <v>916</v>
      </c>
      <c r="U238" s="40">
        <v>46122</v>
      </c>
      <c r="V238" s="41">
        <v>46153.532696759263</v>
      </c>
      <c r="W238" s="40">
        <v>46121</v>
      </c>
      <c r="X238" s="35" t="s">
        <v>916</v>
      </c>
      <c r="Y238" s="35" t="s">
        <v>916</v>
      </c>
      <c r="Z238" s="35" t="s">
        <v>916</v>
      </c>
      <c r="AA238" s="38">
        <v>25.922222222399999</v>
      </c>
      <c r="AB238" s="42" t="s">
        <v>916</v>
      </c>
      <c r="AC238" s="43" t="s">
        <v>916</v>
      </c>
      <c r="AD238" s="43" t="s">
        <v>916</v>
      </c>
      <c r="AE238" s="33" t="s">
        <v>916</v>
      </c>
      <c r="AF238" s="35" t="s">
        <v>916</v>
      </c>
      <c r="AG238" s="44">
        <v>0</v>
      </c>
      <c r="AH238" s="42" t="s">
        <v>916</v>
      </c>
      <c r="AI238" s="32" t="e">
        <f>VLOOKUP(A238,'4月明細'!B:B,1,0)</f>
        <v>#N/A</v>
      </c>
    </row>
    <row r="239" spans="1:37" ht="19.95" customHeight="1" x14ac:dyDescent="0.3">
      <c r="A239" s="33" t="s">
        <v>749</v>
      </c>
      <c r="B239" s="34">
        <v>46120.587002314816</v>
      </c>
      <c r="C239" s="34" t="str">
        <f t="shared" si="8"/>
        <v>202604</v>
      </c>
      <c r="D239" s="35" t="s">
        <v>996</v>
      </c>
      <c r="E239" s="36" t="s">
        <v>910</v>
      </c>
      <c r="F239" s="36" t="s">
        <v>1381</v>
      </c>
      <c r="G239" s="37" t="s">
        <v>1604</v>
      </c>
      <c r="H239" s="36" t="s">
        <v>928</v>
      </c>
      <c r="I239" s="35" t="s">
        <v>1605</v>
      </c>
      <c r="J239" s="36" t="s">
        <v>914</v>
      </c>
      <c r="K239" s="33" t="s">
        <v>916</v>
      </c>
      <c r="L239" s="35" t="s">
        <v>916</v>
      </c>
      <c r="M239" s="36" t="s">
        <v>917</v>
      </c>
      <c r="N239" s="45">
        <v>46121.834027777775</v>
      </c>
      <c r="O239" s="36" t="s">
        <v>25</v>
      </c>
      <c r="P239" s="38">
        <v>1.2470254629999999</v>
      </c>
      <c r="Q239" s="39" t="s">
        <v>1291</v>
      </c>
      <c r="R239" s="35" t="s">
        <v>916</v>
      </c>
      <c r="S239" s="35"/>
      <c r="T239" s="35" t="s">
        <v>916</v>
      </c>
      <c r="U239" s="40">
        <v>46121</v>
      </c>
      <c r="V239" s="41">
        <v>46153.532696759263</v>
      </c>
      <c r="W239" s="40">
        <v>46120</v>
      </c>
      <c r="X239" s="35" t="s">
        <v>916</v>
      </c>
      <c r="Y239" s="35" t="s">
        <v>916</v>
      </c>
      <c r="Z239" s="35" t="s">
        <v>916</v>
      </c>
      <c r="AA239" s="38">
        <v>29.928611111999999</v>
      </c>
      <c r="AB239" s="42" t="s">
        <v>916</v>
      </c>
      <c r="AC239" s="43" t="s">
        <v>916</v>
      </c>
      <c r="AD239" s="43" t="s">
        <v>916</v>
      </c>
      <c r="AE239" s="33" t="s">
        <v>916</v>
      </c>
      <c r="AF239" s="35" t="s">
        <v>916</v>
      </c>
      <c r="AG239" s="44">
        <v>0</v>
      </c>
      <c r="AH239" s="42" t="s">
        <v>916</v>
      </c>
      <c r="AI239" s="32" t="str">
        <f>VLOOKUP(A239,'4月明細'!B:B,1,0)</f>
        <v>20260408-011</v>
      </c>
      <c r="AJ239" s="32">
        <f>VLOOKUP(A239,'4月明細'!B:I,8,0)</f>
        <v>1.25</v>
      </c>
      <c r="AK239" s="47">
        <f t="shared" ref="AK239:AK251" si="13">AJ239-P239</f>
        <v>2.9745370000000548E-3</v>
      </c>
    </row>
    <row r="240" spans="1:37" ht="19.95" customHeight="1" x14ac:dyDescent="0.3">
      <c r="A240" s="33" t="s">
        <v>748</v>
      </c>
      <c r="B240" s="34">
        <v>46120.576041666667</v>
      </c>
      <c r="C240" s="34" t="str">
        <f t="shared" si="8"/>
        <v>202604</v>
      </c>
      <c r="D240" s="35" t="s">
        <v>996</v>
      </c>
      <c r="E240" s="36" t="s">
        <v>910</v>
      </c>
      <c r="F240" s="36" t="s">
        <v>1606</v>
      </c>
      <c r="G240" s="37" t="s">
        <v>1096</v>
      </c>
      <c r="H240" s="36" t="s">
        <v>928</v>
      </c>
      <c r="I240" s="35"/>
      <c r="J240" s="36" t="s">
        <v>914</v>
      </c>
      <c r="K240" s="33" t="s">
        <v>916</v>
      </c>
      <c r="L240" s="35" t="s">
        <v>916</v>
      </c>
      <c r="M240" s="36" t="s">
        <v>923</v>
      </c>
      <c r="N240" s="45">
        <v>46121.79583333333</v>
      </c>
      <c r="O240" s="36" t="s">
        <v>25</v>
      </c>
      <c r="P240" s="38">
        <v>1.2197916666999999</v>
      </c>
      <c r="Q240" s="39" t="s">
        <v>1422</v>
      </c>
      <c r="R240" s="35" t="s">
        <v>916</v>
      </c>
      <c r="S240" s="35"/>
      <c r="T240" s="35" t="s">
        <v>916</v>
      </c>
      <c r="U240" s="40">
        <v>46121</v>
      </c>
      <c r="V240" s="41">
        <v>46153.532696759263</v>
      </c>
      <c r="W240" s="40">
        <v>46120</v>
      </c>
      <c r="X240" s="35" t="s">
        <v>916</v>
      </c>
      <c r="Y240" s="35" t="s">
        <v>916</v>
      </c>
      <c r="Z240" s="35" t="s">
        <v>916</v>
      </c>
      <c r="AA240" s="38">
        <v>29.275000000799999</v>
      </c>
      <c r="AB240" s="42" t="s">
        <v>916</v>
      </c>
      <c r="AC240" s="43" t="s">
        <v>916</v>
      </c>
      <c r="AD240" s="43" t="s">
        <v>916</v>
      </c>
      <c r="AE240" s="33" t="s">
        <v>916</v>
      </c>
      <c r="AF240" s="35" t="s">
        <v>916</v>
      </c>
      <c r="AG240" s="44">
        <v>0</v>
      </c>
      <c r="AH240" s="42" t="s">
        <v>916</v>
      </c>
      <c r="AI240" s="32" t="str">
        <f>VLOOKUP(A240,'4月明細'!B:B,1,0)</f>
        <v>20260408-010</v>
      </c>
      <c r="AJ240" s="32">
        <f>VLOOKUP(A240,'4月明細'!B:I,8,0)</f>
        <v>1.22</v>
      </c>
      <c r="AK240" s="47">
        <f t="shared" si="13"/>
        <v>2.0833330000002981E-4</v>
      </c>
    </row>
    <row r="241" spans="1:37" ht="19.95" customHeight="1" x14ac:dyDescent="0.3">
      <c r="A241" s="33" t="s">
        <v>747</v>
      </c>
      <c r="B241" s="34">
        <v>46120.519421296296</v>
      </c>
      <c r="C241" s="34" t="str">
        <f t="shared" si="8"/>
        <v>202604</v>
      </c>
      <c r="D241" s="35" t="s">
        <v>909</v>
      </c>
      <c r="E241" s="36" t="s">
        <v>910</v>
      </c>
      <c r="F241" s="36" t="s">
        <v>1141</v>
      </c>
      <c r="G241" s="37" t="s">
        <v>1499</v>
      </c>
      <c r="H241" s="36" t="s">
        <v>928</v>
      </c>
      <c r="I241" s="35"/>
      <c r="J241" s="36" t="s">
        <v>929</v>
      </c>
      <c r="K241" s="33" t="s">
        <v>916</v>
      </c>
      <c r="L241" s="35" t="s">
        <v>916</v>
      </c>
      <c r="M241" s="36" t="s">
        <v>917</v>
      </c>
      <c r="N241" s="45">
        <v>46121.831944444442</v>
      </c>
      <c r="O241" s="36" t="s">
        <v>25</v>
      </c>
      <c r="P241" s="38">
        <v>1.3125231480999999</v>
      </c>
      <c r="Q241" s="39" t="s">
        <v>958</v>
      </c>
      <c r="R241" s="35" t="s">
        <v>916</v>
      </c>
      <c r="S241" s="35"/>
      <c r="T241" s="35" t="s">
        <v>916</v>
      </c>
      <c r="U241" s="40">
        <v>46121</v>
      </c>
      <c r="V241" s="41">
        <v>46153.532696759263</v>
      </c>
      <c r="W241" s="40">
        <v>46120</v>
      </c>
      <c r="X241" s="35" t="s">
        <v>916</v>
      </c>
      <c r="Y241" s="35" t="s">
        <v>916</v>
      </c>
      <c r="Z241" s="35" t="s">
        <v>916</v>
      </c>
      <c r="AA241" s="38">
        <v>31.500555554400002</v>
      </c>
      <c r="AB241" s="42" t="s">
        <v>916</v>
      </c>
      <c r="AC241" s="43" t="s">
        <v>916</v>
      </c>
      <c r="AD241" s="43" t="s">
        <v>916</v>
      </c>
      <c r="AE241" s="33" t="s">
        <v>916</v>
      </c>
      <c r="AF241" s="35" t="s">
        <v>916</v>
      </c>
      <c r="AG241" s="44">
        <v>0</v>
      </c>
      <c r="AH241" s="42" t="s">
        <v>916</v>
      </c>
      <c r="AI241" s="32" t="str">
        <f>VLOOKUP(A241,'4月明細'!B:B,1,0)</f>
        <v>20260408-009</v>
      </c>
      <c r="AJ241" s="32">
        <f>VLOOKUP(A241,'4月明細'!B:I,8,0)</f>
        <v>1.31</v>
      </c>
      <c r="AK241" s="47">
        <f t="shared" si="13"/>
        <v>-2.5231480999998723E-3</v>
      </c>
    </row>
    <row r="242" spans="1:37" ht="19.95" customHeight="1" x14ac:dyDescent="0.3">
      <c r="A242" s="33" t="s">
        <v>746</v>
      </c>
      <c r="B242" s="34">
        <v>46120.514849537038</v>
      </c>
      <c r="C242" s="34" t="str">
        <f t="shared" si="8"/>
        <v>202604</v>
      </c>
      <c r="D242" s="35" t="s">
        <v>996</v>
      </c>
      <c r="E242" s="36" t="s">
        <v>910</v>
      </c>
      <c r="F242" s="36" t="s">
        <v>1469</v>
      </c>
      <c r="G242" s="37" t="s">
        <v>1607</v>
      </c>
      <c r="H242" s="36" t="s">
        <v>954</v>
      </c>
      <c r="I242" s="35"/>
      <c r="J242" s="36" t="s">
        <v>914</v>
      </c>
      <c r="K242" s="33" t="s">
        <v>916</v>
      </c>
      <c r="L242" s="35" t="s">
        <v>916</v>
      </c>
      <c r="M242" s="36" t="s">
        <v>923</v>
      </c>
      <c r="N242" s="45">
        <v>46122.697916666664</v>
      </c>
      <c r="O242" s="36" t="s">
        <v>25</v>
      </c>
      <c r="P242" s="38">
        <v>2.1830671295999999</v>
      </c>
      <c r="Q242" s="39" t="s">
        <v>1328</v>
      </c>
      <c r="R242" s="35" t="s">
        <v>916</v>
      </c>
      <c r="S242" s="35"/>
      <c r="T242" s="35" t="s">
        <v>916</v>
      </c>
      <c r="U242" s="40">
        <v>46121</v>
      </c>
      <c r="V242" s="41">
        <v>46153.532696759263</v>
      </c>
      <c r="W242" s="40">
        <v>46120</v>
      </c>
      <c r="X242" s="35" t="s">
        <v>916</v>
      </c>
      <c r="Y242" s="35" t="s">
        <v>916</v>
      </c>
      <c r="Z242" s="35" t="s">
        <v>916</v>
      </c>
      <c r="AA242" s="38">
        <v>52.393611110400002</v>
      </c>
      <c r="AB242" s="42" t="s">
        <v>916</v>
      </c>
      <c r="AC242" s="43" t="s">
        <v>916</v>
      </c>
      <c r="AD242" s="43" t="s">
        <v>916</v>
      </c>
      <c r="AE242" s="33" t="s">
        <v>916</v>
      </c>
      <c r="AF242" s="35" t="s">
        <v>916</v>
      </c>
      <c r="AG242" s="44">
        <v>0</v>
      </c>
      <c r="AH242" s="42" t="s">
        <v>916</v>
      </c>
      <c r="AI242" s="32" t="str">
        <f>VLOOKUP(A242,'4月明細'!B:B,1,0)</f>
        <v>20260408-008</v>
      </c>
      <c r="AJ242" s="32">
        <f>VLOOKUP(A242,'4月明細'!B:I,8,0)</f>
        <v>2.1800000000000002</v>
      </c>
      <c r="AK242" s="47">
        <f t="shared" si="13"/>
        <v>-3.0671295999997739E-3</v>
      </c>
    </row>
    <row r="243" spans="1:37" ht="19.95" customHeight="1" x14ac:dyDescent="0.3">
      <c r="A243" s="33" t="s">
        <v>745</v>
      </c>
      <c r="B243" s="34">
        <v>46120.513888888891</v>
      </c>
      <c r="C243" s="34" t="str">
        <f t="shared" si="8"/>
        <v>202604</v>
      </c>
      <c r="D243" s="35" t="s">
        <v>909</v>
      </c>
      <c r="E243" s="36" t="s">
        <v>910</v>
      </c>
      <c r="F243" s="36" t="s">
        <v>1521</v>
      </c>
      <c r="G243" s="37" t="s">
        <v>1608</v>
      </c>
      <c r="H243" s="36" t="s">
        <v>928</v>
      </c>
      <c r="I243" s="35"/>
      <c r="J243" s="36" t="s">
        <v>929</v>
      </c>
      <c r="K243" s="33" t="s">
        <v>916</v>
      </c>
      <c r="L243" s="35" t="s">
        <v>916</v>
      </c>
      <c r="M243" s="36" t="s">
        <v>917</v>
      </c>
      <c r="N243" s="45">
        <v>46121.832638888889</v>
      </c>
      <c r="O243" s="36" t="s">
        <v>25</v>
      </c>
      <c r="P243" s="38">
        <v>1.3187500000000001</v>
      </c>
      <c r="Q243" s="39" t="s">
        <v>994</v>
      </c>
      <c r="R243" s="35" t="s">
        <v>916</v>
      </c>
      <c r="S243" s="35"/>
      <c r="T243" s="35" t="s">
        <v>916</v>
      </c>
      <c r="U243" s="40">
        <v>46121</v>
      </c>
      <c r="V243" s="41">
        <v>46153.532696759263</v>
      </c>
      <c r="W243" s="40">
        <v>46120</v>
      </c>
      <c r="X243" s="35" t="s">
        <v>916</v>
      </c>
      <c r="Y243" s="35" t="s">
        <v>916</v>
      </c>
      <c r="Z243" s="35" t="s">
        <v>916</v>
      </c>
      <c r="AA243" s="38">
        <v>31.65</v>
      </c>
      <c r="AB243" s="42" t="s">
        <v>916</v>
      </c>
      <c r="AC243" s="43" t="s">
        <v>916</v>
      </c>
      <c r="AD243" s="43" t="s">
        <v>916</v>
      </c>
      <c r="AE243" s="33" t="s">
        <v>916</v>
      </c>
      <c r="AF243" s="35" t="s">
        <v>916</v>
      </c>
      <c r="AG243" s="44">
        <v>0</v>
      </c>
      <c r="AH243" s="42" t="s">
        <v>916</v>
      </c>
      <c r="AI243" s="32" t="str">
        <f>VLOOKUP(A243,'4月明細'!B:B,1,0)</f>
        <v>20260408-007</v>
      </c>
      <c r="AJ243" s="32">
        <f>VLOOKUP(A243,'4月明細'!B:I,8,0)</f>
        <v>1.32</v>
      </c>
      <c r="AK243" s="47">
        <f t="shared" si="13"/>
        <v>1.2499999999999734E-3</v>
      </c>
    </row>
    <row r="244" spans="1:37" ht="19.95" customHeight="1" x14ac:dyDescent="0.3">
      <c r="A244" s="33" t="s">
        <v>744</v>
      </c>
      <c r="B244" s="34">
        <v>46120.503078703703</v>
      </c>
      <c r="C244" s="34" t="str">
        <f t="shared" si="8"/>
        <v>202604</v>
      </c>
      <c r="D244" s="35" t="s">
        <v>909</v>
      </c>
      <c r="E244" s="36" t="s">
        <v>910</v>
      </c>
      <c r="F244" s="36" t="s">
        <v>1521</v>
      </c>
      <c r="G244" s="37" t="s">
        <v>1609</v>
      </c>
      <c r="H244" s="36" t="s">
        <v>954</v>
      </c>
      <c r="I244" s="35"/>
      <c r="J244" s="36" t="s">
        <v>914</v>
      </c>
      <c r="K244" s="33" t="s">
        <v>916</v>
      </c>
      <c r="L244" s="35" t="s">
        <v>916</v>
      </c>
      <c r="M244" s="36" t="s">
        <v>957</v>
      </c>
      <c r="N244" s="45">
        <v>46121.798611111109</v>
      </c>
      <c r="O244" s="36" t="s">
        <v>25</v>
      </c>
      <c r="P244" s="38">
        <v>1.2955324074000001</v>
      </c>
      <c r="Q244" s="39" t="s">
        <v>984</v>
      </c>
      <c r="R244" s="35" t="s">
        <v>916</v>
      </c>
      <c r="S244" s="35"/>
      <c r="T244" s="35" t="s">
        <v>916</v>
      </c>
      <c r="U244" s="40">
        <v>46121</v>
      </c>
      <c r="V244" s="41">
        <v>46153.532696759263</v>
      </c>
      <c r="W244" s="40">
        <v>46120</v>
      </c>
      <c r="X244" s="35" t="s">
        <v>916</v>
      </c>
      <c r="Y244" s="35" t="s">
        <v>916</v>
      </c>
      <c r="Z244" s="35" t="s">
        <v>916</v>
      </c>
      <c r="AA244" s="38">
        <v>31.092777777599999</v>
      </c>
      <c r="AB244" s="42" t="s">
        <v>916</v>
      </c>
      <c r="AC244" s="43" t="s">
        <v>916</v>
      </c>
      <c r="AD244" s="43" t="s">
        <v>916</v>
      </c>
      <c r="AE244" s="33" t="s">
        <v>916</v>
      </c>
      <c r="AF244" s="35" t="s">
        <v>916</v>
      </c>
      <c r="AG244" s="44">
        <v>0</v>
      </c>
      <c r="AH244" s="42" t="s">
        <v>916</v>
      </c>
      <c r="AI244" s="32" t="str">
        <f>VLOOKUP(A244,'4月明細'!B:B,1,0)</f>
        <v>20260408-006</v>
      </c>
      <c r="AJ244" s="32">
        <f>VLOOKUP(A244,'4月明細'!B:I,8,0)</f>
        <v>1.3</v>
      </c>
      <c r="AK244" s="47">
        <f t="shared" si="13"/>
        <v>4.4675925999999588E-3</v>
      </c>
    </row>
    <row r="245" spans="1:37" ht="19.95" customHeight="1" x14ac:dyDescent="0.3">
      <c r="A245" s="33" t="s">
        <v>743</v>
      </c>
      <c r="B245" s="34">
        <v>46120.492129629631</v>
      </c>
      <c r="C245" s="34" t="str">
        <f t="shared" si="8"/>
        <v>202604</v>
      </c>
      <c r="D245" s="35" t="s">
        <v>909</v>
      </c>
      <c r="E245" s="36" t="s">
        <v>910</v>
      </c>
      <c r="F245" s="36" t="s">
        <v>943</v>
      </c>
      <c r="G245" s="37" t="s">
        <v>1610</v>
      </c>
      <c r="H245" s="36" t="s">
        <v>928</v>
      </c>
      <c r="I245" s="35" t="s">
        <v>1611</v>
      </c>
      <c r="J245" s="36" t="s">
        <v>929</v>
      </c>
      <c r="K245" s="33" t="s">
        <v>916</v>
      </c>
      <c r="L245" s="35" t="s">
        <v>916</v>
      </c>
      <c r="M245" s="36" t="s">
        <v>957</v>
      </c>
      <c r="N245" s="45">
        <v>46121.79791666667</v>
      </c>
      <c r="O245" s="36" t="s">
        <v>25</v>
      </c>
      <c r="P245" s="38">
        <v>1.305787037</v>
      </c>
      <c r="Q245" s="39" t="s">
        <v>1422</v>
      </c>
      <c r="R245" s="35" t="s">
        <v>916</v>
      </c>
      <c r="S245" s="35"/>
      <c r="T245" s="35" t="s">
        <v>916</v>
      </c>
      <c r="U245" s="40">
        <v>46121</v>
      </c>
      <c r="V245" s="41">
        <v>46153.532696759263</v>
      </c>
      <c r="W245" s="40">
        <v>46120</v>
      </c>
      <c r="X245" s="35" t="s">
        <v>916</v>
      </c>
      <c r="Y245" s="35" t="s">
        <v>916</v>
      </c>
      <c r="Z245" s="35" t="s">
        <v>916</v>
      </c>
      <c r="AA245" s="38">
        <v>31.338888888</v>
      </c>
      <c r="AB245" s="42" t="s">
        <v>916</v>
      </c>
      <c r="AC245" s="43" t="s">
        <v>916</v>
      </c>
      <c r="AD245" s="43" t="s">
        <v>916</v>
      </c>
      <c r="AE245" s="33" t="s">
        <v>916</v>
      </c>
      <c r="AF245" s="35" t="s">
        <v>916</v>
      </c>
      <c r="AG245" s="44">
        <v>0</v>
      </c>
      <c r="AH245" s="42" t="s">
        <v>916</v>
      </c>
      <c r="AI245" s="32" t="str">
        <f>VLOOKUP(A245,'4月明細'!B:B,1,0)</f>
        <v>20260408-005</v>
      </c>
      <c r="AJ245" s="32">
        <f>VLOOKUP(A245,'4月明細'!B:I,8,0)</f>
        <v>1.31</v>
      </c>
      <c r="AK245" s="47">
        <f t="shared" si="13"/>
        <v>4.2129630000000695E-3</v>
      </c>
    </row>
    <row r="246" spans="1:37" ht="19.95" customHeight="1" x14ac:dyDescent="0.3">
      <c r="A246" s="33" t="s">
        <v>742</v>
      </c>
      <c r="B246" s="34">
        <v>46120.472939814812</v>
      </c>
      <c r="C246" s="34" t="str">
        <f t="shared" si="8"/>
        <v>202604</v>
      </c>
      <c r="D246" s="35" t="s">
        <v>941</v>
      </c>
      <c r="E246" s="36" t="s">
        <v>942</v>
      </c>
      <c r="F246" s="36" t="s">
        <v>1612</v>
      </c>
      <c r="G246" s="37" t="s">
        <v>1613</v>
      </c>
      <c r="H246" s="36" t="s">
        <v>1114</v>
      </c>
      <c r="I246" s="35"/>
      <c r="J246" s="36" t="s">
        <v>929</v>
      </c>
      <c r="K246" s="33" t="s">
        <v>916</v>
      </c>
      <c r="L246" s="35" t="s">
        <v>916</v>
      </c>
      <c r="M246" s="36" t="s">
        <v>957</v>
      </c>
      <c r="N246" s="45">
        <v>46121.797222222223</v>
      </c>
      <c r="O246" s="36" t="s">
        <v>25</v>
      </c>
      <c r="P246" s="38">
        <v>1.3242824073999999</v>
      </c>
      <c r="Q246" s="39" t="s">
        <v>1614</v>
      </c>
      <c r="R246" s="35" t="s">
        <v>916</v>
      </c>
      <c r="S246" s="35"/>
      <c r="T246" s="35" t="s">
        <v>916</v>
      </c>
      <c r="U246" s="40">
        <v>46121</v>
      </c>
      <c r="V246" s="41">
        <v>46153.532696759263</v>
      </c>
      <c r="W246" s="40">
        <v>46120</v>
      </c>
      <c r="X246" s="35" t="s">
        <v>916</v>
      </c>
      <c r="Y246" s="35" t="s">
        <v>916</v>
      </c>
      <c r="Z246" s="35" t="s">
        <v>916</v>
      </c>
      <c r="AA246" s="38">
        <v>31.7827777776</v>
      </c>
      <c r="AB246" s="42" t="s">
        <v>916</v>
      </c>
      <c r="AC246" s="43" t="s">
        <v>916</v>
      </c>
      <c r="AD246" s="43" t="s">
        <v>916</v>
      </c>
      <c r="AE246" s="33" t="s">
        <v>916</v>
      </c>
      <c r="AF246" s="35" t="s">
        <v>916</v>
      </c>
      <c r="AG246" s="44">
        <v>0</v>
      </c>
      <c r="AH246" s="42" t="s">
        <v>916</v>
      </c>
      <c r="AI246" s="32" t="str">
        <f>VLOOKUP(A246,'4月明細'!B:B,1,0)</f>
        <v>20260408-004</v>
      </c>
      <c r="AJ246" s="32">
        <f>VLOOKUP(A246,'4月明細'!B:I,8,0)</f>
        <v>1.32</v>
      </c>
      <c r="AK246" s="47">
        <f t="shared" si="13"/>
        <v>-4.2824073999998546E-3</v>
      </c>
    </row>
    <row r="247" spans="1:37" ht="19.95" customHeight="1" x14ac:dyDescent="0.3">
      <c r="A247" s="33" t="s">
        <v>741</v>
      </c>
      <c r="B247" s="34">
        <v>46120.415613425925</v>
      </c>
      <c r="C247" s="34" t="str">
        <f t="shared" si="8"/>
        <v>202604</v>
      </c>
      <c r="D247" s="35" t="s">
        <v>909</v>
      </c>
      <c r="E247" s="36" t="s">
        <v>910</v>
      </c>
      <c r="F247" s="36" t="s">
        <v>1207</v>
      </c>
      <c r="G247" s="37" t="s">
        <v>1615</v>
      </c>
      <c r="H247" s="36" t="s">
        <v>928</v>
      </c>
      <c r="I247" s="35" t="s">
        <v>1616</v>
      </c>
      <c r="J247" s="36" t="s">
        <v>929</v>
      </c>
      <c r="K247" s="33" t="s">
        <v>916</v>
      </c>
      <c r="L247" s="35" t="s">
        <v>916</v>
      </c>
      <c r="M247" s="36" t="s">
        <v>917</v>
      </c>
      <c r="N247" s="45">
        <v>46121.833333333336</v>
      </c>
      <c r="O247" s="36" t="s">
        <v>25</v>
      </c>
      <c r="P247" s="38">
        <v>1.4177199074</v>
      </c>
      <c r="Q247" s="39" t="s">
        <v>1291</v>
      </c>
      <c r="R247" s="35" t="s">
        <v>916</v>
      </c>
      <c r="S247" s="35"/>
      <c r="T247" s="35" t="s">
        <v>916</v>
      </c>
      <c r="U247" s="40">
        <v>46121</v>
      </c>
      <c r="V247" s="41">
        <v>46153.532696759263</v>
      </c>
      <c r="W247" s="40">
        <v>46120</v>
      </c>
      <c r="X247" s="35" t="s">
        <v>916</v>
      </c>
      <c r="Y247" s="35" t="s">
        <v>916</v>
      </c>
      <c r="Z247" s="35" t="s">
        <v>916</v>
      </c>
      <c r="AA247" s="38">
        <v>34.025277777600003</v>
      </c>
      <c r="AB247" s="42" t="s">
        <v>916</v>
      </c>
      <c r="AC247" s="43" t="s">
        <v>916</v>
      </c>
      <c r="AD247" s="43" t="s">
        <v>916</v>
      </c>
      <c r="AE247" s="33" t="s">
        <v>916</v>
      </c>
      <c r="AF247" s="35" t="s">
        <v>916</v>
      </c>
      <c r="AG247" s="44">
        <v>0</v>
      </c>
      <c r="AH247" s="42" t="s">
        <v>916</v>
      </c>
      <c r="AI247" s="32" t="str">
        <f>VLOOKUP(A247,'4月明細'!B:B,1,0)</f>
        <v>20260408-003</v>
      </c>
      <c r="AJ247" s="32">
        <f>VLOOKUP(A247,'4月明細'!B:I,8,0)</f>
        <v>1.42</v>
      </c>
      <c r="AK247" s="47">
        <f t="shared" si="13"/>
        <v>2.28009259999995E-3</v>
      </c>
    </row>
    <row r="248" spans="1:37" ht="19.95" customHeight="1" x14ac:dyDescent="0.3">
      <c r="A248" s="33" t="s">
        <v>740</v>
      </c>
      <c r="B248" s="34">
        <v>46120.413263888891</v>
      </c>
      <c r="C248" s="34" t="str">
        <f t="shared" si="8"/>
        <v>202604</v>
      </c>
      <c r="D248" s="35" t="s">
        <v>909</v>
      </c>
      <c r="E248" s="36" t="s">
        <v>910</v>
      </c>
      <c r="F248" s="36" t="s">
        <v>1207</v>
      </c>
      <c r="G248" s="37" t="s">
        <v>1617</v>
      </c>
      <c r="H248" s="36" t="s">
        <v>1023</v>
      </c>
      <c r="I248" s="35" t="s">
        <v>1618</v>
      </c>
      <c r="J248" s="36" t="s">
        <v>929</v>
      </c>
      <c r="K248" s="33" t="s">
        <v>916</v>
      </c>
      <c r="L248" s="35" t="s">
        <v>916</v>
      </c>
      <c r="M248" s="36" t="s">
        <v>917</v>
      </c>
      <c r="N248" s="45">
        <v>46121.819444444445</v>
      </c>
      <c r="O248" s="36" t="s">
        <v>25</v>
      </c>
      <c r="P248" s="38">
        <v>1.4061805556</v>
      </c>
      <c r="Q248" s="39" t="s">
        <v>919</v>
      </c>
      <c r="R248" s="35" t="s">
        <v>916</v>
      </c>
      <c r="S248" s="35"/>
      <c r="T248" s="35" t="s">
        <v>916</v>
      </c>
      <c r="U248" s="40">
        <v>46121</v>
      </c>
      <c r="V248" s="41">
        <v>46153.532696759263</v>
      </c>
      <c r="W248" s="40">
        <v>46120</v>
      </c>
      <c r="X248" s="35" t="s">
        <v>916</v>
      </c>
      <c r="Y248" s="35" t="s">
        <v>916</v>
      </c>
      <c r="Z248" s="35" t="s">
        <v>916</v>
      </c>
      <c r="AA248" s="38">
        <v>33.748333334400002</v>
      </c>
      <c r="AB248" s="42" t="s">
        <v>916</v>
      </c>
      <c r="AC248" s="43" t="s">
        <v>916</v>
      </c>
      <c r="AD248" s="43" t="s">
        <v>916</v>
      </c>
      <c r="AE248" s="33" t="s">
        <v>916</v>
      </c>
      <c r="AF248" s="35" t="s">
        <v>916</v>
      </c>
      <c r="AG248" s="44">
        <v>0</v>
      </c>
      <c r="AH248" s="42" t="s">
        <v>916</v>
      </c>
      <c r="AI248" s="32" t="str">
        <f>VLOOKUP(A248,'4月明細'!B:B,1,0)</f>
        <v>20260408-002</v>
      </c>
      <c r="AJ248" s="32">
        <f>VLOOKUP(A248,'4月明細'!B:I,8,0)</f>
        <v>1.41</v>
      </c>
      <c r="AK248" s="47">
        <f t="shared" si="13"/>
        <v>3.8194443999999272E-3</v>
      </c>
    </row>
    <row r="249" spans="1:37" ht="19.95" customHeight="1" x14ac:dyDescent="0.3">
      <c r="A249" s="33" t="s">
        <v>739</v>
      </c>
      <c r="B249" s="34">
        <v>46120.408553240741</v>
      </c>
      <c r="C249" s="34" t="str">
        <f t="shared" si="8"/>
        <v>202604</v>
      </c>
      <c r="D249" s="35" t="s">
        <v>941</v>
      </c>
      <c r="E249" s="36" t="s">
        <v>942</v>
      </c>
      <c r="F249" s="36" t="s">
        <v>1183</v>
      </c>
      <c r="G249" s="37" t="s">
        <v>1619</v>
      </c>
      <c r="H249" s="36" t="s">
        <v>1114</v>
      </c>
      <c r="I249" s="35"/>
      <c r="J249" s="36" t="s">
        <v>938</v>
      </c>
      <c r="K249" s="33" t="s">
        <v>916</v>
      </c>
      <c r="L249" s="35" t="s">
        <v>916</v>
      </c>
      <c r="M249" s="36" t="s">
        <v>917</v>
      </c>
      <c r="N249" s="45">
        <v>46121.801388888889</v>
      </c>
      <c r="O249" s="36" t="s">
        <v>25</v>
      </c>
      <c r="P249" s="38">
        <v>1.3928356480999999</v>
      </c>
      <c r="Q249" s="39" t="s">
        <v>1620</v>
      </c>
      <c r="R249" s="35" t="s">
        <v>916</v>
      </c>
      <c r="S249" s="35"/>
      <c r="T249" s="35" t="s">
        <v>916</v>
      </c>
      <c r="U249" s="40">
        <v>46121</v>
      </c>
      <c r="V249" s="41">
        <v>46153.532696759263</v>
      </c>
      <c r="W249" s="40">
        <v>46120</v>
      </c>
      <c r="X249" s="35" t="s">
        <v>916</v>
      </c>
      <c r="Y249" s="35" t="s">
        <v>916</v>
      </c>
      <c r="Z249" s="35" t="s">
        <v>916</v>
      </c>
      <c r="AA249" s="38">
        <v>33.428055554399997</v>
      </c>
      <c r="AB249" s="42" t="s">
        <v>916</v>
      </c>
      <c r="AC249" s="43" t="s">
        <v>916</v>
      </c>
      <c r="AD249" s="43" t="s">
        <v>916</v>
      </c>
      <c r="AE249" s="33" t="s">
        <v>916</v>
      </c>
      <c r="AF249" s="35" t="s">
        <v>916</v>
      </c>
      <c r="AG249" s="44">
        <v>0</v>
      </c>
      <c r="AH249" s="42" t="s">
        <v>916</v>
      </c>
      <c r="AI249" s="32" t="str">
        <f>VLOOKUP(A249,'4月明細'!B:B,1,0)</f>
        <v>20260408-001</v>
      </c>
      <c r="AJ249" s="32">
        <f>VLOOKUP(A249,'4月明細'!B:I,8,0)</f>
        <v>1.39</v>
      </c>
      <c r="AK249" s="47">
        <f t="shared" si="13"/>
        <v>-2.8356481000000322E-3</v>
      </c>
    </row>
    <row r="250" spans="1:37" ht="19.95" customHeight="1" x14ac:dyDescent="0.3">
      <c r="A250" s="33" t="s">
        <v>738</v>
      </c>
      <c r="B250" s="34">
        <v>46119.600925925923</v>
      </c>
      <c r="C250" s="34" t="str">
        <f t="shared" si="8"/>
        <v>202604</v>
      </c>
      <c r="D250" s="35" t="s">
        <v>909</v>
      </c>
      <c r="E250" s="36" t="s">
        <v>910</v>
      </c>
      <c r="F250" s="36" t="s">
        <v>1621</v>
      </c>
      <c r="G250" s="37" t="s">
        <v>1622</v>
      </c>
      <c r="H250" s="36" t="s">
        <v>1078</v>
      </c>
      <c r="I250" s="35" t="s">
        <v>1623</v>
      </c>
      <c r="J250" s="36" t="s">
        <v>929</v>
      </c>
      <c r="K250" s="33" t="s">
        <v>916</v>
      </c>
      <c r="L250" s="35" t="s">
        <v>916</v>
      </c>
      <c r="M250" s="36" t="s">
        <v>917</v>
      </c>
      <c r="N250" s="45">
        <v>46121.8</v>
      </c>
      <c r="O250" s="36" t="s">
        <v>25</v>
      </c>
      <c r="P250" s="38">
        <v>2.1990740740999999</v>
      </c>
      <c r="Q250" s="39" t="s">
        <v>1422</v>
      </c>
      <c r="R250" s="35" t="s">
        <v>916</v>
      </c>
      <c r="S250" s="35"/>
      <c r="T250" s="35" t="s">
        <v>1624</v>
      </c>
      <c r="U250" s="40">
        <v>46120</v>
      </c>
      <c r="V250" s="41">
        <v>46153.532696759263</v>
      </c>
      <c r="W250" s="40">
        <v>46119</v>
      </c>
      <c r="X250" s="35" t="s">
        <v>916</v>
      </c>
      <c r="Y250" s="35" t="s">
        <v>916</v>
      </c>
      <c r="Z250" s="35" t="s">
        <v>916</v>
      </c>
      <c r="AA250" s="38">
        <v>52.777777778400001</v>
      </c>
      <c r="AB250" s="42" t="s">
        <v>916</v>
      </c>
      <c r="AC250" s="43" t="s">
        <v>916</v>
      </c>
      <c r="AD250" s="43" t="s">
        <v>916</v>
      </c>
      <c r="AE250" s="33" t="s">
        <v>916</v>
      </c>
      <c r="AF250" s="35" t="s">
        <v>916</v>
      </c>
      <c r="AG250" s="44">
        <v>0</v>
      </c>
      <c r="AH250" s="42" t="s">
        <v>916</v>
      </c>
      <c r="AI250" s="32" t="str">
        <f>VLOOKUP(A250,'4月明細'!B:B,1,0)</f>
        <v>20260407-002</v>
      </c>
      <c r="AJ250" s="32">
        <f>VLOOKUP(A250,'4月明細'!B:I,8,0)</f>
        <v>2.2000000000000002</v>
      </c>
      <c r="AK250" s="47">
        <f t="shared" si="13"/>
        <v>9.2592590000029062E-4</v>
      </c>
    </row>
    <row r="251" spans="1:37" ht="19.95" customHeight="1" x14ac:dyDescent="0.3">
      <c r="A251" s="33" t="s">
        <v>737</v>
      </c>
      <c r="B251" s="34">
        <v>46119.596458333333</v>
      </c>
      <c r="C251" s="34" t="str">
        <f t="shared" si="8"/>
        <v>202604</v>
      </c>
      <c r="D251" s="35" t="s">
        <v>909</v>
      </c>
      <c r="E251" s="36" t="s">
        <v>910</v>
      </c>
      <c r="F251" s="36" t="s">
        <v>1621</v>
      </c>
      <c r="G251" s="37" t="s">
        <v>1625</v>
      </c>
      <c r="H251" s="36" t="s">
        <v>928</v>
      </c>
      <c r="I251" s="35"/>
      <c r="J251" s="36" t="s">
        <v>929</v>
      </c>
      <c r="K251" s="33" t="s">
        <v>916</v>
      </c>
      <c r="L251" s="35" t="s">
        <v>916</v>
      </c>
      <c r="M251" s="36" t="s">
        <v>917</v>
      </c>
      <c r="N251" s="45">
        <v>46121.799305555556</v>
      </c>
      <c r="O251" s="36" t="s">
        <v>25</v>
      </c>
      <c r="P251" s="38">
        <v>2.2028472222</v>
      </c>
      <c r="Q251" s="39" t="s">
        <v>1422</v>
      </c>
      <c r="R251" s="35" t="s">
        <v>916</v>
      </c>
      <c r="S251" s="35"/>
      <c r="T251" s="35" t="s">
        <v>1624</v>
      </c>
      <c r="U251" s="40">
        <v>46120</v>
      </c>
      <c r="V251" s="41">
        <v>46153.532696759263</v>
      </c>
      <c r="W251" s="40">
        <v>46119</v>
      </c>
      <c r="X251" s="35" t="s">
        <v>916</v>
      </c>
      <c r="Y251" s="35" t="s">
        <v>916</v>
      </c>
      <c r="Z251" s="35" t="s">
        <v>916</v>
      </c>
      <c r="AA251" s="38">
        <v>52.868333332799999</v>
      </c>
      <c r="AB251" s="42" t="s">
        <v>916</v>
      </c>
      <c r="AC251" s="43" t="s">
        <v>916</v>
      </c>
      <c r="AD251" s="43" t="s">
        <v>916</v>
      </c>
      <c r="AE251" s="33" t="s">
        <v>916</v>
      </c>
      <c r="AF251" s="35" t="s">
        <v>916</v>
      </c>
      <c r="AG251" s="44">
        <v>0</v>
      </c>
      <c r="AH251" s="42" t="s">
        <v>916</v>
      </c>
      <c r="AI251" s="32" t="str">
        <f>VLOOKUP(A251,'4月明細'!B:B,1,0)</f>
        <v>20260407-001</v>
      </c>
      <c r="AJ251" s="32">
        <f>VLOOKUP(A251,'4月明細'!B:I,8,0)</f>
        <v>2.2000000000000002</v>
      </c>
      <c r="AK251" s="47">
        <f t="shared" si="13"/>
        <v>-2.8472221999997771E-3</v>
      </c>
    </row>
    <row r="252" spans="1:37" ht="19.95" customHeight="1" x14ac:dyDescent="0.3">
      <c r="A252" s="33" t="s">
        <v>1626</v>
      </c>
      <c r="B252" s="34">
        <v>46118.30636574074</v>
      </c>
      <c r="C252" s="34" t="str">
        <f t="shared" si="8"/>
        <v>202604</v>
      </c>
      <c r="D252" s="35" t="s">
        <v>1627</v>
      </c>
      <c r="E252" s="36" t="s">
        <v>1112</v>
      </c>
      <c r="F252" s="36" t="s">
        <v>1561</v>
      </c>
      <c r="G252" s="37" t="s">
        <v>1628</v>
      </c>
      <c r="H252" s="36" t="s">
        <v>1078</v>
      </c>
      <c r="I252" s="35"/>
      <c r="J252" s="36" t="s">
        <v>938</v>
      </c>
      <c r="K252" s="33" t="s">
        <v>916</v>
      </c>
      <c r="L252" s="35" t="s">
        <v>916</v>
      </c>
      <c r="M252" s="36" t="s">
        <v>916</v>
      </c>
      <c r="N252" s="36" t="s">
        <v>916</v>
      </c>
      <c r="O252" s="36" t="s">
        <v>939</v>
      </c>
      <c r="P252" s="38" t="s">
        <v>916</v>
      </c>
      <c r="Q252" s="36" t="s">
        <v>916</v>
      </c>
      <c r="R252" s="35" t="s">
        <v>916</v>
      </c>
      <c r="S252" s="35"/>
      <c r="T252" s="35" t="s">
        <v>1624</v>
      </c>
      <c r="U252" s="40">
        <v>46119</v>
      </c>
      <c r="V252" s="41">
        <v>46153.532696759263</v>
      </c>
      <c r="W252" s="40">
        <v>46118</v>
      </c>
      <c r="X252" s="40">
        <v>46153</v>
      </c>
      <c r="Y252" s="35" t="s">
        <v>916</v>
      </c>
      <c r="Z252" s="35" t="s">
        <v>916</v>
      </c>
      <c r="AA252" s="38">
        <v>0</v>
      </c>
      <c r="AB252" s="42" t="s">
        <v>916</v>
      </c>
      <c r="AC252" s="43" t="s">
        <v>916</v>
      </c>
      <c r="AD252" s="43" t="s">
        <v>916</v>
      </c>
      <c r="AE252" s="33" t="s">
        <v>916</v>
      </c>
      <c r="AF252" s="35" t="s">
        <v>916</v>
      </c>
      <c r="AG252" s="44">
        <v>0</v>
      </c>
      <c r="AH252" s="42" t="s">
        <v>916</v>
      </c>
      <c r="AI252" s="32" t="e">
        <f>VLOOKUP(A252,'4月明細'!B:B,1,0)</f>
        <v>#N/A</v>
      </c>
    </row>
    <row r="253" spans="1:37" ht="19.95" customHeight="1" x14ac:dyDescent="0.3">
      <c r="A253" s="33" t="s">
        <v>736</v>
      </c>
      <c r="B253" s="34">
        <v>46118.070300925923</v>
      </c>
      <c r="C253" s="34" t="str">
        <f t="shared" si="8"/>
        <v>202604</v>
      </c>
      <c r="D253" s="35" t="s">
        <v>1217</v>
      </c>
      <c r="E253" s="36" t="s">
        <v>942</v>
      </c>
      <c r="F253" s="36" t="s">
        <v>1021</v>
      </c>
      <c r="G253" s="37" t="s">
        <v>1629</v>
      </c>
      <c r="H253" s="36" t="s">
        <v>1078</v>
      </c>
      <c r="I253" s="35"/>
      <c r="J253" s="36" t="s">
        <v>945</v>
      </c>
      <c r="K253" s="33" t="s">
        <v>916</v>
      </c>
      <c r="L253" s="35" t="s">
        <v>916</v>
      </c>
      <c r="M253" s="36" t="s">
        <v>917</v>
      </c>
      <c r="N253" s="45">
        <v>46121.834722222222</v>
      </c>
      <c r="O253" s="36" t="s">
        <v>25</v>
      </c>
      <c r="P253" s="38">
        <v>3.7644212963000001</v>
      </c>
      <c r="Q253" s="39" t="s">
        <v>958</v>
      </c>
      <c r="R253" s="35" t="s">
        <v>916</v>
      </c>
      <c r="S253" s="35"/>
      <c r="T253" s="35" t="s">
        <v>1624</v>
      </c>
      <c r="U253" s="40">
        <v>46119</v>
      </c>
      <c r="V253" s="41">
        <v>46153.532696759263</v>
      </c>
      <c r="W253" s="40">
        <v>46118</v>
      </c>
      <c r="X253" s="35" t="s">
        <v>916</v>
      </c>
      <c r="Y253" s="35" t="s">
        <v>916</v>
      </c>
      <c r="Z253" s="35" t="s">
        <v>916</v>
      </c>
      <c r="AA253" s="38">
        <v>90.346111111200003</v>
      </c>
      <c r="AB253" s="42" t="s">
        <v>916</v>
      </c>
      <c r="AC253" s="43" t="s">
        <v>916</v>
      </c>
      <c r="AD253" s="43" t="s">
        <v>916</v>
      </c>
      <c r="AE253" s="33" t="s">
        <v>916</v>
      </c>
      <c r="AF253" s="35" t="s">
        <v>916</v>
      </c>
      <c r="AG253" s="44">
        <v>0</v>
      </c>
      <c r="AH253" s="42" t="s">
        <v>916</v>
      </c>
      <c r="AI253" s="32" t="str">
        <f>VLOOKUP(A253,'4月明細'!B:B,1,0)</f>
        <v>20260406-001</v>
      </c>
      <c r="AJ253" s="32">
        <f>VLOOKUP(A253,'4月明細'!B:I,8,0)</f>
        <v>3.76</v>
      </c>
      <c r="AK253" s="47">
        <f t="shared" ref="AK253:AK265" si="14">AJ253-P253</f>
        <v>-4.4212963000003214E-3</v>
      </c>
    </row>
    <row r="254" spans="1:37" ht="19.95" customHeight="1" x14ac:dyDescent="0.3">
      <c r="A254" s="33" t="s">
        <v>735</v>
      </c>
      <c r="B254" s="34">
        <v>46117.686886574076</v>
      </c>
      <c r="C254" s="34" t="str">
        <f t="shared" si="8"/>
        <v>202604</v>
      </c>
      <c r="D254" s="35" t="s">
        <v>941</v>
      </c>
      <c r="E254" s="36" t="s">
        <v>942</v>
      </c>
      <c r="F254" s="36" t="s">
        <v>1017</v>
      </c>
      <c r="G254" s="37" t="s">
        <v>1630</v>
      </c>
      <c r="H254" s="36" t="s">
        <v>928</v>
      </c>
      <c r="I254" s="35"/>
      <c r="J254" s="36" t="s">
        <v>945</v>
      </c>
      <c r="K254" s="33" t="s">
        <v>916</v>
      </c>
      <c r="L254" s="35" t="s">
        <v>916</v>
      </c>
      <c r="M254" s="36" t="s">
        <v>957</v>
      </c>
      <c r="N254" s="45">
        <v>46117.8125</v>
      </c>
      <c r="O254" s="36" t="s">
        <v>25</v>
      </c>
      <c r="P254" s="38">
        <v>0.12561342589999999</v>
      </c>
      <c r="Q254" s="39" t="s">
        <v>994</v>
      </c>
      <c r="R254" s="35" t="s">
        <v>916</v>
      </c>
      <c r="S254" s="35"/>
      <c r="T254" s="35" t="s">
        <v>1624</v>
      </c>
      <c r="U254" s="40">
        <v>46118</v>
      </c>
      <c r="V254" s="41">
        <v>46153.532696759263</v>
      </c>
      <c r="W254" s="40">
        <v>46117</v>
      </c>
      <c r="X254" s="35" t="s">
        <v>916</v>
      </c>
      <c r="Y254" s="35" t="s">
        <v>916</v>
      </c>
      <c r="Z254" s="35" t="s">
        <v>916</v>
      </c>
      <c r="AA254" s="38">
        <v>3.0147222216</v>
      </c>
      <c r="AB254" s="42" t="s">
        <v>916</v>
      </c>
      <c r="AC254" s="43" t="s">
        <v>916</v>
      </c>
      <c r="AD254" s="43" t="s">
        <v>916</v>
      </c>
      <c r="AE254" s="33" t="s">
        <v>916</v>
      </c>
      <c r="AF254" s="35" t="s">
        <v>916</v>
      </c>
      <c r="AG254" s="44">
        <v>0</v>
      </c>
      <c r="AH254" s="42" t="s">
        <v>916</v>
      </c>
      <c r="AI254" s="32" t="str">
        <f>VLOOKUP(A254,'4月明細'!B:B,1,0)</f>
        <v>20260405-005</v>
      </c>
      <c r="AJ254" s="32">
        <f>VLOOKUP(A254,'4月明細'!B:I,8,0)</f>
        <v>0.13</v>
      </c>
      <c r="AK254" s="47">
        <f t="shared" si="14"/>
        <v>4.3865741000000125E-3</v>
      </c>
    </row>
    <row r="255" spans="1:37" ht="19.95" customHeight="1" x14ac:dyDescent="0.3">
      <c r="A255" s="33" t="s">
        <v>734</v>
      </c>
      <c r="B255" s="34">
        <v>46117.629837962966</v>
      </c>
      <c r="C255" s="34" t="str">
        <f t="shared" si="8"/>
        <v>202604</v>
      </c>
      <c r="D255" s="35" t="s">
        <v>951</v>
      </c>
      <c r="E255" s="36" t="s">
        <v>910</v>
      </c>
      <c r="F255" s="36" t="s">
        <v>1469</v>
      </c>
      <c r="G255" s="37" t="s">
        <v>1631</v>
      </c>
      <c r="H255" s="36" t="s">
        <v>928</v>
      </c>
      <c r="I255" s="35"/>
      <c r="J255" s="36" t="s">
        <v>914</v>
      </c>
      <c r="K255" s="33" t="s">
        <v>916</v>
      </c>
      <c r="L255" s="35" t="s">
        <v>916</v>
      </c>
      <c r="M255" s="36" t="s">
        <v>957</v>
      </c>
      <c r="N255" s="45">
        <v>46117.813194444447</v>
      </c>
      <c r="O255" s="36" t="s">
        <v>25</v>
      </c>
      <c r="P255" s="38">
        <v>0.1833564815</v>
      </c>
      <c r="Q255" s="39" t="s">
        <v>958</v>
      </c>
      <c r="R255" s="35" t="s">
        <v>916</v>
      </c>
      <c r="S255" s="35"/>
      <c r="T255" s="35" t="s">
        <v>1624</v>
      </c>
      <c r="U255" s="40">
        <v>46118</v>
      </c>
      <c r="V255" s="41">
        <v>46153.532696759263</v>
      </c>
      <c r="W255" s="40">
        <v>46117</v>
      </c>
      <c r="X255" s="35" t="s">
        <v>916</v>
      </c>
      <c r="Y255" s="35" t="s">
        <v>916</v>
      </c>
      <c r="Z255" s="35" t="s">
        <v>916</v>
      </c>
      <c r="AA255" s="38">
        <v>4.4005555559999996</v>
      </c>
      <c r="AB255" s="42" t="s">
        <v>916</v>
      </c>
      <c r="AC255" s="43" t="s">
        <v>916</v>
      </c>
      <c r="AD255" s="43" t="s">
        <v>916</v>
      </c>
      <c r="AE255" s="33" t="s">
        <v>916</v>
      </c>
      <c r="AF255" s="35" t="s">
        <v>916</v>
      </c>
      <c r="AG255" s="44">
        <v>0</v>
      </c>
      <c r="AH255" s="42" t="s">
        <v>916</v>
      </c>
      <c r="AI255" s="32" t="str">
        <f>VLOOKUP(A255,'4月明細'!B:B,1,0)</f>
        <v>20260405-004</v>
      </c>
      <c r="AJ255" s="32">
        <f>VLOOKUP(A255,'4月明細'!B:I,8,0)</f>
        <v>0.18</v>
      </c>
      <c r="AK255" s="47">
        <f t="shared" si="14"/>
        <v>-3.3564815000000081E-3</v>
      </c>
    </row>
    <row r="256" spans="1:37" ht="19.95" customHeight="1" x14ac:dyDescent="0.3">
      <c r="A256" s="33" t="s">
        <v>733</v>
      </c>
      <c r="B256" s="34">
        <v>46117.607442129629</v>
      </c>
      <c r="C256" s="34" t="str">
        <f t="shared" si="8"/>
        <v>202604</v>
      </c>
      <c r="D256" s="35" t="s">
        <v>951</v>
      </c>
      <c r="E256" s="36" t="s">
        <v>910</v>
      </c>
      <c r="F256" s="36" t="s">
        <v>1591</v>
      </c>
      <c r="G256" s="37" t="s">
        <v>1632</v>
      </c>
      <c r="H256" s="36" t="s">
        <v>928</v>
      </c>
      <c r="I256" s="35" t="s">
        <v>1633</v>
      </c>
      <c r="J256" s="36" t="s">
        <v>914</v>
      </c>
      <c r="K256" s="33" t="s">
        <v>916</v>
      </c>
      <c r="L256" s="35" t="s">
        <v>916</v>
      </c>
      <c r="M256" s="36" t="s">
        <v>957</v>
      </c>
      <c r="N256" s="45">
        <v>46117.813888888886</v>
      </c>
      <c r="O256" s="36" t="s">
        <v>25</v>
      </c>
      <c r="P256" s="38">
        <v>0.2064467593</v>
      </c>
      <c r="Q256" s="39" t="s">
        <v>958</v>
      </c>
      <c r="R256" s="35" t="s">
        <v>916</v>
      </c>
      <c r="S256" s="35"/>
      <c r="T256" s="35" t="s">
        <v>1624</v>
      </c>
      <c r="U256" s="40">
        <v>46118</v>
      </c>
      <c r="V256" s="41">
        <v>46153.532696759263</v>
      </c>
      <c r="W256" s="40">
        <v>46117</v>
      </c>
      <c r="X256" s="35" t="s">
        <v>916</v>
      </c>
      <c r="Y256" s="35" t="s">
        <v>916</v>
      </c>
      <c r="Z256" s="35" t="s">
        <v>916</v>
      </c>
      <c r="AA256" s="38">
        <v>4.9547222232000001</v>
      </c>
      <c r="AB256" s="42" t="s">
        <v>916</v>
      </c>
      <c r="AC256" s="43" t="s">
        <v>916</v>
      </c>
      <c r="AD256" s="43" t="s">
        <v>916</v>
      </c>
      <c r="AE256" s="33" t="s">
        <v>916</v>
      </c>
      <c r="AF256" s="35" t="s">
        <v>916</v>
      </c>
      <c r="AG256" s="44">
        <v>0</v>
      </c>
      <c r="AH256" s="42" t="s">
        <v>916</v>
      </c>
      <c r="AI256" s="32" t="str">
        <f>VLOOKUP(A256,'4月明細'!B:B,1,0)</f>
        <v>20260405-003</v>
      </c>
      <c r="AJ256" s="32">
        <f>VLOOKUP(A256,'4月明細'!B:I,8,0)</f>
        <v>0.21</v>
      </c>
      <c r="AK256" s="47">
        <f t="shared" si="14"/>
        <v>3.5532406999999877E-3</v>
      </c>
    </row>
    <row r="257" spans="1:37" ht="19.95" customHeight="1" x14ac:dyDescent="0.3">
      <c r="A257" s="33" t="s">
        <v>732</v>
      </c>
      <c r="B257" s="34">
        <v>46117.545567129629</v>
      </c>
      <c r="C257" s="34" t="str">
        <f t="shared" si="8"/>
        <v>202604</v>
      </c>
      <c r="D257" s="35" t="s">
        <v>909</v>
      </c>
      <c r="E257" s="36" t="s">
        <v>910</v>
      </c>
      <c r="F257" s="36" t="s">
        <v>1634</v>
      </c>
      <c r="G257" s="37" t="s">
        <v>1635</v>
      </c>
      <c r="H257" s="36" t="s">
        <v>954</v>
      </c>
      <c r="I257" s="35" t="s">
        <v>1636</v>
      </c>
      <c r="J257" s="36" t="s">
        <v>914</v>
      </c>
      <c r="K257" s="33" t="s">
        <v>916</v>
      </c>
      <c r="L257" s="35" t="s">
        <v>916</v>
      </c>
      <c r="M257" s="36" t="s">
        <v>957</v>
      </c>
      <c r="N257" s="45">
        <v>46117.813888888886</v>
      </c>
      <c r="O257" s="36" t="s">
        <v>25</v>
      </c>
      <c r="P257" s="38">
        <v>0.26832175930000002</v>
      </c>
      <c r="Q257" s="39" t="s">
        <v>1087</v>
      </c>
      <c r="R257" s="35" t="s">
        <v>916</v>
      </c>
      <c r="S257" s="35"/>
      <c r="T257" s="35" t="s">
        <v>1624</v>
      </c>
      <c r="U257" s="40">
        <v>46118</v>
      </c>
      <c r="V257" s="41">
        <v>46153.532696759263</v>
      </c>
      <c r="W257" s="40">
        <v>46117</v>
      </c>
      <c r="X257" s="35" t="s">
        <v>916</v>
      </c>
      <c r="Y257" s="35" t="s">
        <v>916</v>
      </c>
      <c r="Z257" s="35" t="s">
        <v>916</v>
      </c>
      <c r="AA257" s="38">
        <v>6.4397222232000004</v>
      </c>
      <c r="AB257" s="42" t="s">
        <v>916</v>
      </c>
      <c r="AC257" s="43" t="s">
        <v>916</v>
      </c>
      <c r="AD257" s="43" t="s">
        <v>916</v>
      </c>
      <c r="AE257" s="33" t="s">
        <v>916</v>
      </c>
      <c r="AF257" s="35" t="s">
        <v>916</v>
      </c>
      <c r="AG257" s="44">
        <v>0</v>
      </c>
      <c r="AH257" s="42" t="s">
        <v>916</v>
      </c>
      <c r="AI257" s="32" t="str">
        <f>VLOOKUP(A257,'4月明細'!B:B,1,0)</f>
        <v>20260405-002</v>
      </c>
      <c r="AJ257" s="32">
        <f>VLOOKUP(A257,'4月明細'!B:I,8,0)</f>
        <v>0.27</v>
      </c>
      <c r="AK257" s="47">
        <f t="shared" si="14"/>
        <v>1.6782406999999999E-3</v>
      </c>
    </row>
    <row r="258" spans="1:37" ht="19.95" customHeight="1" x14ac:dyDescent="0.3">
      <c r="A258" s="33" t="s">
        <v>731</v>
      </c>
      <c r="B258" s="34">
        <v>46117.503622685188</v>
      </c>
      <c r="C258" s="34" t="str">
        <f t="shared" si="8"/>
        <v>202604</v>
      </c>
      <c r="D258" s="35" t="s">
        <v>951</v>
      </c>
      <c r="E258" s="36" t="s">
        <v>910</v>
      </c>
      <c r="F258" s="36" t="s">
        <v>1344</v>
      </c>
      <c r="G258" s="37" t="s">
        <v>1637</v>
      </c>
      <c r="H258" s="36" t="s">
        <v>928</v>
      </c>
      <c r="I258" s="35" t="s">
        <v>1638</v>
      </c>
      <c r="J258" s="36" t="s">
        <v>914</v>
      </c>
      <c r="K258" s="33" t="s">
        <v>916</v>
      </c>
      <c r="L258" s="35" t="s">
        <v>916</v>
      </c>
      <c r="M258" s="36" t="s">
        <v>957</v>
      </c>
      <c r="N258" s="45">
        <v>46117.814583333333</v>
      </c>
      <c r="O258" s="36" t="s">
        <v>25</v>
      </c>
      <c r="P258" s="38">
        <v>0.31096064810000001</v>
      </c>
      <c r="Q258" s="39" t="s">
        <v>984</v>
      </c>
      <c r="R258" s="35" t="s">
        <v>916</v>
      </c>
      <c r="S258" s="35"/>
      <c r="T258" s="35" t="s">
        <v>1624</v>
      </c>
      <c r="U258" s="40">
        <v>46118</v>
      </c>
      <c r="V258" s="41">
        <v>46153.532696759263</v>
      </c>
      <c r="W258" s="40">
        <v>46117</v>
      </c>
      <c r="X258" s="35" t="s">
        <v>916</v>
      </c>
      <c r="Y258" s="35" t="s">
        <v>916</v>
      </c>
      <c r="Z258" s="35" t="s">
        <v>916</v>
      </c>
      <c r="AA258" s="38">
        <v>7.4630555544000003</v>
      </c>
      <c r="AB258" s="42" t="s">
        <v>916</v>
      </c>
      <c r="AC258" s="43" t="s">
        <v>916</v>
      </c>
      <c r="AD258" s="43" t="s">
        <v>916</v>
      </c>
      <c r="AE258" s="33" t="s">
        <v>916</v>
      </c>
      <c r="AF258" s="35" t="s">
        <v>916</v>
      </c>
      <c r="AG258" s="44">
        <v>0</v>
      </c>
      <c r="AH258" s="42" t="s">
        <v>916</v>
      </c>
      <c r="AI258" s="32" t="str">
        <f>VLOOKUP(A258,'4月明細'!B:B,1,0)</f>
        <v>20260405-001</v>
      </c>
      <c r="AJ258" s="32">
        <f>VLOOKUP(A258,'4月明細'!B:I,8,0)</f>
        <v>0.31</v>
      </c>
      <c r="AK258" s="47">
        <f t="shared" si="14"/>
        <v>-9.6064810000001666E-4</v>
      </c>
    </row>
    <row r="259" spans="1:37" ht="19.95" customHeight="1" x14ac:dyDescent="0.3">
      <c r="A259" s="33" t="s">
        <v>730</v>
      </c>
      <c r="B259" s="34">
        <v>46116.681620370371</v>
      </c>
      <c r="C259" s="34" t="str">
        <f t="shared" ref="C259:C322" si="15">TEXT(B259,"YYYYMM")</f>
        <v>202604</v>
      </c>
      <c r="D259" s="35" t="s">
        <v>909</v>
      </c>
      <c r="E259" s="36" t="s">
        <v>910</v>
      </c>
      <c r="F259" s="36" t="s">
        <v>1639</v>
      </c>
      <c r="G259" s="37" t="s">
        <v>1640</v>
      </c>
      <c r="H259" s="36" t="s">
        <v>928</v>
      </c>
      <c r="I259" s="35" t="s">
        <v>1641</v>
      </c>
      <c r="J259" s="36" t="s">
        <v>929</v>
      </c>
      <c r="K259" s="33" t="s">
        <v>916</v>
      </c>
      <c r="L259" s="35" t="s">
        <v>916</v>
      </c>
      <c r="M259" s="36" t="s">
        <v>923</v>
      </c>
      <c r="N259" s="45">
        <v>46116.816666666666</v>
      </c>
      <c r="O259" s="36" t="s">
        <v>25</v>
      </c>
      <c r="P259" s="38">
        <v>0.13504629630000001</v>
      </c>
      <c r="Q259" s="39" t="s">
        <v>958</v>
      </c>
      <c r="R259" s="35" t="s">
        <v>916</v>
      </c>
      <c r="S259" s="35"/>
      <c r="T259" s="35" t="s">
        <v>1624</v>
      </c>
      <c r="U259" s="40">
        <v>46117</v>
      </c>
      <c r="V259" s="41">
        <v>46153.532696759263</v>
      </c>
      <c r="W259" s="40">
        <v>46116</v>
      </c>
      <c r="X259" s="35" t="s">
        <v>916</v>
      </c>
      <c r="Y259" s="35" t="s">
        <v>916</v>
      </c>
      <c r="Z259" s="35" t="s">
        <v>916</v>
      </c>
      <c r="AA259" s="38">
        <v>3.2411111112</v>
      </c>
      <c r="AB259" s="42" t="s">
        <v>916</v>
      </c>
      <c r="AC259" s="43" t="s">
        <v>916</v>
      </c>
      <c r="AD259" s="43" t="s">
        <v>916</v>
      </c>
      <c r="AE259" s="33" t="s">
        <v>916</v>
      </c>
      <c r="AF259" s="35" t="s">
        <v>916</v>
      </c>
      <c r="AG259" s="44">
        <v>0</v>
      </c>
      <c r="AH259" s="42" t="s">
        <v>916</v>
      </c>
      <c r="AI259" s="32" t="str">
        <f>VLOOKUP(A259,'4月明細'!B:B,1,0)</f>
        <v>20260404-005</v>
      </c>
      <c r="AJ259" s="32">
        <f>VLOOKUP(A259,'4月明細'!B:I,8,0)</f>
        <v>0.14000000000000001</v>
      </c>
      <c r="AK259" s="47">
        <f t="shared" si="14"/>
        <v>4.9537037000000061E-3</v>
      </c>
    </row>
    <row r="260" spans="1:37" ht="19.95" customHeight="1" x14ac:dyDescent="0.3">
      <c r="A260" s="33" t="s">
        <v>729</v>
      </c>
      <c r="B260" s="34">
        <v>46116.665844907409</v>
      </c>
      <c r="C260" s="34" t="str">
        <f t="shared" si="15"/>
        <v>202604</v>
      </c>
      <c r="D260" s="35" t="s">
        <v>951</v>
      </c>
      <c r="E260" s="36" t="s">
        <v>910</v>
      </c>
      <c r="F260" s="36" t="s">
        <v>987</v>
      </c>
      <c r="G260" s="37" t="s">
        <v>1642</v>
      </c>
      <c r="H260" s="36" t="s">
        <v>928</v>
      </c>
      <c r="I260" s="35"/>
      <c r="J260" s="36" t="s">
        <v>929</v>
      </c>
      <c r="K260" s="33" t="s">
        <v>916</v>
      </c>
      <c r="L260" s="35" t="s">
        <v>916</v>
      </c>
      <c r="M260" s="36" t="s">
        <v>923</v>
      </c>
      <c r="N260" s="45">
        <v>46116.815972222219</v>
      </c>
      <c r="O260" s="36" t="s">
        <v>25</v>
      </c>
      <c r="P260" s="38">
        <v>0.15012731479999999</v>
      </c>
      <c r="Q260" s="39" t="s">
        <v>1643</v>
      </c>
      <c r="R260" s="35" t="s">
        <v>916</v>
      </c>
      <c r="S260" s="35"/>
      <c r="T260" s="35" t="s">
        <v>1624</v>
      </c>
      <c r="U260" s="40">
        <v>46117</v>
      </c>
      <c r="V260" s="41">
        <v>46153.532708333332</v>
      </c>
      <c r="W260" s="40">
        <v>46116</v>
      </c>
      <c r="X260" s="35" t="s">
        <v>916</v>
      </c>
      <c r="Y260" s="35" t="s">
        <v>916</v>
      </c>
      <c r="Z260" s="35" t="s">
        <v>916</v>
      </c>
      <c r="AA260" s="38">
        <v>3.6030555552000001</v>
      </c>
      <c r="AB260" s="42" t="s">
        <v>916</v>
      </c>
      <c r="AC260" s="43" t="s">
        <v>916</v>
      </c>
      <c r="AD260" s="43" t="s">
        <v>916</v>
      </c>
      <c r="AE260" s="33" t="s">
        <v>916</v>
      </c>
      <c r="AF260" s="35" t="s">
        <v>916</v>
      </c>
      <c r="AG260" s="44">
        <v>0</v>
      </c>
      <c r="AH260" s="42" t="s">
        <v>916</v>
      </c>
      <c r="AI260" s="32" t="str">
        <f>VLOOKUP(A260,'4月明細'!B:B,1,0)</f>
        <v>20260404-004</v>
      </c>
      <c r="AJ260" s="32">
        <f>VLOOKUP(A260,'4月明細'!B:I,8,0)</f>
        <v>0.15</v>
      </c>
      <c r="AK260" s="47">
        <f t="shared" si="14"/>
        <v>-1.2731480000000017E-4</v>
      </c>
    </row>
    <row r="261" spans="1:37" ht="19.95" customHeight="1" x14ac:dyDescent="0.3">
      <c r="A261" s="33" t="s">
        <v>728</v>
      </c>
      <c r="B261" s="34">
        <v>46116.506203703706</v>
      </c>
      <c r="C261" s="34" t="str">
        <f t="shared" si="15"/>
        <v>202604</v>
      </c>
      <c r="D261" s="35" t="s">
        <v>951</v>
      </c>
      <c r="E261" s="36" t="s">
        <v>942</v>
      </c>
      <c r="F261" s="36" t="s">
        <v>943</v>
      </c>
      <c r="G261" s="37" t="s">
        <v>1644</v>
      </c>
      <c r="H261" s="36" t="s">
        <v>954</v>
      </c>
      <c r="I261" s="35" t="s">
        <v>1645</v>
      </c>
      <c r="J261" s="36" t="s">
        <v>1058</v>
      </c>
      <c r="K261" s="33" t="s">
        <v>916</v>
      </c>
      <c r="L261" s="35" t="s">
        <v>916</v>
      </c>
      <c r="M261" s="36" t="s">
        <v>957</v>
      </c>
      <c r="N261" s="45">
        <v>46116.605555555558</v>
      </c>
      <c r="O261" s="36" t="s">
        <v>25</v>
      </c>
      <c r="P261" s="38">
        <v>9.9351851899999996E-2</v>
      </c>
      <c r="Q261" s="39" t="s">
        <v>1174</v>
      </c>
      <c r="R261" s="35" t="s">
        <v>916</v>
      </c>
      <c r="S261" s="35"/>
      <c r="T261" s="35" t="s">
        <v>1624</v>
      </c>
      <c r="U261" s="40">
        <v>46117</v>
      </c>
      <c r="V261" s="41">
        <v>46153.532708333332</v>
      </c>
      <c r="W261" s="40">
        <v>46116</v>
      </c>
      <c r="X261" s="35" t="s">
        <v>916</v>
      </c>
      <c r="Y261" s="35" t="s">
        <v>916</v>
      </c>
      <c r="Z261" s="35" t="s">
        <v>916</v>
      </c>
      <c r="AA261" s="38">
        <v>2.3844444455999998</v>
      </c>
      <c r="AB261" s="42" t="s">
        <v>916</v>
      </c>
      <c r="AC261" s="43" t="s">
        <v>916</v>
      </c>
      <c r="AD261" s="43" t="s">
        <v>916</v>
      </c>
      <c r="AE261" s="33" t="s">
        <v>916</v>
      </c>
      <c r="AF261" s="35" t="s">
        <v>916</v>
      </c>
      <c r="AG261" s="44">
        <v>0</v>
      </c>
      <c r="AH261" s="42" t="s">
        <v>916</v>
      </c>
      <c r="AI261" s="32" t="str">
        <f>VLOOKUP(A261,'4月明細'!B:B,1,0)</f>
        <v>20260404-003</v>
      </c>
      <c r="AJ261" s="32">
        <f>VLOOKUP(A261,'4月明細'!B:I,8,0)</f>
        <v>0.1</v>
      </c>
      <c r="AK261" s="47">
        <f t="shared" si="14"/>
        <v>6.4814810000000944E-4</v>
      </c>
    </row>
    <row r="262" spans="1:37" ht="19.95" customHeight="1" x14ac:dyDescent="0.3">
      <c r="A262" s="33" t="s">
        <v>727</v>
      </c>
      <c r="B262" s="34">
        <v>46116.457476851851</v>
      </c>
      <c r="C262" s="34" t="str">
        <f t="shared" si="15"/>
        <v>202604</v>
      </c>
      <c r="D262" s="35" t="s">
        <v>951</v>
      </c>
      <c r="E262" s="36" t="s">
        <v>910</v>
      </c>
      <c r="F262" s="36" t="s">
        <v>1392</v>
      </c>
      <c r="G262" s="37" t="s">
        <v>1646</v>
      </c>
      <c r="H262" s="36" t="s">
        <v>954</v>
      </c>
      <c r="I262" s="35" t="s">
        <v>1647</v>
      </c>
      <c r="J262" s="36" t="s">
        <v>929</v>
      </c>
      <c r="K262" s="33" t="s">
        <v>916</v>
      </c>
      <c r="L262" s="35" t="s">
        <v>916</v>
      </c>
      <c r="M262" s="36" t="s">
        <v>957</v>
      </c>
      <c r="N262" s="45">
        <v>46116.605555555558</v>
      </c>
      <c r="O262" s="36" t="s">
        <v>25</v>
      </c>
      <c r="P262" s="38">
        <v>0.14807870370000001</v>
      </c>
      <c r="Q262" s="39" t="s">
        <v>958</v>
      </c>
      <c r="R262" s="35" t="s">
        <v>916</v>
      </c>
      <c r="S262" s="35"/>
      <c r="T262" s="35" t="s">
        <v>1624</v>
      </c>
      <c r="U262" s="40">
        <v>46117</v>
      </c>
      <c r="V262" s="41">
        <v>46153.532708333332</v>
      </c>
      <c r="W262" s="40">
        <v>46116</v>
      </c>
      <c r="X262" s="35" t="s">
        <v>916</v>
      </c>
      <c r="Y262" s="35" t="s">
        <v>916</v>
      </c>
      <c r="Z262" s="35" t="s">
        <v>916</v>
      </c>
      <c r="AA262" s="38">
        <v>3.5538888888</v>
      </c>
      <c r="AB262" s="42" t="s">
        <v>916</v>
      </c>
      <c r="AC262" s="43" t="s">
        <v>916</v>
      </c>
      <c r="AD262" s="43" t="s">
        <v>916</v>
      </c>
      <c r="AE262" s="33" t="s">
        <v>916</v>
      </c>
      <c r="AF262" s="35" t="s">
        <v>916</v>
      </c>
      <c r="AG262" s="44">
        <v>0</v>
      </c>
      <c r="AH262" s="42" t="s">
        <v>916</v>
      </c>
      <c r="AI262" s="32" t="str">
        <f>VLOOKUP(A262,'4月明細'!B:B,1,0)</f>
        <v>20260404-002</v>
      </c>
      <c r="AJ262" s="32">
        <f>VLOOKUP(A262,'4月明細'!B:I,8,0)</f>
        <v>0.15</v>
      </c>
      <c r="AK262" s="47">
        <f t="shared" si="14"/>
        <v>1.9212962999999861E-3</v>
      </c>
    </row>
    <row r="263" spans="1:37" ht="19.95" customHeight="1" x14ac:dyDescent="0.3">
      <c r="A263" s="33" t="s">
        <v>726</v>
      </c>
      <c r="B263" s="34">
        <v>46116.452835648146</v>
      </c>
      <c r="C263" s="34" t="str">
        <f t="shared" si="15"/>
        <v>202604</v>
      </c>
      <c r="D263" s="35" t="s">
        <v>951</v>
      </c>
      <c r="E263" s="36" t="s">
        <v>910</v>
      </c>
      <c r="F263" s="36" t="s">
        <v>1032</v>
      </c>
      <c r="G263" s="37" t="s">
        <v>1648</v>
      </c>
      <c r="H263" s="36" t="s">
        <v>928</v>
      </c>
      <c r="I263" s="35" t="s">
        <v>1649</v>
      </c>
      <c r="J263" s="36" t="s">
        <v>929</v>
      </c>
      <c r="K263" s="33" t="s">
        <v>916</v>
      </c>
      <c r="L263" s="35" t="s">
        <v>916</v>
      </c>
      <c r="M263" s="36" t="s">
        <v>957</v>
      </c>
      <c r="N263" s="45">
        <v>46116.817361111112</v>
      </c>
      <c r="O263" s="36" t="s">
        <v>25</v>
      </c>
      <c r="P263" s="38">
        <v>0.36452546299999999</v>
      </c>
      <c r="Q263" s="39" t="s">
        <v>958</v>
      </c>
      <c r="R263" s="35" t="s">
        <v>916</v>
      </c>
      <c r="S263" s="35"/>
      <c r="T263" s="35" t="s">
        <v>1624</v>
      </c>
      <c r="U263" s="40">
        <v>46117</v>
      </c>
      <c r="V263" s="41">
        <v>46153.532708333332</v>
      </c>
      <c r="W263" s="40">
        <v>46116</v>
      </c>
      <c r="X263" s="35" t="s">
        <v>916</v>
      </c>
      <c r="Y263" s="35" t="s">
        <v>916</v>
      </c>
      <c r="Z263" s="35" t="s">
        <v>916</v>
      </c>
      <c r="AA263" s="38">
        <v>8.7486111120000007</v>
      </c>
      <c r="AB263" s="42" t="s">
        <v>916</v>
      </c>
      <c r="AC263" s="43" t="s">
        <v>916</v>
      </c>
      <c r="AD263" s="43" t="s">
        <v>916</v>
      </c>
      <c r="AE263" s="33" t="s">
        <v>916</v>
      </c>
      <c r="AF263" s="35" t="s">
        <v>916</v>
      </c>
      <c r="AG263" s="44">
        <v>0</v>
      </c>
      <c r="AH263" s="42" t="s">
        <v>916</v>
      </c>
      <c r="AI263" s="32" t="str">
        <f>VLOOKUP(A263,'4月明細'!B:B,1,0)</f>
        <v>20260404-001</v>
      </c>
      <c r="AJ263" s="32">
        <f>VLOOKUP(A263,'4月明細'!B:I,8,0)</f>
        <v>0.36</v>
      </c>
      <c r="AK263" s="47">
        <f t="shared" si="14"/>
        <v>-4.5254630000000073E-3</v>
      </c>
    </row>
    <row r="264" spans="1:37" ht="19.95" customHeight="1" x14ac:dyDescent="0.3">
      <c r="A264" s="33" t="s">
        <v>725</v>
      </c>
      <c r="B264" s="34">
        <v>46115.878981481481</v>
      </c>
      <c r="C264" s="34" t="str">
        <f t="shared" si="15"/>
        <v>202604</v>
      </c>
      <c r="D264" s="35" t="s">
        <v>1168</v>
      </c>
      <c r="E264" s="36" t="s">
        <v>942</v>
      </c>
      <c r="F264" s="36" t="s">
        <v>1017</v>
      </c>
      <c r="G264" s="37" t="s">
        <v>1650</v>
      </c>
      <c r="H264" s="36" t="s">
        <v>1078</v>
      </c>
      <c r="I264" s="35"/>
      <c r="J264" s="36" t="s">
        <v>945</v>
      </c>
      <c r="K264" s="33" t="s">
        <v>916</v>
      </c>
      <c r="L264" s="35" t="s">
        <v>916</v>
      </c>
      <c r="M264" s="36" t="s">
        <v>923</v>
      </c>
      <c r="N264" s="45">
        <v>46116.816666666666</v>
      </c>
      <c r="O264" s="36" t="s">
        <v>25</v>
      </c>
      <c r="P264" s="38">
        <v>0.93768518519999999</v>
      </c>
      <c r="Q264" s="39" t="s">
        <v>958</v>
      </c>
      <c r="R264" s="35" t="s">
        <v>916</v>
      </c>
      <c r="S264" s="35"/>
      <c r="T264" s="35" t="s">
        <v>1624</v>
      </c>
      <c r="U264" s="40">
        <v>46116</v>
      </c>
      <c r="V264" s="41">
        <v>46153.532708333332</v>
      </c>
      <c r="W264" s="40">
        <v>46116</v>
      </c>
      <c r="X264" s="35" t="s">
        <v>916</v>
      </c>
      <c r="Y264" s="35" t="s">
        <v>916</v>
      </c>
      <c r="Z264" s="35" t="s">
        <v>916</v>
      </c>
      <c r="AA264" s="38">
        <v>22.504444444800001</v>
      </c>
      <c r="AB264" s="42" t="s">
        <v>916</v>
      </c>
      <c r="AC264" s="43" t="s">
        <v>916</v>
      </c>
      <c r="AD264" s="43" t="s">
        <v>916</v>
      </c>
      <c r="AE264" s="33" t="s">
        <v>916</v>
      </c>
      <c r="AF264" s="35" t="s">
        <v>916</v>
      </c>
      <c r="AG264" s="44">
        <v>0</v>
      </c>
      <c r="AH264" s="42" t="s">
        <v>916</v>
      </c>
      <c r="AI264" s="32" t="str">
        <f>VLOOKUP(A264,'4月明細'!B:B,1,0)</f>
        <v>20260403-002</v>
      </c>
      <c r="AJ264" s="32">
        <f>VLOOKUP(A264,'4月明細'!B:I,8,0)</f>
        <v>0.94</v>
      </c>
      <c r="AK264" s="47">
        <f t="shared" si="14"/>
        <v>2.3148147999999535E-3</v>
      </c>
    </row>
    <row r="265" spans="1:37" ht="19.95" customHeight="1" x14ac:dyDescent="0.3">
      <c r="A265" s="33" t="s">
        <v>724</v>
      </c>
      <c r="B265" s="34">
        <v>46115.614756944444</v>
      </c>
      <c r="C265" s="34" t="str">
        <f t="shared" si="15"/>
        <v>202604</v>
      </c>
      <c r="D265" s="35" t="s">
        <v>1178</v>
      </c>
      <c r="E265" s="36" t="s">
        <v>910</v>
      </c>
      <c r="F265" s="36" t="s">
        <v>1621</v>
      </c>
      <c r="G265" s="37" t="s">
        <v>1651</v>
      </c>
      <c r="H265" s="36" t="s">
        <v>1078</v>
      </c>
      <c r="I265" s="35" t="s">
        <v>1070</v>
      </c>
      <c r="J265" s="36" t="s">
        <v>914</v>
      </c>
      <c r="K265" s="33" t="s">
        <v>916</v>
      </c>
      <c r="L265" s="35" t="s">
        <v>916</v>
      </c>
      <c r="M265" s="36" t="s">
        <v>957</v>
      </c>
      <c r="N265" s="45">
        <v>46115.801388888889</v>
      </c>
      <c r="O265" s="36" t="s">
        <v>25</v>
      </c>
      <c r="P265" s="38">
        <v>0.1866319444</v>
      </c>
      <c r="Q265" s="39" t="s">
        <v>958</v>
      </c>
      <c r="R265" s="35" t="s">
        <v>916</v>
      </c>
      <c r="S265" s="35"/>
      <c r="T265" s="35" t="s">
        <v>1624</v>
      </c>
      <c r="U265" s="40">
        <v>46116</v>
      </c>
      <c r="V265" s="41">
        <v>46153.532708333332</v>
      </c>
      <c r="W265" s="40">
        <v>46115</v>
      </c>
      <c r="X265" s="35" t="s">
        <v>916</v>
      </c>
      <c r="Y265" s="35" t="s">
        <v>916</v>
      </c>
      <c r="Z265" s="35" t="s">
        <v>916</v>
      </c>
      <c r="AA265" s="38">
        <v>4.4791666656000002</v>
      </c>
      <c r="AB265" s="42" t="s">
        <v>916</v>
      </c>
      <c r="AC265" s="43" t="s">
        <v>916</v>
      </c>
      <c r="AD265" s="43" t="s">
        <v>916</v>
      </c>
      <c r="AE265" s="33" t="s">
        <v>916</v>
      </c>
      <c r="AF265" s="35" t="s">
        <v>916</v>
      </c>
      <c r="AG265" s="44">
        <v>0</v>
      </c>
      <c r="AH265" s="42" t="s">
        <v>916</v>
      </c>
      <c r="AI265" s="32" t="str">
        <f>VLOOKUP(A265,'4月明細'!B:B,1,0)</f>
        <v>20260403-001</v>
      </c>
      <c r="AJ265" s="32">
        <f>VLOOKUP(A265,'4月明細'!B:I,8,0)</f>
        <v>0.19</v>
      </c>
      <c r="AK265" s="47">
        <f t="shared" si="14"/>
        <v>3.3680556000000028E-3</v>
      </c>
    </row>
    <row r="266" spans="1:37" ht="19.95" customHeight="1" x14ac:dyDescent="0.3">
      <c r="A266" s="33" t="s">
        <v>1652</v>
      </c>
      <c r="B266" s="34">
        <v>46114.70208333333</v>
      </c>
      <c r="C266" s="34" t="str">
        <f t="shared" si="15"/>
        <v>202604</v>
      </c>
      <c r="D266" s="35" t="s">
        <v>1653</v>
      </c>
      <c r="E266" s="36" t="s">
        <v>934</v>
      </c>
      <c r="F266" s="36" t="s">
        <v>1397</v>
      </c>
      <c r="G266" s="37" t="s">
        <v>1654</v>
      </c>
      <c r="H266" s="36" t="s">
        <v>928</v>
      </c>
      <c r="I266" s="35" t="s">
        <v>1655</v>
      </c>
      <c r="J266" s="36" t="s">
        <v>929</v>
      </c>
      <c r="K266" s="33" t="s">
        <v>916</v>
      </c>
      <c r="L266" s="35" t="s">
        <v>916</v>
      </c>
      <c r="M266" s="36" t="s">
        <v>916</v>
      </c>
      <c r="N266" s="36" t="s">
        <v>916</v>
      </c>
      <c r="O266" s="36" t="s">
        <v>939</v>
      </c>
      <c r="P266" s="38" t="s">
        <v>916</v>
      </c>
      <c r="Q266" s="36" t="s">
        <v>916</v>
      </c>
      <c r="R266" s="35" t="s">
        <v>916</v>
      </c>
      <c r="S266" s="35"/>
      <c r="T266" s="35" t="s">
        <v>1624</v>
      </c>
      <c r="U266" s="40">
        <v>46115</v>
      </c>
      <c r="V266" s="41">
        <v>46153.532708333332</v>
      </c>
      <c r="W266" s="40">
        <v>46114</v>
      </c>
      <c r="X266" s="40">
        <v>46153</v>
      </c>
      <c r="Y266" s="35" t="s">
        <v>916</v>
      </c>
      <c r="Z266" s="35" t="s">
        <v>916</v>
      </c>
      <c r="AA266" s="38">
        <v>0</v>
      </c>
      <c r="AB266" s="42" t="s">
        <v>916</v>
      </c>
      <c r="AC266" s="43" t="s">
        <v>916</v>
      </c>
      <c r="AD266" s="43" t="s">
        <v>916</v>
      </c>
      <c r="AE266" s="33" t="s">
        <v>916</v>
      </c>
      <c r="AF266" s="35" t="s">
        <v>916</v>
      </c>
      <c r="AG266" s="44">
        <v>0</v>
      </c>
      <c r="AH266" s="42" t="s">
        <v>916</v>
      </c>
      <c r="AI266" s="32" t="e">
        <f>VLOOKUP(A266,'4月明細'!B:B,1,0)</f>
        <v>#N/A</v>
      </c>
    </row>
    <row r="267" spans="1:37" ht="19.95" customHeight="1" x14ac:dyDescent="0.3">
      <c r="A267" s="33" t="s">
        <v>1656</v>
      </c>
      <c r="B267" s="34">
        <v>46114.699305555558</v>
      </c>
      <c r="C267" s="34" t="str">
        <f t="shared" si="15"/>
        <v>202604</v>
      </c>
      <c r="D267" s="35" t="s">
        <v>1653</v>
      </c>
      <c r="E267" s="36" t="s">
        <v>934</v>
      </c>
      <c r="F267" s="36" t="s">
        <v>1397</v>
      </c>
      <c r="G267" s="37" t="s">
        <v>1657</v>
      </c>
      <c r="H267" s="36" t="s">
        <v>928</v>
      </c>
      <c r="I267" s="35" t="s">
        <v>1658</v>
      </c>
      <c r="J267" s="36" t="s">
        <v>929</v>
      </c>
      <c r="K267" s="33" t="s">
        <v>916</v>
      </c>
      <c r="L267" s="35" t="s">
        <v>916</v>
      </c>
      <c r="M267" s="36" t="s">
        <v>916</v>
      </c>
      <c r="N267" s="36" t="s">
        <v>916</v>
      </c>
      <c r="O267" s="36" t="s">
        <v>939</v>
      </c>
      <c r="P267" s="38" t="s">
        <v>916</v>
      </c>
      <c r="Q267" s="36" t="s">
        <v>916</v>
      </c>
      <c r="R267" s="35" t="s">
        <v>916</v>
      </c>
      <c r="S267" s="35"/>
      <c r="T267" s="35" t="s">
        <v>1624</v>
      </c>
      <c r="U267" s="40">
        <v>46115</v>
      </c>
      <c r="V267" s="41">
        <v>46153.532708333332</v>
      </c>
      <c r="W267" s="40">
        <v>46114</v>
      </c>
      <c r="X267" s="40">
        <v>46153</v>
      </c>
      <c r="Y267" s="35" t="s">
        <v>916</v>
      </c>
      <c r="Z267" s="35" t="s">
        <v>916</v>
      </c>
      <c r="AA267" s="38">
        <v>0</v>
      </c>
      <c r="AB267" s="42" t="s">
        <v>916</v>
      </c>
      <c r="AC267" s="43" t="s">
        <v>916</v>
      </c>
      <c r="AD267" s="43" t="s">
        <v>916</v>
      </c>
      <c r="AE267" s="33" t="s">
        <v>916</v>
      </c>
      <c r="AF267" s="35" t="s">
        <v>916</v>
      </c>
      <c r="AG267" s="44">
        <v>0</v>
      </c>
      <c r="AH267" s="42" t="s">
        <v>916</v>
      </c>
      <c r="AI267" s="32" t="e">
        <f>VLOOKUP(A267,'4月明細'!B:B,1,0)</f>
        <v>#N/A</v>
      </c>
    </row>
    <row r="268" spans="1:37" ht="19.95" customHeight="1" x14ac:dyDescent="0.3">
      <c r="A268" s="33" t="s">
        <v>1659</v>
      </c>
      <c r="B268" s="34">
        <v>46114.698611111111</v>
      </c>
      <c r="C268" s="34" t="str">
        <f t="shared" si="15"/>
        <v>202604</v>
      </c>
      <c r="D268" s="35" t="s">
        <v>1653</v>
      </c>
      <c r="E268" s="36" t="s">
        <v>934</v>
      </c>
      <c r="F268" s="36" t="s">
        <v>1397</v>
      </c>
      <c r="G268" s="37" t="s">
        <v>1660</v>
      </c>
      <c r="H268" s="36" t="s">
        <v>1114</v>
      </c>
      <c r="I268" s="35" t="s">
        <v>1661</v>
      </c>
      <c r="J268" s="36" t="s">
        <v>929</v>
      </c>
      <c r="K268" s="33" t="s">
        <v>916</v>
      </c>
      <c r="L268" s="35" t="s">
        <v>916</v>
      </c>
      <c r="M268" s="36" t="s">
        <v>916</v>
      </c>
      <c r="N268" s="36" t="s">
        <v>916</v>
      </c>
      <c r="O268" s="36" t="s">
        <v>939</v>
      </c>
      <c r="P268" s="38" t="s">
        <v>916</v>
      </c>
      <c r="Q268" s="36" t="s">
        <v>916</v>
      </c>
      <c r="R268" s="35" t="s">
        <v>916</v>
      </c>
      <c r="S268" s="35"/>
      <c r="T268" s="35" t="s">
        <v>1624</v>
      </c>
      <c r="U268" s="40">
        <v>46115</v>
      </c>
      <c r="V268" s="41">
        <v>46153.532708333332</v>
      </c>
      <c r="W268" s="40">
        <v>46114</v>
      </c>
      <c r="X268" s="40">
        <v>46153</v>
      </c>
      <c r="Y268" s="35" t="s">
        <v>916</v>
      </c>
      <c r="Z268" s="35" t="s">
        <v>916</v>
      </c>
      <c r="AA268" s="38">
        <v>0</v>
      </c>
      <c r="AB268" s="42" t="s">
        <v>916</v>
      </c>
      <c r="AC268" s="43" t="s">
        <v>916</v>
      </c>
      <c r="AD268" s="43" t="s">
        <v>916</v>
      </c>
      <c r="AE268" s="33" t="s">
        <v>916</v>
      </c>
      <c r="AF268" s="35" t="s">
        <v>916</v>
      </c>
      <c r="AG268" s="44">
        <v>0</v>
      </c>
      <c r="AH268" s="42" t="s">
        <v>916</v>
      </c>
      <c r="AI268" s="32" t="e">
        <f>VLOOKUP(A268,'4月明細'!B:B,1,0)</f>
        <v>#N/A</v>
      </c>
    </row>
    <row r="269" spans="1:37" ht="19.95" customHeight="1" x14ac:dyDescent="0.3">
      <c r="A269" s="33" t="s">
        <v>1662</v>
      </c>
      <c r="B269" s="34">
        <v>46114.695833333331</v>
      </c>
      <c r="C269" s="34" t="str">
        <f t="shared" si="15"/>
        <v>202604</v>
      </c>
      <c r="D269" s="35" t="s">
        <v>1653</v>
      </c>
      <c r="E269" s="36" t="s">
        <v>934</v>
      </c>
      <c r="F269" s="36" t="s">
        <v>1441</v>
      </c>
      <c r="G269" s="37" t="s">
        <v>1654</v>
      </c>
      <c r="H269" s="36" t="s">
        <v>928</v>
      </c>
      <c r="I269" s="35" t="s">
        <v>1663</v>
      </c>
      <c r="J269" s="36" t="s">
        <v>929</v>
      </c>
      <c r="K269" s="33" t="s">
        <v>916</v>
      </c>
      <c r="L269" s="35" t="s">
        <v>916</v>
      </c>
      <c r="M269" s="36" t="s">
        <v>916</v>
      </c>
      <c r="N269" s="36" t="s">
        <v>916</v>
      </c>
      <c r="O269" s="36" t="s">
        <v>939</v>
      </c>
      <c r="P269" s="38" t="s">
        <v>916</v>
      </c>
      <c r="Q269" s="36" t="s">
        <v>916</v>
      </c>
      <c r="R269" s="35" t="s">
        <v>916</v>
      </c>
      <c r="S269" s="35"/>
      <c r="T269" s="35" t="s">
        <v>1624</v>
      </c>
      <c r="U269" s="40">
        <v>46115</v>
      </c>
      <c r="V269" s="41">
        <v>46153.532708333332</v>
      </c>
      <c r="W269" s="40">
        <v>46114</v>
      </c>
      <c r="X269" s="40">
        <v>46153</v>
      </c>
      <c r="Y269" s="35" t="s">
        <v>916</v>
      </c>
      <c r="Z269" s="35" t="s">
        <v>916</v>
      </c>
      <c r="AA269" s="38">
        <v>0</v>
      </c>
      <c r="AB269" s="42" t="s">
        <v>916</v>
      </c>
      <c r="AC269" s="43" t="s">
        <v>916</v>
      </c>
      <c r="AD269" s="43" t="s">
        <v>916</v>
      </c>
      <c r="AE269" s="33" t="s">
        <v>916</v>
      </c>
      <c r="AF269" s="35" t="s">
        <v>916</v>
      </c>
      <c r="AG269" s="44">
        <v>0</v>
      </c>
      <c r="AH269" s="42" t="s">
        <v>916</v>
      </c>
      <c r="AI269" s="32" t="e">
        <f>VLOOKUP(A269,'4月明細'!B:B,1,0)</f>
        <v>#N/A</v>
      </c>
    </row>
    <row r="270" spans="1:37" ht="19.95" customHeight="1" x14ac:dyDescent="0.3">
      <c r="A270" s="33" t="s">
        <v>1664</v>
      </c>
      <c r="B270" s="34">
        <v>46114.694444444445</v>
      </c>
      <c r="C270" s="34" t="str">
        <f t="shared" si="15"/>
        <v>202604</v>
      </c>
      <c r="D270" s="35" t="s">
        <v>1653</v>
      </c>
      <c r="E270" s="36" t="s">
        <v>934</v>
      </c>
      <c r="F270" s="36" t="s">
        <v>1441</v>
      </c>
      <c r="G270" s="37" t="s">
        <v>1660</v>
      </c>
      <c r="H270" s="36" t="s">
        <v>1114</v>
      </c>
      <c r="I270" s="35" t="s">
        <v>1665</v>
      </c>
      <c r="J270" s="36" t="s">
        <v>929</v>
      </c>
      <c r="K270" s="33" t="s">
        <v>916</v>
      </c>
      <c r="L270" s="35" t="s">
        <v>916</v>
      </c>
      <c r="M270" s="36" t="s">
        <v>916</v>
      </c>
      <c r="N270" s="36" t="s">
        <v>916</v>
      </c>
      <c r="O270" s="36" t="s">
        <v>939</v>
      </c>
      <c r="P270" s="38" t="s">
        <v>916</v>
      </c>
      <c r="Q270" s="36" t="s">
        <v>916</v>
      </c>
      <c r="R270" s="35" t="s">
        <v>916</v>
      </c>
      <c r="S270" s="35"/>
      <c r="T270" s="35" t="s">
        <v>1624</v>
      </c>
      <c r="U270" s="40">
        <v>46115</v>
      </c>
      <c r="V270" s="41">
        <v>46153.532708333332</v>
      </c>
      <c r="W270" s="40">
        <v>46114</v>
      </c>
      <c r="X270" s="40">
        <v>46153</v>
      </c>
      <c r="Y270" s="35" t="s">
        <v>916</v>
      </c>
      <c r="Z270" s="35" t="s">
        <v>916</v>
      </c>
      <c r="AA270" s="38">
        <v>0</v>
      </c>
      <c r="AB270" s="42" t="s">
        <v>916</v>
      </c>
      <c r="AC270" s="43" t="s">
        <v>916</v>
      </c>
      <c r="AD270" s="43" t="s">
        <v>916</v>
      </c>
      <c r="AE270" s="33" t="s">
        <v>916</v>
      </c>
      <c r="AF270" s="35" t="s">
        <v>916</v>
      </c>
      <c r="AG270" s="44">
        <v>0</v>
      </c>
      <c r="AH270" s="42" t="s">
        <v>916</v>
      </c>
      <c r="AI270" s="32" t="e">
        <f>VLOOKUP(A270,'4月明細'!B:B,1,0)</f>
        <v>#N/A</v>
      </c>
    </row>
    <row r="271" spans="1:37" ht="19.95" customHeight="1" x14ac:dyDescent="0.3">
      <c r="A271" s="33" t="s">
        <v>1666</v>
      </c>
      <c r="B271" s="34">
        <v>46114.693055555559</v>
      </c>
      <c r="C271" s="34" t="str">
        <f t="shared" si="15"/>
        <v>202604</v>
      </c>
      <c r="D271" s="35" t="s">
        <v>1653</v>
      </c>
      <c r="E271" s="36" t="s">
        <v>934</v>
      </c>
      <c r="F271" s="36" t="s">
        <v>972</v>
      </c>
      <c r="G271" s="37" t="s">
        <v>1654</v>
      </c>
      <c r="H271" s="36" t="s">
        <v>928</v>
      </c>
      <c r="I271" s="35" t="s">
        <v>1667</v>
      </c>
      <c r="J271" s="36" t="s">
        <v>929</v>
      </c>
      <c r="K271" s="33" t="s">
        <v>916</v>
      </c>
      <c r="L271" s="35" t="s">
        <v>916</v>
      </c>
      <c r="M271" s="36" t="s">
        <v>916</v>
      </c>
      <c r="N271" s="36" t="s">
        <v>916</v>
      </c>
      <c r="O271" s="36" t="s">
        <v>939</v>
      </c>
      <c r="P271" s="38" t="s">
        <v>916</v>
      </c>
      <c r="Q271" s="36" t="s">
        <v>916</v>
      </c>
      <c r="R271" s="35" t="s">
        <v>916</v>
      </c>
      <c r="S271" s="35"/>
      <c r="T271" s="35" t="s">
        <v>1624</v>
      </c>
      <c r="U271" s="40">
        <v>46115</v>
      </c>
      <c r="V271" s="41">
        <v>46153.532708333332</v>
      </c>
      <c r="W271" s="40">
        <v>46114</v>
      </c>
      <c r="X271" s="40">
        <v>46153</v>
      </c>
      <c r="Y271" s="35" t="s">
        <v>916</v>
      </c>
      <c r="Z271" s="35" t="s">
        <v>916</v>
      </c>
      <c r="AA271" s="38">
        <v>0</v>
      </c>
      <c r="AB271" s="42" t="s">
        <v>916</v>
      </c>
      <c r="AC271" s="43" t="s">
        <v>916</v>
      </c>
      <c r="AD271" s="43" t="s">
        <v>916</v>
      </c>
      <c r="AE271" s="33" t="s">
        <v>916</v>
      </c>
      <c r="AF271" s="35" t="s">
        <v>916</v>
      </c>
      <c r="AG271" s="44">
        <v>0</v>
      </c>
      <c r="AH271" s="42" t="s">
        <v>916</v>
      </c>
      <c r="AI271" s="32" t="e">
        <f>VLOOKUP(A271,'4月明細'!B:B,1,0)</f>
        <v>#N/A</v>
      </c>
    </row>
    <row r="272" spans="1:37" ht="19.95" customHeight="1" x14ac:dyDescent="0.3">
      <c r="A272" s="33" t="s">
        <v>1668</v>
      </c>
      <c r="B272" s="34">
        <v>46114.69027777778</v>
      </c>
      <c r="C272" s="34" t="str">
        <f t="shared" si="15"/>
        <v>202604</v>
      </c>
      <c r="D272" s="35" t="s">
        <v>1653</v>
      </c>
      <c r="E272" s="36" t="s">
        <v>934</v>
      </c>
      <c r="F272" s="36" t="s">
        <v>972</v>
      </c>
      <c r="G272" s="37" t="s">
        <v>1657</v>
      </c>
      <c r="H272" s="36" t="s">
        <v>928</v>
      </c>
      <c r="I272" s="35" t="s">
        <v>1669</v>
      </c>
      <c r="J272" s="36" t="s">
        <v>929</v>
      </c>
      <c r="K272" s="33" t="s">
        <v>916</v>
      </c>
      <c r="L272" s="35" t="s">
        <v>916</v>
      </c>
      <c r="M272" s="36" t="s">
        <v>916</v>
      </c>
      <c r="N272" s="36" t="s">
        <v>916</v>
      </c>
      <c r="O272" s="36" t="s">
        <v>939</v>
      </c>
      <c r="P272" s="38" t="s">
        <v>916</v>
      </c>
      <c r="Q272" s="36" t="s">
        <v>916</v>
      </c>
      <c r="R272" s="35" t="s">
        <v>916</v>
      </c>
      <c r="S272" s="35"/>
      <c r="T272" s="35" t="s">
        <v>1624</v>
      </c>
      <c r="U272" s="40">
        <v>46115</v>
      </c>
      <c r="V272" s="41">
        <v>46153.532708333332</v>
      </c>
      <c r="W272" s="40">
        <v>46114</v>
      </c>
      <c r="X272" s="40">
        <v>46153</v>
      </c>
      <c r="Y272" s="35" t="s">
        <v>916</v>
      </c>
      <c r="Z272" s="35" t="s">
        <v>916</v>
      </c>
      <c r="AA272" s="38">
        <v>0</v>
      </c>
      <c r="AB272" s="42" t="s">
        <v>916</v>
      </c>
      <c r="AC272" s="43" t="s">
        <v>916</v>
      </c>
      <c r="AD272" s="43" t="s">
        <v>916</v>
      </c>
      <c r="AE272" s="33" t="s">
        <v>916</v>
      </c>
      <c r="AF272" s="35" t="s">
        <v>916</v>
      </c>
      <c r="AG272" s="44">
        <v>0</v>
      </c>
      <c r="AH272" s="42" t="s">
        <v>916</v>
      </c>
      <c r="AI272" s="32" t="e">
        <f>VLOOKUP(A272,'4月明細'!B:B,1,0)</f>
        <v>#N/A</v>
      </c>
    </row>
    <row r="273" spans="1:37" ht="19.95" customHeight="1" x14ac:dyDescent="0.3">
      <c r="A273" s="33" t="s">
        <v>723</v>
      </c>
      <c r="B273" s="34">
        <v>46114.640196759261</v>
      </c>
      <c r="C273" s="34" t="str">
        <f t="shared" si="15"/>
        <v>202604</v>
      </c>
      <c r="D273" s="35" t="s">
        <v>996</v>
      </c>
      <c r="E273" s="36" t="s">
        <v>910</v>
      </c>
      <c r="F273" s="36" t="s">
        <v>1377</v>
      </c>
      <c r="G273" s="37" t="s">
        <v>1670</v>
      </c>
      <c r="H273" s="36" t="s">
        <v>954</v>
      </c>
      <c r="I273" s="35"/>
      <c r="J273" s="36" t="s">
        <v>914</v>
      </c>
      <c r="K273" s="33" t="s">
        <v>916</v>
      </c>
      <c r="L273" s="35" t="s">
        <v>916</v>
      </c>
      <c r="M273" s="36" t="s">
        <v>923</v>
      </c>
      <c r="N273" s="45">
        <v>46114.691666666666</v>
      </c>
      <c r="O273" s="36" t="s">
        <v>25</v>
      </c>
      <c r="P273" s="38">
        <v>5.1469907400000001E-2</v>
      </c>
      <c r="Q273" s="39" t="s">
        <v>984</v>
      </c>
      <c r="R273" s="35" t="s">
        <v>916</v>
      </c>
      <c r="S273" s="35"/>
      <c r="T273" s="35" t="s">
        <v>1624</v>
      </c>
      <c r="U273" s="40">
        <v>46115</v>
      </c>
      <c r="V273" s="41">
        <v>46153.532708333332</v>
      </c>
      <c r="W273" s="40">
        <v>46114</v>
      </c>
      <c r="X273" s="35" t="s">
        <v>916</v>
      </c>
      <c r="Y273" s="35" t="s">
        <v>916</v>
      </c>
      <c r="Z273" s="35" t="s">
        <v>916</v>
      </c>
      <c r="AA273" s="38">
        <v>1.2352777775999999</v>
      </c>
      <c r="AB273" s="42" t="s">
        <v>916</v>
      </c>
      <c r="AC273" s="43" t="s">
        <v>916</v>
      </c>
      <c r="AD273" s="43" t="s">
        <v>916</v>
      </c>
      <c r="AE273" s="33" t="s">
        <v>916</v>
      </c>
      <c r="AF273" s="35" t="s">
        <v>916</v>
      </c>
      <c r="AG273" s="44">
        <v>0</v>
      </c>
      <c r="AH273" s="42" t="s">
        <v>916</v>
      </c>
      <c r="AI273" s="32" t="str">
        <f>VLOOKUP(A273,'4月明細'!B:B,1,0)</f>
        <v>20260402-006</v>
      </c>
      <c r="AJ273" s="32">
        <f>VLOOKUP(A273,'4月明細'!B:I,8,0)</f>
        <v>0.05</v>
      </c>
      <c r="AK273" s="47">
        <f t="shared" ref="AK273:AK277" si="16">AJ273-P273</f>
        <v>-1.4699073999999979E-3</v>
      </c>
    </row>
    <row r="274" spans="1:37" ht="19.95" customHeight="1" x14ac:dyDescent="0.3">
      <c r="A274" s="33" t="s">
        <v>722</v>
      </c>
      <c r="B274" s="34">
        <v>46114.536273148151</v>
      </c>
      <c r="C274" s="34" t="str">
        <f t="shared" si="15"/>
        <v>202604</v>
      </c>
      <c r="D274" s="35" t="s">
        <v>996</v>
      </c>
      <c r="E274" s="36" t="s">
        <v>910</v>
      </c>
      <c r="F274" s="36" t="s">
        <v>1568</v>
      </c>
      <c r="G274" s="37" t="s">
        <v>1607</v>
      </c>
      <c r="H274" s="36" t="s">
        <v>954</v>
      </c>
      <c r="I274" s="35"/>
      <c r="J274" s="36" t="s">
        <v>914</v>
      </c>
      <c r="K274" s="33" t="s">
        <v>916</v>
      </c>
      <c r="L274" s="35" t="s">
        <v>916</v>
      </c>
      <c r="M274" s="36" t="s">
        <v>917</v>
      </c>
      <c r="N274" s="45">
        <v>46114.691666666666</v>
      </c>
      <c r="O274" s="36" t="s">
        <v>25</v>
      </c>
      <c r="P274" s="38">
        <v>0.15539351849999999</v>
      </c>
      <c r="Q274" s="39" t="s">
        <v>1671</v>
      </c>
      <c r="R274" s="35" t="s">
        <v>916</v>
      </c>
      <c r="S274" s="35"/>
      <c r="T274" s="35" t="s">
        <v>1624</v>
      </c>
      <c r="U274" s="40">
        <v>46115</v>
      </c>
      <c r="V274" s="41">
        <v>46153.532708333332</v>
      </c>
      <c r="W274" s="40">
        <v>46114</v>
      </c>
      <c r="X274" s="35" t="s">
        <v>916</v>
      </c>
      <c r="Y274" s="35" t="s">
        <v>916</v>
      </c>
      <c r="Z274" s="35" t="s">
        <v>916</v>
      </c>
      <c r="AA274" s="38">
        <v>3.7294444439999999</v>
      </c>
      <c r="AB274" s="42" t="s">
        <v>916</v>
      </c>
      <c r="AC274" s="43" t="s">
        <v>916</v>
      </c>
      <c r="AD274" s="43" t="s">
        <v>916</v>
      </c>
      <c r="AE274" s="33" t="s">
        <v>916</v>
      </c>
      <c r="AF274" s="35" t="s">
        <v>916</v>
      </c>
      <c r="AG274" s="44">
        <v>0</v>
      </c>
      <c r="AH274" s="42" t="s">
        <v>916</v>
      </c>
      <c r="AI274" s="32" t="str">
        <f>VLOOKUP(A274,'4月明細'!B:B,1,0)</f>
        <v>20260402-005</v>
      </c>
      <c r="AJ274" s="32">
        <f>VLOOKUP(A274,'4月明細'!B:I,8,0)</f>
        <v>0.16</v>
      </c>
      <c r="AK274" s="47">
        <f t="shared" si="16"/>
        <v>4.6064815000000092E-3</v>
      </c>
    </row>
    <row r="275" spans="1:37" ht="19.95" customHeight="1" x14ac:dyDescent="0.3">
      <c r="A275" s="33" t="s">
        <v>721</v>
      </c>
      <c r="B275" s="34">
        <v>46114.472939814812</v>
      </c>
      <c r="C275" s="34" t="str">
        <f t="shared" si="15"/>
        <v>202604</v>
      </c>
      <c r="D275" s="35" t="s">
        <v>996</v>
      </c>
      <c r="E275" s="36" t="s">
        <v>910</v>
      </c>
      <c r="F275" s="36" t="s">
        <v>961</v>
      </c>
      <c r="G275" s="37" t="s">
        <v>1096</v>
      </c>
      <c r="H275" s="36" t="s">
        <v>928</v>
      </c>
      <c r="I275" s="35"/>
      <c r="J275" s="36" t="s">
        <v>914</v>
      </c>
      <c r="K275" s="33" t="s">
        <v>916</v>
      </c>
      <c r="L275" s="35" t="s">
        <v>916</v>
      </c>
      <c r="M275" s="36" t="s">
        <v>923</v>
      </c>
      <c r="N275" s="45">
        <v>46114.692361111112</v>
      </c>
      <c r="O275" s="36" t="s">
        <v>25</v>
      </c>
      <c r="P275" s="38">
        <v>0.21942129630000001</v>
      </c>
      <c r="Q275" s="39" t="s">
        <v>1422</v>
      </c>
      <c r="R275" s="35" t="s">
        <v>916</v>
      </c>
      <c r="S275" s="35"/>
      <c r="T275" s="35" t="s">
        <v>1624</v>
      </c>
      <c r="U275" s="40">
        <v>46115</v>
      </c>
      <c r="V275" s="41">
        <v>46153.532708333332</v>
      </c>
      <c r="W275" s="40">
        <v>46114</v>
      </c>
      <c r="X275" s="35" t="s">
        <v>916</v>
      </c>
      <c r="Y275" s="35" t="s">
        <v>916</v>
      </c>
      <c r="Z275" s="35" t="s">
        <v>916</v>
      </c>
      <c r="AA275" s="38">
        <v>5.2661111111999999</v>
      </c>
      <c r="AB275" s="42" t="s">
        <v>916</v>
      </c>
      <c r="AC275" s="43" t="s">
        <v>916</v>
      </c>
      <c r="AD275" s="43" t="s">
        <v>916</v>
      </c>
      <c r="AE275" s="33" t="s">
        <v>916</v>
      </c>
      <c r="AF275" s="35" t="s">
        <v>916</v>
      </c>
      <c r="AG275" s="44">
        <v>0</v>
      </c>
      <c r="AH275" s="42" t="s">
        <v>916</v>
      </c>
      <c r="AI275" s="32" t="str">
        <f>VLOOKUP(A275,'4月明細'!B:B,1,0)</f>
        <v>20260402-004</v>
      </c>
      <c r="AJ275" s="32">
        <f>VLOOKUP(A275,'4月明細'!B:I,8,0)</f>
        <v>0.22</v>
      </c>
      <c r="AK275" s="47">
        <f t="shared" si="16"/>
        <v>5.7870369999998839E-4</v>
      </c>
    </row>
    <row r="276" spans="1:37" ht="19.95" customHeight="1" x14ac:dyDescent="0.3">
      <c r="A276" s="33" t="s">
        <v>720</v>
      </c>
      <c r="B276" s="34">
        <v>46114.438726851855</v>
      </c>
      <c r="C276" s="34" t="str">
        <f t="shared" si="15"/>
        <v>202604</v>
      </c>
      <c r="D276" s="35" t="s">
        <v>996</v>
      </c>
      <c r="E276" s="36" t="s">
        <v>910</v>
      </c>
      <c r="F276" s="36" t="s">
        <v>1672</v>
      </c>
      <c r="G276" s="37" t="s">
        <v>998</v>
      </c>
      <c r="H276" s="36" t="s">
        <v>928</v>
      </c>
      <c r="I276" s="35"/>
      <c r="J276" s="36" t="s">
        <v>914</v>
      </c>
      <c r="K276" s="33" t="s">
        <v>916</v>
      </c>
      <c r="L276" s="35" t="s">
        <v>916</v>
      </c>
      <c r="M276" s="36" t="s">
        <v>923</v>
      </c>
      <c r="N276" s="45">
        <v>46114.693055555559</v>
      </c>
      <c r="O276" s="36" t="s">
        <v>25</v>
      </c>
      <c r="P276" s="38">
        <v>0.25432870369999999</v>
      </c>
      <c r="Q276" s="39" t="s">
        <v>1422</v>
      </c>
      <c r="R276" s="35" t="s">
        <v>916</v>
      </c>
      <c r="S276" s="35"/>
      <c r="T276" s="35" t="s">
        <v>1624</v>
      </c>
      <c r="U276" s="40">
        <v>46115</v>
      </c>
      <c r="V276" s="41">
        <v>46153.532708333332</v>
      </c>
      <c r="W276" s="40">
        <v>46114</v>
      </c>
      <c r="X276" s="35" t="s">
        <v>916</v>
      </c>
      <c r="Y276" s="35" t="s">
        <v>916</v>
      </c>
      <c r="Z276" s="35" t="s">
        <v>916</v>
      </c>
      <c r="AA276" s="38">
        <v>6.1038888888000002</v>
      </c>
      <c r="AB276" s="42" t="s">
        <v>916</v>
      </c>
      <c r="AC276" s="43" t="s">
        <v>916</v>
      </c>
      <c r="AD276" s="43" t="s">
        <v>916</v>
      </c>
      <c r="AE276" s="33" t="s">
        <v>916</v>
      </c>
      <c r="AF276" s="35" t="s">
        <v>916</v>
      </c>
      <c r="AG276" s="44">
        <v>0</v>
      </c>
      <c r="AH276" s="42" t="s">
        <v>916</v>
      </c>
      <c r="AI276" s="32" t="str">
        <f>VLOOKUP(A276,'4月明細'!B:B,1,0)</f>
        <v>20260402-003</v>
      </c>
      <c r="AJ276" s="32">
        <f>VLOOKUP(A276,'4月明細'!B:I,8,0)</f>
        <v>0.25</v>
      </c>
      <c r="AK276" s="47">
        <f t="shared" si="16"/>
        <v>-4.3287036999999917E-3</v>
      </c>
    </row>
    <row r="277" spans="1:37" ht="19.95" customHeight="1" x14ac:dyDescent="0.3">
      <c r="A277" s="33" t="s">
        <v>719</v>
      </c>
      <c r="B277" s="34">
        <v>46114.433622685188</v>
      </c>
      <c r="C277" s="34" t="str">
        <f t="shared" si="15"/>
        <v>202604</v>
      </c>
      <c r="D277" s="35" t="s">
        <v>996</v>
      </c>
      <c r="E277" s="36" t="s">
        <v>910</v>
      </c>
      <c r="F277" s="36" t="s">
        <v>1568</v>
      </c>
      <c r="G277" s="37" t="s">
        <v>1673</v>
      </c>
      <c r="H277" s="36" t="s">
        <v>928</v>
      </c>
      <c r="I277" s="35"/>
      <c r="J277" s="36" t="s">
        <v>914</v>
      </c>
      <c r="K277" s="33" t="s">
        <v>916</v>
      </c>
      <c r="L277" s="35" t="s">
        <v>916</v>
      </c>
      <c r="M277" s="36" t="s">
        <v>923</v>
      </c>
      <c r="N277" s="45">
        <v>46114.714583333334</v>
      </c>
      <c r="O277" s="36" t="s">
        <v>25</v>
      </c>
      <c r="P277" s="38">
        <v>0.28096064809999999</v>
      </c>
      <c r="Q277" s="39" t="s">
        <v>958</v>
      </c>
      <c r="R277" s="35" t="s">
        <v>916</v>
      </c>
      <c r="S277" s="35"/>
      <c r="T277" s="35" t="s">
        <v>1624</v>
      </c>
      <c r="U277" s="40">
        <v>46115</v>
      </c>
      <c r="V277" s="41">
        <v>46153.532708333332</v>
      </c>
      <c r="W277" s="40">
        <v>46114</v>
      </c>
      <c r="X277" s="35" t="s">
        <v>916</v>
      </c>
      <c r="Y277" s="35" t="s">
        <v>916</v>
      </c>
      <c r="Z277" s="35" t="s">
        <v>916</v>
      </c>
      <c r="AA277" s="38">
        <v>6.7430555543999997</v>
      </c>
      <c r="AB277" s="42" t="s">
        <v>916</v>
      </c>
      <c r="AC277" s="43" t="s">
        <v>916</v>
      </c>
      <c r="AD277" s="43" t="s">
        <v>916</v>
      </c>
      <c r="AE277" s="33" t="s">
        <v>916</v>
      </c>
      <c r="AF277" s="35" t="s">
        <v>916</v>
      </c>
      <c r="AG277" s="44">
        <v>0</v>
      </c>
      <c r="AH277" s="42" t="s">
        <v>916</v>
      </c>
      <c r="AI277" s="32" t="str">
        <f>VLOOKUP(A277,'4月明細'!B:B,1,0)</f>
        <v>20260402-002</v>
      </c>
      <c r="AJ277" s="32">
        <f>VLOOKUP(A277,'4月明細'!B:I,8,0)</f>
        <v>0.28000000000000003</v>
      </c>
      <c r="AK277" s="47">
        <f t="shared" si="16"/>
        <v>-9.6064809999996115E-4</v>
      </c>
    </row>
    <row r="278" spans="1:37" ht="19.95" customHeight="1" x14ac:dyDescent="0.3">
      <c r="A278" s="33" t="s">
        <v>1674</v>
      </c>
      <c r="B278" s="34">
        <v>46114.393622685187</v>
      </c>
      <c r="C278" s="34" t="str">
        <f t="shared" si="15"/>
        <v>202604</v>
      </c>
      <c r="D278" s="35" t="s">
        <v>951</v>
      </c>
      <c r="E278" s="36" t="s">
        <v>910</v>
      </c>
      <c r="F278" s="36" t="s">
        <v>1675</v>
      </c>
      <c r="G278" s="37" t="s">
        <v>1676</v>
      </c>
      <c r="H278" s="36" t="s">
        <v>928</v>
      </c>
      <c r="I278" s="35" t="s">
        <v>1677</v>
      </c>
      <c r="J278" s="36" t="s">
        <v>929</v>
      </c>
      <c r="K278" s="33" t="s">
        <v>916</v>
      </c>
      <c r="L278" s="35" t="s">
        <v>916</v>
      </c>
      <c r="M278" s="36" t="s">
        <v>916</v>
      </c>
      <c r="N278" s="36" t="s">
        <v>916</v>
      </c>
      <c r="O278" s="36" t="s">
        <v>939</v>
      </c>
      <c r="P278" s="38" t="s">
        <v>916</v>
      </c>
      <c r="Q278" s="36" t="s">
        <v>916</v>
      </c>
      <c r="R278" s="35" t="s">
        <v>916</v>
      </c>
      <c r="S278" s="35"/>
      <c r="T278" s="35" t="s">
        <v>1624</v>
      </c>
      <c r="U278" s="40">
        <v>46115</v>
      </c>
      <c r="V278" s="41">
        <v>46153.532708333332</v>
      </c>
      <c r="W278" s="40">
        <v>46114</v>
      </c>
      <c r="X278" s="40">
        <v>46153</v>
      </c>
      <c r="Y278" s="35" t="s">
        <v>916</v>
      </c>
      <c r="Z278" s="35" t="s">
        <v>916</v>
      </c>
      <c r="AA278" s="38">
        <v>0</v>
      </c>
      <c r="AB278" s="42" t="s">
        <v>916</v>
      </c>
      <c r="AC278" s="43" t="s">
        <v>916</v>
      </c>
      <c r="AD278" s="43" t="s">
        <v>916</v>
      </c>
      <c r="AE278" s="33" t="s">
        <v>916</v>
      </c>
      <c r="AF278" s="35" t="s">
        <v>916</v>
      </c>
      <c r="AG278" s="44">
        <v>0</v>
      </c>
      <c r="AH278" s="42" t="s">
        <v>916</v>
      </c>
      <c r="AI278" s="32" t="e">
        <f>VLOOKUP(A278,'4月明細'!B:B,1,0)</f>
        <v>#N/A</v>
      </c>
    </row>
    <row r="279" spans="1:37" ht="19.95" customHeight="1" x14ac:dyDescent="0.3">
      <c r="A279" s="33" t="s">
        <v>1678</v>
      </c>
      <c r="B279" s="34">
        <v>46113.731944444444</v>
      </c>
      <c r="C279" s="34" t="str">
        <f t="shared" si="15"/>
        <v>202604</v>
      </c>
      <c r="D279" s="35" t="s">
        <v>1653</v>
      </c>
      <c r="E279" s="36" t="s">
        <v>934</v>
      </c>
      <c r="F279" s="36" t="s">
        <v>1000</v>
      </c>
      <c r="G279" s="37" t="s">
        <v>1679</v>
      </c>
      <c r="H279" s="36" t="s">
        <v>1114</v>
      </c>
      <c r="I279" s="35" t="s">
        <v>1680</v>
      </c>
      <c r="J279" s="36" t="s">
        <v>929</v>
      </c>
      <c r="K279" s="33" t="s">
        <v>916</v>
      </c>
      <c r="L279" s="35" t="s">
        <v>916</v>
      </c>
      <c r="M279" s="36" t="s">
        <v>916</v>
      </c>
      <c r="N279" s="36" t="s">
        <v>916</v>
      </c>
      <c r="O279" s="36" t="s">
        <v>939</v>
      </c>
      <c r="P279" s="38" t="s">
        <v>916</v>
      </c>
      <c r="Q279" s="36" t="s">
        <v>916</v>
      </c>
      <c r="R279" s="35" t="s">
        <v>916</v>
      </c>
      <c r="S279" s="35"/>
      <c r="T279" s="35" t="s">
        <v>1624</v>
      </c>
      <c r="U279" s="40">
        <v>46114</v>
      </c>
      <c r="V279" s="41">
        <v>46153.532708333332</v>
      </c>
      <c r="W279" s="40">
        <v>46113</v>
      </c>
      <c r="X279" s="40">
        <v>46153</v>
      </c>
      <c r="Y279" s="35" t="s">
        <v>916</v>
      </c>
      <c r="Z279" s="35" t="s">
        <v>916</v>
      </c>
      <c r="AA279" s="38">
        <v>0</v>
      </c>
      <c r="AB279" s="42" t="s">
        <v>916</v>
      </c>
      <c r="AC279" s="43" t="s">
        <v>916</v>
      </c>
      <c r="AD279" s="43" t="s">
        <v>916</v>
      </c>
      <c r="AE279" s="33" t="s">
        <v>916</v>
      </c>
      <c r="AF279" s="35" t="s">
        <v>916</v>
      </c>
      <c r="AG279" s="44">
        <v>0</v>
      </c>
      <c r="AH279" s="42" t="s">
        <v>916</v>
      </c>
      <c r="AI279" s="32" t="e">
        <f>VLOOKUP(A279,'4月明細'!B:B,1,0)</f>
        <v>#N/A</v>
      </c>
    </row>
    <row r="280" spans="1:37" ht="19.95" customHeight="1" x14ac:dyDescent="0.3">
      <c r="A280" s="33" t="s">
        <v>1681</v>
      </c>
      <c r="B280" s="34">
        <v>46113.730555555558</v>
      </c>
      <c r="C280" s="34" t="str">
        <f t="shared" si="15"/>
        <v>202604</v>
      </c>
      <c r="D280" s="35" t="s">
        <v>1653</v>
      </c>
      <c r="E280" s="36" t="s">
        <v>934</v>
      </c>
      <c r="F280" s="36" t="s">
        <v>1682</v>
      </c>
      <c r="G280" s="37" t="s">
        <v>1679</v>
      </c>
      <c r="H280" s="36" t="s">
        <v>1114</v>
      </c>
      <c r="I280" s="35" t="s">
        <v>1683</v>
      </c>
      <c r="J280" s="36" t="s">
        <v>929</v>
      </c>
      <c r="K280" s="33" t="s">
        <v>916</v>
      </c>
      <c r="L280" s="35" t="s">
        <v>916</v>
      </c>
      <c r="M280" s="36" t="s">
        <v>916</v>
      </c>
      <c r="N280" s="36" t="s">
        <v>916</v>
      </c>
      <c r="O280" s="36" t="s">
        <v>939</v>
      </c>
      <c r="P280" s="38" t="s">
        <v>916</v>
      </c>
      <c r="Q280" s="36" t="s">
        <v>916</v>
      </c>
      <c r="R280" s="35" t="s">
        <v>916</v>
      </c>
      <c r="S280" s="35"/>
      <c r="T280" s="35" t="s">
        <v>1624</v>
      </c>
      <c r="U280" s="40">
        <v>46114</v>
      </c>
      <c r="V280" s="41">
        <v>46153.532708333332</v>
      </c>
      <c r="W280" s="40">
        <v>46113</v>
      </c>
      <c r="X280" s="40">
        <v>46153</v>
      </c>
      <c r="Y280" s="35" t="s">
        <v>916</v>
      </c>
      <c r="Z280" s="35" t="s">
        <v>916</v>
      </c>
      <c r="AA280" s="38">
        <v>0</v>
      </c>
      <c r="AB280" s="42" t="s">
        <v>916</v>
      </c>
      <c r="AC280" s="43" t="s">
        <v>916</v>
      </c>
      <c r="AD280" s="43" t="s">
        <v>916</v>
      </c>
      <c r="AE280" s="33" t="s">
        <v>916</v>
      </c>
      <c r="AF280" s="35" t="s">
        <v>916</v>
      </c>
      <c r="AG280" s="44">
        <v>0</v>
      </c>
      <c r="AH280" s="42" t="s">
        <v>916</v>
      </c>
      <c r="AI280" s="32" t="e">
        <f>VLOOKUP(A280,'4月明細'!B:B,1,0)</f>
        <v>#N/A</v>
      </c>
    </row>
    <row r="281" spans="1:37" ht="19.95" customHeight="1" x14ac:dyDescent="0.3">
      <c r="A281" s="33" t="s">
        <v>1684</v>
      </c>
      <c r="B281" s="34">
        <v>46113.722222222219</v>
      </c>
      <c r="C281" s="34" t="str">
        <f t="shared" si="15"/>
        <v>202604</v>
      </c>
      <c r="D281" s="35" t="s">
        <v>1653</v>
      </c>
      <c r="E281" s="36" t="s">
        <v>934</v>
      </c>
      <c r="F281" s="36" t="s">
        <v>1397</v>
      </c>
      <c r="G281" s="37" t="s">
        <v>1657</v>
      </c>
      <c r="H281" s="36" t="s">
        <v>928</v>
      </c>
      <c r="I281" s="35" t="s">
        <v>1658</v>
      </c>
      <c r="J281" s="36" t="s">
        <v>929</v>
      </c>
      <c r="K281" s="33" t="s">
        <v>916</v>
      </c>
      <c r="L281" s="35" t="s">
        <v>916</v>
      </c>
      <c r="M281" s="36" t="s">
        <v>916</v>
      </c>
      <c r="N281" s="36" t="s">
        <v>916</v>
      </c>
      <c r="O281" s="36" t="s">
        <v>939</v>
      </c>
      <c r="P281" s="38" t="s">
        <v>916</v>
      </c>
      <c r="Q281" s="36" t="s">
        <v>916</v>
      </c>
      <c r="R281" s="35" t="s">
        <v>916</v>
      </c>
      <c r="S281" s="35"/>
      <c r="T281" s="35" t="s">
        <v>1624</v>
      </c>
      <c r="U281" s="40">
        <v>46114</v>
      </c>
      <c r="V281" s="41">
        <v>46153.532708333332</v>
      </c>
      <c r="W281" s="40">
        <v>46113</v>
      </c>
      <c r="X281" s="40">
        <v>46153</v>
      </c>
      <c r="Y281" s="35" t="s">
        <v>916</v>
      </c>
      <c r="Z281" s="35" t="s">
        <v>916</v>
      </c>
      <c r="AA281" s="38">
        <v>0</v>
      </c>
      <c r="AB281" s="42" t="s">
        <v>916</v>
      </c>
      <c r="AC281" s="43" t="s">
        <v>916</v>
      </c>
      <c r="AD281" s="43" t="s">
        <v>916</v>
      </c>
      <c r="AE281" s="33" t="s">
        <v>916</v>
      </c>
      <c r="AF281" s="35" t="s">
        <v>916</v>
      </c>
      <c r="AG281" s="44">
        <v>0</v>
      </c>
      <c r="AH281" s="42" t="s">
        <v>916</v>
      </c>
      <c r="AI281" s="32" t="e">
        <f>VLOOKUP(A281,'4月明細'!B:B,1,0)</f>
        <v>#N/A</v>
      </c>
    </row>
    <row r="282" spans="1:37" ht="19.95" customHeight="1" x14ac:dyDescent="0.3">
      <c r="A282" s="33" t="s">
        <v>1685</v>
      </c>
      <c r="B282" s="34">
        <v>46113.72152777778</v>
      </c>
      <c r="C282" s="34" t="str">
        <f t="shared" si="15"/>
        <v>202604</v>
      </c>
      <c r="D282" s="35" t="s">
        <v>1653</v>
      </c>
      <c r="E282" s="36" t="s">
        <v>934</v>
      </c>
      <c r="F282" s="36" t="s">
        <v>1686</v>
      </c>
      <c r="G282" s="37" t="s">
        <v>1679</v>
      </c>
      <c r="H282" s="36" t="s">
        <v>1114</v>
      </c>
      <c r="I282" s="35" t="s">
        <v>1687</v>
      </c>
      <c r="J282" s="36" t="s">
        <v>929</v>
      </c>
      <c r="K282" s="33" t="s">
        <v>916</v>
      </c>
      <c r="L282" s="35" t="s">
        <v>916</v>
      </c>
      <c r="M282" s="36" t="s">
        <v>916</v>
      </c>
      <c r="N282" s="36" t="s">
        <v>916</v>
      </c>
      <c r="O282" s="36" t="s">
        <v>939</v>
      </c>
      <c r="P282" s="38" t="s">
        <v>916</v>
      </c>
      <c r="Q282" s="36" t="s">
        <v>916</v>
      </c>
      <c r="R282" s="35" t="s">
        <v>916</v>
      </c>
      <c r="S282" s="35"/>
      <c r="T282" s="35" t="s">
        <v>1624</v>
      </c>
      <c r="U282" s="40">
        <v>46114</v>
      </c>
      <c r="V282" s="41">
        <v>46153.532708333332</v>
      </c>
      <c r="W282" s="40">
        <v>46113</v>
      </c>
      <c r="X282" s="40">
        <v>46153</v>
      </c>
      <c r="Y282" s="35" t="s">
        <v>916</v>
      </c>
      <c r="Z282" s="35" t="s">
        <v>916</v>
      </c>
      <c r="AA282" s="38">
        <v>0</v>
      </c>
      <c r="AB282" s="42" t="s">
        <v>916</v>
      </c>
      <c r="AC282" s="43" t="s">
        <v>916</v>
      </c>
      <c r="AD282" s="43" t="s">
        <v>916</v>
      </c>
      <c r="AE282" s="33" t="s">
        <v>916</v>
      </c>
      <c r="AF282" s="35" t="s">
        <v>916</v>
      </c>
      <c r="AG282" s="44">
        <v>0</v>
      </c>
      <c r="AH282" s="42" t="s">
        <v>916</v>
      </c>
      <c r="AI282" s="32" t="e">
        <f>VLOOKUP(A282,'4月明細'!B:B,1,0)</f>
        <v>#N/A</v>
      </c>
    </row>
    <row r="283" spans="1:37" ht="19.95" customHeight="1" x14ac:dyDescent="0.3">
      <c r="A283" s="33" t="s">
        <v>1688</v>
      </c>
      <c r="B283" s="34">
        <v>46113.720833333333</v>
      </c>
      <c r="C283" s="34" t="str">
        <f t="shared" si="15"/>
        <v>202604</v>
      </c>
      <c r="D283" s="35" t="s">
        <v>1653</v>
      </c>
      <c r="E283" s="36" t="s">
        <v>934</v>
      </c>
      <c r="F283" s="36" t="s">
        <v>1686</v>
      </c>
      <c r="G283" s="37" t="s">
        <v>1657</v>
      </c>
      <c r="H283" s="36" t="s">
        <v>928</v>
      </c>
      <c r="I283" s="35" t="s">
        <v>1689</v>
      </c>
      <c r="J283" s="36" t="s">
        <v>929</v>
      </c>
      <c r="K283" s="33" t="s">
        <v>916</v>
      </c>
      <c r="L283" s="35" t="s">
        <v>916</v>
      </c>
      <c r="M283" s="36" t="s">
        <v>916</v>
      </c>
      <c r="N283" s="36" t="s">
        <v>916</v>
      </c>
      <c r="O283" s="36" t="s">
        <v>939</v>
      </c>
      <c r="P283" s="38" t="s">
        <v>916</v>
      </c>
      <c r="Q283" s="36" t="s">
        <v>916</v>
      </c>
      <c r="R283" s="35" t="s">
        <v>916</v>
      </c>
      <c r="S283" s="35"/>
      <c r="T283" s="35" t="s">
        <v>1624</v>
      </c>
      <c r="U283" s="40">
        <v>46114</v>
      </c>
      <c r="V283" s="41">
        <v>46153.532708333332</v>
      </c>
      <c r="W283" s="40">
        <v>46113</v>
      </c>
      <c r="X283" s="40">
        <v>46153</v>
      </c>
      <c r="Y283" s="35" t="s">
        <v>916</v>
      </c>
      <c r="Z283" s="35" t="s">
        <v>916</v>
      </c>
      <c r="AA283" s="38">
        <v>0</v>
      </c>
      <c r="AB283" s="42" t="s">
        <v>916</v>
      </c>
      <c r="AC283" s="43" t="s">
        <v>916</v>
      </c>
      <c r="AD283" s="43" t="s">
        <v>916</v>
      </c>
      <c r="AE283" s="33" t="s">
        <v>916</v>
      </c>
      <c r="AF283" s="35" t="s">
        <v>916</v>
      </c>
      <c r="AG283" s="44">
        <v>0</v>
      </c>
      <c r="AH283" s="42" t="s">
        <v>916</v>
      </c>
      <c r="AI283" s="32" t="e">
        <f>VLOOKUP(A283,'4月明細'!B:B,1,0)</f>
        <v>#N/A</v>
      </c>
    </row>
    <row r="284" spans="1:37" ht="19.95" customHeight="1" x14ac:dyDescent="0.3">
      <c r="A284" s="33" t="s">
        <v>1690</v>
      </c>
      <c r="B284" s="34">
        <v>46113.719444444447</v>
      </c>
      <c r="C284" s="34" t="str">
        <f t="shared" si="15"/>
        <v>202604</v>
      </c>
      <c r="D284" s="35" t="s">
        <v>1653</v>
      </c>
      <c r="E284" s="36" t="s">
        <v>934</v>
      </c>
      <c r="F284" s="36" t="s">
        <v>1017</v>
      </c>
      <c r="G284" s="37" t="s">
        <v>1657</v>
      </c>
      <c r="H284" s="36" t="s">
        <v>928</v>
      </c>
      <c r="I284" s="35" t="s">
        <v>1691</v>
      </c>
      <c r="J284" s="36" t="s">
        <v>929</v>
      </c>
      <c r="K284" s="33" t="s">
        <v>916</v>
      </c>
      <c r="L284" s="35" t="s">
        <v>916</v>
      </c>
      <c r="M284" s="36" t="s">
        <v>916</v>
      </c>
      <c r="N284" s="36" t="s">
        <v>916</v>
      </c>
      <c r="O284" s="36" t="s">
        <v>939</v>
      </c>
      <c r="P284" s="38" t="s">
        <v>916</v>
      </c>
      <c r="Q284" s="36" t="s">
        <v>916</v>
      </c>
      <c r="R284" s="35" t="s">
        <v>916</v>
      </c>
      <c r="S284" s="35"/>
      <c r="T284" s="35" t="s">
        <v>1624</v>
      </c>
      <c r="U284" s="40">
        <v>46114</v>
      </c>
      <c r="V284" s="41">
        <v>46153.532708333332</v>
      </c>
      <c r="W284" s="40">
        <v>46113</v>
      </c>
      <c r="X284" s="40">
        <v>46153</v>
      </c>
      <c r="Y284" s="35" t="s">
        <v>916</v>
      </c>
      <c r="Z284" s="35" t="s">
        <v>916</v>
      </c>
      <c r="AA284" s="38">
        <v>0</v>
      </c>
      <c r="AB284" s="42" t="s">
        <v>916</v>
      </c>
      <c r="AC284" s="43" t="s">
        <v>916</v>
      </c>
      <c r="AD284" s="43" t="s">
        <v>916</v>
      </c>
      <c r="AE284" s="33" t="s">
        <v>916</v>
      </c>
      <c r="AF284" s="35" t="s">
        <v>916</v>
      </c>
      <c r="AG284" s="44">
        <v>0</v>
      </c>
      <c r="AH284" s="42" t="s">
        <v>916</v>
      </c>
      <c r="AI284" s="32" t="e">
        <f>VLOOKUP(A284,'4月明細'!B:B,1,0)</f>
        <v>#N/A</v>
      </c>
    </row>
    <row r="285" spans="1:37" ht="19.95" customHeight="1" x14ac:dyDescent="0.3">
      <c r="A285" s="33" t="s">
        <v>1692</v>
      </c>
      <c r="B285" s="34">
        <v>46113.716666666667</v>
      </c>
      <c r="C285" s="34" t="str">
        <f t="shared" si="15"/>
        <v>202604</v>
      </c>
      <c r="D285" s="35" t="s">
        <v>1653</v>
      </c>
      <c r="E285" s="36" t="s">
        <v>934</v>
      </c>
      <c r="F285" s="36" t="s">
        <v>1693</v>
      </c>
      <c r="G285" s="37" t="s">
        <v>1679</v>
      </c>
      <c r="H285" s="36" t="s">
        <v>1114</v>
      </c>
      <c r="I285" s="35" t="s">
        <v>1694</v>
      </c>
      <c r="J285" s="36" t="s">
        <v>929</v>
      </c>
      <c r="K285" s="33" t="s">
        <v>916</v>
      </c>
      <c r="L285" s="35" t="s">
        <v>916</v>
      </c>
      <c r="M285" s="36" t="s">
        <v>916</v>
      </c>
      <c r="N285" s="36" t="s">
        <v>916</v>
      </c>
      <c r="O285" s="36" t="s">
        <v>939</v>
      </c>
      <c r="P285" s="38" t="s">
        <v>916</v>
      </c>
      <c r="Q285" s="36" t="s">
        <v>916</v>
      </c>
      <c r="R285" s="35" t="s">
        <v>916</v>
      </c>
      <c r="S285" s="35"/>
      <c r="T285" s="35" t="s">
        <v>1624</v>
      </c>
      <c r="U285" s="40">
        <v>46114</v>
      </c>
      <c r="V285" s="41">
        <v>46153.532708333332</v>
      </c>
      <c r="W285" s="40">
        <v>46113</v>
      </c>
      <c r="X285" s="40">
        <v>46153</v>
      </c>
      <c r="Y285" s="35" t="s">
        <v>916</v>
      </c>
      <c r="Z285" s="35" t="s">
        <v>916</v>
      </c>
      <c r="AA285" s="38">
        <v>0</v>
      </c>
      <c r="AB285" s="42" t="s">
        <v>916</v>
      </c>
      <c r="AC285" s="43" t="s">
        <v>916</v>
      </c>
      <c r="AD285" s="43" t="s">
        <v>916</v>
      </c>
      <c r="AE285" s="33" t="s">
        <v>916</v>
      </c>
      <c r="AF285" s="35" t="s">
        <v>916</v>
      </c>
      <c r="AG285" s="44">
        <v>0</v>
      </c>
      <c r="AH285" s="42" t="s">
        <v>916</v>
      </c>
      <c r="AI285" s="32" t="e">
        <f>VLOOKUP(A285,'4月明細'!B:B,1,0)</f>
        <v>#N/A</v>
      </c>
    </row>
    <row r="286" spans="1:37" ht="19.95" customHeight="1" x14ac:dyDescent="0.3">
      <c r="A286" s="33" t="s">
        <v>1695</v>
      </c>
      <c r="B286" s="34">
        <v>46113.716666666667</v>
      </c>
      <c r="C286" s="34" t="str">
        <f t="shared" si="15"/>
        <v>202604</v>
      </c>
      <c r="D286" s="35" t="s">
        <v>1653</v>
      </c>
      <c r="E286" s="36" t="s">
        <v>934</v>
      </c>
      <c r="F286" s="36" t="s">
        <v>1693</v>
      </c>
      <c r="G286" s="37" t="s">
        <v>1657</v>
      </c>
      <c r="H286" s="36" t="s">
        <v>928</v>
      </c>
      <c r="I286" s="35" t="s">
        <v>1696</v>
      </c>
      <c r="J286" s="36" t="s">
        <v>929</v>
      </c>
      <c r="K286" s="33" t="s">
        <v>916</v>
      </c>
      <c r="L286" s="35" t="s">
        <v>916</v>
      </c>
      <c r="M286" s="36" t="s">
        <v>916</v>
      </c>
      <c r="N286" s="36" t="s">
        <v>916</v>
      </c>
      <c r="O286" s="36" t="s">
        <v>939</v>
      </c>
      <c r="P286" s="38" t="s">
        <v>916</v>
      </c>
      <c r="Q286" s="36" t="s">
        <v>916</v>
      </c>
      <c r="R286" s="35" t="s">
        <v>916</v>
      </c>
      <c r="S286" s="35"/>
      <c r="T286" s="35" t="s">
        <v>1624</v>
      </c>
      <c r="U286" s="40">
        <v>46114</v>
      </c>
      <c r="V286" s="41">
        <v>46153.532708333332</v>
      </c>
      <c r="W286" s="40">
        <v>46113</v>
      </c>
      <c r="X286" s="40">
        <v>46153</v>
      </c>
      <c r="Y286" s="35" t="s">
        <v>916</v>
      </c>
      <c r="Z286" s="35" t="s">
        <v>916</v>
      </c>
      <c r="AA286" s="38">
        <v>0</v>
      </c>
      <c r="AB286" s="42" t="s">
        <v>916</v>
      </c>
      <c r="AC286" s="43" t="s">
        <v>916</v>
      </c>
      <c r="AD286" s="43" t="s">
        <v>916</v>
      </c>
      <c r="AE286" s="33" t="s">
        <v>916</v>
      </c>
      <c r="AF286" s="35" t="s">
        <v>916</v>
      </c>
      <c r="AG286" s="44">
        <v>0</v>
      </c>
      <c r="AH286" s="42" t="s">
        <v>916</v>
      </c>
      <c r="AI286" s="32" t="e">
        <f>VLOOKUP(A286,'4月明細'!B:B,1,0)</f>
        <v>#N/A</v>
      </c>
    </row>
    <row r="287" spans="1:37" ht="19.95" customHeight="1" x14ac:dyDescent="0.3">
      <c r="A287" s="33" t="s">
        <v>718</v>
      </c>
      <c r="B287" s="34">
        <v>46113.675856481481</v>
      </c>
      <c r="C287" s="34" t="str">
        <f t="shared" si="15"/>
        <v>202604</v>
      </c>
      <c r="D287" s="35" t="s">
        <v>951</v>
      </c>
      <c r="E287" s="36" t="s">
        <v>910</v>
      </c>
      <c r="F287" s="36" t="s">
        <v>1045</v>
      </c>
      <c r="G287" s="37" t="s">
        <v>1697</v>
      </c>
      <c r="H287" s="36" t="s">
        <v>954</v>
      </c>
      <c r="I287" s="35" t="s">
        <v>1698</v>
      </c>
      <c r="J287" s="36" t="s">
        <v>929</v>
      </c>
      <c r="K287" s="33" t="s">
        <v>916</v>
      </c>
      <c r="L287" s="35" t="s">
        <v>916</v>
      </c>
      <c r="M287" s="36" t="s">
        <v>917</v>
      </c>
      <c r="N287" s="45">
        <v>46125.375694444447</v>
      </c>
      <c r="O287" s="36" t="s">
        <v>25</v>
      </c>
      <c r="P287" s="38">
        <v>11.699837963</v>
      </c>
      <c r="Q287" s="39" t="s">
        <v>1071</v>
      </c>
      <c r="R287" s="35" t="s">
        <v>916</v>
      </c>
      <c r="S287" s="35"/>
      <c r="T287" s="35" t="s">
        <v>1624</v>
      </c>
      <c r="U287" s="40">
        <v>46114</v>
      </c>
      <c r="V287" s="41">
        <v>46153.532708333332</v>
      </c>
      <c r="W287" s="40">
        <v>46113</v>
      </c>
      <c r="X287" s="35" t="s">
        <v>916</v>
      </c>
      <c r="Y287" s="35" t="s">
        <v>916</v>
      </c>
      <c r="Z287" s="35" t="s">
        <v>916</v>
      </c>
      <c r="AA287" s="38">
        <v>280.79611111200001</v>
      </c>
      <c r="AB287" s="42" t="s">
        <v>916</v>
      </c>
      <c r="AC287" s="43" t="s">
        <v>916</v>
      </c>
      <c r="AD287" s="43" t="s">
        <v>916</v>
      </c>
      <c r="AE287" s="33" t="s">
        <v>916</v>
      </c>
      <c r="AF287" s="35" t="s">
        <v>916</v>
      </c>
      <c r="AG287" s="44">
        <v>0</v>
      </c>
      <c r="AH287" s="42" t="s">
        <v>916</v>
      </c>
      <c r="AI287" s="32" t="str">
        <f>VLOOKUP(A287,'4月明細'!B:B,1,0)</f>
        <v>20260401-007</v>
      </c>
      <c r="AJ287" s="32">
        <f>VLOOKUP(A287,'4月明細'!B:I,8,0)</f>
        <v>11.7</v>
      </c>
      <c r="AK287" s="47">
        <f t="shared" ref="AK287:AK293" si="17">AJ287-P287</f>
        <v>1.6203699999906007E-4</v>
      </c>
    </row>
    <row r="288" spans="1:37" ht="19.95" customHeight="1" x14ac:dyDescent="0.3">
      <c r="A288" s="33" t="s">
        <v>717</v>
      </c>
      <c r="B288" s="34">
        <v>46113.638692129629</v>
      </c>
      <c r="C288" s="34" t="str">
        <f t="shared" si="15"/>
        <v>202604</v>
      </c>
      <c r="D288" s="35" t="s">
        <v>951</v>
      </c>
      <c r="E288" s="36" t="s">
        <v>910</v>
      </c>
      <c r="F288" s="36" t="s">
        <v>1354</v>
      </c>
      <c r="G288" s="37" t="s">
        <v>1699</v>
      </c>
      <c r="H288" s="36" t="s">
        <v>954</v>
      </c>
      <c r="I288" s="35" t="s">
        <v>1700</v>
      </c>
      <c r="J288" s="36" t="s">
        <v>929</v>
      </c>
      <c r="K288" s="33" t="s">
        <v>916</v>
      </c>
      <c r="L288" s="35" t="s">
        <v>916</v>
      </c>
      <c r="M288" s="36" t="s">
        <v>917</v>
      </c>
      <c r="N288" s="45">
        <v>46113.818749999999</v>
      </c>
      <c r="O288" s="36" t="s">
        <v>25</v>
      </c>
      <c r="P288" s="38">
        <v>0.18005787039999999</v>
      </c>
      <c r="Q288" s="36" t="s">
        <v>916</v>
      </c>
      <c r="R288" s="35" t="s">
        <v>916</v>
      </c>
      <c r="S288" s="35"/>
      <c r="T288" s="35" t="s">
        <v>1701</v>
      </c>
      <c r="U288" s="40">
        <v>46114</v>
      </c>
      <c r="V288" s="41">
        <v>46153.532708333332</v>
      </c>
      <c r="W288" s="40">
        <v>46113</v>
      </c>
      <c r="X288" s="35" t="s">
        <v>916</v>
      </c>
      <c r="Y288" s="35" t="s">
        <v>916</v>
      </c>
      <c r="Z288" s="35" t="s">
        <v>916</v>
      </c>
      <c r="AA288" s="38">
        <v>4.3213888895999997</v>
      </c>
      <c r="AB288" s="42" t="s">
        <v>916</v>
      </c>
      <c r="AC288" s="43" t="s">
        <v>916</v>
      </c>
      <c r="AD288" s="43" t="s">
        <v>916</v>
      </c>
      <c r="AE288" s="33" t="s">
        <v>916</v>
      </c>
      <c r="AF288" s="35" t="s">
        <v>916</v>
      </c>
      <c r="AG288" s="44">
        <v>493075.65</v>
      </c>
      <c r="AH288" s="42" t="s">
        <v>916</v>
      </c>
      <c r="AI288" s="32" t="str">
        <f>VLOOKUP(A288,'4月明細'!B:B,1,0)</f>
        <v>20260401-006</v>
      </c>
      <c r="AJ288" s="32">
        <f>VLOOKUP(A288,'4月明細'!B:I,8,0)</f>
        <v>0.18</v>
      </c>
      <c r="AK288" s="47">
        <f t="shared" si="17"/>
        <v>-5.7870399999992994E-5</v>
      </c>
    </row>
    <row r="289" spans="1:37" ht="19.95" customHeight="1" x14ac:dyDescent="0.3">
      <c r="A289" s="33" t="s">
        <v>716</v>
      </c>
      <c r="B289" s="34">
        <v>46113.638287037036</v>
      </c>
      <c r="C289" s="34" t="str">
        <f t="shared" si="15"/>
        <v>202604</v>
      </c>
      <c r="D289" s="35" t="s">
        <v>951</v>
      </c>
      <c r="E289" s="36" t="s">
        <v>910</v>
      </c>
      <c r="F289" s="36" t="s">
        <v>1045</v>
      </c>
      <c r="G289" s="37" t="s">
        <v>1702</v>
      </c>
      <c r="H289" s="36" t="s">
        <v>954</v>
      </c>
      <c r="I289" s="35"/>
      <c r="J289" s="36" t="s">
        <v>929</v>
      </c>
      <c r="K289" s="33" t="s">
        <v>916</v>
      </c>
      <c r="L289" s="35" t="s">
        <v>916</v>
      </c>
      <c r="M289" s="36" t="s">
        <v>917</v>
      </c>
      <c r="N289" s="45">
        <v>46113.817361111112</v>
      </c>
      <c r="O289" s="36" t="s">
        <v>25</v>
      </c>
      <c r="P289" s="38">
        <v>0.17907407410000001</v>
      </c>
      <c r="Q289" s="36" t="s">
        <v>916</v>
      </c>
      <c r="R289" s="35" t="s">
        <v>916</v>
      </c>
      <c r="S289" s="35"/>
      <c r="T289" s="35" t="s">
        <v>1701</v>
      </c>
      <c r="U289" s="40">
        <v>46114</v>
      </c>
      <c r="V289" s="41">
        <v>46153.532708333332</v>
      </c>
      <c r="W289" s="40">
        <v>46113</v>
      </c>
      <c r="X289" s="35" t="s">
        <v>916</v>
      </c>
      <c r="Y289" s="35" t="s">
        <v>916</v>
      </c>
      <c r="Z289" s="35" t="s">
        <v>916</v>
      </c>
      <c r="AA289" s="38">
        <v>4.2977777784000004</v>
      </c>
      <c r="AB289" s="42" t="s">
        <v>916</v>
      </c>
      <c r="AC289" s="43" t="s">
        <v>916</v>
      </c>
      <c r="AD289" s="43" t="s">
        <v>916</v>
      </c>
      <c r="AE289" s="33" t="s">
        <v>916</v>
      </c>
      <c r="AF289" s="35" t="s">
        <v>916</v>
      </c>
      <c r="AG289" s="44">
        <v>493075.6166666667</v>
      </c>
      <c r="AH289" s="42" t="s">
        <v>916</v>
      </c>
      <c r="AI289" s="32" t="str">
        <f>VLOOKUP(A289,'4月明細'!B:B,1,0)</f>
        <v>20260401-005</v>
      </c>
      <c r="AJ289" s="32">
        <f>VLOOKUP(A289,'4月明細'!B:I,8,0)</f>
        <v>0.18</v>
      </c>
      <c r="AK289" s="47">
        <f t="shared" si="17"/>
        <v>9.2592589999998531E-4</v>
      </c>
    </row>
    <row r="290" spans="1:37" ht="19.95" customHeight="1" x14ac:dyDescent="0.3">
      <c r="A290" s="33" t="s">
        <v>715</v>
      </c>
      <c r="B290" s="34">
        <v>46113.620949074073</v>
      </c>
      <c r="C290" s="34" t="str">
        <f t="shared" si="15"/>
        <v>202604</v>
      </c>
      <c r="D290" s="35" t="s">
        <v>951</v>
      </c>
      <c r="E290" s="36" t="s">
        <v>910</v>
      </c>
      <c r="F290" s="36" t="s">
        <v>1591</v>
      </c>
      <c r="G290" s="37" t="s">
        <v>1703</v>
      </c>
      <c r="H290" s="36" t="s">
        <v>928</v>
      </c>
      <c r="I290" s="35" t="s">
        <v>1704</v>
      </c>
      <c r="J290" s="36" t="s">
        <v>929</v>
      </c>
      <c r="K290" s="33" t="s">
        <v>916</v>
      </c>
      <c r="L290" s="35" t="s">
        <v>916</v>
      </c>
      <c r="M290" s="36" t="s">
        <v>957</v>
      </c>
      <c r="N290" s="45">
        <v>46122.581250000003</v>
      </c>
      <c r="O290" s="36" t="s">
        <v>25</v>
      </c>
      <c r="P290" s="38">
        <v>8.9603009259000004</v>
      </c>
      <c r="Q290" s="39" t="s">
        <v>1705</v>
      </c>
      <c r="R290" s="35" t="s">
        <v>916</v>
      </c>
      <c r="S290" s="35"/>
      <c r="T290" s="35" t="s">
        <v>1624</v>
      </c>
      <c r="U290" s="40">
        <v>46114</v>
      </c>
      <c r="V290" s="41">
        <v>46153.532708333332</v>
      </c>
      <c r="W290" s="40">
        <v>46113</v>
      </c>
      <c r="X290" s="35" t="s">
        <v>916</v>
      </c>
      <c r="Y290" s="35" t="s">
        <v>916</v>
      </c>
      <c r="Z290" s="35" t="s">
        <v>916</v>
      </c>
      <c r="AA290" s="38">
        <v>215.04722222160001</v>
      </c>
      <c r="AB290" s="42" t="s">
        <v>916</v>
      </c>
      <c r="AC290" s="43" t="s">
        <v>916</v>
      </c>
      <c r="AD290" s="43" t="s">
        <v>916</v>
      </c>
      <c r="AE290" s="33" t="s">
        <v>916</v>
      </c>
      <c r="AF290" s="35" t="s">
        <v>916</v>
      </c>
      <c r="AG290" s="44">
        <v>0</v>
      </c>
      <c r="AH290" s="42" t="s">
        <v>916</v>
      </c>
      <c r="AI290" s="32" t="str">
        <f>VLOOKUP(A290,'4月明細'!B:B,1,0)</f>
        <v>20260401-004</v>
      </c>
      <c r="AJ290" s="32">
        <f>VLOOKUP(A290,'4月明細'!B:I,8,0)</f>
        <v>8.9600000000000009</v>
      </c>
      <c r="AK290" s="47">
        <f t="shared" si="17"/>
        <v>-3.0092589999952679E-4</v>
      </c>
    </row>
    <row r="291" spans="1:37" ht="19.95" customHeight="1" x14ac:dyDescent="0.3">
      <c r="A291" s="33" t="s">
        <v>714</v>
      </c>
      <c r="B291" s="34">
        <v>46113.608738425923</v>
      </c>
      <c r="C291" s="34" t="str">
        <f t="shared" si="15"/>
        <v>202604</v>
      </c>
      <c r="D291" s="35" t="s">
        <v>986</v>
      </c>
      <c r="E291" s="36" t="s">
        <v>910</v>
      </c>
      <c r="F291" s="36" t="s">
        <v>1531</v>
      </c>
      <c r="G291" s="37" t="s">
        <v>1706</v>
      </c>
      <c r="H291" s="36" t="s">
        <v>954</v>
      </c>
      <c r="I291" s="35"/>
      <c r="J291" s="36" t="s">
        <v>929</v>
      </c>
      <c r="K291" s="33" t="s">
        <v>916</v>
      </c>
      <c r="L291" s="35" t="s">
        <v>916</v>
      </c>
      <c r="M291" s="36" t="s">
        <v>917</v>
      </c>
      <c r="N291" s="45">
        <v>46113.81527777778</v>
      </c>
      <c r="O291" s="36" t="s">
        <v>25</v>
      </c>
      <c r="P291" s="38">
        <v>0.2065393519</v>
      </c>
      <c r="Q291" s="39" t="s">
        <v>1707</v>
      </c>
      <c r="R291" s="35" t="s">
        <v>916</v>
      </c>
      <c r="S291" s="35"/>
      <c r="T291" s="35" t="s">
        <v>1701</v>
      </c>
      <c r="U291" s="40">
        <v>46114</v>
      </c>
      <c r="V291" s="41">
        <v>46153.532708333332</v>
      </c>
      <c r="W291" s="40">
        <v>46113</v>
      </c>
      <c r="X291" s="35" t="s">
        <v>916</v>
      </c>
      <c r="Y291" s="35" t="s">
        <v>916</v>
      </c>
      <c r="Z291" s="35" t="s">
        <v>916</v>
      </c>
      <c r="AA291" s="38">
        <v>4.9569444455999996</v>
      </c>
      <c r="AB291" s="42" t="s">
        <v>916</v>
      </c>
      <c r="AC291" s="43" t="s">
        <v>916</v>
      </c>
      <c r="AD291" s="43" t="s">
        <v>916</v>
      </c>
      <c r="AE291" s="33" t="s">
        <v>916</v>
      </c>
      <c r="AF291" s="35" t="s">
        <v>916</v>
      </c>
      <c r="AG291" s="44">
        <v>493075.58333333337</v>
      </c>
      <c r="AH291" s="42" t="s">
        <v>916</v>
      </c>
      <c r="AI291" s="32" t="str">
        <f>VLOOKUP(A291,'4月明細'!B:B,1,0)</f>
        <v>20260401-003</v>
      </c>
      <c r="AJ291" s="32">
        <f>VLOOKUP(A291,'4月明細'!B:I,8,0)</f>
        <v>0.21</v>
      </c>
      <c r="AK291" s="47">
        <f t="shared" si="17"/>
        <v>3.4606480999999911E-3</v>
      </c>
    </row>
    <row r="292" spans="1:37" ht="19.95" customHeight="1" x14ac:dyDescent="0.3">
      <c r="A292" s="33" t="s">
        <v>713</v>
      </c>
      <c r="B292" s="34">
        <v>46113.556203703702</v>
      </c>
      <c r="C292" s="34" t="str">
        <f t="shared" si="15"/>
        <v>202604</v>
      </c>
      <c r="D292" s="35" t="s">
        <v>951</v>
      </c>
      <c r="E292" s="36" t="s">
        <v>910</v>
      </c>
      <c r="F292" s="36" t="s">
        <v>947</v>
      </c>
      <c r="G292" s="37" t="s">
        <v>1708</v>
      </c>
      <c r="H292" s="36" t="s">
        <v>928</v>
      </c>
      <c r="I292" s="35" t="s">
        <v>1709</v>
      </c>
      <c r="J292" s="36" t="s">
        <v>938</v>
      </c>
      <c r="K292" s="33" t="s">
        <v>916</v>
      </c>
      <c r="L292" s="35" t="s">
        <v>916</v>
      </c>
      <c r="M292" s="36" t="s">
        <v>917</v>
      </c>
      <c r="N292" s="45">
        <v>46113.813888888886</v>
      </c>
      <c r="O292" s="36" t="s">
        <v>25</v>
      </c>
      <c r="P292" s="38">
        <v>0.2576851852</v>
      </c>
      <c r="Q292" s="36" t="s">
        <v>916</v>
      </c>
      <c r="R292" s="35" t="s">
        <v>916</v>
      </c>
      <c r="S292" s="35"/>
      <c r="T292" s="35" t="s">
        <v>1701</v>
      </c>
      <c r="U292" s="40">
        <v>46114</v>
      </c>
      <c r="V292" s="41">
        <v>46153.532708333332</v>
      </c>
      <c r="W292" s="40">
        <v>46113</v>
      </c>
      <c r="X292" s="35" t="s">
        <v>916</v>
      </c>
      <c r="Y292" s="35" t="s">
        <v>916</v>
      </c>
      <c r="Z292" s="35" t="s">
        <v>916</v>
      </c>
      <c r="AA292" s="38">
        <v>6.1844444448000004</v>
      </c>
      <c r="AB292" s="42" t="s">
        <v>916</v>
      </c>
      <c r="AC292" s="43" t="s">
        <v>916</v>
      </c>
      <c r="AD292" s="43" t="s">
        <v>916</v>
      </c>
      <c r="AE292" s="33" t="s">
        <v>916</v>
      </c>
      <c r="AF292" s="35" t="s">
        <v>916</v>
      </c>
      <c r="AG292" s="44">
        <v>493075.53333333333</v>
      </c>
      <c r="AH292" s="42" t="s">
        <v>916</v>
      </c>
      <c r="AI292" s="32" t="str">
        <f>VLOOKUP(A292,'4月明細'!B:B,1,0)</f>
        <v>20260401-002</v>
      </c>
      <c r="AJ292" s="32">
        <f>VLOOKUP(A292,'4月明細'!B:I,8,0)</f>
        <v>0.26</v>
      </c>
      <c r="AK292" s="47">
        <f t="shared" si="17"/>
        <v>2.3148148000000091E-3</v>
      </c>
    </row>
    <row r="293" spans="1:37" ht="19.95" customHeight="1" x14ac:dyDescent="0.3">
      <c r="A293" s="33" t="s">
        <v>712</v>
      </c>
      <c r="B293" s="34">
        <v>46113.480763888889</v>
      </c>
      <c r="C293" s="34" t="str">
        <f t="shared" si="15"/>
        <v>202604</v>
      </c>
      <c r="D293" s="35" t="s">
        <v>996</v>
      </c>
      <c r="E293" s="36" t="s">
        <v>910</v>
      </c>
      <c r="F293" s="36" t="s">
        <v>1161</v>
      </c>
      <c r="G293" s="37" t="s">
        <v>1710</v>
      </c>
      <c r="H293" s="36" t="s">
        <v>928</v>
      </c>
      <c r="I293" s="35"/>
      <c r="J293" s="36" t="s">
        <v>914</v>
      </c>
      <c r="K293" s="33" t="s">
        <v>916</v>
      </c>
      <c r="L293" s="35" t="s">
        <v>916</v>
      </c>
      <c r="M293" s="36" t="s">
        <v>917</v>
      </c>
      <c r="N293" s="45">
        <v>46113.811805555553</v>
      </c>
      <c r="O293" s="36" t="s">
        <v>25</v>
      </c>
      <c r="P293" s="38">
        <v>0.33104166670000001</v>
      </c>
      <c r="Q293" s="39" t="s">
        <v>1711</v>
      </c>
      <c r="R293" s="35" t="s">
        <v>916</v>
      </c>
      <c r="S293" s="35"/>
      <c r="T293" s="35" t="s">
        <v>1624</v>
      </c>
      <c r="U293" s="40">
        <v>46114</v>
      </c>
      <c r="V293" s="41">
        <v>46153.532708333332</v>
      </c>
      <c r="W293" s="40">
        <v>46113</v>
      </c>
      <c r="X293" s="35" t="s">
        <v>916</v>
      </c>
      <c r="Y293" s="35" t="s">
        <v>916</v>
      </c>
      <c r="Z293" s="35" t="s">
        <v>916</v>
      </c>
      <c r="AA293" s="38">
        <v>7.9450000008000004</v>
      </c>
      <c r="AB293" s="42" t="s">
        <v>916</v>
      </c>
      <c r="AC293" s="43" t="s">
        <v>916</v>
      </c>
      <c r="AD293" s="43" t="s">
        <v>916</v>
      </c>
      <c r="AE293" s="33" t="s">
        <v>916</v>
      </c>
      <c r="AF293" s="35" t="s">
        <v>916</v>
      </c>
      <c r="AG293" s="44">
        <v>493075.4833333334</v>
      </c>
      <c r="AH293" s="42" t="s">
        <v>916</v>
      </c>
      <c r="AI293" s="32" t="str">
        <f>VLOOKUP(A293,'4月明細'!B:B,1,0)</f>
        <v>20260401-001</v>
      </c>
      <c r="AJ293" s="32">
        <f>VLOOKUP(A293,'4月明細'!B:I,8,0)</f>
        <v>0.33</v>
      </c>
      <c r="AK293" s="47">
        <f t="shared" si="17"/>
        <v>-1.0416666999999991E-3</v>
      </c>
    </row>
    <row r="294" spans="1:37" ht="19.95" customHeight="1" x14ac:dyDescent="0.3">
      <c r="A294" s="33" t="s">
        <v>707</v>
      </c>
      <c r="B294" s="34">
        <v>46112.652361111112</v>
      </c>
      <c r="C294" s="34" t="str">
        <f t="shared" si="15"/>
        <v>202603</v>
      </c>
      <c r="D294" s="35" t="s">
        <v>1597</v>
      </c>
      <c r="E294" s="36" t="s">
        <v>942</v>
      </c>
      <c r="F294" s="36" t="s">
        <v>952</v>
      </c>
      <c r="G294" s="37" t="s">
        <v>1712</v>
      </c>
      <c r="H294" s="36" t="s">
        <v>954</v>
      </c>
      <c r="I294" s="35"/>
      <c r="J294" s="36" t="s">
        <v>945</v>
      </c>
      <c r="K294" s="33" t="s">
        <v>916</v>
      </c>
      <c r="L294" s="35" t="s">
        <v>916</v>
      </c>
      <c r="M294" s="36" t="s">
        <v>957</v>
      </c>
      <c r="N294" s="45">
        <v>46112.684027777781</v>
      </c>
      <c r="O294" s="36" t="s">
        <v>25</v>
      </c>
      <c r="P294" s="38">
        <v>3.1666666699999999E-2</v>
      </c>
      <c r="Q294" s="39" t="s">
        <v>984</v>
      </c>
      <c r="R294" s="35" t="s">
        <v>916</v>
      </c>
      <c r="S294" s="35"/>
      <c r="T294" s="35" t="s">
        <v>1624</v>
      </c>
      <c r="U294" s="40">
        <v>46113</v>
      </c>
      <c r="V294" s="41">
        <v>46153.532708333332</v>
      </c>
      <c r="W294" s="40">
        <v>46112</v>
      </c>
      <c r="X294" s="35" t="s">
        <v>916</v>
      </c>
      <c r="Y294" s="35" t="s">
        <v>916</v>
      </c>
      <c r="Z294" s="35" t="s">
        <v>916</v>
      </c>
      <c r="AA294" s="38">
        <v>0.76000000079999996</v>
      </c>
      <c r="AB294" s="42" t="s">
        <v>916</v>
      </c>
      <c r="AC294" s="43" t="s">
        <v>916</v>
      </c>
      <c r="AD294" s="43" t="s">
        <v>916</v>
      </c>
      <c r="AE294" s="33" t="s">
        <v>916</v>
      </c>
      <c r="AF294" s="35" t="s">
        <v>916</v>
      </c>
      <c r="AG294" s="44">
        <v>0</v>
      </c>
      <c r="AH294" s="42" t="s">
        <v>916</v>
      </c>
      <c r="AI294" s="32" t="e">
        <f>VLOOKUP(A294,'4月明細'!B:B,1,0)</f>
        <v>#N/A</v>
      </c>
    </row>
    <row r="295" spans="1:37" ht="19.95" customHeight="1" x14ac:dyDescent="0.3">
      <c r="A295" s="33" t="s">
        <v>706</v>
      </c>
      <c r="B295" s="34">
        <v>46112.508171296293</v>
      </c>
      <c r="C295" s="34" t="str">
        <f t="shared" si="15"/>
        <v>202603</v>
      </c>
      <c r="D295" s="35" t="s">
        <v>951</v>
      </c>
      <c r="E295" s="36" t="s">
        <v>910</v>
      </c>
      <c r="F295" s="36" t="s">
        <v>1713</v>
      </c>
      <c r="G295" s="37" t="s">
        <v>1714</v>
      </c>
      <c r="H295" s="36" t="s">
        <v>1078</v>
      </c>
      <c r="I295" s="35" t="s">
        <v>1715</v>
      </c>
      <c r="J295" s="36" t="s">
        <v>929</v>
      </c>
      <c r="K295" s="33" t="s">
        <v>916</v>
      </c>
      <c r="L295" s="35" t="s">
        <v>916</v>
      </c>
      <c r="M295" s="36" t="s">
        <v>957</v>
      </c>
      <c r="N295" s="45">
        <v>46112.686111111114</v>
      </c>
      <c r="O295" s="36" t="s">
        <v>25</v>
      </c>
      <c r="P295" s="38">
        <v>0.17793981480000001</v>
      </c>
      <c r="Q295" s="39" t="s">
        <v>958</v>
      </c>
      <c r="R295" s="35" t="s">
        <v>916</v>
      </c>
      <c r="S295" s="35"/>
      <c r="T295" s="35" t="s">
        <v>1624</v>
      </c>
      <c r="U295" s="40">
        <v>46113</v>
      </c>
      <c r="V295" s="41">
        <v>46153.532708333332</v>
      </c>
      <c r="W295" s="40">
        <v>46112</v>
      </c>
      <c r="X295" s="35" t="s">
        <v>916</v>
      </c>
      <c r="Y295" s="35" t="s">
        <v>916</v>
      </c>
      <c r="Z295" s="35" t="s">
        <v>916</v>
      </c>
      <c r="AA295" s="38">
        <v>4.2705555551999996</v>
      </c>
      <c r="AB295" s="42" t="s">
        <v>916</v>
      </c>
      <c r="AC295" s="43" t="s">
        <v>916</v>
      </c>
      <c r="AD295" s="43" t="s">
        <v>916</v>
      </c>
      <c r="AE295" s="33" t="s">
        <v>916</v>
      </c>
      <c r="AF295" s="35" t="s">
        <v>916</v>
      </c>
      <c r="AG295" s="44">
        <v>0</v>
      </c>
      <c r="AH295" s="42" t="s">
        <v>916</v>
      </c>
      <c r="AI295" s="32" t="e">
        <f>VLOOKUP(A295,'4月明細'!B:B,1,0)</f>
        <v>#N/A</v>
      </c>
    </row>
    <row r="296" spans="1:37" ht="19.95" customHeight="1" x14ac:dyDescent="0.3">
      <c r="A296" s="33" t="s">
        <v>705</v>
      </c>
      <c r="B296" s="34">
        <v>46111.905543981484</v>
      </c>
      <c r="C296" s="34" t="str">
        <f t="shared" si="15"/>
        <v>202603</v>
      </c>
      <c r="D296" s="35" t="s">
        <v>941</v>
      </c>
      <c r="E296" s="36" t="s">
        <v>942</v>
      </c>
      <c r="F296" s="36" t="s">
        <v>1207</v>
      </c>
      <c r="G296" s="37" t="s">
        <v>1716</v>
      </c>
      <c r="H296" s="36" t="s">
        <v>913</v>
      </c>
      <c r="I296" s="35"/>
      <c r="J296" s="36" t="s">
        <v>929</v>
      </c>
      <c r="K296" s="33" t="s">
        <v>916</v>
      </c>
      <c r="L296" s="35" t="s">
        <v>916</v>
      </c>
      <c r="M296" s="36" t="s">
        <v>923</v>
      </c>
      <c r="N296" s="45">
        <v>46112.685416666667</v>
      </c>
      <c r="O296" s="36" t="s">
        <v>25</v>
      </c>
      <c r="P296" s="38">
        <v>0.77987268519999997</v>
      </c>
      <c r="Q296" s="39" t="s">
        <v>1590</v>
      </c>
      <c r="R296" s="35" t="s">
        <v>916</v>
      </c>
      <c r="S296" s="35"/>
      <c r="T296" s="35" t="s">
        <v>1624</v>
      </c>
      <c r="U296" s="40">
        <v>46112</v>
      </c>
      <c r="V296" s="41">
        <v>46153.532708333332</v>
      </c>
      <c r="W296" s="40">
        <v>46112</v>
      </c>
      <c r="X296" s="35" t="s">
        <v>916</v>
      </c>
      <c r="Y296" s="35" t="s">
        <v>916</v>
      </c>
      <c r="Z296" s="35" t="s">
        <v>916</v>
      </c>
      <c r="AA296" s="38">
        <v>18.716944444799999</v>
      </c>
      <c r="AB296" s="42" t="s">
        <v>916</v>
      </c>
      <c r="AC296" s="43" t="s">
        <v>916</v>
      </c>
      <c r="AD296" s="43" t="s">
        <v>916</v>
      </c>
      <c r="AE296" s="33" t="s">
        <v>916</v>
      </c>
      <c r="AF296" s="35" t="s">
        <v>916</v>
      </c>
      <c r="AG296" s="44">
        <v>0</v>
      </c>
      <c r="AH296" s="42" t="s">
        <v>916</v>
      </c>
      <c r="AI296" s="32" t="e">
        <f>VLOOKUP(A296,'4月明細'!B:B,1,0)</f>
        <v>#N/A</v>
      </c>
    </row>
    <row r="297" spans="1:37" ht="19.95" customHeight="1" x14ac:dyDescent="0.3">
      <c r="A297" s="33" t="s">
        <v>1717</v>
      </c>
      <c r="B297" s="34">
        <v>46111.695775462962</v>
      </c>
      <c r="C297" s="34" t="str">
        <f t="shared" si="15"/>
        <v>202603</v>
      </c>
      <c r="D297" s="35" t="s">
        <v>996</v>
      </c>
      <c r="E297" s="36" t="s">
        <v>910</v>
      </c>
      <c r="F297" s="36" t="s">
        <v>1718</v>
      </c>
      <c r="G297" s="37" t="s">
        <v>1525</v>
      </c>
      <c r="H297" s="36" t="s">
        <v>1114</v>
      </c>
      <c r="I297" s="35"/>
      <c r="J297" s="36" t="s">
        <v>914</v>
      </c>
      <c r="K297" s="33" t="s">
        <v>916</v>
      </c>
      <c r="L297" s="35" t="s">
        <v>916</v>
      </c>
      <c r="M297" s="36" t="s">
        <v>916</v>
      </c>
      <c r="N297" s="36" t="s">
        <v>916</v>
      </c>
      <c r="O297" s="36" t="s">
        <v>939</v>
      </c>
      <c r="P297" s="38" t="s">
        <v>916</v>
      </c>
      <c r="Q297" s="36" t="s">
        <v>916</v>
      </c>
      <c r="R297" s="35" t="s">
        <v>916</v>
      </c>
      <c r="S297" s="35"/>
      <c r="T297" s="35" t="s">
        <v>1624</v>
      </c>
      <c r="U297" s="40">
        <v>46112</v>
      </c>
      <c r="V297" s="41">
        <v>46153.532708333332</v>
      </c>
      <c r="W297" s="40">
        <v>46111</v>
      </c>
      <c r="X297" s="40">
        <v>46153</v>
      </c>
      <c r="Y297" s="35" t="s">
        <v>916</v>
      </c>
      <c r="Z297" s="35" t="s">
        <v>916</v>
      </c>
      <c r="AA297" s="38">
        <v>0</v>
      </c>
      <c r="AB297" s="42" t="s">
        <v>916</v>
      </c>
      <c r="AC297" s="43" t="s">
        <v>916</v>
      </c>
      <c r="AD297" s="43" t="s">
        <v>916</v>
      </c>
      <c r="AE297" s="33" t="s">
        <v>916</v>
      </c>
      <c r="AF297" s="35" t="s">
        <v>916</v>
      </c>
      <c r="AG297" s="44">
        <v>0</v>
      </c>
      <c r="AH297" s="42" t="s">
        <v>916</v>
      </c>
      <c r="AI297" s="32" t="e">
        <f>VLOOKUP(A297,'4月明細'!B:B,1,0)</f>
        <v>#N/A</v>
      </c>
    </row>
    <row r="298" spans="1:37" ht="19.95" customHeight="1" x14ac:dyDescent="0.3">
      <c r="A298" s="33" t="s">
        <v>704</v>
      </c>
      <c r="B298" s="34">
        <v>46111.679282407407</v>
      </c>
      <c r="C298" s="34" t="str">
        <f t="shared" si="15"/>
        <v>202603</v>
      </c>
      <c r="D298" s="35" t="s">
        <v>996</v>
      </c>
      <c r="E298" s="36" t="s">
        <v>910</v>
      </c>
      <c r="F298" s="36" t="s">
        <v>1350</v>
      </c>
      <c r="G298" s="37" t="s">
        <v>1719</v>
      </c>
      <c r="H298" s="36" t="s">
        <v>928</v>
      </c>
      <c r="I298" s="35"/>
      <c r="J298" s="36" t="s">
        <v>914</v>
      </c>
      <c r="K298" s="33" t="s">
        <v>916</v>
      </c>
      <c r="L298" s="35" t="s">
        <v>916</v>
      </c>
      <c r="M298" s="36" t="s">
        <v>923</v>
      </c>
      <c r="N298" s="45">
        <v>46112.684027777781</v>
      </c>
      <c r="O298" s="36" t="s">
        <v>25</v>
      </c>
      <c r="P298" s="38">
        <v>1.0047453704</v>
      </c>
      <c r="Q298" s="39" t="s">
        <v>1087</v>
      </c>
      <c r="R298" s="35" t="s">
        <v>916</v>
      </c>
      <c r="S298" s="35"/>
      <c r="T298" s="35" t="s">
        <v>1624</v>
      </c>
      <c r="U298" s="40">
        <v>46112</v>
      </c>
      <c r="V298" s="41">
        <v>46153.532708333332</v>
      </c>
      <c r="W298" s="40">
        <v>46111</v>
      </c>
      <c r="X298" s="35" t="s">
        <v>916</v>
      </c>
      <c r="Y298" s="35" t="s">
        <v>916</v>
      </c>
      <c r="Z298" s="35" t="s">
        <v>916</v>
      </c>
      <c r="AA298" s="38">
        <v>24.113888889599998</v>
      </c>
      <c r="AB298" s="42" t="s">
        <v>916</v>
      </c>
      <c r="AC298" s="43" t="s">
        <v>916</v>
      </c>
      <c r="AD298" s="43" t="s">
        <v>916</v>
      </c>
      <c r="AE298" s="33" t="s">
        <v>916</v>
      </c>
      <c r="AF298" s="35" t="s">
        <v>916</v>
      </c>
      <c r="AG298" s="44">
        <v>0</v>
      </c>
      <c r="AH298" s="42" t="s">
        <v>916</v>
      </c>
      <c r="AI298" s="32" t="e">
        <f>VLOOKUP(A298,'4月明細'!B:B,1,0)</f>
        <v>#N/A</v>
      </c>
    </row>
    <row r="299" spans="1:37" ht="19.95" customHeight="1" x14ac:dyDescent="0.3">
      <c r="A299" s="33" t="s">
        <v>703</v>
      </c>
      <c r="B299" s="34">
        <v>46111.550798611112</v>
      </c>
      <c r="C299" s="34" t="str">
        <f t="shared" si="15"/>
        <v>202603</v>
      </c>
      <c r="D299" s="35" t="s">
        <v>996</v>
      </c>
      <c r="E299" s="36" t="s">
        <v>910</v>
      </c>
      <c r="F299" s="36" t="s">
        <v>1720</v>
      </c>
      <c r="G299" s="37" t="s">
        <v>1721</v>
      </c>
      <c r="H299" s="36" t="s">
        <v>913</v>
      </c>
      <c r="I299" s="35"/>
      <c r="J299" s="36" t="s">
        <v>914</v>
      </c>
      <c r="K299" s="33" t="s">
        <v>916</v>
      </c>
      <c r="L299" s="35" t="s">
        <v>916</v>
      </c>
      <c r="M299" s="36" t="s">
        <v>923</v>
      </c>
      <c r="N299" s="45">
        <v>46112.856249999997</v>
      </c>
      <c r="O299" s="36" t="s">
        <v>25</v>
      </c>
      <c r="P299" s="38">
        <v>1.3054513888999999</v>
      </c>
      <c r="Q299" s="39" t="s">
        <v>1366</v>
      </c>
      <c r="R299" s="35" t="s">
        <v>916</v>
      </c>
      <c r="S299" s="35"/>
      <c r="T299" s="35" t="s">
        <v>1624</v>
      </c>
      <c r="U299" s="40">
        <v>46112</v>
      </c>
      <c r="V299" s="41">
        <v>46153.532708333332</v>
      </c>
      <c r="W299" s="40">
        <v>46111</v>
      </c>
      <c r="X299" s="35" t="s">
        <v>916</v>
      </c>
      <c r="Y299" s="35" t="s">
        <v>916</v>
      </c>
      <c r="Z299" s="35" t="s">
        <v>916</v>
      </c>
      <c r="AA299" s="38">
        <v>31.330833333600001</v>
      </c>
      <c r="AB299" s="42" t="s">
        <v>916</v>
      </c>
      <c r="AC299" s="43" t="s">
        <v>916</v>
      </c>
      <c r="AD299" s="43" t="s">
        <v>916</v>
      </c>
      <c r="AE299" s="33" t="s">
        <v>916</v>
      </c>
      <c r="AF299" s="35" t="s">
        <v>916</v>
      </c>
      <c r="AG299" s="44">
        <v>0</v>
      </c>
      <c r="AH299" s="42" t="s">
        <v>916</v>
      </c>
      <c r="AI299" s="32" t="e">
        <f>VLOOKUP(A299,'4月明細'!B:B,1,0)</f>
        <v>#N/A</v>
      </c>
    </row>
    <row r="300" spans="1:37" ht="19.95" customHeight="1" x14ac:dyDescent="0.3">
      <c r="A300" s="33" t="s">
        <v>702</v>
      </c>
      <c r="B300" s="34">
        <v>46111.534375000003</v>
      </c>
      <c r="C300" s="34" t="str">
        <f t="shared" si="15"/>
        <v>202603</v>
      </c>
      <c r="D300" s="35" t="s">
        <v>909</v>
      </c>
      <c r="E300" s="36" t="s">
        <v>910</v>
      </c>
      <c r="F300" s="36" t="s">
        <v>1095</v>
      </c>
      <c r="G300" s="37" t="s">
        <v>1420</v>
      </c>
      <c r="H300" s="36" t="s">
        <v>928</v>
      </c>
      <c r="I300" s="35" t="s">
        <v>1722</v>
      </c>
      <c r="J300" s="36" t="s">
        <v>929</v>
      </c>
      <c r="K300" s="33" t="s">
        <v>916</v>
      </c>
      <c r="L300" s="35" t="s">
        <v>916</v>
      </c>
      <c r="M300" s="36" t="s">
        <v>957</v>
      </c>
      <c r="N300" s="45">
        <v>46112.863194444442</v>
      </c>
      <c r="O300" s="36" t="s">
        <v>25</v>
      </c>
      <c r="P300" s="38">
        <v>1.3288194444000001</v>
      </c>
      <c r="Q300" s="39" t="s">
        <v>958</v>
      </c>
      <c r="R300" s="35" t="s">
        <v>916</v>
      </c>
      <c r="S300" s="35"/>
      <c r="T300" s="35" t="s">
        <v>1624</v>
      </c>
      <c r="U300" s="40">
        <v>46112</v>
      </c>
      <c r="V300" s="41">
        <v>46153.532708333332</v>
      </c>
      <c r="W300" s="40">
        <v>46111</v>
      </c>
      <c r="X300" s="35" t="s">
        <v>916</v>
      </c>
      <c r="Y300" s="35" t="s">
        <v>916</v>
      </c>
      <c r="Z300" s="35" t="s">
        <v>916</v>
      </c>
      <c r="AA300" s="38">
        <v>31.891666665599999</v>
      </c>
      <c r="AB300" s="42" t="s">
        <v>916</v>
      </c>
      <c r="AC300" s="43" t="s">
        <v>916</v>
      </c>
      <c r="AD300" s="43" t="s">
        <v>916</v>
      </c>
      <c r="AE300" s="33" t="s">
        <v>916</v>
      </c>
      <c r="AF300" s="35" t="s">
        <v>916</v>
      </c>
      <c r="AG300" s="44">
        <v>0</v>
      </c>
      <c r="AH300" s="42" t="s">
        <v>916</v>
      </c>
      <c r="AI300" s="32" t="e">
        <f>VLOOKUP(A300,'4月明細'!B:B,1,0)</f>
        <v>#N/A</v>
      </c>
    </row>
    <row r="301" spans="1:37" ht="19.95" customHeight="1" x14ac:dyDescent="0.3">
      <c r="A301" s="33" t="s">
        <v>701</v>
      </c>
      <c r="B301" s="34">
        <v>46111.521585648145</v>
      </c>
      <c r="C301" s="34" t="str">
        <f t="shared" si="15"/>
        <v>202603</v>
      </c>
      <c r="D301" s="35" t="s">
        <v>996</v>
      </c>
      <c r="E301" s="36" t="s">
        <v>910</v>
      </c>
      <c r="F301" s="36" t="s">
        <v>1723</v>
      </c>
      <c r="G301" s="37" t="s">
        <v>1724</v>
      </c>
      <c r="H301" s="36" t="s">
        <v>928</v>
      </c>
      <c r="I301" s="35"/>
      <c r="J301" s="36" t="s">
        <v>914</v>
      </c>
      <c r="K301" s="33" t="s">
        <v>916</v>
      </c>
      <c r="L301" s="35" t="s">
        <v>916</v>
      </c>
      <c r="M301" s="36" t="s">
        <v>957</v>
      </c>
      <c r="N301" s="45">
        <v>46112.862500000003</v>
      </c>
      <c r="O301" s="36" t="s">
        <v>25</v>
      </c>
      <c r="P301" s="38">
        <v>1.3409143519</v>
      </c>
      <c r="Q301" s="39" t="s">
        <v>958</v>
      </c>
      <c r="R301" s="35" t="s">
        <v>916</v>
      </c>
      <c r="S301" s="35"/>
      <c r="T301" s="35" t="s">
        <v>1624</v>
      </c>
      <c r="U301" s="40">
        <v>46112</v>
      </c>
      <c r="V301" s="41">
        <v>46153.532708333332</v>
      </c>
      <c r="W301" s="40">
        <v>46111</v>
      </c>
      <c r="X301" s="35" t="s">
        <v>916</v>
      </c>
      <c r="Y301" s="35" t="s">
        <v>916</v>
      </c>
      <c r="Z301" s="35" t="s">
        <v>916</v>
      </c>
      <c r="AA301" s="38">
        <v>32.181944445600003</v>
      </c>
      <c r="AB301" s="42" t="s">
        <v>916</v>
      </c>
      <c r="AC301" s="43" t="s">
        <v>916</v>
      </c>
      <c r="AD301" s="43" t="s">
        <v>916</v>
      </c>
      <c r="AE301" s="33" t="s">
        <v>916</v>
      </c>
      <c r="AF301" s="35" t="s">
        <v>916</v>
      </c>
      <c r="AG301" s="44">
        <v>0</v>
      </c>
      <c r="AH301" s="42" t="s">
        <v>916</v>
      </c>
      <c r="AI301" s="32" t="e">
        <f>VLOOKUP(A301,'4月明細'!B:B,1,0)</f>
        <v>#N/A</v>
      </c>
    </row>
    <row r="302" spans="1:37" ht="19.95" customHeight="1" x14ac:dyDescent="0.3">
      <c r="A302" s="33" t="s">
        <v>700</v>
      </c>
      <c r="B302" s="34">
        <v>46111.511388888888</v>
      </c>
      <c r="C302" s="34" t="str">
        <f t="shared" si="15"/>
        <v>202603</v>
      </c>
      <c r="D302" s="35" t="s">
        <v>909</v>
      </c>
      <c r="E302" s="36" t="s">
        <v>910</v>
      </c>
      <c r="F302" s="36" t="s">
        <v>1130</v>
      </c>
      <c r="G302" s="37" t="s">
        <v>1725</v>
      </c>
      <c r="H302" s="36" t="s">
        <v>1023</v>
      </c>
      <c r="I302" s="35" t="s">
        <v>1457</v>
      </c>
      <c r="J302" s="36" t="s">
        <v>929</v>
      </c>
      <c r="K302" s="33" t="s">
        <v>916</v>
      </c>
      <c r="L302" s="35" t="s">
        <v>916</v>
      </c>
      <c r="M302" s="36" t="s">
        <v>957</v>
      </c>
      <c r="N302" s="45">
        <v>46112.857638888891</v>
      </c>
      <c r="O302" s="36" t="s">
        <v>25</v>
      </c>
      <c r="P302" s="38">
        <v>1.3462499999999999</v>
      </c>
      <c r="Q302" s="39" t="s">
        <v>1071</v>
      </c>
      <c r="R302" s="35" t="s">
        <v>916</v>
      </c>
      <c r="S302" s="35"/>
      <c r="T302" s="35" t="s">
        <v>1624</v>
      </c>
      <c r="U302" s="40">
        <v>46112</v>
      </c>
      <c r="V302" s="41">
        <v>46153.532708333332</v>
      </c>
      <c r="W302" s="40">
        <v>46111</v>
      </c>
      <c r="X302" s="35" t="s">
        <v>916</v>
      </c>
      <c r="Y302" s="35" t="s">
        <v>916</v>
      </c>
      <c r="Z302" s="35" t="s">
        <v>916</v>
      </c>
      <c r="AA302" s="38">
        <v>32.31</v>
      </c>
      <c r="AB302" s="42" t="s">
        <v>916</v>
      </c>
      <c r="AC302" s="43" t="s">
        <v>916</v>
      </c>
      <c r="AD302" s="43" t="s">
        <v>916</v>
      </c>
      <c r="AE302" s="33" t="s">
        <v>916</v>
      </c>
      <c r="AF302" s="35" t="s">
        <v>916</v>
      </c>
      <c r="AG302" s="44">
        <v>0</v>
      </c>
      <c r="AH302" s="42" t="s">
        <v>916</v>
      </c>
      <c r="AI302" s="32" t="e">
        <f>VLOOKUP(A302,'4月明細'!B:B,1,0)</f>
        <v>#N/A</v>
      </c>
    </row>
    <row r="303" spans="1:37" ht="19.95" customHeight="1" x14ac:dyDescent="0.3">
      <c r="A303" s="33" t="s">
        <v>699</v>
      </c>
      <c r="B303" s="34">
        <v>46111.49622685185</v>
      </c>
      <c r="C303" s="34" t="str">
        <f t="shared" si="15"/>
        <v>202603</v>
      </c>
      <c r="D303" s="35" t="s">
        <v>909</v>
      </c>
      <c r="E303" s="36" t="s">
        <v>910</v>
      </c>
      <c r="F303" s="36" t="s">
        <v>1068</v>
      </c>
      <c r="G303" s="37" t="s">
        <v>1726</v>
      </c>
      <c r="H303" s="36" t="s">
        <v>954</v>
      </c>
      <c r="I303" s="35" t="s">
        <v>1727</v>
      </c>
      <c r="J303" s="36" t="s">
        <v>929</v>
      </c>
      <c r="K303" s="33" t="s">
        <v>916</v>
      </c>
      <c r="L303" s="35" t="s">
        <v>916</v>
      </c>
      <c r="M303" s="36" t="s">
        <v>957</v>
      </c>
      <c r="N303" s="45">
        <v>46112.859722222223</v>
      </c>
      <c r="O303" s="36" t="s">
        <v>25</v>
      </c>
      <c r="P303" s="38">
        <v>1.3634953703999999</v>
      </c>
      <c r="Q303" s="39" t="s">
        <v>1422</v>
      </c>
      <c r="R303" s="35" t="s">
        <v>916</v>
      </c>
      <c r="S303" s="35"/>
      <c r="T303" s="35" t="s">
        <v>1624</v>
      </c>
      <c r="U303" s="40">
        <v>46112</v>
      </c>
      <c r="V303" s="41">
        <v>46153.532708333332</v>
      </c>
      <c r="W303" s="40">
        <v>46111</v>
      </c>
      <c r="X303" s="35" t="s">
        <v>916</v>
      </c>
      <c r="Y303" s="35" t="s">
        <v>916</v>
      </c>
      <c r="Z303" s="35" t="s">
        <v>916</v>
      </c>
      <c r="AA303" s="38">
        <v>32.723888889599998</v>
      </c>
      <c r="AB303" s="42" t="s">
        <v>916</v>
      </c>
      <c r="AC303" s="43" t="s">
        <v>916</v>
      </c>
      <c r="AD303" s="43" t="s">
        <v>916</v>
      </c>
      <c r="AE303" s="33" t="s">
        <v>916</v>
      </c>
      <c r="AF303" s="35" t="s">
        <v>916</v>
      </c>
      <c r="AG303" s="44">
        <v>0</v>
      </c>
      <c r="AH303" s="42" t="s">
        <v>916</v>
      </c>
      <c r="AI303" s="32" t="e">
        <f>VLOOKUP(A303,'4月明細'!B:B,1,0)</f>
        <v>#N/A</v>
      </c>
    </row>
    <row r="304" spans="1:37" ht="19.95" customHeight="1" x14ac:dyDescent="0.3">
      <c r="A304" s="33" t="s">
        <v>698</v>
      </c>
      <c r="B304" s="34">
        <v>46111.444861111115</v>
      </c>
      <c r="C304" s="34" t="str">
        <f t="shared" si="15"/>
        <v>202603</v>
      </c>
      <c r="D304" s="35" t="s">
        <v>909</v>
      </c>
      <c r="E304" s="36" t="s">
        <v>910</v>
      </c>
      <c r="F304" s="36" t="s">
        <v>1183</v>
      </c>
      <c r="G304" s="37" t="s">
        <v>1728</v>
      </c>
      <c r="H304" s="36" t="s">
        <v>928</v>
      </c>
      <c r="I304" s="35"/>
      <c r="J304" s="36" t="s">
        <v>914</v>
      </c>
      <c r="K304" s="33" t="s">
        <v>916</v>
      </c>
      <c r="L304" s="35" t="s">
        <v>916</v>
      </c>
      <c r="M304" s="36" t="s">
        <v>957</v>
      </c>
      <c r="N304" s="45">
        <v>46112.85833333333</v>
      </c>
      <c r="O304" s="36" t="s">
        <v>25</v>
      </c>
      <c r="P304" s="38">
        <v>1.4134722222</v>
      </c>
      <c r="Q304" s="39" t="s">
        <v>1729</v>
      </c>
      <c r="R304" s="35" t="s">
        <v>916</v>
      </c>
      <c r="S304" s="35"/>
      <c r="T304" s="35" t="s">
        <v>1624</v>
      </c>
      <c r="U304" s="40">
        <v>46112</v>
      </c>
      <c r="V304" s="41">
        <v>46153.532708333332</v>
      </c>
      <c r="W304" s="40">
        <v>46111</v>
      </c>
      <c r="X304" s="35" t="s">
        <v>916</v>
      </c>
      <c r="Y304" s="35" t="s">
        <v>916</v>
      </c>
      <c r="Z304" s="35" t="s">
        <v>916</v>
      </c>
      <c r="AA304" s="38">
        <v>33.923333332799999</v>
      </c>
      <c r="AB304" s="42" t="s">
        <v>916</v>
      </c>
      <c r="AC304" s="43" t="s">
        <v>916</v>
      </c>
      <c r="AD304" s="43" t="s">
        <v>916</v>
      </c>
      <c r="AE304" s="33" t="s">
        <v>916</v>
      </c>
      <c r="AF304" s="35" t="s">
        <v>916</v>
      </c>
      <c r="AG304" s="44">
        <v>0</v>
      </c>
      <c r="AH304" s="42" t="s">
        <v>916</v>
      </c>
      <c r="AI304" s="32" t="e">
        <f>VLOOKUP(A304,'4月明細'!B:B,1,0)</f>
        <v>#N/A</v>
      </c>
    </row>
    <row r="305" spans="1:37" ht="19.95" customHeight="1" x14ac:dyDescent="0.3">
      <c r="A305" s="33" t="s">
        <v>1730</v>
      </c>
      <c r="B305" s="34">
        <v>46111.431250000001</v>
      </c>
      <c r="C305" s="34" t="str">
        <f t="shared" si="15"/>
        <v>202603</v>
      </c>
      <c r="D305" s="35" t="s">
        <v>1653</v>
      </c>
      <c r="E305" s="36" t="s">
        <v>934</v>
      </c>
      <c r="F305" s="36" t="s">
        <v>1731</v>
      </c>
      <c r="G305" s="37" t="s">
        <v>1732</v>
      </c>
      <c r="H305" s="36" t="s">
        <v>1078</v>
      </c>
      <c r="I305" s="35"/>
      <c r="J305" s="36" t="s">
        <v>929</v>
      </c>
      <c r="K305" s="33" t="s">
        <v>916</v>
      </c>
      <c r="L305" s="35" t="s">
        <v>916</v>
      </c>
      <c r="M305" s="36" t="s">
        <v>916</v>
      </c>
      <c r="N305" s="36" t="s">
        <v>916</v>
      </c>
      <c r="O305" s="36" t="s">
        <v>939</v>
      </c>
      <c r="P305" s="38" t="s">
        <v>916</v>
      </c>
      <c r="Q305" s="36" t="s">
        <v>916</v>
      </c>
      <c r="R305" s="35" t="s">
        <v>916</v>
      </c>
      <c r="S305" s="35"/>
      <c r="T305" s="35" t="s">
        <v>1624</v>
      </c>
      <c r="U305" s="40">
        <v>46112</v>
      </c>
      <c r="V305" s="41">
        <v>46153.532708333332</v>
      </c>
      <c r="W305" s="40">
        <v>46111</v>
      </c>
      <c r="X305" s="40">
        <v>46153</v>
      </c>
      <c r="Y305" s="35" t="s">
        <v>916</v>
      </c>
      <c r="Z305" s="35" t="s">
        <v>916</v>
      </c>
      <c r="AA305" s="38">
        <v>0</v>
      </c>
      <c r="AB305" s="42" t="s">
        <v>916</v>
      </c>
      <c r="AC305" s="43" t="s">
        <v>916</v>
      </c>
      <c r="AD305" s="43" t="s">
        <v>916</v>
      </c>
      <c r="AE305" s="33" t="s">
        <v>916</v>
      </c>
      <c r="AF305" s="35" t="s">
        <v>916</v>
      </c>
      <c r="AG305" s="44">
        <v>0</v>
      </c>
      <c r="AH305" s="42" t="s">
        <v>916</v>
      </c>
      <c r="AI305" s="32" t="e">
        <f>VLOOKUP(A305,'4月明細'!B:B,1,0)</f>
        <v>#N/A</v>
      </c>
    </row>
    <row r="306" spans="1:37" ht="19.95" customHeight="1" x14ac:dyDescent="0.3">
      <c r="A306" s="33" t="s">
        <v>697</v>
      </c>
      <c r="B306" s="34">
        <v>46110.711863425924</v>
      </c>
      <c r="C306" s="34" t="str">
        <f t="shared" si="15"/>
        <v>202603</v>
      </c>
      <c r="D306" s="35" t="s">
        <v>909</v>
      </c>
      <c r="E306" s="36" t="s">
        <v>910</v>
      </c>
      <c r="F306" s="36" t="s">
        <v>1010</v>
      </c>
      <c r="G306" s="37" t="s">
        <v>1733</v>
      </c>
      <c r="H306" s="36" t="s">
        <v>928</v>
      </c>
      <c r="I306" s="35" t="s">
        <v>1734</v>
      </c>
      <c r="J306" s="36" t="s">
        <v>929</v>
      </c>
      <c r="K306" s="33" t="s">
        <v>916</v>
      </c>
      <c r="L306" s="35" t="s">
        <v>916</v>
      </c>
      <c r="M306" s="36" t="s">
        <v>957</v>
      </c>
      <c r="N306" s="45">
        <v>46110.756944444445</v>
      </c>
      <c r="O306" s="36" t="s">
        <v>25</v>
      </c>
      <c r="P306" s="38">
        <v>4.50810185E-2</v>
      </c>
      <c r="Q306" s="39" t="s">
        <v>1087</v>
      </c>
      <c r="R306" s="35" t="s">
        <v>916</v>
      </c>
      <c r="S306" s="35"/>
      <c r="T306" s="35" t="s">
        <v>1624</v>
      </c>
      <c r="U306" s="40">
        <v>46111</v>
      </c>
      <c r="V306" s="41">
        <v>46153.532708333332</v>
      </c>
      <c r="W306" s="40">
        <v>46110</v>
      </c>
      <c r="X306" s="35" t="s">
        <v>916</v>
      </c>
      <c r="Y306" s="35" t="s">
        <v>916</v>
      </c>
      <c r="Z306" s="35" t="s">
        <v>916</v>
      </c>
      <c r="AA306" s="38">
        <v>1.0819444439999999</v>
      </c>
      <c r="AB306" s="42" t="s">
        <v>916</v>
      </c>
      <c r="AC306" s="43" t="s">
        <v>916</v>
      </c>
      <c r="AD306" s="43" t="s">
        <v>916</v>
      </c>
      <c r="AE306" s="33" t="s">
        <v>916</v>
      </c>
      <c r="AF306" s="35" t="s">
        <v>916</v>
      </c>
      <c r="AG306" s="44">
        <v>0</v>
      </c>
      <c r="AH306" s="42" t="s">
        <v>916</v>
      </c>
      <c r="AI306" s="32" t="e">
        <f>VLOOKUP(A306,'4月明細'!B:B,1,0)</f>
        <v>#N/A</v>
      </c>
    </row>
    <row r="307" spans="1:37" ht="19.95" customHeight="1" x14ac:dyDescent="0.3">
      <c r="A307" s="33" t="s">
        <v>696</v>
      </c>
      <c r="B307" s="34">
        <v>46110.695034722223</v>
      </c>
      <c r="C307" s="34" t="str">
        <f t="shared" si="15"/>
        <v>202603</v>
      </c>
      <c r="D307" s="35" t="s">
        <v>996</v>
      </c>
      <c r="E307" s="36" t="s">
        <v>910</v>
      </c>
      <c r="F307" s="36" t="s">
        <v>1546</v>
      </c>
      <c r="G307" s="37" t="s">
        <v>1735</v>
      </c>
      <c r="H307" s="36" t="s">
        <v>954</v>
      </c>
      <c r="I307" s="35"/>
      <c r="J307" s="36" t="s">
        <v>914</v>
      </c>
      <c r="K307" s="33" t="s">
        <v>916</v>
      </c>
      <c r="L307" s="35" t="s">
        <v>916</v>
      </c>
      <c r="M307" s="36" t="s">
        <v>923</v>
      </c>
      <c r="N307" s="45">
        <v>46110.834027777775</v>
      </c>
      <c r="O307" s="36" t="s">
        <v>25</v>
      </c>
      <c r="P307" s="38">
        <v>0.1389930556</v>
      </c>
      <c r="Q307" s="39" t="s">
        <v>1087</v>
      </c>
      <c r="R307" s="35" t="s">
        <v>916</v>
      </c>
      <c r="S307" s="35"/>
      <c r="T307" s="35" t="s">
        <v>1624</v>
      </c>
      <c r="U307" s="40">
        <v>46111</v>
      </c>
      <c r="V307" s="41">
        <v>46153.532708333332</v>
      </c>
      <c r="W307" s="40">
        <v>46110</v>
      </c>
      <c r="X307" s="35" t="s">
        <v>916</v>
      </c>
      <c r="Y307" s="35" t="s">
        <v>916</v>
      </c>
      <c r="Z307" s="35" t="s">
        <v>916</v>
      </c>
      <c r="AA307" s="38">
        <v>3.3358333344000002</v>
      </c>
      <c r="AB307" s="42" t="s">
        <v>916</v>
      </c>
      <c r="AC307" s="43" t="s">
        <v>916</v>
      </c>
      <c r="AD307" s="43" t="s">
        <v>916</v>
      </c>
      <c r="AE307" s="33" t="s">
        <v>916</v>
      </c>
      <c r="AF307" s="35" t="s">
        <v>916</v>
      </c>
      <c r="AG307" s="44">
        <v>0</v>
      </c>
      <c r="AH307" s="42" t="s">
        <v>916</v>
      </c>
      <c r="AI307" s="32" t="e">
        <f>VLOOKUP(A307,'4月明細'!B:B,1,0)</f>
        <v>#N/A</v>
      </c>
    </row>
    <row r="308" spans="1:37" ht="19.95" customHeight="1" x14ac:dyDescent="0.3">
      <c r="A308" s="33" t="s">
        <v>695</v>
      </c>
      <c r="B308" s="34">
        <v>46110.645312499997</v>
      </c>
      <c r="C308" s="34" t="str">
        <f t="shared" si="15"/>
        <v>202603</v>
      </c>
      <c r="D308" s="35" t="s">
        <v>996</v>
      </c>
      <c r="E308" s="36" t="s">
        <v>910</v>
      </c>
      <c r="F308" s="36" t="s">
        <v>1736</v>
      </c>
      <c r="G308" s="37" t="s">
        <v>1737</v>
      </c>
      <c r="H308" s="36" t="s">
        <v>954</v>
      </c>
      <c r="I308" s="35"/>
      <c r="J308" s="36" t="s">
        <v>914</v>
      </c>
      <c r="K308" s="33" t="s">
        <v>916</v>
      </c>
      <c r="L308" s="35" t="s">
        <v>916</v>
      </c>
      <c r="M308" s="36" t="s">
        <v>923</v>
      </c>
      <c r="N308" s="45">
        <v>46110.759027777778</v>
      </c>
      <c r="O308" s="36" t="s">
        <v>25</v>
      </c>
      <c r="P308" s="38">
        <v>0.1137152778</v>
      </c>
      <c r="Q308" s="39" t="s">
        <v>958</v>
      </c>
      <c r="R308" s="35" t="s">
        <v>916</v>
      </c>
      <c r="S308" s="35"/>
      <c r="T308" s="35" t="s">
        <v>1624</v>
      </c>
      <c r="U308" s="40">
        <v>46111</v>
      </c>
      <c r="V308" s="41">
        <v>46153.532708333332</v>
      </c>
      <c r="W308" s="40">
        <v>46110</v>
      </c>
      <c r="X308" s="35" t="s">
        <v>916</v>
      </c>
      <c r="Y308" s="35" t="s">
        <v>916</v>
      </c>
      <c r="Z308" s="35" t="s">
        <v>916</v>
      </c>
      <c r="AA308" s="38">
        <v>2.7291666671999999</v>
      </c>
      <c r="AB308" s="42" t="s">
        <v>916</v>
      </c>
      <c r="AC308" s="43" t="s">
        <v>916</v>
      </c>
      <c r="AD308" s="43" t="s">
        <v>916</v>
      </c>
      <c r="AE308" s="33" t="s">
        <v>916</v>
      </c>
      <c r="AF308" s="35" t="s">
        <v>916</v>
      </c>
      <c r="AG308" s="44">
        <v>0</v>
      </c>
      <c r="AH308" s="42" t="s">
        <v>916</v>
      </c>
      <c r="AI308" s="32" t="e">
        <f>VLOOKUP(A308,'4月明細'!B:B,1,0)</f>
        <v>#N/A</v>
      </c>
    </row>
    <row r="309" spans="1:37" ht="19.95" customHeight="1" x14ac:dyDescent="0.3">
      <c r="A309" s="33" t="s">
        <v>694</v>
      </c>
      <c r="B309" s="34">
        <v>46110.595046296294</v>
      </c>
      <c r="C309" s="34" t="str">
        <f t="shared" si="15"/>
        <v>202603</v>
      </c>
      <c r="D309" s="35" t="s">
        <v>909</v>
      </c>
      <c r="E309" s="36" t="s">
        <v>910</v>
      </c>
      <c r="F309" s="36" t="s">
        <v>1179</v>
      </c>
      <c r="G309" s="37" t="s">
        <v>1738</v>
      </c>
      <c r="H309" s="36" t="s">
        <v>954</v>
      </c>
      <c r="I309" s="35"/>
      <c r="J309" s="36" t="s">
        <v>929</v>
      </c>
      <c r="K309" s="33" t="s">
        <v>916</v>
      </c>
      <c r="L309" s="35" t="s">
        <v>916</v>
      </c>
      <c r="M309" s="36" t="s">
        <v>957</v>
      </c>
      <c r="N309" s="45">
        <v>46110.757638888892</v>
      </c>
      <c r="O309" s="36" t="s">
        <v>25</v>
      </c>
      <c r="P309" s="38">
        <v>0.1625925926</v>
      </c>
      <c r="Q309" s="39" t="s">
        <v>1739</v>
      </c>
      <c r="R309" s="35" t="s">
        <v>916</v>
      </c>
      <c r="S309" s="35"/>
      <c r="T309" s="35" t="s">
        <v>1624</v>
      </c>
      <c r="U309" s="40">
        <v>46111</v>
      </c>
      <c r="V309" s="41">
        <v>46153.532708333332</v>
      </c>
      <c r="W309" s="40">
        <v>46110</v>
      </c>
      <c r="X309" s="35" t="s">
        <v>916</v>
      </c>
      <c r="Y309" s="35" t="s">
        <v>916</v>
      </c>
      <c r="Z309" s="35" t="s">
        <v>916</v>
      </c>
      <c r="AA309" s="38">
        <v>3.9022222223999998</v>
      </c>
      <c r="AB309" s="42" t="s">
        <v>916</v>
      </c>
      <c r="AC309" s="43" t="s">
        <v>916</v>
      </c>
      <c r="AD309" s="43" t="s">
        <v>916</v>
      </c>
      <c r="AE309" s="33" t="s">
        <v>916</v>
      </c>
      <c r="AF309" s="35" t="s">
        <v>916</v>
      </c>
      <c r="AG309" s="44">
        <v>0</v>
      </c>
      <c r="AH309" s="42" t="s">
        <v>916</v>
      </c>
      <c r="AI309" s="32" t="e">
        <f>VLOOKUP(A309,'4月明細'!B:B,1,0)</f>
        <v>#N/A</v>
      </c>
    </row>
    <row r="310" spans="1:37" ht="19.95" customHeight="1" x14ac:dyDescent="0.3">
      <c r="A310" s="33" t="s">
        <v>693</v>
      </c>
      <c r="B310" s="34">
        <v>46110.573923611111</v>
      </c>
      <c r="C310" s="34" t="str">
        <f t="shared" si="15"/>
        <v>202603</v>
      </c>
      <c r="D310" s="35" t="s">
        <v>909</v>
      </c>
      <c r="E310" s="36" t="s">
        <v>910</v>
      </c>
      <c r="F310" s="36" t="s">
        <v>1183</v>
      </c>
      <c r="G310" s="37" t="s">
        <v>1728</v>
      </c>
      <c r="H310" s="36" t="s">
        <v>928</v>
      </c>
      <c r="I310" s="35"/>
      <c r="J310" s="36" t="s">
        <v>914</v>
      </c>
      <c r="K310" s="33" t="s">
        <v>916</v>
      </c>
      <c r="L310" s="35" t="s">
        <v>916</v>
      </c>
      <c r="M310" s="36" t="s">
        <v>957</v>
      </c>
      <c r="N310" s="45">
        <v>46110.758333333331</v>
      </c>
      <c r="O310" s="36" t="s">
        <v>25</v>
      </c>
      <c r="P310" s="38">
        <v>0.18440972219999999</v>
      </c>
      <c r="Q310" s="39" t="s">
        <v>958</v>
      </c>
      <c r="R310" s="35" t="s">
        <v>916</v>
      </c>
      <c r="S310" s="35"/>
      <c r="T310" s="35" t="s">
        <v>1624</v>
      </c>
      <c r="U310" s="40">
        <v>46111</v>
      </c>
      <c r="V310" s="41">
        <v>46153.532708333332</v>
      </c>
      <c r="W310" s="40">
        <v>46110</v>
      </c>
      <c r="X310" s="35" t="s">
        <v>916</v>
      </c>
      <c r="Y310" s="35" t="s">
        <v>916</v>
      </c>
      <c r="Z310" s="35" t="s">
        <v>916</v>
      </c>
      <c r="AA310" s="38">
        <v>4.4258333327999999</v>
      </c>
      <c r="AB310" s="42" t="s">
        <v>916</v>
      </c>
      <c r="AC310" s="43" t="s">
        <v>916</v>
      </c>
      <c r="AD310" s="43" t="s">
        <v>916</v>
      </c>
      <c r="AE310" s="33" t="s">
        <v>916</v>
      </c>
      <c r="AF310" s="35" t="s">
        <v>916</v>
      </c>
      <c r="AG310" s="44">
        <v>0</v>
      </c>
      <c r="AH310" s="42" t="s">
        <v>916</v>
      </c>
      <c r="AI310" s="32" t="e">
        <f>VLOOKUP(A310,'4月明細'!B:B,1,0)</f>
        <v>#N/A</v>
      </c>
    </row>
    <row r="311" spans="1:37" ht="19.95" customHeight="1" x14ac:dyDescent="0.3">
      <c r="A311" s="33" t="s">
        <v>692</v>
      </c>
      <c r="B311" s="34">
        <v>46110.549907407411</v>
      </c>
      <c r="C311" s="34" t="str">
        <f t="shared" si="15"/>
        <v>202603</v>
      </c>
      <c r="D311" s="35" t="s">
        <v>996</v>
      </c>
      <c r="E311" s="36" t="s">
        <v>910</v>
      </c>
      <c r="F311" s="36" t="s">
        <v>1740</v>
      </c>
      <c r="G311" s="37" t="s">
        <v>1741</v>
      </c>
      <c r="H311" s="36" t="s">
        <v>954</v>
      </c>
      <c r="I311" s="35"/>
      <c r="J311" s="36" t="s">
        <v>914</v>
      </c>
      <c r="K311" s="33" t="s">
        <v>916</v>
      </c>
      <c r="L311" s="35" t="s">
        <v>916</v>
      </c>
      <c r="M311" s="36" t="s">
        <v>957</v>
      </c>
      <c r="N311" s="45">
        <v>46110.759027777778</v>
      </c>
      <c r="O311" s="36" t="s">
        <v>25</v>
      </c>
      <c r="P311" s="38">
        <v>0.20912037040000001</v>
      </c>
      <c r="Q311" s="39" t="s">
        <v>958</v>
      </c>
      <c r="R311" s="35" t="s">
        <v>916</v>
      </c>
      <c r="S311" s="35"/>
      <c r="T311" s="35" t="s">
        <v>1624</v>
      </c>
      <c r="U311" s="40">
        <v>46111</v>
      </c>
      <c r="V311" s="41">
        <v>46153.532708333332</v>
      </c>
      <c r="W311" s="40">
        <v>46110</v>
      </c>
      <c r="X311" s="35" t="s">
        <v>916</v>
      </c>
      <c r="Y311" s="35" t="s">
        <v>916</v>
      </c>
      <c r="Z311" s="35" t="s">
        <v>916</v>
      </c>
      <c r="AA311" s="38">
        <v>5.0188888896000003</v>
      </c>
      <c r="AB311" s="42" t="s">
        <v>916</v>
      </c>
      <c r="AC311" s="43" t="s">
        <v>916</v>
      </c>
      <c r="AD311" s="43" t="s">
        <v>916</v>
      </c>
      <c r="AE311" s="33" t="s">
        <v>916</v>
      </c>
      <c r="AF311" s="35" t="s">
        <v>916</v>
      </c>
      <c r="AG311" s="44">
        <v>0</v>
      </c>
      <c r="AH311" s="42" t="s">
        <v>916</v>
      </c>
      <c r="AI311" s="32" t="e">
        <f>VLOOKUP(A311,'4月明細'!B:B,1,0)</f>
        <v>#N/A</v>
      </c>
    </row>
    <row r="312" spans="1:37" ht="19.95" customHeight="1" x14ac:dyDescent="0.3">
      <c r="A312" s="33" t="s">
        <v>691</v>
      </c>
      <c r="B312" s="34">
        <v>46110.542372685188</v>
      </c>
      <c r="C312" s="34" t="str">
        <f t="shared" si="15"/>
        <v>202603</v>
      </c>
      <c r="D312" s="35" t="s">
        <v>996</v>
      </c>
      <c r="E312" s="36" t="s">
        <v>910</v>
      </c>
      <c r="F312" s="36" t="s">
        <v>1095</v>
      </c>
      <c r="G312" s="37" t="s">
        <v>998</v>
      </c>
      <c r="H312" s="36" t="s">
        <v>928</v>
      </c>
      <c r="I312" s="35"/>
      <c r="J312" s="36" t="s">
        <v>914</v>
      </c>
      <c r="K312" s="33" t="s">
        <v>916</v>
      </c>
      <c r="L312" s="35" t="s">
        <v>916</v>
      </c>
      <c r="M312" s="36" t="s">
        <v>957</v>
      </c>
      <c r="N312" s="45">
        <v>46110.759722222225</v>
      </c>
      <c r="O312" s="36" t="s">
        <v>25</v>
      </c>
      <c r="P312" s="38">
        <v>0.21734953700000001</v>
      </c>
      <c r="Q312" s="39" t="s">
        <v>958</v>
      </c>
      <c r="R312" s="35" t="s">
        <v>916</v>
      </c>
      <c r="S312" s="35"/>
      <c r="T312" s="35" t="s">
        <v>1624</v>
      </c>
      <c r="U312" s="40">
        <v>46111</v>
      </c>
      <c r="V312" s="41">
        <v>46153.532708333332</v>
      </c>
      <c r="W312" s="40">
        <v>46110</v>
      </c>
      <c r="X312" s="35" t="s">
        <v>916</v>
      </c>
      <c r="Y312" s="35" t="s">
        <v>916</v>
      </c>
      <c r="Z312" s="35" t="s">
        <v>916</v>
      </c>
      <c r="AA312" s="38">
        <v>5.216388888</v>
      </c>
      <c r="AB312" s="42" t="s">
        <v>916</v>
      </c>
      <c r="AC312" s="43" t="s">
        <v>916</v>
      </c>
      <c r="AD312" s="43" t="s">
        <v>916</v>
      </c>
      <c r="AE312" s="33" t="s">
        <v>916</v>
      </c>
      <c r="AF312" s="35" t="s">
        <v>916</v>
      </c>
      <c r="AG312" s="44">
        <v>0</v>
      </c>
      <c r="AH312" s="42" t="s">
        <v>916</v>
      </c>
      <c r="AI312" s="32" t="e">
        <f>VLOOKUP(A312,'4月明細'!B:B,1,0)</f>
        <v>#N/A</v>
      </c>
    </row>
    <row r="313" spans="1:37" ht="19.95" customHeight="1" x14ac:dyDescent="0.3">
      <c r="A313" s="33" t="s">
        <v>690</v>
      </c>
      <c r="B313" s="34">
        <v>46110.505682870367</v>
      </c>
      <c r="C313" s="34" t="str">
        <f t="shared" si="15"/>
        <v>202603</v>
      </c>
      <c r="D313" s="35" t="s">
        <v>996</v>
      </c>
      <c r="E313" s="36" t="s">
        <v>910</v>
      </c>
      <c r="F313" s="36" t="s">
        <v>1093</v>
      </c>
      <c r="G313" s="37" t="s">
        <v>998</v>
      </c>
      <c r="H313" s="36" t="s">
        <v>928</v>
      </c>
      <c r="I313" s="35"/>
      <c r="J313" s="36" t="s">
        <v>914</v>
      </c>
      <c r="K313" s="33" t="s">
        <v>916</v>
      </c>
      <c r="L313" s="35" t="s">
        <v>916</v>
      </c>
      <c r="M313" s="36" t="s">
        <v>957</v>
      </c>
      <c r="N313" s="45">
        <v>46110.760416666664</v>
      </c>
      <c r="O313" s="36" t="s">
        <v>25</v>
      </c>
      <c r="P313" s="38">
        <v>0.25473379629999998</v>
      </c>
      <c r="Q313" s="39" t="s">
        <v>958</v>
      </c>
      <c r="R313" s="35" t="s">
        <v>916</v>
      </c>
      <c r="S313" s="35"/>
      <c r="T313" s="35" t="s">
        <v>1624</v>
      </c>
      <c r="U313" s="40">
        <v>46111</v>
      </c>
      <c r="V313" s="41">
        <v>46153.532708333332</v>
      </c>
      <c r="W313" s="40">
        <v>46110</v>
      </c>
      <c r="X313" s="35" t="s">
        <v>916</v>
      </c>
      <c r="Y313" s="35" t="s">
        <v>916</v>
      </c>
      <c r="Z313" s="35" t="s">
        <v>916</v>
      </c>
      <c r="AA313" s="38">
        <v>6.1136111112</v>
      </c>
      <c r="AB313" s="42" t="s">
        <v>916</v>
      </c>
      <c r="AC313" s="43" t="s">
        <v>916</v>
      </c>
      <c r="AD313" s="43" t="s">
        <v>916</v>
      </c>
      <c r="AE313" s="33" t="s">
        <v>916</v>
      </c>
      <c r="AF313" s="35" t="s">
        <v>916</v>
      </c>
      <c r="AG313" s="44">
        <v>0</v>
      </c>
      <c r="AH313" s="42" t="s">
        <v>916</v>
      </c>
      <c r="AI313" s="32" t="e">
        <f>VLOOKUP(A313,'4月明細'!B:B,1,0)</f>
        <v>#N/A</v>
      </c>
    </row>
    <row r="314" spans="1:37" ht="19.95" customHeight="1" x14ac:dyDescent="0.3">
      <c r="A314" s="33" t="s">
        <v>1742</v>
      </c>
      <c r="B314" s="34">
        <v>46110.463217592594</v>
      </c>
      <c r="C314" s="34" t="str">
        <f t="shared" si="15"/>
        <v>202603</v>
      </c>
      <c r="D314" s="35" t="s">
        <v>996</v>
      </c>
      <c r="E314" s="36" t="s">
        <v>910</v>
      </c>
      <c r="F314" s="36" t="s">
        <v>1743</v>
      </c>
      <c r="G314" s="37" t="s">
        <v>1744</v>
      </c>
      <c r="H314" s="36" t="s">
        <v>928</v>
      </c>
      <c r="I314" s="35"/>
      <c r="J314" s="36" t="s">
        <v>914</v>
      </c>
      <c r="K314" s="33" t="s">
        <v>916</v>
      </c>
      <c r="L314" s="35" t="s">
        <v>916</v>
      </c>
      <c r="M314" s="36" t="s">
        <v>916</v>
      </c>
      <c r="N314" s="36" t="s">
        <v>916</v>
      </c>
      <c r="O314" s="36" t="s">
        <v>939</v>
      </c>
      <c r="P314" s="38" t="s">
        <v>916</v>
      </c>
      <c r="Q314" s="36" t="s">
        <v>916</v>
      </c>
      <c r="R314" s="35" t="s">
        <v>916</v>
      </c>
      <c r="S314" s="35"/>
      <c r="T314" s="35" t="s">
        <v>1624</v>
      </c>
      <c r="U314" s="40">
        <v>46111</v>
      </c>
      <c r="V314" s="41">
        <v>46153.532708333332</v>
      </c>
      <c r="W314" s="40">
        <v>46110</v>
      </c>
      <c r="X314" s="40">
        <v>46153</v>
      </c>
      <c r="Y314" s="35" t="s">
        <v>916</v>
      </c>
      <c r="Z314" s="35" t="s">
        <v>916</v>
      </c>
      <c r="AA314" s="38">
        <v>0</v>
      </c>
      <c r="AB314" s="42" t="s">
        <v>916</v>
      </c>
      <c r="AC314" s="43" t="s">
        <v>916</v>
      </c>
      <c r="AD314" s="43" t="s">
        <v>916</v>
      </c>
      <c r="AE314" s="33" t="s">
        <v>916</v>
      </c>
      <c r="AF314" s="35" t="s">
        <v>916</v>
      </c>
      <c r="AG314" s="44">
        <v>0</v>
      </c>
      <c r="AH314" s="42" t="s">
        <v>916</v>
      </c>
      <c r="AI314" s="32" t="e">
        <f>VLOOKUP(A314,'4月明細'!B:B,1,0)</f>
        <v>#N/A</v>
      </c>
    </row>
    <row r="315" spans="1:37" ht="19.95" customHeight="1" x14ac:dyDescent="0.3">
      <c r="A315" s="33" t="s">
        <v>711</v>
      </c>
      <c r="B315" s="34">
        <v>46110.454305555555</v>
      </c>
      <c r="C315" s="34" t="str">
        <f t="shared" si="15"/>
        <v>202603</v>
      </c>
      <c r="D315" s="35" t="s">
        <v>996</v>
      </c>
      <c r="E315" s="36" t="s">
        <v>910</v>
      </c>
      <c r="F315" s="36" t="s">
        <v>1745</v>
      </c>
      <c r="G315" s="37" t="s">
        <v>1746</v>
      </c>
      <c r="H315" s="36" t="s">
        <v>928</v>
      </c>
      <c r="I315" s="35"/>
      <c r="J315" s="36" t="s">
        <v>914</v>
      </c>
      <c r="K315" s="33" t="s">
        <v>916</v>
      </c>
      <c r="L315" s="35" t="s">
        <v>916</v>
      </c>
      <c r="M315" s="36" t="s">
        <v>957</v>
      </c>
      <c r="N315" s="45">
        <v>46125.377083333333</v>
      </c>
      <c r="O315" s="36" t="s">
        <v>25</v>
      </c>
      <c r="P315" s="38">
        <v>14.9227777778</v>
      </c>
      <c r="Q315" s="39" t="s">
        <v>1328</v>
      </c>
      <c r="R315" s="35" t="s">
        <v>916</v>
      </c>
      <c r="S315" s="35"/>
      <c r="T315" s="35" t="s">
        <v>1624</v>
      </c>
      <c r="U315" s="40">
        <v>46111</v>
      </c>
      <c r="V315" s="41">
        <v>46153.532708333332</v>
      </c>
      <c r="W315" s="40">
        <v>46110</v>
      </c>
      <c r="X315" s="35" t="s">
        <v>916</v>
      </c>
      <c r="Y315" s="35" t="s">
        <v>916</v>
      </c>
      <c r="Z315" s="35" t="s">
        <v>916</v>
      </c>
      <c r="AA315" s="38">
        <v>358.14666666720001</v>
      </c>
      <c r="AB315" s="42" t="s">
        <v>916</v>
      </c>
      <c r="AC315" s="43" t="s">
        <v>916</v>
      </c>
      <c r="AD315" s="43" t="s">
        <v>916</v>
      </c>
      <c r="AE315" s="33" t="s">
        <v>916</v>
      </c>
      <c r="AF315" s="35" t="s">
        <v>916</v>
      </c>
      <c r="AG315" s="44">
        <v>0</v>
      </c>
      <c r="AH315" s="42" t="s">
        <v>916</v>
      </c>
      <c r="AI315" s="32" t="str">
        <f>VLOOKUP(A315,'4月明細'!B:B,1,0)</f>
        <v>20260329-002</v>
      </c>
      <c r="AJ315" s="32">
        <f>VLOOKUP(A315,'4月明細'!B:I,8,0)</f>
        <v>14.92</v>
      </c>
      <c r="AK315" s="47">
        <f>AJ315-P315</f>
        <v>-2.7777778000004361E-3</v>
      </c>
    </row>
    <row r="316" spans="1:37" ht="19.95" customHeight="1" x14ac:dyDescent="0.3">
      <c r="A316" s="33" t="s">
        <v>689</v>
      </c>
      <c r="B316" s="34">
        <v>46110.451840277776</v>
      </c>
      <c r="C316" s="34" t="str">
        <f t="shared" si="15"/>
        <v>202603</v>
      </c>
      <c r="D316" s="35" t="s">
        <v>996</v>
      </c>
      <c r="E316" s="36" t="s">
        <v>910</v>
      </c>
      <c r="F316" s="36" t="s">
        <v>1145</v>
      </c>
      <c r="G316" s="37" t="s">
        <v>1746</v>
      </c>
      <c r="H316" s="36" t="s">
        <v>928</v>
      </c>
      <c r="I316" s="35"/>
      <c r="J316" s="36" t="s">
        <v>914</v>
      </c>
      <c r="K316" s="33" t="s">
        <v>916</v>
      </c>
      <c r="L316" s="35" t="s">
        <v>916</v>
      </c>
      <c r="M316" s="36" t="s">
        <v>957</v>
      </c>
      <c r="N316" s="45">
        <v>46111.411111111112</v>
      </c>
      <c r="O316" s="36" t="s">
        <v>25</v>
      </c>
      <c r="P316" s="38">
        <v>0.95927083329999996</v>
      </c>
      <c r="Q316" s="39" t="s">
        <v>1328</v>
      </c>
      <c r="R316" s="35" t="s">
        <v>916</v>
      </c>
      <c r="S316" s="35"/>
      <c r="T316" s="35" t="s">
        <v>1624</v>
      </c>
      <c r="U316" s="40">
        <v>46111</v>
      </c>
      <c r="V316" s="41">
        <v>46153.532708333332</v>
      </c>
      <c r="W316" s="40">
        <v>46110</v>
      </c>
      <c r="X316" s="35" t="s">
        <v>916</v>
      </c>
      <c r="Y316" s="35" t="s">
        <v>916</v>
      </c>
      <c r="Z316" s="35" t="s">
        <v>916</v>
      </c>
      <c r="AA316" s="38">
        <v>23.022499999200001</v>
      </c>
      <c r="AB316" s="42" t="s">
        <v>916</v>
      </c>
      <c r="AC316" s="43" t="s">
        <v>916</v>
      </c>
      <c r="AD316" s="43" t="s">
        <v>916</v>
      </c>
      <c r="AE316" s="33" t="s">
        <v>916</v>
      </c>
      <c r="AF316" s="35" t="s">
        <v>916</v>
      </c>
      <c r="AG316" s="44">
        <v>0</v>
      </c>
      <c r="AH316" s="42" t="s">
        <v>916</v>
      </c>
      <c r="AI316" s="32" t="e">
        <f>VLOOKUP(A316,'4月明細'!B:B,1,0)</f>
        <v>#N/A</v>
      </c>
    </row>
    <row r="317" spans="1:37" ht="19.95" customHeight="1" x14ac:dyDescent="0.3">
      <c r="A317" s="33" t="s">
        <v>688</v>
      </c>
      <c r="B317" s="34">
        <v>46109.816458333335</v>
      </c>
      <c r="C317" s="34" t="str">
        <f t="shared" si="15"/>
        <v>202603</v>
      </c>
      <c r="D317" s="35" t="s">
        <v>1747</v>
      </c>
      <c r="E317" s="36" t="s">
        <v>942</v>
      </c>
      <c r="F317" s="36" t="s">
        <v>1748</v>
      </c>
      <c r="G317" s="37" t="s">
        <v>1749</v>
      </c>
      <c r="H317" s="36" t="s">
        <v>913</v>
      </c>
      <c r="I317" s="35"/>
      <c r="J317" s="36" t="s">
        <v>945</v>
      </c>
      <c r="K317" s="33" t="s">
        <v>916</v>
      </c>
      <c r="L317" s="35" t="s">
        <v>916</v>
      </c>
      <c r="M317" s="36" t="s">
        <v>923</v>
      </c>
      <c r="N317" s="45">
        <v>46110.760416666664</v>
      </c>
      <c r="O317" s="36" t="s">
        <v>25</v>
      </c>
      <c r="P317" s="38">
        <v>0.94395833330000001</v>
      </c>
      <c r="Q317" s="39" t="s">
        <v>919</v>
      </c>
      <c r="R317" s="35" t="s">
        <v>916</v>
      </c>
      <c r="S317" s="35"/>
      <c r="T317" s="35" t="s">
        <v>1624</v>
      </c>
      <c r="U317" s="40">
        <v>46110</v>
      </c>
      <c r="V317" s="41">
        <v>46153.532708333332</v>
      </c>
      <c r="W317" s="40">
        <v>46109</v>
      </c>
      <c r="X317" s="35" t="s">
        <v>916</v>
      </c>
      <c r="Y317" s="35" t="s">
        <v>916</v>
      </c>
      <c r="Z317" s="35" t="s">
        <v>916</v>
      </c>
      <c r="AA317" s="38">
        <v>22.654999999200001</v>
      </c>
      <c r="AB317" s="42" t="s">
        <v>916</v>
      </c>
      <c r="AC317" s="43" t="s">
        <v>916</v>
      </c>
      <c r="AD317" s="43" t="s">
        <v>916</v>
      </c>
      <c r="AE317" s="33" t="s">
        <v>916</v>
      </c>
      <c r="AF317" s="35" t="s">
        <v>916</v>
      </c>
      <c r="AG317" s="44">
        <v>0</v>
      </c>
      <c r="AH317" s="42" t="s">
        <v>916</v>
      </c>
      <c r="AI317" s="32" t="e">
        <f>VLOOKUP(A317,'4月明細'!B:B,1,0)</f>
        <v>#N/A</v>
      </c>
    </row>
    <row r="318" spans="1:37" ht="19.95" customHeight="1" x14ac:dyDescent="0.3">
      <c r="A318" s="33" t="s">
        <v>687</v>
      </c>
      <c r="B318" s="34">
        <v>46109.692002314812</v>
      </c>
      <c r="C318" s="34" t="str">
        <f t="shared" si="15"/>
        <v>202603</v>
      </c>
      <c r="D318" s="35" t="s">
        <v>986</v>
      </c>
      <c r="E318" s="36" t="s">
        <v>910</v>
      </c>
      <c r="F318" s="36" t="s">
        <v>1750</v>
      </c>
      <c r="G318" s="37" t="s">
        <v>1751</v>
      </c>
      <c r="H318" s="36" t="s">
        <v>954</v>
      </c>
      <c r="I318" s="35"/>
      <c r="J318" s="36" t="s">
        <v>914</v>
      </c>
      <c r="K318" s="33" t="s">
        <v>916</v>
      </c>
      <c r="L318" s="35" t="s">
        <v>916</v>
      </c>
      <c r="M318" s="36" t="s">
        <v>923</v>
      </c>
      <c r="N318" s="45">
        <v>46109.697222222225</v>
      </c>
      <c r="O318" s="36" t="s">
        <v>25</v>
      </c>
      <c r="P318" s="38">
        <v>5.2199074000000003E-3</v>
      </c>
      <c r="Q318" s="39" t="s">
        <v>994</v>
      </c>
      <c r="R318" s="35" t="s">
        <v>916</v>
      </c>
      <c r="S318" s="35"/>
      <c r="T318" s="35" t="s">
        <v>1624</v>
      </c>
      <c r="U318" s="40">
        <v>46110</v>
      </c>
      <c r="V318" s="41">
        <v>46153.532708333332</v>
      </c>
      <c r="W318" s="40">
        <v>46109</v>
      </c>
      <c r="X318" s="35" t="s">
        <v>916</v>
      </c>
      <c r="Y318" s="35" t="s">
        <v>916</v>
      </c>
      <c r="Z318" s="35" t="s">
        <v>916</v>
      </c>
      <c r="AA318" s="38">
        <v>0.1252777776</v>
      </c>
      <c r="AB318" s="42" t="s">
        <v>916</v>
      </c>
      <c r="AC318" s="43" t="s">
        <v>916</v>
      </c>
      <c r="AD318" s="43" t="s">
        <v>916</v>
      </c>
      <c r="AE318" s="33" t="s">
        <v>916</v>
      </c>
      <c r="AF318" s="35" t="s">
        <v>916</v>
      </c>
      <c r="AG318" s="44">
        <v>0</v>
      </c>
      <c r="AH318" s="42" t="s">
        <v>916</v>
      </c>
      <c r="AI318" s="32" t="e">
        <f>VLOOKUP(A318,'4月明細'!B:B,1,0)</f>
        <v>#N/A</v>
      </c>
    </row>
    <row r="319" spans="1:37" ht="19.95" customHeight="1" x14ac:dyDescent="0.3">
      <c r="A319" s="33" t="s">
        <v>686</v>
      </c>
      <c r="B319" s="34">
        <v>46109.627395833333</v>
      </c>
      <c r="C319" s="34" t="str">
        <f t="shared" si="15"/>
        <v>202603</v>
      </c>
      <c r="D319" s="35" t="s">
        <v>951</v>
      </c>
      <c r="E319" s="36" t="s">
        <v>910</v>
      </c>
      <c r="F319" s="36" t="s">
        <v>1752</v>
      </c>
      <c r="G319" s="37" t="s">
        <v>1753</v>
      </c>
      <c r="H319" s="36" t="s">
        <v>928</v>
      </c>
      <c r="I319" s="35" t="s">
        <v>1754</v>
      </c>
      <c r="J319" s="36" t="s">
        <v>914</v>
      </c>
      <c r="K319" s="33" t="s">
        <v>916</v>
      </c>
      <c r="L319" s="35" t="s">
        <v>916</v>
      </c>
      <c r="M319" s="36" t="s">
        <v>923</v>
      </c>
      <c r="N319" s="45">
        <v>46109.699305555558</v>
      </c>
      <c r="O319" s="36" t="s">
        <v>25</v>
      </c>
      <c r="P319" s="38">
        <v>7.1909722199999998E-2</v>
      </c>
      <c r="Q319" s="39" t="s">
        <v>984</v>
      </c>
      <c r="R319" s="35" t="s">
        <v>916</v>
      </c>
      <c r="S319" s="35"/>
      <c r="T319" s="35" t="s">
        <v>1624</v>
      </c>
      <c r="U319" s="40">
        <v>46110</v>
      </c>
      <c r="V319" s="41">
        <v>46153.532708333332</v>
      </c>
      <c r="W319" s="40">
        <v>46109</v>
      </c>
      <c r="X319" s="35" t="s">
        <v>916</v>
      </c>
      <c r="Y319" s="35" t="s">
        <v>916</v>
      </c>
      <c r="Z319" s="35" t="s">
        <v>916</v>
      </c>
      <c r="AA319" s="38">
        <v>1.7258333328</v>
      </c>
      <c r="AB319" s="42" t="s">
        <v>916</v>
      </c>
      <c r="AC319" s="43" t="s">
        <v>916</v>
      </c>
      <c r="AD319" s="43" t="s">
        <v>916</v>
      </c>
      <c r="AE319" s="33" t="s">
        <v>916</v>
      </c>
      <c r="AF319" s="35" t="s">
        <v>916</v>
      </c>
      <c r="AG319" s="44">
        <v>0</v>
      </c>
      <c r="AH319" s="42" t="s">
        <v>916</v>
      </c>
      <c r="AI319" s="32" t="e">
        <f>VLOOKUP(A319,'4月明細'!B:B,1,0)</f>
        <v>#N/A</v>
      </c>
    </row>
    <row r="320" spans="1:37" ht="19.95" customHeight="1" x14ac:dyDescent="0.3">
      <c r="A320" s="33" t="s">
        <v>685</v>
      </c>
      <c r="B320" s="34">
        <v>46109.562557870369</v>
      </c>
      <c r="C320" s="34" t="str">
        <f t="shared" si="15"/>
        <v>202603</v>
      </c>
      <c r="D320" s="35" t="s">
        <v>1755</v>
      </c>
      <c r="E320" s="36" t="s">
        <v>910</v>
      </c>
      <c r="F320" s="36" t="s">
        <v>1344</v>
      </c>
      <c r="G320" s="37" t="s">
        <v>1756</v>
      </c>
      <c r="H320" s="36" t="s">
        <v>928</v>
      </c>
      <c r="I320" s="35"/>
      <c r="J320" s="36" t="s">
        <v>929</v>
      </c>
      <c r="K320" s="33" t="s">
        <v>916</v>
      </c>
      <c r="L320" s="35" t="s">
        <v>916</v>
      </c>
      <c r="M320" s="36" t="s">
        <v>923</v>
      </c>
      <c r="N320" s="45">
        <v>46109.7</v>
      </c>
      <c r="O320" s="36" t="s">
        <v>25</v>
      </c>
      <c r="P320" s="38">
        <v>0.13744212959999999</v>
      </c>
      <c r="Q320" s="39" t="s">
        <v>1671</v>
      </c>
      <c r="R320" s="35" t="s">
        <v>916</v>
      </c>
      <c r="S320" s="35"/>
      <c r="T320" s="35" t="s">
        <v>1624</v>
      </c>
      <c r="U320" s="40">
        <v>46110</v>
      </c>
      <c r="V320" s="41">
        <v>46153.532708333332</v>
      </c>
      <c r="W320" s="40">
        <v>46109</v>
      </c>
      <c r="X320" s="35" t="s">
        <v>916</v>
      </c>
      <c r="Y320" s="35" t="s">
        <v>916</v>
      </c>
      <c r="Z320" s="35" t="s">
        <v>916</v>
      </c>
      <c r="AA320" s="38">
        <v>3.2986111104</v>
      </c>
      <c r="AB320" s="42" t="s">
        <v>916</v>
      </c>
      <c r="AC320" s="43" t="s">
        <v>916</v>
      </c>
      <c r="AD320" s="43" t="s">
        <v>916</v>
      </c>
      <c r="AE320" s="33" t="s">
        <v>916</v>
      </c>
      <c r="AF320" s="35" t="s">
        <v>916</v>
      </c>
      <c r="AG320" s="44">
        <v>0</v>
      </c>
      <c r="AH320" s="42" t="s">
        <v>916</v>
      </c>
      <c r="AI320" s="32" t="e">
        <f>VLOOKUP(A320,'4月明細'!B:B,1,0)</f>
        <v>#N/A</v>
      </c>
    </row>
    <row r="321" spans="1:37" ht="19.95" customHeight="1" x14ac:dyDescent="0.3">
      <c r="A321" s="33" t="s">
        <v>684</v>
      </c>
      <c r="B321" s="34">
        <v>46109.536921296298</v>
      </c>
      <c r="C321" s="34" t="str">
        <f t="shared" si="15"/>
        <v>202603</v>
      </c>
      <c r="D321" s="35" t="s">
        <v>951</v>
      </c>
      <c r="E321" s="36" t="s">
        <v>910</v>
      </c>
      <c r="F321" s="36" t="s">
        <v>1720</v>
      </c>
      <c r="G321" s="37" t="s">
        <v>1757</v>
      </c>
      <c r="H321" s="36" t="s">
        <v>928</v>
      </c>
      <c r="I321" s="35" t="s">
        <v>1758</v>
      </c>
      <c r="J321" s="36" t="s">
        <v>914</v>
      </c>
      <c r="K321" s="33" t="s">
        <v>916</v>
      </c>
      <c r="L321" s="35" t="s">
        <v>916</v>
      </c>
      <c r="M321" s="36" t="s">
        <v>923</v>
      </c>
      <c r="N321" s="45">
        <v>46109.7</v>
      </c>
      <c r="O321" s="36" t="s">
        <v>25</v>
      </c>
      <c r="P321" s="38">
        <v>0.16307870369999999</v>
      </c>
      <c r="Q321" s="39" t="s">
        <v>984</v>
      </c>
      <c r="R321" s="35" t="s">
        <v>916</v>
      </c>
      <c r="S321" s="35"/>
      <c r="T321" s="35" t="s">
        <v>1624</v>
      </c>
      <c r="U321" s="40">
        <v>46110</v>
      </c>
      <c r="V321" s="41">
        <v>46153.532708333332</v>
      </c>
      <c r="W321" s="40">
        <v>46109</v>
      </c>
      <c r="X321" s="35" t="s">
        <v>916</v>
      </c>
      <c r="Y321" s="35" t="s">
        <v>916</v>
      </c>
      <c r="Z321" s="35" t="s">
        <v>916</v>
      </c>
      <c r="AA321" s="38">
        <v>3.9138888887999999</v>
      </c>
      <c r="AB321" s="42" t="s">
        <v>916</v>
      </c>
      <c r="AC321" s="43" t="s">
        <v>916</v>
      </c>
      <c r="AD321" s="43" t="s">
        <v>916</v>
      </c>
      <c r="AE321" s="33" t="s">
        <v>916</v>
      </c>
      <c r="AF321" s="35" t="s">
        <v>916</v>
      </c>
      <c r="AG321" s="44">
        <v>0</v>
      </c>
      <c r="AH321" s="42" t="s">
        <v>916</v>
      </c>
      <c r="AI321" s="32" t="e">
        <f>VLOOKUP(A321,'4月明細'!B:B,1,0)</f>
        <v>#N/A</v>
      </c>
    </row>
    <row r="322" spans="1:37" ht="19.95" customHeight="1" x14ac:dyDescent="0.3">
      <c r="A322" s="33" t="s">
        <v>683</v>
      </c>
      <c r="B322" s="34">
        <v>46108.664004629631</v>
      </c>
      <c r="C322" s="34" t="str">
        <f t="shared" si="15"/>
        <v>202603</v>
      </c>
      <c r="D322" s="35" t="s">
        <v>996</v>
      </c>
      <c r="E322" s="36" t="s">
        <v>910</v>
      </c>
      <c r="F322" s="36" t="s">
        <v>1672</v>
      </c>
      <c r="G322" s="37" t="s">
        <v>998</v>
      </c>
      <c r="H322" s="36" t="s">
        <v>928</v>
      </c>
      <c r="I322" s="35"/>
      <c r="J322" s="36" t="s">
        <v>914</v>
      </c>
      <c r="K322" s="33" t="s">
        <v>916</v>
      </c>
      <c r="L322" s="35" t="s">
        <v>916</v>
      </c>
      <c r="M322" s="36" t="s">
        <v>923</v>
      </c>
      <c r="N322" s="45">
        <v>46108.793749999997</v>
      </c>
      <c r="O322" s="36" t="s">
        <v>25</v>
      </c>
      <c r="P322" s="38">
        <v>0.1297453704</v>
      </c>
      <c r="Q322" s="39" t="s">
        <v>1422</v>
      </c>
      <c r="R322" s="35" t="s">
        <v>916</v>
      </c>
      <c r="S322" s="35"/>
      <c r="T322" s="35" t="s">
        <v>1624</v>
      </c>
      <c r="U322" s="40">
        <v>46109</v>
      </c>
      <c r="V322" s="41">
        <v>46153.532708333332</v>
      </c>
      <c r="W322" s="40">
        <v>46108</v>
      </c>
      <c r="X322" s="35" t="s">
        <v>916</v>
      </c>
      <c r="Y322" s="35" t="s">
        <v>916</v>
      </c>
      <c r="Z322" s="35" t="s">
        <v>916</v>
      </c>
      <c r="AA322" s="38">
        <v>3.1138888896000001</v>
      </c>
      <c r="AB322" s="42" t="s">
        <v>916</v>
      </c>
      <c r="AC322" s="43" t="s">
        <v>916</v>
      </c>
      <c r="AD322" s="43" t="s">
        <v>916</v>
      </c>
      <c r="AE322" s="33" t="s">
        <v>916</v>
      </c>
      <c r="AF322" s="35" t="s">
        <v>916</v>
      </c>
      <c r="AG322" s="44">
        <v>0</v>
      </c>
      <c r="AH322" s="42" t="s">
        <v>916</v>
      </c>
      <c r="AI322" s="32" t="e">
        <f>VLOOKUP(A322,'4月明細'!B:B,1,0)</f>
        <v>#N/A</v>
      </c>
    </row>
    <row r="323" spans="1:37" ht="19.95" customHeight="1" x14ac:dyDescent="0.3">
      <c r="A323" s="33" t="s">
        <v>682</v>
      </c>
      <c r="B323" s="34">
        <v>46108.631481481483</v>
      </c>
      <c r="C323" s="34" t="str">
        <f t="shared" ref="C323:C386" si="18">TEXT(B323,"YYYYMM")</f>
        <v>202603</v>
      </c>
      <c r="D323" s="35" t="s">
        <v>951</v>
      </c>
      <c r="E323" s="36" t="s">
        <v>910</v>
      </c>
      <c r="F323" s="36" t="s">
        <v>1335</v>
      </c>
      <c r="G323" s="37" t="s">
        <v>1759</v>
      </c>
      <c r="H323" s="36" t="s">
        <v>928</v>
      </c>
      <c r="I323" s="35" t="s">
        <v>1760</v>
      </c>
      <c r="J323" s="36" t="s">
        <v>914</v>
      </c>
      <c r="K323" s="33" t="s">
        <v>916</v>
      </c>
      <c r="L323" s="35" t="s">
        <v>916</v>
      </c>
      <c r="M323" s="36" t="s">
        <v>923</v>
      </c>
      <c r="N323" s="45">
        <v>46108.795138888891</v>
      </c>
      <c r="O323" s="36" t="s">
        <v>25</v>
      </c>
      <c r="P323" s="38">
        <v>0.16365740740000001</v>
      </c>
      <c r="Q323" s="39" t="s">
        <v>984</v>
      </c>
      <c r="R323" s="35" t="s">
        <v>916</v>
      </c>
      <c r="S323" s="35"/>
      <c r="T323" s="35" t="s">
        <v>1624</v>
      </c>
      <c r="U323" s="40">
        <v>46109</v>
      </c>
      <c r="V323" s="41">
        <v>46153.532708333332</v>
      </c>
      <c r="W323" s="40">
        <v>46108</v>
      </c>
      <c r="X323" s="35" t="s">
        <v>916</v>
      </c>
      <c r="Y323" s="35" t="s">
        <v>916</v>
      </c>
      <c r="Z323" s="35" t="s">
        <v>916</v>
      </c>
      <c r="AA323" s="38">
        <v>3.9277777775999998</v>
      </c>
      <c r="AB323" s="42" t="s">
        <v>916</v>
      </c>
      <c r="AC323" s="43" t="s">
        <v>916</v>
      </c>
      <c r="AD323" s="43" t="s">
        <v>916</v>
      </c>
      <c r="AE323" s="33" t="s">
        <v>916</v>
      </c>
      <c r="AF323" s="35" t="s">
        <v>916</v>
      </c>
      <c r="AG323" s="44">
        <v>0</v>
      </c>
      <c r="AH323" s="42" t="s">
        <v>916</v>
      </c>
      <c r="AI323" s="32" t="e">
        <f>VLOOKUP(A323,'4月明細'!B:B,1,0)</f>
        <v>#N/A</v>
      </c>
    </row>
    <row r="324" spans="1:37" ht="19.95" customHeight="1" x14ac:dyDescent="0.3">
      <c r="A324" s="33" t="s">
        <v>681</v>
      </c>
      <c r="B324" s="34">
        <v>46108.521620370368</v>
      </c>
      <c r="C324" s="34" t="str">
        <f t="shared" si="18"/>
        <v>202603</v>
      </c>
      <c r="D324" s="35" t="s">
        <v>951</v>
      </c>
      <c r="E324" s="36" t="s">
        <v>910</v>
      </c>
      <c r="F324" s="36" t="s">
        <v>1055</v>
      </c>
      <c r="G324" s="37" t="s">
        <v>1761</v>
      </c>
      <c r="H324" s="36" t="s">
        <v>954</v>
      </c>
      <c r="I324" s="35"/>
      <c r="J324" s="36" t="s">
        <v>914</v>
      </c>
      <c r="K324" s="33" t="s">
        <v>916</v>
      </c>
      <c r="L324" s="35" t="s">
        <v>916</v>
      </c>
      <c r="M324" s="36" t="s">
        <v>923</v>
      </c>
      <c r="N324" s="45">
        <v>46108.79583333333</v>
      </c>
      <c r="O324" s="36" t="s">
        <v>25</v>
      </c>
      <c r="P324" s="38">
        <v>0.27421296299999998</v>
      </c>
      <c r="Q324" s="39" t="s">
        <v>1739</v>
      </c>
      <c r="R324" s="35" t="s">
        <v>916</v>
      </c>
      <c r="S324" s="35"/>
      <c r="T324" s="35" t="s">
        <v>1624</v>
      </c>
      <c r="U324" s="40">
        <v>46109</v>
      </c>
      <c r="V324" s="41">
        <v>46153.532708333332</v>
      </c>
      <c r="W324" s="40">
        <v>46108</v>
      </c>
      <c r="X324" s="35" t="s">
        <v>916</v>
      </c>
      <c r="Y324" s="35" t="s">
        <v>916</v>
      </c>
      <c r="Z324" s="35" t="s">
        <v>916</v>
      </c>
      <c r="AA324" s="38">
        <v>6.5811111120000003</v>
      </c>
      <c r="AB324" s="42" t="s">
        <v>916</v>
      </c>
      <c r="AC324" s="43" t="s">
        <v>916</v>
      </c>
      <c r="AD324" s="43" t="s">
        <v>916</v>
      </c>
      <c r="AE324" s="33" t="s">
        <v>916</v>
      </c>
      <c r="AF324" s="35" t="s">
        <v>916</v>
      </c>
      <c r="AG324" s="44">
        <v>0</v>
      </c>
      <c r="AH324" s="42" t="s">
        <v>916</v>
      </c>
      <c r="AI324" s="32" t="e">
        <f>VLOOKUP(A324,'4月明細'!B:B,1,0)</f>
        <v>#N/A</v>
      </c>
    </row>
    <row r="325" spans="1:37" ht="19.95" customHeight="1" x14ac:dyDescent="0.3">
      <c r="A325" s="33" t="s">
        <v>680</v>
      </c>
      <c r="B325" s="34">
        <v>46108.520648148151</v>
      </c>
      <c r="C325" s="34" t="str">
        <f t="shared" si="18"/>
        <v>202603</v>
      </c>
      <c r="D325" s="35" t="s">
        <v>951</v>
      </c>
      <c r="E325" s="36" t="s">
        <v>910</v>
      </c>
      <c r="F325" s="36" t="s">
        <v>987</v>
      </c>
      <c r="G325" s="37" t="s">
        <v>1762</v>
      </c>
      <c r="H325" s="36" t="s">
        <v>928</v>
      </c>
      <c r="I325" s="35"/>
      <c r="J325" s="36" t="s">
        <v>929</v>
      </c>
      <c r="K325" s="33" t="s">
        <v>916</v>
      </c>
      <c r="L325" s="35" t="s">
        <v>916</v>
      </c>
      <c r="M325" s="36" t="s">
        <v>923</v>
      </c>
      <c r="N325" s="45">
        <v>46108.954861111109</v>
      </c>
      <c r="O325" s="36" t="s">
        <v>25</v>
      </c>
      <c r="P325" s="38">
        <v>0.43421296300000001</v>
      </c>
      <c r="Q325" s="39" t="s">
        <v>1763</v>
      </c>
      <c r="R325" s="35" t="s">
        <v>916</v>
      </c>
      <c r="S325" s="35"/>
      <c r="T325" s="35" t="s">
        <v>1624</v>
      </c>
      <c r="U325" s="40">
        <v>46109</v>
      </c>
      <c r="V325" s="41">
        <v>46153.532708333332</v>
      </c>
      <c r="W325" s="40">
        <v>46108</v>
      </c>
      <c r="X325" s="35" t="s">
        <v>916</v>
      </c>
      <c r="Y325" s="35" t="s">
        <v>916</v>
      </c>
      <c r="Z325" s="35" t="s">
        <v>916</v>
      </c>
      <c r="AA325" s="38">
        <v>10.421111112</v>
      </c>
      <c r="AB325" s="42" t="s">
        <v>916</v>
      </c>
      <c r="AC325" s="43" t="s">
        <v>916</v>
      </c>
      <c r="AD325" s="43" t="s">
        <v>916</v>
      </c>
      <c r="AE325" s="33" t="s">
        <v>916</v>
      </c>
      <c r="AF325" s="35" t="s">
        <v>916</v>
      </c>
      <c r="AG325" s="44">
        <v>0</v>
      </c>
      <c r="AH325" s="42" t="s">
        <v>916</v>
      </c>
      <c r="AI325" s="32" t="e">
        <f>VLOOKUP(A325,'4月明細'!B:B,1,0)</f>
        <v>#N/A</v>
      </c>
    </row>
    <row r="326" spans="1:37" ht="19.95" customHeight="1" x14ac:dyDescent="0.3">
      <c r="A326" s="33" t="s">
        <v>1764</v>
      </c>
      <c r="B326" s="34">
        <v>46108.450046296297</v>
      </c>
      <c r="C326" s="34" t="str">
        <f t="shared" si="18"/>
        <v>202603</v>
      </c>
      <c r="D326" s="35" t="s">
        <v>996</v>
      </c>
      <c r="E326" s="36" t="s">
        <v>910</v>
      </c>
      <c r="F326" s="36" t="s">
        <v>1765</v>
      </c>
      <c r="G326" s="37" t="s">
        <v>1766</v>
      </c>
      <c r="H326" s="36" t="s">
        <v>1023</v>
      </c>
      <c r="I326" s="35"/>
      <c r="J326" s="36" t="s">
        <v>914</v>
      </c>
      <c r="K326" s="33" t="s">
        <v>916</v>
      </c>
      <c r="L326" s="35" t="s">
        <v>916</v>
      </c>
      <c r="M326" s="36" t="s">
        <v>1039</v>
      </c>
      <c r="N326" s="45">
        <v>46111.414583333331</v>
      </c>
      <c r="O326" s="36" t="s">
        <v>1384</v>
      </c>
      <c r="P326" s="38">
        <v>2.9645370369999999</v>
      </c>
      <c r="Q326" s="39" t="s">
        <v>1767</v>
      </c>
      <c r="R326" s="35" t="s">
        <v>916</v>
      </c>
      <c r="S326" s="35"/>
      <c r="T326" s="35" t="s">
        <v>1624</v>
      </c>
      <c r="U326" s="40">
        <v>46109</v>
      </c>
      <c r="V326" s="41">
        <v>46153.532708333332</v>
      </c>
      <c r="W326" s="40">
        <v>46108</v>
      </c>
      <c r="X326" s="35" t="s">
        <v>916</v>
      </c>
      <c r="Y326" s="35" t="s">
        <v>916</v>
      </c>
      <c r="Z326" s="35" t="s">
        <v>916</v>
      </c>
      <c r="AA326" s="38">
        <v>71.148888888000002</v>
      </c>
      <c r="AB326" s="42" t="s">
        <v>916</v>
      </c>
      <c r="AC326" s="43" t="s">
        <v>916</v>
      </c>
      <c r="AD326" s="43" t="s">
        <v>916</v>
      </c>
      <c r="AE326" s="33" t="s">
        <v>916</v>
      </c>
      <c r="AF326" s="35" t="s">
        <v>916</v>
      </c>
      <c r="AG326" s="44">
        <v>0</v>
      </c>
      <c r="AH326" s="42" t="s">
        <v>916</v>
      </c>
      <c r="AI326" s="32" t="e">
        <f>VLOOKUP(A326,'4月明細'!B:B,1,0)</f>
        <v>#N/A</v>
      </c>
    </row>
    <row r="327" spans="1:37" ht="19.95" customHeight="1" x14ac:dyDescent="0.3">
      <c r="A327" s="33" t="s">
        <v>679</v>
      </c>
      <c r="B327" s="34">
        <v>46107.832546296297</v>
      </c>
      <c r="C327" s="34" t="str">
        <f t="shared" si="18"/>
        <v>202603</v>
      </c>
      <c r="D327" s="35" t="s">
        <v>941</v>
      </c>
      <c r="E327" s="36" t="s">
        <v>942</v>
      </c>
      <c r="F327" s="36" t="s">
        <v>1768</v>
      </c>
      <c r="G327" s="37" t="s">
        <v>1769</v>
      </c>
      <c r="H327" s="36" t="s">
        <v>913</v>
      </c>
      <c r="I327" s="35"/>
      <c r="J327" s="36" t="s">
        <v>938</v>
      </c>
      <c r="K327" s="33" t="s">
        <v>916</v>
      </c>
      <c r="L327" s="35" t="s">
        <v>916</v>
      </c>
      <c r="M327" s="36" t="s">
        <v>957</v>
      </c>
      <c r="N327" s="45">
        <v>46108.447916666664</v>
      </c>
      <c r="O327" s="36" t="s">
        <v>25</v>
      </c>
      <c r="P327" s="38">
        <v>0.61537037039999998</v>
      </c>
      <c r="Q327" s="39" t="s">
        <v>919</v>
      </c>
      <c r="R327" s="35" t="s">
        <v>916</v>
      </c>
      <c r="S327" s="35"/>
      <c r="T327" s="35" t="s">
        <v>1624</v>
      </c>
      <c r="U327" s="40">
        <v>46108</v>
      </c>
      <c r="V327" s="41">
        <v>46153.532708333332</v>
      </c>
      <c r="W327" s="40">
        <v>46107</v>
      </c>
      <c r="X327" s="35" t="s">
        <v>916</v>
      </c>
      <c r="Y327" s="35" t="s">
        <v>916</v>
      </c>
      <c r="Z327" s="35" t="s">
        <v>916</v>
      </c>
      <c r="AA327" s="38">
        <v>14.768888889599999</v>
      </c>
      <c r="AB327" s="42" t="s">
        <v>916</v>
      </c>
      <c r="AC327" s="43" t="s">
        <v>916</v>
      </c>
      <c r="AD327" s="43" t="s">
        <v>916</v>
      </c>
      <c r="AE327" s="33" t="s">
        <v>916</v>
      </c>
      <c r="AF327" s="35" t="s">
        <v>916</v>
      </c>
      <c r="AG327" s="44">
        <v>0</v>
      </c>
      <c r="AH327" s="42" t="s">
        <v>916</v>
      </c>
      <c r="AI327" s="32" t="e">
        <f>VLOOKUP(A327,'4月明細'!B:B,1,0)</f>
        <v>#N/A</v>
      </c>
    </row>
    <row r="328" spans="1:37" ht="19.95" customHeight="1" x14ac:dyDescent="0.3">
      <c r="A328" s="33" t="s">
        <v>678</v>
      </c>
      <c r="B328" s="34">
        <v>46107.636157407411</v>
      </c>
      <c r="C328" s="34" t="str">
        <f t="shared" si="18"/>
        <v>202603</v>
      </c>
      <c r="D328" s="35" t="s">
        <v>951</v>
      </c>
      <c r="E328" s="36" t="s">
        <v>910</v>
      </c>
      <c r="F328" s="36" t="s">
        <v>1770</v>
      </c>
      <c r="G328" s="37" t="s">
        <v>1771</v>
      </c>
      <c r="H328" s="36" t="s">
        <v>954</v>
      </c>
      <c r="I328" s="35"/>
      <c r="J328" s="36" t="s">
        <v>929</v>
      </c>
      <c r="K328" s="33" t="s">
        <v>916</v>
      </c>
      <c r="L328" s="35" t="s">
        <v>916</v>
      </c>
      <c r="M328" s="36" t="s">
        <v>957</v>
      </c>
      <c r="N328" s="45">
        <v>46108.390277777777</v>
      </c>
      <c r="O328" s="36" t="s">
        <v>25</v>
      </c>
      <c r="P328" s="38">
        <v>0.75412037040000002</v>
      </c>
      <c r="Q328" s="39" t="s">
        <v>1772</v>
      </c>
      <c r="R328" s="35" t="s">
        <v>916</v>
      </c>
      <c r="S328" s="35"/>
      <c r="T328" s="35" t="s">
        <v>1624</v>
      </c>
      <c r="U328" s="40">
        <v>46108</v>
      </c>
      <c r="V328" s="41">
        <v>46153.532719907409</v>
      </c>
      <c r="W328" s="40">
        <v>46107</v>
      </c>
      <c r="X328" s="35" t="s">
        <v>916</v>
      </c>
      <c r="Y328" s="35" t="s">
        <v>916</v>
      </c>
      <c r="Z328" s="35" t="s">
        <v>916</v>
      </c>
      <c r="AA328" s="38">
        <v>18.098888889600001</v>
      </c>
      <c r="AB328" s="42" t="s">
        <v>916</v>
      </c>
      <c r="AC328" s="43" t="s">
        <v>916</v>
      </c>
      <c r="AD328" s="43" t="s">
        <v>916</v>
      </c>
      <c r="AE328" s="33" t="s">
        <v>916</v>
      </c>
      <c r="AF328" s="35" t="s">
        <v>916</v>
      </c>
      <c r="AG328" s="44">
        <v>0</v>
      </c>
      <c r="AH328" s="42" t="s">
        <v>916</v>
      </c>
      <c r="AI328" s="32" t="e">
        <f>VLOOKUP(A328,'4月明細'!B:B,1,0)</f>
        <v>#N/A</v>
      </c>
    </row>
    <row r="329" spans="1:37" ht="19.95" customHeight="1" x14ac:dyDescent="0.3">
      <c r="A329" s="33" t="s">
        <v>677</v>
      </c>
      <c r="B329" s="34">
        <v>46107.558148148149</v>
      </c>
      <c r="C329" s="34" t="str">
        <f t="shared" si="18"/>
        <v>202603</v>
      </c>
      <c r="D329" s="35" t="s">
        <v>951</v>
      </c>
      <c r="E329" s="36" t="s">
        <v>910</v>
      </c>
      <c r="F329" s="36" t="s">
        <v>964</v>
      </c>
      <c r="G329" s="37" t="s">
        <v>1773</v>
      </c>
      <c r="H329" s="36" t="s">
        <v>1023</v>
      </c>
      <c r="I329" s="35" t="s">
        <v>1774</v>
      </c>
      <c r="J329" s="36" t="s">
        <v>914</v>
      </c>
      <c r="K329" s="33" t="s">
        <v>916</v>
      </c>
      <c r="L329" s="35" t="s">
        <v>916</v>
      </c>
      <c r="M329" s="36" t="s">
        <v>957</v>
      </c>
      <c r="N329" s="45">
        <v>46108.448611111111</v>
      </c>
      <c r="O329" s="36" t="s">
        <v>25</v>
      </c>
      <c r="P329" s="38">
        <v>0.89046296300000005</v>
      </c>
      <c r="Q329" s="39" t="s">
        <v>1775</v>
      </c>
      <c r="R329" s="35" t="s">
        <v>916</v>
      </c>
      <c r="S329" s="35"/>
      <c r="T329" s="35" t="s">
        <v>1624</v>
      </c>
      <c r="U329" s="40">
        <v>46108</v>
      </c>
      <c r="V329" s="41">
        <v>46153.532719907409</v>
      </c>
      <c r="W329" s="40">
        <v>46107</v>
      </c>
      <c r="X329" s="35" t="s">
        <v>916</v>
      </c>
      <c r="Y329" s="35" t="s">
        <v>916</v>
      </c>
      <c r="Z329" s="35" t="s">
        <v>916</v>
      </c>
      <c r="AA329" s="38">
        <v>21.371111112000001</v>
      </c>
      <c r="AB329" s="42" t="s">
        <v>916</v>
      </c>
      <c r="AC329" s="43" t="s">
        <v>916</v>
      </c>
      <c r="AD329" s="43" t="s">
        <v>916</v>
      </c>
      <c r="AE329" s="33" t="s">
        <v>916</v>
      </c>
      <c r="AF329" s="35" t="s">
        <v>916</v>
      </c>
      <c r="AG329" s="44">
        <v>0</v>
      </c>
      <c r="AH329" s="42" t="s">
        <v>916</v>
      </c>
      <c r="AI329" s="32" t="e">
        <f>VLOOKUP(A329,'4月明細'!B:B,1,0)</f>
        <v>#N/A</v>
      </c>
    </row>
    <row r="330" spans="1:37" ht="19.95" customHeight="1" x14ac:dyDescent="0.3">
      <c r="A330" s="33" t="s">
        <v>676</v>
      </c>
      <c r="B330" s="34">
        <v>46107.521747685183</v>
      </c>
      <c r="C330" s="34" t="str">
        <f t="shared" si="18"/>
        <v>202603</v>
      </c>
      <c r="D330" s="35" t="s">
        <v>996</v>
      </c>
      <c r="E330" s="36" t="s">
        <v>910</v>
      </c>
      <c r="F330" s="36" t="s">
        <v>1344</v>
      </c>
      <c r="G330" s="37" t="s">
        <v>1776</v>
      </c>
      <c r="H330" s="36" t="s">
        <v>928</v>
      </c>
      <c r="I330" s="35"/>
      <c r="J330" s="36" t="s">
        <v>914</v>
      </c>
      <c r="K330" s="33" t="s">
        <v>916</v>
      </c>
      <c r="L330" s="35" t="s">
        <v>916</v>
      </c>
      <c r="M330" s="36" t="s">
        <v>923</v>
      </c>
      <c r="N330" s="45">
        <v>46111.413194444445</v>
      </c>
      <c r="O330" s="36" t="s">
        <v>25</v>
      </c>
      <c r="P330" s="38">
        <v>3.8914467592999999</v>
      </c>
      <c r="Q330" s="39" t="s">
        <v>1777</v>
      </c>
      <c r="R330" s="35" t="s">
        <v>916</v>
      </c>
      <c r="S330" s="35"/>
      <c r="T330" s="35" t="s">
        <v>1624</v>
      </c>
      <c r="U330" s="40">
        <v>46108</v>
      </c>
      <c r="V330" s="41">
        <v>46153.532719907409</v>
      </c>
      <c r="W330" s="40">
        <v>46107</v>
      </c>
      <c r="X330" s="35" t="s">
        <v>916</v>
      </c>
      <c r="Y330" s="35" t="s">
        <v>916</v>
      </c>
      <c r="Z330" s="35" t="s">
        <v>916</v>
      </c>
      <c r="AA330" s="38">
        <v>93.394722223200006</v>
      </c>
      <c r="AB330" s="42" t="s">
        <v>916</v>
      </c>
      <c r="AC330" s="43" t="s">
        <v>916</v>
      </c>
      <c r="AD330" s="43" t="s">
        <v>916</v>
      </c>
      <c r="AE330" s="33" t="s">
        <v>916</v>
      </c>
      <c r="AF330" s="35" t="s">
        <v>916</v>
      </c>
      <c r="AG330" s="44">
        <v>0</v>
      </c>
      <c r="AH330" s="42" t="s">
        <v>916</v>
      </c>
      <c r="AI330" s="32" t="e">
        <f>VLOOKUP(A330,'4月明細'!B:B,1,0)</f>
        <v>#N/A</v>
      </c>
    </row>
    <row r="331" spans="1:37" ht="19.95" customHeight="1" x14ac:dyDescent="0.3">
      <c r="A331" s="33" t="s">
        <v>1778</v>
      </c>
      <c r="B331" s="34">
        <v>46107.444444444445</v>
      </c>
      <c r="C331" s="34" t="str">
        <f t="shared" si="18"/>
        <v>202603</v>
      </c>
      <c r="D331" s="35" t="s">
        <v>1653</v>
      </c>
      <c r="E331" s="36" t="s">
        <v>934</v>
      </c>
      <c r="F331" s="36" t="s">
        <v>1220</v>
      </c>
      <c r="G331" s="37" t="s">
        <v>1679</v>
      </c>
      <c r="H331" s="36" t="s">
        <v>1114</v>
      </c>
      <c r="I331" s="35" t="s">
        <v>1779</v>
      </c>
      <c r="J331" s="36" t="s">
        <v>929</v>
      </c>
      <c r="K331" s="33" t="s">
        <v>916</v>
      </c>
      <c r="L331" s="35" t="s">
        <v>916</v>
      </c>
      <c r="M331" s="36" t="s">
        <v>916</v>
      </c>
      <c r="N331" s="36" t="s">
        <v>916</v>
      </c>
      <c r="O331" s="36" t="s">
        <v>939</v>
      </c>
      <c r="P331" s="38" t="s">
        <v>916</v>
      </c>
      <c r="Q331" s="36" t="s">
        <v>916</v>
      </c>
      <c r="R331" s="35" t="s">
        <v>916</v>
      </c>
      <c r="S331" s="35"/>
      <c r="T331" s="35" t="s">
        <v>1624</v>
      </c>
      <c r="U331" s="40">
        <v>46108</v>
      </c>
      <c r="V331" s="41">
        <v>46153.532719907409</v>
      </c>
      <c r="W331" s="40">
        <v>46107</v>
      </c>
      <c r="X331" s="40">
        <v>46153</v>
      </c>
      <c r="Y331" s="35" t="s">
        <v>916</v>
      </c>
      <c r="Z331" s="35" t="s">
        <v>916</v>
      </c>
      <c r="AA331" s="38">
        <v>0</v>
      </c>
      <c r="AB331" s="42" t="s">
        <v>916</v>
      </c>
      <c r="AC331" s="43" t="s">
        <v>916</v>
      </c>
      <c r="AD331" s="43" t="s">
        <v>916</v>
      </c>
      <c r="AE331" s="33" t="s">
        <v>916</v>
      </c>
      <c r="AF331" s="35" t="s">
        <v>916</v>
      </c>
      <c r="AG331" s="44">
        <v>0</v>
      </c>
      <c r="AH331" s="42" t="s">
        <v>916</v>
      </c>
      <c r="AI331" s="32" t="e">
        <f>VLOOKUP(A331,'4月明細'!B:B,1,0)</f>
        <v>#N/A</v>
      </c>
    </row>
    <row r="332" spans="1:37" ht="19.95" customHeight="1" x14ac:dyDescent="0.3">
      <c r="A332" s="33" t="s">
        <v>1780</v>
      </c>
      <c r="B332" s="34">
        <v>46107.440972222219</v>
      </c>
      <c r="C332" s="34" t="str">
        <f t="shared" si="18"/>
        <v>202603</v>
      </c>
      <c r="D332" s="35" t="s">
        <v>1653</v>
      </c>
      <c r="E332" s="36" t="s">
        <v>934</v>
      </c>
      <c r="F332" s="36" t="s">
        <v>1220</v>
      </c>
      <c r="G332" s="37" t="s">
        <v>1657</v>
      </c>
      <c r="H332" s="36" t="s">
        <v>928</v>
      </c>
      <c r="I332" s="35" t="s">
        <v>1781</v>
      </c>
      <c r="J332" s="36" t="s">
        <v>929</v>
      </c>
      <c r="K332" s="33" t="s">
        <v>916</v>
      </c>
      <c r="L332" s="35" t="s">
        <v>916</v>
      </c>
      <c r="M332" s="36" t="s">
        <v>916</v>
      </c>
      <c r="N332" s="36" t="s">
        <v>916</v>
      </c>
      <c r="O332" s="36" t="s">
        <v>939</v>
      </c>
      <c r="P332" s="38" t="s">
        <v>916</v>
      </c>
      <c r="Q332" s="36" t="s">
        <v>916</v>
      </c>
      <c r="R332" s="35" t="s">
        <v>916</v>
      </c>
      <c r="S332" s="35"/>
      <c r="T332" s="35" t="s">
        <v>1624</v>
      </c>
      <c r="U332" s="40">
        <v>46108</v>
      </c>
      <c r="V332" s="41">
        <v>46153.532719907409</v>
      </c>
      <c r="W332" s="40">
        <v>46107</v>
      </c>
      <c r="X332" s="40">
        <v>46153</v>
      </c>
      <c r="Y332" s="35" t="s">
        <v>916</v>
      </c>
      <c r="Z332" s="35" t="s">
        <v>916</v>
      </c>
      <c r="AA332" s="38">
        <v>0</v>
      </c>
      <c r="AB332" s="42" t="s">
        <v>916</v>
      </c>
      <c r="AC332" s="43" t="s">
        <v>916</v>
      </c>
      <c r="AD332" s="43" t="s">
        <v>916</v>
      </c>
      <c r="AE332" s="33" t="s">
        <v>916</v>
      </c>
      <c r="AF332" s="35" t="s">
        <v>916</v>
      </c>
      <c r="AG332" s="44">
        <v>0</v>
      </c>
      <c r="AH332" s="42" t="s">
        <v>916</v>
      </c>
      <c r="AI332" s="32" t="e">
        <f>VLOOKUP(A332,'4月明細'!B:B,1,0)</f>
        <v>#N/A</v>
      </c>
    </row>
    <row r="333" spans="1:37" ht="19.95" customHeight="1" x14ac:dyDescent="0.3">
      <c r="A333" s="33" t="s">
        <v>1782</v>
      </c>
      <c r="B333" s="34">
        <v>46107.438888888886</v>
      </c>
      <c r="C333" s="34" t="str">
        <f t="shared" si="18"/>
        <v>202603</v>
      </c>
      <c r="D333" s="35" t="s">
        <v>1653</v>
      </c>
      <c r="E333" s="36" t="s">
        <v>934</v>
      </c>
      <c r="F333" s="36" t="s">
        <v>1783</v>
      </c>
      <c r="G333" s="37" t="s">
        <v>1657</v>
      </c>
      <c r="H333" s="36" t="s">
        <v>928</v>
      </c>
      <c r="I333" s="35" t="s">
        <v>1784</v>
      </c>
      <c r="J333" s="36" t="s">
        <v>929</v>
      </c>
      <c r="K333" s="33" t="s">
        <v>916</v>
      </c>
      <c r="L333" s="35" t="s">
        <v>916</v>
      </c>
      <c r="M333" s="36" t="s">
        <v>916</v>
      </c>
      <c r="N333" s="36" t="s">
        <v>916</v>
      </c>
      <c r="O333" s="36" t="s">
        <v>939</v>
      </c>
      <c r="P333" s="38" t="s">
        <v>916</v>
      </c>
      <c r="Q333" s="36" t="s">
        <v>916</v>
      </c>
      <c r="R333" s="35" t="s">
        <v>916</v>
      </c>
      <c r="S333" s="35"/>
      <c r="T333" s="35" t="s">
        <v>1624</v>
      </c>
      <c r="U333" s="40">
        <v>46108</v>
      </c>
      <c r="V333" s="41">
        <v>46153.532719907409</v>
      </c>
      <c r="W333" s="40">
        <v>46107</v>
      </c>
      <c r="X333" s="40">
        <v>46153</v>
      </c>
      <c r="Y333" s="35" t="s">
        <v>916</v>
      </c>
      <c r="Z333" s="35" t="s">
        <v>916</v>
      </c>
      <c r="AA333" s="38">
        <v>0</v>
      </c>
      <c r="AB333" s="42" t="s">
        <v>916</v>
      </c>
      <c r="AC333" s="43" t="s">
        <v>916</v>
      </c>
      <c r="AD333" s="43" t="s">
        <v>916</v>
      </c>
      <c r="AE333" s="33" t="s">
        <v>916</v>
      </c>
      <c r="AF333" s="35" t="s">
        <v>916</v>
      </c>
      <c r="AG333" s="44">
        <v>0</v>
      </c>
      <c r="AH333" s="42" t="s">
        <v>916</v>
      </c>
      <c r="AI333" s="32" t="e">
        <f>VLOOKUP(A333,'4月明細'!B:B,1,0)</f>
        <v>#N/A</v>
      </c>
    </row>
    <row r="334" spans="1:37" ht="19.95" customHeight="1" x14ac:dyDescent="0.3">
      <c r="A334" s="33" t="s">
        <v>1785</v>
      </c>
      <c r="B334" s="34">
        <v>46107.414583333331</v>
      </c>
      <c r="C334" s="34" t="str">
        <f t="shared" si="18"/>
        <v>202603</v>
      </c>
      <c r="D334" s="35" t="s">
        <v>1653</v>
      </c>
      <c r="E334" s="36" t="s">
        <v>934</v>
      </c>
      <c r="F334" s="36" t="s">
        <v>1581</v>
      </c>
      <c r="G334" s="37" t="s">
        <v>1657</v>
      </c>
      <c r="H334" s="36" t="s">
        <v>928</v>
      </c>
      <c r="I334" s="35" t="s">
        <v>1786</v>
      </c>
      <c r="J334" s="36" t="s">
        <v>929</v>
      </c>
      <c r="K334" s="33" t="s">
        <v>916</v>
      </c>
      <c r="L334" s="35" t="s">
        <v>916</v>
      </c>
      <c r="M334" s="36" t="s">
        <v>916</v>
      </c>
      <c r="N334" s="36" t="s">
        <v>916</v>
      </c>
      <c r="O334" s="36" t="s">
        <v>939</v>
      </c>
      <c r="P334" s="38" t="s">
        <v>916</v>
      </c>
      <c r="Q334" s="36" t="s">
        <v>916</v>
      </c>
      <c r="R334" s="35" t="s">
        <v>916</v>
      </c>
      <c r="S334" s="35"/>
      <c r="T334" s="35" t="s">
        <v>1624</v>
      </c>
      <c r="U334" s="40">
        <v>46108</v>
      </c>
      <c r="V334" s="41">
        <v>46153.532719907409</v>
      </c>
      <c r="W334" s="40">
        <v>46107</v>
      </c>
      <c r="X334" s="40">
        <v>46153</v>
      </c>
      <c r="Y334" s="35" t="s">
        <v>916</v>
      </c>
      <c r="Z334" s="35" t="s">
        <v>916</v>
      </c>
      <c r="AA334" s="38">
        <v>0</v>
      </c>
      <c r="AB334" s="42" t="s">
        <v>916</v>
      </c>
      <c r="AC334" s="43" t="s">
        <v>916</v>
      </c>
      <c r="AD334" s="43" t="s">
        <v>916</v>
      </c>
      <c r="AE334" s="33" t="s">
        <v>916</v>
      </c>
      <c r="AF334" s="35" t="s">
        <v>916</v>
      </c>
      <c r="AG334" s="44">
        <v>0</v>
      </c>
      <c r="AH334" s="42" t="s">
        <v>916</v>
      </c>
      <c r="AI334" s="32" t="e">
        <f>VLOOKUP(A334,'4月明細'!B:B,1,0)</f>
        <v>#N/A</v>
      </c>
    </row>
    <row r="335" spans="1:37" ht="19.95" customHeight="1" x14ac:dyDescent="0.3">
      <c r="A335" s="33" t="s">
        <v>675</v>
      </c>
      <c r="B335" s="34">
        <v>46107.301192129627</v>
      </c>
      <c r="C335" s="34" t="str">
        <f t="shared" si="18"/>
        <v>202603</v>
      </c>
      <c r="D335" s="35" t="s">
        <v>1217</v>
      </c>
      <c r="E335" s="36" t="s">
        <v>942</v>
      </c>
      <c r="F335" s="36" t="s">
        <v>1475</v>
      </c>
      <c r="G335" s="37" t="s">
        <v>1787</v>
      </c>
      <c r="H335" s="36" t="s">
        <v>913</v>
      </c>
      <c r="I335" s="35"/>
      <c r="J335" s="36" t="s">
        <v>945</v>
      </c>
      <c r="K335" s="33" t="s">
        <v>916</v>
      </c>
      <c r="L335" s="35" t="s">
        <v>916</v>
      </c>
      <c r="M335" s="36" t="s">
        <v>957</v>
      </c>
      <c r="N335" s="45">
        <v>46111.415972222225</v>
      </c>
      <c r="O335" s="36" t="s">
        <v>25</v>
      </c>
      <c r="P335" s="38">
        <v>4.1147800926000002</v>
      </c>
      <c r="Q335" s="39" t="s">
        <v>1788</v>
      </c>
      <c r="R335" s="35" t="s">
        <v>916</v>
      </c>
      <c r="S335" s="35"/>
      <c r="T335" s="35" t="s">
        <v>1624</v>
      </c>
      <c r="U335" s="40">
        <v>46108</v>
      </c>
      <c r="V335" s="41">
        <v>46153.532719907409</v>
      </c>
      <c r="W335" s="40">
        <v>46107</v>
      </c>
      <c r="X335" s="35" t="s">
        <v>916</v>
      </c>
      <c r="Y335" s="35" t="s">
        <v>916</v>
      </c>
      <c r="Z335" s="35" t="s">
        <v>916</v>
      </c>
      <c r="AA335" s="38">
        <v>98.754722222400005</v>
      </c>
      <c r="AB335" s="42" t="s">
        <v>916</v>
      </c>
      <c r="AC335" s="43" t="s">
        <v>916</v>
      </c>
      <c r="AD335" s="43" t="s">
        <v>916</v>
      </c>
      <c r="AE335" s="33" t="s">
        <v>916</v>
      </c>
      <c r="AF335" s="35" t="s">
        <v>916</v>
      </c>
      <c r="AG335" s="44">
        <v>0</v>
      </c>
      <c r="AH335" s="42" t="s">
        <v>916</v>
      </c>
      <c r="AI335" s="32" t="e">
        <f>VLOOKUP(A335,'4月明細'!B:B,1,0)</f>
        <v>#N/A</v>
      </c>
    </row>
    <row r="336" spans="1:37" ht="19.95" customHeight="1" x14ac:dyDescent="0.3">
      <c r="A336" s="33" t="s">
        <v>710</v>
      </c>
      <c r="B336" s="34">
        <v>46106.948877314811</v>
      </c>
      <c r="C336" s="34" t="str">
        <f t="shared" si="18"/>
        <v>202603</v>
      </c>
      <c r="D336" s="35" t="s">
        <v>1789</v>
      </c>
      <c r="E336" s="36" t="s">
        <v>942</v>
      </c>
      <c r="F336" s="36" t="s">
        <v>1475</v>
      </c>
      <c r="G336" s="37" t="s">
        <v>1790</v>
      </c>
      <c r="H336" s="36" t="s">
        <v>913</v>
      </c>
      <c r="I336" s="35"/>
      <c r="J336" s="36" t="s">
        <v>1058</v>
      </c>
      <c r="K336" s="33" t="s">
        <v>916</v>
      </c>
      <c r="L336" s="35" t="s">
        <v>916</v>
      </c>
      <c r="M336" s="36" t="s">
        <v>957</v>
      </c>
      <c r="N336" s="45">
        <v>46122.571527777778</v>
      </c>
      <c r="O336" s="36" t="s">
        <v>25</v>
      </c>
      <c r="P336" s="38">
        <v>15.622650462999999</v>
      </c>
      <c r="Q336" s="39" t="s">
        <v>1791</v>
      </c>
      <c r="R336" s="35" t="s">
        <v>916</v>
      </c>
      <c r="S336" s="35"/>
      <c r="T336" s="35" t="s">
        <v>1624</v>
      </c>
      <c r="U336" s="40">
        <v>46107</v>
      </c>
      <c r="V336" s="41">
        <v>46153.532719907409</v>
      </c>
      <c r="W336" s="40">
        <v>46107</v>
      </c>
      <c r="X336" s="35" t="s">
        <v>916</v>
      </c>
      <c r="Y336" s="35" t="s">
        <v>916</v>
      </c>
      <c r="Z336" s="35" t="s">
        <v>916</v>
      </c>
      <c r="AA336" s="38">
        <v>374.94361111199999</v>
      </c>
      <c r="AB336" s="42" t="s">
        <v>916</v>
      </c>
      <c r="AC336" s="43" t="s">
        <v>916</v>
      </c>
      <c r="AD336" s="43" t="s">
        <v>916</v>
      </c>
      <c r="AE336" s="33" t="s">
        <v>916</v>
      </c>
      <c r="AF336" s="35" t="s">
        <v>916</v>
      </c>
      <c r="AG336" s="44">
        <v>0</v>
      </c>
      <c r="AH336" s="42" t="s">
        <v>916</v>
      </c>
      <c r="AI336" s="32" t="str">
        <f>VLOOKUP(A336,'4月明細'!B:B,1,0)</f>
        <v>20260325-002</v>
      </c>
      <c r="AJ336" s="32">
        <f>VLOOKUP(A336,'4月明細'!B:I,8,0)</f>
        <v>15.62</v>
      </c>
      <c r="AK336" s="47">
        <f>AJ336-P336</f>
        <v>-2.6504630000001583E-3</v>
      </c>
    </row>
    <row r="337" spans="1:35" ht="19.95" customHeight="1" x14ac:dyDescent="0.3">
      <c r="A337" s="33" t="s">
        <v>674</v>
      </c>
      <c r="B337" s="34">
        <v>46106.263842592591</v>
      </c>
      <c r="C337" s="34" t="str">
        <f t="shared" si="18"/>
        <v>202603</v>
      </c>
      <c r="D337" s="35" t="s">
        <v>1217</v>
      </c>
      <c r="E337" s="36" t="s">
        <v>942</v>
      </c>
      <c r="F337" s="36" t="s">
        <v>1792</v>
      </c>
      <c r="G337" s="37" t="s">
        <v>977</v>
      </c>
      <c r="H337" s="36" t="s">
        <v>1114</v>
      </c>
      <c r="I337" s="35"/>
      <c r="J337" s="36" t="s">
        <v>945</v>
      </c>
      <c r="K337" s="33" t="s">
        <v>916</v>
      </c>
      <c r="L337" s="35" t="s">
        <v>916</v>
      </c>
      <c r="M337" s="36" t="s">
        <v>957</v>
      </c>
      <c r="N337" s="45">
        <v>46111.412499999999</v>
      </c>
      <c r="O337" s="36" t="s">
        <v>25</v>
      </c>
      <c r="P337" s="38">
        <v>5.1486574074</v>
      </c>
      <c r="Q337" s="39" t="s">
        <v>1793</v>
      </c>
      <c r="R337" s="35" t="s">
        <v>916</v>
      </c>
      <c r="S337" s="35"/>
      <c r="T337" s="35" t="s">
        <v>1624</v>
      </c>
      <c r="U337" s="40">
        <v>46107</v>
      </c>
      <c r="V337" s="41">
        <v>46153.532719907409</v>
      </c>
      <c r="W337" s="40">
        <v>46106</v>
      </c>
      <c r="X337" s="35" t="s">
        <v>916</v>
      </c>
      <c r="Y337" s="35" t="s">
        <v>916</v>
      </c>
      <c r="Z337" s="35" t="s">
        <v>916</v>
      </c>
      <c r="AA337" s="38">
        <v>123.5677777776</v>
      </c>
      <c r="AB337" s="42" t="s">
        <v>916</v>
      </c>
      <c r="AC337" s="43" t="s">
        <v>916</v>
      </c>
      <c r="AD337" s="43" t="s">
        <v>916</v>
      </c>
      <c r="AE337" s="33" t="s">
        <v>916</v>
      </c>
      <c r="AF337" s="35" t="s">
        <v>916</v>
      </c>
      <c r="AG337" s="44">
        <v>0</v>
      </c>
      <c r="AH337" s="42" t="s">
        <v>916</v>
      </c>
      <c r="AI337" s="32" t="e">
        <f>VLOOKUP(A337,'4月明細'!B:B,1,0)</f>
        <v>#N/A</v>
      </c>
    </row>
    <row r="338" spans="1:35" ht="19.95" customHeight="1" x14ac:dyDescent="0.3">
      <c r="A338" s="33" t="s">
        <v>673</v>
      </c>
      <c r="B338" s="34">
        <v>46105.66846064815</v>
      </c>
      <c r="C338" s="34" t="str">
        <f t="shared" si="18"/>
        <v>202603</v>
      </c>
      <c r="D338" s="35" t="s">
        <v>909</v>
      </c>
      <c r="E338" s="36" t="s">
        <v>910</v>
      </c>
      <c r="F338" s="36" t="s">
        <v>1220</v>
      </c>
      <c r="G338" s="37" t="s">
        <v>977</v>
      </c>
      <c r="H338" s="36" t="s">
        <v>1114</v>
      </c>
      <c r="I338" s="35"/>
      <c r="J338" s="36" t="s">
        <v>929</v>
      </c>
      <c r="K338" s="33" t="s">
        <v>916</v>
      </c>
      <c r="L338" s="35" t="s">
        <v>916</v>
      </c>
      <c r="M338" s="36" t="s">
        <v>957</v>
      </c>
      <c r="N338" s="45">
        <v>46105.705555555556</v>
      </c>
      <c r="O338" s="36" t="s">
        <v>25</v>
      </c>
      <c r="P338" s="38">
        <v>3.7094907400000002E-2</v>
      </c>
      <c r="Q338" s="39" t="s">
        <v>1794</v>
      </c>
      <c r="R338" s="35" t="s">
        <v>916</v>
      </c>
      <c r="S338" s="35"/>
      <c r="T338" s="35" t="s">
        <v>1624</v>
      </c>
      <c r="U338" s="40">
        <v>46106</v>
      </c>
      <c r="V338" s="41">
        <v>46153.532719907409</v>
      </c>
      <c r="W338" s="40">
        <v>46105</v>
      </c>
      <c r="X338" s="35" t="s">
        <v>916</v>
      </c>
      <c r="Y338" s="35" t="s">
        <v>916</v>
      </c>
      <c r="Z338" s="35" t="s">
        <v>916</v>
      </c>
      <c r="AA338" s="38">
        <v>0.89027777760000004</v>
      </c>
      <c r="AB338" s="42" t="s">
        <v>916</v>
      </c>
      <c r="AC338" s="43" t="s">
        <v>916</v>
      </c>
      <c r="AD338" s="43" t="s">
        <v>916</v>
      </c>
      <c r="AE338" s="33" t="s">
        <v>916</v>
      </c>
      <c r="AF338" s="35" t="s">
        <v>916</v>
      </c>
      <c r="AG338" s="44">
        <v>0</v>
      </c>
      <c r="AH338" s="42" t="s">
        <v>916</v>
      </c>
      <c r="AI338" s="32" t="e">
        <f>VLOOKUP(A338,'4月明細'!B:B,1,0)</f>
        <v>#N/A</v>
      </c>
    </row>
    <row r="339" spans="1:35" ht="19.95" customHeight="1" x14ac:dyDescent="0.3">
      <c r="A339" s="33" t="s">
        <v>1795</v>
      </c>
      <c r="B339" s="34">
        <v>46105.658043981479</v>
      </c>
      <c r="C339" s="34" t="str">
        <f t="shared" si="18"/>
        <v>202603</v>
      </c>
      <c r="D339" s="35" t="s">
        <v>996</v>
      </c>
      <c r="E339" s="36" t="s">
        <v>910</v>
      </c>
      <c r="F339" s="36" t="s">
        <v>964</v>
      </c>
      <c r="G339" s="37" t="s">
        <v>1796</v>
      </c>
      <c r="H339" s="36" t="s">
        <v>928</v>
      </c>
      <c r="I339" s="35"/>
      <c r="J339" s="36" t="s">
        <v>914</v>
      </c>
      <c r="K339" s="33" t="s">
        <v>916</v>
      </c>
      <c r="L339" s="35" t="s">
        <v>916</v>
      </c>
      <c r="M339" s="36" t="s">
        <v>957</v>
      </c>
      <c r="N339" s="45">
        <v>46105.705555555556</v>
      </c>
      <c r="O339" s="36" t="s">
        <v>1797</v>
      </c>
      <c r="P339" s="38">
        <v>4.7511574100000002E-2</v>
      </c>
      <c r="Q339" s="39" t="s">
        <v>1798</v>
      </c>
      <c r="R339" s="35" t="s">
        <v>916</v>
      </c>
      <c r="S339" s="35"/>
      <c r="T339" s="35" t="s">
        <v>1624</v>
      </c>
      <c r="U339" s="40">
        <v>46106</v>
      </c>
      <c r="V339" s="41">
        <v>46153.532719907409</v>
      </c>
      <c r="W339" s="40">
        <v>46105</v>
      </c>
      <c r="X339" s="35" t="s">
        <v>916</v>
      </c>
      <c r="Y339" s="35" t="s">
        <v>916</v>
      </c>
      <c r="Z339" s="35" t="s">
        <v>916</v>
      </c>
      <c r="AA339" s="38">
        <v>1.1402777784</v>
      </c>
      <c r="AB339" s="42" t="s">
        <v>916</v>
      </c>
      <c r="AC339" s="43" t="s">
        <v>916</v>
      </c>
      <c r="AD339" s="43" t="s">
        <v>916</v>
      </c>
      <c r="AE339" s="33" t="s">
        <v>916</v>
      </c>
      <c r="AF339" s="35" t="s">
        <v>916</v>
      </c>
      <c r="AG339" s="44">
        <v>0</v>
      </c>
      <c r="AH339" s="42" t="s">
        <v>916</v>
      </c>
      <c r="AI339" s="32" t="e">
        <f>VLOOKUP(A339,'4月明細'!B:B,1,0)</f>
        <v>#N/A</v>
      </c>
    </row>
    <row r="340" spans="1:35" ht="19.95" customHeight="1" x14ac:dyDescent="0.3">
      <c r="A340" s="33" t="s">
        <v>672</v>
      </c>
      <c r="B340" s="34">
        <v>46105.624745370369</v>
      </c>
      <c r="C340" s="34" t="str">
        <f t="shared" si="18"/>
        <v>202603</v>
      </c>
      <c r="D340" s="35" t="s">
        <v>909</v>
      </c>
      <c r="E340" s="36" t="s">
        <v>910</v>
      </c>
      <c r="F340" s="36" t="s">
        <v>1799</v>
      </c>
      <c r="G340" s="37" t="s">
        <v>1800</v>
      </c>
      <c r="H340" s="36" t="s">
        <v>1114</v>
      </c>
      <c r="I340" s="35" t="s">
        <v>1801</v>
      </c>
      <c r="J340" s="36" t="s">
        <v>914</v>
      </c>
      <c r="K340" s="33" t="s">
        <v>916</v>
      </c>
      <c r="L340" s="35" t="s">
        <v>916</v>
      </c>
      <c r="M340" s="36" t="s">
        <v>957</v>
      </c>
      <c r="N340" s="45">
        <v>46105.679861111108</v>
      </c>
      <c r="O340" s="36" t="s">
        <v>25</v>
      </c>
      <c r="P340" s="38">
        <v>5.5115740699999999E-2</v>
      </c>
      <c r="Q340" s="39" t="s">
        <v>1802</v>
      </c>
      <c r="R340" s="35" t="s">
        <v>916</v>
      </c>
      <c r="S340" s="35"/>
      <c r="T340" s="35" t="s">
        <v>1624</v>
      </c>
      <c r="U340" s="40">
        <v>46106</v>
      </c>
      <c r="V340" s="41">
        <v>46153.532719907409</v>
      </c>
      <c r="W340" s="40">
        <v>46105</v>
      </c>
      <c r="X340" s="35" t="s">
        <v>916</v>
      </c>
      <c r="Y340" s="35" t="s">
        <v>916</v>
      </c>
      <c r="Z340" s="35" t="s">
        <v>916</v>
      </c>
      <c r="AA340" s="38">
        <v>1.3227777768</v>
      </c>
      <c r="AB340" s="42" t="s">
        <v>916</v>
      </c>
      <c r="AC340" s="43" t="s">
        <v>916</v>
      </c>
      <c r="AD340" s="43" t="s">
        <v>916</v>
      </c>
      <c r="AE340" s="33" t="s">
        <v>916</v>
      </c>
      <c r="AF340" s="35" t="s">
        <v>916</v>
      </c>
      <c r="AG340" s="44">
        <v>0</v>
      </c>
      <c r="AH340" s="42" t="s">
        <v>916</v>
      </c>
      <c r="AI340" s="32" t="e">
        <f>VLOOKUP(A340,'4月明細'!B:B,1,0)</f>
        <v>#N/A</v>
      </c>
    </row>
    <row r="341" spans="1:35" ht="19.95" customHeight="1" x14ac:dyDescent="0.3">
      <c r="A341" s="33" t="s">
        <v>671</v>
      </c>
      <c r="B341" s="34">
        <v>46105.570706018516</v>
      </c>
      <c r="C341" s="34" t="str">
        <f t="shared" si="18"/>
        <v>202603</v>
      </c>
      <c r="D341" s="35" t="s">
        <v>909</v>
      </c>
      <c r="E341" s="36" t="s">
        <v>910</v>
      </c>
      <c r="F341" s="36" t="s">
        <v>972</v>
      </c>
      <c r="G341" s="37" t="s">
        <v>1803</v>
      </c>
      <c r="H341" s="36" t="s">
        <v>928</v>
      </c>
      <c r="I341" s="35"/>
      <c r="J341" s="36" t="s">
        <v>914</v>
      </c>
      <c r="K341" s="33" t="s">
        <v>916</v>
      </c>
      <c r="L341" s="35" t="s">
        <v>916</v>
      </c>
      <c r="M341" s="36" t="s">
        <v>957</v>
      </c>
      <c r="N341" s="45">
        <v>46105.706250000003</v>
      </c>
      <c r="O341" s="36" t="s">
        <v>25</v>
      </c>
      <c r="P341" s="38">
        <v>0.13554398149999999</v>
      </c>
      <c r="Q341" s="39" t="s">
        <v>1804</v>
      </c>
      <c r="R341" s="35" t="s">
        <v>916</v>
      </c>
      <c r="S341" s="35" t="s">
        <v>1805</v>
      </c>
      <c r="T341" s="35" t="s">
        <v>1624</v>
      </c>
      <c r="U341" s="40">
        <v>46106</v>
      </c>
      <c r="V341" s="41">
        <v>46153.532719907409</v>
      </c>
      <c r="W341" s="40">
        <v>46105</v>
      </c>
      <c r="X341" s="35" t="s">
        <v>916</v>
      </c>
      <c r="Y341" s="35" t="s">
        <v>916</v>
      </c>
      <c r="Z341" s="35" t="s">
        <v>916</v>
      </c>
      <c r="AA341" s="38">
        <v>3.2530555560000001</v>
      </c>
      <c r="AB341" s="42" t="s">
        <v>916</v>
      </c>
      <c r="AC341" s="43" t="s">
        <v>916</v>
      </c>
      <c r="AD341" s="43" t="s">
        <v>916</v>
      </c>
      <c r="AE341" s="33" t="s">
        <v>916</v>
      </c>
      <c r="AF341" s="35" t="s">
        <v>916</v>
      </c>
      <c r="AG341" s="44">
        <v>492880.95</v>
      </c>
      <c r="AH341" s="42" t="s">
        <v>916</v>
      </c>
      <c r="AI341" s="32" t="e">
        <f>VLOOKUP(A341,'4月明細'!B:B,1,0)</f>
        <v>#N/A</v>
      </c>
    </row>
    <row r="342" spans="1:35" ht="19.95" customHeight="1" x14ac:dyDescent="0.3">
      <c r="A342" s="33" t="s">
        <v>670</v>
      </c>
      <c r="B342" s="34">
        <v>46105.562638888892</v>
      </c>
      <c r="C342" s="34" t="str">
        <f t="shared" si="18"/>
        <v>202603</v>
      </c>
      <c r="D342" s="35" t="s">
        <v>996</v>
      </c>
      <c r="E342" s="36" t="s">
        <v>910</v>
      </c>
      <c r="F342" s="36" t="s">
        <v>1000</v>
      </c>
      <c r="G342" s="37" t="s">
        <v>1806</v>
      </c>
      <c r="H342" s="36" t="s">
        <v>928</v>
      </c>
      <c r="I342" s="35"/>
      <c r="J342" s="36" t="s">
        <v>914</v>
      </c>
      <c r="K342" s="33" t="s">
        <v>916</v>
      </c>
      <c r="L342" s="35" t="s">
        <v>916</v>
      </c>
      <c r="M342" s="36" t="s">
        <v>957</v>
      </c>
      <c r="N342" s="45">
        <v>46105.706250000003</v>
      </c>
      <c r="O342" s="36" t="s">
        <v>25</v>
      </c>
      <c r="P342" s="38">
        <v>0.14361111109999999</v>
      </c>
      <c r="Q342" s="39" t="s">
        <v>1807</v>
      </c>
      <c r="R342" s="35" t="s">
        <v>916</v>
      </c>
      <c r="S342" s="35"/>
      <c r="T342" s="35" t="s">
        <v>1624</v>
      </c>
      <c r="U342" s="40">
        <v>46106</v>
      </c>
      <c r="V342" s="41">
        <v>46153.532719907409</v>
      </c>
      <c r="W342" s="40">
        <v>46105</v>
      </c>
      <c r="X342" s="35" t="s">
        <v>916</v>
      </c>
      <c r="Y342" s="35" t="s">
        <v>916</v>
      </c>
      <c r="Z342" s="35" t="s">
        <v>916</v>
      </c>
      <c r="AA342" s="38">
        <v>3.4466666664000001</v>
      </c>
      <c r="AB342" s="42" t="s">
        <v>916</v>
      </c>
      <c r="AC342" s="43" t="s">
        <v>916</v>
      </c>
      <c r="AD342" s="43" t="s">
        <v>916</v>
      </c>
      <c r="AE342" s="33" t="s">
        <v>916</v>
      </c>
      <c r="AF342" s="35" t="s">
        <v>916</v>
      </c>
      <c r="AG342" s="44">
        <v>0</v>
      </c>
      <c r="AH342" s="42" t="s">
        <v>916</v>
      </c>
      <c r="AI342" s="32" t="e">
        <f>VLOOKUP(A342,'4月明細'!B:B,1,0)</f>
        <v>#N/A</v>
      </c>
    </row>
    <row r="343" spans="1:35" ht="19.95" customHeight="1" x14ac:dyDescent="0.3">
      <c r="A343" s="33" t="s">
        <v>669</v>
      </c>
      <c r="B343" s="34">
        <v>46105.557604166665</v>
      </c>
      <c r="C343" s="34" t="str">
        <f t="shared" si="18"/>
        <v>202603</v>
      </c>
      <c r="D343" s="35" t="s">
        <v>909</v>
      </c>
      <c r="E343" s="36" t="s">
        <v>910</v>
      </c>
      <c r="F343" s="36" t="s">
        <v>981</v>
      </c>
      <c r="G343" s="37" t="s">
        <v>1808</v>
      </c>
      <c r="H343" s="36" t="s">
        <v>913</v>
      </c>
      <c r="I343" s="35"/>
      <c r="J343" s="36" t="s">
        <v>929</v>
      </c>
      <c r="K343" s="33" t="s">
        <v>916</v>
      </c>
      <c r="L343" s="35" t="s">
        <v>916</v>
      </c>
      <c r="M343" s="36" t="s">
        <v>957</v>
      </c>
      <c r="N343" s="45">
        <v>46105.706944444442</v>
      </c>
      <c r="O343" s="36" t="s">
        <v>25</v>
      </c>
      <c r="P343" s="38">
        <v>0.1493402778</v>
      </c>
      <c r="Q343" s="39" t="s">
        <v>1809</v>
      </c>
      <c r="R343" s="35" t="s">
        <v>916</v>
      </c>
      <c r="S343" s="35"/>
      <c r="T343" s="35" t="s">
        <v>1624</v>
      </c>
      <c r="U343" s="40">
        <v>46106</v>
      </c>
      <c r="V343" s="41">
        <v>46153.532719907409</v>
      </c>
      <c r="W343" s="40">
        <v>46105</v>
      </c>
      <c r="X343" s="35" t="s">
        <v>916</v>
      </c>
      <c r="Y343" s="35" t="s">
        <v>916</v>
      </c>
      <c r="Z343" s="35" t="s">
        <v>916</v>
      </c>
      <c r="AA343" s="38">
        <v>3.5841666671999999</v>
      </c>
      <c r="AB343" s="42" t="s">
        <v>916</v>
      </c>
      <c r="AC343" s="43" t="s">
        <v>916</v>
      </c>
      <c r="AD343" s="43" t="s">
        <v>916</v>
      </c>
      <c r="AE343" s="33" t="s">
        <v>916</v>
      </c>
      <c r="AF343" s="35" t="s">
        <v>916</v>
      </c>
      <c r="AG343" s="44">
        <v>0</v>
      </c>
      <c r="AH343" s="42" t="s">
        <v>916</v>
      </c>
      <c r="AI343" s="32" t="e">
        <f>VLOOKUP(A343,'4月明細'!B:B,1,0)</f>
        <v>#N/A</v>
      </c>
    </row>
    <row r="344" spans="1:35" ht="19.95" customHeight="1" x14ac:dyDescent="0.3">
      <c r="A344" s="33" t="s">
        <v>668</v>
      </c>
      <c r="B344" s="34">
        <v>46105.547789351855</v>
      </c>
      <c r="C344" s="34" t="str">
        <f t="shared" si="18"/>
        <v>202603</v>
      </c>
      <c r="D344" s="35" t="s">
        <v>996</v>
      </c>
      <c r="E344" s="36" t="s">
        <v>910</v>
      </c>
      <c r="F344" s="36" t="s">
        <v>1581</v>
      </c>
      <c r="G344" s="37" t="s">
        <v>1806</v>
      </c>
      <c r="H344" s="36" t="s">
        <v>928</v>
      </c>
      <c r="I344" s="35"/>
      <c r="J344" s="36" t="s">
        <v>914</v>
      </c>
      <c r="K344" s="33" t="s">
        <v>916</v>
      </c>
      <c r="L344" s="35" t="s">
        <v>916</v>
      </c>
      <c r="M344" s="36" t="s">
        <v>957</v>
      </c>
      <c r="N344" s="45">
        <v>46105.706944444442</v>
      </c>
      <c r="O344" s="36" t="s">
        <v>25</v>
      </c>
      <c r="P344" s="38">
        <v>0.15915509259999999</v>
      </c>
      <c r="Q344" s="39" t="s">
        <v>1810</v>
      </c>
      <c r="R344" s="35" t="s">
        <v>916</v>
      </c>
      <c r="S344" s="35"/>
      <c r="T344" s="35" t="s">
        <v>1624</v>
      </c>
      <c r="U344" s="40">
        <v>46106</v>
      </c>
      <c r="V344" s="41">
        <v>46153.532719907409</v>
      </c>
      <c r="W344" s="40">
        <v>46105</v>
      </c>
      <c r="X344" s="35" t="s">
        <v>916</v>
      </c>
      <c r="Y344" s="35" t="s">
        <v>916</v>
      </c>
      <c r="Z344" s="35" t="s">
        <v>916</v>
      </c>
      <c r="AA344" s="38">
        <v>3.8197222223999998</v>
      </c>
      <c r="AB344" s="42" t="s">
        <v>916</v>
      </c>
      <c r="AC344" s="43" t="s">
        <v>916</v>
      </c>
      <c r="AD344" s="43" t="s">
        <v>916</v>
      </c>
      <c r="AE344" s="33" t="s">
        <v>916</v>
      </c>
      <c r="AF344" s="35" t="s">
        <v>916</v>
      </c>
      <c r="AG344" s="44">
        <v>0</v>
      </c>
      <c r="AH344" s="42" t="s">
        <v>916</v>
      </c>
      <c r="AI344" s="32" t="e">
        <f>VLOOKUP(A344,'4月明細'!B:B,1,0)</f>
        <v>#N/A</v>
      </c>
    </row>
    <row r="345" spans="1:35" ht="19.95" customHeight="1" x14ac:dyDescent="0.3">
      <c r="A345" s="33" t="s">
        <v>667</v>
      </c>
      <c r="B345" s="34">
        <v>46105.433125000003</v>
      </c>
      <c r="C345" s="34" t="str">
        <f t="shared" si="18"/>
        <v>202603</v>
      </c>
      <c r="D345" s="35" t="s">
        <v>909</v>
      </c>
      <c r="E345" s="36" t="s">
        <v>910</v>
      </c>
      <c r="F345" s="36" t="s">
        <v>1783</v>
      </c>
      <c r="G345" s="37" t="s">
        <v>1811</v>
      </c>
      <c r="H345" s="36" t="s">
        <v>928</v>
      </c>
      <c r="I345" s="35"/>
      <c r="J345" s="36" t="s">
        <v>929</v>
      </c>
      <c r="K345" s="33" t="s">
        <v>916</v>
      </c>
      <c r="L345" s="35" t="s">
        <v>916</v>
      </c>
      <c r="M345" s="36" t="s">
        <v>957</v>
      </c>
      <c r="N345" s="45">
        <v>46105.707638888889</v>
      </c>
      <c r="O345" s="36" t="s">
        <v>25</v>
      </c>
      <c r="P345" s="38">
        <v>0.2745138889</v>
      </c>
      <c r="Q345" s="39" t="s">
        <v>1812</v>
      </c>
      <c r="R345" s="35" t="s">
        <v>916</v>
      </c>
      <c r="S345" s="35"/>
      <c r="T345" s="35" t="s">
        <v>1624</v>
      </c>
      <c r="U345" s="40">
        <v>46106</v>
      </c>
      <c r="V345" s="41">
        <v>46153.532719907409</v>
      </c>
      <c r="W345" s="40">
        <v>46105</v>
      </c>
      <c r="X345" s="35" t="s">
        <v>916</v>
      </c>
      <c r="Y345" s="35" t="s">
        <v>916</v>
      </c>
      <c r="Z345" s="35" t="s">
        <v>916</v>
      </c>
      <c r="AA345" s="38">
        <v>6.5883333335999996</v>
      </c>
      <c r="AB345" s="42" t="s">
        <v>916</v>
      </c>
      <c r="AC345" s="43" t="s">
        <v>916</v>
      </c>
      <c r="AD345" s="43" t="s">
        <v>916</v>
      </c>
      <c r="AE345" s="33" t="s">
        <v>916</v>
      </c>
      <c r="AF345" s="35" t="s">
        <v>916</v>
      </c>
      <c r="AG345" s="44">
        <v>0</v>
      </c>
      <c r="AH345" s="42" t="s">
        <v>916</v>
      </c>
      <c r="AI345" s="32" t="e">
        <f>VLOOKUP(A345,'4月明細'!B:B,1,0)</f>
        <v>#N/A</v>
      </c>
    </row>
    <row r="346" spans="1:35" ht="19.95" customHeight="1" x14ac:dyDescent="0.3">
      <c r="A346" s="33" t="s">
        <v>1813</v>
      </c>
      <c r="B346" s="34">
        <v>46105.407638888886</v>
      </c>
      <c r="C346" s="34" t="str">
        <f t="shared" si="18"/>
        <v>202603</v>
      </c>
      <c r="D346" s="35" t="s">
        <v>1653</v>
      </c>
      <c r="E346" s="36" t="s">
        <v>934</v>
      </c>
      <c r="F346" s="36" t="s">
        <v>952</v>
      </c>
      <c r="G346" s="37" t="s">
        <v>1679</v>
      </c>
      <c r="H346" s="36" t="s">
        <v>1114</v>
      </c>
      <c r="I346" s="35" t="s">
        <v>1814</v>
      </c>
      <c r="J346" s="36" t="s">
        <v>929</v>
      </c>
      <c r="K346" s="33" t="s">
        <v>916</v>
      </c>
      <c r="L346" s="35" t="s">
        <v>916</v>
      </c>
      <c r="M346" s="36" t="s">
        <v>916</v>
      </c>
      <c r="N346" s="36" t="s">
        <v>916</v>
      </c>
      <c r="O346" s="36" t="s">
        <v>939</v>
      </c>
      <c r="P346" s="38" t="s">
        <v>916</v>
      </c>
      <c r="Q346" s="36" t="s">
        <v>916</v>
      </c>
      <c r="R346" s="35" t="s">
        <v>916</v>
      </c>
      <c r="S346" s="35"/>
      <c r="T346" s="35" t="s">
        <v>1624</v>
      </c>
      <c r="U346" s="40">
        <v>46106</v>
      </c>
      <c r="V346" s="41">
        <v>46153.532719907409</v>
      </c>
      <c r="W346" s="40">
        <v>46105</v>
      </c>
      <c r="X346" s="40">
        <v>46153</v>
      </c>
      <c r="Y346" s="35" t="s">
        <v>916</v>
      </c>
      <c r="Z346" s="35" t="s">
        <v>916</v>
      </c>
      <c r="AA346" s="38">
        <v>0</v>
      </c>
      <c r="AB346" s="42" t="s">
        <v>916</v>
      </c>
      <c r="AC346" s="43" t="s">
        <v>916</v>
      </c>
      <c r="AD346" s="43" t="s">
        <v>916</v>
      </c>
      <c r="AE346" s="33" t="s">
        <v>916</v>
      </c>
      <c r="AF346" s="35" t="s">
        <v>916</v>
      </c>
      <c r="AG346" s="44">
        <v>0</v>
      </c>
      <c r="AH346" s="42" t="s">
        <v>916</v>
      </c>
      <c r="AI346" s="32" t="e">
        <f>VLOOKUP(A346,'4月明細'!B:B,1,0)</f>
        <v>#N/A</v>
      </c>
    </row>
    <row r="347" spans="1:35" ht="19.95" customHeight="1" x14ac:dyDescent="0.3">
      <c r="A347" s="33" t="s">
        <v>1815</v>
      </c>
      <c r="B347" s="34">
        <v>46105.406944444447</v>
      </c>
      <c r="C347" s="34" t="str">
        <f t="shared" si="18"/>
        <v>202603</v>
      </c>
      <c r="D347" s="35" t="s">
        <v>1653</v>
      </c>
      <c r="E347" s="36" t="s">
        <v>934</v>
      </c>
      <c r="F347" s="36" t="s">
        <v>952</v>
      </c>
      <c r="G347" s="37" t="s">
        <v>1657</v>
      </c>
      <c r="H347" s="36" t="s">
        <v>928</v>
      </c>
      <c r="I347" s="35" t="s">
        <v>1816</v>
      </c>
      <c r="J347" s="36" t="s">
        <v>929</v>
      </c>
      <c r="K347" s="33" t="s">
        <v>916</v>
      </c>
      <c r="L347" s="35" t="s">
        <v>916</v>
      </c>
      <c r="M347" s="36" t="s">
        <v>916</v>
      </c>
      <c r="N347" s="36" t="s">
        <v>916</v>
      </c>
      <c r="O347" s="36" t="s">
        <v>939</v>
      </c>
      <c r="P347" s="38" t="s">
        <v>916</v>
      </c>
      <c r="Q347" s="36" t="s">
        <v>916</v>
      </c>
      <c r="R347" s="35" t="s">
        <v>916</v>
      </c>
      <c r="S347" s="35"/>
      <c r="T347" s="35" t="s">
        <v>1624</v>
      </c>
      <c r="U347" s="40">
        <v>46106</v>
      </c>
      <c r="V347" s="41">
        <v>46153.532719907409</v>
      </c>
      <c r="W347" s="40">
        <v>46105</v>
      </c>
      <c r="X347" s="40">
        <v>46153</v>
      </c>
      <c r="Y347" s="35" t="s">
        <v>916</v>
      </c>
      <c r="Z347" s="35" t="s">
        <v>916</v>
      </c>
      <c r="AA347" s="38">
        <v>0</v>
      </c>
      <c r="AB347" s="42" t="s">
        <v>916</v>
      </c>
      <c r="AC347" s="43" t="s">
        <v>916</v>
      </c>
      <c r="AD347" s="43" t="s">
        <v>916</v>
      </c>
      <c r="AE347" s="33" t="s">
        <v>916</v>
      </c>
      <c r="AF347" s="35" t="s">
        <v>916</v>
      </c>
      <c r="AG347" s="44">
        <v>0</v>
      </c>
      <c r="AH347" s="42" t="s">
        <v>916</v>
      </c>
      <c r="AI347" s="32" t="e">
        <f>VLOOKUP(A347,'4月明細'!B:B,1,0)</f>
        <v>#N/A</v>
      </c>
    </row>
    <row r="348" spans="1:35" ht="19.95" customHeight="1" x14ac:dyDescent="0.3">
      <c r="A348" s="33" t="s">
        <v>1817</v>
      </c>
      <c r="B348" s="34">
        <v>46105.401388888888</v>
      </c>
      <c r="C348" s="34" t="str">
        <f t="shared" si="18"/>
        <v>202603</v>
      </c>
      <c r="D348" s="35" t="s">
        <v>1653</v>
      </c>
      <c r="E348" s="36" t="s">
        <v>934</v>
      </c>
      <c r="F348" s="36" t="s">
        <v>1531</v>
      </c>
      <c r="G348" s="37" t="s">
        <v>1679</v>
      </c>
      <c r="H348" s="36" t="s">
        <v>1114</v>
      </c>
      <c r="I348" s="35" t="s">
        <v>1818</v>
      </c>
      <c r="J348" s="36" t="s">
        <v>929</v>
      </c>
      <c r="K348" s="33" t="s">
        <v>916</v>
      </c>
      <c r="L348" s="35" t="s">
        <v>916</v>
      </c>
      <c r="M348" s="36" t="s">
        <v>916</v>
      </c>
      <c r="N348" s="36" t="s">
        <v>916</v>
      </c>
      <c r="O348" s="36" t="s">
        <v>939</v>
      </c>
      <c r="P348" s="38" t="s">
        <v>916</v>
      </c>
      <c r="Q348" s="36" t="s">
        <v>916</v>
      </c>
      <c r="R348" s="35" t="s">
        <v>916</v>
      </c>
      <c r="S348" s="35"/>
      <c r="T348" s="35" t="s">
        <v>1624</v>
      </c>
      <c r="U348" s="40">
        <v>46106</v>
      </c>
      <c r="V348" s="41">
        <v>46153.532719907409</v>
      </c>
      <c r="W348" s="40">
        <v>46105</v>
      </c>
      <c r="X348" s="40">
        <v>46153</v>
      </c>
      <c r="Y348" s="35" t="s">
        <v>916</v>
      </c>
      <c r="Z348" s="35" t="s">
        <v>916</v>
      </c>
      <c r="AA348" s="38">
        <v>0</v>
      </c>
      <c r="AB348" s="42" t="s">
        <v>916</v>
      </c>
      <c r="AC348" s="43" t="s">
        <v>916</v>
      </c>
      <c r="AD348" s="43" t="s">
        <v>916</v>
      </c>
      <c r="AE348" s="33" t="s">
        <v>916</v>
      </c>
      <c r="AF348" s="35" t="s">
        <v>916</v>
      </c>
      <c r="AG348" s="44">
        <v>0</v>
      </c>
      <c r="AH348" s="42" t="s">
        <v>916</v>
      </c>
      <c r="AI348" s="32" t="e">
        <f>VLOOKUP(A348,'4月明細'!B:B,1,0)</f>
        <v>#N/A</v>
      </c>
    </row>
    <row r="349" spans="1:35" ht="19.95" customHeight="1" x14ac:dyDescent="0.3">
      <c r="A349" s="33" t="s">
        <v>1819</v>
      </c>
      <c r="B349" s="34">
        <v>46105.397916666669</v>
      </c>
      <c r="C349" s="34" t="str">
        <f t="shared" si="18"/>
        <v>202603</v>
      </c>
      <c r="D349" s="35" t="s">
        <v>1653</v>
      </c>
      <c r="E349" s="36" t="s">
        <v>934</v>
      </c>
      <c r="F349" s="36" t="s">
        <v>1621</v>
      </c>
      <c r="G349" s="37" t="s">
        <v>1679</v>
      </c>
      <c r="H349" s="36" t="s">
        <v>1114</v>
      </c>
      <c r="I349" s="35" t="s">
        <v>1820</v>
      </c>
      <c r="J349" s="36" t="s">
        <v>929</v>
      </c>
      <c r="K349" s="33" t="s">
        <v>916</v>
      </c>
      <c r="L349" s="35" t="s">
        <v>916</v>
      </c>
      <c r="M349" s="36" t="s">
        <v>916</v>
      </c>
      <c r="N349" s="36" t="s">
        <v>916</v>
      </c>
      <c r="O349" s="36" t="s">
        <v>939</v>
      </c>
      <c r="P349" s="38" t="s">
        <v>916</v>
      </c>
      <c r="Q349" s="36" t="s">
        <v>916</v>
      </c>
      <c r="R349" s="35" t="s">
        <v>916</v>
      </c>
      <c r="S349" s="35"/>
      <c r="T349" s="35" t="s">
        <v>1624</v>
      </c>
      <c r="U349" s="40">
        <v>46106</v>
      </c>
      <c r="V349" s="41">
        <v>46153.532719907409</v>
      </c>
      <c r="W349" s="40">
        <v>46105</v>
      </c>
      <c r="X349" s="40">
        <v>46153</v>
      </c>
      <c r="Y349" s="35" t="s">
        <v>916</v>
      </c>
      <c r="Z349" s="35" t="s">
        <v>916</v>
      </c>
      <c r="AA349" s="38">
        <v>0</v>
      </c>
      <c r="AB349" s="42" t="s">
        <v>916</v>
      </c>
      <c r="AC349" s="43" t="s">
        <v>916</v>
      </c>
      <c r="AD349" s="43" t="s">
        <v>916</v>
      </c>
      <c r="AE349" s="33" t="s">
        <v>916</v>
      </c>
      <c r="AF349" s="35" t="s">
        <v>916</v>
      </c>
      <c r="AG349" s="44">
        <v>0</v>
      </c>
      <c r="AH349" s="42" t="s">
        <v>916</v>
      </c>
      <c r="AI349" s="32" t="e">
        <f>VLOOKUP(A349,'4月明細'!B:B,1,0)</f>
        <v>#N/A</v>
      </c>
    </row>
    <row r="350" spans="1:35" ht="19.95" customHeight="1" x14ac:dyDescent="0.3">
      <c r="A350" s="33" t="s">
        <v>1821</v>
      </c>
      <c r="B350" s="34">
        <v>46105.396527777775</v>
      </c>
      <c r="C350" s="34" t="str">
        <f t="shared" si="18"/>
        <v>202603</v>
      </c>
      <c r="D350" s="35" t="s">
        <v>1653</v>
      </c>
      <c r="E350" s="36" t="s">
        <v>934</v>
      </c>
      <c r="F350" s="36" t="s">
        <v>1621</v>
      </c>
      <c r="G350" s="37" t="s">
        <v>1657</v>
      </c>
      <c r="H350" s="36" t="s">
        <v>928</v>
      </c>
      <c r="I350" s="35" t="s">
        <v>1822</v>
      </c>
      <c r="J350" s="36" t="s">
        <v>929</v>
      </c>
      <c r="K350" s="33" t="s">
        <v>916</v>
      </c>
      <c r="L350" s="35" t="s">
        <v>916</v>
      </c>
      <c r="M350" s="36" t="s">
        <v>916</v>
      </c>
      <c r="N350" s="36" t="s">
        <v>916</v>
      </c>
      <c r="O350" s="36" t="s">
        <v>939</v>
      </c>
      <c r="P350" s="38" t="s">
        <v>916</v>
      </c>
      <c r="Q350" s="36" t="s">
        <v>916</v>
      </c>
      <c r="R350" s="35" t="s">
        <v>916</v>
      </c>
      <c r="S350" s="35"/>
      <c r="T350" s="35" t="s">
        <v>1624</v>
      </c>
      <c r="U350" s="40">
        <v>46106</v>
      </c>
      <c r="V350" s="41">
        <v>46153.532719907409</v>
      </c>
      <c r="W350" s="40">
        <v>46105</v>
      </c>
      <c r="X350" s="40">
        <v>46153</v>
      </c>
      <c r="Y350" s="35" t="s">
        <v>916</v>
      </c>
      <c r="Z350" s="35" t="s">
        <v>916</v>
      </c>
      <c r="AA350" s="38">
        <v>0</v>
      </c>
      <c r="AB350" s="42" t="s">
        <v>916</v>
      </c>
      <c r="AC350" s="43" t="s">
        <v>916</v>
      </c>
      <c r="AD350" s="43" t="s">
        <v>916</v>
      </c>
      <c r="AE350" s="33" t="s">
        <v>916</v>
      </c>
      <c r="AF350" s="35" t="s">
        <v>916</v>
      </c>
      <c r="AG350" s="44">
        <v>0</v>
      </c>
      <c r="AH350" s="42" t="s">
        <v>916</v>
      </c>
      <c r="AI350" s="32" t="e">
        <f>VLOOKUP(A350,'4月明細'!B:B,1,0)</f>
        <v>#N/A</v>
      </c>
    </row>
    <row r="351" spans="1:35" ht="19.95" customHeight="1" x14ac:dyDescent="0.3">
      <c r="A351" s="33" t="s">
        <v>1823</v>
      </c>
      <c r="B351" s="34">
        <v>46105.394444444442</v>
      </c>
      <c r="C351" s="34" t="str">
        <f t="shared" si="18"/>
        <v>202603</v>
      </c>
      <c r="D351" s="35" t="s">
        <v>1653</v>
      </c>
      <c r="E351" s="36" t="s">
        <v>934</v>
      </c>
      <c r="F351" s="36" t="s">
        <v>964</v>
      </c>
      <c r="G351" s="37" t="s">
        <v>1679</v>
      </c>
      <c r="H351" s="36" t="s">
        <v>1114</v>
      </c>
      <c r="I351" s="35" t="s">
        <v>1824</v>
      </c>
      <c r="J351" s="36" t="s">
        <v>929</v>
      </c>
      <c r="K351" s="33" t="s">
        <v>916</v>
      </c>
      <c r="L351" s="35" t="s">
        <v>916</v>
      </c>
      <c r="M351" s="36" t="s">
        <v>916</v>
      </c>
      <c r="N351" s="36" t="s">
        <v>916</v>
      </c>
      <c r="O351" s="36" t="s">
        <v>939</v>
      </c>
      <c r="P351" s="38" t="s">
        <v>916</v>
      </c>
      <c r="Q351" s="36" t="s">
        <v>916</v>
      </c>
      <c r="R351" s="35" t="s">
        <v>916</v>
      </c>
      <c r="S351" s="35"/>
      <c r="T351" s="35" t="s">
        <v>1624</v>
      </c>
      <c r="U351" s="40">
        <v>46106</v>
      </c>
      <c r="V351" s="41">
        <v>46153.532719907409</v>
      </c>
      <c r="W351" s="40">
        <v>46105</v>
      </c>
      <c r="X351" s="40">
        <v>46153</v>
      </c>
      <c r="Y351" s="35" t="s">
        <v>916</v>
      </c>
      <c r="Z351" s="35" t="s">
        <v>916</v>
      </c>
      <c r="AA351" s="38">
        <v>0</v>
      </c>
      <c r="AB351" s="42" t="s">
        <v>916</v>
      </c>
      <c r="AC351" s="43" t="s">
        <v>916</v>
      </c>
      <c r="AD351" s="43" t="s">
        <v>916</v>
      </c>
      <c r="AE351" s="33" t="s">
        <v>916</v>
      </c>
      <c r="AF351" s="35" t="s">
        <v>916</v>
      </c>
      <c r="AG351" s="44">
        <v>0</v>
      </c>
      <c r="AH351" s="42" t="s">
        <v>916</v>
      </c>
      <c r="AI351" s="32" t="e">
        <f>VLOOKUP(A351,'4月明細'!B:B,1,0)</f>
        <v>#N/A</v>
      </c>
    </row>
    <row r="352" spans="1:35" ht="19.95" customHeight="1" x14ac:dyDescent="0.3">
      <c r="A352" s="33" t="s">
        <v>1825</v>
      </c>
      <c r="B352" s="34">
        <v>46105.390972222223</v>
      </c>
      <c r="C352" s="34" t="str">
        <f t="shared" si="18"/>
        <v>202603</v>
      </c>
      <c r="D352" s="35" t="s">
        <v>1653</v>
      </c>
      <c r="E352" s="36" t="s">
        <v>934</v>
      </c>
      <c r="F352" s="36" t="s">
        <v>1381</v>
      </c>
      <c r="G352" s="37" t="s">
        <v>1657</v>
      </c>
      <c r="H352" s="36" t="s">
        <v>928</v>
      </c>
      <c r="I352" s="35" t="s">
        <v>1826</v>
      </c>
      <c r="J352" s="36" t="s">
        <v>929</v>
      </c>
      <c r="K352" s="33" t="s">
        <v>916</v>
      </c>
      <c r="L352" s="35" t="s">
        <v>916</v>
      </c>
      <c r="M352" s="36" t="s">
        <v>916</v>
      </c>
      <c r="N352" s="36" t="s">
        <v>916</v>
      </c>
      <c r="O352" s="36" t="s">
        <v>939</v>
      </c>
      <c r="P352" s="38" t="s">
        <v>916</v>
      </c>
      <c r="Q352" s="36" t="s">
        <v>916</v>
      </c>
      <c r="R352" s="35" t="s">
        <v>916</v>
      </c>
      <c r="S352" s="35"/>
      <c r="T352" s="35" t="s">
        <v>1624</v>
      </c>
      <c r="U352" s="40">
        <v>46106</v>
      </c>
      <c r="V352" s="41">
        <v>46153.532719907409</v>
      </c>
      <c r="W352" s="40">
        <v>46105</v>
      </c>
      <c r="X352" s="40">
        <v>46153</v>
      </c>
      <c r="Y352" s="35" t="s">
        <v>916</v>
      </c>
      <c r="Z352" s="35" t="s">
        <v>916</v>
      </c>
      <c r="AA352" s="38">
        <v>0</v>
      </c>
      <c r="AB352" s="42" t="s">
        <v>916</v>
      </c>
      <c r="AC352" s="43" t="s">
        <v>916</v>
      </c>
      <c r="AD352" s="43" t="s">
        <v>916</v>
      </c>
      <c r="AE352" s="33" t="s">
        <v>916</v>
      </c>
      <c r="AF352" s="35" t="s">
        <v>916</v>
      </c>
      <c r="AG352" s="44">
        <v>0</v>
      </c>
      <c r="AH352" s="42" t="s">
        <v>916</v>
      </c>
      <c r="AI352" s="32" t="e">
        <f>VLOOKUP(A352,'4月明細'!B:B,1,0)</f>
        <v>#N/A</v>
      </c>
    </row>
    <row r="353" spans="1:35" ht="19.95" customHeight="1" x14ac:dyDescent="0.3">
      <c r="A353" s="33" t="s">
        <v>1827</v>
      </c>
      <c r="B353" s="34">
        <v>46105.386805555558</v>
      </c>
      <c r="C353" s="34" t="str">
        <f t="shared" si="18"/>
        <v>202603</v>
      </c>
      <c r="D353" s="35" t="s">
        <v>1653</v>
      </c>
      <c r="E353" s="36" t="s">
        <v>934</v>
      </c>
      <c r="F353" s="36" t="s">
        <v>1350</v>
      </c>
      <c r="G353" s="37" t="s">
        <v>1679</v>
      </c>
      <c r="H353" s="36" t="s">
        <v>1114</v>
      </c>
      <c r="I353" s="35" t="s">
        <v>1828</v>
      </c>
      <c r="J353" s="36" t="s">
        <v>929</v>
      </c>
      <c r="K353" s="33" t="s">
        <v>916</v>
      </c>
      <c r="L353" s="35" t="s">
        <v>916</v>
      </c>
      <c r="M353" s="36" t="s">
        <v>916</v>
      </c>
      <c r="N353" s="36" t="s">
        <v>916</v>
      </c>
      <c r="O353" s="36" t="s">
        <v>939</v>
      </c>
      <c r="P353" s="38" t="s">
        <v>916</v>
      </c>
      <c r="Q353" s="36" t="s">
        <v>916</v>
      </c>
      <c r="R353" s="35" t="s">
        <v>916</v>
      </c>
      <c r="S353" s="35"/>
      <c r="T353" s="35" t="s">
        <v>1624</v>
      </c>
      <c r="U353" s="40">
        <v>46106</v>
      </c>
      <c r="V353" s="41">
        <v>46153.532719907409</v>
      </c>
      <c r="W353" s="40">
        <v>46105</v>
      </c>
      <c r="X353" s="40">
        <v>46153</v>
      </c>
      <c r="Y353" s="35" t="s">
        <v>916</v>
      </c>
      <c r="Z353" s="35" t="s">
        <v>916</v>
      </c>
      <c r="AA353" s="38">
        <v>0</v>
      </c>
      <c r="AB353" s="42" t="s">
        <v>916</v>
      </c>
      <c r="AC353" s="43" t="s">
        <v>916</v>
      </c>
      <c r="AD353" s="43" t="s">
        <v>916</v>
      </c>
      <c r="AE353" s="33" t="s">
        <v>916</v>
      </c>
      <c r="AF353" s="35" t="s">
        <v>916</v>
      </c>
      <c r="AG353" s="44">
        <v>0</v>
      </c>
      <c r="AH353" s="42" t="s">
        <v>916</v>
      </c>
      <c r="AI353" s="32" t="e">
        <f>VLOOKUP(A353,'4月明細'!B:B,1,0)</f>
        <v>#N/A</v>
      </c>
    </row>
    <row r="354" spans="1:35" ht="19.95" customHeight="1" x14ac:dyDescent="0.3">
      <c r="A354" s="33" t="s">
        <v>666</v>
      </c>
      <c r="B354" s="34">
        <v>46104.850266203706</v>
      </c>
      <c r="C354" s="34" t="str">
        <f t="shared" si="18"/>
        <v>202603</v>
      </c>
      <c r="D354" s="35" t="s">
        <v>1829</v>
      </c>
      <c r="E354" s="36" t="s">
        <v>942</v>
      </c>
      <c r="F354" s="36" t="s">
        <v>1830</v>
      </c>
      <c r="G354" s="37" t="s">
        <v>1831</v>
      </c>
      <c r="H354" s="36" t="s">
        <v>954</v>
      </c>
      <c r="I354" s="35"/>
      <c r="J354" s="36" t="s">
        <v>945</v>
      </c>
      <c r="K354" s="33" t="s">
        <v>916</v>
      </c>
      <c r="L354" s="35" t="s">
        <v>916</v>
      </c>
      <c r="M354" s="36" t="s">
        <v>1039</v>
      </c>
      <c r="N354" s="45">
        <v>46105.707638888889</v>
      </c>
      <c r="O354" s="36" t="s">
        <v>25</v>
      </c>
      <c r="P354" s="38">
        <v>0.85737268519999998</v>
      </c>
      <c r="Q354" s="39" t="s">
        <v>1832</v>
      </c>
      <c r="R354" s="35" t="s">
        <v>916</v>
      </c>
      <c r="S354" s="35"/>
      <c r="T354" s="35" t="s">
        <v>1624</v>
      </c>
      <c r="U354" s="40">
        <v>46105</v>
      </c>
      <c r="V354" s="41">
        <v>46153.532719907409</v>
      </c>
      <c r="W354" s="40">
        <v>46105</v>
      </c>
      <c r="X354" s="35" t="s">
        <v>916</v>
      </c>
      <c r="Y354" s="35" t="s">
        <v>916</v>
      </c>
      <c r="Z354" s="35" t="s">
        <v>916</v>
      </c>
      <c r="AA354" s="38">
        <v>20.576944444799999</v>
      </c>
      <c r="AB354" s="42" t="s">
        <v>916</v>
      </c>
      <c r="AC354" s="43" t="s">
        <v>916</v>
      </c>
      <c r="AD354" s="43" t="s">
        <v>916</v>
      </c>
      <c r="AE354" s="33" t="s">
        <v>916</v>
      </c>
      <c r="AF354" s="35" t="s">
        <v>916</v>
      </c>
      <c r="AG354" s="44">
        <v>0</v>
      </c>
      <c r="AH354" s="42" t="s">
        <v>916</v>
      </c>
      <c r="AI354" s="32" t="e">
        <f>VLOOKUP(A354,'4月明細'!B:B,1,0)</f>
        <v>#N/A</v>
      </c>
    </row>
    <row r="355" spans="1:35" ht="19.95" customHeight="1" x14ac:dyDescent="0.3">
      <c r="A355" s="33" t="s">
        <v>665</v>
      </c>
      <c r="B355" s="34">
        <v>46104.661898148152</v>
      </c>
      <c r="C355" s="34" t="str">
        <f t="shared" si="18"/>
        <v>202603</v>
      </c>
      <c r="D355" s="35" t="s">
        <v>909</v>
      </c>
      <c r="E355" s="36" t="s">
        <v>910</v>
      </c>
      <c r="F355" s="36" t="s">
        <v>1833</v>
      </c>
      <c r="G355" s="37" t="s">
        <v>1834</v>
      </c>
      <c r="H355" s="36" t="s">
        <v>928</v>
      </c>
      <c r="I355" s="35" t="s">
        <v>1835</v>
      </c>
      <c r="J355" s="36" t="s">
        <v>929</v>
      </c>
      <c r="K355" s="33" t="s">
        <v>916</v>
      </c>
      <c r="L355" s="35" t="s">
        <v>916</v>
      </c>
      <c r="M355" s="36" t="s">
        <v>1039</v>
      </c>
      <c r="N355" s="45">
        <v>46105.708333333336</v>
      </c>
      <c r="O355" s="36" t="s">
        <v>25</v>
      </c>
      <c r="P355" s="38">
        <v>1.0464351852</v>
      </c>
      <c r="Q355" s="39" t="s">
        <v>1836</v>
      </c>
      <c r="R355" s="35" t="s">
        <v>916</v>
      </c>
      <c r="S355" s="35" t="s">
        <v>1837</v>
      </c>
      <c r="T355" s="35" t="s">
        <v>1624</v>
      </c>
      <c r="U355" s="40">
        <v>46105</v>
      </c>
      <c r="V355" s="41">
        <v>46153.532719907409</v>
      </c>
      <c r="W355" s="40">
        <v>46104</v>
      </c>
      <c r="X355" s="35" t="s">
        <v>916</v>
      </c>
      <c r="Y355" s="35" t="s">
        <v>916</v>
      </c>
      <c r="Z355" s="35" t="s">
        <v>916</v>
      </c>
      <c r="AA355" s="38">
        <v>25.1144444448</v>
      </c>
      <c r="AB355" s="42" t="s">
        <v>916</v>
      </c>
      <c r="AC355" s="43" t="s">
        <v>916</v>
      </c>
      <c r="AD355" s="43" t="s">
        <v>916</v>
      </c>
      <c r="AE355" s="33" t="s">
        <v>916</v>
      </c>
      <c r="AF355" s="35" t="s">
        <v>916</v>
      </c>
      <c r="AG355" s="44">
        <v>0</v>
      </c>
      <c r="AH355" s="42" t="s">
        <v>916</v>
      </c>
      <c r="AI355" s="32" t="e">
        <f>VLOOKUP(A355,'4月明細'!B:B,1,0)</f>
        <v>#N/A</v>
      </c>
    </row>
    <row r="356" spans="1:35" ht="19.95" customHeight="1" x14ac:dyDescent="0.3">
      <c r="A356" s="33" t="s">
        <v>664</v>
      </c>
      <c r="B356" s="34">
        <v>46104.660196759258</v>
      </c>
      <c r="C356" s="34" t="str">
        <f t="shared" si="18"/>
        <v>202603</v>
      </c>
      <c r="D356" s="35" t="s">
        <v>1597</v>
      </c>
      <c r="E356" s="36" t="s">
        <v>942</v>
      </c>
      <c r="F356" s="36" t="s">
        <v>1150</v>
      </c>
      <c r="G356" s="37" t="s">
        <v>1838</v>
      </c>
      <c r="H356" s="36" t="s">
        <v>913</v>
      </c>
      <c r="I356" s="35"/>
      <c r="J356" s="36" t="s">
        <v>938</v>
      </c>
      <c r="K356" s="33" t="s">
        <v>916</v>
      </c>
      <c r="L356" s="35" t="s">
        <v>916</v>
      </c>
      <c r="M356" s="36" t="s">
        <v>1039</v>
      </c>
      <c r="N356" s="45">
        <v>46105.708333333336</v>
      </c>
      <c r="O356" s="36" t="s">
        <v>25</v>
      </c>
      <c r="P356" s="38">
        <v>1.0481365740999999</v>
      </c>
      <c r="Q356" s="39" t="s">
        <v>1839</v>
      </c>
      <c r="R356" s="35" t="s">
        <v>916</v>
      </c>
      <c r="S356" s="35"/>
      <c r="T356" s="35" t="s">
        <v>1624</v>
      </c>
      <c r="U356" s="40">
        <v>46105</v>
      </c>
      <c r="V356" s="41">
        <v>46153.532719907409</v>
      </c>
      <c r="W356" s="40">
        <v>46104</v>
      </c>
      <c r="X356" s="35" t="s">
        <v>916</v>
      </c>
      <c r="Y356" s="35" t="s">
        <v>916</v>
      </c>
      <c r="Z356" s="35" t="s">
        <v>916</v>
      </c>
      <c r="AA356" s="38">
        <v>25.155277778399999</v>
      </c>
      <c r="AB356" s="42" t="s">
        <v>916</v>
      </c>
      <c r="AC356" s="43" t="s">
        <v>916</v>
      </c>
      <c r="AD356" s="43" t="s">
        <v>916</v>
      </c>
      <c r="AE356" s="33" t="s">
        <v>916</v>
      </c>
      <c r="AF356" s="35" t="s">
        <v>916</v>
      </c>
      <c r="AG356" s="44">
        <v>0</v>
      </c>
      <c r="AH356" s="42" t="s">
        <v>916</v>
      </c>
      <c r="AI356" s="32" t="e">
        <f>VLOOKUP(A356,'4月明細'!B:B,1,0)</f>
        <v>#N/A</v>
      </c>
    </row>
    <row r="357" spans="1:35" ht="19.95" customHeight="1" x14ac:dyDescent="0.3">
      <c r="A357" s="33" t="s">
        <v>663</v>
      </c>
      <c r="B357" s="34">
        <v>46104.504479166666</v>
      </c>
      <c r="C357" s="34" t="str">
        <f t="shared" si="18"/>
        <v>202603</v>
      </c>
      <c r="D357" s="35" t="s">
        <v>1840</v>
      </c>
      <c r="E357" s="36" t="s">
        <v>942</v>
      </c>
      <c r="F357" s="36" t="s">
        <v>1344</v>
      </c>
      <c r="G357" s="37" t="s">
        <v>1841</v>
      </c>
      <c r="H357" s="36" t="s">
        <v>1078</v>
      </c>
      <c r="I357" s="35"/>
      <c r="J357" s="36" t="s">
        <v>945</v>
      </c>
      <c r="K357" s="33" t="s">
        <v>916</v>
      </c>
      <c r="L357" s="35" t="s">
        <v>916</v>
      </c>
      <c r="M357" s="36" t="s">
        <v>957</v>
      </c>
      <c r="N357" s="45">
        <v>46104.595138888886</v>
      </c>
      <c r="O357" s="36" t="s">
        <v>25</v>
      </c>
      <c r="P357" s="38">
        <v>9.0659722200000001E-2</v>
      </c>
      <c r="Q357" s="39" t="s">
        <v>1842</v>
      </c>
      <c r="R357" s="35" t="s">
        <v>916</v>
      </c>
      <c r="S357" s="35"/>
      <c r="T357" s="35" t="s">
        <v>1624</v>
      </c>
      <c r="U357" s="40">
        <v>46105</v>
      </c>
      <c r="V357" s="41">
        <v>46153.532719907409</v>
      </c>
      <c r="W357" s="40">
        <v>46104</v>
      </c>
      <c r="X357" s="35" t="s">
        <v>916</v>
      </c>
      <c r="Y357" s="35" t="s">
        <v>916</v>
      </c>
      <c r="Z357" s="35" t="s">
        <v>916</v>
      </c>
      <c r="AA357" s="38">
        <v>2.1758333327999999</v>
      </c>
      <c r="AB357" s="42" t="s">
        <v>916</v>
      </c>
      <c r="AC357" s="43" t="s">
        <v>916</v>
      </c>
      <c r="AD357" s="43" t="s">
        <v>916</v>
      </c>
      <c r="AE357" s="33" t="s">
        <v>916</v>
      </c>
      <c r="AF357" s="35" t="s">
        <v>916</v>
      </c>
      <c r="AG357" s="44">
        <v>0</v>
      </c>
      <c r="AH357" s="42" t="s">
        <v>916</v>
      </c>
      <c r="AI357" s="32" t="e">
        <f>VLOOKUP(A357,'4月明細'!B:B,1,0)</f>
        <v>#N/A</v>
      </c>
    </row>
    <row r="358" spans="1:35" ht="19.95" customHeight="1" x14ac:dyDescent="0.3">
      <c r="A358" s="33" t="s">
        <v>662</v>
      </c>
      <c r="B358" s="34">
        <v>46104.500902777778</v>
      </c>
      <c r="C358" s="34" t="str">
        <f t="shared" si="18"/>
        <v>202603</v>
      </c>
      <c r="D358" s="35" t="s">
        <v>996</v>
      </c>
      <c r="E358" s="36" t="s">
        <v>910</v>
      </c>
      <c r="F358" s="36" t="s">
        <v>1183</v>
      </c>
      <c r="G358" s="37" t="s">
        <v>1096</v>
      </c>
      <c r="H358" s="36" t="s">
        <v>928</v>
      </c>
      <c r="I358" s="35"/>
      <c r="J358" s="36" t="s">
        <v>914</v>
      </c>
      <c r="K358" s="33" t="s">
        <v>916</v>
      </c>
      <c r="L358" s="35" t="s">
        <v>916</v>
      </c>
      <c r="M358" s="36" t="s">
        <v>957</v>
      </c>
      <c r="N358" s="45">
        <v>46104.595138888886</v>
      </c>
      <c r="O358" s="36" t="s">
        <v>25</v>
      </c>
      <c r="P358" s="38">
        <v>9.4236111100000006E-2</v>
      </c>
      <c r="Q358" s="39" t="s">
        <v>1843</v>
      </c>
      <c r="R358" s="35" t="s">
        <v>916</v>
      </c>
      <c r="S358" s="35"/>
      <c r="T358" s="35" t="s">
        <v>1624</v>
      </c>
      <c r="U358" s="40">
        <v>46105</v>
      </c>
      <c r="V358" s="41">
        <v>46153.532719907409</v>
      </c>
      <c r="W358" s="40">
        <v>46104</v>
      </c>
      <c r="X358" s="35" t="s">
        <v>916</v>
      </c>
      <c r="Y358" s="35" t="s">
        <v>916</v>
      </c>
      <c r="Z358" s="35" t="s">
        <v>916</v>
      </c>
      <c r="AA358" s="38">
        <v>2.2616666664</v>
      </c>
      <c r="AB358" s="42" t="s">
        <v>916</v>
      </c>
      <c r="AC358" s="43" t="s">
        <v>916</v>
      </c>
      <c r="AD358" s="43" t="s">
        <v>916</v>
      </c>
      <c r="AE358" s="33" t="s">
        <v>916</v>
      </c>
      <c r="AF358" s="35" t="s">
        <v>916</v>
      </c>
      <c r="AG358" s="44">
        <v>0</v>
      </c>
      <c r="AH358" s="42" t="s">
        <v>916</v>
      </c>
      <c r="AI358" s="32" t="e">
        <f>VLOOKUP(A358,'4月明細'!B:B,1,0)</f>
        <v>#N/A</v>
      </c>
    </row>
    <row r="359" spans="1:35" ht="19.95" customHeight="1" x14ac:dyDescent="0.3">
      <c r="A359" s="33" t="s">
        <v>661</v>
      </c>
      <c r="B359" s="34">
        <v>46104.483414351853</v>
      </c>
      <c r="C359" s="34" t="str">
        <f t="shared" si="18"/>
        <v>202603</v>
      </c>
      <c r="D359" s="35" t="s">
        <v>909</v>
      </c>
      <c r="E359" s="36" t="s">
        <v>910</v>
      </c>
      <c r="F359" s="36" t="s">
        <v>1718</v>
      </c>
      <c r="G359" s="37" t="s">
        <v>1844</v>
      </c>
      <c r="H359" s="36" t="s">
        <v>928</v>
      </c>
      <c r="I359" s="35" t="s">
        <v>1845</v>
      </c>
      <c r="J359" s="36" t="s">
        <v>929</v>
      </c>
      <c r="K359" s="33" t="s">
        <v>916</v>
      </c>
      <c r="L359" s="35" t="s">
        <v>916</v>
      </c>
      <c r="M359" s="36" t="s">
        <v>957</v>
      </c>
      <c r="N359" s="45">
        <v>46105.709027777775</v>
      </c>
      <c r="O359" s="36" t="s">
        <v>25</v>
      </c>
      <c r="P359" s="38">
        <v>1.2256134259</v>
      </c>
      <c r="Q359" s="39" t="s">
        <v>1846</v>
      </c>
      <c r="R359" s="35" t="s">
        <v>916</v>
      </c>
      <c r="S359" s="35"/>
      <c r="T359" s="35" t="s">
        <v>1624</v>
      </c>
      <c r="U359" s="40">
        <v>46105</v>
      </c>
      <c r="V359" s="41">
        <v>46153.532719907409</v>
      </c>
      <c r="W359" s="40">
        <v>46104</v>
      </c>
      <c r="X359" s="35" t="s">
        <v>916</v>
      </c>
      <c r="Y359" s="35" t="s">
        <v>916</v>
      </c>
      <c r="Z359" s="35" t="s">
        <v>916</v>
      </c>
      <c r="AA359" s="38">
        <v>29.414722221600002</v>
      </c>
      <c r="AB359" s="42" t="s">
        <v>916</v>
      </c>
      <c r="AC359" s="43" t="s">
        <v>916</v>
      </c>
      <c r="AD359" s="43" t="s">
        <v>916</v>
      </c>
      <c r="AE359" s="33" t="s">
        <v>916</v>
      </c>
      <c r="AF359" s="35" t="s">
        <v>916</v>
      </c>
      <c r="AG359" s="44">
        <v>0</v>
      </c>
      <c r="AH359" s="42" t="s">
        <v>916</v>
      </c>
      <c r="AI359" s="32" t="e">
        <f>VLOOKUP(A359,'4月明細'!B:B,1,0)</f>
        <v>#N/A</v>
      </c>
    </row>
    <row r="360" spans="1:35" ht="19.95" customHeight="1" x14ac:dyDescent="0.3">
      <c r="A360" s="33" t="s">
        <v>1847</v>
      </c>
      <c r="B360" s="34">
        <v>46104.430625000001</v>
      </c>
      <c r="C360" s="34" t="str">
        <f t="shared" si="18"/>
        <v>202603</v>
      </c>
      <c r="D360" s="35" t="s">
        <v>996</v>
      </c>
      <c r="E360" s="36" t="s">
        <v>910</v>
      </c>
      <c r="F360" s="36" t="s">
        <v>1260</v>
      </c>
      <c r="G360" s="37" t="s">
        <v>1848</v>
      </c>
      <c r="H360" s="36" t="s">
        <v>928</v>
      </c>
      <c r="I360" s="35"/>
      <c r="J360" s="36" t="s">
        <v>914</v>
      </c>
      <c r="K360" s="33" t="s">
        <v>916</v>
      </c>
      <c r="L360" s="35" t="s">
        <v>916</v>
      </c>
      <c r="M360" s="36" t="s">
        <v>957</v>
      </c>
      <c r="N360" s="45">
        <v>46105.71597222222</v>
      </c>
      <c r="O360" s="36" t="s">
        <v>1384</v>
      </c>
      <c r="P360" s="38">
        <v>1.2853472222</v>
      </c>
      <c r="Q360" s="39" t="s">
        <v>1849</v>
      </c>
      <c r="R360" s="35" t="s">
        <v>916</v>
      </c>
      <c r="S360" s="35"/>
      <c r="T360" s="35" t="s">
        <v>1624</v>
      </c>
      <c r="U360" s="40">
        <v>46105</v>
      </c>
      <c r="V360" s="41">
        <v>46153.532719907409</v>
      </c>
      <c r="W360" s="40">
        <v>46104</v>
      </c>
      <c r="X360" s="35" t="s">
        <v>916</v>
      </c>
      <c r="Y360" s="35" t="s">
        <v>916</v>
      </c>
      <c r="Z360" s="35" t="s">
        <v>916</v>
      </c>
      <c r="AA360" s="38">
        <v>30.848333332799999</v>
      </c>
      <c r="AB360" s="42" t="s">
        <v>916</v>
      </c>
      <c r="AC360" s="43" t="s">
        <v>916</v>
      </c>
      <c r="AD360" s="43" t="s">
        <v>916</v>
      </c>
      <c r="AE360" s="33" t="s">
        <v>916</v>
      </c>
      <c r="AF360" s="35" t="s">
        <v>916</v>
      </c>
      <c r="AG360" s="44">
        <v>0</v>
      </c>
      <c r="AH360" s="42" t="s">
        <v>916</v>
      </c>
      <c r="AI360" s="32" t="e">
        <f>VLOOKUP(A360,'4月明細'!B:B,1,0)</f>
        <v>#N/A</v>
      </c>
    </row>
    <row r="361" spans="1:35" ht="19.95" customHeight="1" x14ac:dyDescent="0.3">
      <c r="A361" s="33" t="s">
        <v>660</v>
      </c>
      <c r="B361" s="34">
        <v>46104.428310185183</v>
      </c>
      <c r="C361" s="34" t="str">
        <f t="shared" si="18"/>
        <v>202603</v>
      </c>
      <c r="D361" s="35" t="s">
        <v>996</v>
      </c>
      <c r="E361" s="36" t="s">
        <v>910</v>
      </c>
      <c r="F361" s="36" t="s">
        <v>1260</v>
      </c>
      <c r="G361" s="37" t="s">
        <v>1472</v>
      </c>
      <c r="H361" s="36" t="s">
        <v>954</v>
      </c>
      <c r="I361" s="35"/>
      <c r="J361" s="36" t="s">
        <v>914</v>
      </c>
      <c r="K361" s="33" t="s">
        <v>916</v>
      </c>
      <c r="L361" s="35" t="s">
        <v>916</v>
      </c>
      <c r="M361" s="36" t="s">
        <v>957</v>
      </c>
      <c r="N361" s="45">
        <v>46104.597222222219</v>
      </c>
      <c r="O361" s="36" t="s">
        <v>25</v>
      </c>
      <c r="P361" s="38">
        <v>0.16891203699999999</v>
      </c>
      <c r="Q361" s="39" t="s">
        <v>1850</v>
      </c>
      <c r="R361" s="35" t="s">
        <v>916</v>
      </c>
      <c r="S361" s="35" t="s">
        <v>1851</v>
      </c>
      <c r="T361" s="35" t="s">
        <v>1624</v>
      </c>
      <c r="U361" s="40">
        <v>46105</v>
      </c>
      <c r="V361" s="41">
        <v>46153.532719907409</v>
      </c>
      <c r="W361" s="40">
        <v>46104</v>
      </c>
      <c r="X361" s="35" t="s">
        <v>916</v>
      </c>
      <c r="Y361" s="35" t="s">
        <v>916</v>
      </c>
      <c r="Z361" s="35" t="s">
        <v>916</v>
      </c>
      <c r="AA361" s="38">
        <v>4.0538888880000004</v>
      </c>
      <c r="AB361" s="42" t="s">
        <v>916</v>
      </c>
      <c r="AC361" s="43" t="s">
        <v>916</v>
      </c>
      <c r="AD361" s="43" t="s">
        <v>916</v>
      </c>
      <c r="AE361" s="33" t="s">
        <v>916</v>
      </c>
      <c r="AF361" s="35" t="s">
        <v>916</v>
      </c>
      <c r="AG361" s="44">
        <v>0</v>
      </c>
      <c r="AH361" s="42" t="s">
        <v>916</v>
      </c>
      <c r="AI361" s="32" t="e">
        <f>VLOOKUP(A361,'4月明細'!B:B,1,0)</f>
        <v>#N/A</v>
      </c>
    </row>
    <row r="362" spans="1:35" ht="19.95" customHeight="1" x14ac:dyDescent="0.3">
      <c r="A362" s="33" t="s">
        <v>659</v>
      </c>
      <c r="B362" s="34">
        <v>46104.421469907407</v>
      </c>
      <c r="C362" s="34" t="str">
        <f t="shared" si="18"/>
        <v>202603</v>
      </c>
      <c r="D362" s="35" t="s">
        <v>909</v>
      </c>
      <c r="E362" s="36" t="s">
        <v>910</v>
      </c>
      <c r="F362" s="36" t="s">
        <v>952</v>
      </c>
      <c r="G362" s="37" t="s">
        <v>1728</v>
      </c>
      <c r="H362" s="36" t="s">
        <v>928</v>
      </c>
      <c r="I362" s="35"/>
      <c r="J362" s="36" t="s">
        <v>914</v>
      </c>
      <c r="K362" s="33" t="s">
        <v>916</v>
      </c>
      <c r="L362" s="35" t="s">
        <v>916</v>
      </c>
      <c r="M362" s="36" t="s">
        <v>957</v>
      </c>
      <c r="N362" s="45">
        <v>46104.597916666666</v>
      </c>
      <c r="O362" s="36" t="s">
        <v>25</v>
      </c>
      <c r="P362" s="38">
        <v>0.17644675930000001</v>
      </c>
      <c r="Q362" s="39" t="s">
        <v>1852</v>
      </c>
      <c r="R362" s="35" t="s">
        <v>916</v>
      </c>
      <c r="S362" s="35"/>
      <c r="T362" s="35" t="s">
        <v>1624</v>
      </c>
      <c r="U362" s="40">
        <v>46105</v>
      </c>
      <c r="V362" s="41">
        <v>46153.532719907409</v>
      </c>
      <c r="W362" s="40">
        <v>46104</v>
      </c>
      <c r="X362" s="35" t="s">
        <v>916</v>
      </c>
      <c r="Y362" s="35" t="s">
        <v>916</v>
      </c>
      <c r="Z362" s="35" t="s">
        <v>916</v>
      </c>
      <c r="AA362" s="38">
        <v>4.2347222232000004</v>
      </c>
      <c r="AB362" s="42" t="s">
        <v>916</v>
      </c>
      <c r="AC362" s="43" t="s">
        <v>916</v>
      </c>
      <c r="AD362" s="43" t="s">
        <v>916</v>
      </c>
      <c r="AE362" s="33" t="s">
        <v>916</v>
      </c>
      <c r="AF362" s="35" t="s">
        <v>916</v>
      </c>
      <c r="AG362" s="44">
        <v>0</v>
      </c>
      <c r="AH362" s="42" t="s">
        <v>916</v>
      </c>
      <c r="AI362" s="32" t="e">
        <f>VLOOKUP(A362,'4月明細'!B:B,1,0)</f>
        <v>#N/A</v>
      </c>
    </row>
    <row r="363" spans="1:35" ht="19.95" customHeight="1" x14ac:dyDescent="0.3">
      <c r="A363" s="33" t="s">
        <v>658</v>
      </c>
      <c r="B363" s="34">
        <v>46104.391712962963</v>
      </c>
      <c r="C363" s="34" t="str">
        <f t="shared" si="18"/>
        <v>202603</v>
      </c>
      <c r="D363" s="35" t="s">
        <v>951</v>
      </c>
      <c r="E363" s="36" t="s">
        <v>910</v>
      </c>
      <c r="F363" s="36" t="s">
        <v>1765</v>
      </c>
      <c r="G363" s="37" t="s">
        <v>1853</v>
      </c>
      <c r="H363" s="36" t="s">
        <v>928</v>
      </c>
      <c r="I363" s="35"/>
      <c r="J363" s="36" t="s">
        <v>929</v>
      </c>
      <c r="K363" s="33" t="s">
        <v>916</v>
      </c>
      <c r="L363" s="35" t="s">
        <v>916</v>
      </c>
      <c r="M363" s="36" t="s">
        <v>957</v>
      </c>
      <c r="N363" s="45">
        <v>46104.597916666666</v>
      </c>
      <c r="O363" s="36" t="s">
        <v>25</v>
      </c>
      <c r="P363" s="38">
        <v>0.20620370369999999</v>
      </c>
      <c r="Q363" s="39" t="s">
        <v>1854</v>
      </c>
      <c r="R363" s="35" t="s">
        <v>916</v>
      </c>
      <c r="S363" s="35" t="s">
        <v>1855</v>
      </c>
      <c r="T363" s="35" t="s">
        <v>1624</v>
      </c>
      <c r="U363" s="40">
        <v>46105</v>
      </c>
      <c r="V363" s="41">
        <v>46153.532719907409</v>
      </c>
      <c r="W363" s="40">
        <v>46104</v>
      </c>
      <c r="X363" s="35" t="s">
        <v>916</v>
      </c>
      <c r="Y363" s="35" t="s">
        <v>916</v>
      </c>
      <c r="Z363" s="35" t="s">
        <v>916</v>
      </c>
      <c r="AA363" s="38">
        <v>4.9488888888</v>
      </c>
      <c r="AB363" s="42" t="s">
        <v>916</v>
      </c>
      <c r="AC363" s="43" t="s">
        <v>916</v>
      </c>
      <c r="AD363" s="43" t="s">
        <v>916</v>
      </c>
      <c r="AE363" s="33" t="s">
        <v>916</v>
      </c>
      <c r="AF363" s="35" t="s">
        <v>916</v>
      </c>
      <c r="AG363" s="44">
        <v>0</v>
      </c>
      <c r="AH363" s="42" t="s">
        <v>916</v>
      </c>
      <c r="AI363" s="32" t="e">
        <f>VLOOKUP(A363,'4月明細'!B:B,1,0)</f>
        <v>#N/A</v>
      </c>
    </row>
    <row r="364" spans="1:35" ht="19.95" customHeight="1" x14ac:dyDescent="0.3">
      <c r="A364" s="33" t="s">
        <v>657</v>
      </c>
      <c r="B364" s="34">
        <v>46104.379421296297</v>
      </c>
      <c r="C364" s="34" t="str">
        <f t="shared" si="18"/>
        <v>202603</v>
      </c>
      <c r="D364" s="35" t="s">
        <v>1856</v>
      </c>
      <c r="E364" s="36" t="s">
        <v>942</v>
      </c>
      <c r="F364" s="36" t="s">
        <v>981</v>
      </c>
      <c r="G364" s="37" t="s">
        <v>1857</v>
      </c>
      <c r="H364" s="36" t="s">
        <v>913</v>
      </c>
      <c r="I364" s="35"/>
      <c r="J364" s="36" t="s">
        <v>945</v>
      </c>
      <c r="K364" s="33" t="s">
        <v>916</v>
      </c>
      <c r="L364" s="35" t="s">
        <v>916</v>
      </c>
      <c r="M364" s="36" t="s">
        <v>957</v>
      </c>
      <c r="N364" s="45">
        <v>46104.592361111114</v>
      </c>
      <c r="O364" s="36" t="s">
        <v>25</v>
      </c>
      <c r="P364" s="38">
        <v>0.21293981479999999</v>
      </c>
      <c r="Q364" s="39" t="s">
        <v>1858</v>
      </c>
      <c r="R364" s="35" t="s">
        <v>916</v>
      </c>
      <c r="S364" s="35"/>
      <c r="T364" s="35" t="s">
        <v>1624</v>
      </c>
      <c r="U364" s="40">
        <v>46105</v>
      </c>
      <c r="V364" s="41">
        <v>46153.532719907409</v>
      </c>
      <c r="W364" s="40">
        <v>46104</v>
      </c>
      <c r="X364" s="35" t="s">
        <v>916</v>
      </c>
      <c r="Y364" s="35" t="s">
        <v>916</v>
      </c>
      <c r="Z364" s="35" t="s">
        <v>916</v>
      </c>
      <c r="AA364" s="38">
        <v>5.1105555552000004</v>
      </c>
      <c r="AB364" s="42" t="s">
        <v>916</v>
      </c>
      <c r="AC364" s="43" t="s">
        <v>916</v>
      </c>
      <c r="AD364" s="43" t="s">
        <v>916</v>
      </c>
      <c r="AE364" s="33" t="s">
        <v>916</v>
      </c>
      <c r="AF364" s="35" t="s">
        <v>916</v>
      </c>
      <c r="AG364" s="44">
        <v>0</v>
      </c>
      <c r="AH364" s="42" t="s">
        <v>916</v>
      </c>
      <c r="AI364" s="32" t="e">
        <f>VLOOKUP(A364,'4月明細'!B:B,1,0)</f>
        <v>#N/A</v>
      </c>
    </row>
    <row r="365" spans="1:35" ht="19.95" customHeight="1" x14ac:dyDescent="0.3">
      <c r="A365" s="33" t="s">
        <v>1859</v>
      </c>
      <c r="B365" s="34">
        <v>46103.775543981479</v>
      </c>
      <c r="C365" s="34" t="str">
        <f t="shared" si="18"/>
        <v>202603</v>
      </c>
      <c r="D365" s="35" t="s">
        <v>1856</v>
      </c>
      <c r="E365" s="36" t="s">
        <v>1112</v>
      </c>
      <c r="F365" s="36" t="s">
        <v>1860</v>
      </c>
      <c r="G365" s="37" t="s">
        <v>1861</v>
      </c>
      <c r="H365" s="36" t="s">
        <v>913</v>
      </c>
      <c r="I365" s="35"/>
      <c r="J365" s="36" t="s">
        <v>938</v>
      </c>
      <c r="K365" s="33" t="s">
        <v>916</v>
      </c>
      <c r="L365" s="35" t="s">
        <v>916</v>
      </c>
      <c r="M365" s="36" t="s">
        <v>923</v>
      </c>
      <c r="N365" s="45">
        <v>46103.879861111112</v>
      </c>
      <c r="O365" s="36" t="s">
        <v>918</v>
      </c>
      <c r="P365" s="38">
        <v>0.1043171296</v>
      </c>
      <c r="Q365" s="39" t="s">
        <v>1739</v>
      </c>
      <c r="R365" s="35" t="s">
        <v>916</v>
      </c>
      <c r="S365" s="35"/>
      <c r="T365" s="35" t="s">
        <v>1624</v>
      </c>
      <c r="U365" s="40">
        <v>46104</v>
      </c>
      <c r="V365" s="41">
        <v>46153.532719907409</v>
      </c>
      <c r="W365" s="40">
        <v>46103</v>
      </c>
      <c r="X365" s="35" t="s">
        <v>916</v>
      </c>
      <c r="Y365" s="35" t="s">
        <v>916</v>
      </c>
      <c r="Z365" s="35" t="s">
        <v>916</v>
      </c>
      <c r="AA365" s="38">
        <v>2.5036111104000001</v>
      </c>
      <c r="AB365" s="42" t="s">
        <v>916</v>
      </c>
      <c r="AC365" s="43" t="s">
        <v>916</v>
      </c>
      <c r="AD365" s="43" t="s">
        <v>916</v>
      </c>
      <c r="AE365" s="33" t="s">
        <v>916</v>
      </c>
      <c r="AF365" s="35" t="s">
        <v>916</v>
      </c>
      <c r="AG365" s="44">
        <v>0</v>
      </c>
      <c r="AH365" s="42" t="s">
        <v>916</v>
      </c>
      <c r="AI365" s="32" t="e">
        <f>VLOOKUP(A365,'4月明細'!B:B,1,0)</f>
        <v>#N/A</v>
      </c>
    </row>
    <row r="366" spans="1:35" ht="19.95" customHeight="1" x14ac:dyDescent="0.3">
      <c r="A366" s="33" t="s">
        <v>656</v>
      </c>
      <c r="B366" s="34">
        <v>46103.774895833332</v>
      </c>
      <c r="C366" s="34" t="str">
        <f t="shared" si="18"/>
        <v>202603</v>
      </c>
      <c r="D366" s="35" t="s">
        <v>1856</v>
      </c>
      <c r="E366" s="36" t="s">
        <v>1112</v>
      </c>
      <c r="F366" s="36" t="s">
        <v>1862</v>
      </c>
      <c r="G366" s="37" t="s">
        <v>1863</v>
      </c>
      <c r="H366" s="36" t="s">
        <v>1023</v>
      </c>
      <c r="I366" s="35"/>
      <c r="J366" s="36" t="s">
        <v>938</v>
      </c>
      <c r="K366" s="33" t="s">
        <v>916</v>
      </c>
      <c r="L366" s="35" t="s">
        <v>916</v>
      </c>
      <c r="M366" s="36" t="s">
        <v>923</v>
      </c>
      <c r="N366" s="45">
        <v>46103.879861111112</v>
      </c>
      <c r="O366" s="36" t="s">
        <v>25</v>
      </c>
      <c r="P366" s="38">
        <v>0.10496527780000001</v>
      </c>
      <c r="Q366" s="39" t="s">
        <v>1071</v>
      </c>
      <c r="R366" s="35" t="s">
        <v>916</v>
      </c>
      <c r="S366" s="35"/>
      <c r="T366" s="35" t="s">
        <v>1624</v>
      </c>
      <c r="U366" s="40">
        <v>46104</v>
      </c>
      <c r="V366" s="41">
        <v>46153.532719907409</v>
      </c>
      <c r="W366" s="40">
        <v>46103</v>
      </c>
      <c r="X366" s="35" t="s">
        <v>916</v>
      </c>
      <c r="Y366" s="35" t="s">
        <v>916</v>
      </c>
      <c r="Z366" s="35" t="s">
        <v>916</v>
      </c>
      <c r="AA366" s="38">
        <v>2.5191666671999999</v>
      </c>
      <c r="AB366" s="42" t="s">
        <v>916</v>
      </c>
      <c r="AC366" s="43" t="s">
        <v>916</v>
      </c>
      <c r="AD366" s="43" t="s">
        <v>916</v>
      </c>
      <c r="AE366" s="33" t="s">
        <v>916</v>
      </c>
      <c r="AF366" s="35" t="s">
        <v>916</v>
      </c>
      <c r="AG366" s="44">
        <v>0</v>
      </c>
      <c r="AH366" s="42" t="s">
        <v>916</v>
      </c>
      <c r="AI366" s="32" t="e">
        <f>VLOOKUP(A366,'4月明細'!B:B,1,0)</f>
        <v>#N/A</v>
      </c>
    </row>
    <row r="367" spans="1:35" ht="19.95" customHeight="1" x14ac:dyDescent="0.3">
      <c r="A367" s="33" t="s">
        <v>655</v>
      </c>
      <c r="B367" s="34">
        <v>46103.678854166668</v>
      </c>
      <c r="C367" s="34" t="str">
        <f t="shared" si="18"/>
        <v>202603</v>
      </c>
      <c r="D367" s="35" t="s">
        <v>996</v>
      </c>
      <c r="E367" s="36" t="s">
        <v>910</v>
      </c>
      <c r="F367" s="36" t="s">
        <v>1229</v>
      </c>
      <c r="G367" s="37" t="s">
        <v>1864</v>
      </c>
      <c r="H367" s="36" t="s">
        <v>928</v>
      </c>
      <c r="I367" s="35"/>
      <c r="J367" s="36" t="s">
        <v>1058</v>
      </c>
      <c r="K367" s="33" t="s">
        <v>916</v>
      </c>
      <c r="L367" s="35" t="s">
        <v>916</v>
      </c>
      <c r="M367" s="36" t="s">
        <v>923</v>
      </c>
      <c r="N367" s="45">
        <v>46103.880555555559</v>
      </c>
      <c r="O367" s="36" t="s">
        <v>25</v>
      </c>
      <c r="P367" s="38">
        <v>0.2017013889</v>
      </c>
      <c r="Q367" s="39" t="s">
        <v>958</v>
      </c>
      <c r="R367" s="35" t="s">
        <v>916</v>
      </c>
      <c r="S367" s="35"/>
      <c r="T367" s="35" t="s">
        <v>1624</v>
      </c>
      <c r="U367" s="40">
        <v>46104</v>
      </c>
      <c r="V367" s="41">
        <v>46153.532719907409</v>
      </c>
      <c r="W367" s="40">
        <v>46103</v>
      </c>
      <c r="X367" s="35" t="s">
        <v>916</v>
      </c>
      <c r="Y367" s="35" t="s">
        <v>916</v>
      </c>
      <c r="Z367" s="35" t="s">
        <v>916</v>
      </c>
      <c r="AA367" s="38">
        <v>4.8408333336</v>
      </c>
      <c r="AB367" s="42" t="s">
        <v>916</v>
      </c>
      <c r="AC367" s="43" t="s">
        <v>916</v>
      </c>
      <c r="AD367" s="43" t="s">
        <v>916</v>
      </c>
      <c r="AE367" s="33" t="s">
        <v>916</v>
      </c>
      <c r="AF367" s="35" t="s">
        <v>916</v>
      </c>
      <c r="AG367" s="44">
        <v>0</v>
      </c>
      <c r="AH367" s="42" t="s">
        <v>916</v>
      </c>
      <c r="AI367" s="32" t="e">
        <f>VLOOKUP(A367,'4月明細'!B:B,1,0)</f>
        <v>#N/A</v>
      </c>
    </row>
    <row r="368" spans="1:35" ht="19.95" customHeight="1" x14ac:dyDescent="0.3">
      <c r="A368" s="33" t="s">
        <v>654</v>
      </c>
      <c r="B368" s="34">
        <v>46103.654733796298</v>
      </c>
      <c r="C368" s="34" t="str">
        <f t="shared" si="18"/>
        <v>202603</v>
      </c>
      <c r="D368" s="35" t="s">
        <v>996</v>
      </c>
      <c r="E368" s="36" t="s">
        <v>910</v>
      </c>
      <c r="F368" s="36" t="s">
        <v>1068</v>
      </c>
      <c r="G368" s="37" t="s">
        <v>1865</v>
      </c>
      <c r="H368" s="36" t="s">
        <v>928</v>
      </c>
      <c r="I368" s="35"/>
      <c r="J368" s="36" t="s">
        <v>1058</v>
      </c>
      <c r="K368" s="33" t="s">
        <v>916</v>
      </c>
      <c r="L368" s="35" t="s">
        <v>916</v>
      </c>
      <c r="M368" s="36" t="s">
        <v>923</v>
      </c>
      <c r="N368" s="45">
        <v>46103.676388888889</v>
      </c>
      <c r="O368" s="36" t="s">
        <v>25</v>
      </c>
      <c r="P368" s="38">
        <v>2.1655092599999998E-2</v>
      </c>
      <c r="Q368" s="39" t="s">
        <v>1008</v>
      </c>
      <c r="R368" s="35" t="s">
        <v>916</v>
      </c>
      <c r="S368" s="35"/>
      <c r="T368" s="35" t="s">
        <v>1624</v>
      </c>
      <c r="U368" s="40">
        <v>46104</v>
      </c>
      <c r="V368" s="41">
        <v>46153.532719907409</v>
      </c>
      <c r="W368" s="40">
        <v>46103</v>
      </c>
      <c r="X368" s="35" t="s">
        <v>916</v>
      </c>
      <c r="Y368" s="35" t="s">
        <v>916</v>
      </c>
      <c r="Z368" s="35" t="s">
        <v>916</v>
      </c>
      <c r="AA368" s="38">
        <v>0.51972222239999999</v>
      </c>
      <c r="AB368" s="42" t="s">
        <v>916</v>
      </c>
      <c r="AC368" s="43" t="s">
        <v>916</v>
      </c>
      <c r="AD368" s="43" t="s">
        <v>916</v>
      </c>
      <c r="AE368" s="33" t="s">
        <v>916</v>
      </c>
      <c r="AF368" s="35" t="s">
        <v>916</v>
      </c>
      <c r="AG368" s="44">
        <v>0</v>
      </c>
      <c r="AH368" s="42" t="s">
        <v>916</v>
      </c>
      <c r="AI368" s="32" t="e">
        <f>VLOOKUP(A368,'4月明細'!B:B,1,0)</f>
        <v>#N/A</v>
      </c>
    </row>
    <row r="369" spans="1:37" ht="19.95" customHeight="1" x14ac:dyDescent="0.3">
      <c r="A369" s="33" t="s">
        <v>653</v>
      </c>
      <c r="B369" s="34">
        <v>46103.653391203705</v>
      </c>
      <c r="C369" s="34" t="str">
        <f t="shared" si="18"/>
        <v>202603</v>
      </c>
      <c r="D369" s="35" t="s">
        <v>996</v>
      </c>
      <c r="E369" s="36" t="s">
        <v>910</v>
      </c>
      <c r="F369" s="36" t="s">
        <v>1068</v>
      </c>
      <c r="G369" s="37" t="s">
        <v>1866</v>
      </c>
      <c r="H369" s="36" t="s">
        <v>928</v>
      </c>
      <c r="I369" s="35"/>
      <c r="J369" s="36" t="s">
        <v>1058</v>
      </c>
      <c r="K369" s="33" t="s">
        <v>916</v>
      </c>
      <c r="L369" s="35" t="s">
        <v>916</v>
      </c>
      <c r="M369" s="36" t="s">
        <v>923</v>
      </c>
      <c r="N369" s="45">
        <v>46103.677083333336</v>
      </c>
      <c r="O369" s="36" t="s">
        <v>25</v>
      </c>
      <c r="P369" s="38">
        <v>2.36921296E-2</v>
      </c>
      <c r="Q369" s="39" t="s">
        <v>1739</v>
      </c>
      <c r="R369" s="35" t="s">
        <v>916</v>
      </c>
      <c r="S369" s="35"/>
      <c r="T369" s="35" t="s">
        <v>1624</v>
      </c>
      <c r="U369" s="40">
        <v>46104</v>
      </c>
      <c r="V369" s="41">
        <v>46153.532719907409</v>
      </c>
      <c r="W369" s="40">
        <v>46103</v>
      </c>
      <c r="X369" s="35" t="s">
        <v>916</v>
      </c>
      <c r="Y369" s="35" t="s">
        <v>916</v>
      </c>
      <c r="Z369" s="35" t="s">
        <v>916</v>
      </c>
      <c r="AA369" s="38">
        <v>0.56861111040000001</v>
      </c>
      <c r="AB369" s="42" t="s">
        <v>916</v>
      </c>
      <c r="AC369" s="43" t="s">
        <v>916</v>
      </c>
      <c r="AD369" s="43" t="s">
        <v>916</v>
      </c>
      <c r="AE369" s="33" t="s">
        <v>916</v>
      </c>
      <c r="AF369" s="35" t="s">
        <v>916</v>
      </c>
      <c r="AG369" s="44">
        <v>0</v>
      </c>
      <c r="AH369" s="42" t="s">
        <v>916</v>
      </c>
      <c r="AI369" s="32" t="e">
        <f>VLOOKUP(A369,'4月明細'!B:B,1,0)</f>
        <v>#N/A</v>
      </c>
    </row>
    <row r="370" spans="1:37" ht="19.95" customHeight="1" x14ac:dyDescent="0.3">
      <c r="A370" s="33" t="s">
        <v>652</v>
      </c>
      <c r="B370" s="34">
        <v>46103.638807870368</v>
      </c>
      <c r="C370" s="34" t="str">
        <f t="shared" si="18"/>
        <v>202603</v>
      </c>
      <c r="D370" s="35" t="s">
        <v>951</v>
      </c>
      <c r="E370" s="36" t="s">
        <v>910</v>
      </c>
      <c r="F370" s="36" t="s">
        <v>1537</v>
      </c>
      <c r="G370" s="37" t="s">
        <v>1867</v>
      </c>
      <c r="H370" s="36" t="s">
        <v>954</v>
      </c>
      <c r="I370" s="35" t="s">
        <v>1868</v>
      </c>
      <c r="J370" s="36" t="s">
        <v>914</v>
      </c>
      <c r="K370" s="33" t="s">
        <v>916</v>
      </c>
      <c r="L370" s="35" t="s">
        <v>916</v>
      </c>
      <c r="M370" s="36" t="s">
        <v>923</v>
      </c>
      <c r="N370" s="45">
        <v>46103.677777777775</v>
      </c>
      <c r="O370" s="36" t="s">
        <v>25</v>
      </c>
      <c r="P370" s="38">
        <v>3.8969907400000003E-2</v>
      </c>
      <c r="Q370" s="39" t="s">
        <v>1087</v>
      </c>
      <c r="R370" s="35" t="s">
        <v>916</v>
      </c>
      <c r="S370" s="35"/>
      <c r="T370" s="35" t="s">
        <v>1624</v>
      </c>
      <c r="U370" s="40">
        <v>46104</v>
      </c>
      <c r="V370" s="41">
        <v>46153.532719907409</v>
      </c>
      <c r="W370" s="40">
        <v>46103</v>
      </c>
      <c r="X370" s="35" t="s">
        <v>916</v>
      </c>
      <c r="Y370" s="35" t="s">
        <v>916</v>
      </c>
      <c r="Z370" s="35" t="s">
        <v>916</v>
      </c>
      <c r="AA370" s="38">
        <v>0.93527777759999997</v>
      </c>
      <c r="AB370" s="42" t="s">
        <v>916</v>
      </c>
      <c r="AC370" s="43" t="s">
        <v>916</v>
      </c>
      <c r="AD370" s="43" t="s">
        <v>916</v>
      </c>
      <c r="AE370" s="33" t="s">
        <v>916</v>
      </c>
      <c r="AF370" s="35" t="s">
        <v>916</v>
      </c>
      <c r="AG370" s="44">
        <v>0</v>
      </c>
      <c r="AH370" s="42" t="s">
        <v>916</v>
      </c>
      <c r="AI370" s="32" t="e">
        <f>VLOOKUP(A370,'4月明細'!B:B,1,0)</f>
        <v>#N/A</v>
      </c>
    </row>
    <row r="371" spans="1:37" ht="19.95" customHeight="1" x14ac:dyDescent="0.3">
      <c r="A371" s="33" t="s">
        <v>651</v>
      </c>
      <c r="B371" s="34">
        <v>46103.616990740738</v>
      </c>
      <c r="C371" s="34" t="str">
        <f t="shared" si="18"/>
        <v>202603</v>
      </c>
      <c r="D371" s="35" t="s">
        <v>996</v>
      </c>
      <c r="E371" s="36" t="s">
        <v>910</v>
      </c>
      <c r="F371" s="36" t="s">
        <v>1064</v>
      </c>
      <c r="G371" s="37" t="s">
        <v>1869</v>
      </c>
      <c r="H371" s="36" t="s">
        <v>928</v>
      </c>
      <c r="I371" s="35"/>
      <c r="J371" s="36" t="s">
        <v>914</v>
      </c>
      <c r="K371" s="33" t="s">
        <v>916</v>
      </c>
      <c r="L371" s="35" t="s">
        <v>916</v>
      </c>
      <c r="M371" s="36" t="s">
        <v>923</v>
      </c>
      <c r="N371" s="45">
        <v>46103.678472222222</v>
      </c>
      <c r="O371" s="36" t="s">
        <v>25</v>
      </c>
      <c r="P371" s="38">
        <v>6.1481481499999997E-2</v>
      </c>
      <c r="Q371" s="39" t="s">
        <v>984</v>
      </c>
      <c r="R371" s="35" t="s">
        <v>916</v>
      </c>
      <c r="S371" s="35"/>
      <c r="T371" s="35" t="s">
        <v>1624</v>
      </c>
      <c r="U371" s="40">
        <v>46104</v>
      </c>
      <c r="V371" s="41">
        <v>46153.532719907409</v>
      </c>
      <c r="W371" s="40">
        <v>46103</v>
      </c>
      <c r="X371" s="35" t="s">
        <v>916</v>
      </c>
      <c r="Y371" s="35" t="s">
        <v>916</v>
      </c>
      <c r="Z371" s="35" t="s">
        <v>916</v>
      </c>
      <c r="AA371" s="38">
        <v>1.475555556</v>
      </c>
      <c r="AB371" s="42" t="s">
        <v>916</v>
      </c>
      <c r="AC371" s="43" t="s">
        <v>916</v>
      </c>
      <c r="AD371" s="43" t="s">
        <v>916</v>
      </c>
      <c r="AE371" s="33" t="s">
        <v>916</v>
      </c>
      <c r="AF371" s="35" t="s">
        <v>916</v>
      </c>
      <c r="AG371" s="44">
        <v>0</v>
      </c>
      <c r="AH371" s="42" t="s">
        <v>916</v>
      </c>
      <c r="AI371" s="32" t="e">
        <f>VLOOKUP(A371,'4月明細'!B:B,1,0)</f>
        <v>#N/A</v>
      </c>
    </row>
    <row r="372" spans="1:37" ht="19.95" customHeight="1" x14ac:dyDescent="0.3">
      <c r="A372" s="33" t="s">
        <v>650</v>
      </c>
      <c r="B372" s="34">
        <v>46103.597175925926</v>
      </c>
      <c r="C372" s="34" t="str">
        <f t="shared" si="18"/>
        <v>202603</v>
      </c>
      <c r="D372" s="35" t="s">
        <v>996</v>
      </c>
      <c r="E372" s="36" t="s">
        <v>910</v>
      </c>
      <c r="F372" s="36" t="s">
        <v>1285</v>
      </c>
      <c r="G372" s="37" t="s">
        <v>1806</v>
      </c>
      <c r="H372" s="36" t="s">
        <v>928</v>
      </c>
      <c r="I372" s="35"/>
      <c r="J372" s="36" t="s">
        <v>914</v>
      </c>
      <c r="K372" s="33" t="s">
        <v>916</v>
      </c>
      <c r="L372" s="35" t="s">
        <v>916</v>
      </c>
      <c r="M372" s="36" t="s">
        <v>923</v>
      </c>
      <c r="N372" s="45">
        <v>46103.678472222222</v>
      </c>
      <c r="O372" s="36" t="s">
        <v>25</v>
      </c>
      <c r="P372" s="38">
        <v>8.1296296300000001E-2</v>
      </c>
      <c r="Q372" s="39" t="s">
        <v>958</v>
      </c>
      <c r="R372" s="35" t="s">
        <v>916</v>
      </c>
      <c r="S372" s="35"/>
      <c r="T372" s="35" t="s">
        <v>1624</v>
      </c>
      <c r="U372" s="40">
        <v>46104</v>
      </c>
      <c r="V372" s="41">
        <v>46153.532719907409</v>
      </c>
      <c r="W372" s="40">
        <v>46103</v>
      </c>
      <c r="X372" s="35" t="s">
        <v>916</v>
      </c>
      <c r="Y372" s="35" t="s">
        <v>916</v>
      </c>
      <c r="Z372" s="35" t="s">
        <v>916</v>
      </c>
      <c r="AA372" s="38">
        <v>1.9511111111999999</v>
      </c>
      <c r="AB372" s="42" t="s">
        <v>916</v>
      </c>
      <c r="AC372" s="43" t="s">
        <v>916</v>
      </c>
      <c r="AD372" s="43" t="s">
        <v>916</v>
      </c>
      <c r="AE372" s="33" t="s">
        <v>916</v>
      </c>
      <c r="AF372" s="35" t="s">
        <v>916</v>
      </c>
      <c r="AG372" s="44">
        <v>0</v>
      </c>
      <c r="AH372" s="42" t="s">
        <v>916</v>
      </c>
      <c r="AI372" s="32" t="e">
        <f>VLOOKUP(A372,'4月明細'!B:B,1,0)</f>
        <v>#N/A</v>
      </c>
    </row>
    <row r="373" spans="1:37" ht="19.95" customHeight="1" x14ac:dyDescent="0.3">
      <c r="A373" s="33" t="s">
        <v>649</v>
      </c>
      <c r="B373" s="34">
        <v>46103.590590277781</v>
      </c>
      <c r="C373" s="34" t="str">
        <f t="shared" si="18"/>
        <v>202603</v>
      </c>
      <c r="D373" s="35" t="s">
        <v>996</v>
      </c>
      <c r="E373" s="36" t="s">
        <v>910</v>
      </c>
      <c r="F373" s="36" t="s">
        <v>1870</v>
      </c>
      <c r="G373" s="37" t="s">
        <v>1871</v>
      </c>
      <c r="H373" s="36" t="s">
        <v>954</v>
      </c>
      <c r="I373" s="35"/>
      <c r="J373" s="36" t="s">
        <v>914</v>
      </c>
      <c r="K373" s="33" t="s">
        <v>916</v>
      </c>
      <c r="L373" s="35" t="s">
        <v>916</v>
      </c>
      <c r="M373" s="36" t="s">
        <v>923</v>
      </c>
      <c r="N373" s="45">
        <v>46103.679166666669</v>
      </c>
      <c r="O373" s="36" t="s">
        <v>25</v>
      </c>
      <c r="P373" s="38">
        <v>8.8576388899999997E-2</v>
      </c>
      <c r="Q373" s="39" t="s">
        <v>984</v>
      </c>
      <c r="R373" s="35" t="s">
        <v>916</v>
      </c>
      <c r="S373" s="35"/>
      <c r="T373" s="35" t="s">
        <v>1624</v>
      </c>
      <c r="U373" s="40">
        <v>46104</v>
      </c>
      <c r="V373" s="41">
        <v>46153.532719907409</v>
      </c>
      <c r="W373" s="40">
        <v>46103</v>
      </c>
      <c r="X373" s="35" t="s">
        <v>916</v>
      </c>
      <c r="Y373" s="35" t="s">
        <v>916</v>
      </c>
      <c r="Z373" s="35" t="s">
        <v>916</v>
      </c>
      <c r="AA373" s="38">
        <v>2.1258333336000002</v>
      </c>
      <c r="AB373" s="42" t="s">
        <v>916</v>
      </c>
      <c r="AC373" s="43" t="s">
        <v>916</v>
      </c>
      <c r="AD373" s="43" t="s">
        <v>916</v>
      </c>
      <c r="AE373" s="33" t="s">
        <v>916</v>
      </c>
      <c r="AF373" s="35" t="s">
        <v>916</v>
      </c>
      <c r="AG373" s="44">
        <v>0</v>
      </c>
      <c r="AH373" s="42" t="s">
        <v>916</v>
      </c>
      <c r="AI373" s="32" t="e">
        <f>VLOOKUP(A373,'4月明細'!B:B,1,0)</f>
        <v>#N/A</v>
      </c>
    </row>
    <row r="374" spans="1:37" ht="19.95" customHeight="1" x14ac:dyDescent="0.3">
      <c r="A374" s="33" t="s">
        <v>648</v>
      </c>
      <c r="B374" s="34">
        <v>46103.548298611109</v>
      </c>
      <c r="C374" s="34" t="str">
        <f t="shared" si="18"/>
        <v>202603</v>
      </c>
      <c r="D374" s="35" t="s">
        <v>996</v>
      </c>
      <c r="E374" s="36" t="s">
        <v>910</v>
      </c>
      <c r="F374" s="36" t="s">
        <v>1572</v>
      </c>
      <c r="G374" s="37" t="s">
        <v>1096</v>
      </c>
      <c r="H374" s="36" t="s">
        <v>928</v>
      </c>
      <c r="I374" s="35"/>
      <c r="J374" s="36" t="s">
        <v>916</v>
      </c>
      <c r="K374" s="33" t="s">
        <v>916</v>
      </c>
      <c r="L374" s="35" t="s">
        <v>916</v>
      </c>
      <c r="M374" s="36" t="s">
        <v>923</v>
      </c>
      <c r="N374" s="45">
        <v>46103.64166666667</v>
      </c>
      <c r="O374" s="36" t="s">
        <v>25</v>
      </c>
      <c r="P374" s="38">
        <v>9.3368055599999999E-2</v>
      </c>
      <c r="Q374" s="39" t="s">
        <v>994</v>
      </c>
      <c r="R374" s="35" t="s">
        <v>916</v>
      </c>
      <c r="S374" s="35"/>
      <c r="T374" s="35" t="s">
        <v>1624</v>
      </c>
      <c r="U374" s="40">
        <v>46104</v>
      </c>
      <c r="V374" s="41">
        <v>46153.532719907409</v>
      </c>
      <c r="W374" s="40">
        <v>46103</v>
      </c>
      <c r="X374" s="35" t="s">
        <v>916</v>
      </c>
      <c r="Y374" s="35" t="s">
        <v>916</v>
      </c>
      <c r="Z374" s="35" t="s">
        <v>916</v>
      </c>
      <c r="AA374" s="38">
        <v>2.2408333344</v>
      </c>
      <c r="AB374" s="42" t="s">
        <v>916</v>
      </c>
      <c r="AC374" s="43" t="s">
        <v>916</v>
      </c>
      <c r="AD374" s="43" t="s">
        <v>916</v>
      </c>
      <c r="AE374" s="33" t="s">
        <v>916</v>
      </c>
      <c r="AF374" s="35" t="s">
        <v>916</v>
      </c>
      <c r="AG374" s="44">
        <v>0</v>
      </c>
      <c r="AH374" s="42" t="s">
        <v>916</v>
      </c>
      <c r="AI374" s="32" t="e">
        <f>VLOOKUP(A374,'4月明細'!B:B,1,0)</f>
        <v>#N/A</v>
      </c>
    </row>
    <row r="375" spans="1:37" ht="19.95" customHeight="1" x14ac:dyDescent="0.3">
      <c r="A375" s="33" t="s">
        <v>647</v>
      </c>
      <c r="B375" s="34">
        <v>46103.535601851851</v>
      </c>
      <c r="C375" s="34" t="str">
        <f t="shared" si="18"/>
        <v>202603</v>
      </c>
      <c r="D375" s="35" t="s">
        <v>996</v>
      </c>
      <c r="E375" s="36" t="s">
        <v>910</v>
      </c>
      <c r="F375" s="36" t="s">
        <v>1572</v>
      </c>
      <c r="G375" s="37" t="s">
        <v>1872</v>
      </c>
      <c r="H375" s="36" t="s">
        <v>1078</v>
      </c>
      <c r="I375" s="35"/>
      <c r="J375" s="36" t="s">
        <v>914</v>
      </c>
      <c r="K375" s="33" t="s">
        <v>916</v>
      </c>
      <c r="L375" s="35" t="s">
        <v>916</v>
      </c>
      <c r="M375" s="36" t="s">
        <v>923</v>
      </c>
      <c r="N375" s="45">
        <v>46103.640972222223</v>
      </c>
      <c r="O375" s="36" t="s">
        <v>25</v>
      </c>
      <c r="P375" s="38">
        <v>0.1053703704</v>
      </c>
      <c r="Q375" s="39" t="s">
        <v>1087</v>
      </c>
      <c r="R375" s="35" t="s">
        <v>916</v>
      </c>
      <c r="S375" s="35"/>
      <c r="T375" s="35" t="s">
        <v>1624</v>
      </c>
      <c r="U375" s="40">
        <v>46104</v>
      </c>
      <c r="V375" s="41">
        <v>46153.532719907409</v>
      </c>
      <c r="W375" s="40">
        <v>46103</v>
      </c>
      <c r="X375" s="35" t="s">
        <v>916</v>
      </c>
      <c r="Y375" s="35" t="s">
        <v>916</v>
      </c>
      <c r="Z375" s="35" t="s">
        <v>916</v>
      </c>
      <c r="AA375" s="38">
        <v>2.5288888896000001</v>
      </c>
      <c r="AB375" s="42" t="s">
        <v>916</v>
      </c>
      <c r="AC375" s="43" t="s">
        <v>916</v>
      </c>
      <c r="AD375" s="43" t="s">
        <v>916</v>
      </c>
      <c r="AE375" s="33" t="s">
        <v>916</v>
      </c>
      <c r="AF375" s="35" t="s">
        <v>916</v>
      </c>
      <c r="AG375" s="44">
        <v>0</v>
      </c>
      <c r="AH375" s="42" t="s">
        <v>916</v>
      </c>
      <c r="AI375" s="32" t="e">
        <f>VLOOKUP(A375,'4月明細'!B:B,1,0)</f>
        <v>#N/A</v>
      </c>
    </row>
    <row r="376" spans="1:37" ht="19.95" customHeight="1" x14ac:dyDescent="0.3">
      <c r="A376" s="33" t="s">
        <v>709</v>
      </c>
      <c r="B376" s="34">
        <v>46103.531574074077</v>
      </c>
      <c r="C376" s="34" t="str">
        <f t="shared" si="18"/>
        <v>202603</v>
      </c>
      <c r="D376" s="35" t="s">
        <v>951</v>
      </c>
      <c r="E376" s="36" t="s">
        <v>910</v>
      </c>
      <c r="F376" s="36" t="s">
        <v>1145</v>
      </c>
      <c r="G376" s="37" t="s">
        <v>1873</v>
      </c>
      <c r="H376" s="36" t="s">
        <v>928</v>
      </c>
      <c r="I376" s="35" t="s">
        <v>1874</v>
      </c>
      <c r="J376" s="36" t="s">
        <v>914</v>
      </c>
      <c r="K376" s="33" t="s">
        <v>916</v>
      </c>
      <c r="L376" s="35" t="s">
        <v>916</v>
      </c>
      <c r="M376" s="36" t="s">
        <v>1039</v>
      </c>
      <c r="N376" s="45">
        <v>46122.568749999999</v>
      </c>
      <c r="O376" s="36" t="s">
        <v>25</v>
      </c>
      <c r="P376" s="38">
        <v>19.037175925900002</v>
      </c>
      <c r="Q376" s="39" t="s">
        <v>1875</v>
      </c>
      <c r="R376" s="35" t="s">
        <v>916</v>
      </c>
      <c r="S376" s="35"/>
      <c r="T376" s="35" t="s">
        <v>1624</v>
      </c>
      <c r="U376" s="40">
        <v>46104</v>
      </c>
      <c r="V376" s="41">
        <v>46153.532719907409</v>
      </c>
      <c r="W376" s="40">
        <v>46103</v>
      </c>
      <c r="X376" s="35" t="s">
        <v>916</v>
      </c>
      <c r="Y376" s="35" t="s">
        <v>916</v>
      </c>
      <c r="Z376" s="35" t="s">
        <v>916</v>
      </c>
      <c r="AA376" s="38">
        <v>456.89222222159998</v>
      </c>
      <c r="AB376" s="42" t="s">
        <v>916</v>
      </c>
      <c r="AC376" s="43" t="s">
        <v>916</v>
      </c>
      <c r="AD376" s="43" t="s">
        <v>916</v>
      </c>
      <c r="AE376" s="33" t="s">
        <v>916</v>
      </c>
      <c r="AF376" s="35" t="s">
        <v>916</v>
      </c>
      <c r="AG376" s="44">
        <v>0</v>
      </c>
      <c r="AH376" s="42" t="s">
        <v>916</v>
      </c>
      <c r="AI376" s="32" t="str">
        <f>VLOOKUP(A376,'4月明細'!B:B,1,0)</f>
        <v>20260322-005</v>
      </c>
      <c r="AJ376" s="32">
        <f>VLOOKUP(A376,'4月明細'!B:I,8,0)</f>
        <v>19.04</v>
      </c>
      <c r="AK376" s="47">
        <f>AJ376-P376</f>
        <v>2.824074099997631E-3</v>
      </c>
    </row>
    <row r="377" spans="1:37" ht="19.95" customHeight="1" x14ac:dyDescent="0.3">
      <c r="A377" s="33" t="s">
        <v>646</v>
      </c>
      <c r="B377" s="34">
        <v>46103.490243055552</v>
      </c>
      <c r="C377" s="34" t="str">
        <f t="shared" si="18"/>
        <v>202603</v>
      </c>
      <c r="D377" s="35" t="s">
        <v>1597</v>
      </c>
      <c r="E377" s="36" t="s">
        <v>942</v>
      </c>
      <c r="F377" s="36" t="s">
        <v>1634</v>
      </c>
      <c r="G377" s="37" t="s">
        <v>1876</v>
      </c>
      <c r="H377" s="36" t="s">
        <v>954</v>
      </c>
      <c r="I377" s="35"/>
      <c r="J377" s="36" t="s">
        <v>945</v>
      </c>
      <c r="K377" s="33" t="s">
        <v>916</v>
      </c>
      <c r="L377" s="35" t="s">
        <v>916</v>
      </c>
      <c r="M377" s="36" t="s">
        <v>1039</v>
      </c>
      <c r="N377" s="45">
        <v>46103.880555555559</v>
      </c>
      <c r="O377" s="36" t="s">
        <v>25</v>
      </c>
      <c r="P377" s="38">
        <v>0.39031250000000001</v>
      </c>
      <c r="Q377" s="39" t="s">
        <v>1174</v>
      </c>
      <c r="R377" s="35" t="s">
        <v>916</v>
      </c>
      <c r="S377" s="35"/>
      <c r="T377" s="35" t="s">
        <v>1624</v>
      </c>
      <c r="U377" s="40">
        <v>46104</v>
      </c>
      <c r="V377" s="41">
        <v>46153.532719907409</v>
      </c>
      <c r="W377" s="40">
        <v>46103</v>
      </c>
      <c r="X377" s="35" t="s">
        <v>916</v>
      </c>
      <c r="Y377" s="35" t="s">
        <v>916</v>
      </c>
      <c r="Z377" s="35" t="s">
        <v>916</v>
      </c>
      <c r="AA377" s="38">
        <v>9.3674999999999997</v>
      </c>
      <c r="AB377" s="42" t="s">
        <v>916</v>
      </c>
      <c r="AC377" s="43" t="s">
        <v>916</v>
      </c>
      <c r="AD377" s="43" t="s">
        <v>916</v>
      </c>
      <c r="AE377" s="33" t="s">
        <v>916</v>
      </c>
      <c r="AF377" s="35" t="s">
        <v>916</v>
      </c>
      <c r="AG377" s="44">
        <v>0</v>
      </c>
      <c r="AH377" s="42" t="s">
        <v>916</v>
      </c>
      <c r="AI377" s="32" t="e">
        <f>VLOOKUP(A377,'4月明細'!B:B,1,0)</f>
        <v>#N/A</v>
      </c>
    </row>
    <row r="378" spans="1:37" ht="19.95" customHeight="1" x14ac:dyDescent="0.3">
      <c r="A378" s="33" t="s">
        <v>645</v>
      </c>
      <c r="B378" s="34">
        <v>46103.373784722222</v>
      </c>
      <c r="C378" s="34" t="str">
        <f t="shared" si="18"/>
        <v>202603</v>
      </c>
      <c r="D378" s="35" t="s">
        <v>1597</v>
      </c>
      <c r="E378" s="36" t="s">
        <v>942</v>
      </c>
      <c r="F378" s="36" t="s">
        <v>964</v>
      </c>
      <c r="G378" s="37" t="s">
        <v>1877</v>
      </c>
      <c r="H378" s="36" t="s">
        <v>928</v>
      </c>
      <c r="I378" s="35"/>
      <c r="J378" s="36" t="s">
        <v>945</v>
      </c>
      <c r="K378" s="33" t="s">
        <v>916</v>
      </c>
      <c r="L378" s="35" t="s">
        <v>916</v>
      </c>
      <c r="M378" s="36" t="s">
        <v>1039</v>
      </c>
      <c r="N378" s="45">
        <v>46104.368055555555</v>
      </c>
      <c r="O378" s="36" t="s">
        <v>25</v>
      </c>
      <c r="P378" s="38">
        <v>0.99427083329999999</v>
      </c>
      <c r="Q378" s="39" t="s">
        <v>1878</v>
      </c>
      <c r="R378" s="35" t="s">
        <v>916</v>
      </c>
      <c r="S378" s="35"/>
      <c r="T378" s="35" t="s">
        <v>1624</v>
      </c>
      <c r="U378" s="40">
        <v>46104</v>
      </c>
      <c r="V378" s="41">
        <v>46153.532719907409</v>
      </c>
      <c r="W378" s="40">
        <v>46103</v>
      </c>
      <c r="X378" s="35" t="s">
        <v>916</v>
      </c>
      <c r="Y378" s="35" t="s">
        <v>916</v>
      </c>
      <c r="Z378" s="35" t="s">
        <v>916</v>
      </c>
      <c r="AA378" s="38">
        <v>23.862499999200001</v>
      </c>
      <c r="AB378" s="42" t="s">
        <v>916</v>
      </c>
      <c r="AC378" s="43" t="s">
        <v>916</v>
      </c>
      <c r="AD378" s="43" t="s">
        <v>916</v>
      </c>
      <c r="AE378" s="33" t="s">
        <v>916</v>
      </c>
      <c r="AF378" s="35" t="s">
        <v>916</v>
      </c>
      <c r="AG378" s="44">
        <v>492848.83333333331</v>
      </c>
      <c r="AH378" s="42" t="s">
        <v>916</v>
      </c>
      <c r="AI378" s="32" t="e">
        <f>VLOOKUP(A378,'4月明細'!B:B,1,0)</f>
        <v>#N/A</v>
      </c>
    </row>
    <row r="379" spans="1:37" ht="19.95" customHeight="1" x14ac:dyDescent="0.3">
      <c r="A379" s="33" t="s">
        <v>644</v>
      </c>
      <c r="B379" s="34">
        <v>46103.078101851854</v>
      </c>
      <c r="C379" s="34" t="str">
        <f t="shared" si="18"/>
        <v>202603</v>
      </c>
      <c r="D379" s="35" t="s">
        <v>1217</v>
      </c>
      <c r="E379" s="36" t="s">
        <v>942</v>
      </c>
      <c r="F379" s="36" t="s">
        <v>1731</v>
      </c>
      <c r="G379" s="37" t="s">
        <v>1879</v>
      </c>
      <c r="H379" s="36" t="s">
        <v>913</v>
      </c>
      <c r="I379" s="35"/>
      <c r="J379" s="36" t="s">
        <v>945</v>
      </c>
      <c r="K379" s="33" t="s">
        <v>916</v>
      </c>
      <c r="L379" s="35" t="s">
        <v>916</v>
      </c>
      <c r="M379" s="36" t="s">
        <v>957</v>
      </c>
      <c r="N379" s="45">
        <v>46105.717361111114</v>
      </c>
      <c r="O379" s="36" t="s">
        <v>25</v>
      </c>
      <c r="P379" s="38">
        <v>2.6392592593000002</v>
      </c>
      <c r="Q379" s="39" t="s">
        <v>1880</v>
      </c>
      <c r="R379" s="35" t="s">
        <v>916</v>
      </c>
      <c r="S379" s="35"/>
      <c r="T379" s="35" t="s">
        <v>1624</v>
      </c>
      <c r="U379" s="40">
        <v>46104</v>
      </c>
      <c r="V379" s="41">
        <v>46153.532719907409</v>
      </c>
      <c r="W379" s="40">
        <v>46103</v>
      </c>
      <c r="X379" s="35" t="s">
        <v>916</v>
      </c>
      <c r="Y379" s="35" t="s">
        <v>916</v>
      </c>
      <c r="Z379" s="35" t="s">
        <v>916</v>
      </c>
      <c r="AA379" s="38">
        <v>63.342222223199997</v>
      </c>
      <c r="AB379" s="42" t="s">
        <v>916</v>
      </c>
      <c r="AC379" s="43" t="s">
        <v>916</v>
      </c>
      <c r="AD379" s="43" t="s">
        <v>916</v>
      </c>
      <c r="AE379" s="33" t="s">
        <v>916</v>
      </c>
      <c r="AF379" s="35" t="s">
        <v>916</v>
      </c>
      <c r="AG379" s="44">
        <v>0</v>
      </c>
      <c r="AH379" s="42" t="s">
        <v>916</v>
      </c>
      <c r="AI379" s="32" t="e">
        <f>VLOOKUP(A379,'4月明細'!B:B,1,0)</f>
        <v>#N/A</v>
      </c>
    </row>
    <row r="380" spans="1:37" ht="19.95" customHeight="1" x14ac:dyDescent="0.3">
      <c r="A380" s="33" t="s">
        <v>1881</v>
      </c>
      <c r="B380" s="34">
        <v>46103.077592592592</v>
      </c>
      <c r="C380" s="34" t="str">
        <f t="shared" si="18"/>
        <v>202603</v>
      </c>
      <c r="D380" s="35" t="s">
        <v>1217</v>
      </c>
      <c r="E380" s="36" t="s">
        <v>942</v>
      </c>
      <c r="F380" s="36" t="s">
        <v>1207</v>
      </c>
      <c r="G380" s="37" t="s">
        <v>1882</v>
      </c>
      <c r="H380" s="36" t="s">
        <v>1114</v>
      </c>
      <c r="I380" s="35"/>
      <c r="J380" s="36" t="s">
        <v>945</v>
      </c>
      <c r="K380" s="33" t="s">
        <v>916</v>
      </c>
      <c r="L380" s="35" t="s">
        <v>1116</v>
      </c>
      <c r="M380" s="36" t="s">
        <v>923</v>
      </c>
      <c r="N380" s="45">
        <v>46105.716666666667</v>
      </c>
      <c r="O380" s="36" t="s">
        <v>1117</v>
      </c>
      <c r="P380" s="38">
        <v>2.6390740740999998</v>
      </c>
      <c r="Q380" s="39" t="s">
        <v>1883</v>
      </c>
      <c r="R380" s="46" t="s">
        <v>1884</v>
      </c>
      <c r="S380" s="35"/>
      <c r="T380" s="35" t="s">
        <v>1624</v>
      </c>
      <c r="U380" s="40">
        <v>46104</v>
      </c>
      <c r="V380" s="41">
        <v>46153.532719907409</v>
      </c>
      <c r="W380" s="40">
        <v>46103</v>
      </c>
      <c r="X380" s="35" t="s">
        <v>916</v>
      </c>
      <c r="Y380" s="35" t="s">
        <v>916</v>
      </c>
      <c r="Z380" s="35" t="s">
        <v>916</v>
      </c>
      <c r="AA380" s="38">
        <v>63.337777778400003</v>
      </c>
      <c r="AB380" s="42" t="s">
        <v>916</v>
      </c>
      <c r="AC380" s="43" t="s">
        <v>916</v>
      </c>
      <c r="AD380" s="43" t="s">
        <v>916</v>
      </c>
      <c r="AE380" s="33" t="s">
        <v>916</v>
      </c>
      <c r="AF380" s="35" t="s">
        <v>916</v>
      </c>
      <c r="AG380" s="44">
        <v>0</v>
      </c>
      <c r="AH380" s="42" t="s">
        <v>916</v>
      </c>
      <c r="AI380" s="32" t="e">
        <f>VLOOKUP(A380,'4月明細'!B:B,1,0)</f>
        <v>#N/A</v>
      </c>
    </row>
    <row r="381" spans="1:37" ht="19.95" customHeight="1" x14ac:dyDescent="0.3">
      <c r="A381" s="33" t="s">
        <v>643</v>
      </c>
      <c r="B381" s="34">
        <v>46102.859189814815</v>
      </c>
      <c r="C381" s="34" t="str">
        <f t="shared" si="18"/>
        <v>202603</v>
      </c>
      <c r="D381" s="35" t="s">
        <v>941</v>
      </c>
      <c r="E381" s="36" t="s">
        <v>942</v>
      </c>
      <c r="F381" s="36" t="s">
        <v>1885</v>
      </c>
      <c r="G381" s="37" t="s">
        <v>1886</v>
      </c>
      <c r="H381" s="36" t="s">
        <v>913</v>
      </c>
      <c r="I381" s="35"/>
      <c r="J381" s="36" t="s">
        <v>945</v>
      </c>
      <c r="K381" s="33" t="s">
        <v>916</v>
      </c>
      <c r="L381" s="35" t="s">
        <v>916</v>
      </c>
      <c r="M381" s="36" t="s">
        <v>923</v>
      </c>
      <c r="N381" s="45">
        <v>46102.871527777781</v>
      </c>
      <c r="O381" s="36" t="s">
        <v>25</v>
      </c>
      <c r="P381" s="38">
        <v>1.2337963E-2</v>
      </c>
      <c r="Q381" s="39" t="s">
        <v>1887</v>
      </c>
      <c r="R381" s="35" t="s">
        <v>916</v>
      </c>
      <c r="S381" s="35"/>
      <c r="T381" s="35" t="s">
        <v>1624</v>
      </c>
      <c r="U381" s="40">
        <v>46103</v>
      </c>
      <c r="V381" s="41">
        <v>46153.532719907409</v>
      </c>
      <c r="W381" s="40">
        <v>46103</v>
      </c>
      <c r="X381" s="35" t="s">
        <v>916</v>
      </c>
      <c r="Y381" s="35" t="s">
        <v>916</v>
      </c>
      <c r="Z381" s="35" t="s">
        <v>916</v>
      </c>
      <c r="AA381" s="38">
        <v>0.29611111200000001</v>
      </c>
      <c r="AB381" s="42" t="s">
        <v>916</v>
      </c>
      <c r="AC381" s="43" t="s">
        <v>916</v>
      </c>
      <c r="AD381" s="43" t="s">
        <v>916</v>
      </c>
      <c r="AE381" s="33" t="s">
        <v>916</v>
      </c>
      <c r="AF381" s="35" t="s">
        <v>916</v>
      </c>
      <c r="AG381" s="44">
        <v>0</v>
      </c>
      <c r="AH381" s="42" t="s">
        <v>916</v>
      </c>
      <c r="AI381" s="32" t="e">
        <f>VLOOKUP(A381,'4月明細'!B:B,1,0)</f>
        <v>#N/A</v>
      </c>
    </row>
    <row r="382" spans="1:37" ht="19.95" customHeight="1" x14ac:dyDescent="0.3">
      <c r="A382" s="33" t="s">
        <v>642</v>
      </c>
      <c r="B382" s="34">
        <v>46102.659872685188</v>
      </c>
      <c r="C382" s="34" t="str">
        <f t="shared" si="18"/>
        <v>202603</v>
      </c>
      <c r="D382" s="35" t="s">
        <v>909</v>
      </c>
      <c r="E382" s="36" t="s">
        <v>910</v>
      </c>
      <c r="F382" s="36" t="s">
        <v>1161</v>
      </c>
      <c r="G382" s="37" t="s">
        <v>1888</v>
      </c>
      <c r="H382" s="36" t="s">
        <v>1078</v>
      </c>
      <c r="I382" s="35"/>
      <c r="J382" s="36" t="s">
        <v>914</v>
      </c>
      <c r="K382" s="33" t="s">
        <v>916</v>
      </c>
      <c r="L382" s="35" t="s">
        <v>916</v>
      </c>
      <c r="M382" s="36" t="s">
        <v>957</v>
      </c>
      <c r="N382" s="45">
        <v>46102.878472222219</v>
      </c>
      <c r="O382" s="36" t="s">
        <v>25</v>
      </c>
      <c r="P382" s="38">
        <v>0.21859953700000001</v>
      </c>
      <c r="Q382" s="39" t="s">
        <v>1889</v>
      </c>
      <c r="R382" s="35" t="s">
        <v>916</v>
      </c>
      <c r="S382" s="35"/>
      <c r="T382" s="35" t="s">
        <v>1624</v>
      </c>
      <c r="U382" s="40">
        <v>46103</v>
      </c>
      <c r="V382" s="41">
        <v>46153.532719907409</v>
      </c>
      <c r="W382" s="40">
        <v>46102</v>
      </c>
      <c r="X382" s="35" t="s">
        <v>916</v>
      </c>
      <c r="Y382" s="35" t="s">
        <v>916</v>
      </c>
      <c r="Z382" s="35" t="s">
        <v>916</v>
      </c>
      <c r="AA382" s="38">
        <v>5.2463888880000003</v>
      </c>
      <c r="AB382" s="42" t="s">
        <v>916</v>
      </c>
      <c r="AC382" s="43" t="s">
        <v>916</v>
      </c>
      <c r="AD382" s="43" t="s">
        <v>916</v>
      </c>
      <c r="AE382" s="33" t="s">
        <v>916</v>
      </c>
      <c r="AF382" s="35" t="s">
        <v>916</v>
      </c>
      <c r="AG382" s="44">
        <v>0</v>
      </c>
      <c r="AH382" s="42" t="s">
        <v>916</v>
      </c>
      <c r="AI382" s="32" t="e">
        <f>VLOOKUP(A382,'4月明細'!B:B,1,0)</f>
        <v>#N/A</v>
      </c>
    </row>
    <row r="383" spans="1:37" ht="19.95" customHeight="1" x14ac:dyDescent="0.3">
      <c r="A383" s="33" t="s">
        <v>641</v>
      </c>
      <c r="B383" s="34">
        <v>46102.368356481478</v>
      </c>
      <c r="C383" s="34" t="str">
        <f t="shared" si="18"/>
        <v>202603</v>
      </c>
      <c r="D383" s="35" t="s">
        <v>1168</v>
      </c>
      <c r="E383" s="36" t="s">
        <v>942</v>
      </c>
      <c r="F383" s="36" t="s">
        <v>1890</v>
      </c>
      <c r="G383" s="37" t="s">
        <v>1891</v>
      </c>
      <c r="H383" s="36" t="s">
        <v>1078</v>
      </c>
      <c r="I383" s="35"/>
      <c r="J383" s="36" t="s">
        <v>945</v>
      </c>
      <c r="K383" s="33" t="s">
        <v>916</v>
      </c>
      <c r="L383" s="35" t="s">
        <v>916</v>
      </c>
      <c r="M383" s="36" t="s">
        <v>957</v>
      </c>
      <c r="N383" s="45">
        <v>46102.874305555553</v>
      </c>
      <c r="O383" s="36" t="s">
        <v>25</v>
      </c>
      <c r="P383" s="38">
        <v>0.50594907410000001</v>
      </c>
      <c r="Q383" s="39" t="s">
        <v>1892</v>
      </c>
      <c r="R383" s="35" t="s">
        <v>916</v>
      </c>
      <c r="S383" s="35"/>
      <c r="T383" s="35" t="s">
        <v>1624</v>
      </c>
      <c r="U383" s="40">
        <v>46103</v>
      </c>
      <c r="V383" s="41">
        <v>46153.532719907409</v>
      </c>
      <c r="W383" s="40">
        <v>46102</v>
      </c>
      <c r="X383" s="35" t="s">
        <v>916</v>
      </c>
      <c r="Y383" s="35" t="s">
        <v>916</v>
      </c>
      <c r="Z383" s="35" t="s">
        <v>916</v>
      </c>
      <c r="AA383" s="38">
        <v>12.142777778399999</v>
      </c>
      <c r="AB383" s="42" t="s">
        <v>916</v>
      </c>
      <c r="AC383" s="43" t="s">
        <v>916</v>
      </c>
      <c r="AD383" s="43" t="s">
        <v>916</v>
      </c>
      <c r="AE383" s="33" t="s">
        <v>916</v>
      </c>
      <c r="AF383" s="35" t="s">
        <v>916</v>
      </c>
      <c r="AG383" s="44">
        <v>0</v>
      </c>
      <c r="AH383" s="42" t="s">
        <v>916</v>
      </c>
      <c r="AI383" s="32" t="e">
        <f>VLOOKUP(A383,'4月明細'!B:B,1,0)</f>
        <v>#N/A</v>
      </c>
    </row>
    <row r="384" spans="1:37" ht="19.95" customHeight="1" x14ac:dyDescent="0.3">
      <c r="A384" s="33" t="s">
        <v>640</v>
      </c>
      <c r="B384" s="34">
        <v>46101.654548611114</v>
      </c>
      <c r="C384" s="34" t="str">
        <f t="shared" si="18"/>
        <v>202603</v>
      </c>
      <c r="D384" s="35" t="s">
        <v>1587</v>
      </c>
      <c r="E384" s="36" t="s">
        <v>942</v>
      </c>
      <c r="F384" s="36" t="s">
        <v>1534</v>
      </c>
      <c r="G384" s="37" t="s">
        <v>1893</v>
      </c>
      <c r="H384" s="36" t="s">
        <v>954</v>
      </c>
      <c r="I384" s="35"/>
      <c r="J384" s="36" t="s">
        <v>945</v>
      </c>
      <c r="K384" s="33" t="s">
        <v>916</v>
      </c>
      <c r="L384" s="35" t="s">
        <v>916</v>
      </c>
      <c r="M384" s="36" t="s">
        <v>957</v>
      </c>
      <c r="N384" s="45">
        <v>46102.876388888886</v>
      </c>
      <c r="O384" s="36" t="s">
        <v>25</v>
      </c>
      <c r="P384" s="38">
        <v>1.2218402777999999</v>
      </c>
      <c r="Q384" s="39" t="s">
        <v>958</v>
      </c>
      <c r="R384" s="35" t="s">
        <v>916</v>
      </c>
      <c r="S384" s="35"/>
      <c r="T384" s="35" t="s">
        <v>1624</v>
      </c>
      <c r="U384" s="40">
        <v>46102</v>
      </c>
      <c r="V384" s="41">
        <v>46153.532719907409</v>
      </c>
      <c r="W384" s="40">
        <v>46101</v>
      </c>
      <c r="X384" s="35" t="s">
        <v>916</v>
      </c>
      <c r="Y384" s="35" t="s">
        <v>916</v>
      </c>
      <c r="Z384" s="35" t="s">
        <v>916</v>
      </c>
      <c r="AA384" s="38">
        <v>29.3241666672</v>
      </c>
      <c r="AB384" s="42" t="s">
        <v>916</v>
      </c>
      <c r="AC384" s="43" t="s">
        <v>916</v>
      </c>
      <c r="AD384" s="43" t="s">
        <v>916</v>
      </c>
      <c r="AE384" s="33" t="s">
        <v>916</v>
      </c>
      <c r="AF384" s="35" t="s">
        <v>916</v>
      </c>
      <c r="AG384" s="44">
        <v>0</v>
      </c>
      <c r="AH384" s="42" t="s">
        <v>916</v>
      </c>
      <c r="AI384" s="32" t="e">
        <f>VLOOKUP(A384,'4月明細'!B:B,1,0)</f>
        <v>#N/A</v>
      </c>
    </row>
    <row r="385" spans="1:35" ht="19.95" customHeight="1" x14ac:dyDescent="0.3">
      <c r="A385" s="33" t="s">
        <v>639</v>
      </c>
      <c r="B385" s="34">
        <v>46101.641284722224</v>
      </c>
      <c r="C385" s="34" t="str">
        <f t="shared" si="18"/>
        <v>202603</v>
      </c>
      <c r="D385" s="35" t="s">
        <v>909</v>
      </c>
      <c r="E385" s="36" t="s">
        <v>910</v>
      </c>
      <c r="F385" s="36" t="s">
        <v>1693</v>
      </c>
      <c r="G385" s="37" t="s">
        <v>1894</v>
      </c>
      <c r="H385" s="36" t="s">
        <v>928</v>
      </c>
      <c r="I385" s="35" t="s">
        <v>1895</v>
      </c>
      <c r="J385" s="36" t="s">
        <v>914</v>
      </c>
      <c r="K385" s="33" t="s">
        <v>916</v>
      </c>
      <c r="L385" s="35" t="s">
        <v>916</v>
      </c>
      <c r="M385" s="36" t="s">
        <v>957</v>
      </c>
      <c r="N385" s="45">
        <v>46102.875</v>
      </c>
      <c r="O385" s="36" t="s">
        <v>25</v>
      </c>
      <c r="P385" s="38">
        <v>1.2337152778</v>
      </c>
      <c r="Q385" s="39" t="s">
        <v>1896</v>
      </c>
      <c r="R385" s="35" t="s">
        <v>916</v>
      </c>
      <c r="S385" s="35"/>
      <c r="T385" s="35" t="s">
        <v>1624</v>
      </c>
      <c r="U385" s="40">
        <v>46102</v>
      </c>
      <c r="V385" s="41">
        <v>46153.532719907409</v>
      </c>
      <c r="W385" s="40">
        <v>46101</v>
      </c>
      <c r="X385" s="35" t="s">
        <v>916</v>
      </c>
      <c r="Y385" s="35" t="s">
        <v>916</v>
      </c>
      <c r="Z385" s="35" t="s">
        <v>916</v>
      </c>
      <c r="AA385" s="38">
        <v>29.6091666672</v>
      </c>
      <c r="AB385" s="42" t="s">
        <v>916</v>
      </c>
      <c r="AC385" s="43" t="s">
        <v>916</v>
      </c>
      <c r="AD385" s="43" t="s">
        <v>916</v>
      </c>
      <c r="AE385" s="33" t="s">
        <v>916</v>
      </c>
      <c r="AF385" s="35" t="s">
        <v>916</v>
      </c>
      <c r="AG385" s="44">
        <v>0</v>
      </c>
      <c r="AH385" s="42" t="s">
        <v>916</v>
      </c>
      <c r="AI385" s="32" t="e">
        <f>VLOOKUP(A385,'4月明細'!B:B,1,0)</f>
        <v>#N/A</v>
      </c>
    </row>
    <row r="386" spans="1:35" ht="19.95" customHeight="1" x14ac:dyDescent="0.3">
      <c r="A386" s="33" t="s">
        <v>638</v>
      </c>
      <c r="B386" s="34">
        <v>46101.60628472222</v>
      </c>
      <c r="C386" s="34" t="str">
        <f t="shared" si="18"/>
        <v>202603</v>
      </c>
      <c r="D386" s="35" t="s">
        <v>996</v>
      </c>
      <c r="E386" s="36" t="s">
        <v>910</v>
      </c>
      <c r="F386" s="36" t="s">
        <v>1748</v>
      </c>
      <c r="G386" s="37" t="s">
        <v>1897</v>
      </c>
      <c r="H386" s="36" t="s">
        <v>1078</v>
      </c>
      <c r="I386" s="35"/>
      <c r="J386" s="36" t="s">
        <v>914</v>
      </c>
      <c r="K386" s="33" t="s">
        <v>916</v>
      </c>
      <c r="L386" s="35" t="s">
        <v>916</v>
      </c>
      <c r="M386" s="36" t="s">
        <v>957</v>
      </c>
      <c r="N386" s="45">
        <v>46102.87777777778</v>
      </c>
      <c r="O386" s="36" t="s">
        <v>25</v>
      </c>
      <c r="P386" s="38">
        <v>1.2714930555999999</v>
      </c>
      <c r="Q386" s="39" t="s">
        <v>1892</v>
      </c>
      <c r="R386" s="35" t="s">
        <v>916</v>
      </c>
      <c r="S386" s="35"/>
      <c r="T386" s="35" t="s">
        <v>1624</v>
      </c>
      <c r="U386" s="40">
        <v>46102</v>
      </c>
      <c r="V386" s="41">
        <v>46153.532719907409</v>
      </c>
      <c r="W386" s="40">
        <v>46101</v>
      </c>
      <c r="X386" s="35" t="s">
        <v>916</v>
      </c>
      <c r="Y386" s="35" t="s">
        <v>916</v>
      </c>
      <c r="Z386" s="35" t="s">
        <v>916</v>
      </c>
      <c r="AA386" s="38">
        <v>30.5158333344</v>
      </c>
      <c r="AB386" s="42" t="s">
        <v>916</v>
      </c>
      <c r="AC386" s="43" t="s">
        <v>916</v>
      </c>
      <c r="AD386" s="43" t="s">
        <v>916</v>
      </c>
      <c r="AE386" s="33" t="s">
        <v>916</v>
      </c>
      <c r="AF386" s="35" t="s">
        <v>916</v>
      </c>
      <c r="AG386" s="44">
        <v>0</v>
      </c>
      <c r="AH386" s="42" t="s">
        <v>916</v>
      </c>
      <c r="AI386" s="32" t="e">
        <f>VLOOKUP(A386,'4月明細'!B:B,1,0)</f>
        <v>#N/A</v>
      </c>
    </row>
    <row r="387" spans="1:35" ht="19.95" customHeight="1" x14ac:dyDescent="0.3">
      <c r="A387" s="33" t="s">
        <v>637</v>
      </c>
      <c r="B387" s="34">
        <v>46101.599861111114</v>
      </c>
      <c r="C387" s="34" t="str">
        <f t="shared" ref="C387:C450" si="19">TEXT(B387,"YYYYMM")</f>
        <v>202603</v>
      </c>
      <c r="D387" s="35" t="s">
        <v>986</v>
      </c>
      <c r="E387" s="36" t="s">
        <v>910</v>
      </c>
      <c r="F387" s="36" t="s">
        <v>1898</v>
      </c>
      <c r="G387" s="37" t="s">
        <v>1899</v>
      </c>
      <c r="H387" s="36" t="s">
        <v>928</v>
      </c>
      <c r="I387" s="35"/>
      <c r="J387" s="36" t="s">
        <v>945</v>
      </c>
      <c r="K387" s="33" t="s">
        <v>916</v>
      </c>
      <c r="L387" s="35" t="s">
        <v>916</v>
      </c>
      <c r="M387" s="36" t="s">
        <v>957</v>
      </c>
      <c r="N387" s="45">
        <v>46102.877083333333</v>
      </c>
      <c r="O387" s="36" t="s">
        <v>25</v>
      </c>
      <c r="P387" s="38">
        <v>1.2772222222</v>
      </c>
      <c r="Q387" s="39" t="s">
        <v>1900</v>
      </c>
      <c r="R387" s="35" t="s">
        <v>916</v>
      </c>
      <c r="S387" s="35"/>
      <c r="T387" s="35" t="s">
        <v>1624</v>
      </c>
      <c r="U387" s="40">
        <v>46102</v>
      </c>
      <c r="V387" s="41">
        <v>46153.532719907409</v>
      </c>
      <c r="W387" s="40">
        <v>46101</v>
      </c>
      <c r="X387" s="35" t="s">
        <v>916</v>
      </c>
      <c r="Y387" s="35" t="s">
        <v>916</v>
      </c>
      <c r="Z387" s="35" t="s">
        <v>916</v>
      </c>
      <c r="AA387" s="38">
        <v>30.653333332799999</v>
      </c>
      <c r="AB387" s="42" t="s">
        <v>916</v>
      </c>
      <c r="AC387" s="43" t="s">
        <v>916</v>
      </c>
      <c r="AD387" s="43" t="s">
        <v>916</v>
      </c>
      <c r="AE387" s="33" t="s">
        <v>916</v>
      </c>
      <c r="AF387" s="35" t="s">
        <v>916</v>
      </c>
      <c r="AG387" s="44">
        <v>0</v>
      </c>
      <c r="AH387" s="42" t="s">
        <v>916</v>
      </c>
      <c r="AI387" s="32" t="e">
        <f>VLOOKUP(A387,'4月明細'!B:B,1,0)</f>
        <v>#N/A</v>
      </c>
    </row>
    <row r="388" spans="1:35" ht="19.95" customHeight="1" x14ac:dyDescent="0.3">
      <c r="A388" s="33" t="s">
        <v>636</v>
      </c>
      <c r="B388" s="34">
        <v>46101.581365740742</v>
      </c>
      <c r="C388" s="34" t="str">
        <f t="shared" si="19"/>
        <v>202603</v>
      </c>
      <c r="D388" s="35" t="s">
        <v>909</v>
      </c>
      <c r="E388" s="36" t="s">
        <v>910</v>
      </c>
      <c r="F388" s="36" t="s">
        <v>964</v>
      </c>
      <c r="G388" s="37" t="s">
        <v>1901</v>
      </c>
      <c r="H388" s="36" t="s">
        <v>1023</v>
      </c>
      <c r="I388" s="35" t="s">
        <v>1902</v>
      </c>
      <c r="J388" s="36" t="s">
        <v>914</v>
      </c>
      <c r="K388" s="33" t="s">
        <v>916</v>
      </c>
      <c r="L388" s="35" t="s">
        <v>916</v>
      </c>
      <c r="M388" s="36" t="s">
        <v>957</v>
      </c>
      <c r="N388" s="45">
        <v>46101.595833333333</v>
      </c>
      <c r="O388" s="36" t="s">
        <v>25</v>
      </c>
      <c r="P388" s="38">
        <v>1.4467592600000001E-2</v>
      </c>
      <c r="Q388" s="39" t="s">
        <v>1903</v>
      </c>
      <c r="R388" s="35" t="s">
        <v>916</v>
      </c>
      <c r="S388" s="35"/>
      <c r="T388" s="35" t="s">
        <v>1624</v>
      </c>
      <c r="U388" s="40">
        <v>46102</v>
      </c>
      <c r="V388" s="41">
        <v>46153.532719907409</v>
      </c>
      <c r="W388" s="40">
        <v>46101</v>
      </c>
      <c r="X388" s="35" t="s">
        <v>916</v>
      </c>
      <c r="Y388" s="35" t="s">
        <v>916</v>
      </c>
      <c r="Z388" s="35" t="s">
        <v>916</v>
      </c>
      <c r="AA388" s="38">
        <v>0.3472222224</v>
      </c>
      <c r="AB388" s="42" t="s">
        <v>916</v>
      </c>
      <c r="AC388" s="43" t="s">
        <v>916</v>
      </c>
      <c r="AD388" s="43" t="s">
        <v>916</v>
      </c>
      <c r="AE388" s="33" t="s">
        <v>916</v>
      </c>
      <c r="AF388" s="35" t="s">
        <v>916</v>
      </c>
      <c r="AG388" s="44">
        <v>0</v>
      </c>
      <c r="AH388" s="42" t="s">
        <v>916</v>
      </c>
      <c r="AI388" s="32" t="e">
        <f>VLOOKUP(A388,'4月明細'!B:B,1,0)</f>
        <v>#N/A</v>
      </c>
    </row>
    <row r="389" spans="1:35" ht="19.95" customHeight="1" x14ac:dyDescent="0.3">
      <c r="A389" s="33" t="s">
        <v>635</v>
      </c>
      <c r="B389" s="34">
        <v>46101.50675925926</v>
      </c>
      <c r="C389" s="34" t="str">
        <f t="shared" si="19"/>
        <v>202603</v>
      </c>
      <c r="D389" s="35" t="s">
        <v>909</v>
      </c>
      <c r="E389" s="36" t="s">
        <v>910</v>
      </c>
      <c r="F389" s="36" t="s">
        <v>1531</v>
      </c>
      <c r="G389" s="37" t="s">
        <v>1728</v>
      </c>
      <c r="H389" s="36" t="s">
        <v>928</v>
      </c>
      <c r="I389" s="35"/>
      <c r="J389" s="36" t="s">
        <v>914</v>
      </c>
      <c r="K389" s="33" t="s">
        <v>916</v>
      </c>
      <c r="L389" s="35" t="s">
        <v>916</v>
      </c>
      <c r="M389" s="36" t="s">
        <v>957</v>
      </c>
      <c r="N389" s="45">
        <v>46101.595138888886</v>
      </c>
      <c r="O389" s="36" t="s">
        <v>25</v>
      </c>
      <c r="P389" s="38">
        <v>8.8379629599999995E-2</v>
      </c>
      <c r="Q389" s="39" t="s">
        <v>1904</v>
      </c>
      <c r="R389" s="35" t="s">
        <v>916</v>
      </c>
      <c r="S389" s="35"/>
      <c r="T389" s="35" t="s">
        <v>1624</v>
      </c>
      <c r="U389" s="40">
        <v>46102</v>
      </c>
      <c r="V389" s="41">
        <v>46153.532719907409</v>
      </c>
      <c r="W389" s="40">
        <v>46101</v>
      </c>
      <c r="X389" s="35" t="s">
        <v>916</v>
      </c>
      <c r="Y389" s="35" t="s">
        <v>916</v>
      </c>
      <c r="Z389" s="35" t="s">
        <v>916</v>
      </c>
      <c r="AA389" s="38">
        <v>2.1211111104000002</v>
      </c>
      <c r="AB389" s="42" t="s">
        <v>916</v>
      </c>
      <c r="AC389" s="43" t="s">
        <v>916</v>
      </c>
      <c r="AD389" s="43" t="s">
        <v>916</v>
      </c>
      <c r="AE389" s="33" t="s">
        <v>916</v>
      </c>
      <c r="AF389" s="35" t="s">
        <v>916</v>
      </c>
      <c r="AG389" s="44">
        <v>492782.28333333333</v>
      </c>
      <c r="AH389" s="42" t="s">
        <v>916</v>
      </c>
      <c r="AI389" s="32" t="e">
        <f>VLOOKUP(A389,'4月明細'!B:B,1,0)</f>
        <v>#N/A</v>
      </c>
    </row>
    <row r="390" spans="1:35" ht="19.95" customHeight="1" x14ac:dyDescent="0.3">
      <c r="A390" s="33" t="s">
        <v>634</v>
      </c>
      <c r="B390" s="34">
        <v>46101.459351851852</v>
      </c>
      <c r="C390" s="34" t="str">
        <f t="shared" si="19"/>
        <v>202603</v>
      </c>
      <c r="D390" s="35" t="s">
        <v>996</v>
      </c>
      <c r="E390" s="36" t="s">
        <v>910</v>
      </c>
      <c r="F390" s="36" t="s">
        <v>1237</v>
      </c>
      <c r="G390" s="37" t="s">
        <v>1905</v>
      </c>
      <c r="H390" s="36" t="s">
        <v>928</v>
      </c>
      <c r="I390" s="35"/>
      <c r="J390" s="36" t="s">
        <v>914</v>
      </c>
      <c r="K390" s="33" t="s">
        <v>916</v>
      </c>
      <c r="L390" s="35" t="s">
        <v>916</v>
      </c>
      <c r="M390" s="36" t="s">
        <v>957</v>
      </c>
      <c r="N390" s="45">
        <v>46101.595138888886</v>
      </c>
      <c r="O390" s="36" t="s">
        <v>25</v>
      </c>
      <c r="P390" s="38">
        <v>0.135787037</v>
      </c>
      <c r="Q390" s="39" t="s">
        <v>1906</v>
      </c>
      <c r="R390" s="35" t="s">
        <v>916</v>
      </c>
      <c r="S390" s="35" t="s">
        <v>1907</v>
      </c>
      <c r="T390" s="35" t="s">
        <v>1624</v>
      </c>
      <c r="U390" s="40">
        <v>46102</v>
      </c>
      <c r="V390" s="41">
        <v>46153.532719907409</v>
      </c>
      <c r="W390" s="40">
        <v>46101</v>
      </c>
      <c r="X390" s="35" t="s">
        <v>916</v>
      </c>
      <c r="Y390" s="35" t="s">
        <v>916</v>
      </c>
      <c r="Z390" s="35" t="s">
        <v>916</v>
      </c>
      <c r="AA390" s="38">
        <v>3.258888888</v>
      </c>
      <c r="AB390" s="42" t="s">
        <v>916</v>
      </c>
      <c r="AC390" s="43" t="s">
        <v>916</v>
      </c>
      <c r="AD390" s="43" t="s">
        <v>916</v>
      </c>
      <c r="AE390" s="33" t="s">
        <v>916</v>
      </c>
      <c r="AF390" s="35" t="s">
        <v>916</v>
      </c>
      <c r="AG390" s="44">
        <v>492782.28333333333</v>
      </c>
      <c r="AH390" s="42" t="s">
        <v>916</v>
      </c>
      <c r="AI390" s="32" t="e">
        <f>VLOOKUP(A390,'4月明細'!B:B,1,0)</f>
        <v>#N/A</v>
      </c>
    </row>
    <row r="391" spans="1:35" ht="19.95" customHeight="1" x14ac:dyDescent="0.3">
      <c r="A391" s="33" t="s">
        <v>633</v>
      </c>
      <c r="B391" s="34">
        <v>46101.457175925927</v>
      </c>
      <c r="C391" s="34" t="str">
        <f t="shared" si="19"/>
        <v>202603</v>
      </c>
      <c r="D391" s="35" t="s">
        <v>909</v>
      </c>
      <c r="E391" s="36" t="s">
        <v>910</v>
      </c>
      <c r="F391" s="36" t="s">
        <v>1682</v>
      </c>
      <c r="G391" s="37" t="s">
        <v>1908</v>
      </c>
      <c r="H391" s="36" t="s">
        <v>928</v>
      </c>
      <c r="I391" s="35" t="s">
        <v>1909</v>
      </c>
      <c r="J391" s="36" t="s">
        <v>914</v>
      </c>
      <c r="K391" s="33" t="s">
        <v>916</v>
      </c>
      <c r="L391" s="35" t="s">
        <v>916</v>
      </c>
      <c r="M391" s="36" t="s">
        <v>957</v>
      </c>
      <c r="N391" s="45">
        <v>46101.594444444447</v>
      </c>
      <c r="O391" s="36" t="s">
        <v>25</v>
      </c>
      <c r="P391" s="38">
        <v>0.13726851849999999</v>
      </c>
      <c r="Q391" s="39" t="s">
        <v>1910</v>
      </c>
      <c r="R391" s="35" t="s">
        <v>916</v>
      </c>
      <c r="S391" s="35" t="s">
        <v>1911</v>
      </c>
      <c r="T391" s="35" t="s">
        <v>1624</v>
      </c>
      <c r="U391" s="40">
        <v>46102</v>
      </c>
      <c r="V391" s="41">
        <v>46153.532719907409</v>
      </c>
      <c r="W391" s="40">
        <v>46101</v>
      </c>
      <c r="X391" s="35" t="s">
        <v>916</v>
      </c>
      <c r="Y391" s="35" t="s">
        <v>916</v>
      </c>
      <c r="Z391" s="35" t="s">
        <v>916</v>
      </c>
      <c r="AA391" s="38">
        <v>3.2944444439999998</v>
      </c>
      <c r="AB391" s="42" t="s">
        <v>916</v>
      </c>
      <c r="AC391" s="43" t="s">
        <v>916</v>
      </c>
      <c r="AD391" s="43" t="s">
        <v>916</v>
      </c>
      <c r="AE391" s="33" t="s">
        <v>916</v>
      </c>
      <c r="AF391" s="35" t="s">
        <v>916</v>
      </c>
      <c r="AG391" s="44">
        <v>492782.26666666672</v>
      </c>
      <c r="AH391" s="42" t="s">
        <v>916</v>
      </c>
      <c r="AI391" s="32" t="e">
        <f>VLOOKUP(A391,'4月明細'!B:B,1,0)</f>
        <v>#N/A</v>
      </c>
    </row>
    <row r="392" spans="1:35" ht="19.95" customHeight="1" x14ac:dyDescent="0.3">
      <c r="A392" s="33" t="s">
        <v>632</v>
      </c>
      <c r="B392" s="34">
        <v>46100.699699074074</v>
      </c>
      <c r="C392" s="34" t="str">
        <f t="shared" si="19"/>
        <v>202603</v>
      </c>
      <c r="D392" s="35" t="s">
        <v>996</v>
      </c>
      <c r="E392" s="36" t="s">
        <v>910</v>
      </c>
      <c r="F392" s="36" t="s">
        <v>1161</v>
      </c>
      <c r="G392" s="37" t="s">
        <v>1912</v>
      </c>
      <c r="H392" s="36" t="s">
        <v>913</v>
      </c>
      <c r="I392" s="35"/>
      <c r="J392" s="36" t="s">
        <v>914</v>
      </c>
      <c r="K392" s="33" t="s">
        <v>916</v>
      </c>
      <c r="L392" s="35" t="s">
        <v>916</v>
      </c>
      <c r="M392" s="36" t="s">
        <v>923</v>
      </c>
      <c r="N392" s="45">
        <v>46100.71875</v>
      </c>
      <c r="O392" s="36" t="s">
        <v>25</v>
      </c>
      <c r="P392" s="38">
        <v>1.9050925900000001E-2</v>
      </c>
      <c r="Q392" s="39" t="s">
        <v>1913</v>
      </c>
      <c r="R392" s="35" t="s">
        <v>916</v>
      </c>
      <c r="S392" s="35" t="s">
        <v>1914</v>
      </c>
      <c r="T392" s="35" t="s">
        <v>1624</v>
      </c>
      <c r="U392" s="40">
        <v>46101</v>
      </c>
      <c r="V392" s="41">
        <v>46153.532719907409</v>
      </c>
      <c r="W392" s="40">
        <v>46100</v>
      </c>
      <c r="X392" s="35" t="s">
        <v>916</v>
      </c>
      <c r="Y392" s="35" t="s">
        <v>916</v>
      </c>
      <c r="Z392" s="35" t="s">
        <v>916</v>
      </c>
      <c r="AA392" s="38">
        <v>0.45722222159999998</v>
      </c>
      <c r="AB392" s="42" t="s">
        <v>916</v>
      </c>
      <c r="AC392" s="43" t="s">
        <v>916</v>
      </c>
      <c r="AD392" s="43" t="s">
        <v>916</v>
      </c>
      <c r="AE392" s="33" t="s">
        <v>916</v>
      </c>
      <c r="AF392" s="35" t="s">
        <v>916</v>
      </c>
      <c r="AG392" s="44">
        <v>0</v>
      </c>
      <c r="AH392" s="42" t="s">
        <v>916</v>
      </c>
      <c r="AI392" s="32" t="e">
        <f>VLOOKUP(A392,'4月明細'!B:B,1,0)</f>
        <v>#N/A</v>
      </c>
    </row>
    <row r="393" spans="1:35" ht="19.95" customHeight="1" x14ac:dyDescent="0.3">
      <c r="A393" s="33" t="s">
        <v>631</v>
      </c>
      <c r="B393" s="34">
        <v>46100.604155092595</v>
      </c>
      <c r="C393" s="34" t="str">
        <f t="shared" si="19"/>
        <v>202603</v>
      </c>
      <c r="D393" s="35" t="s">
        <v>996</v>
      </c>
      <c r="E393" s="36" t="s">
        <v>910</v>
      </c>
      <c r="F393" s="36" t="s">
        <v>943</v>
      </c>
      <c r="G393" s="37" t="s">
        <v>1915</v>
      </c>
      <c r="H393" s="36" t="s">
        <v>954</v>
      </c>
      <c r="I393" s="35"/>
      <c r="J393" s="36" t="s">
        <v>914</v>
      </c>
      <c r="K393" s="33" t="s">
        <v>916</v>
      </c>
      <c r="L393" s="35" t="s">
        <v>916</v>
      </c>
      <c r="M393" s="36" t="s">
        <v>957</v>
      </c>
      <c r="N393" s="45">
        <v>46101.59375</v>
      </c>
      <c r="O393" s="36" t="s">
        <v>25</v>
      </c>
      <c r="P393" s="38">
        <v>0.9895949074</v>
      </c>
      <c r="Q393" s="39" t="s">
        <v>1916</v>
      </c>
      <c r="R393" s="35" t="s">
        <v>916</v>
      </c>
      <c r="S393" s="35" t="s">
        <v>1917</v>
      </c>
      <c r="T393" s="35" t="s">
        <v>1624</v>
      </c>
      <c r="U393" s="40">
        <v>46101</v>
      </c>
      <c r="V393" s="41">
        <v>46153.532719907409</v>
      </c>
      <c r="W393" s="40">
        <v>46100</v>
      </c>
      <c r="X393" s="35" t="s">
        <v>916</v>
      </c>
      <c r="Y393" s="35" t="s">
        <v>916</v>
      </c>
      <c r="Z393" s="35" t="s">
        <v>916</v>
      </c>
      <c r="AA393" s="38">
        <v>23.750277777600001</v>
      </c>
      <c r="AB393" s="42" t="s">
        <v>916</v>
      </c>
      <c r="AC393" s="43" t="s">
        <v>916</v>
      </c>
      <c r="AD393" s="43" t="s">
        <v>916</v>
      </c>
      <c r="AE393" s="33" t="s">
        <v>916</v>
      </c>
      <c r="AF393" s="35" t="s">
        <v>916</v>
      </c>
      <c r="AG393" s="44">
        <v>492782.25</v>
      </c>
      <c r="AH393" s="42" t="s">
        <v>916</v>
      </c>
      <c r="AI393" s="32" t="e">
        <f>VLOOKUP(A393,'4月明細'!B:B,1,0)</f>
        <v>#N/A</v>
      </c>
    </row>
    <row r="394" spans="1:35" ht="19.95" customHeight="1" x14ac:dyDescent="0.3">
      <c r="A394" s="33" t="s">
        <v>1918</v>
      </c>
      <c r="B394" s="34">
        <v>46100.542175925926</v>
      </c>
      <c r="C394" s="34" t="str">
        <f t="shared" si="19"/>
        <v>202603</v>
      </c>
      <c r="D394" s="35" t="s">
        <v>996</v>
      </c>
      <c r="E394" s="36" t="s">
        <v>910</v>
      </c>
      <c r="F394" s="36" t="s">
        <v>1919</v>
      </c>
      <c r="G394" s="37" t="s">
        <v>1096</v>
      </c>
      <c r="H394" s="36" t="s">
        <v>928</v>
      </c>
      <c r="I394" s="35"/>
      <c r="J394" s="36" t="s">
        <v>914</v>
      </c>
      <c r="K394" s="33" t="s">
        <v>916</v>
      </c>
      <c r="L394" s="35" t="s">
        <v>916</v>
      </c>
      <c r="M394" s="36" t="s">
        <v>923</v>
      </c>
      <c r="N394" s="45">
        <v>46100.59375</v>
      </c>
      <c r="O394" s="36" t="s">
        <v>1920</v>
      </c>
      <c r="P394" s="38">
        <v>5.1574074099999999E-2</v>
      </c>
      <c r="Q394" s="39" t="s">
        <v>1921</v>
      </c>
      <c r="R394" s="35" t="s">
        <v>916</v>
      </c>
      <c r="S394" s="35"/>
      <c r="T394" s="35" t="s">
        <v>1624</v>
      </c>
      <c r="U394" s="40">
        <v>46101</v>
      </c>
      <c r="V394" s="41">
        <v>46153.532719907409</v>
      </c>
      <c r="W394" s="40">
        <v>46100</v>
      </c>
      <c r="X394" s="35" t="s">
        <v>916</v>
      </c>
      <c r="Y394" s="35" t="s">
        <v>916</v>
      </c>
      <c r="Z394" s="35" t="s">
        <v>916</v>
      </c>
      <c r="AA394" s="38">
        <v>1.2377777783999999</v>
      </c>
      <c r="AB394" s="42" t="s">
        <v>916</v>
      </c>
      <c r="AC394" s="43" t="s">
        <v>916</v>
      </c>
      <c r="AD394" s="43" t="s">
        <v>916</v>
      </c>
      <c r="AE394" s="33" t="s">
        <v>916</v>
      </c>
      <c r="AF394" s="35" t="s">
        <v>916</v>
      </c>
      <c r="AG394" s="44">
        <v>0</v>
      </c>
      <c r="AH394" s="42" t="s">
        <v>916</v>
      </c>
      <c r="AI394" s="32" t="e">
        <f>VLOOKUP(A394,'4月明細'!B:B,1,0)</f>
        <v>#N/A</v>
      </c>
    </row>
    <row r="395" spans="1:35" ht="19.95" customHeight="1" x14ac:dyDescent="0.3">
      <c r="A395" s="33" t="s">
        <v>630</v>
      </c>
      <c r="B395" s="34">
        <v>46100.422893518517</v>
      </c>
      <c r="C395" s="34" t="str">
        <f t="shared" si="19"/>
        <v>202603</v>
      </c>
      <c r="D395" s="35" t="s">
        <v>951</v>
      </c>
      <c r="E395" s="36" t="s">
        <v>910</v>
      </c>
      <c r="F395" s="36" t="s">
        <v>987</v>
      </c>
      <c r="G395" s="37" t="s">
        <v>1922</v>
      </c>
      <c r="H395" s="36" t="s">
        <v>928</v>
      </c>
      <c r="I395" s="35"/>
      <c r="J395" s="36" t="s">
        <v>914</v>
      </c>
      <c r="K395" s="33" t="s">
        <v>916</v>
      </c>
      <c r="L395" s="35" t="s">
        <v>916</v>
      </c>
      <c r="M395" s="36" t="s">
        <v>957</v>
      </c>
      <c r="N395" s="45">
        <v>46101.59375</v>
      </c>
      <c r="O395" s="36" t="s">
        <v>25</v>
      </c>
      <c r="P395" s="38">
        <v>1.1708564815</v>
      </c>
      <c r="Q395" s="39" t="s">
        <v>1923</v>
      </c>
      <c r="R395" s="35" t="s">
        <v>916</v>
      </c>
      <c r="S395" s="35"/>
      <c r="T395" s="35" t="s">
        <v>1624</v>
      </c>
      <c r="U395" s="40">
        <v>46101</v>
      </c>
      <c r="V395" s="41">
        <v>46153.532719907409</v>
      </c>
      <c r="W395" s="40">
        <v>46100</v>
      </c>
      <c r="X395" s="35" t="s">
        <v>916</v>
      </c>
      <c r="Y395" s="35" t="s">
        <v>916</v>
      </c>
      <c r="Z395" s="35" t="s">
        <v>916</v>
      </c>
      <c r="AA395" s="38">
        <v>28.100555556</v>
      </c>
      <c r="AB395" s="42" t="s">
        <v>916</v>
      </c>
      <c r="AC395" s="43" t="s">
        <v>916</v>
      </c>
      <c r="AD395" s="43" t="s">
        <v>916</v>
      </c>
      <c r="AE395" s="33" t="s">
        <v>916</v>
      </c>
      <c r="AF395" s="35" t="s">
        <v>916</v>
      </c>
      <c r="AG395" s="44">
        <v>492782.25</v>
      </c>
      <c r="AH395" s="42" t="s">
        <v>916</v>
      </c>
      <c r="AI395" s="32" t="e">
        <f>VLOOKUP(A395,'4月明細'!B:B,1,0)</f>
        <v>#N/A</v>
      </c>
    </row>
    <row r="396" spans="1:35" ht="19.95" customHeight="1" x14ac:dyDescent="0.3">
      <c r="A396" s="33" t="s">
        <v>629</v>
      </c>
      <c r="B396" s="34">
        <v>46100.415185185186</v>
      </c>
      <c r="C396" s="34" t="str">
        <f t="shared" si="19"/>
        <v>202603</v>
      </c>
      <c r="D396" s="35" t="s">
        <v>996</v>
      </c>
      <c r="E396" s="36" t="s">
        <v>910</v>
      </c>
      <c r="F396" s="36" t="s">
        <v>1924</v>
      </c>
      <c r="G396" s="37" t="s">
        <v>1737</v>
      </c>
      <c r="H396" s="36" t="s">
        <v>954</v>
      </c>
      <c r="I396" s="35"/>
      <c r="J396" s="36" t="s">
        <v>914</v>
      </c>
      <c r="K396" s="33" t="s">
        <v>916</v>
      </c>
      <c r="L396" s="35" t="s">
        <v>916</v>
      </c>
      <c r="M396" s="36" t="s">
        <v>957</v>
      </c>
      <c r="N396" s="45">
        <v>46101.593055555553</v>
      </c>
      <c r="O396" s="36" t="s">
        <v>25</v>
      </c>
      <c r="P396" s="38">
        <v>1.1778703704</v>
      </c>
      <c r="Q396" s="39" t="s">
        <v>1925</v>
      </c>
      <c r="R396" s="35" t="s">
        <v>916</v>
      </c>
      <c r="S396" s="35" t="s">
        <v>1926</v>
      </c>
      <c r="T396" s="35" t="s">
        <v>1624</v>
      </c>
      <c r="U396" s="40">
        <v>46101</v>
      </c>
      <c r="V396" s="41">
        <v>46153.532719907409</v>
      </c>
      <c r="W396" s="40">
        <v>46100</v>
      </c>
      <c r="X396" s="35" t="s">
        <v>916</v>
      </c>
      <c r="Y396" s="35" t="s">
        <v>916</v>
      </c>
      <c r="Z396" s="35" t="s">
        <v>916</v>
      </c>
      <c r="AA396" s="38">
        <v>28.268888889599999</v>
      </c>
      <c r="AB396" s="42" t="s">
        <v>916</v>
      </c>
      <c r="AC396" s="43" t="s">
        <v>916</v>
      </c>
      <c r="AD396" s="43" t="s">
        <v>916</v>
      </c>
      <c r="AE396" s="33" t="s">
        <v>916</v>
      </c>
      <c r="AF396" s="35" t="s">
        <v>916</v>
      </c>
      <c r="AG396" s="44">
        <v>492782.2333333334</v>
      </c>
      <c r="AH396" s="42" t="s">
        <v>916</v>
      </c>
      <c r="AI396" s="32" t="e">
        <f>VLOOKUP(A396,'4月明細'!B:B,1,0)</f>
        <v>#N/A</v>
      </c>
    </row>
    <row r="397" spans="1:35" ht="19.95" customHeight="1" x14ac:dyDescent="0.3">
      <c r="A397" s="33" t="s">
        <v>628</v>
      </c>
      <c r="B397" s="34">
        <v>46100.038611111115</v>
      </c>
      <c r="C397" s="34" t="str">
        <f t="shared" si="19"/>
        <v>202603</v>
      </c>
      <c r="D397" s="35" t="s">
        <v>1217</v>
      </c>
      <c r="E397" s="36" t="s">
        <v>1112</v>
      </c>
      <c r="F397" s="36" t="s">
        <v>1229</v>
      </c>
      <c r="G397" s="37" t="s">
        <v>1927</v>
      </c>
      <c r="H397" s="36" t="s">
        <v>1078</v>
      </c>
      <c r="I397" s="35"/>
      <c r="J397" s="36" t="s">
        <v>945</v>
      </c>
      <c r="K397" s="33" t="s">
        <v>916</v>
      </c>
      <c r="L397" s="35" t="s">
        <v>916</v>
      </c>
      <c r="M397" s="36" t="s">
        <v>957</v>
      </c>
      <c r="N397" s="45">
        <v>46101.59097222222</v>
      </c>
      <c r="O397" s="36" t="s">
        <v>25</v>
      </c>
      <c r="P397" s="38">
        <v>1.5523611111</v>
      </c>
      <c r="Q397" s="39" t="s">
        <v>1928</v>
      </c>
      <c r="R397" s="35" t="s">
        <v>916</v>
      </c>
      <c r="S397" s="35" t="s">
        <v>1929</v>
      </c>
      <c r="T397" s="35" t="s">
        <v>1624</v>
      </c>
      <c r="U397" s="40">
        <v>46101</v>
      </c>
      <c r="V397" s="41">
        <v>46153.532719907409</v>
      </c>
      <c r="W397" s="40">
        <v>46100</v>
      </c>
      <c r="X397" s="35" t="s">
        <v>916</v>
      </c>
      <c r="Y397" s="35" t="s">
        <v>916</v>
      </c>
      <c r="Z397" s="35" t="s">
        <v>916</v>
      </c>
      <c r="AA397" s="38">
        <v>37.256666666400001</v>
      </c>
      <c r="AB397" s="42" t="s">
        <v>916</v>
      </c>
      <c r="AC397" s="43" t="s">
        <v>916</v>
      </c>
      <c r="AD397" s="43" t="s">
        <v>916</v>
      </c>
      <c r="AE397" s="33" t="s">
        <v>916</v>
      </c>
      <c r="AF397" s="35" t="s">
        <v>916</v>
      </c>
      <c r="AG397" s="44">
        <v>0</v>
      </c>
      <c r="AH397" s="42" t="s">
        <v>916</v>
      </c>
      <c r="AI397" s="32" t="e">
        <f>VLOOKUP(A397,'4月明細'!B:B,1,0)</f>
        <v>#N/A</v>
      </c>
    </row>
    <row r="398" spans="1:35" ht="19.95" customHeight="1" x14ac:dyDescent="0.3">
      <c r="A398" s="33" t="s">
        <v>627</v>
      </c>
      <c r="B398" s="34">
        <v>46099.591481481482</v>
      </c>
      <c r="C398" s="34" t="str">
        <f t="shared" si="19"/>
        <v>202603</v>
      </c>
      <c r="D398" s="35" t="s">
        <v>909</v>
      </c>
      <c r="E398" s="36" t="s">
        <v>910</v>
      </c>
      <c r="F398" s="36" t="s">
        <v>1183</v>
      </c>
      <c r="G398" s="37" t="s">
        <v>1930</v>
      </c>
      <c r="H398" s="36" t="s">
        <v>928</v>
      </c>
      <c r="I398" s="35" t="s">
        <v>1931</v>
      </c>
      <c r="J398" s="36" t="s">
        <v>929</v>
      </c>
      <c r="K398" s="33" t="s">
        <v>916</v>
      </c>
      <c r="L398" s="35" t="s">
        <v>916</v>
      </c>
      <c r="M398" s="36" t="s">
        <v>923</v>
      </c>
      <c r="N398" s="45">
        <v>46099.724999999999</v>
      </c>
      <c r="O398" s="36" t="s">
        <v>25</v>
      </c>
      <c r="P398" s="38">
        <v>0.13351851849999999</v>
      </c>
      <c r="Q398" s="39" t="s">
        <v>1932</v>
      </c>
      <c r="R398" s="35" t="s">
        <v>916</v>
      </c>
      <c r="S398" s="35" t="s">
        <v>1933</v>
      </c>
      <c r="T398" s="35" t="s">
        <v>1624</v>
      </c>
      <c r="U398" s="40">
        <v>46100</v>
      </c>
      <c r="V398" s="41">
        <v>46153.532719907409</v>
      </c>
      <c r="W398" s="40">
        <v>46099</v>
      </c>
      <c r="X398" s="35" t="s">
        <v>916</v>
      </c>
      <c r="Y398" s="35" t="s">
        <v>916</v>
      </c>
      <c r="Z398" s="35" t="s">
        <v>916</v>
      </c>
      <c r="AA398" s="38">
        <v>3.2044444439999999</v>
      </c>
      <c r="AB398" s="42" t="s">
        <v>916</v>
      </c>
      <c r="AC398" s="43" t="s">
        <v>916</v>
      </c>
      <c r="AD398" s="43" t="s">
        <v>916</v>
      </c>
      <c r="AE398" s="33" t="s">
        <v>916</v>
      </c>
      <c r="AF398" s="35" t="s">
        <v>916</v>
      </c>
      <c r="AG398" s="44">
        <v>0</v>
      </c>
      <c r="AH398" s="42" t="s">
        <v>916</v>
      </c>
      <c r="AI398" s="32" t="e">
        <f>VLOOKUP(A398,'4月明細'!B:B,1,0)</f>
        <v>#N/A</v>
      </c>
    </row>
    <row r="399" spans="1:35" ht="19.95" customHeight="1" x14ac:dyDescent="0.3">
      <c r="A399" s="33" t="s">
        <v>626</v>
      </c>
      <c r="B399" s="34">
        <v>46099.325335648151</v>
      </c>
      <c r="C399" s="34" t="str">
        <f t="shared" si="19"/>
        <v>202603</v>
      </c>
      <c r="D399" s="35" t="s">
        <v>1934</v>
      </c>
      <c r="E399" s="36" t="s">
        <v>942</v>
      </c>
      <c r="F399" s="36" t="s">
        <v>1179</v>
      </c>
      <c r="G399" s="37" t="s">
        <v>1935</v>
      </c>
      <c r="H399" s="36" t="s">
        <v>928</v>
      </c>
      <c r="I399" s="35"/>
      <c r="J399" s="36" t="s">
        <v>945</v>
      </c>
      <c r="K399" s="33" t="s">
        <v>916</v>
      </c>
      <c r="L399" s="35" t="s">
        <v>916</v>
      </c>
      <c r="M399" s="36" t="s">
        <v>923</v>
      </c>
      <c r="N399" s="45">
        <v>46099.724999999999</v>
      </c>
      <c r="O399" s="36" t="s">
        <v>25</v>
      </c>
      <c r="P399" s="38">
        <v>0.39966435189999999</v>
      </c>
      <c r="Q399" s="39" t="s">
        <v>1936</v>
      </c>
      <c r="R399" s="35" t="s">
        <v>916</v>
      </c>
      <c r="S399" s="35" t="s">
        <v>1937</v>
      </c>
      <c r="T399" s="35" t="s">
        <v>1624</v>
      </c>
      <c r="U399" s="40">
        <v>46100</v>
      </c>
      <c r="V399" s="41">
        <v>46153.532719907409</v>
      </c>
      <c r="W399" s="40">
        <v>46099</v>
      </c>
      <c r="X399" s="35" t="s">
        <v>916</v>
      </c>
      <c r="Y399" s="35" t="s">
        <v>916</v>
      </c>
      <c r="Z399" s="35" t="s">
        <v>916</v>
      </c>
      <c r="AA399" s="38">
        <v>9.5919444455999994</v>
      </c>
      <c r="AB399" s="42" t="s">
        <v>916</v>
      </c>
      <c r="AC399" s="43" t="s">
        <v>916</v>
      </c>
      <c r="AD399" s="43" t="s">
        <v>916</v>
      </c>
      <c r="AE399" s="33" t="s">
        <v>916</v>
      </c>
      <c r="AF399" s="35" t="s">
        <v>916</v>
      </c>
      <c r="AG399" s="44">
        <v>492737.4</v>
      </c>
      <c r="AH399" s="42" t="s">
        <v>916</v>
      </c>
      <c r="AI399" s="32" t="e">
        <f>VLOOKUP(A399,'4月明細'!B:B,1,0)</f>
        <v>#N/A</v>
      </c>
    </row>
    <row r="400" spans="1:35" ht="19.95" customHeight="1" x14ac:dyDescent="0.3">
      <c r="A400" s="33" t="s">
        <v>625</v>
      </c>
      <c r="B400" s="34">
        <v>46099.307789351849</v>
      </c>
      <c r="C400" s="34" t="str">
        <f t="shared" si="19"/>
        <v>202603</v>
      </c>
      <c r="D400" s="35" t="s">
        <v>1510</v>
      </c>
      <c r="E400" s="36" t="s">
        <v>942</v>
      </c>
      <c r="F400" s="36" t="s">
        <v>1938</v>
      </c>
      <c r="G400" s="37" t="s">
        <v>1939</v>
      </c>
      <c r="H400" s="36" t="s">
        <v>928</v>
      </c>
      <c r="I400" s="35"/>
      <c r="J400" s="36" t="s">
        <v>945</v>
      </c>
      <c r="K400" s="33" t="s">
        <v>916</v>
      </c>
      <c r="L400" s="35" t="s">
        <v>916</v>
      </c>
      <c r="M400" s="36" t="s">
        <v>923</v>
      </c>
      <c r="N400" s="45">
        <v>46099.723611111112</v>
      </c>
      <c r="O400" s="36" t="s">
        <v>25</v>
      </c>
      <c r="P400" s="38">
        <v>0.41582175929999998</v>
      </c>
      <c r="Q400" s="39" t="s">
        <v>1940</v>
      </c>
      <c r="R400" s="35" t="s">
        <v>916</v>
      </c>
      <c r="S400" s="35"/>
      <c r="T400" s="35" t="s">
        <v>1624</v>
      </c>
      <c r="U400" s="40">
        <v>46100</v>
      </c>
      <c r="V400" s="41">
        <v>46153.532719907409</v>
      </c>
      <c r="W400" s="40">
        <v>46099</v>
      </c>
      <c r="X400" s="35" t="s">
        <v>916</v>
      </c>
      <c r="Y400" s="35" t="s">
        <v>916</v>
      </c>
      <c r="Z400" s="35" t="s">
        <v>916</v>
      </c>
      <c r="AA400" s="38">
        <v>9.9797222231999996</v>
      </c>
      <c r="AB400" s="42" t="s">
        <v>916</v>
      </c>
      <c r="AC400" s="43" t="s">
        <v>916</v>
      </c>
      <c r="AD400" s="43" t="s">
        <v>916</v>
      </c>
      <c r="AE400" s="33" t="s">
        <v>916</v>
      </c>
      <c r="AF400" s="35" t="s">
        <v>916</v>
      </c>
      <c r="AG400" s="44">
        <v>0</v>
      </c>
      <c r="AH400" s="42" t="s">
        <v>916</v>
      </c>
      <c r="AI400" s="32" t="e">
        <f>VLOOKUP(A400,'4月明細'!B:B,1,0)</f>
        <v>#N/A</v>
      </c>
    </row>
    <row r="401" spans="1:35" ht="19.95" customHeight="1" x14ac:dyDescent="0.3">
      <c r="A401" s="33" t="s">
        <v>624</v>
      </c>
      <c r="B401" s="34">
        <v>46098.6797337963</v>
      </c>
      <c r="C401" s="34" t="str">
        <f t="shared" si="19"/>
        <v>202603</v>
      </c>
      <c r="D401" s="35" t="s">
        <v>986</v>
      </c>
      <c r="E401" s="36" t="s">
        <v>942</v>
      </c>
      <c r="F401" s="36" t="s">
        <v>1354</v>
      </c>
      <c r="G401" s="37" t="s">
        <v>1941</v>
      </c>
      <c r="H401" s="36" t="s">
        <v>1114</v>
      </c>
      <c r="I401" s="35"/>
      <c r="J401" s="36" t="s">
        <v>914</v>
      </c>
      <c r="K401" s="33" t="s">
        <v>916</v>
      </c>
      <c r="L401" s="35" t="s">
        <v>916</v>
      </c>
      <c r="M401" s="36" t="s">
        <v>957</v>
      </c>
      <c r="N401" s="45">
        <v>46098.688194444447</v>
      </c>
      <c r="O401" s="36" t="s">
        <v>25</v>
      </c>
      <c r="P401" s="38">
        <v>8.4606482000000004E-3</v>
      </c>
      <c r="Q401" s="39" t="s">
        <v>1942</v>
      </c>
      <c r="R401" s="35" t="s">
        <v>916</v>
      </c>
      <c r="S401" s="35"/>
      <c r="T401" s="35" t="s">
        <v>1624</v>
      </c>
      <c r="U401" s="40">
        <v>46099</v>
      </c>
      <c r="V401" s="41">
        <v>46153.532719907409</v>
      </c>
      <c r="W401" s="40">
        <v>46098</v>
      </c>
      <c r="X401" s="35" t="s">
        <v>916</v>
      </c>
      <c r="Y401" s="35" t="s">
        <v>916</v>
      </c>
      <c r="Z401" s="35" t="s">
        <v>916</v>
      </c>
      <c r="AA401" s="38">
        <v>0.20305555680000001</v>
      </c>
      <c r="AB401" s="42" t="s">
        <v>916</v>
      </c>
      <c r="AC401" s="43" t="s">
        <v>916</v>
      </c>
      <c r="AD401" s="43" t="s">
        <v>916</v>
      </c>
      <c r="AE401" s="33" t="s">
        <v>916</v>
      </c>
      <c r="AF401" s="35" t="s">
        <v>916</v>
      </c>
      <c r="AG401" s="44">
        <v>492712.51666666672</v>
      </c>
      <c r="AH401" s="42" t="s">
        <v>916</v>
      </c>
      <c r="AI401" s="32" t="e">
        <f>VLOOKUP(A401,'4月明細'!B:B,1,0)</f>
        <v>#N/A</v>
      </c>
    </row>
    <row r="402" spans="1:35" ht="19.95" customHeight="1" x14ac:dyDescent="0.3">
      <c r="A402" s="33" t="s">
        <v>1943</v>
      </c>
      <c r="B402" s="34">
        <v>46098.638437499998</v>
      </c>
      <c r="C402" s="34" t="str">
        <f t="shared" si="19"/>
        <v>202603</v>
      </c>
      <c r="D402" s="35" t="s">
        <v>1168</v>
      </c>
      <c r="E402" s="36" t="s">
        <v>942</v>
      </c>
      <c r="F402" s="36" t="s">
        <v>1354</v>
      </c>
      <c r="G402" s="37" t="s">
        <v>1944</v>
      </c>
      <c r="H402" s="36" t="s">
        <v>1114</v>
      </c>
      <c r="I402" s="35"/>
      <c r="J402" s="36" t="s">
        <v>914</v>
      </c>
      <c r="K402" s="33" t="s">
        <v>916</v>
      </c>
      <c r="L402" s="35" t="s">
        <v>916</v>
      </c>
      <c r="M402" s="36" t="s">
        <v>957</v>
      </c>
      <c r="N402" s="45">
        <v>46098.6875</v>
      </c>
      <c r="O402" s="36" t="s">
        <v>1920</v>
      </c>
      <c r="P402" s="38">
        <v>4.9062500000000002E-2</v>
      </c>
      <c r="Q402" s="39" t="s">
        <v>1945</v>
      </c>
      <c r="R402" s="35" t="s">
        <v>916</v>
      </c>
      <c r="S402" s="35"/>
      <c r="T402" s="35" t="s">
        <v>1624</v>
      </c>
      <c r="U402" s="40">
        <v>46099</v>
      </c>
      <c r="V402" s="41">
        <v>46153.532719907409</v>
      </c>
      <c r="W402" s="40">
        <v>46098</v>
      </c>
      <c r="X402" s="35" t="s">
        <v>916</v>
      </c>
      <c r="Y402" s="35" t="s">
        <v>916</v>
      </c>
      <c r="Z402" s="35" t="s">
        <v>916</v>
      </c>
      <c r="AA402" s="38">
        <v>1.1775</v>
      </c>
      <c r="AB402" s="42" t="s">
        <v>916</v>
      </c>
      <c r="AC402" s="43" t="s">
        <v>916</v>
      </c>
      <c r="AD402" s="43" t="s">
        <v>916</v>
      </c>
      <c r="AE402" s="33" t="s">
        <v>916</v>
      </c>
      <c r="AF402" s="35" t="s">
        <v>916</v>
      </c>
      <c r="AG402" s="44">
        <v>0</v>
      </c>
      <c r="AH402" s="42" t="s">
        <v>916</v>
      </c>
      <c r="AI402" s="32" t="e">
        <f>VLOOKUP(A402,'4月明細'!B:B,1,0)</f>
        <v>#N/A</v>
      </c>
    </row>
    <row r="403" spans="1:35" ht="19.95" customHeight="1" x14ac:dyDescent="0.3">
      <c r="A403" s="33" t="s">
        <v>1946</v>
      </c>
      <c r="B403" s="34">
        <v>46098.537997685184</v>
      </c>
      <c r="C403" s="34" t="str">
        <f t="shared" si="19"/>
        <v>202603</v>
      </c>
      <c r="D403" s="35" t="s">
        <v>951</v>
      </c>
      <c r="E403" s="36" t="s">
        <v>910</v>
      </c>
      <c r="F403" s="36" t="s">
        <v>1947</v>
      </c>
      <c r="G403" s="37" t="s">
        <v>1948</v>
      </c>
      <c r="H403" s="36" t="s">
        <v>954</v>
      </c>
      <c r="I403" s="35"/>
      <c r="J403" s="36" t="s">
        <v>929</v>
      </c>
      <c r="K403" s="33" t="s">
        <v>916</v>
      </c>
      <c r="L403" s="35" t="s">
        <v>916</v>
      </c>
      <c r="M403" s="36" t="s">
        <v>916</v>
      </c>
      <c r="N403" s="36" t="s">
        <v>916</v>
      </c>
      <c r="O403" s="36" t="s">
        <v>939</v>
      </c>
      <c r="P403" s="38" t="s">
        <v>916</v>
      </c>
      <c r="Q403" s="36" t="s">
        <v>916</v>
      </c>
      <c r="R403" s="35" t="s">
        <v>916</v>
      </c>
      <c r="S403" s="35"/>
      <c r="T403" s="35" t="s">
        <v>1624</v>
      </c>
      <c r="U403" s="40">
        <v>46099</v>
      </c>
      <c r="V403" s="41">
        <v>46153.532719907409</v>
      </c>
      <c r="W403" s="40">
        <v>46098</v>
      </c>
      <c r="X403" s="40">
        <v>46153</v>
      </c>
      <c r="Y403" s="35" t="s">
        <v>916</v>
      </c>
      <c r="Z403" s="35" t="s">
        <v>916</v>
      </c>
      <c r="AA403" s="38">
        <v>0</v>
      </c>
      <c r="AB403" s="42" t="s">
        <v>916</v>
      </c>
      <c r="AC403" s="43" t="s">
        <v>916</v>
      </c>
      <c r="AD403" s="43" t="s">
        <v>916</v>
      </c>
      <c r="AE403" s="33" t="s">
        <v>916</v>
      </c>
      <c r="AF403" s="35" t="s">
        <v>916</v>
      </c>
      <c r="AG403" s="44">
        <v>0</v>
      </c>
      <c r="AH403" s="42" t="s">
        <v>916</v>
      </c>
      <c r="AI403" s="32" t="e">
        <f>VLOOKUP(A403,'4月明細'!B:B,1,0)</f>
        <v>#N/A</v>
      </c>
    </row>
    <row r="404" spans="1:35" ht="19.95" customHeight="1" x14ac:dyDescent="0.3">
      <c r="A404" s="33" t="s">
        <v>1949</v>
      </c>
      <c r="B404" s="34">
        <v>46098.49900462963</v>
      </c>
      <c r="C404" s="34" t="str">
        <f t="shared" si="19"/>
        <v>202603</v>
      </c>
      <c r="D404" s="35" t="s">
        <v>951</v>
      </c>
      <c r="E404" s="36" t="s">
        <v>910</v>
      </c>
      <c r="F404" s="36" t="s">
        <v>1950</v>
      </c>
      <c r="G404" s="37" t="s">
        <v>1951</v>
      </c>
      <c r="H404" s="36" t="s">
        <v>954</v>
      </c>
      <c r="I404" s="35"/>
      <c r="J404" s="36" t="s">
        <v>929</v>
      </c>
      <c r="K404" s="33" t="s">
        <v>916</v>
      </c>
      <c r="L404" s="35" t="s">
        <v>916</v>
      </c>
      <c r="M404" s="36" t="s">
        <v>916</v>
      </c>
      <c r="N404" s="36" t="s">
        <v>916</v>
      </c>
      <c r="O404" s="36" t="s">
        <v>939</v>
      </c>
      <c r="P404" s="38" t="s">
        <v>916</v>
      </c>
      <c r="Q404" s="36" t="s">
        <v>916</v>
      </c>
      <c r="R404" s="35" t="s">
        <v>916</v>
      </c>
      <c r="S404" s="35"/>
      <c r="T404" s="35" t="s">
        <v>1624</v>
      </c>
      <c r="U404" s="40">
        <v>46099</v>
      </c>
      <c r="V404" s="41">
        <v>46153.532719907409</v>
      </c>
      <c r="W404" s="40">
        <v>46098</v>
      </c>
      <c r="X404" s="40">
        <v>46153</v>
      </c>
      <c r="Y404" s="35" t="s">
        <v>916</v>
      </c>
      <c r="Z404" s="35" t="s">
        <v>916</v>
      </c>
      <c r="AA404" s="38">
        <v>0</v>
      </c>
      <c r="AB404" s="42" t="s">
        <v>916</v>
      </c>
      <c r="AC404" s="43" t="s">
        <v>916</v>
      </c>
      <c r="AD404" s="43" t="s">
        <v>916</v>
      </c>
      <c r="AE404" s="33" t="s">
        <v>916</v>
      </c>
      <c r="AF404" s="35" t="s">
        <v>916</v>
      </c>
      <c r="AG404" s="44">
        <v>0</v>
      </c>
      <c r="AH404" s="42" t="s">
        <v>916</v>
      </c>
      <c r="AI404" s="32" t="e">
        <f>VLOOKUP(A404,'4月明細'!B:B,1,0)</f>
        <v>#N/A</v>
      </c>
    </row>
    <row r="405" spans="1:35" ht="19.95" customHeight="1" x14ac:dyDescent="0.3">
      <c r="A405" s="33" t="s">
        <v>623</v>
      </c>
      <c r="B405" s="34">
        <v>46098.49422453704</v>
      </c>
      <c r="C405" s="34" t="str">
        <f t="shared" si="19"/>
        <v>202603</v>
      </c>
      <c r="D405" s="35" t="s">
        <v>1952</v>
      </c>
      <c r="E405" s="36" t="s">
        <v>910</v>
      </c>
      <c r="F405" s="36" t="s">
        <v>947</v>
      </c>
      <c r="G405" s="37" t="s">
        <v>1953</v>
      </c>
      <c r="H405" s="36" t="s">
        <v>913</v>
      </c>
      <c r="I405" s="35" t="s">
        <v>1954</v>
      </c>
      <c r="J405" s="36" t="s">
        <v>929</v>
      </c>
      <c r="K405" s="33" t="s">
        <v>916</v>
      </c>
      <c r="L405" s="35" t="s">
        <v>916</v>
      </c>
      <c r="M405" s="36" t="s">
        <v>957</v>
      </c>
      <c r="N405" s="45">
        <v>46098.643055555556</v>
      </c>
      <c r="O405" s="36" t="s">
        <v>25</v>
      </c>
      <c r="P405" s="38">
        <v>0.1488310185</v>
      </c>
      <c r="Q405" s="39" t="s">
        <v>1955</v>
      </c>
      <c r="R405" s="35" t="s">
        <v>916</v>
      </c>
      <c r="S405" s="35" t="s">
        <v>1956</v>
      </c>
      <c r="T405" s="35" t="s">
        <v>1624</v>
      </c>
      <c r="U405" s="40">
        <v>46099</v>
      </c>
      <c r="V405" s="41">
        <v>46153.532731481479</v>
      </c>
      <c r="W405" s="40">
        <v>46098</v>
      </c>
      <c r="X405" s="35" t="s">
        <v>916</v>
      </c>
      <c r="Y405" s="35" t="s">
        <v>916</v>
      </c>
      <c r="Z405" s="35" t="s">
        <v>916</v>
      </c>
      <c r="AA405" s="38">
        <v>3.5719444440000001</v>
      </c>
      <c r="AB405" s="42" t="s">
        <v>916</v>
      </c>
      <c r="AC405" s="43" t="s">
        <v>916</v>
      </c>
      <c r="AD405" s="43" t="s">
        <v>916</v>
      </c>
      <c r="AE405" s="33" t="s">
        <v>916</v>
      </c>
      <c r="AF405" s="35" t="s">
        <v>916</v>
      </c>
      <c r="AG405" s="44">
        <v>492711.45</v>
      </c>
      <c r="AH405" s="42" t="s">
        <v>916</v>
      </c>
      <c r="AI405" s="32" t="e">
        <f>VLOOKUP(A405,'4月明細'!B:B,1,0)</f>
        <v>#N/A</v>
      </c>
    </row>
    <row r="406" spans="1:35" ht="19.95" customHeight="1" x14ac:dyDescent="0.3">
      <c r="A406" s="33" t="s">
        <v>1957</v>
      </c>
      <c r="B406" s="34">
        <v>46098.430462962962</v>
      </c>
      <c r="C406" s="34" t="str">
        <f t="shared" si="19"/>
        <v>202603</v>
      </c>
      <c r="D406" s="35" t="s">
        <v>996</v>
      </c>
      <c r="E406" s="36" t="s">
        <v>910</v>
      </c>
      <c r="F406" s="36" t="s">
        <v>972</v>
      </c>
      <c r="G406" s="37" t="s">
        <v>1958</v>
      </c>
      <c r="H406" s="36" t="s">
        <v>928</v>
      </c>
      <c r="I406" s="35"/>
      <c r="J406" s="36" t="s">
        <v>1058</v>
      </c>
      <c r="K406" s="33" t="s">
        <v>916</v>
      </c>
      <c r="L406" s="35" t="s">
        <v>916</v>
      </c>
      <c r="M406" s="36" t="s">
        <v>957</v>
      </c>
      <c r="N406" s="45">
        <v>46098.688194444447</v>
      </c>
      <c r="O406" s="36" t="s">
        <v>1384</v>
      </c>
      <c r="P406" s="38">
        <v>0.25773148150000003</v>
      </c>
      <c r="Q406" s="39" t="s">
        <v>1959</v>
      </c>
      <c r="R406" s="35" t="s">
        <v>916</v>
      </c>
      <c r="S406" s="35"/>
      <c r="T406" s="35" t="s">
        <v>1624</v>
      </c>
      <c r="U406" s="40">
        <v>46099</v>
      </c>
      <c r="V406" s="41">
        <v>46153.532731481479</v>
      </c>
      <c r="W406" s="40">
        <v>46098</v>
      </c>
      <c r="X406" s="35" t="s">
        <v>916</v>
      </c>
      <c r="Y406" s="35" t="s">
        <v>916</v>
      </c>
      <c r="Z406" s="35" t="s">
        <v>916</v>
      </c>
      <c r="AA406" s="38">
        <v>6.1855555559999997</v>
      </c>
      <c r="AB406" s="42" t="s">
        <v>916</v>
      </c>
      <c r="AC406" s="43" t="s">
        <v>916</v>
      </c>
      <c r="AD406" s="43" t="s">
        <v>916</v>
      </c>
      <c r="AE406" s="33" t="s">
        <v>916</v>
      </c>
      <c r="AF406" s="35" t="s">
        <v>916</v>
      </c>
      <c r="AG406" s="44">
        <v>492712.51666666672</v>
      </c>
      <c r="AH406" s="42" t="s">
        <v>916</v>
      </c>
      <c r="AI406" s="32" t="e">
        <f>VLOOKUP(A406,'4月明細'!B:B,1,0)</f>
        <v>#N/A</v>
      </c>
    </row>
    <row r="407" spans="1:35" ht="19.95" customHeight="1" x14ac:dyDescent="0.3">
      <c r="A407" s="33" t="s">
        <v>622</v>
      </c>
      <c r="B407" s="34">
        <v>46098.423449074071</v>
      </c>
      <c r="C407" s="34" t="str">
        <f t="shared" si="19"/>
        <v>202603</v>
      </c>
      <c r="D407" s="35" t="s">
        <v>951</v>
      </c>
      <c r="E407" s="36" t="s">
        <v>910</v>
      </c>
      <c r="F407" s="36" t="s">
        <v>1612</v>
      </c>
      <c r="G407" s="37" t="s">
        <v>1960</v>
      </c>
      <c r="H407" s="36" t="s">
        <v>913</v>
      </c>
      <c r="I407" s="35" t="s">
        <v>1961</v>
      </c>
      <c r="J407" s="36" t="s">
        <v>914</v>
      </c>
      <c r="K407" s="33" t="s">
        <v>916</v>
      </c>
      <c r="L407" s="35" t="s">
        <v>916</v>
      </c>
      <c r="M407" s="36" t="s">
        <v>957</v>
      </c>
      <c r="N407" s="45">
        <v>46098.644444444442</v>
      </c>
      <c r="O407" s="36" t="s">
        <v>25</v>
      </c>
      <c r="P407" s="38">
        <v>0.2209953704</v>
      </c>
      <c r="Q407" s="39" t="s">
        <v>1962</v>
      </c>
      <c r="R407" s="35" t="s">
        <v>916</v>
      </c>
      <c r="S407" s="35"/>
      <c r="T407" s="35" t="s">
        <v>1624</v>
      </c>
      <c r="U407" s="40">
        <v>46099</v>
      </c>
      <c r="V407" s="41">
        <v>46153.532731481479</v>
      </c>
      <c r="W407" s="40">
        <v>46098</v>
      </c>
      <c r="X407" s="35" t="s">
        <v>916</v>
      </c>
      <c r="Y407" s="35" t="s">
        <v>916</v>
      </c>
      <c r="Z407" s="35" t="s">
        <v>916</v>
      </c>
      <c r="AA407" s="38">
        <v>5.3038888895999996</v>
      </c>
      <c r="AB407" s="42" t="s">
        <v>916</v>
      </c>
      <c r="AC407" s="43" t="s">
        <v>916</v>
      </c>
      <c r="AD407" s="43" t="s">
        <v>916</v>
      </c>
      <c r="AE407" s="33" t="s">
        <v>916</v>
      </c>
      <c r="AF407" s="35" t="s">
        <v>916</v>
      </c>
      <c r="AG407" s="44">
        <v>492711.46666666667</v>
      </c>
      <c r="AH407" s="42" t="s">
        <v>916</v>
      </c>
      <c r="AI407" s="32" t="e">
        <f>VLOOKUP(A407,'4月明細'!B:B,1,0)</f>
        <v>#N/A</v>
      </c>
    </row>
    <row r="408" spans="1:35" ht="19.95" customHeight="1" x14ac:dyDescent="0.3">
      <c r="A408" s="33" t="s">
        <v>619</v>
      </c>
      <c r="B408" s="34">
        <v>46097.620925925927</v>
      </c>
      <c r="C408" s="34" t="str">
        <f t="shared" si="19"/>
        <v>202603</v>
      </c>
      <c r="D408" s="35" t="s">
        <v>1963</v>
      </c>
      <c r="E408" s="36" t="s">
        <v>942</v>
      </c>
      <c r="F408" s="36" t="s">
        <v>1672</v>
      </c>
      <c r="G408" s="37" t="s">
        <v>1964</v>
      </c>
      <c r="H408" s="36" t="s">
        <v>989</v>
      </c>
      <c r="I408" s="35"/>
      <c r="J408" s="36" t="s">
        <v>938</v>
      </c>
      <c r="K408" s="33" t="s">
        <v>916</v>
      </c>
      <c r="L408" s="35" t="s">
        <v>916</v>
      </c>
      <c r="M408" s="36" t="s">
        <v>957</v>
      </c>
      <c r="N408" s="45">
        <v>46098.447916666664</v>
      </c>
      <c r="O408" s="36" t="s">
        <v>25</v>
      </c>
      <c r="P408" s="38">
        <v>0.8269907407</v>
      </c>
      <c r="Q408" s="39" t="s">
        <v>1965</v>
      </c>
      <c r="R408" s="35" t="s">
        <v>916</v>
      </c>
      <c r="S408" s="35"/>
      <c r="T408" s="35" t="s">
        <v>1624</v>
      </c>
      <c r="U408" s="40">
        <v>46098</v>
      </c>
      <c r="V408" s="41">
        <v>46153.532731481479</v>
      </c>
      <c r="W408" s="40">
        <v>46097</v>
      </c>
      <c r="X408" s="35" t="s">
        <v>916</v>
      </c>
      <c r="Y408" s="35" t="s">
        <v>916</v>
      </c>
      <c r="Z408" s="35" t="s">
        <v>916</v>
      </c>
      <c r="AA408" s="38">
        <v>19.847777776800001</v>
      </c>
      <c r="AB408" s="42" t="s">
        <v>916</v>
      </c>
      <c r="AC408" s="43" t="s">
        <v>916</v>
      </c>
      <c r="AD408" s="43" t="s">
        <v>916</v>
      </c>
      <c r="AE408" s="33" t="s">
        <v>916</v>
      </c>
      <c r="AF408" s="35" t="s">
        <v>916</v>
      </c>
      <c r="AG408" s="44">
        <v>492706.75</v>
      </c>
      <c r="AH408" s="42" t="s">
        <v>916</v>
      </c>
      <c r="AI408" s="32" t="e">
        <f>VLOOKUP(A408,'4月明細'!B:B,1,0)</f>
        <v>#N/A</v>
      </c>
    </row>
    <row r="409" spans="1:35" ht="19.95" customHeight="1" x14ac:dyDescent="0.3">
      <c r="A409" s="33" t="s">
        <v>621</v>
      </c>
      <c r="B409" s="34">
        <v>46097.667881944442</v>
      </c>
      <c r="C409" s="34" t="str">
        <f t="shared" si="19"/>
        <v>202603</v>
      </c>
      <c r="D409" s="35" t="s">
        <v>996</v>
      </c>
      <c r="E409" s="36" t="s">
        <v>910</v>
      </c>
      <c r="F409" s="36" t="s">
        <v>1581</v>
      </c>
      <c r="G409" s="37" t="s">
        <v>1096</v>
      </c>
      <c r="H409" s="36" t="s">
        <v>928</v>
      </c>
      <c r="I409" s="35"/>
      <c r="J409" s="36" t="s">
        <v>914</v>
      </c>
      <c r="K409" s="33" t="s">
        <v>916</v>
      </c>
      <c r="L409" s="35" t="s">
        <v>916</v>
      </c>
      <c r="M409" s="36" t="s">
        <v>957</v>
      </c>
      <c r="N409" s="45">
        <v>46098.447916666664</v>
      </c>
      <c r="O409" s="36" t="s">
        <v>25</v>
      </c>
      <c r="P409" s="38">
        <v>0.78003472220000003</v>
      </c>
      <c r="Q409" s="39" t="s">
        <v>1966</v>
      </c>
      <c r="R409" s="35" t="s">
        <v>916</v>
      </c>
      <c r="S409" s="35"/>
      <c r="T409" s="35" t="s">
        <v>1624</v>
      </c>
      <c r="U409" s="40">
        <v>46098</v>
      </c>
      <c r="V409" s="41">
        <v>46153.532731481479</v>
      </c>
      <c r="W409" s="40">
        <v>46097</v>
      </c>
      <c r="X409" s="35" t="s">
        <v>916</v>
      </c>
      <c r="Y409" s="35" t="s">
        <v>916</v>
      </c>
      <c r="Z409" s="35" t="s">
        <v>916</v>
      </c>
      <c r="AA409" s="38">
        <v>18.720833332800002</v>
      </c>
      <c r="AB409" s="42" t="s">
        <v>916</v>
      </c>
      <c r="AC409" s="43" t="s">
        <v>916</v>
      </c>
      <c r="AD409" s="43" t="s">
        <v>916</v>
      </c>
      <c r="AE409" s="33" t="s">
        <v>916</v>
      </c>
      <c r="AF409" s="35" t="s">
        <v>916</v>
      </c>
      <c r="AG409" s="44">
        <v>492706.75</v>
      </c>
      <c r="AH409" s="42" t="s">
        <v>916</v>
      </c>
      <c r="AI409" s="32" t="e">
        <f>VLOOKUP(A409,'4月明細'!B:B,1,0)</f>
        <v>#N/A</v>
      </c>
    </row>
    <row r="410" spans="1:35" ht="19.95" customHeight="1" x14ac:dyDescent="0.3">
      <c r="A410" s="33" t="s">
        <v>620</v>
      </c>
      <c r="B410" s="34">
        <v>46097.644872685189</v>
      </c>
      <c r="C410" s="34" t="str">
        <f t="shared" si="19"/>
        <v>202603</v>
      </c>
      <c r="D410" s="35" t="s">
        <v>996</v>
      </c>
      <c r="E410" s="36" t="s">
        <v>910</v>
      </c>
      <c r="F410" s="36" t="s">
        <v>1967</v>
      </c>
      <c r="G410" s="37" t="s">
        <v>1968</v>
      </c>
      <c r="H410" s="36" t="s">
        <v>928</v>
      </c>
      <c r="I410" s="35"/>
      <c r="J410" s="36" t="s">
        <v>914</v>
      </c>
      <c r="K410" s="33" t="s">
        <v>916</v>
      </c>
      <c r="L410" s="35" t="s">
        <v>916</v>
      </c>
      <c r="M410" s="36" t="s">
        <v>957</v>
      </c>
      <c r="N410" s="45">
        <v>46098.448611111111</v>
      </c>
      <c r="O410" s="36" t="s">
        <v>25</v>
      </c>
      <c r="P410" s="38">
        <v>0.8037384259</v>
      </c>
      <c r="Q410" s="39" t="s">
        <v>1969</v>
      </c>
      <c r="R410" s="35" t="s">
        <v>916</v>
      </c>
      <c r="S410" s="35" t="s">
        <v>1970</v>
      </c>
      <c r="T410" s="35" t="s">
        <v>1624</v>
      </c>
      <c r="U410" s="40">
        <v>46098</v>
      </c>
      <c r="V410" s="41">
        <v>46153.532731481479</v>
      </c>
      <c r="W410" s="40">
        <v>46097</v>
      </c>
      <c r="X410" s="35" t="s">
        <v>916</v>
      </c>
      <c r="Y410" s="35" t="s">
        <v>916</v>
      </c>
      <c r="Z410" s="35" t="s">
        <v>916</v>
      </c>
      <c r="AA410" s="38">
        <v>19.289722221600002</v>
      </c>
      <c r="AB410" s="42" t="s">
        <v>916</v>
      </c>
      <c r="AC410" s="43" t="s">
        <v>916</v>
      </c>
      <c r="AD410" s="43" t="s">
        <v>916</v>
      </c>
      <c r="AE410" s="33" t="s">
        <v>916</v>
      </c>
      <c r="AF410" s="35" t="s">
        <v>916</v>
      </c>
      <c r="AG410" s="44">
        <v>492706.76666666672</v>
      </c>
      <c r="AH410" s="42" t="s">
        <v>916</v>
      </c>
      <c r="AI410" s="32" t="e">
        <f>VLOOKUP(A410,'4月明細'!B:B,1,0)</f>
        <v>#N/A</v>
      </c>
    </row>
    <row r="411" spans="1:35" ht="19.95" customHeight="1" x14ac:dyDescent="0.3">
      <c r="A411" s="33" t="s">
        <v>1971</v>
      </c>
      <c r="B411" s="34">
        <v>46097.56763888889</v>
      </c>
      <c r="C411" s="34" t="str">
        <f t="shared" si="19"/>
        <v>202603</v>
      </c>
      <c r="D411" s="35" t="s">
        <v>1198</v>
      </c>
      <c r="E411" s="36" t="s">
        <v>1199</v>
      </c>
      <c r="F411" s="36" t="s">
        <v>1433</v>
      </c>
      <c r="G411" s="37" t="s">
        <v>1972</v>
      </c>
      <c r="H411" s="36" t="s">
        <v>1114</v>
      </c>
      <c r="I411" s="35" t="s">
        <v>1973</v>
      </c>
      <c r="J411" s="36" t="s">
        <v>938</v>
      </c>
      <c r="K411" s="33" t="s">
        <v>916</v>
      </c>
      <c r="L411" s="35" t="s">
        <v>916</v>
      </c>
      <c r="M411" s="36" t="s">
        <v>923</v>
      </c>
      <c r="N411" s="45">
        <v>46099.693055555559</v>
      </c>
      <c r="O411" s="36" t="s">
        <v>918</v>
      </c>
      <c r="P411" s="38">
        <v>2.1254166667000001</v>
      </c>
      <c r="Q411" s="39" t="s">
        <v>1974</v>
      </c>
      <c r="R411" s="35" t="s">
        <v>916</v>
      </c>
      <c r="S411" s="35"/>
      <c r="T411" s="35" t="s">
        <v>1624</v>
      </c>
      <c r="U411" s="40">
        <v>46098</v>
      </c>
      <c r="V411" s="41">
        <v>46153.532731481479</v>
      </c>
      <c r="W411" s="40">
        <v>46097</v>
      </c>
      <c r="X411" s="35" t="s">
        <v>916</v>
      </c>
      <c r="Y411" s="35" t="s">
        <v>916</v>
      </c>
      <c r="Z411" s="35" t="s">
        <v>916</v>
      </c>
      <c r="AA411" s="38">
        <v>51.010000000799998</v>
      </c>
      <c r="AB411" s="42" t="s">
        <v>916</v>
      </c>
      <c r="AC411" s="43" t="s">
        <v>916</v>
      </c>
      <c r="AD411" s="43" t="s">
        <v>916</v>
      </c>
      <c r="AE411" s="33" t="s">
        <v>916</v>
      </c>
      <c r="AF411" s="35" t="s">
        <v>916</v>
      </c>
      <c r="AG411" s="44">
        <v>0</v>
      </c>
      <c r="AH411" s="42" t="s">
        <v>916</v>
      </c>
      <c r="AI411" s="32" t="e">
        <f>VLOOKUP(A411,'4月明細'!B:B,1,0)</f>
        <v>#N/A</v>
      </c>
    </row>
    <row r="412" spans="1:35" ht="19.95" customHeight="1" x14ac:dyDescent="0.3">
      <c r="A412" s="33" t="s">
        <v>618</v>
      </c>
      <c r="B412" s="34">
        <v>46097.475925925923</v>
      </c>
      <c r="C412" s="34" t="str">
        <f t="shared" si="19"/>
        <v>202603</v>
      </c>
      <c r="D412" s="35" t="s">
        <v>996</v>
      </c>
      <c r="E412" s="36" t="s">
        <v>910</v>
      </c>
      <c r="F412" s="36" t="s">
        <v>1975</v>
      </c>
      <c r="G412" s="37" t="s">
        <v>1976</v>
      </c>
      <c r="H412" s="36" t="s">
        <v>954</v>
      </c>
      <c r="I412" s="35"/>
      <c r="J412" s="36" t="s">
        <v>914</v>
      </c>
      <c r="K412" s="33" t="s">
        <v>916</v>
      </c>
      <c r="L412" s="35" t="s">
        <v>916</v>
      </c>
      <c r="M412" s="36" t="s">
        <v>957</v>
      </c>
      <c r="N412" s="45">
        <v>46097.595833333333</v>
      </c>
      <c r="O412" s="36" t="s">
        <v>25</v>
      </c>
      <c r="P412" s="38">
        <v>0.1199074074</v>
      </c>
      <c r="Q412" s="39" t="s">
        <v>1977</v>
      </c>
      <c r="R412" s="35" t="s">
        <v>916</v>
      </c>
      <c r="S412" s="35" t="s">
        <v>1978</v>
      </c>
      <c r="T412" s="35" t="s">
        <v>1624</v>
      </c>
      <c r="U412" s="40">
        <v>46098</v>
      </c>
      <c r="V412" s="41">
        <v>46153.532731481479</v>
      </c>
      <c r="W412" s="40">
        <v>46097</v>
      </c>
      <c r="X412" s="35" t="s">
        <v>916</v>
      </c>
      <c r="Y412" s="35" t="s">
        <v>916</v>
      </c>
      <c r="Z412" s="35" t="s">
        <v>916</v>
      </c>
      <c r="AA412" s="38">
        <v>2.8777777776</v>
      </c>
      <c r="AB412" s="42" t="s">
        <v>916</v>
      </c>
      <c r="AC412" s="43" t="s">
        <v>916</v>
      </c>
      <c r="AD412" s="43" t="s">
        <v>916</v>
      </c>
      <c r="AE412" s="33" t="s">
        <v>916</v>
      </c>
      <c r="AF412" s="35" t="s">
        <v>916</v>
      </c>
      <c r="AG412" s="44">
        <v>492686.3</v>
      </c>
      <c r="AH412" s="42" t="s">
        <v>916</v>
      </c>
      <c r="AI412" s="32" t="e">
        <f>VLOOKUP(A412,'4月明細'!B:B,1,0)</f>
        <v>#N/A</v>
      </c>
    </row>
    <row r="413" spans="1:35" ht="19.95" customHeight="1" x14ac:dyDescent="0.3">
      <c r="A413" s="33" t="s">
        <v>617</v>
      </c>
      <c r="B413" s="34">
        <v>46097.469722222224</v>
      </c>
      <c r="C413" s="34" t="str">
        <f t="shared" si="19"/>
        <v>202603</v>
      </c>
      <c r="D413" s="35" t="s">
        <v>996</v>
      </c>
      <c r="E413" s="36" t="s">
        <v>910</v>
      </c>
      <c r="F413" s="36" t="s">
        <v>1975</v>
      </c>
      <c r="G413" s="37" t="s">
        <v>1979</v>
      </c>
      <c r="H413" s="36" t="s">
        <v>954</v>
      </c>
      <c r="I413" s="35"/>
      <c r="J413" s="36" t="s">
        <v>914</v>
      </c>
      <c r="K413" s="33" t="s">
        <v>916</v>
      </c>
      <c r="L413" s="35" t="s">
        <v>916</v>
      </c>
      <c r="M413" s="36" t="s">
        <v>957</v>
      </c>
      <c r="N413" s="45">
        <v>46097.59652777778</v>
      </c>
      <c r="O413" s="36" t="s">
        <v>25</v>
      </c>
      <c r="P413" s="38">
        <v>0.12680555560000001</v>
      </c>
      <c r="Q413" s="39" t="s">
        <v>1980</v>
      </c>
      <c r="R413" s="35" t="s">
        <v>916</v>
      </c>
      <c r="S413" s="35" t="s">
        <v>1981</v>
      </c>
      <c r="T413" s="35" t="s">
        <v>1624</v>
      </c>
      <c r="U413" s="40">
        <v>46098</v>
      </c>
      <c r="V413" s="41">
        <v>46153.532731481479</v>
      </c>
      <c r="W413" s="40">
        <v>46097</v>
      </c>
      <c r="X413" s="35" t="s">
        <v>916</v>
      </c>
      <c r="Y413" s="35" t="s">
        <v>916</v>
      </c>
      <c r="Z413" s="35" t="s">
        <v>916</v>
      </c>
      <c r="AA413" s="38">
        <v>3.0433333344000002</v>
      </c>
      <c r="AB413" s="42" t="s">
        <v>916</v>
      </c>
      <c r="AC413" s="43" t="s">
        <v>916</v>
      </c>
      <c r="AD413" s="43" t="s">
        <v>916</v>
      </c>
      <c r="AE413" s="33" t="s">
        <v>916</v>
      </c>
      <c r="AF413" s="35" t="s">
        <v>916</v>
      </c>
      <c r="AG413" s="44">
        <v>492686.33333333337</v>
      </c>
      <c r="AH413" s="42" t="s">
        <v>916</v>
      </c>
      <c r="AI413" s="32" t="e">
        <f>VLOOKUP(A413,'4月明細'!B:B,1,0)</f>
        <v>#N/A</v>
      </c>
    </row>
    <row r="414" spans="1:35" ht="19.95" customHeight="1" x14ac:dyDescent="0.3">
      <c r="A414" s="33" t="s">
        <v>616</v>
      </c>
      <c r="B414" s="34">
        <v>46097.467361111114</v>
      </c>
      <c r="C414" s="34" t="str">
        <f t="shared" si="19"/>
        <v>202603</v>
      </c>
      <c r="D414" s="35" t="s">
        <v>1653</v>
      </c>
      <c r="E414" s="36" t="s">
        <v>934</v>
      </c>
      <c r="F414" s="36" t="s">
        <v>1975</v>
      </c>
      <c r="G414" s="37" t="s">
        <v>1982</v>
      </c>
      <c r="H414" s="36" t="s">
        <v>928</v>
      </c>
      <c r="I414" s="35" t="s">
        <v>1983</v>
      </c>
      <c r="J414" s="36" t="s">
        <v>929</v>
      </c>
      <c r="K414" s="33" t="s">
        <v>916</v>
      </c>
      <c r="L414" s="35" t="s">
        <v>916</v>
      </c>
      <c r="M414" s="36" t="s">
        <v>923</v>
      </c>
      <c r="N414" s="45">
        <v>46097.512499999997</v>
      </c>
      <c r="O414" s="36" t="s">
        <v>25</v>
      </c>
      <c r="P414" s="38">
        <v>4.51388889E-2</v>
      </c>
      <c r="Q414" s="39" t="s">
        <v>1984</v>
      </c>
      <c r="R414" s="35" t="s">
        <v>916</v>
      </c>
      <c r="S414" s="35"/>
      <c r="T414" s="35" t="s">
        <v>1624</v>
      </c>
      <c r="U414" s="40">
        <v>46098</v>
      </c>
      <c r="V414" s="41">
        <v>46153.532731481479</v>
      </c>
      <c r="W414" s="40">
        <v>46097</v>
      </c>
      <c r="X414" s="35" t="s">
        <v>916</v>
      </c>
      <c r="Y414" s="35" t="s">
        <v>916</v>
      </c>
      <c r="Z414" s="35" t="s">
        <v>916</v>
      </c>
      <c r="AA414" s="38">
        <v>1.0833333335999999</v>
      </c>
      <c r="AB414" s="42" t="s">
        <v>916</v>
      </c>
      <c r="AC414" s="43" t="s">
        <v>916</v>
      </c>
      <c r="AD414" s="43" t="s">
        <v>916</v>
      </c>
      <c r="AE414" s="33" t="s">
        <v>916</v>
      </c>
      <c r="AF414" s="35" t="s">
        <v>916</v>
      </c>
      <c r="AG414" s="44">
        <v>492684.31666666671</v>
      </c>
      <c r="AH414" s="42" t="s">
        <v>916</v>
      </c>
      <c r="AI414" s="32" t="e">
        <f>VLOOKUP(A414,'4月明細'!B:B,1,0)</f>
        <v>#N/A</v>
      </c>
    </row>
    <row r="415" spans="1:35" ht="19.95" customHeight="1" x14ac:dyDescent="0.3">
      <c r="A415" s="33" t="s">
        <v>1985</v>
      </c>
      <c r="B415" s="34">
        <v>46097.466666666667</v>
      </c>
      <c r="C415" s="34" t="str">
        <f t="shared" si="19"/>
        <v>202603</v>
      </c>
      <c r="D415" s="35" t="s">
        <v>1653</v>
      </c>
      <c r="E415" s="36" t="s">
        <v>934</v>
      </c>
      <c r="F415" s="36" t="s">
        <v>1947</v>
      </c>
      <c r="G415" s="37" t="s">
        <v>1986</v>
      </c>
      <c r="H415" s="36" t="s">
        <v>928</v>
      </c>
      <c r="I415" s="35" t="s">
        <v>1987</v>
      </c>
      <c r="J415" s="36" t="s">
        <v>929</v>
      </c>
      <c r="K415" s="33" t="s">
        <v>916</v>
      </c>
      <c r="L415" s="35" t="s">
        <v>916</v>
      </c>
      <c r="M415" s="36" t="s">
        <v>916</v>
      </c>
      <c r="N415" s="36" t="s">
        <v>916</v>
      </c>
      <c r="O415" s="36" t="s">
        <v>939</v>
      </c>
      <c r="P415" s="38" t="s">
        <v>916</v>
      </c>
      <c r="Q415" s="36" t="s">
        <v>916</v>
      </c>
      <c r="R415" s="35" t="s">
        <v>916</v>
      </c>
      <c r="S415" s="35"/>
      <c r="T415" s="35" t="s">
        <v>1624</v>
      </c>
      <c r="U415" s="40">
        <v>46098</v>
      </c>
      <c r="V415" s="41">
        <v>46153.532731481479</v>
      </c>
      <c r="W415" s="40">
        <v>46097</v>
      </c>
      <c r="X415" s="40">
        <v>46153</v>
      </c>
      <c r="Y415" s="35" t="s">
        <v>916</v>
      </c>
      <c r="Z415" s="35" t="s">
        <v>916</v>
      </c>
      <c r="AA415" s="38">
        <v>0</v>
      </c>
      <c r="AB415" s="42" t="s">
        <v>916</v>
      </c>
      <c r="AC415" s="43" t="s">
        <v>916</v>
      </c>
      <c r="AD415" s="43" t="s">
        <v>916</v>
      </c>
      <c r="AE415" s="33" t="s">
        <v>916</v>
      </c>
      <c r="AF415" s="35" t="s">
        <v>916</v>
      </c>
      <c r="AG415" s="44">
        <v>0</v>
      </c>
      <c r="AH415" s="42" t="s">
        <v>916</v>
      </c>
      <c r="AI415" s="32" t="e">
        <f>VLOOKUP(A415,'4月明細'!B:B,1,0)</f>
        <v>#N/A</v>
      </c>
    </row>
    <row r="416" spans="1:35" ht="19.95" customHeight="1" x14ac:dyDescent="0.3">
      <c r="A416" s="33" t="s">
        <v>615</v>
      </c>
      <c r="B416" s="34">
        <v>46097.35434027778</v>
      </c>
      <c r="C416" s="34" t="str">
        <f t="shared" si="19"/>
        <v>202603</v>
      </c>
      <c r="D416" s="35" t="s">
        <v>1014</v>
      </c>
      <c r="E416" s="36" t="s">
        <v>942</v>
      </c>
      <c r="F416" s="36" t="s">
        <v>1392</v>
      </c>
      <c r="G416" s="37" t="s">
        <v>1988</v>
      </c>
      <c r="H416" s="36" t="s">
        <v>913</v>
      </c>
      <c r="I416" s="35"/>
      <c r="J416" s="36" t="s">
        <v>945</v>
      </c>
      <c r="K416" s="33" t="s">
        <v>916</v>
      </c>
      <c r="L416" s="35" t="s">
        <v>916</v>
      </c>
      <c r="M416" s="36" t="s">
        <v>923</v>
      </c>
      <c r="N416" s="45">
        <v>46097.454861111109</v>
      </c>
      <c r="O416" s="36" t="s">
        <v>25</v>
      </c>
      <c r="P416" s="38">
        <v>0.1005208333</v>
      </c>
      <c r="Q416" s="39" t="s">
        <v>1989</v>
      </c>
      <c r="R416" s="35" t="s">
        <v>916</v>
      </c>
      <c r="S416" s="35" t="s">
        <v>1990</v>
      </c>
      <c r="T416" s="35" t="s">
        <v>1624</v>
      </c>
      <c r="U416" s="40">
        <v>46098</v>
      </c>
      <c r="V416" s="41">
        <v>46153.532731481479</v>
      </c>
      <c r="W416" s="40">
        <v>46097</v>
      </c>
      <c r="X416" s="35" t="s">
        <v>916</v>
      </c>
      <c r="Y416" s="35" t="s">
        <v>916</v>
      </c>
      <c r="Z416" s="35" t="s">
        <v>916</v>
      </c>
      <c r="AA416" s="38">
        <v>2.4124999992</v>
      </c>
      <c r="AB416" s="42" t="s">
        <v>916</v>
      </c>
      <c r="AC416" s="43" t="s">
        <v>916</v>
      </c>
      <c r="AD416" s="43" t="s">
        <v>916</v>
      </c>
      <c r="AE416" s="33" t="s">
        <v>916</v>
      </c>
      <c r="AF416" s="35" t="s">
        <v>916</v>
      </c>
      <c r="AG416" s="44">
        <v>492682.91666666669</v>
      </c>
      <c r="AH416" s="42" t="s">
        <v>916</v>
      </c>
      <c r="AI416" s="32" t="e">
        <f>VLOOKUP(A416,'4月明細'!B:B,1,0)</f>
        <v>#N/A</v>
      </c>
    </row>
    <row r="417" spans="1:35" ht="19.95" customHeight="1" x14ac:dyDescent="0.3">
      <c r="A417" s="33" t="s">
        <v>614</v>
      </c>
      <c r="B417" s="34">
        <v>46096.72184027778</v>
      </c>
      <c r="C417" s="34" t="str">
        <f t="shared" si="19"/>
        <v>202603</v>
      </c>
      <c r="D417" s="35" t="s">
        <v>996</v>
      </c>
      <c r="E417" s="36" t="s">
        <v>910</v>
      </c>
      <c r="F417" s="36" t="s">
        <v>1304</v>
      </c>
      <c r="G417" s="37" t="s">
        <v>1991</v>
      </c>
      <c r="H417" s="36" t="s">
        <v>1078</v>
      </c>
      <c r="I417" s="35"/>
      <c r="J417" s="36" t="s">
        <v>914</v>
      </c>
      <c r="K417" s="33" t="s">
        <v>916</v>
      </c>
      <c r="L417" s="35" t="s">
        <v>916</v>
      </c>
      <c r="M417" s="36" t="s">
        <v>957</v>
      </c>
      <c r="N417" s="45">
        <v>46097.595138888886</v>
      </c>
      <c r="O417" s="36" t="s">
        <v>25</v>
      </c>
      <c r="P417" s="38">
        <v>0.87329861109999996</v>
      </c>
      <c r="Q417" s="39" t="s">
        <v>1992</v>
      </c>
      <c r="R417" s="35" t="s">
        <v>916</v>
      </c>
      <c r="S417" s="35"/>
      <c r="T417" s="35" t="s">
        <v>1624</v>
      </c>
      <c r="U417" s="40">
        <v>46097</v>
      </c>
      <c r="V417" s="41">
        <v>46153.532731481479</v>
      </c>
      <c r="W417" s="40">
        <v>46096</v>
      </c>
      <c r="X417" s="35" t="s">
        <v>916</v>
      </c>
      <c r="Y417" s="35" t="s">
        <v>916</v>
      </c>
      <c r="Z417" s="35" t="s">
        <v>916</v>
      </c>
      <c r="AA417" s="38">
        <v>20.959166666400002</v>
      </c>
      <c r="AB417" s="42" t="s">
        <v>916</v>
      </c>
      <c r="AC417" s="43" t="s">
        <v>916</v>
      </c>
      <c r="AD417" s="43" t="s">
        <v>916</v>
      </c>
      <c r="AE417" s="33" t="s">
        <v>916</v>
      </c>
      <c r="AF417" s="35" t="s">
        <v>916</v>
      </c>
      <c r="AG417" s="44">
        <v>492682.78333333338</v>
      </c>
      <c r="AH417" s="42" t="s">
        <v>916</v>
      </c>
      <c r="AI417" s="32" t="e">
        <f>VLOOKUP(A417,'4月明細'!B:B,1,0)</f>
        <v>#N/A</v>
      </c>
    </row>
    <row r="418" spans="1:35" ht="19.95" customHeight="1" x14ac:dyDescent="0.3">
      <c r="A418" s="33" t="s">
        <v>613</v>
      </c>
      <c r="B418" s="34">
        <v>46096.693495370368</v>
      </c>
      <c r="C418" s="34" t="str">
        <f t="shared" si="19"/>
        <v>202603</v>
      </c>
      <c r="D418" s="35" t="s">
        <v>996</v>
      </c>
      <c r="E418" s="36" t="s">
        <v>910</v>
      </c>
      <c r="F418" s="36" t="s">
        <v>1591</v>
      </c>
      <c r="G418" s="37" t="s">
        <v>1993</v>
      </c>
      <c r="H418" s="36" t="s">
        <v>928</v>
      </c>
      <c r="I418" s="35"/>
      <c r="J418" s="36" t="s">
        <v>914</v>
      </c>
      <c r="K418" s="33" t="s">
        <v>916</v>
      </c>
      <c r="L418" s="35" t="s">
        <v>916</v>
      </c>
      <c r="M418" s="36" t="s">
        <v>957</v>
      </c>
      <c r="N418" s="45">
        <v>46097.449305555558</v>
      </c>
      <c r="O418" s="36" t="s">
        <v>25</v>
      </c>
      <c r="P418" s="38">
        <v>0.75581018519999998</v>
      </c>
      <c r="Q418" s="39" t="s">
        <v>1994</v>
      </c>
      <c r="R418" s="35" t="s">
        <v>916</v>
      </c>
      <c r="S418" s="35" t="s">
        <v>1995</v>
      </c>
      <c r="T418" s="35" t="s">
        <v>1624</v>
      </c>
      <c r="U418" s="40">
        <v>46097</v>
      </c>
      <c r="V418" s="41">
        <v>46153.532731481479</v>
      </c>
      <c r="W418" s="40">
        <v>46096</v>
      </c>
      <c r="X418" s="35" t="s">
        <v>916</v>
      </c>
      <c r="Y418" s="35" t="s">
        <v>916</v>
      </c>
      <c r="Z418" s="35" t="s">
        <v>916</v>
      </c>
      <c r="AA418" s="38">
        <v>18.139444444799999</v>
      </c>
      <c r="AB418" s="42" t="s">
        <v>916</v>
      </c>
      <c r="AC418" s="43" t="s">
        <v>916</v>
      </c>
      <c r="AD418" s="43" t="s">
        <v>916</v>
      </c>
      <c r="AE418" s="33" t="s">
        <v>916</v>
      </c>
      <c r="AF418" s="35" t="s">
        <v>916</v>
      </c>
      <c r="AG418" s="44">
        <v>0</v>
      </c>
      <c r="AH418" s="42" t="s">
        <v>916</v>
      </c>
      <c r="AI418" s="32" t="e">
        <f>VLOOKUP(A418,'4月明細'!B:B,1,0)</f>
        <v>#N/A</v>
      </c>
    </row>
    <row r="419" spans="1:35" ht="19.95" customHeight="1" x14ac:dyDescent="0.3">
      <c r="A419" s="33" t="s">
        <v>612</v>
      </c>
      <c r="B419" s="34">
        <v>46096.616909722223</v>
      </c>
      <c r="C419" s="34" t="str">
        <f t="shared" si="19"/>
        <v>202603</v>
      </c>
      <c r="D419" s="35" t="s">
        <v>996</v>
      </c>
      <c r="E419" s="36" t="s">
        <v>910</v>
      </c>
      <c r="F419" s="36" t="s">
        <v>1634</v>
      </c>
      <c r="G419" s="37" t="s">
        <v>1996</v>
      </c>
      <c r="H419" s="36" t="s">
        <v>928</v>
      </c>
      <c r="I419" s="35"/>
      <c r="J419" s="36" t="s">
        <v>914</v>
      </c>
      <c r="K419" s="33" t="s">
        <v>916</v>
      </c>
      <c r="L419" s="35" t="s">
        <v>916</v>
      </c>
      <c r="M419" s="36" t="s">
        <v>957</v>
      </c>
      <c r="N419" s="45">
        <v>46097.45</v>
      </c>
      <c r="O419" s="36" t="s">
        <v>25</v>
      </c>
      <c r="P419" s="38">
        <v>0.8330902778</v>
      </c>
      <c r="Q419" s="39" t="s">
        <v>1997</v>
      </c>
      <c r="R419" s="35" t="s">
        <v>916</v>
      </c>
      <c r="S419" s="35"/>
      <c r="T419" s="35" t="s">
        <v>1624</v>
      </c>
      <c r="U419" s="40">
        <v>46097</v>
      </c>
      <c r="V419" s="41">
        <v>46153.532731481479</v>
      </c>
      <c r="W419" s="40">
        <v>46096</v>
      </c>
      <c r="X419" s="35" t="s">
        <v>916</v>
      </c>
      <c r="Y419" s="35" t="s">
        <v>916</v>
      </c>
      <c r="Z419" s="35" t="s">
        <v>916</v>
      </c>
      <c r="AA419" s="38">
        <v>19.994166667199998</v>
      </c>
      <c r="AB419" s="42" t="s">
        <v>916</v>
      </c>
      <c r="AC419" s="43" t="s">
        <v>916</v>
      </c>
      <c r="AD419" s="43" t="s">
        <v>916</v>
      </c>
      <c r="AE419" s="33" t="s">
        <v>916</v>
      </c>
      <c r="AF419" s="35" t="s">
        <v>916</v>
      </c>
      <c r="AG419" s="44">
        <v>492682.81666666671</v>
      </c>
      <c r="AH419" s="42" t="s">
        <v>916</v>
      </c>
      <c r="AI419" s="32" t="e">
        <f>VLOOKUP(A419,'4月明細'!B:B,1,0)</f>
        <v>#N/A</v>
      </c>
    </row>
    <row r="420" spans="1:35" ht="19.95" customHeight="1" x14ac:dyDescent="0.3">
      <c r="A420" s="33" t="s">
        <v>611</v>
      </c>
      <c r="B420" s="34">
        <v>46096.563449074078</v>
      </c>
      <c r="C420" s="34" t="str">
        <f t="shared" si="19"/>
        <v>202603</v>
      </c>
      <c r="D420" s="35" t="s">
        <v>996</v>
      </c>
      <c r="E420" s="36" t="s">
        <v>910</v>
      </c>
      <c r="F420" s="36" t="s">
        <v>1423</v>
      </c>
      <c r="G420" s="37" t="s">
        <v>1998</v>
      </c>
      <c r="H420" s="36" t="s">
        <v>954</v>
      </c>
      <c r="I420" s="35"/>
      <c r="J420" s="36" t="s">
        <v>914</v>
      </c>
      <c r="K420" s="33" t="s">
        <v>916</v>
      </c>
      <c r="L420" s="35" t="s">
        <v>916</v>
      </c>
      <c r="M420" s="36" t="s">
        <v>957</v>
      </c>
      <c r="N420" s="45">
        <v>46097.450694444444</v>
      </c>
      <c r="O420" s="36" t="s">
        <v>25</v>
      </c>
      <c r="P420" s="38">
        <v>0.88724537039999996</v>
      </c>
      <c r="Q420" s="39" t="s">
        <v>1999</v>
      </c>
      <c r="R420" s="35" t="s">
        <v>916</v>
      </c>
      <c r="S420" s="35" t="s">
        <v>2000</v>
      </c>
      <c r="T420" s="35" t="s">
        <v>1624</v>
      </c>
      <c r="U420" s="40">
        <v>46097</v>
      </c>
      <c r="V420" s="41">
        <v>46153.532731481479</v>
      </c>
      <c r="W420" s="40">
        <v>46096</v>
      </c>
      <c r="X420" s="35" t="s">
        <v>916</v>
      </c>
      <c r="Y420" s="35" t="s">
        <v>916</v>
      </c>
      <c r="Z420" s="35" t="s">
        <v>916</v>
      </c>
      <c r="AA420" s="38">
        <v>21.293888889600002</v>
      </c>
      <c r="AB420" s="42" t="s">
        <v>916</v>
      </c>
      <c r="AC420" s="43" t="s">
        <v>916</v>
      </c>
      <c r="AD420" s="43" t="s">
        <v>916</v>
      </c>
      <c r="AE420" s="33" t="s">
        <v>916</v>
      </c>
      <c r="AF420" s="35" t="s">
        <v>916</v>
      </c>
      <c r="AG420" s="44">
        <v>492682.83333333337</v>
      </c>
      <c r="AH420" s="42" t="s">
        <v>916</v>
      </c>
      <c r="AI420" s="32" t="e">
        <f>VLOOKUP(A420,'4月明細'!B:B,1,0)</f>
        <v>#N/A</v>
      </c>
    </row>
    <row r="421" spans="1:35" ht="19.95" customHeight="1" x14ac:dyDescent="0.3">
      <c r="A421" s="33" t="s">
        <v>610</v>
      </c>
      <c r="B421" s="34">
        <v>46096.557141203702</v>
      </c>
      <c r="C421" s="34" t="str">
        <f t="shared" si="19"/>
        <v>202603</v>
      </c>
      <c r="D421" s="35" t="s">
        <v>996</v>
      </c>
      <c r="E421" s="36" t="s">
        <v>910</v>
      </c>
      <c r="F421" s="36" t="s">
        <v>1423</v>
      </c>
      <c r="G421" s="37" t="s">
        <v>2001</v>
      </c>
      <c r="H421" s="36" t="s">
        <v>954</v>
      </c>
      <c r="I421" s="35"/>
      <c r="J421" s="36" t="s">
        <v>914</v>
      </c>
      <c r="K421" s="33" t="s">
        <v>916</v>
      </c>
      <c r="L421" s="35" t="s">
        <v>916</v>
      </c>
      <c r="M421" s="36" t="s">
        <v>957</v>
      </c>
      <c r="N421" s="45">
        <v>46097.451388888891</v>
      </c>
      <c r="O421" s="36" t="s">
        <v>25</v>
      </c>
      <c r="P421" s="38">
        <v>0.89424768519999998</v>
      </c>
      <c r="Q421" s="39" t="s">
        <v>2002</v>
      </c>
      <c r="R421" s="35" t="s">
        <v>916</v>
      </c>
      <c r="S421" s="35" t="s">
        <v>2003</v>
      </c>
      <c r="T421" s="35" t="s">
        <v>1624</v>
      </c>
      <c r="U421" s="40">
        <v>46097</v>
      </c>
      <c r="V421" s="41">
        <v>46153.532731481479</v>
      </c>
      <c r="W421" s="40">
        <v>46096</v>
      </c>
      <c r="X421" s="35" t="s">
        <v>916</v>
      </c>
      <c r="Y421" s="35" t="s">
        <v>916</v>
      </c>
      <c r="Z421" s="35" t="s">
        <v>916</v>
      </c>
      <c r="AA421" s="38">
        <v>21.4619444448</v>
      </c>
      <c r="AB421" s="42" t="s">
        <v>916</v>
      </c>
      <c r="AC421" s="43" t="s">
        <v>916</v>
      </c>
      <c r="AD421" s="43" t="s">
        <v>916</v>
      </c>
      <c r="AE421" s="33" t="s">
        <v>916</v>
      </c>
      <c r="AF421" s="35" t="s">
        <v>916</v>
      </c>
      <c r="AG421" s="44">
        <v>492682.85</v>
      </c>
      <c r="AH421" s="42" t="s">
        <v>916</v>
      </c>
      <c r="AI421" s="32" t="e">
        <f>VLOOKUP(A421,'4月明細'!B:B,1,0)</f>
        <v>#N/A</v>
      </c>
    </row>
    <row r="422" spans="1:35" ht="19.95" customHeight="1" x14ac:dyDescent="0.3">
      <c r="A422" s="33" t="s">
        <v>609</v>
      </c>
      <c r="B422" s="34">
        <v>46096.556354166663</v>
      </c>
      <c r="C422" s="34" t="str">
        <f t="shared" si="19"/>
        <v>202603</v>
      </c>
      <c r="D422" s="35" t="s">
        <v>909</v>
      </c>
      <c r="E422" s="36" t="s">
        <v>910</v>
      </c>
      <c r="F422" s="36" t="s">
        <v>1207</v>
      </c>
      <c r="G422" s="37" t="s">
        <v>2004</v>
      </c>
      <c r="H422" s="36" t="s">
        <v>928</v>
      </c>
      <c r="I422" s="35"/>
      <c r="J422" s="36" t="s">
        <v>929</v>
      </c>
      <c r="K422" s="33" t="s">
        <v>916</v>
      </c>
      <c r="L422" s="35" t="s">
        <v>916</v>
      </c>
      <c r="M422" s="36" t="s">
        <v>957</v>
      </c>
      <c r="N422" s="45">
        <v>46097.45208333333</v>
      </c>
      <c r="O422" s="36" t="s">
        <v>25</v>
      </c>
      <c r="P422" s="38">
        <v>0.89572916670000002</v>
      </c>
      <c r="Q422" s="39" t="s">
        <v>2005</v>
      </c>
      <c r="R422" s="35" t="s">
        <v>916</v>
      </c>
      <c r="S422" s="35"/>
      <c r="T422" s="35" t="s">
        <v>1624</v>
      </c>
      <c r="U422" s="40">
        <v>46097</v>
      </c>
      <c r="V422" s="41">
        <v>46153.532731481479</v>
      </c>
      <c r="W422" s="40">
        <v>46096</v>
      </c>
      <c r="X422" s="35" t="s">
        <v>916</v>
      </c>
      <c r="Y422" s="35" t="s">
        <v>916</v>
      </c>
      <c r="Z422" s="35" t="s">
        <v>916</v>
      </c>
      <c r="AA422" s="38">
        <v>21.497500000799999</v>
      </c>
      <c r="AB422" s="42" t="s">
        <v>916</v>
      </c>
      <c r="AC422" s="43" t="s">
        <v>916</v>
      </c>
      <c r="AD422" s="43" t="s">
        <v>916</v>
      </c>
      <c r="AE422" s="33" t="s">
        <v>916</v>
      </c>
      <c r="AF422" s="35" t="s">
        <v>916</v>
      </c>
      <c r="AG422" s="44">
        <v>492682.85</v>
      </c>
      <c r="AH422" s="42" t="s">
        <v>916</v>
      </c>
      <c r="AI422" s="32" t="e">
        <f>VLOOKUP(A422,'4月明細'!B:B,1,0)</f>
        <v>#N/A</v>
      </c>
    </row>
    <row r="423" spans="1:35" ht="19.95" customHeight="1" x14ac:dyDescent="0.3">
      <c r="A423" s="33" t="s">
        <v>608</v>
      </c>
      <c r="B423" s="34">
        <v>46096.502465277779</v>
      </c>
      <c r="C423" s="34" t="str">
        <f t="shared" si="19"/>
        <v>202603</v>
      </c>
      <c r="D423" s="35" t="s">
        <v>996</v>
      </c>
      <c r="E423" s="36" t="s">
        <v>910</v>
      </c>
      <c r="F423" s="36" t="s">
        <v>1639</v>
      </c>
      <c r="G423" s="37" t="s">
        <v>1096</v>
      </c>
      <c r="H423" s="36" t="s">
        <v>928</v>
      </c>
      <c r="I423" s="35"/>
      <c r="J423" s="36" t="s">
        <v>914</v>
      </c>
      <c r="K423" s="33" t="s">
        <v>916</v>
      </c>
      <c r="L423" s="35" t="s">
        <v>916</v>
      </c>
      <c r="M423" s="36" t="s">
        <v>957</v>
      </c>
      <c r="N423" s="45">
        <v>46097.45208333333</v>
      </c>
      <c r="O423" s="36" t="s">
        <v>25</v>
      </c>
      <c r="P423" s="38">
        <v>0.94961805560000001</v>
      </c>
      <c r="Q423" s="39" t="s">
        <v>2006</v>
      </c>
      <c r="R423" s="35" t="s">
        <v>916</v>
      </c>
      <c r="S423" s="35"/>
      <c r="T423" s="35" t="s">
        <v>1624</v>
      </c>
      <c r="U423" s="40">
        <v>46097</v>
      </c>
      <c r="V423" s="41">
        <v>46153.532731481479</v>
      </c>
      <c r="W423" s="40">
        <v>46096</v>
      </c>
      <c r="X423" s="35" t="s">
        <v>916</v>
      </c>
      <c r="Y423" s="35" t="s">
        <v>916</v>
      </c>
      <c r="Z423" s="35" t="s">
        <v>916</v>
      </c>
      <c r="AA423" s="38">
        <v>22.790833334399998</v>
      </c>
      <c r="AB423" s="42" t="s">
        <v>916</v>
      </c>
      <c r="AC423" s="43" t="s">
        <v>916</v>
      </c>
      <c r="AD423" s="43" t="s">
        <v>916</v>
      </c>
      <c r="AE423" s="33" t="s">
        <v>916</v>
      </c>
      <c r="AF423" s="35" t="s">
        <v>916</v>
      </c>
      <c r="AG423" s="44">
        <v>492682.86666666658</v>
      </c>
      <c r="AH423" s="42" t="s">
        <v>916</v>
      </c>
      <c r="AI423" s="32" t="e">
        <f>VLOOKUP(A423,'4月明細'!B:B,1,0)</f>
        <v>#N/A</v>
      </c>
    </row>
    <row r="424" spans="1:35" ht="19.95" customHeight="1" x14ac:dyDescent="0.3">
      <c r="A424" s="33" t="s">
        <v>607</v>
      </c>
      <c r="B424" s="34">
        <v>46096.486527777779</v>
      </c>
      <c r="C424" s="34" t="str">
        <f t="shared" si="19"/>
        <v>202603</v>
      </c>
      <c r="D424" s="35" t="s">
        <v>951</v>
      </c>
      <c r="E424" s="36" t="s">
        <v>910</v>
      </c>
      <c r="F424" s="36" t="s">
        <v>1076</v>
      </c>
      <c r="G424" s="37" t="s">
        <v>2007</v>
      </c>
      <c r="H424" s="36" t="s">
        <v>1023</v>
      </c>
      <c r="I424" s="35" t="s">
        <v>2008</v>
      </c>
      <c r="J424" s="36" t="s">
        <v>914</v>
      </c>
      <c r="K424" s="33" t="s">
        <v>916</v>
      </c>
      <c r="L424" s="35" t="s">
        <v>916</v>
      </c>
      <c r="M424" s="36" t="s">
        <v>1039</v>
      </c>
      <c r="N424" s="45">
        <v>46097.452777777777</v>
      </c>
      <c r="O424" s="36" t="s">
        <v>25</v>
      </c>
      <c r="P424" s="38">
        <v>0.96625000000000005</v>
      </c>
      <c r="Q424" s="39" t="s">
        <v>2009</v>
      </c>
      <c r="R424" s="35" t="s">
        <v>916</v>
      </c>
      <c r="S424" s="35" t="s">
        <v>2010</v>
      </c>
      <c r="T424" s="35" t="s">
        <v>1624</v>
      </c>
      <c r="U424" s="40">
        <v>46097</v>
      </c>
      <c r="V424" s="41">
        <v>46153.532731481479</v>
      </c>
      <c r="W424" s="40">
        <v>46096</v>
      </c>
      <c r="X424" s="35" t="s">
        <v>916</v>
      </c>
      <c r="Y424" s="35" t="s">
        <v>916</v>
      </c>
      <c r="Z424" s="35" t="s">
        <v>916</v>
      </c>
      <c r="AA424" s="38">
        <v>23.19</v>
      </c>
      <c r="AB424" s="42" t="s">
        <v>916</v>
      </c>
      <c r="AC424" s="43" t="s">
        <v>916</v>
      </c>
      <c r="AD424" s="43" t="s">
        <v>916</v>
      </c>
      <c r="AE424" s="33" t="s">
        <v>916</v>
      </c>
      <c r="AF424" s="35" t="s">
        <v>916</v>
      </c>
      <c r="AG424" s="44">
        <v>492682.86666666658</v>
      </c>
      <c r="AH424" s="42" t="s">
        <v>916</v>
      </c>
      <c r="AI424" s="32" t="e">
        <f>VLOOKUP(A424,'4月明細'!B:B,1,0)</f>
        <v>#N/A</v>
      </c>
    </row>
    <row r="425" spans="1:35" ht="19.95" customHeight="1" x14ac:dyDescent="0.3">
      <c r="A425" s="33" t="s">
        <v>606</v>
      </c>
      <c r="B425" s="34">
        <v>46096.445243055554</v>
      </c>
      <c r="C425" s="34" t="str">
        <f t="shared" si="19"/>
        <v>202603</v>
      </c>
      <c r="D425" s="35" t="s">
        <v>951</v>
      </c>
      <c r="E425" s="36" t="s">
        <v>910</v>
      </c>
      <c r="F425" s="36" t="s">
        <v>1919</v>
      </c>
      <c r="G425" s="37" t="s">
        <v>2011</v>
      </c>
      <c r="H425" s="36" t="s">
        <v>928</v>
      </c>
      <c r="I425" s="35"/>
      <c r="J425" s="36" t="s">
        <v>914</v>
      </c>
      <c r="K425" s="33" t="s">
        <v>916</v>
      </c>
      <c r="L425" s="35" t="s">
        <v>916</v>
      </c>
      <c r="M425" s="36" t="s">
        <v>1039</v>
      </c>
      <c r="N425" s="45">
        <v>46097.453472222223</v>
      </c>
      <c r="O425" s="36" t="s">
        <v>25</v>
      </c>
      <c r="P425" s="38">
        <v>1.0082291667000001</v>
      </c>
      <c r="Q425" s="39" t="s">
        <v>2012</v>
      </c>
      <c r="R425" s="35" t="s">
        <v>916</v>
      </c>
      <c r="S425" s="35"/>
      <c r="T425" s="35" t="s">
        <v>1624</v>
      </c>
      <c r="U425" s="40">
        <v>46097</v>
      </c>
      <c r="V425" s="41">
        <v>46153.532731481479</v>
      </c>
      <c r="W425" s="40">
        <v>46096</v>
      </c>
      <c r="X425" s="35" t="s">
        <v>916</v>
      </c>
      <c r="Y425" s="35" t="s">
        <v>916</v>
      </c>
      <c r="Z425" s="35" t="s">
        <v>916</v>
      </c>
      <c r="AA425" s="38">
        <v>24.197500000800002</v>
      </c>
      <c r="AB425" s="42" t="s">
        <v>916</v>
      </c>
      <c r="AC425" s="43" t="s">
        <v>916</v>
      </c>
      <c r="AD425" s="43" t="s">
        <v>916</v>
      </c>
      <c r="AE425" s="33" t="s">
        <v>916</v>
      </c>
      <c r="AF425" s="35" t="s">
        <v>916</v>
      </c>
      <c r="AG425" s="44">
        <v>492682.88333333342</v>
      </c>
      <c r="AH425" s="42" t="s">
        <v>916</v>
      </c>
      <c r="AI425" s="32" t="e">
        <f>VLOOKUP(A425,'4月明細'!B:B,1,0)</f>
        <v>#N/A</v>
      </c>
    </row>
    <row r="426" spans="1:35" ht="19.95" customHeight="1" x14ac:dyDescent="0.3">
      <c r="A426" s="33" t="s">
        <v>605</v>
      </c>
      <c r="B426" s="34">
        <v>46095.723356481481</v>
      </c>
      <c r="C426" s="34" t="str">
        <f t="shared" si="19"/>
        <v>202603</v>
      </c>
      <c r="D426" s="35" t="s">
        <v>1510</v>
      </c>
      <c r="E426" s="36" t="s">
        <v>1112</v>
      </c>
      <c r="F426" s="36" t="s">
        <v>1285</v>
      </c>
      <c r="G426" s="37" t="s">
        <v>2013</v>
      </c>
      <c r="H426" s="36" t="s">
        <v>1078</v>
      </c>
      <c r="I426" s="35"/>
      <c r="J426" s="36" t="s">
        <v>938</v>
      </c>
      <c r="K426" s="33" t="s">
        <v>916</v>
      </c>
      <c r="L426" s="35" t="s">
        <v>916</v>
      </c>
      <c r="M426" s="36" t="s">
        <v>923</v>
      </c>
      <c r="N426" s="45">
        <v>46095.89166666667</v>
      </c>
      <c r="O426" s="36" t="s">
        <v>25</v>
      </c>
      <c r="P426" s="38">
        <v>0.16831018519999999</v>
      </c>
      <c r="Q426" s="39" t="s">
        <v>2014</v>
      </c>
      <c r="R426" s="35" t="s">
        <v>916</v>
      </c>
      <c r="S426" s="35"/>
      <c r="T426" s="35" t="s">
        <v>1624</v>
      </c>
      <c r="U426" s="40">
        <v>46096</v>
      </c>
      <c r="V426" s="41">
        <v>46153.532731481479</v>
      </c>
      <c r="W426" s="40">
        <v>46095</v>
      </c>
      <c r="X426" s="35" t="s">
        <v>916</v>
      </c>
      <c r="Y426" s="35" t="s">
        <v>916</v>
      </c>
      <c r="Z426" s="35" t="s">
        <v>916</v>
      </c>
      <c r="AA426" s="38">
        <v>4.0394444448</v>
      </c>
      <c r="AB426" s="42" t="s">
        <v>916</v>
      </c>
      <c r="AC426" s="43" t="s">
        <v>916</v>
      </c>
      <c r="AD426" s="43" t="s">
        <v>916</v>
      </c>
      <c r="AE426" s="33" t="s">
        <v>916</v>
      </c>
      <c r="AF426" s="35" t="s">
        <v>916</v>
      </c>
      <c r="AG426" s="44">
        <v>0</v>
      </c>
      <c r="AH426" s="42" t="s">
        <v>916</v>
      </c>
      <c r="AI426" s="32" t="e">
        <f>VLOOKUP(A426,'4月明細'!B:B,1,0)</f>
        <v>#N/A</v>
      </c>
    </row>
    <row r="427" spans="1:35" ht="19.95" customHeight="1" x14ac:dyDescent="0.3">
      <c r="A427" s="33" t="s">
        <v>604</v>
      </c>
      <c r="B427" s="34">
        <v>46095.696030092593</v>
      </c>
      <c r="C427" s="34" t="str">
        <f t="shared" si="19"/>
        <v>202603</v>
      </c>
      <c r="D427" s="35" t="s">
        <v>909</v>
      </c>
      <c r="E427" s="36" t="s">
        <v>910</v>
      </c>
      <c r="F427" s="36" t="s">
        <v>1621</v>
      </c>
      <c r="G427" s="37" t="s">
        <v>2015</v>
      </c>
      <c r="H427" s="36" t="s">
        <v>954</v>
      </c>
      <c r="I427" s="35"/>
      <c r="J427" s="36" t="s">
        <v>914</v>
      </c>
      <c r="K427" s="33" t="s">
        <v>916</v>
      </c>
      <c r="L427" s="35" t="s">
        <v>916</v>
      </c>
      <c r="M427" s="36" t="s">
        <v>923</v>
      </c>
      <c r="N427" s="45">
        <v>46095.893055555556</v>
      </c>
      <c r="O427" s="36" t="s">
        <v>25</v>
      </c>
      <c r="P427" s="38">
        <v>0.19702546300000001</v>
      </c>
      <c r="Q427" s="39" t="s">
        <v>1087</v>
      </c>
      <c r="R427" s="35" t="s">
        <v>916</v>
      </c>
      <c r="S427" s="35"/>
      <c r="T427" s="35" t="s">
        <v>1624</v>
      </c>
      <c r="U427" s="40">
        <v>46096</v>
      </c>
      <c r="V427" s="41">
        <v>46153.532731481479</v>
      </c>
      <c r="W427" s="40">
        <v>46095</v>
      </c>
      <c r="X427" s="35" t="s">
        <v>916</v>
      </c>
      <c r="Y427" s="35" t="s">
        <v>916</v>
      </c>
      <c r="Z427" s="35" t="s">
        <v>916</v>
      </c>
      <c r="AA427" s="38">
        <v>4.7286111120000003</v>
      </c>
      <c r="AB427" s="42" t="s">
        <v>916</v>
      </c>
      <c r="AC427" s="43" t="s">
        <v>916</v>
      </c>
      <c r="AD427" s="43" t="s">
        <v>916</v>
      </c>
      <c r="AE427" s="33" t="s">
        <v>916</v>
      </c>
      <c r="AF427" s="35" t="s">
        <v>916</v>
      </c>
      <c r="AG427" s="44">
        <v>0</v>
      </c>
      <c r="AH427" s="42" t="s">
        <v>916</v>
      </c>
      <c r="AI427" s="32" t="e">
        <f>VLOOKUP(A427,'4月明細'!B:B,1,0)</f>
        <v>#N/A</v>
      </c>
    </row>
    <row r="428" spans="1:35" ht="19.95" customHeight="1" x14ac:dyDescent="0.3">
      <c r="A428" s="33" t="s">
        <v>603</v>
      </c>
      <c r="B428" s="34">
        <v>46095.684236111112</v>
      </c>
      <c r="C428" s="34" t="str">
        <f t="shared" si="19"/>
        <v>202603</v>
      </c>
      <c r="D428" s="35" t="s">
        <v>909</v>
      </c>
      <c r="E428" s="36" t="s">
        <v>910</v>
      </c>
      <c r="F428" s="36" t="s">
        <v>1621</v>
      </c>
      <c r="G428" s="37" t="s">
        <v>2016</v>
      </c>
      <c r="H428" s="36" t="s">
        <v>954</v>
      </c>
      <c r="I428" s="35" t="s">
        <v>1542</v>
      </c>
      <c r="J428" s="36" t="s">
        <v>914</v>
      </c>
      <c r="K428" s="33" t="s">
        <v>916</v>
      </c>
      <c r="L428" s="35" t="s">
        <v>916</v>
      </c>
      <c r="M428" s="36" t="s">
        <v>923</v>
      </c>
      <c r="N428" s="45">
        <v>46095.893055555556</v>
      </c>
      <c r="O428" s="36" t="s">
        <v>25</v>
      </c>
      <c r="P428" s="38">
        <v>0.2088194444</v>
      </c>
      <c r="Q428" s="39" t="s">
        <v>1671</v>
      </c>
      <c r="R428" s="35" t="s">
        <v>916</v>
      </c>
      <c r="S428" s="35"/>
      <c r="T428" s="35" t="s">
        <v>1624</v>
      </c>
      <c r="U428" s="40">
        <v>46096</v>
      </c>
      <c r="V428" s="41">
        <v>46153.532731481479</v>
      </c>
      <c r="W428" s="40">
        <v>46095</v>
      </c>
      <c r="X428" s="35" t="s">
        <v>916</v>
      </c>
      <c r="Y428" s="35" t="s">
        <v>916</v>
      </c>
      <c r="Z428" s="35" t="s">
        <v>916</v>
      </c>
      <c r="AA428" s="38">
        <v>5.0116666656</v>
      </c>
      <c r="AB428" s="42" t="s">
        <v>916</v>
      </c>
      <c r="AC428" s="43" t="s">
        <v>916</v>
      </c>
      <c r="AD428" s="43" t="s">
        <v>916</v>
      </c>
      <c r="AE428" s="33" t="s">
        <v>916</v>
      </c>
      <c r="AF428" s="35" t="s">
        <v>916</v>
      </c>
      <c r="AG428" s="44">
        <v>0</v>
      </c>
      <c r="AH428" s="42" t="s">
        <v>916</v>
      </c>
      <c r="AI428" s="32" t="e">
        <f>VLOOKUP(A428,'4月明細'!B:B,1,0)</f>
        <v>#N/A</v>
      </c>
    </row>
    <row r="429" spans="1:35" ht="19.95" customHeight="1" x14ac:dyDescent="0.3">
      <c r="A429" s="33" t="s">
        <v>602</v>
      </c>
      <c r="B429" s="34">
        <v>46095.662569444445</v>
      </c>
      <c r="C429" s="34" t="str">
        <f t="shared" si="19"/>
        <v>202603</v>
      </c>
      <c r="D429" s="35" t="s">
        <v>909</v>
      </c>
      <c r="E429" s="36" t="s">
        <v>910</v>
      </c>
      <c r="F429" s="36" t="s">
        <v>1672</v>
      </c>
      <c r="G429" s="37" t="s">
        <v>1499</v>
      </c>
      <c r="H429" s="36" t="s">
        <v>928</v>
      </c>
      <c r="I429" s="35"/>
      <c r="J429" s="36" t="s">
        <v>914</v>
      </c>
      <c r="K429" s="33" t="s">
        <v>916</v>
      </c>
      <c r="L429" s="35" t="s">
        <v>916</v>
      </c>
      <c r="M429" s="36" t="s">
        <v>923</v>
      </c>
      <c r="N429" s="45">
        <v>46095.893750000003</v>
      </c>
      <c r="O429" s="36" t="s">
        <v>25</v>
      </c>
      <c r="P429" s="38">
        <v>0.2311805556</v>
      </c>
      <c r="Q429" s="39" t="s">
        <v>958</v>
      </c>
      <c r="R429" s="35" t="s">
        <v>916</v>
      </c>
      <c r="S429" s="35"/>
      <c r="T429" s="35" t="s">
        <v>1624</v>
      </c>
      <c r="U429" s="40">
        <v>46096</v>
      </c>
      <c r="V429" s="41">
        <v>46153.532731481479</v>
      </c>
      <c r="W429" s="40">
        <v>46095</v>
      </c>
      <c r="X429" s="35" t="s">
        <v>916</v>
      </c>
      <c r="Y429" s="35" t="s">
        <v>916</v>
      </c>
      <c r="Z429" s="35" t="s">
        <v>916</v>
      </c>
      <c r="AA429" s="38">
        <v>5.5483333343999997</v>
      </c>
      <c r="AB429" s="42" t="s">
        <v>916</v>
      </c>
      <c r="AC429" s="43" t="s">
        <v>916</v>
      </c>
      <c r="AD429" s="43" t="s">
        <v>916</v>
      </c>
      <c r="AE429" s="33" t="s">
        <v>916</v>
      </c>
      <c r="AF429" s="35" t="s">
        <v>916</v>
      </c>
      <c r="AG429" s="44">
        <v>0</v>
      </c>
      <c r="AH429" s="42" t="s">
        <v>916</v>
      </c>
      <c r="AI429" s="32" t="e">
        <f>VLOOKUP(A429,'4月明細'!B:B,1,0)</f>
        <v>#N/A</v>
      </c>
    </row>
    <row r="430" spans="1:35" ht="19.95" customHeight="1" x14ac:dyDescent="0.3">
      <c r="A430" s="33" t="s">
        <v>601</v>
      </c>
      <c r="B430" s="34">
        <v>46095.620150462964</v>
      </c>
      <c r="C430" s="34" t="str">
        <f t="shared" si="19"/>
        <v>202603</v>
      </c>
      <c r="D430" s="35" t="s">
        <v>909</v>
      </c>
      <c r="E430" s="36" t="s">
        <v>910</v>
      </c>
      <c r="F430" s="36" t="s">
        <v>2017</v>
      </c>
      <c r="G430" s="37" t="s">
        <v>2018</v>
      </c>
      <c r="H430" s="36" t="s">
        <v>928</v>
      </c>
      <c r="I430" s="35" t="s">
        <v>2019</v>
      </c>
      <c r="J430" s="36" t="s">
        <v>914</v>
      </c>
      <c r="K430" s="33" t="s">
        <v>916</v>
      </c>
      <c r="L430" s="35" t="s">
        <v>916</v>
      </c>
      <c r="M430" s="36" t="s">
        <v>1039</v>
      </c>
      <c r="N430" s="45">
        <v>46095.893750000003</v>
      </c>
      <c r="O430" s="36" t="s">
        <v>25</v>
      </c>
      <c r="P430" s="38">
        <v>0.273599537</v>
      </c>
      <c r="Q430" s="39" t="s">
        <v>1739</v>
      </c>
      <c r="R430" s="35" t="s">
        <v>916</v>
      </c>
      <c r="S430" s="35"/>
      <c r="T430" s="35" t="s">
        <v>1624</v>
      </c>
      <c r="U430" s="40">
        <v>46096</v>
      </c>
      <c r="V430" s="41">
        <v>46153.532731481479</v>
      </c>
      <c r="W430" s="40">
        <v>46095</v>
      </c>
      <c r="X430" s="35" t="s">
        <v>916</v>
      </c>
      <c r="Y430" s="35" t="s">
        <v>916</v>
      </c>
      <c r="Z430" s="35" t="s">
        <v>916</v>
      </c>
      <c r="AA430" s="38">
        <v>6.5663888879999996</v>
      </c>
      <c r="AB430" s="42" t="s">
        <v>916</v>
      </c>
      <c r="AC430" s="43" t="s">
        <v>916</v>
      </c>
      <c r="AD430" s="43" t="s">
        <v>916</v>
      </c>
      <c r="AE430" s="33" t="s">
        <v>916</v>
      </c>
      <c r="AF430" s="35" t="s">
        <v>916</v>
      </c>
      <c r="AG430" s="44">
        <v>0</v>
      </c>
      <c r="AH430" s="42" t="s">
        <v>916</v>
      </c>
      <c r="AI430" s="32" t="e">
        <f>VLOOKUP(A430,'4月明細'!B:B,1,0)</f>
        <v>#N/A</v>
      </c>
    </row>
    <row r="431" spans="1:35" ht="19.95" customHeight="1" x14ac:dyDescent="0.3">
      <c r="A431" s="33" t="s">
        <v>600</v>
      </c>
      <c r="B431" s="34">
        <v>46094.913865740738</v>
      </c>
      <c r="C431" s="34" t="str">
        <f t="shared" si="19"/>
        <v>202603</v>
      </c>
      <c r="D431" s="35" t="s">
        <v>1014</v>
      </c>
      <c r="E431" s="36" t="s">
        <v>942</v>
      </c>
      <c r="F431" s="36" t="s">
        <v>1411</v>
      </c>
      <c r="G431" s="37" t="s">
        <v>2020</v>
      </c>
      <c r="H431" s="36" t="s">
        <v>2021</v>
      </c>
      <c r="I431" s="35"/>
      <c r="J431" s="36" t="s">
        <v>938</v>
      </c>
      <c r="K431" s="33" t="s">
        <v>916</v>
      </c>
      <c r="L431" s="35" t="s">
        <v>916</v>
      </c>
      <c r="M431" s="36" t="s">
        <v>923</v>
      </c>
      <c r="N431" s="45">
        <v>46095.894444444442</v>
      </c>
      <c r="O431" s="36" t="s">
        <v>25</v>
      </c>
      <c r="P431" s="38">
        <v>0.9805787037</v>
      </c>
      <c r="Q431" s="39" t="s">
        <v>1087</v>
      </c>
      <c r="R431" s="35" t="s">
        <v>916</v>
      </c>
      <c r="S431" s="35"/>
      <c r="T431" s="35" t="s">
        <v>1624</v>
      </c>
      <c r="U431" s="40">
        <v>46095</v>
      </c>
      <c r="V431" s="41">
        <v>46153.532731481479</v>
      </c>
      <c r="W431" s="40">
        <v>46095</v>
      </c>
      <c r="X431" s="35" t="s">
        <v>916</v>
      </c>
      <c r="Y431" s="35" t="s">
        <v>916</v>
      </c>
      <c r="Z431" s="35" t="s">
        <v>916</v>
      </c>
      <c r="AA431" s="38">
        <v>23.5338888888</v>
      </c>
      <c r="AB431" s="42" t="s">
        <v>916</v>
      </c>
      <c r="AC431" s="43" t="s">
        <v>916</v>
      </c>
      <c r="AD431" s="43" t="s">
        <v>916</v>
      </c>
      <c r="AE431" s="33" t="s">
        <v>916</v>
      </c>
      <c r="AF431" s="35" t="s">
        <v>916</v>
      </c>
      <c r="AG431" s="44">
        <v>0</v>
      </c>
      <c r="AH431" s="42" t="s">
        <v>916</v>
      </c>
      <c r="AI431" s="32" t="e">
        <f>VLOOKUP(A431,'4月明細'!B:B,1,0)</f>
        <v>#N/A</v>
      </c>
    </row>
    <row r="432" spans="1:35" ht="19.95" customHeight="1" x14ac:dyDescent="0.3">
      <c r="A432" s="33" t="s">
        <v>599</v>
      </c>
      <c r="B432" s="34">
        <v>46094.699675925927</v>
      </c>
      <c r="C432" s="34" t="str">
        <f t="shared" si="19"/>
        <v>202603</v>
      </c>
      <c r="D432" s="35" t="s">
        <v>996</v>
      </c>
      <c r="E432" s="36" t="s">
        <v>910</v>
      </c>
      <c r="F432" s="36" t="s">
        <v>1285</v>
      </c>
      <c r="G432" s="37" t="s">
        <v>1976</v>
      </c>
      <c r="H432" s="36" t="s">
        <v>954</v>
      </c>
      <c r="I432" s="35"/>
      <c r="J432" s="36" t="s">
        <v>914</v>
      </c>
      <c r="K432" s="33" t="s">
        <v>916</v>
      </c>
      <c r="L432" s="35" t="s">
        <v>916</v>
      </c>
      <c r="M432" s="36" t="s">
        <v>957</v>
      </c>
      <c r="N432" s="45">
        <v>46098.645138888889</v>
      </c>
      <c r="O432" s="36" t="s">
        <v>25</v>
      </c>
      <c r="P432" s="38">
        <v>3.9454629630000002</v>
      </c>
      <c r="Q432" s="39" t="s">
        <v>2022</v>
      </c>
      <c r="R432" s="35" t="s">
        <v>916</v>
      </c>
      <c r="S432" s="35" t="s">
        <v>2023</v>
      </c>
      <c r="T432" s="35" t="s">
        <v>1624</v>
      </c>
      <c r="U432" s="40">
        <v>46095</v>
      </c>
      <c r="V432" s="41">
        <v>46153.532731481479</v>
      </c>
      <c r="W432" s="40">
        <v>46094</v>
      </c>
      <c r="X432" s="35" t="s">
        <v>916</v>
      </c>
      <c r="Y432" s="35" t="s">
        <v>916</v>
      </c>
      <c r="Z432" s="35" t="s">
        <v>916</v>
      </c>
      <c r="AA432" s="38">
        <v>94.691111112000002</v>
      </c>
      <c r="AB432" s="42" t="s">
        <v>916</v>
      </c>
      <c r="AC432" s="43" t="s">
        <v>916</v>
      </c>
      <c r="AD432" s="43" t="s">
        <v>916</v>
      </c>
      <c r="AE432" s="33" t="s">
        <v>916</v>
      </c>
      <c r="AF432" s="35" t="s">
        <v>916</v>
      </c>
      <c r="AG432" s="44">
        <v>492711.48333333328</v>
      </c>
      <c r="AH432" s="42" t="s">
        <v>916</v>
      </c>
      <c r="AI432" s="32" t="e">
        <f>VLOOKUP(A432,'4月明細'!B:B,1,0)</f>
        <v>#N/A</v>
      </c>
    </row>
    <row r="433" spans="1:35" ht="19.95" customHeight="1" x14ac:dyDescent="0.3">
      <c r="A433" s="33" t="s">
        <v>598</v>
      </c>
      <c r="B433" s="34">
        <v>46094.641817129632</v>
      </c>
      <c r="C433" s="34" t="str">
        <f t="shared" si="19"/>
        <v>202603</v>
      </c>
      <c r="D433" s="35" t="s">
        <v>951</v>
      </c>
      <c r="E433" s="36" t="s">
        <v>910</v>
      </c>
      <c r="F433" s="36" t="s">
        <v>987</v>
      </c>
      <c r="G433" s="37" t="s">
        <v>2024</v>
      </c>
      <c r="H433" s="36" t="s">
        <v>954</v>
      </c>
      <c r="I433" s="35" t="s">
        <v>2025</v>
      </c>
      <c r="J433" s="36" t="s">
        <v>929</v>
      </c>
      <c r="K433" s="33" t="s">
        <v>916</v>
      </c>
      <c r="L433" s="35" t="s">
        <v>916</v>
      </c>
      <c r="M433" s="36" t="s">
        <v>923</v>
      </c>
      <c r="N433" s="45">
        <v>46094.720833333333</v>
      </c>
      <c r="O433" s="36" t="s">
        <v>25</v>
      </c>
      <c r="P433" s="38">
        <v>7.9016203699999996E-2</v>
      </c>
      <c r="Q433" s="39" t="s">
        <v>2026</v>
      </c>
      <c r="R433" s="35" t="s">
        <v>916</v>
      </c>
      <c r="S433" s="35"/>
      <c r="T433" s="35" t="s">
        <v>1624</v>
      </c>
      <c r="U433" s="40">
        <v>46095</v>
      </c>
      <c r="V433" s="41">
        <v>46153.532731481479</v>
      </c>
      <c r="W433" s="40">
        <v>46094</v>
      </c>
      <c r="X433" s="35" t="s">
        <v>916</v>
      </c>
      <c r="Y433" s="35" t="s">
        <v>916</v>
      </c>
      <c r="Z433" s="35" t="s">
        <v>916</v>
      </c>
      <c r="AA433" s="38">
        <v>1.8963888888</v>
      </c>
      <c r="AB433" s="42" t="s">
        <v>916</v>
      </c>
      <c r="AC433" s="43" t="s">
        <v>916</v>
      </c>
      <c r="AD433" s="43" t="s">
        <v>916</v>
      </c>
      <c r="AE433" s="33" t="s">
        <v>916</v>
      </c>
      <c r="AF433" s="35" t="s">
        <v>916</v>
      </c>
      <c r="AG433" s="44">
        <v>0</v>
      </c>
      <c r="AH433" s="42" t="s">
        <v>916</v>
      </c>
      <c r="AI433" s="32" t="e">
        <f>VLOOKUP(A433,'4月明細'!B:B,1,0)</f>
        <v>#N/A</v>
      </c>
    </row>
    <row r="434" spans="1:35" ht="19.95" customHeight="1" x14ac:dyDescent="0.3">
      <c r="A434" s="33" t="s">
        <v>597</v>
      </c>
      <c r="B434" s="34">
        <v>46094.607175925928</v>
      </c>
      <c r="C434" s="34" t="str">
        <f t="shared" si="19"/>
        <v>202603</v>
      </c>
      <c r="D434" s="35" t="s">
        <v>951</v>
      </c>
      <c r="E434" s="36" t="s">
        <v>910</v>
      </c>
      <c r="F434" s="36" t="s">
        <v>1507</v>
      </c>
      <c r="G434" s="37" t="s">
        <v>2027</v>
      </c>
      <c r="H434" s="36" t="s">
        <v>954</v>
      </c>
      <c r="I434" s="35"/>
      <c r="J434" s="36" t="s">
        <v>914</v>
      </c>
      <c r="K434" s="33" t="s">
        <v>916</v>
      </c>
      <c r="L434" s="35" t="s">
        <v>916</v>
      </c>
      <c r="M434" s="36" t="s">
        <v>957</v>
      </c>
      <c r="N434" s="45">
        <v>46098.645138888889</v>
      </c>
      <c r="O434" s="36" t="s">
        <v>25</v>
      </c>
      <c r="P434" s="38">
        <v>4.037962963</v>
      </c>
      <c r="Q434" s="39" t="s">
        <v>2028</v>
      </c>
      <c r="R434" s="35" t="s">
        <v>916</v>
      </c>
      <c r="S434" s="35"/>
      <c r="T434" s="35" t="s">
        <v>1624</v>
      </c>
      <c r="U434" s="40">
        <v>46095</v>
      </c>
      <c r="V434" s="41">
        <v>46153.532731481479</v>
      </c>
      <c r="W434" s="40">
        <v>46094</v>
      </c>
      <c r="X434" s="35" t="s">
        <v>916</v>
      </c>
      <c r="Y434" s="35" t="s">
        <v>916</v>
      </c>
      <c r="Z434" s="35" t="s">
        <v>916</v>
      </c>
      <c r="AA434" s="38">
        <v>96.911111112</v>
      </c>
      <c r="AB434" s="42" t="s">
        <v>916</v>
      </c>
      <c r="AC434" s="43" t="s">
        <v>916</v>
      </c>
      <c r="AD434" s="43" t="s">
        <v>916</v>
      </c>
      <c r="AE434" s="33" t="s">
        <v>916</v>
      </c>
      <c r="AF434" s="35" t="s">
        <v>916</v>
      </c>
      <c r="AG434" s="44">
        <v>492711.48333333328</v>
      </c>
      <c r="AH434" s="42" t="s">
        <v>916</v>
      </c>
      <c r="AI434" s="32" t="e">
        <f>VLOOKUP(A434,'4月明細'!B:B,1,0)</f>
        <v>#N/A</v>
      </c>
    </row>
    <row r="435" spans="1:35" ht="19.95" customHeight="1" x14ac:dyDescent="0.3">
      <c r="A435" s="33" t="s">
        <v>596</v>
      </c>
      <c r="B435" s="34">
        <v>46094.578310185185</v>
      </c>
      <c r="C435" s="34" t="str">
        <f t="shared" si="19"/>
        <v>202603</v>
      </c>
      <c r="D435" s="35" t="s">
        <v>996</v>
      </c>
      <c r="E435" s="36" t="s">
        <v>910</v>
      </c>
      <c r="F435" s="36" t="s">
        <v>1285</v>
      </c>
      <c r="G435" s="37" t="s">
        <v>2029</v>
      </c>
      <c r="H435" s="36" t="s">
        <v>1078</v>
      </c>
      <c r="I435" s="35"/>
      <c r="J435" s="36" t="s">
        <v>914</v>
      </c>
      <c r="K435" s="33" t="s">
        <v>916</v>
      </c>
      <c r="L435" s="35" t="s">
        <v>916</v>
      </c>
      <c r="M435" s="36" t="s">
        <v>923</v>
      </c>
      <c r="N435" s="45">
        <v>46095.895138888889</v>
      </c>
      <c r="O435" s="36" t="s">
        <v>25</v>
      </c>
      <c r="P435" s="38">
        <v>1.3168287036999999</v>
      </c>
      <c r="Q435" s="39" t="s">
        <v>2030</v>
      </c>
      <c r="R435" s="35" t="s">
        <v>916</v>
      </c>
      <c r="S435" s="35"/>
      <c r="T435" s="35" t="s">
        <v>1624</v>
      </c>
      <c r="U435" s="40">
        <v>46095</v>
      </c>
      <c r="V435" s="41">
        <v>46153.532731481479</v>
      </c>
      <c r="W435" s="40">
        <v>46094</v>
      </c>
      <c r="X435" s="35" t="s">
        <v>916</v>
      </c>
      <c r="Y435" s="35" t="s">
        <v>916</v>
      </c>
      <c r="Z435" s="35" t="s">
        <v>916</v>
      </c>
      <c r="AA435" s="38">
        <v>31.6038888888</v>
      </c>
      <c r="AB435" s="42" t="s">
        <v>916</v>
      </c>
      <c r="AC435" s="43" t="s">
        <v>916</v>
      </c>
      <c r="AD435" s="43" t="s">
        <v>916</v>
      </c>
      <c r="AE435" s="33" t="s">
        <v>916</v>
      </c>
      <c r="AF435" s="35" t="s">
        <v>916</v>
      </c>
      <c r="AG435" s="44">
        <v>0</v>
      </c>
      <c r="AH435" s="42" t="s">
        <v>916</v>
      </c>
      <c r="AI435" s="32" t="e">
        <f>VLOOKUP(A435,'4月明細'!B:B,1,0)</f>
        <v>#N/A</v>
      </c>
    </row>
    <row r="436" spans="1:35" ht="19.95" customHeight="1" x14ac:dyDescent="0.3">
      <c r="A436" s="33" t="s">
        <v>2031</v>
      </c>
      <c r="B436" s="34">
        <v>46094.571446759262</v>
      </c>
      <c r="C436" s="34" t="str">
        <f t="shared" si="19"/>
        <v>202603</v>
      </c>
      <c r="D436" s="35" t="s">
        <v>2032</v>
      </c>
      <c r="E436" s="36" t="s">
        <v>1199</v>
      </c>
      <c r="F436" s="36" t="s">
        <v>1860</v>
      </c>
      <c r="G436" s="37" t="s">
        <v>2033</v>
      </c>
      <c r="H436" s="36" t="s">
        <v>928</v>
      </c>
      <c r="I436" s="35"/>
      <c r="J436" s="36" t="s">
        <v>945</v>
      </c>
      <c r="K436" s="33" t="s">
        <v>916</v>
      </c>
      <c r="L436" s="35" t="s">
        <v>916</v>
      </c>
      <c r="M436" s="36" t="s">
        <v>916</v>
      </c>
      <c r="N436" s="45">
        <v>46094.594444444447</v>
      </c>
      <c r="O436" s="36" t="s">
        <v>918</v>
      </c>
      <c r="P436" s="38">
        <v>2.29976852E-2</v>
      </c>
      <c r="Q436" s="39" t="s">
        <v>2034</v>
      </c>
      <c r="R436" s="35" t="s">
        <v>916</v>
      </c>
      <c r="S436" s="35" t="s">
        <v>2035</v>
      </c>
      <c r="T436" s="35" t="s">
        <v>1624</v>
      </c>
      <c r="U436" s="40">
        <v>46095</v>
      </c>
      <c r="V436" s="41">
        <v>46153.532731481479</v>
      </c>
      <c r="W436" s="40">
        <v>46094</v>
      </c>
      <c r="X436" s="35" t="s">
        <v>916</v>
      </c>
      <c r="Y436" s="35" t="s">
        <v>916</v>
      </c>
      <c r="Z436" s="35" t="s">
        <v>916</v>
      </c>
      <c r="AA436" s="38">
        <v>0.55194444480000004</v>
      </c>
      <c r="AB436" s="42" t="s">
        <v>916</v>
      </c>
      <c r="AC436" s="43" t="s">
        <v>916</v>
      </c>
      <c r="AD436" s="43" t="s">
        <v>916</v>
      </c>
      <c r="AE436" s="33" t="s">
        <v>916</v>
      </c>
      <c r="AF436" s="35" t="s">
        <v>916</v>
      </c>
      <c r="AG436" s="44">
        <v>0</v>
      </c>
      <c r="AH436" s="42" t="s">
        <v>916</v>
      </c>
      <c r="AI436" s="32" t="e">
        <f>VLOOKUP(A436,'4月明細'!B:B,1,0)</f>
        <v>#N/A</v>
      </c>
    </row>
    <row r="437" spans="1:35" ht="19.95" customHeight="1" x14ac:dyDescent="0.3">
      <c r="A437" s="33" t="s">
        <v>2036</v>
      </c>
      <c r="B437" s="34">
        <v>46094.522638888891</v>
      </c>
      <c r="C437" s="34" t="str">
        <f t="shared" si="19"/>
        <v>202603</v>
      </c>
      <c r="D437" s="35" t="s">
        <v>986</v>
      </c>
      <c r="E437" s="36" t="s">
        <v>910</v>
      </c>
      <c r="F437" s="36" t="s">
        <v>1521</v>
      </c>
      <c r="G437" s="37" t="s">
        <v>2037</v>
      </c>
      <c r="H437" s="36" t="s">
        <v>928</v>
      </c>
      <c r="I437" s="35"/>
      <c r="J437" s="36" t="s">
        <v>914</v>
      </c>
      <c r="K437" s="33" t="s">
        <v>916</v>
      </c>
      <c r="L437" s="35" t="s">
        <v>916</v>
      </c>
      <c r="M437" s="36" t="s">
        <v>957</v>
      </c>
      <c r="N437" s="45">
        <v>46098.647222222222</v>
      </c>
      <c r="O437" s="36" t="s">
        <v>939</v>
      </c>
      <c r="P437" s="38">
        <v>4.1245833333000004</v>
      </c>
      <c r="Q437" s="36" t="s">
        <v>916</v>
      </c>
      <c r="R437" s="35" t="s">
        <v>916</v>
      </c>
      <c r="S437" s="35"/>
      <c r="T437" s="35" t="s">
        <v>1624</v>
      </c>
      <c r="U437" s="40">
        <v>46095</v>
      </c>
      <c r="V437" s="41">
        <v>46153.532731481479</v>
      </c>
      <c r="W437" s="40">
        <v>46094</v>
      </c>
      <c r="X437" s="40">
        <v>46153</v>
      </c>
      <c r="Y437" s="35" t="s">
        <v>916</v>
      </c>
      <c r="Z437" s="35" t="s">
        <v>916</v>
      </c>
      <c r="AA437" s="38">
        <v>98.989999999199995</v>
      </c>
      <c r="AB437" s="42" t="s">
        <v>916</v>
      </c>
      <c r="AC437" s="43" t="s">
        <v>916</v>
      </c>
      <c r="AD437" s="43" t="s">
        <v>916</v>
      </c>
      <c r="AE437" s="33" t="s">
        <v>916</v>
      </c>
      <c r="AF437" s="35" t="s">
        <v>916</v>
      </c>
      <c r="AG437" s="44">
        <v>492848.81666666671</v>
      </c>
      <c r="AH437" s="42" t="s">
        <v>916</v>
      </c>
      <c r="AI437" s="32" t="e">
        <f>VLOOKUP(A437,'4月明細'!B:B,1,0)</f>
        <v>#N/A</v>
      </c>
    </row>
    <row r="438" spans="1:35" ht="19.95" customHeight="1" x14ac:dyDescent="0.3">
      <c r="A438" s="33" t="s">
        <v>2038</v>
      </c>
      <c r="B438" s="34">
        <v>46094.510416666664</v>
      </c>
      <c r="C438" s="34" t="str">
        <f t="shared" si="19"/>
        <v>202603</v>
      </c>
      <c r="D438" s="35" t="s">
        <v>1653</v>
      </c>
      <c r="E438" s="36" t="s">
        <v>934</v>
      </c>
      <c r="F438" s="36" t="s">
        <v>2039</v>
      </c>
      <c r="G438" s="37" t="s">
        <v>1660</v>
      </c>
      <c r="H438" s="36" t="s">
        <v>1114</v>
      </c>
      <c r="I438" s="35" t="s">
        <v>2040</v>
      </c>
      <c r="J438" s="36" t="s">
        <v>929</v>
      </c>
      <c r="K438" s="33" t="s">
        <v>916</v>
      </c>
      <c r="L438" s="35" t="s">
        <v>916</v>
      </c>
      <c r="M438" s="36" t="s">
        <v>916</v>
      </c>
      <c r="N438" s="36" t="s">
        <v>916</v>
      </c>
      <c r="O438" s="36" t="s">
        <v>939</v>
      </c>
      <c r="P438" s="38" t="s">
        <v>916</v>
      </c>
      <c r="Q438" s="36" t="s">
        <v>916</v>
      </c>
      <c r="R438" s="35" t="s">
        <v>916</v>
      </c>
      <c r="S438" s="35"/>
      <c r="T438" s="35" t="s">
        <v>1624</v>
      </c>
      <c r="U438" s="40">
        <v>46095</v>
      </c>
      <c r="V438" s="41">
        <v>46153.532731481479</v>
      </c>
      <c r="W438" s="40">
        <v>46094</v>
      </c>
      <c r="X438" s="40">
        <v>46153</v>
      </c>
      <c r="Y438" s="35" t="s">
        <v>916</v>
      </c>
      <c r="Z438" s="35" t="s">
        <v>916</v>
      </c>
      <c r="AA438" s="38">
        <v>0</v>
      </c>
      <c r="AB438" s="42" t="s">
        <v>916</v>
      </c>
      <c r="AC438" s="43" t="s">
        <v>916</v>
      </c>
      <c r="AD438" s="43" t="s">
        <v>916</v>
      </c>
      <c r="AE438" s="33" t="s">
        <v>916</v>
      </c>
      <c r="AF438" s="35" t="s">
        <v>916</v>
      </c>
      <c r="AG438" s="44">
        <v>0</v>
      </c>
      <c r="AH438" s="42" t="s">
        <v>916</v>
      </c>
      <c r="AI438" s="32" t="e">
        <f>VLOOKUP(A438,'4月明細'!B:B,1,0)</f>
        <v>#N/A</v>
      </c>
    </row>
    <row r="439" spans="1:35" ht="19.95" customHeight="1" x14ac:dyDescent="0.3">
      <c r="A439" s="33" t="s">
        <v>595</v>
      </c>
      <c r="B439" s="34">
        <v>46094.510625000003</v>
      </c>
      <c r="C439" s="34" t="str">
        <f t="shared" si="19"/>
        <v>202603</v>
      </c>
      <c r="D439" s="35" t="s">
        <v>986</v>
      </c>
      <c r="E439" s="36" t="s">
        <v>910</v>
      </c>
      <c r="F439" s="36" t="s">
        <v>1919</v>
      </c>
      <c r="G439" s="37" t="s">
        <v>2041</v>
      </c>
      <c r="H439" s="36" t="s">
        <v>928</v>
      </c>
      <c r="I439" s="35"/>
      <c r="J439" s="36" t="s">
        <v>914</v>
      </c>
      <c r="K439" s="33" t="s">
        <v>916</v>
      </c>
      <c r="L439" s="35" t="s">
        <v>916</v>
      </c>
      <c r="M439" s="36" t="s">
        <v>923</v>
      </c>
      <c r="N439" s="45">
        <v>46094.723611111112</v>
      </c>
      <c r="O439" s="36" t="s">
        <v>25</v>
      </c>
      <c r="P439" s="38">
        <v>0.21298611109999999</v>
      </c>
      <c r="Q439" s="39" t="s">
        <v>2042</v>
      </c>
      <c r="R439" s="35" t="s">
        <v>916</v>
      </c>
      <c r="S439" s="35"/>
      <c r="T439" s="35" t="s">
        <v>1624</v>
      </c>
      <c r="U439" s="40">
        <v>46095</v>
      </c>
      <c r="V439" s="41">
        <v>46153.532731481479</v>
      </c>
      <c r="W439" s="40">
        <v>46094</v>
      </c>
      <c r="X439" s="35" t="s">
        <v>916</v>
      </c>
      <c r="Y439" s="35" t="s">
        <v>916</v>
      </c>
      <c r="Z439" s="35" t="s">
        <v>916</v>
      </c>
      <c r="AA439" s="38">
        <v>5.1116666663999997</v>
      </c>
      <c r="AB439" s="42" t="s">
        <v>916</v>
      </c>
      <c r="AC439" s="43" t="s">
        <v>916</v>
      </c>
      <c r="AD439" s="43" t="s">
        <v>916</v>
      </c>
      <c r="AE439" s="33" t="s">
        <v>916</v>
      </c>
      <c r="AF439" s="35" t="s">
        <v>916</v>
      </c>
      <c r="AG439" s="44">
        <v>0</v>
      </c>
      <c r="AH439" s="42" t="s">
        <v>916</v>
      </c>
      <c r="AI439" s="32" t="e">
        <f>VLOOKUP(A439,'4月明細'!B:B,1,0)</f>
        <v>#N/A</v>
      </c>
    </row>
    <row r="440" spans="1:35" ht="19.95" customHeight="1" x14ac:dyDescent="0.3">
      <c r="A440" s="33" t="s">
        <v>594</v>
      </c>
      <c r="B440" s="34">
        <v>46094.509976851848</v>
      </c>
      <c r="C440" s="34" t="str">
        <f t="shared" si="19"/>
        <v>202603</v>
      </c>
      <c r="D440" s="35" t="s">
        <v>986</v>
      </c>
      <c r="E440" s="36" t="s">
        <v>910</v>
      </c>
      <c r="F440" s="36" t="s">
        <v>2043</v>
      </c>
      <c r="G440" s="37" t="s">
        <v>2044</v>
      </c>
      <c r="H440" s="36" t="s">
        <v>1023</v>
      </c>
      <c r="I440" s="35"/>
      <c r="J440" s="36" t="s">
        <v>914</v>
      </c>
      <c r="K440" s="33" t="s">
        <v>916</v>
      </c>
      <c r="L440" s="35" t="s">
        <v>916</v>
      </c>
      <c r="M440" s="36" t="s">
        <v>957</v>
      </c>
      <c r="N440" s="45">
        <v>46105.718055555553</v>
      </c>
      <c r="O440" s="36" t="s">
        <v>25</v>
      </c>
      <c r="P440" s="38">
        <v>11.2080787037</v>
      </c>
      <c r="Q440" s="39" t="s">
        <v>2045</v>
      </c>
      <c r="R440" s="35" t="s">
        <v>916</v>
      </c>
      <c r="S440" s="35" t="s">
        <v>2046</v>
      </c>
      <c r="T440" s="35" t="s">
        <v>1624</v>
      </c>
      <c r="U440" s="40">
        <v>46095</v>
      </c>
      <c r="V440" s="41">
        <v>46153.532731481479</v>
      </c>
      <c r="W440" s="40">
        <v>46094</v>
      </c>
      <c r="X440" s="35" t="s">
        <v>916</v>
      </c>
      <c r="Y440" s="35" t="s">
        <v>916</v>
      </c>
      <c r="Z440" s="35" t="s">
        <v>916</v>
      </c>
      <c r="AA440" s="38">
        <v>268.99388888879997</v>
      </c>
      <c r="AB440" s="42" t="s">
        <v>916</v>
      </c>
      <c r="AC440" s="43" t="s">
        <v>916</v>
      </c>
      <c r="AD440" s="43" t="s">
        <v>916</v>
      </c>
      <c r="AE440" s="33" t="s">
        <v>916</v>
      </c>
      <c r="AF440" s="35" t="s">
        <v>916</v>
      </c>
      <c r="AG440" s="44">
        <v>0</v>
      </c>
      <c r="AH440" s="42" t="s">
        <v>916</v>
      </c>
      <c r="AI440" s="32" t="e">
        <f>VLOOKUP(A440,'4月明細'!B:B,1,0)</f>
        <v>#N/A</v>
      </c>
    </row>
    <row r="441" spans="1:35" ht="19.95" customHeight="1" x14ac:dyDescent="0.3">
      <c r="A441" s="33" t="s">
        <v>2047</v>
      </c>
      <c r="B441" s="34">
        <v>46094.508333333331</v>
      </c>
      <c r="C441" s="34" t="str">
        <f t="shared" si="19"/>
        <v>202603</v>
      </c>
      <c r="D441" s="35" t="s">
        <v>1653</v>
      </c>
      <c r="E441" s="36" t="s">
        <v>934</v>
      </c>
      <c r="F441" s="36" t="s">
        <v>1089</v>
      </c>
      <c r="G441" s="37" t="s">
        <v>2048</v>
      </c>
      <c r="H441" s="36" t="s">
        <v>928</v>
      </c>
      <c r="I441" s="35" t="s">
        <v>2049</v>
      </c>
      <c r="J441" s="36" t="s">
        <v>929</v>
      </c>
      <c r="K441" s="33" t="s">
        <v>916</v>
      </c>
      <c r="L441" s="35" t="s">
        <v>916</v>
      </c>
      <c r="M441" s="36" t="s">
        <v>916</v>
      </c>
      <c r="N441" s="36" t="s">
        <v>916</v>
      </c>
      <c r="O441" s="36" t="s">
        <v>939</v>
      </c>
      <c r="P441" s="38" t="s">
        <v>916</v>
      </c>
      <c r="Q441" s="36" t="s">
        <v>916</v>
      </c>
      <c r="R441" s="35" t="s">
        <v>916</v>
      </c>
      <c r="S441" s="35"/>
      <c r="T441" s="35" t="s">
        <v>1624</v>
      </c>
      <c r="U441" s="40">
        <v>46095</v>
      </c>
      <c r="V441" s="41">
        <v>46153.532731481479</v>
      </c>
      <c r="W441" s="40">
        <v>46094</v>
      </c>
      <c r="X441" s="40">
        <v>46153</v>
      </c>
      <c r="Y441" s="35" t="s">
        <v>916</v>
      </c>
      <c r="Z441" s="35" t="s">
        <v>916</v>
      </c>
      <c r="AA441" s="38">
        <v>0</v>
      </c>
      <c r="AB441" s="42" t="s">
        <v>916</v>
      </c>
      <c r="AC441" s="43" t="s">
        <v>916</v>
      </c>
      <c r="AD441" s="43" t="s">
        <v>916</v>
      </c>
      <c r="AE441" s="33" t="s">
        <v>916</v>
      </c>
      <c r="AF441" s="35" t="s">
        <v>916</v>
      </c>
      <c r="AG441" s="44">
        <v>0</v>
      </c>
      <c r="AH441" s="42" t="s">
        <v>916</v>
      </c>
      <c r="AI441" s="32" t="e">
        <f>VLOOKUP(A441,'4月明細'!B:B,1,0)</f>
        <v>#N/A</v>
      </c>
    </row>
    <row r="442" spans="1:35" ht="19.95" customHeight="1" x14ac:dyDescent="0.3">
      <c r="A442" s="33" t="s">
        <v>593</v>
      </c>
      <c r="B442" s="34">
        <v>46094.484490740739</v>
      </c>
      <c r="C442" s="34" t="str">
        <f t="shared" si="19"/>
        <v>202603</v>
      </c>
      <c r="D442" s="35" t="s">
        <v>996</v>
      </c>
      <c r="E442" s="36" t="s">
        <v>910</v>
      </c>
      <c r="F442" s="36" t="s">
        <v>1253</v>
      </c>
      <c r="G442" s="37" t="s">
        <v>2050</v>
      </c>
      <c r="H442" s="36" t="s">
        <v>928</v>
      </c>
      <c r="I442" s="35"/>
      <c r="J442" s="36" t="s">
        <v>914</v>
      </c>
      <c r="K442" s="33" t="s">
        <v>916</v>
      </c>
      <c r="L442" s="35" t="s">
        <v>916</v>
      </c>
      <c r="M442" s="36" t="s">
        <v>923</v>
      </c>
      <c r="N442" s="45">
        <v>46094.722222222219</v>
      </c>
      <c r="O442" s="36" t="s">
        <v>25</v>
      </c>
      <c r="P442" s="38">
        <v>0.23773148150000001</v>
      </c>
      <c r="Q442" s="39" t="s">
        <v>2051</v>
      </c>
      <c r="R442" s="35" t="s">
        <v>916</v>
      </c>
      <c r="S442" s="35" t="s">
        <v>2052</v>
      </c>
      <c r="T442" s="35" t="s">
        <v>1624</v>
      </c>
      <c r="U442" s="40">
        <v>46095</v>
      </c>
      <c r="V442" s="41">
        <v>46153.532731481479</v>
      </c>
      <c r="W442" s="40">
        <v>46094</v>
      </c>
      <c r="X442" s="35" t="s">
        <v>916</v>
      </c>
      <c r="Y442" s="35" t="s">
        <v>916</v>
      </c>
      <c r="Z442" s="35" t="s">
        <v>916</v>
      </c>
      <c r="AA442" s="38">
        <v>5.7055555560000002</v>
      </c>
      <c r="AB442" s="42" t="s">
        <v>916</v>
      </c>
      <c r="AC442" s="43" t="s">
        <v>916</v>
      </c>
      <c r="AD442" s="43" t="s">
        <v>916</v>
      </c>
      <c r="AE442" s="33" t="s">
        <v>916</v>
      </c>
      <c r="AF442" s="35" t="s">
        <v>916</v>
      </c>
      <c r="AG442" s="44">
        <v>0</v>
      </c>
      <c r="AH442" s="42" t="s">
        <v>916</v>
      </c>
      <c r="AI442" s="32" t="e">
        <f>VLOOKUP(A442,'4月明細'!B:B,1,0)</f>
        <v>#N/A</v>
      </c>
    </row>
    <row r="443" spans="1:35" ht="19.95" customHeight="1" x14ac:dyDescent="0.3">
      <c r="A443" s="33" t="s">
        <v>591</v>
      </c>
      <c r="B443" s="34">
        <v>46094.452662037038</v>
      </c>
      <c r="C443" s="34" t="str">
        <f t="shared" si="19"/>
        <v>202603</v>
      </c>
      <c r="D443" s="35" t="s">
        <v>2053</v>
      </c>
      <c r="E443" s="36" t="s">
        <v>1149</v>
      </c>
      <c r="F443" s="36" t="s">
        <v>1414</v>
      </c>
      <c r="G443" s="37" t="s">
        <v>2054</v>
      </c>
      <c r="H443" s="36" t="s">
        <v>928</v>
      </c>
      <c r="I443" s="35"/>
      <c r="J443" s="36" t="s">
        <v>938</v>
      </c>
      <c r="K443" s="33" t="s">
        <v>916</v>
      </c>
      <c r="L443" s="35" t="s">
        <v>916</v>
      </c>
      <c r="M443" s="36" t="s">
        <v>957</v>
      </c>
      <c r="N443" s="45">
        <v>46098.449305555558</v>
      </c>
      <c r="O443" s="36" t="s">
        <v>25</v>
      </c>
      <c r="P443" s="38">
        <v>3.9966435185</v>
      </c>
      <c r="Q443" s="39" t="s">
        <v>2055</v>
      </c>
      <c r="R443" s="35" t="s">
        <v>916</v>
      </c>
      <c r="S443" s="35"/>
      <c r="T443" s="35" t="s">
        <v>1624</v>
      </c>
      <c r="U443" s="40">
        <v>46095</v>
      </c>
      <c r="V443" s="41">
        <v>46153.532731481479</v>
      </c>
      <c r="W443" s="40">
        <v>46094</v>
      </c>
      <c r="X443" s="35" t="s">
        <v>916</v>
      </c>
      <c r="Y443" s="35" t="s">
        <v>916</v>
      </c>
      <c r="Z443" s="35" t="s">
        <v>916</v>
      </c>
      <c r="AA443" s="38">
        <v>95.919444444000007</v>
      </c>
      <c r="AB443" s="42" t="s">
        <v>916</v>
      </c>
      <c r="AC443" s="43" t="s">
        <v>916</v>
      </c>
      <c r="AD443" s="43" t="s">
        <v>916</v>
      </c>
      <c r="AE443" s="33" t="s">
        <v>916</v>
      </c>
      <c r="AF443" s="35" t="s">
        <v>916</v>
      </c>
      <c r="AG443" s="44">
        <v>492706.78333333338</v>
      </c>
      <c r="AH443" s="42" t="s">
        <v>916</v>
      </c>
      <c r="AI443" s="32" t="e">
        <f>VLOOKUP(A443,'4月明細'!B:B,1,0)</f>
        <v>#N/A</v>
      </c>
    </row>
    <row r="444" spans="1:35" ht="19.95" customHeight="1" x14ac:dyDescent="0.3">
      <c r="A444" s="33" t="s">
        <v>592</v>
      </c>
      <c r="B444" s="34">
        <v>46094.452870370369</v>
      </c>
      <c r="C444" s="34" t="str">
        <f t="shared" si="19"/>
        <v>202603</v>
      </c>
      <c r="D444" s="35" t="s">
        <v>996</v>
      </c>
      <c r="E444" s="36" t="s">
        <v>910</v>
      </c>
      <c r="F444" s="36" t="s">
        <v>1938</v>
      </c>
      <c r="G444" s="37" t="s">
        <v>1869</v>
      </c>
      <c r="H444" s="36" t="s">
        <v>928</v>
      </c>
      <c r="I444" s="35"/>
      <c r="J444" s="36" t="s">
        <v>914</v>
      </c>
      <c r="K444" s="33" t="s">
        <v>916</v>
      </c>
      <c r="L444" s="35" t="s">
        <v>916</v>
      </c>
      <c r="M444" s="36" t="s">
        <v>1135</v>
      </c>
      <c r="N444" s="45">
        <v>46094.518750000003</v>
      </c>
      <c r="O444" s="36" t="s">
        <v>25</v>
      </c>
      <c r="P444" s="38">
        <v>6.5879629600000003E-2</v>
      </c>
      <c r="Q444" s="39" t="s">
        <v>2056</v>
      </c>
      <c r="R444" s="35" t="s">
        <v>916</v>
      </c>
      <c r="S444" s="35"/>
      <c r="T444" s="35" t="s">
        <v>1624</v>
      </c>
      <c r="U444" s="40">
        <v>46095</v>
      </c>
      <c r="V444" s="41">
        <v>46153.532731481479</v>
      </c>
      <c r="W444" s="40">
        <v>46094</v>
      </c>
      <c r="X444" s="35" t="s">
        <v>916</v>
      </c>
      <c r="Y444" s="35" t="s">
        <v>916</v>
      </c>
      <c r="Z444" s="35" t="s">
        <v>916</v>
      </c>
      <c r="AA444" s="38">
        <v>1.5811111104</v>
      </c>
      <c r="AB444" s="42" t="s">
        <v>916</v>
      </c>
      <c r="AC444" s="43" t="s">
        <v>916</v>
      </c>
      <c r="AD444" s="43" t="s">
        <v>916</v>
      </c>
      <c r="AE444" s="33" t="s">
        <v>916</v>
      </c>
      <c r="AF444" s="35" t="s">
        <v>916</v>
      </c>
      <c r="AG444" s="44">
        <v>0</v>
      </c>
      <c r="AH444" s="42" t="s">
        <v>916</v>
      </c>
      <c r="AI444" s="32" t="e">
        <f>VLOOKUP(A444,'4月明細'!B:B,1,0)</f>
        <v>#N/A</v>
      </c>
    </row>
    <row r="445" spans="1:35" ht="19.95" customHeight="1" x14ac:dyDescent="0.3">
      <c r="A445" s="33" t="s">
        <v>590</v>
      </c>
      <c r="B445" s="34">
        <v>46094.449097222219</v>
      </c>
      <c r="C445" s="34" t="str">
        <f t="shared" si="19"/>
        <v>202603</v>
      </c>
      <c r="D445" s="35" t="s">
        <v>996</v>
      </c>
      <c r="E445" s="36" t="s">
        <v>910</v>
      </c>
      <c r="F445" s="36" t="s">
        <v>1870</v>
      </c>
      <c r="G445" s="37" t="s">
        <v>1317</v>
      </c>
      <c r="H445" s="36" t="s">
        <v>928</v>
      </c>
      <c r="I445" s="35"/>
      <c r="J445" s="36" t="s">
        <v>914</v>
      </c>
      <c r="K445" s="33" t="s">
        <v>916</v>
      </c>
      <c r="L445" s="35" t="s">
        <v>916</v>
      </c>
      <c r="M445" s="36" t="s">
        <v>923</v>
      </c>
      <c r="N445" s="45">
        <v>46094.722916666666</v>
      </c>
      <c r="O445" s="36" t="s">
        <v>25</v>
      </c>
      <c r="P445" s="38">
        <v>0.2738194444</v>
      </c>
      <c r="Q445" s="39" t="s">
        <v>2057</v>
      </c>
      <c r="R445" s="35" t="s">
        <v>916</v>
      </c>
      <c r="S445" s="35" t="s">
        <v>2058</v>
      </c>
      <c r="T445" s="35" t="s">
        <v>1624</v>
      </c>
      <c r="U445" s="40">
        <v>46095</v>
      </c>
      <c r="V445" s="41">
        <v>46153.532731481479</v>
      </c>
      <c r="W445" s="40">
        <v>46094</v>
      </c>
      <c r="X445" s="35" t="s">
        <v>916</v>
      </c>
      <c r="Y445" s="35" t="s">
        <v>916</v>
      </c>
      <c r="Z445" s="35" t="s">
        <v>916</v>
      </c>
      <c r="AA445" s="38">
        <v>6.5716666655999996</v>
      </c>
      <c r="AB445" s="42" t="s">
        <v>916</v>
      </c>
      <c r="AC445" s="43" t="s">
        <v>916</v>
      </c>
      <c r="AD445" s="43" t="s">
        <v>916</v>
      </c>
      <c r="AE445" s="33" t="s">
        <v>916</v>
      </c>
      <c r="AF445" s="35" t="s">
        <v>916</v>
      </c>
      <c r="AG445" s="44">
        <v>0</v>
      </c>
      <c r="AH445" s="42" t="s">
        <v>916</v>
      </c>
      <c r="AI445" s="32" t="e">
        <f>VLOOKUP(A445,'4月明細'!B:B,1,0)</f>
        <v>#N/A</v>
      </c>
    </row>
    <row r="446" spans="1:35" ht="19.95" customHeight="1" x14ac:dyDescent="0.3">
      <c r="A446" s="33" t="s">
        <v>589</v>
      </c>
      <c r="B446" s="34">
        <v>46094.448773148149</v>
      </c>
      <c r="C446" s="34" t="str">
        <f t="shared" si="19"/>
        <v>202603</v>
      </c>
      <c r="D446" s="35" t="s">
        <v>951</v>
      </c>
      <c r="E446" s="36" t="s">
        <v>910</v>
      </c>
      <c r="F446" s="36" t="s">
        <v>2059</v>
      </c>
      <c r="G446" s="37" t="s">
        <v>2060</v>
      </c>
      <c r="H446" s="36" t="s">
        <v>928</v>
      </c>
      <c r="I446" s="35"/>
      <c r="J446" s="36" t="s">
        <v>929</v>
      </c>
      <c r="K446" s="33" t="s">
        <v>916</v>
      </c>
      <c r="L446" s="35" t="s">
        <v>916</v>
      </c>
      <c r="M446" s="36" t="s">
        <v>1135</v>
      </c>
      <c r="N446" s="45">
        <v>46094.519444444442</v>
      </c>
      <c r="O446" s="36" t="s">
        <v>25</v>
      </c>
      <c r="P446" s="38">
        <v>7.0671296300000006E-2</v>
      </c>
      <c r="Q446" s="39" t="s">
        <v>2061</v>
      </c>
      <c r="R446" s="35" t="s">
        <v>916</v>
      </c>
      <c r="S446" s="35"/>
      <c r="T446" s="35" t="s">
        <v>1624</v>
      </c>
      <c r="U446" s="40">
        <v>46095</v>
      </c>
      <c r="V446" s="41">
        <v>46153.532731481479</v>
      </c>
      <c r="W446" s="40">
        <v>46094</v>
      </c>
      <c r="X446" s="35" t="s">
        <v>916</v>
      </c>
      <c r="Y446" s="35" t="s">
        <v>916</v>
      </c>
      <c r="Z446" s="35" t="s">
        <v>916</v>
      </c>
      <c r="AA446" s="38">
        <v>1.6961111112</v>
      </c>
      <c r="AB446" s="42" t="s">
        <v>916</v>
      </c>
      <c r="AC446" s="43" t="s">
        <v>916</v>
      </c>
      <c r="AD446" s="43" t="s">
        <v>916</v>
      </c>
      <c r="AE446" s="33" t="s">
        <v>916</v>
      </c>
      <c r="AF446" s="35" t="s">
        <v>916</v>
      </c>
      <c r="AG446" s="44">
        <v>0</v>
      </c>
      <c r="AH446" s="42" t="s">
        <v>916</v>
      </c>
      <c r="AI446" s="32" t="e">
        <f>VLOOKUP(A446,'4月明細'!B:B,1,0)</f>
        <v>#N/A</v>
      </c>
    </row>
    <row r="447" spans="1:35" ht="19.95" customHeight="1" x14ac:dyDescent="0.3">
      <c r="A447" s="33" t="s">
        <v>588</v>
      </c>
      <c r="B447" s="34">
        <v>46094.432581018518</v>
      </c>
      <c r="C447" s="34" t="str">
        <f t="shared" si="19"/>
        <v>202603</v>
      </c>
      <c r="D447" s="35" t="s">
        <v>996</v>
      </c>
      <c r="E447" s="36" t="s">
        <v>910</v>
      </c>
      <c r="F447" s="36" t="s">
        <v>1237</v>
      </c>
      <c r="G447" s="37" t="s">
        <v>1866</v>
      </c>
      <c r="H447" s="36" t="s">
        <v>928</v>
      </c>
      <c r="I447" s="35"/>
      <c r="J447" s="36" t="s">
        <v>914</v>
      </c>
      <c r="K447" s="33" t="s">
        <v>916</v>
      </c>
      <c r="L447" s="35" t="s">
        <v>916</v>
      </c>
      <c r="M447" s="36" t="s">
        <v>923</v>
      </c>
      <c r="N447" s="45">
        <v>46094.722916666666</v>
      </c>
      <c r="O447" s="36" t="s">
        <v>25</v>
      </c>
      <c r="P447" s="38">
        <v>0.29033564810000001</v>
      </c>
      <c r="Q447" s="39" t="s">
        <v>2062</v>
      </c>
      <c r="R447" s="35" t="s">
        <v>916</v>
      </c>
      <c r="S447" s="35" t="s">
        <v>2063</v>
      </c>
      <c r="T447" s="35" t="s">
        <v>1624</v>
      </c>
      <c r="U447" s="40">
        <v>46095</v>
      </c>
      <c r="V447" s="41">
        <v>46153.532731481479</v>
      </c>
      <c r="W447" s="40">
        <v>46094</v>
      </c>
      <c r="X447" s="35" t="s">
        <v>916</v>
      </c>
      <c r="Y447" s="35" t="s">
        <v>916</v>
      </c>
      <c r="Z447" s="35" t="s">
        <v>916</v>
      </c>
      <c r="AA447" s="38">
        <v>6.9680555544000002</v>
      </c>
      <c r="AB447" s="42" t="s">
        <v>916</v>
      </c>
      <c r="AC447" s="43" t="s">
        <v>916</v>
      </c>
      <c r="AD447" s="43" t="s">
        <v>916</v>
      </c>
      <c r="AE447" s="33" t="s">
        <v>916</v>
      </c>
      <c r="AF447" s="35" t="s">
        <v>916</v>
      </c>
      <c r="AG447" s="44">
        <v>0</v>
      </c>
      <c r="AH447" s="42" t="s">
        <v>916</v>
      </c>
      <c r="AI447" s="32" t="e">
        <f>VLOOKUP(A447,'4月明細'!B:B,1,0)</f>
        <v>#N/A</v>
      </c>
    </row>
    <row r="448" spans="1:35" ht="19.95" customHeight="1" x14ac:dyDescent="0.3">
      <c r="A448" s="33" t="s">
        <v>587</v>
      </c>
      <c r="B448" s="34">
        <v>46093.686874999999</v>
      </c>
      <c r="C448" s="34" t="str">
        <f t="shared" si="19"/>
        <v>202603</v>
      </c>
      <c r="D448" s="35" t="s">
        <v>996</v>
      </c>
      <c r="E448" s="36" t="s">
        <v>910</v>
      </c>
      <c r="F448" s="36" t="s">
        <v>943</v>
      </c>
      <c r="G448" s="37" t="s">
        <v>2064</v>
      </c>
      <c r="H448" s="36" t="s">
        <v>928</v>
      </c>
      <c r="I448" s="35"/>
      <c r="J448" s="36" t="s">
        <v>914</v>
      </c>
      <c r="K448" s="33" t="s">
        <v>916</v>
      </c>
      <c r="L448" s="35" t="s">
        <v>916</v>
      </c>
      <c r="M448" s="36" t="s">
        <v>957</v>
      </c>
      <c r="N448" s="45">
        <v>46094.517361111109</v>
      </c>
      <c r="O448" s="36" t="s">
        <v>25</v>
      </c>
      <c r="P448" s="38">
        <v>0.83048611110000004</v>
      </c>
      <c r="Q448" s="39" t="s">
        <v>2065</v>
      </c>
      <c r="R448" s="35" t="s">
        <v>916</v>
      </c>
      <c r="S448" s="35" t="s">
        <v>2066</v>
      </c>
      <c r="T448" s="35" t="s">
        <v>1624</v>
      </c>
      <c r="U448" s="40">
        <v>46094</v>
      </c>
      <c r="V448" s="41">
        <v>46153.532731481479</v>
      </c>
      <c r="W448" s="40">
        <v>46093</v>
      </c>
      <c r="X448" s="35" t="s">
        <v>916</v>
      </c>
      <c r="Y448" s="35" t="s">
        <v>916</v>
      </c>
      <c r="Z448" s="35" t="s">
        <v>916</v>
      </c>
      <c r="AA448" s="38">
        <v>19.931666666400002</v>
      </c>
      <c r="AB448" s="42" t="s">
        <v>916</v>
      </c>
      <c r="AC448" s="43" t="s">
        <v>916</v>
      </c>
      <c r="AD448" s="43" t="s">
        <v>916</v>
      </c>
      <c r="AE448" s="33" t="s">
        <v>916</v>
      </c>
      <c r="AF448" s="35" t="s">
        <v>916</v>
      </c>
      <c r="AG448" s="44">
        <v>0</v>
      </c>
      <c r="AH448" s="42" t="s">
        <v>916</v>
      </c>
      <c r="AI448" s="32" t="e">
        <f>VLOOKUP(A448,'4月明細'!B:B,1,0)</f>
        <v>#N/A</v>
      </c>
    </row>
    <row r="449" spans="1:35" ht="19.95" customHeight="1" x14ac:dyDescent="0.3">
      <c r="A449" s="33" t="s">
        <v>586</v>
      </c>
      <c r="B449" s="34">
        <v>46093.680185185185</v>
      </c>
      <c r="C449" s="34" t="str">
        <f t="shared" si="19"/>
        <v>202603</v>
      </c>
      <c r="D449" s="35" t="s">
        <v>996</v>
      </c>
      <c r="E449" s="36" t="s">
        <v>910</v>
      </c>
      <c r="F449" s="36" t="s">
        <v>943</v>
      </c>
      <c r="G449" s="37" t="s">
        <v>2067</v>
      </c>
      <c r="H449" s="36" t="s">
        <v>928</v>
      </c>
      <c r="I449" s="35"/>
      <c r="J449" s="36" t="s">
        <v>914</v>
      </c>
      <c r="K449" s="33" t="s">
        <v>916</v>
      </c>
      <c r="L449" s="35" t="s">
        <v>916</v>
      </c>
      <c r="M449" s="36" t="s">
        <v>957</v>
      </c>
      <c r="N449" s="45">
        <v>46094.518055555556</v>
      </c>
      <c r="O449" s="36" t="s">
        <v>25</v>
      </c>
      <c r="P449" s="38">
        <v>0.83787037040000001</v>
      </c>
      <c r="Q449" s="39" t="s">
        <v>2065</v>
      </c>
      <c r="R449" s="35" t="s">
        <v>916</v>
      </c>
      <c r="S449" s="35" t="s">
        <v>2068</v>
      </c>
      <c r="T449" s="35" t="s">
        <v>1624</v>
      </c>
      <c r="U449" s="40">
        <v>46094</v>
      </c>
      <c r="V449" s="41">
        <v>46153.532731481479</v>
      </c>
      <c r="W449" s="40">
        <v>46093</v>
      </c>
      <c r="X449" s="35" t="s">
        <v>916</v>
      </c>
      <c r="Y449" s="35" t="s">
        <v>916</v>
      </c>
      <c r="Z449" s="35" t="s">
        <v>916</v>
      </c>
      <c r="AA449" s="38">
        <v>20.108888889599999</v>
      </c>
      <c r="AB449" s="42" t="s">
        <v>916</v>
      </c>
      <c r="AC449" s="43" t="s">
        <v>916</v>
      </c>
      <c r="AD449" s="43" t="s">
        <v>916</v>
      </c>
      <c r="AE449" s="33" t="s">
        <v>916</v>
      </c>
      <c r="AF449" s="35" t="s">
        <v>916</v>
      </c>
      <c r="AG449" s="44">
        <v>0</v>
      </c>
      <c r="AH449" s="42" t="s">
        <v>916</v>
      </c>
      <c r="AI449" s="32" t="e">
        <f>VLOOKUP(A449,'4月明細'!B:B,1,0)</f>
        <v>#N/A</v>
      </c>
    </row>
    <row r="450" spans="1:35" ht="19.95" customHeight="1" x14ac:dyDescent="0.3">
      <c r="A450" s="33" t="s">
        <v>585</v>
      </c>
      <c r="B450" s="34">
        <v>46093.657187500001</v>
      </c>
      <c r="C450" s="34" t="str">
        <f t="shared" si="19"/>
        <v>202603</v>
      </c>
      <c r="D450" s="35" t="s">
        <v>1168</v>
      </c>
      <c r="E450" s="36" t="s">
        <v>942</v>
      </c>
      <c r="F450" s="36" t="s">
        <v>1783</v>
      </c>
      <c r="G450" s="37" t="s">
        <v>2069</v>
      </c>
      <c r="H450" s="36" t="s">
        <v>913</v>
      </c>
      <c r="I450" s="35"/>
      <c r="J450" s="36" t="s">
        <v>1058</v>
      </c>
      <c r="K450" s="33" t="s">
        <v>916</v>
      </c>
      <c r="L450" s="35" t="s">
        <v>916</v>
      </c>
      <c r="M450" s="36" t="s">
        <v>957</v>
      </c>
      <c r="N450" s="45">
        <v>46093.699305555558</v>
      </c>
      <c r="O450" s="36" t="s">
        <v>25</v>
      </c>
      <c r="P450" s="38">
        <v>4.2118055600000003E-2</v>
      </c>
      <c r="Q450" s="39" t="s">
        <v>2070</v>
      </c>
      <c r="R450" s="35" t="s">
        <v>916</v>
      </c>
      <c r="S450" s="35"/>
      <c r="T450" s="35" t="s">
        <v>1624</v>
      </c>
      <c r="U450" s="40">
        <v>46094</v>
      </c>
      <c r="V450" s="41">
        <v>46153.532731481479</v>
      </c>
      <c r="W450" s="40">
        <v>46093</v>
      </c>
      <c r="X450" s="35" t="s">
        <v>916</v>
      </c>
      <c r="Y450" s="35" t="s">
        <v>916</v>
      </c>
      <c r="Z450" s="35" t="s">
        <v>916</v>
      </c>
      <c r="AA450" s="38">
        <v>1.0108333344</v>
      </c>
      <c r="AB450" s="42" t="s">
        <v>916</v>
      </c>
      <c r="AC450" s="43" t="s">
        <v>916</v>
      </c>
      <c r="AD450" s="43" t="s">
        <v>916</v>
      </c>
      <c r="AE450" s="33" t="s">
        <v>916</v>
      </c>
      <c r="AF450" s="35" t="s">
        <v>916</v>
      </c>
      <c r="AG450" s="44">
        <v>0</v>
      </c>
      <c r="AH450" s="42" t="s">
        <v>916</v>
      </c>
      <c r="AI450" s="32" t="e">
        <f>VLOOKUP(A450,'4月明細'!B:B,1,0)</f>
        <v>#N/A</v>
      </c>
    </row>
    <row r="451" spans="1:35" ht="19.95" customHeight="1" x14ac:dyDescent="0.3">
      <c r="A451" s="33" t="s">
        <v>584</v>
      </c>
      <c r="B451" s="34">
        <v>46093.574687499997</v>
      </c>
      <c r="C451" s="34" t="str">
        <f t="shared" ref="C451:C514" si="20">TEXT(B451,"YYYYMM")</f>
        <v>202603</v>
      </c>
      <c r="D451" s="35" t="s">
        <v>951</v>
      </c>
      <c r="E451" s="36" t="s">
        <v>910</v>
      </c>
      <c r="F451" s="36" t="s">
        <v>1531</v>
      </c>
      <c r="G451" s="37" t="s">
        <v>2071</v>
      </c>
      <c r="H451" s="36" t="s">
        <v>928</v>
      </c>
      <c r="I451" s="35" t="s">
        <v>2072</v>
      </c>
      <c r="J451" s="36" t="s">
        <v>1058</v>
      </c>
      <c r="K451" s="33" t="s">
        <v>916</v>
      </c>
      <c r="L451" s="35" t="s">
        <v>916</v>
      </c>
      <c r="M451" s="36" t="s">
        <v>957</v>
      </c>
      <c r="N451" s="45">
        <v>46093.701388888891</v>
      </c>
      <c r="O451" s="36" t="s">
        <v>25</v>
      </c>
      <c r="P451" s="38">
        <v>0.12670138889999999</v>
      </c>
      <c r="Q451" s="39" t="s">
        <v>2073</v>
      </c>
      <c r="R451" s="35" t="s">
        <v>916</v>
      </c>
      <c r="S451" s="35"/>
      <c r="T451" s="35" t="s">
        <v>1624</v>
      </c>
      <c r="U451" s="40">
        <v>46094</v>
      </c>
      <c r="V451" s="41">
        <v>46153.532731481479</v>
      </c>
      <c r="W451" s="40">
        <v>46093</v>
      </c>
      <c r="X451" s="35" t="s">
        <v>916</v>
      </c>
      <c r="Y451" s="35" t="s">
        <v>916</v>
      </c>
      <c r="Z451" s="35" t="s">
        <v>916</v>
      </c>
      <c r="AA451" s="38">
        <v>3.0408333336000002</v>
      </c>
      <c r="AB451" s="42" t="s">
        <v>916</v>
      </c>
      <c r="AC451" s="43" t="s">
        <v>916</v>
      </c>
      <c r="AD451" s="43" t="s">
        <v>916</v>
      </c>
      <c r="AE451" s="33" t="s">
        <v>916</v>
      </c>
      <c r="AF451" s="35" t="s">
        <v>916</v>
      </c>
      <c r="AG451" s="44">
        <v>0</v>
      </c>
      <c r="AH451" s="42" t="s">
        <v>916</v>
      </c>
      <c r="AI451" s="32" t="e">
        <f>VLOOKUP(A451,'4月明細'!B:B,1,0)</f>
        <v>#N/A</v>
      </c>
    </row>
    <row r="452" spans="1:35" ht="19.95" customHeight="1" x14ac:dyDescent="0.3">
      <c r="A452" s="33" t="s">
        <v>583</v>
      </c>
      <c r="B452" s="34">
        <v>46093.528391203705</v>
      </c>
      <c r="C452" s="34" t="str">
        <f t="shared" si="20"/>
        <v>202603</v>
      </c>
      <c r="D452" s="35" t="s">
        <v>996</v>
      </c>
      <c r="E452" s="36" t="s">
        <v>910</v>
      </c>
      <c r="F452" s="36" t="s">
        <v>1161</v>
      </c>
      <c r="G452" s="37" t="s">
        <v>1096</v>
      </c>
      <c r="H452" s="36" t="s">
        <v>928</v>
      </c>
      <c r="I452" s="35"/>
      <c r="J452" s="36" t="s">
        <v>914</v>
      </c>
      <c r="K452" s="33" t="s">
        <v>916</v>
      </c>
      <c r="L452" s="35" t="s">
        <v>916</v>
      </c>
      <c r="M452" s="36" t="s">
        <v>923</v>
      </c>
      <c r="N452" s="45">
        <v>46093.643750000003</v>
      </c>
      <c r="O452" s="36" t="s">
        <v>25</v>
      </c>
      <c r="P452" s="38">
        <v>0.1153587963</v>
      </c>
      <c r="Q452" s="39" t="s">
        <v>2074</v>
      </c>
      <c r="R452" s="35" t="s">
        <v>916</v>
      </c>
      <c r="S452" s="35"/>
      <c r="T452" s="35" t="s">
        <v>1624</v>
      </c>
      <c r="U452" s="40">
        <v>46094</v>
      </c>
      <c r="V452" s="41">
        <v>46153.532731481479</v>
      </c>
      <c r="W452" s="40">
        <v>46093</v>
      </c>
      <c r="X452" s="35" t="s">
        <v>916</v>
      </c>
      <c r="Y452" s="35" t="s">
        <v>916</v>
      </c>
      <c r="Z452" s="35" t="s">
        <v>916</v>
      </c>
      <c r="AA452" s="38">
        <v>2.7686111111999998</v>
      </c>
      <c r="AB452" s="42" t="s">
        <v>916</v>
      </c>
      <c r="AC452" s="43" t="s">
        <v>916</v>
      </c>
      <c r="AD452" s="43" t="s">
        <v>916</v>
      </c>
      <c r="AE452" s="33" t="s">
        <v>916</v>
      </c>
      <c r="AF452" s="35" t="s">
        <v>916</v>
      </c>
      <c r="AG452" s="44">
        <v>492591.45</v>
      </c>
      <c r="AH452" s="42" t="s">
        <v>916</v>
      </c>
      <c r="AI452" s="32" t="e">
        <f>VLOOKUP(A452,'4月明細'!B:B,1,0)</f>
        <v>#N/A</v>
      </c>
    </row>
    <row r="453" spans="1:35" ht="19.95" customHeight="1" x14ac:dyDescent="0.3">
      <c r="A453" s="33" t="s">
        <v>582</v>
      </c>
      <c r="B453" s="34">
        <v>46093.516608796293</v>
      </c>
      <c r="C453" s="34" t="str">
        <f t="shared" si="20"/>
        <v>202603</v>
      </c>
      <c r="D453" s="35" t="s">
        <v>996</v>
      </c>
      <c r="E453" s="36" t="s">
        <v>910</v>
      </c>
      <c r="F453" s="36" t="s">
        <v>1141</v>
      </c>
      <c r="G453" s="37" t="s">
        <v>2075</v>
      </c>
      <c r="H453" s="36" t="s">
        <v>1078</v>
      </c>
      <c r="I453" s="35"/>
      <c r="J453" s="36" t="s">
        <v>914</v>
      </c>
      <c r="K453" s="33" t="s">
        <v>916</v>
      </c>
      <c r="L453" s="35" t="s">
        <v>916</v>
      </c>
      <c r="M453" s="36" t="s">
        <v>957</v>
      </c>
      <c r="N453" s="45">
        <v>46098.451388888891</v>
      </c>
      <c r="O453" s="36" t="s">
        <v>25</v>
      </c>
      <c r="P453" s="38">
        <v>4.9347800925999996</v>
      </c>
      <c r="Q453" s="39" t="s">
        <v>2076</v>
      </c>
      <c r="R453" s="35" t="s">
        <v>916</v>
      </c>
      <c r="S453" s="35"/>
      <c r="T453" s="35" t="s">
        <v>1624</v>
      </c>
      <c r="U453" s="40">
        <v>46094</v>
      </c>
      <c r="V453" s="41">
        <v>46153.532731481479</v>
      </c>
      <c r="W453" s="40">
        <v>46093</v>
      </c>
      <c r="X453" s="35" t="s">
        <v>916</v>
      </c>
      <c r="Y453" s="35" t="s">
        <v>916</v>
      </c>
      <c r="Z453" s="35" t="s">
        <v>916</v>
      </c>
      <c r="AA453" s="38">
        <v>118.4347222224</v>
      </c>
      <c r="AB453" s="42" t="s">
        <v>916</v>
      </c>
      <c r="AC453" s="43" t="s">
        <v>916</v>
      </c>
      <c r="AD453" s="43" t="s">
        <v>916</v>
      </c>
      <c r="AE453" s="33" t="s">
        <v>916</v>
      </c>
      <c r="AF453" s="35" t="s">
        <v>916</v>
      </c>
      <c r="AG453" s="44">
        <v>492593.16666666663</v>
      </c>
      <c r="AH453" s="42" t="s">
        <v>916</v>
      </c>
      <c r="AI453" s="32" t="e">
        <f>VLOOKUP(A453,'4月明細'!B:B,1,0)</f>
        <v>#N/A</v>
      </c>
    </row>
    <row r="454" spans="1:35" ht="19.95" customHeight="1" x14ac:dyDescent="0.3">
      <c r="A454" s="33" t="s">
        <v>581</v>
      </c>
      <c r="B454" s="34">
        <v>46093.503576388888</v>
      </c>
      <c r="C454" s="34" t="str">
        <f t="shared" si="20"/>
        <v>202603</v>
      </c>
      <c r="D454" s="35" t="s">
        <v>951</v>
      </c>
      <c r="E454" s="36" t="s">
        <v>910</v>
      </c>
      <c r="F454" s="36" t="s">
        <v>1010</v>
      </c>
      <c r="G454" s="37" t="s">
        <v>2077</v>
      </c>
      <c r="H454" s="36" t="s">
        <v>928</v>
      </c>
      <c r="I454" s="35" t="s">
        <v>2078</v>
      </c>
      <c r="J454" s="36" t="s">
        <v>929</v>
      </c>
      <c r="K454" s="33" t="s">
        <v>916</v>
      </c>
      <c r="L454" s="35" t="s">
        <v>916</v>
      </c>
      <c r="M454" s="36" t="s">
        <v>923</v>
      </c>
      <c r="N454" s="45">
        <v>46093.586805555555</v>
      </c>
      <c r="O454" s="36" t="s">
        <v>25</v>
      </c>
      <c r="P454" s="38">
        <v>8.3229166699999996E-2</v>
      </c>
      <c r="Q454" s="39" t="s">
        <v>2079</v>
      </c>
      <c r="R454" s="35" t="s">
        <v>916</v>
      </c>
      <c r="S454" s="35"/>
      <c r="T454" s="35" t="s">
        <v>1624</v>
      </c>
      <c r="U454" s="40">
        <v>46094</v>
      </c>
      <c r="V454" s="41">
        <v>46153.532731481479</v>
      </c>
      <c r="W454" s="40">
        <v>46093</v>
      </c>
      <c r="X454" s="35" t="s">
        <v>916</v>
      </c>
      <c r="Y454" s="35" t="s">
        <v>916</v>
      </c>
      <c r="Z454" s="35" t="s">
        <v>916</v>
      </c>
      <c r="AA454" s="38">
        <v>1.9975000007999999</v>
      </c>
      <c r="AB454" s="42" t="s">
        <v>916</v>
      </c>
      <c r="AC454" s="43" t="s">
        <v>916</v>
      </c>
      <c r="AD454" s="43" t="s">
        <v>916</v>
      </c>
      <c r="AE454" s="33" t="s">
        <v>916</v>
      </c>
      <c r="AF454" s="35" t="s">
        <v>916</v>
      </c>
      <c r="AG454" s="44">
        <v>0</v>
      </c>
      <c r="AH454" s="42" t="s">
        <v>916</v>
      </c>
      <c r="AI454" s="32" t="e">
        <f>VLOOKUP(A454,'4月明細'!B:B,1,0)</f>
        <v>#N/A</v>
      </c>
    </row>
    <row r="455" spans="1:35" ht="19.95" customHeight="1" x14ac:dyDescent="0.3">
      <c r="A455" s="33" t="s">
        <v>580</v>
      </c>
      <c r="B455" s="34">
        <v>46093.501006944447</v>
      </c>
      <c r="C455" s="34" t="str">
        <f t="shared" si="20"/>
        <v>202603</v>
      </c>
      <c r="D455" s="35" t="s">
        <v>996</v>
      </c>
      <c r="E455" s="36" t="s">
        <v>910</v>
      </c>
      <c r="F455" s="36" t="s">
        <v>2080</v>
      </c>
      <c r="G455" s="37" t="s">
        <v>2081</v>
      </c>
      <c r="H455" s="36" t="s">
        <v>954</v>
      </c>
      <c r="I455" s="35"/>
      <c r="J455" s="36" t="s">
        <v>914</v>
      </c>
      <c r="K455" s="33" t="s">
        <v>916</v>
      </c>
      <c r="L455" s="35" t="s">
        <v>916</v>
      </c>
      <c r="M455" s="36" t="s">
        <v>923</v>
      </c>
      <c r="N455" s="45">
        <v>46093.640277777777</v>
      </c>
      <c r="O455" s="36" t="s">
        <v>25</v>
      </c>
      <c r="P455" s="38">
        <v>0.13927083330000001</v>
      </c>
      <c r="Q455" s="39" t="s">
        <v>2082</v>
      </c>
      <c r="R455" s="35" t="s">
        <v>916</v>
      </c>
      <c r="S455" s="35"/>
      <c r="T455" s="35" t="s">
        <v>1624</v>
      </c>
      <c r="U455" s="40">
        <v>46094</v>
      </c>
      <c r="V455" s="41">
        <v>46153.532731481479</v>
      </c>
      <c r="W455" s="40">
        <v>46093</v>
      </c>
      <c r="X455" s="35" t="s">
        <v>916</v>
      </c>
      <c r="Y455" s="35" t="s">
        <v>916</v>
      </c>
      <c r="Z455" s="35" t="s">
        <v>916</v>
      </c>
      <c r="AA455" s="38">
        <v>3.3424999992000002</v>
      </c>
      <c r="AB455" s="42" t="s">
        <v>916</v>
      </c>
      <c r="AC455" s="43" t="s">
        <v>916</v>
      </c>
      <c r="AD455" s="43" t="s">
        <v>916</v>
      </c>
      <c r="AE455" s="33" t="s">
        <v>916</v>
      </c>
      <c r="AF455" s="35" t="s">
        <v>916</v>
      </c>
      <c r="AG455" s="44">
        <v>0</v>
      </c>
      <c r="AH455" s="42" t="s">
        <v>916</v>
      </c>
      <c r="AI455" s="32" t="e">
        <f>VLOOKUP(A455,'4月明細'!B:B,1,0)</f>
        <v>#N/A</v>
      </c>
    </row>
    <row r="456" spans="1:35" ht="19.95" customHeight="1" x14ac:dyDescent="0.3">
      <c r="A456" s="33" t="s">
        <v>579</v>
      </c>
      <c r="B456" s="34">
        <v>46093.49796296296</v>
      </c>
      <c r="C456" s="34" t="str">
        <f t="shared" si="20"/>
        <v>202603</v>
      </c>
      <c r="D456" s="35" t="s">
        <v>951</v>
      </c>
      <c r="E456" s="36" t="s">
        <v>910</v>
      </c>
      <c r="F456" s="36" t="s">
        <v>1354</v>
      </c>
      <c r="G456" s="37" t="s">
        <v>2083</v>
      </c>
      <c r="H456" s="36" t="s">
        <v>954</v>
      </c>
      <c r="I456" s="35" t="s">
        <v>2084</v>
      </c>
      <c r="J456" s="36" t="s">
        <v>1058</v>
      </c>
      <c r="K456" s="33" t="s">
        <v>916</v>
      </c>
      <c r="L456" s="35" t="s">
        <v>916</v>
      </c>
      <c r="M456" s="36" t="s">
        <v>923</v>
      </c>
      <c r="N456" s="45">
        <v>46093.640277777777</v>
      </c>
      <c r="O456" s="36" t="s">
        <v>25</v>
      </c>
      <c r="P456" s="38">
        <v>0.14231481479999999</v>
      </c>
      <c r="Q456" s="39" t="s">
        <v>2085</v>
      </c>
      <c r="R456" s="35" t="s">
        <v>916</v>
      </c>
      <c r="S456" s="35" t="s">
        <v>2086</v>
      </c>
      <c r="T456" s="35" t="s">
        <v>1624</v>
      </c>
      <c r="U456" s="40">
        <v>46094</v>
      </c>
      <c r="V456" s="41">
        <v>46153.532731481479</v>
      </c>
      <c r="W456" s="40">
        <v>46093</v>
      </c>
      <c r="X456" s="35" t="s">
        <v>916</v>
      </c>
      <c r="Y456" s="35" t="s">
        <v>916</v>
      </c>
      <c r="Z456" s="35" t="s">
        <v>916</v>
      </c>
      <c r="AA456" s="38">
        <v>3.4155555552000001</v>
      </c>
      <c r="AB456" s="42" t="s">
        <v>916</v>
      </c>
      <c r="AC456" s="43" t="s">
        <v>916</v>
      </c>
      <c r="AD456" s="43" t="s">
        <v>916</v>
      </c>
      <c r="AE456" s="33" t="s">
        <v>916</v>
      </c>
      <c r="AF456" s="35" t="s">
        <v>916</v>
      </c>
      <c r="AG456" s="44">
        <v>0</v>
      </c>
      <c r="AH456" s="42" t="s">
        <v>916</v>
      </c>
      <c r="AI456" s="32" t="e">
        <f>VLOOKUP(A456,'4月明細'!B:B,1,0)</f>
        <v>#N/A</v>
      </c>
    </row>
    <row r="457" spans="1:35" ht="19.95" customHeight="1" x14ac:dyDescent="0.3">
      <c r="A457" s="33" t="s">
        <v>578</v>
      </c>
      <c r="B457" s="34">
        <v>46093.449293981481</v>
      </c>
      <c r="C457" s="34" t="str">
        <f t="shared" si="20"/>
        <v>202603</v>
      </c>
      <c r="D457" s="35" t="s">
        <v>951</v>
      </c>
      <c r="E457" s="36" t="s">
        <v>910</v>
      </c>
      <c r="F457" s="36" t="s">
        <v>1591</v>
      </c>
      <c r="G457" s="37" t="s">
        <v>2087</v>
      </c>
      <c r="H457" s="36" t="s">
        <v>954</v>
      </c>
      <c r="I457" s="35" t="s">
        <v>2088</v>
      </c>
      <c r="J457" s="36" t="s">
        <v>914</v>
      </c>
      <c r="K457" s="33" t="s">
        <v>916</v>
      </c>
      <c r="L457" s="35" t="s">
        <v>916</v>
      </c>
      <c r="M457" s="36" t="s">
        <v>923</v>
      </c>
      <c r="N457" s="45">
        <v>46093.63958333333</v>
      </c>
      <c r="O457" s="36" t="s">
        <v>25</v>
      </c>
      <c r="P457" s="38">
        <v>0.19028935189999999</v>
      </c>
      <c r="Q457" s="39" t="s">
        <v>2089</v>
      </c>
      <c r="R457" s="35" t="s">
        <v>916</v>
      </c>
      <c r="S457" s="35"/>
      <c r="T457" s="35" t="s">
        <v>1624</v>
      </c>
      <c r="U457" s="40">
        <v>46094</v>
      </c>
      <c r="V457" s="41">
        <v>46153.532731481479</v>
      </c>
      <c r="W457" s="40">
        <v>46093</v>
      </c>
      <c r="X457" s="35" t="s">
        <v>916</v>
      </c>
      <c r="Y457" s="35" t="s">
        <v>916</v>
      </c>
      <c r="Z457" s="35" t="s">
        <v>916</v>
      </c>
      <c r="AA457" s="38">
        <v>4.5669444455999999</v>
      </c>
      <c r="AB457" s="42" t="s">
        <v>916</v>
      </c>
      <c r="AC457" s="43" t="s">
        <v>916</v>
      </c>
      <c r="AD457" s="43" t="s">
        <v>916</v>
      </c>
      <c r="AE457" s="33" t="s">
        <v>916</v>
      </c>
      <c r="AF457" s="35" t="s">
        <v>916</v>
      </c>
      <c r="AG457" s="44">
        <v>492591.35</v>
      </c>
      <c r="AH457" s="42" t="s">
        <v>916</v>
      </c>
      <c r="AI457" s="32" t="e">
        <f>VLOOKUP(A457,'4月明細'!B:B,1,0)</f>
        <v>#N/A</v>
      </c>
    </row>
    <row r="458" spans="1:35" ht="19.95" customHeight="1" x14ac:dyDescent="0.3">
      <c r="A458" s="33" t="s">
        <v>577</v>
      </c>
      <c r="B458" s="34">
        <v>46093.432245370372</v>
      </c>
      <c r="C458" s="34" t="str">
        <f t="shared" si="20"/>
        <v>202603</v>
      </c>
      <c r="D458" s="35" t="s">
        <v>1178</v>
      </c>
      <c r="E458" s="36" t="s">
        <v>910</v>
      </c>
      <c r="F458" s="36" t="s">
        <v>2090</v>
      </c>
      <c r="G458" s="37" t="s">
        <v>2091</v>
      </c>
      <c r="H458" s="36" t="s">
        <v>928</v>
      </c>
      <c r="I458" s="35" t="s">
        <v>2092</v>
      </c>
      <c r="J458" s="36" t="s">
        <v>938</v>
      </c>
      <c r="K458" s="33" t="s">
        <v>916</v>
      </c>
      <c r="L458" s="35" t="s">
        <v>916</v>
      </c>
      <c r="M458" s="36" t="s">
        <v>957</v>
      </c>
      <c r="N458" s="45">
        <v>46098.643055555556</v>
      </c>
      <c r="O458" s="36" t="s">
        <v>25</v>
      </c>
      <c r="P458" s="38">
        <v>5.2108101851999997</v>
      </c>
      <c r="Q458" s="39" t="s">
        <v>2093</v>
      </c>
      <c r="R458" s="35" t="s">
        <v>916</v>
      </c>
      <c r="S458" s="35"/>
      <c r="T458" s="35" t="s">
        <v>1624</v>
      </c>
      <c r="U458" s="40">
        <v>46094</v>
      </c>
      <c r="V458" s="41">
        <v>46153.532731481479</v>
      </c>
      <c r="W458" s="40">
        <v>46093</v>
      </c>
      <c r="X458" s="35" t="s">
        <v>916</v>
      </c>
      <c r="Y458" s="35" t="s">
        <v>916</v>
      </c>
      <c r="Z458" s="35" t="s">
        <v>916</v>
      </c>
      <c r="AA458" s="38">
        <v>125.05944444479999</v>
      </c>
      <c r="AB458" s="42" t="s">
        <v>916</v>
      </c>
      <c r="AC458" s="43" t="s">
        <v>916</v>
      </c>
      <c r="AD458" s="43" t="s">
        <v>916</v>
      </c>
      <c r="AE458" s="33" t="s">
        <v>916</v>
      </c>
      <c r="AF458" s="35" t="s">
        <v>916</v>
      </c>
      <c r="AG458" s="44">
        <v>492711.43333333329</v>
      </c>
      <c r="AH458" s="42" t="s">
        <v>916</v>
      </c>
      <c r="AI458" s="32" t="e">
        <f>VLOOKUP(A458,'4月明細'!B:B,1,0)</f>
        <v>#N/A</v>
      </c>
    </row>
    <row r="459" spans="1:35" ht="19.95" customHeight="1" x14ac:dyDescent="0.3">
      <c r="A459" s="33" t="s">
        <v>576</v>
      </c>
      <c r="B459" s="34">
        <v>46093.417627314811</v>
      </c>
      <c r="C459" s="34" t="str">
        <f t="shared" si="20"/>
        <v>202603</v>
      </c>
      <c r="D459" s="35" t="s">
        <v>951</v>
      </c>
      <c r="E459" s="36" t="s">
        <v>910</v>
      </c>
      <c r="F459" s="36" t="s">
        <v>964</v>
      </c>
      <c r="G459" s="37" t="s">
        <v>2094</v>
      </c>
      <c r="H459" s="36" t="s">
        <v>928</v>
      </c>
      <c r="I459" s="35"/>
      <c r="J459" s="36" t="s">
        <v>929</v>
      </c>
      <c r="K459" s="33" t="s">
        <v>916</v>
      </c>
      <c r="L459" s="35" t="s">
        <v>916</v>
      </c>
      <c r="M459" s="36" t="s">
        <v>1135</v>
      </c>
      <c r="N459" s="45">
        <v>46098.468055555553</v>
      </c>
      <c r="O459" s="36" t="s">
        <v>25</v>
      </c>
      <c r="P459" s="38">
        <v>5.0504282406999996</v>
      </c>
      <c r="Q459" s="39" t="s">
        <v>2095</v>
      </c>
      <c r="R459" s="35" t="s">
        <v>916</v>
      </c>
      <c r="S459" s="35"/>
      <c r="T459" s="35" t="s">
        <v>1624</v>
      </c>
      <c r="U459" s="40">
        <v>46094</v>
      </c>
      <c r="V459" s="41">
        <v>46153.532731481479</v>
      </c>
      <c r="W459" s="40">
        <v>46093</v>
      </c>
      <c r="X459" s="35" t="s">
        <v>916</v>
      </c>
      <c r="Y459" s="35" t="s">
        <v>916</v>
      </c>
      <c r="Z459" s="35" t="s">
        <v>916</v>
      </c>
      <c r="AA459" s="38">
        <v>121.2102777768</v>
      </c>
      <c r="AB459" s="42" t="s">
        <v>916</v>
      </c>
      <c r="AC459" s="43" t="s">
        <v>916</v>
      </c>
      <c r="AD459" s="43" t="s">
        <v>916</v>
      </c>
      <c r="AE459" s="33" t="s">
        <v>916</v>
      </c>
      <c r="AF459" s="35" t="s">
        <v>916</v>
      </c>
      <c r="AG459" s="44">
        <v>492586.18333333329</v>
      </c>
      <c r="AH459" s="42" t="s">
        <v>916</v>
      </c>
      <c r="AI459" s="32" t="e">
        <f>VLOOKUP(A459,'4月明細'!B:B,1,0)</f>
        <v>#N/A</v>
      </c>
    </row>
    <row r="460" spans="1:35" ht="19.95" customHeight="1" x14ac:dyDescent="0.3">
      <c r="A460" s="33" t="s">
        <v>2096</v>
      </c>
      <c r="B460" s="34">
        <v>46093.417245370372</v>
      </c>
      <c r="C460" s="34" t="str">
        <f t="shared" si="20"/>
        <v>202603</v>
      </c>
      <c r="D460" s="35" t="s">
        <v>951</v>
      </c>
      <c r="E460" s="36" t="s">
        <v>910</v>
      </c>
      <c r="F460" s="36" t="s">
        <v>1686</v>
      </c>
      <c r="G460" s="37" t="s">
        <v>2097</v>
      </c>
      <c r="H460" s="36" t="s">
        <v>928</v>
      </c>
      <c r="I460" s="35"/>
      <c r="J460" s="36" t="s">
        <v>929</v>
      </c>
      <c r="K460" s="33" t="s">
        <v>916</v>
      </c>
      <c r="L460" s="35" t="s">
        <v>916</v>
      </c>
      <c r="M460" s="36" t="s">
        <v>1135</v>
      </c>
      <c r="N460" s="45">
        <v>46098.470833333333</v>
      </c>
      <c r="O460" s="36" t="s">
        <v>1797</v>
      </c>
      <c r="P460" s="38">
        <v>5.053587963</v>
      </c>
      <c r="Q460" s="39" t="s">
        <v>2098</v>
      </c>
      <c r="R460" s="35" t="s">
        <v>916</v>
      </c>
      <c r="S460" s="35"/>
      <c r="T460" s="35" t="s">
        <v>1624</v>
      </c>
      <c r="U460" s="40">
        <v>46094</v>
      </c>
      <c r="V460" s="41">
        <v>46153.532731481479</v>
      </c>
      <c r="W460" s="40">
        <v>46093</v>
      </c>
      <c r="X460" s="35" t="s">
        <v>916</v>
      </c>
      <c r="Y460" s="35" t="s">
        <v>916</v>
      </c>
      <c r="Z460" s="35" t="s">
        <v>916</v>
      </c>
      <c r="AA460" s="38">
        <v>121.286111112</v>
      </c>
      <c r="AB460" s="42" t="s">
        <v>916</v>
      </c>
      <c r="AC460" s="43" t="s">
        <v>916</v>
      </c>
      <c r="AD460" s="43" t="s">
        <v>916</v>
      </c>
      <c r="AE460" s="33" t="s">
        <v>916</v>
      </c>
      <c r="AF460" s="35" t="s">
        <v>916</v>
      </c>
      <c r="AG460" s="44">
        <v>492586.16666666669</v>
      </c>
      <c r="AH460" s="42" t="s">
        <v>916</v>
      </c>
      <c r="AI460" s="32" t="e">
        <f>VLOOKUP(A460,'4月明細'!B:B,1,0)</f>
        <v>#N/A</v>
      </c>
    </row>
    <row r="461" spans="1:35" ht="19.95" customHeight="1" x14ac:dyDescent="0.3">
      <c r="A461" s="33" t="s">
        <v>2099</v>
      </c>
      <c r="B461" s="34">
        <v>46093.416087962964</v>
      </c>
      <c r="C461" s="34" t="str">
        <f t="shared" si="20"/>
        <v>202603</v>
      </c>
      <c r="D461" s="35" t="s">
        <v>951</v>
      </c>
      <c r="E461" s="36" t="s">
        <v>910</v>
      </c>
      <c r="F461" s="36" t="s">
        <v>1068</v>
      </c>
      <c r="G461" s="37" t="s">
        <v>2100</v>
      </c>
      <c r="H461" s="36" t="s">
        <v>1023</v>
      </c>
      <c r="I461" s="35"/>
      <c r="J461" s="36" t="s">
        <v>929</v>
      </c>
      <c r="K461" s="33" t="s">
        <v>916</v>
      </c>
      <c r="L461" s="35" t="s">
        <v>916</v>
      </c>
      <c r="M461" s="36" t="s">
        <v>923</v>
      </c>
      <c r="N461" s="45">
        <v>46093.421527777777</v>
      </c>
      <c r="O461" s="36" t="s">
        <v>1384</v>
      </c>
      <c r="P461" s="38">
        <v>5.4398147999999997E-3</v>
      </c>
      <c r="Q461" s="39" t="s">
        <v>2101</v>
      </c>
      <c r="R461" s="35" t="s">
        <v>916</v>
      </c>
      <c r="S461" s="35"/>
      <c r="T461" s="35" t="s">
        <v>1624</v>
      </c>
      <c r="U461" s="40">
        <v>46094</v>
      </c>
      <c r="V461" s="41">
        <v>46153.532731481479</v>
      </c>
      <c r="W461" s="40">
        <v>46093</v>
      </c>
      <c r="X461" s="35" t="s">
        <v>916</v>
      </c>
      <c r="Y461" s="35" t="s">
        <v>916</v>
      </c>
      <c r="Z461" s="35" t="s">
        <v>916</v>
      </c>
      <c r="AA461" s="38">
        <v>0.13055555520000001</v>
      </c>
      <c r="AB461" s="42" t="s">
        <v>916</v>
      </c>
      <c r="AC461" s="43" t="s">
        <v>916</v>
      </c>
      <c r="AD461" s="43" t="s">
        <v>916</v>
      </c>
      <c r="AE461" s="33" t="s">
        <v>916</v>
      </c>
      <c r="AF461" s="35" t="s">
        <v>916</v>
      </c>
      <c r="AG461" s="44">
        <v>0</v>
      </c>
      <c r="AH461" s="42" t="s">
        <v>916</v>
      </c>
      <c r="AI461" s="32" t="e">
        <f>VLOOKUP(A461,'4月明細'!B:B,1,0)</f>
        <v>#N/A</v>
      </c>
    </row>
    <row r="462" spans="1:35" ht="19.95" customHeight="1" x14ac:dyDescent="0.3">
      <c r="A462" s="33" t="s">
        <v>575</v>
      </c>
      <c r="B462" s="34">
        <v>46092.894456018519</v>
      </c>
      <c r="C462" s="34" t="str">
        <f t="shared" si="20"/>
        <v>202603</v>
      </c>
      <c r="D462" s="35" t="s">
        <v>941</v>
      </c>
      <c r="E462" s="36" t="s">
        <v>942</v>
      </c>
      <c r="F462" s="36" t="s">
        <v>1260</v>
      </c>
      <c r="G462" s="37" t="s">
        <v>2102</v>
      </c>
      <c r="H462" s="36" t="s">
        <v>913</v>
      </c>
      <c r="I462" s="35"/>
      <c r="J462" s="36" t="s">
        <v>945</v>
      </c>
      <c r="K462" s="33" t="s">
        <v>916</v>
      </c>
      <c r="L462" s="35" t="s">
        <v>916</v>
      </c>
      <c r="M462" s="36" t="s">
        <v>957</v>
      </c>
      <c r="N462" s="45">
        <v>46093.375</v>
      </c>
      <c r="O462" s="36" t="s">
        <v>25</v>
      </c>
      <c r="P462" s="38">
        <v>0.48054398149999999</v>
      </c>
      <c r="Q462" s="39" t="s">
        <v>2103</v>
      </c>
      <c r="R462" s="35" t="s">
        <v>916</v>
      </c>
      <c r="S462" s="35"/>
      <c r="T462" s="35" t="s">
        <v>1624</v>
      </c>
      <c r="U462" s="40">
        <v>46093</v>
      </c>
      <c r="V462" s="41">
        <v>46153.532731481479</v>
      </c>
      <c r="W462" s="40">
        <v>46093</v>
      </c>
      <c r="X462" s="35" t="s">
        <v>916</v>
      </c>
      <c r="Y462" s="35" t="s">
        <v>916</v>
      </c>
      <c r="Z462" s="35" t="s">
        <v>916</v>
      </c>
      <c r="AA462" s="38">
        <v>11.533055556000001</v>
      </c>
      <c r="AB462" s="42" t="s">
        <v>916</v>
      </c>
      <c r="AC462" s="43" t="s">
        <v>916</v>
      </c>
      <c r="AD462" s="43" t="s">
        <v>916</v>
      </c>
      <c r="AE462" s="33" t="s">
        <v>916</v>
      </c>
      <c r="AF462" s="35" t="s">
        <v>916</v>
      </c>
      <c r="AG462" s="44">
        <v>0</v>
      </c>
      <c r="AH462" s="42" t="s">
        <v>916</v>
      </c>
      <c r="AI462" s="32" t="e">
        <f>VLOOKUP(A462,'4月明細'!B:B,1,0)</f>
        <v>#N/A</v>
      </c>
    </row>
    <row r="463" spans="1:35" ht="19.95" customHeight="1" x14ac:dyDescent="0.3">
      <c r="A463" s="33" t="s">
        <v>574</v>
      </c>
      <c r="B463" s="34">
        <v>46092.61346064815</v>
      </c>
      <c r="C463" s="34" t="str">
        <f t="shared" si="20"/>
        <v>202603</v>
      </c>
      <c r="D463" s="35" t="s">
        <v>909</v>
      </c>
      <c r="E463" s="36" t="s">
        <v>910</v>
      </c>
      <c r="F463" s="36" t="s">
        <v>1392</v>
      </c>
      <c r="G463" s="37" t="s">
        <v>2104</v>
      </c>
      <c r="H463" s="36" t="s">
        <v>913</v>
      </c>
      <c r="I463" s="35" t="s">
        <v>1558</v>
      </c>
      <c r="J463" s="36" t="s">
        <v>914</v>
      </c>
      <c r="K463" s="33" t="s">
        <v>916</v>
      </c>
      <c r="L463" s="35" t="s">
        <v>916</v>
      </c>
      <c r="M463" s="36" t="s">
        <v>957</v>
      </c>
      <c r="N463" s="45">
        <v>46093.375</v>
      </c>
      <c r="O463" s="36" t="s">
        <v>25</v>
      </c>
      <c r="P463" s="38">
        <v>0.76153935179999999</v>
      </c>
      <c r="Q463" s="39" t="s">
        <v>2105</v>
      </c>
      <c r="R463" s="35" t="s">
        <v>916</v>
      </c>
      <c r="S463" s="35" t="s">
        <v>2106</v>
      </c>
      <c r="T463" s="35" t="s">
        <v>1624</v>
      </c>
      <c r="U463" s="40">
        <v>46093</v>
      </c>
      <c r="V463" s="41">
        <v>46153.532731481479</v>
      </c>
      <c r="W463" s="40">
        <v>46092</v>
      </c>
      <c r="X463" s="35" t="s">
        <v>916</v>
      </c>
      <c r="Y463" s="35" t="s">
        <v>916</v>
      </c>
      <c r="Z463" s="35" t="s">
        <v>916</v>
      </c>
      <c r="AA463" s="38">
        <v>18.276944443200001</v>
      </c>
      <c r="AB463" s="42" t="s">
        <v>916</v>
      </c>
      <c r="AC463" s="43" t="s">
        <v>916</v>
      </c>
      <c r="AD463" s="43" t="s">
        <v>916</v>
      </c>
      <c r="AE463" s="33" t="s">
        <v>916</v>
      </c>
      <c r="AF463" s="35" t="s">
        <v>916</v>
      </c>
      <c r="AG463" s="44">
        <v>0</v>
      </c>
      <c r="AH463" s="42" t="s">
        <v>916</v>
      </c>
      <c r="AI463" s="32" t="e">
        <f>VLOOKUP(A463,'4月明細'!B:B,1,0)</f>
        <v>#N/A</v>
      </c>
    </row>
    <row r="464" spans="1:35" ht="19.95" customHeight="1" x14ac:dyDescent="0.3">
      <c r="A464" s="33" t="s">
        <v>2107</v>
      </c>
      <c r="B464" s="34">
        <v>46092.60900462963</v>
      </c>
      <c r="C464" s="34" t="str">
        <f t="shared" si="20"/>
        <v>202603</v>
      </c>
      <c r="D464" s="35" t="s">
        <v>1168</v>
      </c>
      <c r="E464" s="36" t="s">
        <v>942</v>
      </c>
      <c r="F464" s="36" t="s">
        <v>1411</v>
      </c>
      <c r="G464" s="37" t="s">
        <v>2108</v>
      </c>
      <c r="H464" s="36" t="s">
        <v>2021</v>
      </c>
      <c r="I464" s="35"/>
      <c r="J464" s="36" t="s">
        <v>938</v>
      </c>
      <c r="K464" s="33" t="s">
        <v>916</v>
      </c>
      <c r="L464" s="35" t="s">
        <v>916</v>
      </c>
      <c r="M464" s="36" t="s">
        <v>916</v>
      </c>
      <c r="N464" s="45">
        <v>46093.425694444442</v>
      </c>
      <c r="O464" s="36" t="s">
        <v>1920</v>
      </c>
      <c r="P464" s="38">
        <v>0.81668981480000002</v>
      </c>
      <c r="Q464" s="39" t="s">
        <v>2109</v>
      </c>
      <c r="R464" s="35" t="s">
        <v>916</v>
      </c>
      <c r="S464" s="35"/>
      <c r="T464" s="35" t="s">
        <v>1624</v>
      </c>
      <c r="U464" s="40">
        <v>46093</v>
      </c>
      <c r="V464" s="41">
        <v>46153.532731481479</v>
      </c>
      <c r="W464" s="40">
        <v>46092</v>
      </c>
      <c r="X464" s="35" t="s">
        <v>916</v>
      </c>
      <c r="Y464" s="35" t="s">
        <v>916</v>
      </c>
      <c r="Z464" s="35" t="s">
        <v>916</v>
      </c>
      <c r="AA464" s="38">
        <v>19.6005555552</v>
      </c>
      <c r="AB464" s="42" t="s">
        <v>916</v>
      </c>
      <c r="AC464" s="43" t="s">
        <v>916</v>
      </c>
      <c r="AD464" s="43" t="s">
        <v>916</v>
      </c>
      <c r="AE464" s="33" t="s">
        <v>916</v>
      </c>
      <c r="AF464" s="35" t="s">
        <v>916</v>
      </c>
      <c r="AG464" s="44">
        <v>492586.21666666667</v>
      </c>
      <c r="AH464" s="42" t="s">
        <v>916</v>
      </c>
      <c r="AI464" s="32" t="e">
        <f>VLOOKUP(A464,'4月明細'!B:B,1,0)</f>
        <v>#N/A</v>
      </c>
    </row>
    <row r="465" spans="1:35" ht="19.95" customHeight="1" x14ac:dyDescent="0.3">
      <c r="A465" s="33" t="s">
        <v>573</v>
      </c>
      <c r="B465" s="34">
        <v>46092.580752314818</v>
      </c>
      <c r="C465" s="34" t="str">
        <f t="shared" si="20"/>
        <v>202603</v>
      </c>
      <c r="D465" s="35" t="s">
        <v>909</v>
      </c>
      <c r="E465" s="36" t="s">
        <v>910</v>
      </c>
      <c r="F465" s="36" t="s">
        <v>1621</v>
      </c>
      <c r="G465" s="37" t="s">
        <v>1499</v>
      </c>
      <c r="H465" s="36" t="s">
        <v>928</v>
      </c>
      <c r="I465" s="35"/>
      <c r="J465" s="36" t="s">
        <v>914</v>
      </c>
      <c r="K465" s="33" t="s">
        <v>916</v>
      </c>
      <c r="L465" s="35" t="s">
        <v>916</v>
      </c>
      <c r="M465" s="36" t="s">
        <v>957</v>
      </c>
      <c r="N465" s="45">
        <v>46093.375</v>
      </c>
      <c r="O465" s="36" t="s">
        <v>25</v>
      </c>
      <c r="P465" s="38">
        <v>0.7942476852</v>
      </c>
      <c r="Q465" s="39" t="s">
        <v>2110</v>
      </c>
      <c r="R465" s="35" t="s">
        <v>916</v>
      </c>
      <c r="S465" s="35"/>
      <c r="T465" s="35" t="s">
        <v>1624</v>
      </c>
      <c r="U465" s="40">
        <v>46093</v>
      </c>
      <c r="V465" s="41">
        <v>46153.532731481479</v>
      </c>
      <c r="W465" s="40">
        <v>46092</v>
      </c>
      <c r="X465" s="35" t="s">
        <v>916</v>
      </c>
      <c r="Y465" s="35" t="s">
        <v>916</v>
      </c>
      <c r="Z465" s="35" t="s">
        <v>916</v>
      </c>
      <c r="AA465" s="38">
        <v>19.061944444800002</v>
      </c>
      <c r="AB465" s="42" t="s">
        <v>916</v>
      </c>
      <c r="AC465" s="43" t="s">
        <v>916</v>
      </c>
      <c r="AD465" s="43" t="s">
        <v>916</v>
      </c>
      <c r="AE465" s="33" t="s">
        <v>916</v>
      </c>
      <c r="AF465" s="35" t="s">
        <v>916</v>
      </c>
      <c r="AG465" s="44">
        <v>492585.01666666672</v>
      </c>
      <c r="AH465" s="42" t="s">
        <v>916</v>
      </c>
      <c r="AI465" s="32" t="e">
        <f>VLOOKUP(A465,'4月明細'!B:B,1,0)</f>
        <v>#N/A</v>
      </c>
    </row>
    <row r="466" spans="1:35" ht="19.95" customHeight="1" x14ac:dyDescent="0.3">
      <c r="A466" s="33" t="s">
        <v>2111</v>
      </c>
      <c r="B466" s="34">
        <v>46092.511041666665</v>
      </c>
      <c r="C466" s="34" t="str">
        <f t="shared" si="20"/>
        <v>202603</v>
      </c>
      <c r="D466" s="35" t="s">
        <v>996</v>
      </c>
      <c r="E466" s="36" t="s">
        <v>910</v>
      </c>
      <c r="F466" s="36" t="s">
        <v>1919</v>
      </c>
      <c r="G466" s="37" t="s">
        <v>2112</v>
      </c>
      <c r="H466" s="36" t="s">
        <v>928</v>
      </c>
      <c r="I466" s="35" t="s">
        <v>2113</v>
      </c>
      <c r="J466" s="36" t="s">
        <v>1058</v>
      </c>
      <c r="K466" s="33" t="s">
        <v>916</v>
      </c>
      <c r="L466" s="35" t="s">
        <v>916</v>
      </c>
      <c r="M466" s="36" t="s">
        <v>1135</v>
      </c>
      <c r="N466" s="45">
        <v>46093.375694444447</v>
      </c>
      <c r="O466" s="36" t="s">
        <v>1384</v>
      </c>
      <c r="P466" s="38">
        <v>0.86465277780000005</v>
      </c>
      <c r="Q466" s="39" t="s">
        <v>1959</v>
      </c>
      <c r="R466" s="35" t="s">
        <v>916</v>
      </c>
      <c r="S466" s="35"/>
      <c r="T466" s="35" t="s">
        <v>1624</v>
      </c>
      <c r="U466" s="40">
        <v>46093</v>
      </c>
      <c r="V466" s="41">
        <v>46153.532731481479</v>
      </c>
      <c r="W466" s="40">
        <v>46092</v>
      </c>
      <c r="X466" s="35" t="s">
        <v>916</v>
      </c>
      <c r="Y466" s="35" t="s">
        <v>916</v>
      </c>
      <c r="Z466" s="35" t="s">
        <v>916</v>
      </c>
      <c r="AA466" s="38">
        <v>20.751666667199999</v>
      </c>
      <c r="AB466" s="42" t="s">
        <v>916</v>
      </c>
      <c r="AC466" s="43" t="s">
        <v>916</v>
      </c>
      <c r="AD466" s="43" t="s">
        <v>916</v>
      </c>
      <c r="AE466" s="33" t="s">
        <v>916</v>
      </c>
      <c r="AF466" s="35" t="s">
        <v>916</v>
      </c>
      <c r="AG466" s="44">
        <v>0</v>
      </c>
      <c r="AH466" s="42" t="s">
        <v>916</v>
      </c>
      <c r="AI466" s="32" t="e">
        <f>VLOOKUP(A466,'4月明細'!B:B,1,0)</f>
        <v>#N/A</v>
      </c>
    </row>
    <row r="467" spans="1:35" ht="19.95" customHeight="1" x14ac:dyDescent="0.3">
      <c r="A467" s="33" t="s">
        <v>2114</v>
      </c>
      <c r="B467" s="34">
        <v>46092.484340277777</v>
      </c>
      <c r="C467" s="34" t="str">
        <f t="shared" si="20"/>
        <v>202603</v>
      </c>
      <c r="D467" s="35" t="s">
        <v>996</v>
      </c>
      <c r="E467" s="36" t="s">
        <v>910</v>
      </c>
      <c r="F467" s="36" t="s">
        <v>1141</v>
      </c>
      <c r="G467" s="37" t="s">
        <v>2115</v>
      </c>
      <c r="H467" s="36" t="s">
        <v>1078</v>
      </c>
      <c r="I467" s="35"/>
      <c r="J467" s="36" t="s">
        <v>1058</v>
      </c>
      <c r="K467" s="33" t="s">
        <v>916</v>
      </c>
      <c r="L467" s="35" t="s">
        <v>916</v>
      </c>
      <c r="M467" s="36" t="s">
        <v>923</v>
      </c>
      <c r="N467" s="45">
        <v>46093.642361111109</v>
      </c>
      <c r="O467" s="36" t="s">
        <v>1920</v>
      </c>
      <c r="P467" s="38">
        <v>1.1580208332999999</v>
      </c>
      <c r="Q467" s="39" t="s">
        <v>2116</v>
      </c>
      <c r="R467" s="35" t="s">
        <v>916</v>
      </c>
      <c r="S467" s="35"/>
      <c r="T467" s="35" t="s">
        <v>1624</v>
      </c>
      <c r="U467" s="40">
        <v>46093</v>
      </c>
      <c r="V467" s="41">
        <v>46153.532731481479</v>
      </c>
      <c r="W467" s="40">
        <v>46092</v>
      </c>
      <c r="X467" s="35" t="s">
        <v>916</v>
      </c>
      <c r="Y467" s="35" t="s">
        <v>916</v>
      </c>
      <c r="Z467" s="35" t="s">
        <v>916</v>
      </c>
      <c r="AA467" s="38">
        <v>27.7924999992</v>
      </c>
      <c r="AB467" s="42" t="s">
        <v>916</v>
      </c>
      <c r="AC467" s="43" t="s">
        <v>916</v>
      </c>
      <c r="AD467" s="43" t="s">
        <v>916</v>
      </c>
      <c r="AE467" s="33" t="s">
        <v>916</v>
      </c>
      <c r="AF467" s="35" t="s">
        <v>916</v>
      </c>
      <c r="AG467" s="44">
        <v>0</v>
      </c>
      <c r="AH467" s="42" t="s">
        <v>916</v>
      </c>
      <c r="AI467" s="32" t="e">
        <f>VLOOKUP(A467,'4月明細'!B:B,1,0)</f>
        <v>#N/A</v>
      </c>
    </row>
    <row r="468" spans="1:35" ht="19.95" customHeight="1" x14ac:dyDescent="0.3">
      <c r="A468" s="33" t="s">
        <v>572</v>
      </c>
      <c r="B468" s="34">
        <v>46092.478379629632</v>
      </c>
      <c r="C468" s="34" t="str">
        <f t="shared" si="20"/>
        <v>202603</v>
      </c>
      <c r="D468" s="35" t="s">
        <v>996</v>
      </c>
      <c r="E468" s="36" t="s">
        <v>910</v>
      </c>
      <c r="F468" s="36" t="s">
        <v>1521</v>
      </c>
      <c r="G468" s="37" t="s">
        <v>2117</v>
      </c>
      <c r="H468" s="36" t="s">
        <v>928</v>
      </c>
      <c r="I468" s="35"/>
      <c r="J468" s="36" t="s">
        <v>914</v>
      </c>
      <c r="K468" s="33" t="s">
        <v>916</v>
      </c>
      <c r="L468" s="35" t="s">
        <v>916</v>
      </c>
      <c r="M468" s="36" t="s">
        <v>923</v>
      </c>
      <c r="N468" s="45">
        <v>46093.376388888886</v>
      </c>
      <c r="O468" s="36" t="s">
        <v>25</v>
      </c>
      <c r="P468" s="38">
        <v>0.89800925929999997</v>
      </c>
      <c r="Q468" s="39" t="s">
        <v>2118</v>
      </c>
      <c r="R468" s="35" t="s">
        <v>916</v>
      </c>
      <c r="S468" s="35" t="s">
        <v>2119</v>
      </c>
      <c r="T468" s="35" t="s">
        <v>1624</v>
      </c>
      <c r="U468" s="40">
        <v>46093</v>
      </c>
      <c r="V468" s="41">
        <v>46153.532731481479</v>
      </c>
      <c r="W468" s="40">
        <v>46092</v>
      </c>
      <c r="X468" s="35" t="s">
        <v>916</v>
      </c>
      <c r="Y468" s="35" t="s">
        <v>916</v>
      </c>
      <c r="Z468" s="35" t="s">
        <v>916</v>
      </c>
      <c r="AA468" s="38">
        <v>21.552222223200001</v>
      </c>
      <c r="AB468" s="42" t="s">
        <v>916</v>
      </c>
      <c r="AC468" s="43" t="s">
        <v>916</v>
      </c>
      <c r="AD468" s="43" t="s">
        <v>916</v>
      </c>
      <c r="AE468" s="33" t="s">
        <v>916</v>
      </c>
      <c r="AF468" s="35" t="s">
        <v>916</v>
      </c>
      <c r="AG468" s="44">
        <v>492585.03333333333</v>
      </c>
      <c r="AH468" s="42" t="s">
        <v>916</v>
      </c>
      <c r="AI468" s="32" t="e">
        <f>VLOOKUP(A468,'4月明細'!B:B,1,0)</f>
        <v>#N/A</v>
      </c>
    </row>
    <row r="469" spans="1:35" ht="19.95" customHeight="1" x14ac:dyDescent="0.3">
      <c r="A469" s="33" t="s">
        <v>571</v>
      </c>
      <c r="B469" s="34">
        <v>46092.474560185183</v>
      </c>
      <c r="C469" s="34" t="str">
        <f t="shared" si="20"/>
        <v>202603</v>
      </c>
      <c r="D469" s="35" t="s">
        <v>909</v>
      </c>
      <c r="E469" s="36" t="s">
        <v>910</v>
      </c>
      <c r="F469" s="36" t="s">
        <v>987</v>
      </c>
      <c r="G469" s="37" t="s">
        <v>2120</v>
      </c>
      <c r="H469" s="36" t="s">
        <v>928</v>
      </c>
      <c r="I469" s="35"/>
      <c r="J469" s="36" t="s">
        <v>914</v>
      </c>
      <c r="K469" s="33" t="s">
        <v>916</v>
      </c>
      <c r="L469" s="35" t="s">
        <v>916</v>
      </c>
      <c r="M469" s="36" t="s">
        <v>923</v>
      </c>
      <c r="N469" s="45">
        <v>46093.377083333333</v>
      </c>
      <c r="O469" s="36" t="s">
        <v>25</v>
      </c>
      <c r="P469" s="38">
        <v>0.90252314810000001</v>
      </c>
      <c r="Q469" s="39" t="s">
        <v>2121</v>
      </c>
      <c r="R469" s="35" t="s">
        <v>916</v>
      </c>
      <c r="S469" s="35"/>
      <c r="T469" s="35" t="s">
        <v>1624</v>
      </c>
      <c r="U469" s="40">
        <v>46093</v>
      </c>
      <c r="V469" s="41">
        <v>46153.532731481479</v>
      </c>
      <c r="W469" s="40">
        <v>46092</v>
      </c>
      <c r="X469" s="35" t="s">
        <v>916</v>
      </c>
      <c r="Y469" s="35" t="s">
        <v>916</v>
      </c>
      <c r="Z469" s="35" t="s">
        <v>916</v>
      </c>
      <c r="AA469" s="38">
        <v>21.660555554399998</v>
      </c>
      <c r="AB469" s="42" t="s">
        <v>916</v>
      </c>
      <c r="AC469" s="43" t="s">
        <v>916</v>
      </c>
      <c r="AD469" s="43" t="s">
        <v>916</v>
      </c>
      <c r="AE469" s="33" t="s">
        <v>916</v>
      </c>
      <c r="AF469" s="35" t="s">
        <v>916</v>
      </c>
      <c r="AG469" s="44">
        <v>0</v>
      </c>
      <c r="AH469" s="42" t="s">
        <v>916</v>
      </c>
      <c r="AI469" s="32" t="e">
        <f>VLOOKUP(A469,'4月明細'!B:B,1,0)</f>
        <v>#N/A</v>
      </c>
    </row>
    <row r="470" spans="1:35" ht="19.95" customHeight="1" x14ac:dyDescent="0.3">
      <c r="A470" s="33" t="s">
        <v>570</v>
      </c>
      <c r="B470" s="34">
        <v>46092.472013888888</v>
      </c>
      <c r="C470" s="34" t="str">
        <f t="shared" si="20"/>
        <v>202603</v>
      </c>
      <c r="D470" s="35" t="s">
        <v>909</v>
      </c>
      <c r="E470" s="36" t="s">
        <v>910</v>
      </c>
      <c r="F470" s="36" t="s">
        <v>987</v>
      </c>
      <c r="G470" s="37" t="s">
        <v>2122</v>
      </c>
      <c r="H470" s="36" t="s">
        <v>954</v>
      </c>
      <c r="I470" s="35" t="s">
        <v>2123</v>
      </c>
      <c r="J470" s="36" t="s">
        <v>914</v>
      </c>
      <c r="K470" s="33" t="s">
        <v>916</v>
      </c>
      <c r="L470" s="35" t="s">
        <v>916</v>
      </c>
      <c r="M470" s="36" t="s">
        <v>923</v>
      </c>
      <c r="N470" s="45">
        <v>46093.37777777778</v>
      </c>
      <c r="O470" s="36" t="s">
        <v>25</v>
      </c>
      <c r="P470" s="38">
        <v>0.90576388890000004</v>
      </c>
      <c r="Q470" s="39" t="s">
        <v>2124</v>
      </c>
      <c r="R470" s="35" t="s">
        <v>916</v>
      </c>
      <c r="S470" s="35"/>
      <c r="T470" s="35" t="s">
        <v>1624</v>
      </c>
      <c r="U470" s="40">
        <v>46093</v>
      </c>
      <c r="V470" s="41">
        <v>46153.532731481479</v>
      </c>
      <c r="W470" s="40">
        <v>46092</v>
      </c>
      <c r="X470" s="35" t="s">
        <v>916</v>
      </c>
      <c r="Y470" s="35" t="s">
        <v>916</v>
      </c>
      <c r="Z470" s="35" t="s">
        <v>916</v>
      </c>
      <c r="AA470" s="38">
        <v>21.7383333336</v>
      </c>
      <c r="AB470" s="42" t="s">
        <v>916</v>
      </c>
      <c r="AC470" s="43" t="s">
        <v>916</v>
      </c>
      <c r="AD470" s="43" t="s">
        <v>916</v>
      </c>
      <c r="AE470" s="33" t="s">
        <v>916</v>
      </c>
      <c r="AF470" s="35" t="s">
        <v>916</v>
      </c>
      <c r="AG470" s="44">
        <v>0</v>
      </c>
      <c r="AH470" s="42" t="s">
        <v>916</v>
      </c>
      <c r="AI470" s="32" t="e">
        <f>VLOOKUP(A470,'4月明細'!B:B,1,0)</f>
        <v>#N/A</v>
      </c>
    </row>
    <row r="471" spans="1:35" ht="19.95" customHeight="1" x14ac:dyDescent="0.3">
      <c r="A471" s="33" t="s">
        <v>569</v>
      </c>
      <c r="B471" s="34">
        <v>46092.456469907411</v>
      </c>
      <c r="C471" s="34" t="str">
        <f t="shared" si="20"/>
        <v>202603</v>
      </c>
      <c r="D471" s="35" t="s">
        <v>996</v>
      </c>
      <c r="E471" s="36" t="s">
        <v>910</v>
      </c>
      <c r="F471" s="36" t="s">
        <v>1740</v>
      </c>
      <c r="G471" s="37" t="s">
        <v>2125</v>
      </c>
      <c r="H471" s="36" t="s">
        <v>954</v>
      </c>
      <c r="I471" s="35"/>
      <c r="J471" s="36" t="s">
        <v>914</v>
      </c>
      <c r="K471" s="33" t="s">
        <v>916</v>
      </c>
      <c r="L471" s="35" t="s">
        <v>916</v>
      </c>
      <c r="M471" s="36" t="s">
        <v>923</v>
      </c>
      <c r="N471" s="45">
        <v>46093.37777777778</v>
      </c>
      <c r="O471" s="36" t="s">
        <v>25</v>
      </c>
      <c r="P471" s="38">
        <v>0.92130787039999995</v>
      </c>
      <c r="Q471" s="39" t="s">
        <v>2126</v>
      </c>
      <c r="R471" s="35" t="s">
        <v>916</v>
      </c>
      <c r="S471" s="35"/>
      <c r="T471" s="35" t="s">
        <v>1624</v>
      </c>
      <c r="U471" s="40">
        <v>46093</v>
      </c>
      <c r="V471" s="41">
        <v>46153.532731481479</v>
      </c>
      <c r="W471" s="40">
        <v>46092</v>
      </c>
      <c r="X471" s="35" t="s">
        <v>916</v>
      </c>
      <c r="Y471" s="35" t="s">
        <v>916</v>
      </c>
      <c r="Z471" s="35" t="s">
        <v>916</v>
      </c>
      <c r="AA471" s="38">
        <v>22.111388889600001</v>
      </c>
      <c r="AB471" s="42" t="s">
        <v>916</v>
      </c>
      <c r="AC471" s="43" t="s">
        <v>916</v>
      </c>
      <c r="AD471" s="43" t="s">
        <v>916</v>
      </c>
      <c r="AE471" s="33" t="s">
        <v>916</v>
      </c>
      <c r="AF471" s="35" t="s">
        <v>916</v>
      </c>
      <c r="AG471" s="44">
        <v>0</v>
      </c>
      <c r="AH471" s="42" t="s">
        <v>916</v>
      </c>
      <c r="AI471" s="32" t="e">
        <f>VLOOKUP(A471,'4月明細'!B:B,1,0)</f>
        <v>#N/A</v>
      </c>
    </row>
    <row r="472" spans="1:35" ht="19.95" customHeight="1" x14ac:dyDescent="0.3">
      <c r="A472" s="33" t="s">
        <v>2127</v>
      </c>
      <c r="B472" s="34">
        <v>46092.429618055554</v>
      </c>
      <c r="C472" s="34" t="str">
        <f t="shared" si="20"/>
        <v>202603</v>
      </c>
      <c r="D472" s="35" t="s">
        <v>996</v>
      </c>
      <c r="E472" s="36" t="s">
        <v>910</v>
      </c>
      <c r="F472" s="36" t="s">
        <v>1161</v>
      </c>
      <c r="G472" s="37" t="s">
        <v>1096</v>
      </c>
      <c r="H472" s="36" t="s">
        <v>928</v>
      </c>
      <c r="I472" s="35"/>
      <c r="J472" s="36" t="s">
        <v>914</v>
      </c>
      <c r="K472" s="33" t="s">
        <v>916</v>
      </c>
      <c r="L472" s="35" t="s">
        <v>916</v>
      </c>
      <c r="M472" s="36" t="s">
        <v>923</v>
      </c>
      <c r="N472" s="45">
        <v>46093.643055555556</v>
      </c>
      <c r="O472" s="36" t="s">
        <v>1920</v>
      </c>
      <c r="P472" s="38">
        <v>1.2134374999999999</v>
      </c>
      <c r="Q472" s="39" t="s">
        <v>2116</v>
      </c>
      <c r="R472" s="35" t="s">
        <v>916</v>
      </c>
      <c r="S472" s="35"/>
      <c r="T472" s="35" t="s">
        <v>1624</v>
      </c>
      <c r="U472" s="40">
        <v>46093</v>
      </c>
      <c r="V472" s="41">
        <v>46153.532731481479</v>
      </c>
      <c r="W472" s="40">
        <v>46092</v>
      </c>
      <c r="X472" s="35" t="s">
        <v>916</v>
      </c>
      <c r="Y472" s="35" t="s">
        <v>916</v>
      </c>
      <c r="Z472" s="35" t="s">
        <v>916</v>
      </c>
      <c r="AA472" s="38">
        <v>29.122499999999999</v>
      </c>
      <c r="AB472" s="42" t="s">
        <v>916</v>
      </c>
      <c r="AC472" s="43" t="s">
        <v>916</v>
      </c>
      <c r="AD472" s="43" t="s">
        <v>916</v>
      </c>
      <c r="AE472" s="33" t="s">
        <v>916</v>
      </c>
      <c r="AF472" s="35" t="s">
        <v>916</v>
      </c>
      <c r="AG472" s="44">
        <v>0</v>
      </c>
      <c r="AH472" s="42" t="s">
        <v>916</v>
      </c>
      <c r="AI472" s="32" t="e">
        <f>VLOOKUP(A472,'4月明細'!B:B,1,0)</f>
        <v>#N/A</v>
      </c>
    </row>
    <row r="473" spans="1:35" ht="19.95" customHeight="1" x14ac:dyDescent="0.3">
      <c r="A473" s="33" t="s">
        <v>568</v>
      </c>
      <c r="B473" s="34">
        <v>46091.84034722222</v>
      </c>
      <c r="C473" s="34" t="str">
        <f t="shared" si="20"/>
        <v>202603</v>
      </c>
      <c r="D473" s="35" t="s">
        <v>941</v>
      </c>
      <c r="E473" s="36" t="s">
        <v>942</v>
      </c>
      <c r="F473" s="36" t="s">
        <v>1161</v>
      </c>
      <c r="G473" s="37" t="s">
        <v>2128</v>
      </c>
      <c r="H473" s="36" t="s">
        <v>913</v>
      </c>
      <c r="I473" s="35"/>
      <c r="J473" s="36" t="s">
        <v>945</v>
      </c>
      <c r="K473" s="33" t="s">
        <v>916</v>
      </c>
      <c r="L473" s="35" t="s">
        <v>916</v>
      </c>
      <c r="M473" s="36" t="s">
        <v>957</v>
      </c>
      <c r="N473" s="45">
        <v>46093.715277777781</v>
      </c>
      <c r="O473" s="36" t="s">
        <v>25</v>
      </c>
      <c r="P473" s="38">
        <v>1.8749305556</v>
      </c>
      <c r="Q473" s="39" t="s">
        <v>2074</v>
      </c>
      <c r="R473" s="35" t="s">
        <v>916</v>
      </c>
      <c r="S473" s="35"/>
      <c r="T473" s="35" t="s">
        <v>1624</v>
      </c>
      <c r="U473" s="40">
        <v>46092</v>
      </c>
      <c r="V473" s="41">
        <v>46153.532731481479</v>
      </c>
      <c r="W473" s="40">
        <v>46092</v>
      </c>
      <c r="X473" s="35" t="s">
        <v>916</v>
      </c>
      <c r="Y473" s="35" t="s">
        <v>916</v>
      </c>
      <c r="Z473" s="35" t="s">
        <v>916</v>
      </c>
      <c r="AA473" s="38">
        <v>44.998333334400002</v>
      </c>
      <c r="AB473" s="42" t="s">
        <v>916</v>
      </c>
      <c r="AC473" s="43" t="s">
        <v>916</v>
      </c>
      <c r="AD473" s="43" t="s">
        <v>916</v>
      </c>
      <c r="AE473" s="33" t="s">
        <v>916</v>
      </c>
      <c r="AF473" s="35" t="s">
        <v>916</v>
      </c>
      <c r="AG473" s="44">
        <v>0</v>
      </c>
      <c r="AH473" s="42" t="s">
        <v>916</v>
      </c>
      <c r="AI473" s="32" t="e">
        <f>VLOOKUP(A473,'4月明細'!B:B,1,0)</f>
        <v>#N/A</v>
      </c>
    </row>
    <row r="474" spans="1:35" ht="19.95" customHeight="1" x14ac:dyDescent="0.3">
      <c r="A474" s="33" t="s">
        <v>567</v>
      </c>
      <c r="B474" s="34">
        <v>46091.467835648145</v>
      </c>
      <c r="C474" s="34" t="str">
        <f t="shared" si="20"/>
        <v>202603</v>
      </c>
      <c r="D474" s="35" t="s">
        <v>909</v>
      </c>
      <c r="E474" s="36" t="s">
        <v>910</v>
      </c>
      <c r="F474" s="36" t="s">
        <v>1792</v>
      </c>
      <c r="G474" s="37" t="s">
        <v>1622</v>
      </c>
      <c r="H474" s="36" t="s">
        <v>1078</v>
      </c>
      <c r="I474" s="35" t="s">
        <v>2129</v>
      </c>
      <c r="J474" s="36" t="s">
        <v>914</v>
      </c>
      <c r="K474" s="33" t="s">
        <v>916</v>
      </c>
      <c r="L474" s="35" t="s">
        <v>916</v>
      </c>
      <c r="M474" s="36" t="s">
        <v>923</v>
      </c>
      <c r="N474" s="45">
        <v>46093.378472222219</v>
      </c>
      <c r="O474" s="36" t="s">
        <v>25</v>
      </c>
      <c r="P474" s="38">
        <v>1.9106365741</v>
      </c>
      <c r="Q474" s="39" t="s">
        <v>2130</v>
      </c>
      <c r="R474" s="35" t="s">
        <v>916</v>
      </c>
      <c r="S474" s="35" t="s">
        <v>2131</v>
      </c>
      <c r="T474" s="35" t="s">
        <v>1624</v>
      </c>
      <c r="U474" s="40">
        <v>46092</v>
      </c>
      <c r="V474" s="41">
        <v>46153.532743055555</v>
      </c>
      <c r="W474" s="40">
        <v>46091</v>
      </c>
      <c r="X474" s="35" t="s">
        <v>916</v>
      </c>
      <c r="Y474" s="35" t="s">
        <v>916</v>
      </c>
      <c r="Z474" s="35" t="s">
        <v>916</v>
      </c>
      <c r="AA474" s="38">
        <v>45.855277778400001</v>
      </c>
      <c r="AB474" s="42" t="s">
        <v>916</v>
      </c>
      <c r="AC474" s="43" t="s">
        <v>916</v>
      </c>
      <c r="AD474" s="43" t="s">
        <v>916</v>
      </c>
      <c r="AE474" s="33" t="s">
        <v>916</v>
      </c>
      <c r="AF474" s="35" t="s">
        <v>916</v>
      </c>
      <c r="AG474" s="44">
        <v>0</v>
      </c>
      <c r="AH474" s="42" t="s">
        <v>916</v>
      </c>
      <c r="AI474" s="32" t="e">
        <f>VLOOKUP(A474,'4月明細'!B:B,1,0)</f>
        <v>#N/A</v>
      </c>
    </row>
    <row r="475" spans="1:35" ht="19.95" customHeight="1" x14ac:dyDescent="0.3">
      <c r="A475" s="33" t="s">
        <v>566</v>
      </c>
      <c r="B475" s="34">
        <v>46091.326481481483</v>
      </c>
      <c r="C475" s="34" t="str">
        <f t="shared" si="20"/>
        <v>202603</v>
      </c>
      <c r="D475" s="35" t="s">
        <v>1014</v>
      </c>
      <c r="E475" s="36" t="s">
        <v>942</v>
      </c>
      <c r="F475" s="36" t="s">
        <v>1568</v>
      </c>
      <c r="G475" s="37" t="s">
        <v>2132</v>
      </c>
      <c r="H475" s="36" t="s">
        <v>954</v>
      </c>
      <c r="I475" s="35"/>
      <c r="J475" s="36" t="s">
        <v>945</v>
      </c>
      <c r="K475" s="33" t="s">
        <v>916</v>
      </c>
      <c r="L475" s="35" t="s">
        <v>916</v>
      </c>
      <c r="M475" s="36" t="s">
        <v>957</v>
      </c>
      <c r="N475" s="45">
        <v>46091.457638888889</v>
      </c>
      <c r="O475" s="36" t="s">
        <v>25</v>
      </c>
      <c r="P475" s="38">
        <v>0.13115740740000001</v>
      </c>
      <c r="Q475" s="39" t="s">
        <v>2133</v>
      </c>
      <c r="R475" s="35" t="s">
        <v>916</v>
      </c>
      <c r="S475" s="35" t="s">
        <v>2134</v>
      </c>
      <c r="T475" s="35" t="s">
        <v>1624</v>
      </c>
      <c r="U475" s="40">
        <v>46092</v>
      </c>
      <c r="V475" s="41">
        <v>46153.532743055555</v>
      </c>
      <c r="W475" s="40">
        <v>46091</v>
      </c>
      <c r="X475" s="35" t="s">
        <v>916</v>
      </c>
      <c r="Y475" s="35" t="s">
        <v>916</v>
      </c>
      <c r="Z475" s="35" t="s">
        <v>916</v>
      </c>
      <c r="AA475" s="38">
        <v>3.1477777776</v>
      </c>
      <c r="AB475" s="42" t="s">
        <v>916</v>
      </c>
      <c r="AC475" s="43" t="s">
        <v>916</v>
      </c>
      <c r="AD475" s="43" t="s">
        <v>916</v>
      </c>
      <c r="AE475" s="33" t="s">
        <v>916</v>
      </c>
      <c r="AF475" s="35" t="s">
        <v>916</v>
      </c>
      <c r="AG475" s="44">
        <v>492538.98333333328</v>
      </c>
      <c r="AH475" s="42" t="s">
        <v>916</v>
      </c>
      <c r="AI475" s="32" t="e">
        <f>VLOOKUP(A475,'4月明細'!B:B,1,0)</f>
        <v>#N/A</v>
      </c>
    </row>
    <row r="476" spans="1:35" ht="19.95" customHeight="1" x14ac:dyDescent="0.3">
      <c r="A476" s="33" t="s">
        <v>2135</v>
      </c>
      <c r="B476" s="34">
        <v>46090.673981481479</v>
      </c>
      <c r="C476" s="34" t="str">
        <f t="shared" si="20"/>
        <v>202603</v>
      </c>
      <c r="D476" s="35" t="s">
        <v>2032</v>
      </c>
      <c r="E476" s="36" t="s">
        <v>1199</v>
      </c>
      <c r="F476" s="36" t="s">
        <v>1433</v>
      </c>
      <c r="G476" s="37" t="s">
        <v>2136</v>
      </c>
      <c r="H476" s="36" t="s">
        <v>1114</v>
      </c>
      <c r="I476" s="35" t="s">
        <v>2137</v>
      </c>
      <c r="J476" s="36" t="s">
        <v>938</v>
      </c>
      <c r="K476" s="33" t="s">
        <v>916</v>
      </c>
      <c r="L476" s="35" t="s">
        <v>916</v>
      </c>
      <c r="M476" s="36" t="s">
        <v>1039</v>
      </c>
      <c r="N476" s="45">
        <v>46100.474305555559</v>
      </c>
      <c r="O476" s="36" t="s">
        <v>1797</v>
      </c>
      <c r="P476" s="38">
        <v>9.8003240741000006</v>
      </c>
      <c r="Q476" s="39" t="s">
        <v>2138</v>
      </c>
      <c r="R476" s="35" t="s">
        <v>916</v>
      </c>
      <c r="S476" s="35" t="s">
        <v>2139</v>
      </c>
      <c r="T476" s="35" t="s">
        <v>1624</v>
      </c>
      <c r="U476" s="40">
        <v>46091</v>
      </c>
      <c r="V476" s="41">
        <v>46153.532743055555</v>
      </c>
      <c r="W476" s="40">
        <v>46090</v>
      </c>
      <c r="X476" s="35" t="s">
        <v>916</v>
      </c>
      <c r="Y476" s="35" t="s">
        <v>916</v>
      </c>
      <c r="Z476" s="35" t="s">
        <v>916</v>
      </c>
      <c r="AA476" s="38">
        <v>235.20777777839999</v>
      </c>
      <c r="AB476" s="42" t="s">
        <v>916</v>
      </c>
      <c r="AC476" s="43" t="s">
        <v>916</v>
      </c>
      <c r="AD476" s="43" t="s">
        <v>916</v>
      </c>
      <c r="AE476" s="33" t="s">
        <v>916</v>
      </c>
      <c r="AF476" s="35" t="s">
        <v>916</v>
      </c>
      <c r="AG476" s="44">
        <v>492731.28333333333</v>
      </c>
      <c r="AH476" s="42" t="s">
        <v>916</v>
      </c>
      <c r="AI476" s="32" t="e">
        <f>VLOOKUP(A476,'4月明細'!B:B,1,0)</f>
        <v>#N/A</v>
      </c>
    </row>
    <row r="477" spans="1:35" ht="19.95" customHeight="1" x14ac:dyDescent="0.3">
      <c r="A477" s="33" t="s">
        <v>2140</v>
      </c>
      <c r="B477" s="34">
        <v>46090.672222222223</v>
      </c>
      <c r="C477" s="34" t="str">
        <f t="shared" si="20"/>
        <v>202603</v>
      </c>
      <c r="D477" s="35" t="s">
        <v>1653</v>
      </c>
      <c r="E477" s="36" t="s">
        <v>934</v>
      </c>
      <c r="F477" s="36" t="s">
        <v>1295</v>
      </c>
      <c r="G477" s="37" t="s">
        <v>2141</v>
      </c>
      <c r="H477" s="36" t="s">
        <v>1114</v>
      </c>
      <c r="I477" s="35"/>
      <c r="J477" s="36" t="s">
        <v>929</v>
      </c>
      <c r="K477" s="33" t="s">
        <v>916</v>
      </c>
      <c r="L477" s="35" t="s">
        <v>916</v>
      </c>
      <c r="M477" s="36" t="s">
        <v>916</v>
      </c>
      <c r="N477" s="36" t="s">
        <v>916</v>
      </c>
      <c r="O477" s="36" t="s">
        <v>939</v>
      </c>
      <c r="P477" s="38" t="s">
        <v>916</v>
      </c>
      <c r="Q477" s="36" t="s">
        <v>916</v>
      </c>
      <c r="R477" s="35" t="s">
        <v>916</v>
      </c>
      <c r="S477" s="35"/>
      <c r="T477" s="35" t="s">
        <v>1624</v>
      </c>
      <c r="U477" s="40">
        <v>46091</v>
      </c>
      <c r="V477" s="41">
        <v>46153.532743055555</v>
      </c>
      <c r="W477" s="40">
        <v>46090</v>
      </c>
      <c r="X477" s="40">
        <v>46153</v>
      </c>
      <c r="Y477" s="35" t="s">
        <v>916</v>
      </c>
      <c r="Z477" s="35" t="s">
        <v>916</v>
      </c>
      <c r="AA477" s="38">
        <v>0</v>
      </c>
      <c r="AB477" s="42" t="s">
        <v>916</v>
      </c>
      <c r="AC477" s="43" t="s">
        <v>916</v>
      </c>
      <c r="AD477" s="43" t="s">
        <v>916</v>
      </c>
      <c r="AE477" s="33" t="s">
        <v>916</v>
      </c>
      <c r="AF477" s="35" t="s">
        <v>916</v>
      </c>
      <c r="AG477" s="44">
        <v>0</v>
      </c>
      <c r="AH477" s="42" t="s">
        <v>916</v>
      </c>
      <c r="AI477" s="32" t="e">
        <f>VLOOKUP(A477,'4月明細'!B:B,1,0)</f>
        <v>#N/A</v>
      </c>
    </row>
    <row r="478" spans="1:35" ht="19.95" customHeight="1" x14ac:dyDescent="0.3">
      <c r="A478" s="33" t="s">
        <v>2142</v>
      </c>
      <c r="B478" s="34">
        <v>46090.67083333333</v>
      </c>
      <c r="C478" s="34" t="str">
        <f t="shared" si="20"/>
        <v>202603</v>
      </c>
      <c r="D478" s="35" t="s">
        <v>1653</v>
      </c>
      <c r="E478" s="36" t="s">
        <v>934</v>
      </c>
      <c r="F478" s="36" t="s">
        <v>1639</v>
      </c>
      <c r="G478" s="37" t="s">
        <v>2143</v>
      </c>
      <c r="H478" s="36" t="s">
        <v>1114</v>
      </c>
      <c r="I478" s="35"/>
      <c r="J478" s="36" t="s">
        <v>929</v>
      </c>
      <c r="K478" s="33" t="s">
        <v>916</v>
      </c>
      <c r="L478" s="35" t="s">
        <v>916</v>
      </c>
      <c r="M478" s="36" t="s">
        <v>916</v>
      </c>
      <c r="N478" s="36" t="s">
        <v>916</v>
      </c>
      <c r="O478" s="36" t="s">
        <v>939</v>
      </c>
      <c r="P478" s="38" t="s">
        <v>916</v>
      </c>
      <c r="Q478" s="36" t="s">
        <v>916</v>
      </c>
      <c r="R478" s="35" t="s">
        <v>916</v>
      </c>
      <c r="S478" s="35"/>
      <c r="T478" s="35" t="s">
        <v>1624</v>
      </c>
      <c r="U478" s="40">
        <v>46091</v>
      </c>
      <c r="V478" s="41">
        <v>46153.532743055555</v>
      </c>
      <c r="W478" s="40">
        <v>46090</v>
      </c>
      <c r="X478" s="40">
        <v>46153</v>
      </c>
      <c r="Y478" s="35" t="s">
        <v>916</v>
      </c>
      <c r="Z478" s="35" t="s">
        <v>916</v>
      </c>
      <c r="AA478" s="38">
        <v>0</v>
      </c>
      <c r="AB478" s="42" t="s">
        <v>916</v>
      </c>
      <c r="AC478" s="43" t="s">
        <v>916</v>
      </c>
      <c r="AD478" s="43" t="s">
        <v>916</v>
      </c>
      <c r="AE478" s="33" t="s">
        <v>916</v>
      </c>
      <c r="AF478" s="35" t="s">
        <v>916</v>
      </c>
      <c r="AG478" s="44">
        <v>0</v>
      </c>
      <c r="AH478" s="42" t="s">
        <v>916</v>
      </c>
      <c r="AI478" s="32" t="e">
        <f>VLOOKUP(A478,'4月明細'!B:B,1,0)</f>
        <v>#N/A</v>
      </c>
    </row>
    <row r="479" spans="1:35" ht="19.95" customHeight="1" x14ac:dyDescent="0.3">
      <c r="A479" s="33" t="s">
        <v>2144</v>
      </c>
      <c r="B479" s="34">
        <v>46090.668055555558</v>
      </c>
      <c r="C479" s="34" t="str">
        <f t="shared" si="20"/>
        <v>202603</v>
      </c>
      <c r="D479" s="35" t="s">
        <v>1653</v>
      </c>
      <c r="E479" s="36" t="s">
        <v>934</v>
      </c>
      <c r="F479" s="36" t="s">
        <v>1639</v>
      </c>
      <c r="G479" s="37" t="s">
        <v>2145</v>
      </c>
      <c r="H479" s="36" t="s">
        <v>928</v>
      </c>
      <c r="I479" s="35" t="s">
        <v>2146</v>
      </c>
      <c r="J479" s="36" t="s">
        <v>929</v>
      </c>
      <c r="K479" s="33" t="s">
        <v>916</v>
      </c>
      <c r="L479" s="35" t="s">
        <v>916</v>
      </c>
      <c r="M479" s="36" t="s">
        <v>916</v>
      </c>
      <c r="N479" s="36" t="s">
        <v>916</v>
      </c>
      <c r="O479" s="36" t="s">
        <v>939</v>
      </c>
      <c r="P479" s="38" t="s">
        <v>916</v>
      </c>
      <c r="Q479" s="36" t="s">
        <v>916</v>
      </c>
      <c r="R479" s="35" t="s">
        <v>916</v>
      </c>
      <c r="S479" s="35"/>
      <c r="T479" s="35" t="s">
        <v>1624</v>
      </c>
      <c r="U479" s="40">
        <v>46091</v>
      </c>
      <c r="V479" s="41">
        <v>46153.532743055555</v>
      </c>
      <c r="W479" s="40">
        <v>46090</v>
      </c>
      <c r="X479" s="40">
        <v>46153</v>
      </c>
      <c r="Y479" s="35" t="s">
        <v>916</v>
      </c>
      <c r="Z479" s="35" t="s">
        <v>916</v>
      </c>
      <c r="AA479" s="38">
        <v>0</v>
      </c>
      <c r="AB479" s="42" t="s">
        <v>916</v>
      </c>
      <c r="AC479" s="43" t="s">
        <v>916</v>
      </c>
      <c r="AD479" s="43" t="s">
        <v>916</v>
      </c>
      <c r="AE479" s="33" t="s">
        <v>916</v>
      </c>
      <c r="AF479" s="35" t="s">
        <v>916</v>
      </c>
      <c r="AG479" s="44">
        <v>0</v>
      </c>
      <c r="AH479" s="42" t="s">
        <v>916</v>
      </c>
      <c r="AI479" s="32" t="e">
        <f>VLOOKUP(A479,'4月明細'!B:B,1,0)</f>
        <v>#N/A</v>
      </c>
    </row>
    <row r="480" spans="1:35" ht="19.95" customHeight="1" x14ac:dyDescent="0.3">
      <c r="A480" s="33" t="s">
        <v>565</v>
      </c>
      <c r="B480" s="34">
        <v>46090.665972222225</v>
      </c>
      <c r="C480" s="34" t="str">
        <f t="shared" si="20"/>
        <v>202603</v>
      </c>
      <c r="D480" s="35" t="s">
        <v>1653</v>
      </c>
      <c r="E480" s="36" t="s">
        <v>934</v>
      </c>
      <c r="F480" s="36" t="s">
        <v>1584</v>
      </c>
      <c r="G480" s="37" t="s">
        <v>1660</v>
      </c>
      <c r="H480" s="36" t="s">
        <v>1114</v>
      </c>
      <c r="I480" s="35" t="s">
        <v>2147</v>
      </c>
      <c r="J480" s="36" t="s">
        <v>929</v>
      </c>
      <c r="K480" s="33" t="s">
        <v>916</v>
      </c>
      <c r="L480" s="35" t="s">
        <v>916</v>
      </c>
      <c r="M480" s="36" t="s">
        <v>957</v>
      </c>
      <c r="N480" s="45">
        <v>46091.726388888892</v>
      </c>
      <c r="O480" s="36" t="s">
        <v>25</v>
      </c>
      <c r="P480" s="38">
        <v>1.0604166666999999</v>
      </c>
      <c r="Q480" s="39" t="s">
        <v>2130</v>
      </c>
      <c r="R480" s="35" t="s">
        <v>916</v>
      </c>
      <c r="S480" s="35" t="s">
        <v>2131</v>
      </c>
      <c r="T480" s="35" t="s">
        <v>1624</v>
      </c>
      <c r="U480" s="40">
        <v>46091</v>
      </c>
      <c r="V480" s="41">
        <v>46153.532743055555</v>
      </c>
      <c r="W480" s="40">
        <v>46090</v>
      </c>
      <c r="X480" s="35" t="s">
        <v>916</v>
      </c>
      <c r="Y480" s="35" t="s">
        <v>916</v>
      </c>
      <c r="Z480" s="35" t="s">
        <v>916</v>
      </c>
      <c r="AA480" s="38">
        <v>25.450000000799999</v>
      </c>
      <c r="AB480" s="42" t="s">
        <v>916</v>
      </c>
      <c r="AC480" s="43" t="s">
        <v>916</v>
      </c>
      <c r="AD480" s="43" t="s">
        <v>916</v>
      </c>
      <c r="AE480" s="33" t="s">
        <v>916</v>
      </c>
      <c r="AF480" s="35" t="s">
        <v>916</v>
      </c>
      <c r="AG480" s="44">
        <v>492545.43333333329</v>
      </c>
      <c r="AH480" s="42" t="s">
        <v>916</v>
      </c>
      <c r="AI480" s="32" t="e">
        <f>VLOOKUP(A480,'4月明細'!B:B,1,0)</f>
        <v>#N/A</v>
      </c>
    </row>
    <row r="481" spans="1:37" ht="19.95" customHeight="1" x14ac:dyDescent="0.3">
      <c r="A481" s="33" t="s">
        <v>2148</v>
      </c>
      <c r="B481" s="34">
        <v>46090.665277777778</v>
      </c>
      <c r="C481" s="34" t="str">
        <f t="shared" si="20"/>
        <v>202603</v>
      </c>
      <c r="D481" s="35" t="s">
        <v>1653</v>
      </c>
      <c r="E481" s="36" t="s">
        <v>934</v>
      </c>
      <c r="F481" s="36" t="s">
        <v>1584</v>
      </c>
      <c r="G481" s="37" t="s">
        <v>2145</v>
      </c>
      <c r="H481" s="36" t="s">
        <v>928</v>
      </c>
      <c r="I481" s="35" t="s">
        <v>2149</v>
      </c>
      <c r="J481" s="36" t="s">
        <v>929</v>
      </c>
      <c r="K481" s="33" t="s">
        <v>916</v>
      </c>
      <c r="L481" s="35" t="s">
        <v>916</v>
      </c>
      <c r="M481" s="36" t="s">
        <v>916</v>
      </c>
      <c r="N481" s="36" t="s">
        <v>916</v>
      </c>
      <c r="O481" s="36" t="s">
        <v>939</v>
      </c>
      <c r="P481" s="38" t="s">
        <v>916</v>
      </c>
      <c r="Q481" s="36" t="s">
        <v>916</v>
      </c>
      <c r="R481" s="35" t="s">
        <v>916</v>
      </c>
      <c r="S481" s="35"/>
      <c r="T481" s="35" t="s">
        <v>1624</v>
      </c>
      <c r="U481" s="40">
        <v>46091</v>
      </c>
      <c r="V481" s="41">
        <v>46153.532743055555</v>
      </c>
      <c r="W481" s="40">
        <v>46090</v>
      </c>
      <c r="X481" s="40">
        <v>46153</v>
      </c>
      <c r="Y481" s="35" t="s">
        <v>916</v>
      </c>
      <c r="Z481" s="35" t="s">
        <v>916</v>
      </c>
      <c r="AA481" s="38">
        <v>0</v>
      </c>
      <c r="AB481" s="42" t="s">
        <v>916</v>
      </c>
      <c r="AC481" s="43" t="s">
        <v>916</v>
      </c>
      <c r="AD481" s="43" t="s">
        <v>916</v>
      </c>
      <c r="AE481" s="33" t="s">
        <v>916</v>
      </c>
      <c r="AF481" s="35" t="s">
        <v>916</v>
      </c>
      <c r="AG481" s="44">
        <v>0</v>
      </c>
      <c r="AH481" s="42" t="s">
        <v>916</v>
      </c>
      <c r="AI481" s="32" t="e">
        <f>VLOOKUP(A481,'4月明細'!B:B,1,0)</f>
        <v>#N/A</v>
      </c>
    </row>
    <row r="482" spans="1:37" ht="19.95" customHeight="1" x14ac:dyDescent="0.3">
      <c r="A482" s="33" t="s">
        <v>2150</v>
      </c>
      <c r="B482" s="34">
        <v>46090.661111111112</v>
      </c>
      <c r="C482" s="34" t="str">
        <f t="shared" si="20"/>
        <v>202603</v>
      </c>
      <c r="D482" s="35" t="s">
        <v>1653</v>
      </c>
      <c r="E482" s="36" t="s">
        <v>934</v>
      </c>
      <c r="F482" s="36" t="s">
        <v>981</v>
      </c>
      <c r="G482" s="37" t="s">
        <v>2151</v>
      </c>
      <c r="H482" s="36" t="s">
        <v>928</v>
      </c>
      <c r="I482" s="35" t="s">
        <v>2152</v>
      </c>
      <c r="J482" s="36" t="s">
        <v>929</v>
      </c>
      <c r="K482" s="33" t="s">
        <v>916</v>
      </c>
      <c r="L482" s="35" t="s">
        <v>916</v>
      </c>
      <c r="M482" s="36" t="s">
        <v>916</v>
      </c>
      <c r="N482" s="36" t="s">
        <v>916</v>
      </c>
      <c r="O482" s="36" t="s">
        <v>939</v>
      </c>
      <c r="P482" s="38" t="s">
        <v>916</v>
      </c>
      <c r="Q482" s="36" t="s">
        <v>916</v>
      </c>
      <c r="R482" s="35" t="s">
        <v>916</v>
      </c>
      <c r="S482" s="35"/>
      <c r="T482" s="35" t="s">
        <v>1624</v>
      </c>
      <c r="U482" s="40">
        <v>46091</v>
      </c>
      <c r="V482" s="41">
        <v>46153.532743055555</v>
      </c>
      <c r="W482" s="40">
        <v>46090</v>
      </c>
      <c r="X482" s="40">
        <v>46153</v>
      </c>
      <c r="Y482" s="35" t="s">
        <v>916</v>
      </c>
      <c r="Z482" s="35" t="s">
        <v>916</v>
      </c>
      <c r="AA482" s="38">
        <v>0</v>
      </c>
      <c r="AB482" s="42" t="s">
        <v>916</v>
      </c>
      <c r="AC482" s="43" t="s">
        <v>916</v>
      </c>
      <c r="AD482" s="43" t="s">
        <v>916</v>
      </c>
      <c r="AE482" s="33" t="s">
        <v>916</v>
      </c>
      <c r="AF482" s="35" t="s">
        <v>916</v>
      </c>
      <c r="AG482" s="44">
        <v>0</v>
      </c>
      <c r="AH482" s="42" t="s">
        <v>916</v>
      </c>
      <c r="AI482" s="32" t="e">
        <f>VLOOKUP(A482,'4月明細'!B:B,1,0)</f>
        <v>#N/A</v>
      </c>
    </row>
    <row r="483" spans="1:37" ht="19.95" customHeight="1" x14ac:dyDescent="0.3">
      <c r="A483" s="33" t="s">
        <v>2153</v>
      </c>
      <c r="B483" s="34">
        <v>46090.654861111114</v>
      </c>
      <c r="C483" s="34" t="str">
        <f t="shared" si="20"/>
        <v>202603</v>
      </c>
      <c r="D483" s="35" t="s">
        <v>1653</v>
      </c>
      <c r="E483" s="36" t="s">
        <v>934</v>
      </c>
      <c r="F483" s="36" t="s">
        <v>981</v>
      </c>
      <c r="G483" s="37" t="s">
        <v>1660</v>
      </c>
      <c r="H483" s="36" t="s">
        <v>1114</v>
      </c>
      <c r="I483" s="35" t="s">
        <v>2154</v>
      </c>
      <c r="J483" s="36" t="s">
        <v>929</v>
      </c>
      <c r="K483" s="33" t="s">
        <v>916</v>
      </c>
      <c r="L483" s="35" t="s">
        <v>916</v>
      </c>
      <c r="M483" s="36" t="s">
        <v>916</v>
      </c>
      <c r="N483" s="36" t="s">
        <v>916</v>
      </c>
      <c r="O483" s="36" t="s">
        <v>939</v>
      </c>
      <c r="P483" s="38" t="s">
        <v>916</v>
      </c>
      <c r="Q483" s="36" t="s">
        <v>916</v>
      </c>
      <c r="R483" s="35" t="s">
        <v>916</v>
      </c>
      <c r="S483" s="35"/>
      <c r="T483" s="35" t="s">
        <v>1624</v>
      </c>
      <c r="U483" s="40">
        <v>46091</v>
      </c>
      <c r="V483" s="41">
        <v>46153.532743055555</v>
      </c>
      <c r="W483" s="40">
        <v>46090</v>
      </c>
      <c r="X483" s="40">
        <v>46153</v>
      </c>
      <c r="Y483" s="35" t="s">
        <v>916</v>
      </c>
      <c r="Z483" s="35" t="s">
        <v>916</v>
      </c>
      <c r="AA483" s="38">
        <v>0</v>
      </c>
      <c r="AB483" s="42" t="s">
        <v>916</v>
      </c>
      <c r="AC483" s="43" t="s">
        <v>916</v>
      </c>
      <c r="AD483" s="43" t="s">
        <v>916</v>
      </c>
      <c r="AE483" s="33" t="s">
        <v>916</v>
      </c>
      <c r="AF483" s="35" t="s">
        <v>916</v>
      </c>
      <c r="AG483" s="44">
        <v>0</v>
      </c>
      <c r="AH483" s="42" t="s">
        <v>916</v>
      </c>
      <c r="AI483" s="32" t="e">
        <f>VLOOKUP(A483,'4月明細'!B:B,1,0)</f>
        <v>#N/A</v>
      </c>
    </row>
    <row r="484" spans="1:37" ht="19.95" customHeight="1" x14ac:dyDescent="0.3">
      <c r="A484" s="33" t="s">
        <v>2155</v>
      </c>
      <c r="B484" s="34">
        <v>46090.648611111108</v>
      </c>
      <c r="C484" s="34" t="str">
        <f t="shared" si="20"/>
        <v>202603</v>
      </c>
      <c r="D484" s="35" t="s">
        <v>1653</v>
      </c>
      <c r="E484" s="36" t="s">
        <v>934</v>
      </c>
      <c r="F484" s="36" t="s">
        <v>1461</v>
      </c>
      <c r="G484" s="37" t="s">
        <v>2048</v>
      </c>
      <c r="H484" s="36" t="s">
        <v>928</v>
      </c>
      <c r="I484" s="35" t="s">
        <v>2156</v>
      </c>
      <c r="J484" s="36" t="s">
        <v>929</v>
      </c>
      <c r="K484" s="33" t="s">
        <v>916</v>
      </c>
      <c r="L484" s="35" t="s">
        <v>916</v>
      </c>
      <c r="M484" s="36" t="s">
        <v>916</v>
      </c>
      <c r="N484" s="36" t="s">
        <v>916</v>
      </c>
      <c r="O484" s="36" t="s">
        <v>939</v>
      </c>
      <c r="P484" s="38" t="s">
        <v>916</v>
      </c>
      <c r="Q484" s="36" t="s">
        <v>916</v>
      </c>
      <c r="R484" s="35" t="s">
        <v>916</v>
      </c>
      <c r="S484" s="35"/>
      <c r="T484" s="35" t="s">
        <v>1624</v>
      </c>
      <c r="U484" s="40">
        <v>46091</v>
      </c>
      <c r="V484" s="41">
        <v>46153.532743055555</v>
      </c>
      <c r="W484" s="40">
        <v>46090</v>
      </c>
      <c r="X484" s="40">
        <v>46153</v>
      </c>
      <c r="Y484" s="35" t="s">
        <v>916</v>
      </c>
      <c r="Z484" s="35" t="s">
        <v>916</v>
      </c>
      <c r="AA484" s="38">
        <v>0</v>
      </c>
      <c r="AB484" s="42" t="s">
        <v>916</v>
      </c>
      <c r="AC484" s="43" t="s">
        <v>916</v>
      </c>
      <c r="AD484" s="43" t="s">
        <v>916</v>
      </c>
      <c r="AE484" s="33" t="s">
        <v>916</v>
      </c>
      <c r="AF484" s="35" t="s">
        <v>916</v>
      </c>
      <c r="AG484" s="44">
        <v>0</v>
      </c>
      <c r="AH484" s="42" t="s">
        <v>916</v>
      </c>
      <c r="AI484" s="32" t="e">
        <f>VLOOKUP(A484,'4月明細'!B:B,1,0)</f>
        <v>#N/A</v>
      </c>
    </row>
    <row r="485" spans="1:37" ht="19.95" customHeight="1" x14ac:dyDescent="0.3">
      <c r="A485" s="33" t="s">
        <v>2157</v>
      </c>
      <c r="B485" s="34">
        <v>46090.646527777775</v>
      </c>
      <c r="C485" s="34" t="str">
        <f t="shared" si="20"/>
        <v>202603</v>
      </c>
      <c r="D485" s="35" t="s">
        <v>1653</v>
      </c>
      <c r="E485" s="36" t="s">
        <v>934</v>
      </c>
      <c r="F485" s="36" t="s">
        <v>1461</v>
      </c>
      <c r="G485" s="37" t="s">
        <v>2145</v>
      </c>
      <c r="H485" s="36" t="s">
        <v>928</v>
      </c>
      <c r="I485" s="35" t="s">
        <v>2158</v>
      </c>
      <c r="J485" s="36" t="s">
        <v>929</v>
      </c>
      <c r="K485" s="33" t="s">
        <v>916</v>
      </c>
      <c r="L485" s="35" t="s">
        <v>916</v>
      </c>
      <c r="M485" s="36" t="s">
        <v>916</v>
      </c>
      <c r="N485" s="36" t="s">
        <v>916</v>
      </c>
      <c r="O485" s="36" t="s">
        <v>939</v>
      </c>
      <c r="P485" s="38" t="s">
        <v>916</v>
      </c>
      <c r="Q485" s="36" t="s">
        <v>916</v>
      </c>
      <c r="R485" s="35" t="s">
        <v>916</v>
      </c>
      <c r="S485" s="35"/>
      <c r="T485" s="35" t="s">
        <v>1624</v>
      </c>
      <c r="U485" s="40">
        <v>46091</v>
      </c>
      <c r="V485" s="41">
        <v>46153.532743055555</v>
      </c>
      <c r="W485" s="40">
        <v>46090</v>
      </c>
      <c r="X485" s="40">
        <v>46153</v>
      </c>
      <c r="Y485" s="35" t="s">
        <v>916</v>
      </c>
      <c r="Z485" s="35" t="s">
        <v>916</v>
      </c>
      <c r="AA485" s="38">
        <v>0</v>
      </c>
      <c r="AB485" s="42" t="s">
        <v>916</v>
      </c>
      <c r="AC485" s="43" t="s">
        <v>916</v>
      </c>
      <c r="AD485" s="43" t="s">
        <v>916</v>
      </c>
      <c r="AE485" s="33" t="s">
        <v>916</v>
      </c>
      <c r="AF485" s="35" t="s">
        <v>916</v>
      </c>
      <c r="AG485" s="44">
        <v>0</v>
      </c>
      <c r="AH485" s="42" t="s">
        <v>916</v>
      </c>
      <c r="AI485" s="32" t="e">
        <f>VLOOKUP(A485,'4月明細'!B:B,1,0)</f>
        <v>#N/A</v>
      </c>
    </row>
    <row r="486" spans="1:37" ht="19.95" customHeight="1" x14ac:dyDescent="0.3">
      <c r="A486" s="33" t="s">
        <v>2159</v>
      </c>
      <c r="B486" s="34">
        <v>46090.643750000003</v>
      </c>
      <c r="C486" s="34" t="str">
        <f t="shared" si="20"/>
        <v>202603</v>
      </c>
      <c r="D486" s="35" t="s">
        <v>1653</v>
      </c>
      <c r="E486" s="36" t="s">
        <v>934</v>
      </c>
      <c r="F486" s="36" t="s">
        <v>1213</v>
      </c>
      <c r="G486" s="37" t="s">
        <v>1660</v>
      </c>
      <c r="H486" s="36" t="s">
        <v>928</v>
      </c>
      <c r="I486" s="35" t="s">
        <v>2160</v>
      </c>
      <c r="J486" s="36" t="s">
        <v>929</v>
      </c>
      <c r="K486" s="33" t="s">
        <v>916</v>
      </c>
      <c r="L486" s="35" t="s">
        <v>916</v>
      </c>
      <c r="M486" s="36" t="s">
        <v>916</v>
      </c>
      <c r="N486" s="36" t="s">
        <v>916</v>
      </c>
      <c r="O486" s="36" t="s">
        <v>939</v>
      </c>
      <c r="P486" s="38" t="s">
        <v>916</v>
      </c>
      <c r="Q486" s="36" t="s">
        <v>916</v>
      </c>
      <c r="R486" s="35" t="s">
        <v>916</v>
      </c>
      <c r="S486" s="35"/>
      <c r="T486" s="35" t="s">
        <v>1624</v>
      </c>
      <c r="U486" s="40">
        <v>46091</v>
      </c>
      <c r="V486" s="41">
        <v>46153.532743055555</v>
      </c>
      <c r="W486" s="40">
        <v>46090</v>
      </c>
      <c r="X486" s="40">
        <v>46153</v>
      </c>
      <c r="Y486" s="35" t="s">
        <v>916</v>
      </c>
      <c r="Z486" s="35" t="s">
        <v>916</v>
      </c>
      <c r="AA486" s="38">
        <v>0</v>
      </c>
      <c r="AB486" s="42" t="s">
        <v>916</v>
      </c>
      <c r="AC486" s="43" t="s">
        <v>916</v>
      </c>
      <c r="AD486" s="43" t="s">
        <v>916</v>
      </c>
      <c r="AE486" s="33" t="s">
        <v>916</v>
      </c>
      <c r="AF486" s="35" t="s">
        <v>916</v>
      </c>
      <c r="AG486" s="44">
        <v>0</v>
      </c>
      <c r="AH486" s="42" t="s">
        <v>916</v>
      </c>
      <c r="AI486" s="32" t="e">
        <f>VLOOKUP(A486,'4月明細'!B:B,1,0)</f>
        <v>#N/A</v>
      </c>
    </row>
    <row r="487" spans="1:37" ht="19.95" customHeight="1" x14ac:dyDescent="0.3">
      <c r="A487" s="33" t="s">
        <v>564</v>
      </c>
      <c r="B487" s="34">
        <v>46090.642777777779</v>
      </c>
      <c r="C487" s="34" t="str">
        <f t="shared" si="20"/>
        <v>202603</v>
      </c>
      <c r="D487" s="35" t="s">
        <v>909</v>
      </c>
      <c r="E487" s="36" t="s">
        <v>910</v>
      </c>
      <c r="F487" s="36" t="s">
        <v>1260</v>
      </c>
      <c r="G487" s="37" t="s">
        <v>2161</v>
      </c>
      <c r="H487" s="36" t="s">
        <v>928</v>
      </c>
      <c r="I487" s="35" t="s">
        <v>2162</v>
      </c>
      <c r="J487" s="36" t="s">
        <v>914</v>
      </c>
      <c r="K487" s="33" t="s">
        <v>916</v>
      </c>
      <c r="L487" s="35" t="s">
        <v>916</v>
      </c>
      <c r="M487" s="36" t="s">
        <v>957</v>
      </c>
      <c r="N487" s="45">
        <v>46090.701388888891</v>
      </c>
      <c r="O487" s="36" t="s">
        <v>25</v>
      </c>
      <c r="P487" s="38">
        <v>5.8611111100000002E-2</v>
      </c>
      <c r="Q487" s="39" t="s">
        <v>2163</v>
      </c>
      <c r="R487" s="35" t="s">
        <v>916</v>
      </c>
      <c r="S487" s="35" t="s">
        <v>2164</v>
      </c>
      <c r="T487" s="35" t="s">
        <v>1624</v>
      </c>
      <c r="U487" s="40">
        <v>46091</v>
      </c>
      <c r="V487" s="41">
        <v>46153.532743055555</v>
      </c>
      <c r="W487" s="40">
        <v>46090</v>
      </c>
      <c r="X487" s="35" t="s">
        <v>916</v>
      </c>
      <c r="Y487" s="35" t="s">
        <v>916</v>
      </c>
      <c r="Z487" s="35" t="s">
        <v>916</v>
      </c>
      <c r="AA487" s="38">
        <v>1.4066666664</v>
      </c>
      <c r="AB487" s="42" t="s">
        <v>916</v>
      </c>
      <c r="AC487" s="43" t="s">
        <v>916</v>
      </c>
      <c r="AD487" s="43" t="s">
        <v>916</v>
      </c>
      <c r="AE487" s="33" t="s">
        <v>916</v>
      </c>
      <c r="AF487" s="35" t="s">
        <v>916</v>
      </c>
      <c r="AG487" s="44">
        <v>0</v>
      </c>
      <c r="AH487" s="42" t="s">
        <v>916</v>
      </c>
      <c r="AI487" s="32" t="e">
        <f>VLOOKUP(A487,'4月明細'!B:B,1,0)</f>
        <v>#N/A</v>
      </c>
    </row>
    <row r="488" spans="1:37" ht="19.95" customHeight="1" x14ac:dyDescent="0.3">
      <c r="A488" s="33" t="s">
        <v>563</v>
      </c>
      <c r="B488" s="34">
        <v>46090.639560185184</v>
      </c>
      <c r="C488" s="34" t="str">
        <f t="shared" si="20"/>
        <v>202603</v>
      </c>
      <c r="D488" s="35" t="s">
        <v>909</v>
      </c>
      <c r="E488" s="36" t="s">
        <v>910</v>
      </c>
      <c r="F488" s="36" t="s">
        <v>2165</v>
      </c>
      <c r="G488" s="37" t="s">
        <v>2166</v>
      </c>
      <c r="H488" s="36" t="s">
        <v>954</v>
      </c>
      <c r="I488" s="35"/>
      <c r="J488" s="36" t="s">
        <v>929</v>
      </c>
      <c r="K488" s="33" t="s">
        <v>916</v>
      </c>
      <c r="L488" s="35" t="s">
        <v>916</v>
      </c>
      <c r="M488" s="36" t="s">
        <v>957</v>
      </c>
      <c r="N488" s="45">
        <v>46090.70208333333</v>
      </c>
      <c r="O488" s="36" t="s">
        <v>25</v>
      </c>
      <c r="P488" s="38">
        <v>6.2523148099999995E-2</v>
      </c>
      <c r="Q488" s="39" t="s">
        <v>2167</v>
      </c>
      <c r="R488" s="35" t="s">
        <v>916</v>
      </c>
      <c r="S488" s="35" t="s">
        <v>2168</v>
      </c>
      <c r="T488" s="35" t="s">
        <v>1624</v>
      </c>
      <c r="U488" s="40">
        <v>46091</v>
      </c>
      <c r="V488" s="41">
        <v>46153.532743055555</v>
      </c>
      <c r="W488" s="40">
        <v>46090</v>
      </c>
      <c r="X488" s="35" t="s">
        <v>916</v>
      </c>
      <c r="Y488" s="35" t="s">
        <v>916</v>
      </c>
      <c r="Z488" s="35" t="s">
        <v>916</v>
      </c>
      <c r="AA488" s="38">
        <v>1.5005555544</v>
      </c>
      <c r="AB488" s="42" t="s">
        <v>916</v>
      </c>
      <c r="AC488" s="43" t="s">
        <v>916</v>
      </c>
      <c r="AD488" s="43" t="s">
        <v>916</v>
      </c>
      <c r="AE488" s="33" t="s">
        <v>916</v>
      </c>
      <c r="AF488" s="35" t="s">
        <v>916</v>
      </c>
      <c r="AG488" s="44">
        <v>0</v>
      </c>
      <c r="AH488" s="42" t="s">
        <v>916</v>
      </c>
      <c r="AI488" s="32" t="e">
        <f>VLOOKUP(A488,'4月明細'!B:B,1,0)</f>
        <v>#N/A</v>
      </c>
    </row>
    <row r="489" spans="1:37" ht="19.95" customHeight="1" x14ac:dyDescent="0.3">
      <c r="A489" s="33" t="s">
        <v>708</v>
      </c>
      <c r="B489" s="34">
        <v>46090.522349537037</v>
      </c>
      <c r="C489" s="34" t="str">
        <f t="shared" si="20"/>
        <v>202603</v>
      </c>
      <c r="D489" s="35" t="s">
        <v>986</v>
      </c>
      <c r="E489" s="36" t="s">
        <v>910</v>
      </c>
      <c r="F489" s="36" t="s">
        <v>2169</v>
      </c>
      <c r="G489" s="37" t="s">
        <v>2170</v>
      </c>
      <c r="H489" s="36" t="s">
        <v>928</v>
      </c>
      <c r="I489" s="35"/>
      <c r="J489" s="36" t="s">
        <v>929</v>
      </c>
      <c r="K489" s="33" t="s">
        <v>916</v>
      </c>
      <c r="L489" s="35" t="s">
        <v>916</v>
      </c>
      <c r="M489" s="36" t="s">
        <v>1135</v>
      </c>
      <c r="N489" s="45">
        <v>46125.706250000003</v>
      </c>
      <c r="O489" s="36" t="s">
        <v>25</v>
      </c>
      <c r="P489" s="38">
        <v>35.183900463000001</v>
      </c>
      <c r="Q489" s="39" t="s">
        <v>2171</v>
      </c>
      <c r="R489" s="35" t="s">
        <v>916</v>
      </c>
      <c r="S489" s="35"/>
      <c r="T489" s="35" t="s">
        <v>1624</v>
      </c>
      <c r="U489" s="40">
        <v>46091</v>
      </c>
      <c r="V489" s="41">
        <v>46153.532743055555</v>
      </c>
      <c r="W489" s="40">
        <v>46090</v>
      </c>
      <c r="X489" s="35" t="s">
        <v>916</v>
      </c>
      <c r="Y489" s="35" t="s">
        <v>916</v>
      </c>
      <c r="Z489" s="35" t="s">
        <v>916</v>
      </c>
      <c r="AA489" s="38">
        <v>844.41361111200001</v>
      </c>
      <c r="AB489" s="42" t="s">
        <v>916</v>
      </c>
      <c r="AC489" s="43" t="s">
        <v>916</v>
      </c>
      <c r="AD489" s="43" t="s">
        <v>916</v>
      </c>
      <c r="AE489" s="33" t="s">
        <v>916</v>
      </c>
      <c r="AF489" s="35" t="s">
        <v>916</v>
      </c>
      <c r="AG489" s="44">
        <v>0</v>
      </c>
      <c r="AH489" s="42" t="s">
        <v>916</v>
      </c>
      <c r="AI489" s="32" t="str">
        <f>VLOOKUP(A489,'4月明細'!B:B,1,0)</f>
        <v>20260309-004</v>
      </c>
      <c r="AJ489" s="32">
        <f>VLOOKUP(A489,'4月明細'!B:I,8,0)</f>
        <v>35.18</v>
      </c>
      <c r="AK489" s="47">
        <f>AJ489-P489</f>
        <v>-3.9004630000007978E-3</v>
      </c>
    </row>
    <row r="490" spans="1:37" ht="19.95" customHeight="1" x14ac:dyDescent="0.3">
      <c r="A490" s="33" t="s">
        <v>562</v>
      </c>
      <c r="B490" s="34">
        <v>46090.503449074073</v>
      </c>
      <c r="C490" s="34" t="str">
        <f t="shared" si="20"/>
        <v>202603</v>
      </c>
      <c r="D490" s="35" t="s">
        <v>909</v>
      </c>
      <c r="E490" s="36" t="s">
        <v>910</v>
      </c>
      <c r="F490" s="36" t="s">
        <v>1419</v>
      </c>
      <c r="G490" s="37" t="s">
        <v>1420</v>
      </c>
      <c r="H490" s="36" t="s">
        <v>928</v>
      </c>
      <c r="I490" s="35" t="s">
        <v>2172</v>
      </c>
      <c r="J490" s="36" t="s">
        <v>914</v>
      </c>
      <c r="K490" s="33" t="s">
        <v>916</v>
      </c>
      <c r="L490" s="35" t="s">
        <v>916</v>
      </c>
      <c r="M490" s="36" t="s">
        <v>957</v>
      </c>
      <c r="N490" s="45">
        <v>46090.70208333333</v>
      </c>
      <c r="O490" s="36" t="s">
        <v>25</v>
      </c>
      <c r="P490" s="38">
        <v>0.1986342593</v>
      </c>
      <c r="Q490" s="39" t="s">
        <v>2173</v>
      </c>
      <c r="R490" s="35" t="s">
        <v>916</v>
      </c>
      <c r="S490" s="35" t="s">
        <v>2174</v>
      </c>
      <c r="T490" s="35" t="s">
        <v>1624</v>
      </c>
      <c r="U490" s="40">
        <v>46091</v>
      </c>
      <c r="V490" s="41">
        <v>46153.532743055555</v>
      </c>
      <c r="W490" s="40">
        <v>46090</v>
      </c>
      <c r="X490" s="35" t="s">
        <v>916</v>
      </c>
      <c r="Y490" s="35" t="s">
        <v>916</v>
      </c>
      <c r="Z490" s="35" t="s">
        <v>916</v>
      </c>
      <c r="AA490" s="38">
        <v>4.7672222232000001</v>
      </c>
      <c r="AB490" s="42" t="s">
        <v>916</v>
      </c>
      <c r="AC490" s="43" t="s">
        <v>916</v>
      </c>
      <c r="AD490" s="43" t="s">
        <v>916</v>
      </c>
      <c r="AE490" s="33" t="s">
        <v>916</v>
      </c>
      <c r="AF490" s="35" t="s">
        <v>916</v>
      </c>
      <c r="AG490" s="44">
        <v>0</v>
      </c>
      <c r="AH490" s="42" t="s">
        <v>916</v>
      </c>
      <c r="AI490" s="32" t="e">
        <f>VLOOKUP(A490,'4月明細'!B:B,1,0)</f>
        <v>#N/A</v>
      </c>
    </row>
    <row r="491" spans="1:37" ht="19.95" customHeight="1" x14ac:dyDescent="0.3">
      <c r="A491" s="33" t="s">
        <v>2175</v>
      </c>
      <c r="B491" s="34">
        <v>46090.502939814818</v>
      </c>
      <c r="C491" s="34" t="str">
        <f t="shared" si="20"/>
        <v>202603</v>
      </c>
      <c r="D491" s="35" t="s">
        <v>986</v>
      </c>
      <c r="E491" s="36" t="s">
        <v>910</v>
      </c>
      <c r="F491" s="36" t="s">
        <v>972</v>
      </c>
      <c r="G491" s="37" t="s">
        <v>2176</v>
      </c>
      <c r="H491" s="36" t="s">
        <v>928</v>
      </c>
      <c r="I491" s="35"/>
      <c r="J491" s="36" t="s">
        <v>929</v>
      </c>
      <c r="K491" s="33" t="s">
        <v>916</v>
      </c>
      <c r="L491" s="35" t="s">
        <v>916</v>
      </c>
      <c r="M491" s="36" t="s">
        <v>923</v>
      </c>
      <c r="N491" s="45">
        <v>46099.728472222225</v>
      </c>
      <c r="O491" s="36" t="s">
        <v>1920</v>
      </c>
      <c r="P491" s="38">
        <v>9.2255324073999994</v>
      </c>
      <c r="Q491" s="39" t="s">
        <v>2177</v>
      </c>
      <c r="R491" s="35" t="s">
        <v>916</v>
      </c>
      <c r="S491" s="35"/>
      <c r="T491" s="35" t="s">
        <v>1624</v>
      </c>
      <c r="U491" s="40">
        <v>46091</v>
      </c>
      <c r="V491" s="41">
        <v>46153.532743055555</v>
      </c>
      <c r="W491" s="40">
        <v>46090</v>
      </c>
      <c r="X491" s="35" t="s">
        <v>916</v>
      </c>
      <c r="Y491" s="35" t="s">
        <v>916</v>
      </c>
      <c r="Z491" s="35" t="s">
        <v>916</v>
      </c>
      <c r="AA491" s="38">
        <v>221.41277777760001</v>
      </c>
      <c r="AB491" s="42" t="s">
        <v>916</v>
      </c>
      <c r="AC491" s="43" t="s">
        <v>916</v>
      </c>
      <c r="AD491" s="43" t="s">
        <v>916</v>
      </c>
      <c r="AE491" s="33" t="s">
        <v>916</v>
      </c>
      <c r="AF491" s="35" t="s">
        <v>916</v>
      </c>
      <c r="AG491" s="44">
        <v>0</v>
      </c>
      <c r="AH491" s="42" t="s">
        <v>916</v>
      </c>
      <c r="AI491" s="32" t="e">
        <f>VLOOKUP(A491,'4月明細'!B:B,1,0)</f>
        <v>#N/A</v>
      </c>
    </row>
    <row r="492" spans="1:37" ht="19.95" customHeight="1" x14ac:dyDescent="0.3">
      <c r="A492" s="33" t="s">
        <v>2178</v>
      </c>
      <c r="B492" s="34">
        <v>46090.50240740741</v>
      </c>
      <c r="C492" s="34" t="str">
        <f t="shared" si="20"/>
        <v>202603</v>
      </c>
      <c r="D492" s="35" t="s">
        <v>986</v>
      </c>
      <c r="E492" s="36" t="s">
        <v>910</v>
      </c>
      <c r="F492" s="36" t="s">
        <v>972</v>
      </c>
      <c r="G492" s="37" t="s">
        <v>2179</v>
      </c>
      <c r="H492" s="36" t="s">
        <v>928</v>
      </c>
      <c r="I492" s="35"/>
      <c r="J492" s="36" t="s">
        <v>929</v>
      </c>
      <c r="K492" s="33" t="s">
        <v>916</v>
      </c>
      <c r="L492" s="35" t="s">
        <v>916</v>
      </c>
      <c r="M492" s="36" t="s">
        <v>957</v>
      </c>
      <c r="N492" s="45">
        <v>46098.436805555553</v>
      </c>
      <c r="O492" s="36" t="s">
        <v>1920</v>
      </c>
      <c r="P492" s="38">
        <v>7.9343981481999997</v>
      </c>
      <c r="Q492" s="39" t="s">
        <v>1945</v>
      </c>
      <c r="R492" s="35" t="s">
        <v>916</v>
      </c>
      <c r="S492" s="35"/>
      <c r="T492" s="35" t="s">
        <v>1624</v>
      </c>
      <c r="U492" s="40">
        <v>46091</v>
      </c>
      <c r="V492" s="41">
        <v>46153.532743055555</v>
      </c>
      <c r="W492" s="40">
        <v>46090</v>
      </c>
      <c r="X492" s="35" t="s">
        <v>916</v>
      </c>
      <c r="Y492" s="35" t="s">
        <v>916</v>
      </c>
      <c r="Z492" s="35" t="s">
        <v>916</v>
      </c>
      <c r="AA492" s="38">
        <v>190.42555555679999</v>
      </c>
      <c r="AB492" s="42" t="s">
        <v>916</v>
      </c>
      <c r="AC492" s="43" t="s">
        <v>916</v>
      </c>
      <c r="AD492" s="43" t="s">
        <v>916</v>
      </c>
      <c r="AE492" s="33" t="s">
        <v>916</v>
      </c>
      <c r="AF492" s="35" t="s">
        <v>916</v>
      </c>
      <c r="AG492" s="44">
        <v>0</v>
      </c>
      <c r="AH492" s="42" t="s">
        <v>916</v>
      </c>
      <c r="AI492" s="32" t="e">
        <f>VLOOKUP(A492,'4月明細'!B:B,1,0)</f>
        <v>#N/A</v>
      </c>
    </row>
    <row r="493" spans="1:37" ht="19.95" customHeight="1" x14ac:dyDescent="0.3">
      <c r="A493" s="33" t="s">
        <v>561</v>
      </c>
      <c r="B493" s="34">
        <v>46089.540231481478</v>
      </c>
      <c r="C493" s="34" t="str">
        <f t="shared" si="20"/>
        <v>202603</v>
      </c>
      <c r="D493" s="35" t="s">
        <v>941</v>
      </c>
      <c r="E493" s="36" t="s">
        <v>942</v>
      </c>
      <c r="F493" s="36" t="s">
        <v>1386</v>
      </c>
      <c r="G493" s="37" t="s">
        <v>2180</v>
      </c>
      <c r="H493" s="36" t="s">
        <v>954</v>
      </c>
      <c r="I493" s="35"/>
      <c r="J493" s="36" t="s">
        <v>945</v>
      </c>
      <c r="K493" s="33" t="s">
        <v>916</v>
      </c>
      <c r="L493" s="35" t="s">
        <v>916</v>
      </c>
      <c r="M493" s="36" t="s">
        <v>1039</v>
      </c>
      <c r="N493" s="45">
        <v>46090.427083333336</v>
      </c>
      <c r="O493" s="36" t="s">
        <v>25</v>
      </c>
      <c r="P493" s="38">
        <v>0.88685185190000004</v>
      </c>
      <c r="Q493" s="39" t="s">
        <v>2181</v>
      </c>
      <c r="R493" s="35" t="s">
        <v>916</v>
      </c>
      <c r="S493" s="35"/>
      <c r="T493" s="35" t="s">
        <v>1624</v>
      </c>
      <c r="U493" s="40">
        <v>46090</v>
      </c>
      <c r="V493" s="41">
        <v>46153.532743055555</v>
      </c>
      <c r="W493" s="40">
        <v>46089</v>
      </c>
      <c r="X493" s="35" t="s">
        <v>916</v>
      </c>
      <c r="Y493" s="35" t="s">
        <v>916</v>
      </c>
      <c r="Z493" s="35" t="s">
        <v>916</v>
      </c>
      <c r="AA493" s="38">
        <v>21.284444445599998</v>
      </c>
      <c r="AB493" s="42" t="s">
        <v>916</v>
      </c>
      <c r="AC493" s="43" t="s">
        <v>916</v>
      </c>
      <c r="AD493" s="43" t="s">
        <v>916</v>
      </c>
      <c r="AE493" s="33" t="s">
        <v>916</v>
      </c>
      <c r="AF493" s="35" t="s">
        <v>916</v>
      </c>
      <c r="AG493" s="44">
        <v>0</v>
      </c>
      <c r="AH493" s="42" t="s">
        <v>916</v>
      </c>
      <c r="AI493" s="32" t="e">
        <f>VLOOKUP(A493,'4月明細'!B:B,1,0)</f>
        <v>#N/A</v>
      </c>
    </row>
    <row r="494" spans="1:37" ht="19.95" customHeight="1" x14ac:dyDescent="0.3">
      <c r="A494" s="33" t="s">
        <v>560</v>
      </c>
      <c r="B494" s="34">
        <v>46088.76021990741</v>
      </c>
      <c r="C494" s="34" t="str">
        <f t="shared" si="20"/>
        <v>202603</v>
      </c>
      <c r="D494" s="35" t="s">
        <v>2182</v>
      </c>
      <c r="E494" s="36" t="s">
        <v>910</v>
      </c>
      <c r="F494" s="36" t="s">
        <v>1672</v>
      </c>
      <c r="G494" s="37" t="s">
        <v>2183</v>
      </c>
      <c r="H494" s="36" t="s">
        <v>1023</v>
      </c>
      <c r="I494" s="35" t="s">
        <v>2184</v>
      </c>
      <c r="J494" s="36" t="s">
        <v>929</v>
      </c>
      <c r="K494" s="33" t="s">
        <v>916</v>
      </c>
      <c r="L494" s="35" t="s">
        <v>916</v>
      </c>
      <c r="M494" s="36" t="s">
        <v>957</v>
      </c>
      <c r="N494" s="45">
        <v>46090.427777777775</v>
      </c>
      <c r="O494" s="36" t="s">
        <v>25</v>
      </c>
      <c r="P494" s="38">
        <v>1.6675578704</v>
      </c>
      <c r="Q494" s="39" t="s">
        <v>2185</v>
      </c>
      <c r="R494" s="35" t="s">
        <v>916</v>
      </c>
      <c r="S494" s="35" t="s">
        <v>2186</v>
      </c>
      <c r="T494" s="35" t="s">
        <v>1624</v>
      </c>
      <c r="U494" s="40">
        <v>46089</v>
      </c>
      <c r="V494" s="41">
        <v>46153.532743055555</v>
      </c>
      <c r="W494" s="40">
        <v>46088</v>
      </c>
      <c r="X494" s="35" t="s">
        <v>916</v>
      </c>
      <c r="Y494" s="35" t="s">
        <v>916</v>
      </c>
      <c r="Z494" s="35" t="s">
        <v>916</v>
      </c>
      <c r="AA494" s="38">
        <v>40.021388889599997</v>
      </c>
      <c r="AB494" s="42" t="s">
        <v>916</v>
      </c>
      <c r="AC494" s="43" t="s">
        <v>916</v>
      </c>
      <c r="AD494" s="43" t="s">
        <v>916</v>
      </c>
      <c r="AE494" s="33" t="s">
        <v>916</v>
      </c>
      <c r="AF494" s="35" t="s">
        <v>916</v>
      </c>
      <c r="AG494" s="44">
        <v>492514.26666666672</v>
      </c>
      <c r="AH494" s="42" t="s">
        <v>916</v>
      </c>
      <c r="AI494" s="32" t="e">
        <f>VLOOKUP(A494,'4月明細'!B:B,1,0)</f>
        <v>#N/A</v>
      </c>
    </row>
    <row r="495" spans="1:37" ht="19.95" customHeight="1" x14ac:dyDescent="0.3">
      <c r="A495" s="33" t="s">
        <v>559</v>
      </c>
      <c r="B495" s="34">
        <v>46088.759652777779</v>
      </c>
      <c r="C495" s="34" t="str">
        <f t="shared" si="20"/>
        <v>202603</v>
      </c>
      <c r="D495" s="35" t="s">
        <v>2182</v>
      </c>
      <c r="E495" s="36" t="s">
        <v>910</v>
      </c>
      <c r="F495" s="36" t="s">
        <v>1010</v>
      </c>
      <c r="G495" s="37" t="s">
        <v>2187</v>
      </c>
      <c r="H495" s="36" t="s">
        <v>1078</v>
      </c>
      <c r="I495" s="35" t="s">
        <v>2188</v>
      </c>
      <c r="J495" s="36" t="s">
        <v>929</v>
      </c>
      <c r="K495" s="33" t="s">
        <v>916</v>
      </c>
      <c r="L495" s="35" t="s">
        <v>916</v>
      </c>
      <c r="M495" s="36" t="s">
        <v>1039</v>
      </c>
      <c r="N495" s="45">
        <v>46090.427777777775</v>
      </c>
      <c r="O495" s="36" t="s">
        <v>25</v>
      </c>
      <c r="P495" s="38">
        <v>1.6681250000000001</v>
      </c>
      <c r="Q495" s="39" t="s">
        <v>2189</v>
      </c>
      <c r="R495" s="35" t="s">
        <v>916</v>
      </c>
      <c r="S495" s="35" t="s">
        <v>2190</v>
      </c>
      <c r="T495" s="35" t="s">
        <v>1624</v>
      </c>
      <c r="U495" s="40">
        <v>46089</v>
      </c>
      <c r="V495" s="41">
        <v>46153.532743055555</v>
      </c>
      <c r="W495" s="40">
        <v>46088</v>
      </c>
      <c r="X495" s="35" t="s">
        <v>916</v>
      </c>
      <c r="Y495" s="35" t="s">
        <v>916</v>
      </c>
      <c r="Z495" s="35" t="s">
        <v>916</v>
      </c>
      <c r="AA495" s="38">
        <v>40.034999999999997</v>
      </c>
      <c r="AB495" s="42" t="s">
        <v>916</v>
      </c>
      <c r="AC495" s="43" t="s">
        <v>916</v>
      </c>
      <c r="AD495" s="43" t="s">
        <v>916</v>
      </c>
      <c r="AE495" s="33" t="s">
        <v>916</v>
      </c>
      <c r="AF495" s="35" t="s">
        <v>916</v>
      </c>
      <c r="AG495" s="44">
        <v>492514.26666666672</v>
      </c>
      <c r="AH495" s="42" t="s">
        <v>916</v>
      </c>
      <c r="AI495" s="32" t="e">
        <f>VLOOKUP(A495,'4月明細'!B:B,1,0)</f>
        <v>#N/A</v>
      </c>
    </row>
    <row r="496" spans="1:37" ht="19.95" customHeight="1" x14ac:dyDescent="0.3">
      <c r="A496" s="33" t="s">
        <v>558</v>
      </c>
      <c r="B496" s="34">
        <v>46088.759247685186</v>
      </c>
      <c r="C496" s="34" t="str">
        <f t="shared" si="20"/>
        <v>202603</v>
      </c>
      <c r="D496" s="35" t="s">
        <v>2182</v>
      </c>
      <c r="E496" s="36" t="s">
        <v>910</v>
      </c>
      <c r="F496" s="36" t="s">
        <v>1010</v>
      </c>
      <c r="G496" s="37" t="s">
        <v>2191</v>
      </c>
      <c r="H496" s="36" t="s">
        <v>1078</v>
      </c>
      <c r="I496" s="35"/>
      <c r="J496" s="36" t="s">
        <v>929</v>
      </c>
      <c r="K496" s="33" t="s">
        <v>916</v>
      </c>
      <c r="L496" s="35" t="s">
        <v>916</v>
      </c>
      <c r="M496" s="36" t="s">
        <v>1039</v>
      </c>
      <c r="N496" s="45">
        <v>46090.428472222222</v>
      </c>
      <c r="O496" s="36" t="s">
        <v>25</v>
      </c>
      <c r="P496" s="38">
        <v>1.6692245370000001</v>
      </c>
      <c r="Q496" s="39" t="s">
        <v>2192</v>
      </c>
      <c r="R496" s="35" t="s">
        <v>916</v>
      </c>
      <c r="S496" s="35" t="s">
        <v>2193</v>
      </c>
      <c r="T496" s="35" t="s">
        <v>1624</v>
      </c>
      <c r="U496" s="40">
        <v>46089</v>
      </c>
      <c r="V496" s="41">
        <v>46153.532743055555</v>
      </c>
      <c r="W496" s="40">
        <v>46088</v>
      </c>
      <c r="X496" s="35" t="s">
        <v>916</v>
      </c>
      <c r="Y496" s="35" t="s">
        <v>916</v>
      </c>
      <c r="Z496" s="35" t="s">
        <v>916</v>
      </c>
      <c r="AA496" s="38">
        <v>40.061388888000003</v>
      </c>
      <c r="AB496" s="42" t="s">
        <v>916</v>
      </c>
      <c r="AC496" s="43" t="s">
        <v>916</v>
      </c>
      <c r="AD496" s="43" t="s">
        <v>916</v>
      </c>
      <c r="AE496" s="33" t="s">
        <v>916</v>
      </c>
      <c r="AF496" s="35" t="s">
        <v>916</v>
      </c>
      <c r="AG496" s="44">
        <v>492514.28333333333</v>
      </c>
      <c r="AH496" s="42" t="s">
        <v>916</v>
      </c>
      <c r="AI496" s="32" t="e">
        <f>VLOOKUP(A496,'4月明細'!B:B,1,0)</f>
        <v>#N/A</v>
      </c>
    </row>
    <row r="497" spans="1:35" ht="19.95" customHeight="1" x14ac:dyDescent="0.3">
      <c r="A497" s="33" t="s">
        <v>557</v>
      </c>
      <c r="B497" s="34">
        <v>46088.453090277777</v>
      </c>
      <c r="C497" s="34" t="str">
        <f t="shared" si="20"/>
        <v>202603</v>
      </c>
      <c r="D497" s="35" t="s">
        <v>951</v>
      </c>
      <c r="E497" s="36" t="s">
        <v>910</v>
      </c>
      <c r="F497" s="36" t="s">
        <v>1723</v>
      </c>
      <c r="G497" s="37" t="s">
        <v>2194</v>
      </c>
      <c r="H497" s="36" t="s">
        <v>928</v>
      </c>
      <c r="I497" s="35" t="s">
        <v>2195</v>
      </c>
      <c r="J497" s="36" t="s">
        <v>914</v>
      </c>
      <c r="K497" s="33" t="s">
        <v>916</v>
      </c>
      <c r="L497" s="35" t="s">
        <v>916</v>
      </c>
      <c r="M497" s="36" t="s">
        <v>1039</v>
      </c>
      <c r="N497" s="45">
        <v>46090.428472222222</v>
      </c>
      <c r="O497" s="36" t="s">
        <v>25</v>
      </c>
      <c r="P497" s="38">
        <v>1.9753819444</v>
      </c>
      <c r="Q497" s="39" t="s">
        <v>2196</v>
      </c>
      <c r="R497" s="35" t="s">
        <v>916</v>
      </c>
      <c r="S497" s="35"/>
      <c r="T497" s="35" t="s">
        <v>1624</v>
      </c>
      <c r="U497" s="40">
        <v>46089</v>
      </c>
      <c r="V497" s="41">
        <v>46153.532743055555</v>
      </c>
      <c r="W497" s="40">
        <v>46088</v>
      </c>
      <c r="X497" s="35" t="s">
        <v>916</v>
      </c>
      <c r="Y497" s="35" t="s">
        <v>916</v>
      </c>
      <c r="Z497" s="35" t="s">
        <v>916</v>
      </c>
      <c r="AA497" s="38">
        <v>47.409166665599997</v>
      </c>
      <c r="AB497" s="42" t="s">
        <v>916</v>
      </c>
      <c r="AC497" s="43" t="s">
        <v>916</v>
      </c>
      <c r="AD497" s="43" t="s">
        <v>916</v>
      </c>
      <c r="AE497" s="33" t="s">
        <v>916</v>
      </c>
      <c r="AF497" s="35" t="s">
        <v>916</v>
      </c>
      <c r="AG497" s="44">
        <v>0</v>
      </c>
      <c r="AH497" s="42" t="s">
        <v>916</v>
      </c>
      <c r="AI497" s="32" t="e">
        <f>VLOOKUP(A497,'4月明細'!B:B,1,0)</f>
        <v>#N/A</v>
      </c>
    </row>
    <row r="498" spans="1:35" ht="19.95" customHeight="1" x14ac:dyDescent="0.3">
      <c r="A498" s="33" t="s">
        <v>556</v>
      </c>
      <c r="B498" s="34">
        <v>46087.468993055554</v>
      </c>
      <c r="C498" s="34" t="str">
        <f t="shared" si="20"/>
        <v>202603</v>
      </c>
      <c r="D498" s="35" t="s">
        <v>909</v>
      </c>
      <c r="E498" s="36" t="s">
        <v>910</v>
      </c>
      <c r="F498" s="36" t="s">
        <v>1621</v>
      </c>
      <c r="G498" s="37" t="s">
        <v>2197</v>
      </c>
      <c r="H498" s="36" t="s">
        <v>954</v>
      </c>
      <c r="I498" s="35"/>
      <c r="J498" s="36" t="s">
        <v>1058</v>
      </c>
      <c r="K498" s="33" t="s">
        <v>916</v>
      </c>
      <c r="L498" s="35" t="s">
        <v>916</v>
      </c>
      <c r="M498" s="36" t="s">
        <v>1039</v>
      </c>
      <c r="N498" s="45">
        <v>46087.696527777778</v>
      </c>
      <c r="O498" s="36" t="s">
        <v>25</v>
      </c>
      <c r="P498" s="38">
        <v>0.22753472220000001</v>
      </c>
      <c r="Q498" s="39" t="s">
        <v>1174</v>
      </c>
      <c r="R498" s="35" t="s">
        <v>916</v>
      </c>
      <c r="S498" s="35"/>
      <c r="T498" s="35" t="s">
        <v>1624</v>
      </c>
      <c r="U498" s="40">
        <v>46088</v>
      </c>
      <c r="V498" s="41">
        <v>46153.532743055555</v>
      </c>
      <c r="W498" s="40">
        <v>46087</v>
      </c>
      <c r="X498" s="35" t="s">
        <v>916</v>
      </c>
      <c r="Y498" s="35" t="s">
        <v>916</v>
      </c>
      <c r="Z498" s="35" t="s">
        <v>916</v>
      </c>
      <c r="AA498" s="38">
        <v>5.4608333328000001</v>
      </c>
      <c r="AB498" s="42" t="s">
        <v>916</v>
      </c>
      <c r="AC498" s="43" t="s">
        <v>916</v>
      </c>
      <c r="AD498" s="43" t="s">
        <v>916</v>
      </c>
      <c r="AE498" s="33" t="s">
        <v>916</v>
      </c>
      <c r="AF498" s="35" t="s">
        <v>916</v>
      </c>
      <c r="AG498" s="44">
        <v>0</v>
      </c>
      <c r="AH498" s="42" t="s">
        <v>916</v>
      </c>
      <c r="AI498" s="32" t="e">
        <f>VLOOKUP(A498,'4月明細'!B:B,1,0)</f>
        <v>#N/A</v>
      </c>
    </row>
    <row r="499" spans="1:35" ht="19.95" customHeight="1" x14ac:dyDescent="0.3">
      <c r="A499" s="33" t="s">
        <v>555</v>
      </c>
      <c r="B499" s="34">
        <v>46086.465949074074</v>
      </c>
      <c r="C499" s="34" t="str">
        <f t="shared" si="20"/>
        <v>202603</v>
      </c>
      <c r="D499" s="35" t="s">
        <v>996</v>
      </c>
      <c r="E499" s="36" t="s">
        <v>910</v>
      </c>
      <c r="F499" s="36" t="s">
        <v>1161</v>
      </c>
      <c r="G499" s="37" t="s">
        <v>2198</v>
      </c>
      <c r="H499" s="36" t="s">
        <v>913</v>
      </c>
      <c r="I499" s="35" t="s">
        <v>1362</v>
      </c>
      <c r="J499" s="36" t="s">
        <v>914</v>
      </c>
      <c r="K499" s="33" t="s">
        <v>916</v>
      </c>
      <c r="L499" s="35" t="s">
        <v>916</v>
      </c>
      <c r="M499" s="36" t="s">
        <v>957</v>
      </c>
      <c r="N499" s="45">
        <v>46087.697222222225</v>
      </c>
      <c r="O499" s="36" t="s">
        <v>25</v>
      </c>
      <c r="P499" s="38">
        <v>1.2312731481999999</v>
      </c>
      <c r="Q499" s="39" t="s">
        <v>2199</v>
      </c>
      <c r="R499" s="35" t="s">
        <v>916</v>
      </c>
      <c r="S499" s="35"/>
      <c r="T499" s="35" t="s">
        <v>1624</v>
      </c>
      <c r="U499" s="40">
        <v>46087</v>
      </c>
      <c r="V499" s="41">
        <v>46153.532743055555</v>
      </c>
      <c r="W499" s="40">
        <v>46086</v>
      </c>
      <c r="X499" s="35" t="s">
        <v>916</v>
      </c>
      <c r="Y499" s="35" t="s">
        <v>916</v>
      </c>
      <c r="Z499" s="35" t="s">
        <v>916</v>
      </c>
      <c r="AA499" s="38">
        <v>29.550555556799999</v>
      </c>
      <c r="AB499" s="42" t="s">
        <v>916</v>
      </c>
      <c r="AC499" s="43" t="s">
        <v>916</v>
      </c>
      <c r="AD499" s="43" t="s">
        <v>916</v>
      </c>
      <c r="AE499" s="33" t="s">
        <v>916</v>
      </c>
      <c r="AF499" s="35" t="s">
        <v>916</v>
      </c>
      <c r="AG499" s="44">
        <v>0</v>
      </c>
      <c r="AH499" s="42" t="s">
        <v>916</v>
      </c>
      <c r="AI499" s="32" t="e">
        <f>VLOOKUP(A499,'4月明細'!B:B,1,0)</f>
        <v>#N/A</v>
      </c>
    </row>
    <row r="500" spans="1:35" ht="19.95" customHeight="1" x14ac:dyDescent="0.3">
      <c r="A500" s="33" t="s">
        <v>554</v>
      </c>
      <c r="B500" s="34">
        <v>46086.458391203705</v>
      </c>
      <c r="C500" s="34" t="str">
        <f t="shared" si="20"/>
        <v>202603</v>
      </c>
      <c r="D500" s="35" t="s">
        <v>996</v>
      </c>
      <c r="E500" s="36" t="s">
        <v>910</v>
      </c>
      <c r="F500" s="36" t="s">
        <v>1377</v>
      </c>
      <c r="G500" s="37" t="s">
        <v>2200</v>
      </c>
      <c r="H500" s="36" t="s">
        <v>1023</v>
      </c>
      <c r="I500" s="35"/>
      <c r="J500" s="36" t="s">
        <v>914</v>
      </c>
      <c r="K500" s="33" t="s">
        <v>916</v>
      </c>
      <c r="L500" s="35" t="s">
        <v>916</v>
      </c>
      <c r="M500" s="36" t="s">
        <v>957</v>
      </c>
      <c r="N500" s="45">
        <v>46087.698611111111</v>
      </c>
      <c r="O500" s="36" t="s">
        <v>25</v>
      </c>
      <c r="P500" s="38">
        <v>1.2402199074</v>
      </c>
      <c r="Q500" s="39" t="s">
        <v>2199</v>
      </c>
      <c r="R500" s="35" t="s">
        <v>916</v>
      </c>
      <c r="S500" s="35"/>
      <c r="T500" s="35" t="s">
        <v>1624</v>
      </c>
      <c r="U500" s="40">
        <v>46087</v>
      </c>
      <c r="V500" s="41">
        <v>46153.532743055555</v>
      </c>
      <c r="W500" s="40">
        <v>46086</v>
      </c>
      <c r="X500" s="35" t="s">
        <v>916</v>
      </c>
      <c r="Y500" s="35" t="s">
        <v>916</v>
      </c>
      <c r="Z500" s="35" t="s">
        <v>916</v>
      </c>
      <c r="AA500" s="38">
        <v>29.765277777600001</v>
      </c>
      <c r="AB500" s="42" t="s">
        <v>916</v>
      </c>
      <c r="AC500" s="43" t="s">
        <v>916</v>
      </c>
      <c r="AD500" s="43" t="s">
        <v>916</v>
      </c>
      <c r="AE500" s="33" t="s">
        <v>916</v>
      </c>
      <c r="AF500" s="35" t="s">
        <v>916</v>
      </c>
      <c r="AG500" s="44">
        <v>0</v>
      </c>
      <c r="AH500" s="42" t="s">
        <v>916</v>
      </c>
      <c r="AI500" s="32" t="e">
        <f>VLOOKUP(A500,'4月明細'!B:B,1,0)</f>
        <v>#N/A</v>
      </c>
    </row>
    <row r="501" spans="1:35" ht="19.95" customHeight="1" x14ac:dyDescent="0.3">
      <c r="A501" s="33" t="s">
        <v>552</v>
      </c>
      <c r="B501" s="34">
        <v>46086.454745370371</v>
      </c>
      <c r="C501" s="34" t="str">
        <f t="shared" si="20"/>
        <v>202603</v>
      </c>
      <c r="D501" s="35" t="s">
        <v>996</v>
      </c>
      <c r="E501" s="36" t="s">
        <v>910</v>
      </c>
      <c r="F501" s="36" t="s">
        <v>1282</v>
      </c>
      <c r="G501" s="37" t="s">
        <v>2201</v>
      </c>
      <c r="H501" s="36" t="s">
        <v>1023</v>
      </c>
      <c r="I501" s="35"/>
      <c r="J501" s="36" t="s">
        <v>914</v>
      </c>
      <c r="K501" s="33" t="s">
        <v>916</v>
      </c>
      <c r="L501" s="35" t="s">
        <v>916</v>
      </c>
      <c r="M501" s="36" t="s">
        <v>957</v>
      </c>
      <c r="N501" s="45">
        <v>46093.370138888888</v>
      </c>
      <c r="O501" s="36" t="s">
        <v>25</v>
      </c>
      <c r="P501" s="38">
        <v>6.9153935185000002</v>
      </c>
      <c r="Q501" s="39" t="s">
        <v>2202</v>
      </c>
      <c r="R501" s="35" t="s">
        <v>916</v>
      </c>
      <c r="S501" s="35" t="s">
        <v>2203</v>
      </c>
      <c r="T501" s="35" t="s">
        <v>1624</v>
      </c>
      <c r="U501" s="40">
        <v>46087</v>
      </c>
      <c r="V501" s="41">
        <v>46153.532743055555</v>
      </c>
      <c r="W501" s="40">
        <v>46086</v>
      </c>
      <c r="X501" s="35" t="s">
        <v>916</v>
      </c>
      <c r="Y501" s="35" t="s">
        <v>916</v>
      </c>
      <c r="Z501" s="35" t="s">
        <v>916</v>
      </c>
      <c r="AA501" s="38">
        <v>165.969444444</v>
      </c>
      <c r="AB501" s="42" t="s">
        <v>916</v>
      </c>
      <c r="AC501" s="43" t="s">
        <v>916</v>
      </c>
      <c r="AD501" s="43" t="s">
        <v>916</v>
      </c>
      <c r="AE501" s="33" t="s">
        <v>916</v>
      </c>
      <c r="AF501" s="35" t="s">
        <v>916</v>
      </c>
      <c r="AG501" s="44">
        <v>492514.3</v>
      </c>
      <c r="AH501" s="42" t="s">
        <v>916</v>
      </c>
      <c r="AI501" s="32" t="e">
        <f>VLOOKUP(A501,'4月明細'!B:B,1,0)</f>
        <v>#N/A</v>
      </c>
    </row>
    <row r="502" spans="1:35" ht="19.95" customHeight="1" x14ac:dyDescent="0.3">
      <c r="A502" s="33" t="s">
        <v>553</v>
      </c>
      <c r="B502" s="34">
        <v>46086.455046296294</v>
      </c>
      <c r="C502" s="34" t="str">
        <f t="shared" si="20"/>
        <v>202603</v>
      </c>
      <c r="D502" s="35" t="s">
        <v>909</v>
      </c>
      <c r="E502" s="36" t="s">
        <v>910</v>
      </c>
      <c r="F502" s="36" t="s">
        <v>1133</v>
      </c>
      <c r="G502" s="37" t="s">
        <v>2204</v>
      </c>
      <c r="H502" s="36" t="s">
        <v>928</v>
      </c>
      <c r="I502" s="35" t="s">
        <v>2205</v>
      </c>
      <c r="J502" s="36" t="s">
        <v>914</v>
      </c>
      <c r="K502" s="33" t="s">
        <v>916</v>
      </c>
      <c r="L502" s="35" t="s">
        <v>916</v>
      </c>
      <c r="M502" s="36" t="s">
        <v>957</v>
      </c>
      <c r="N502" s="45">
        <v>46087.697916666664</v>
      </c>
      <c r="O502" s="36" t="s">
        <v>25</v>
      </c>
      <c r="P502" s="38">
        <v>1.2428703703999999</v>
      </c>
      <c r="Q502" s="39" t="s">
        <v>2199</v>
      </c>
      <c r="R502" s="35" t="s">
        <v>916</v>
      </c>
      <c r="S502" s="35"/>
      <c r="T502" s="35" t="s">
        <v>1624</v>
      </c>
      <c r="U502" s="40">
        <v>46087</v>
      </c>
      <c r="V502" s="41">
        <v>46153.532743055555</v>
      </c>
      <c r="W502" s="40">
        <v>46086</v>
      </c>
      <c r="X502" s="35" t="s">
        <v>916</v>
      </c>
      <c r="Y502" s="35" t="s">
        <v>916</v>
      </c>
      <c r="Z502" s="35" t="s">
        <v>916</v>
      </c>
      <c r="AA502" s="38">
        <v>29.828888889600002</v>
      </c>
      <c r="AB502" s="42" t="s">
        <v>916</v>
      </c>
      <c r="AC502" s="43" t="s">
        <v>916</v>
      </c>
      <c r="AD502" s="43" t="s">
        <v>916</v>
      </c>
      <c r="AE502" s="33" t="s">
        <v>916</v>
      </c>
      <c r="AF502" s="35" t="s">
        <v>916</v>
      </c>
      <c r="AG502" s="44">
        <v>0</v>
      </c>
      <c r="AH502" s="42" t="s">
        <v>916</v>
      </c>
      <c r="AI502" s="32" t="e">
        <f>VLOOKUP(A502,'4月明細'!B:B,1,0)</f>
        <v>#N/A</v>
      </c>
    </row>
    <row r="503" spans="1:35" ht="19.95" customHeight="1" x14ac:dyDescent="0.3">
      <c r="A503" s="33" t="s">
        <v>551</v>
      </c>
      <c r="B503" s="34">
        <v>46086.438831018517</v>
      </c>
      <c r="C503" s="34" t="str">
        <f t="shared" si="20"/>
        <v>202603</v>
      </c>
      <c r="D503" s="35" t="s">
        <v>909</v>
      </c>
      <c r="E503" s="36" t="s">
        <v>910</v>
      </c>
      <c r="F503" s="36" t="s">
        <v>1133</v>
      </c>
      <c r="G503" s="37" t="s">
        <v>2206</v>
      </c>
      <c r="H503" s="36" t="s">
        <v>928</v>
      </c>
      <c r="I503" s="35" t="s">
        <v>2207</v>
      </c>
      <c r="J503" s="36" t="s">
        <v>914</v>
      </c>
      <c r="K503" s="33" t="s">
        <v>916</v>
      </c>
      <c r="L503" s="35" t="s">
        <v>916</v>
      </c>
      <c r="M503" s="36" t="s">
        <v>957</v>
      </c>
      <c r="N503" s="45">
        <v>46090.430555555555</v>
      </c>
      <c r="O503" s="36" t="s">
        <v>25</v>
      </c>
      <c r="P503" s="38">
        <v>3.9917245370000001</v>
      </c>
      <c r="Q503" s="39" t="s">
        <v>2208</v>
      </c>
      <c r="R503" s="35" t="s">
        <v>916</v>
      </c>
      <c r="S503" s="35" t="s">
        <v>2209</v>
      </c>
      <c r="T503" s="35" t="s">
        <v>1624</v>
      </c>
      <c r="U503" s="40">
        <v>46087</v>
      </c>
      <c r="V503" s="41">
        <v>46153.532743055555</v>
      </c>
      <c r="W503" s="40">
        <v>46086</v>
      </c>
      <c r="X503" s="35" t="s">
        <v>916</v>
      </c>
      <c r="Y503" s="35" t="s">
        <v>916</v>
      </c>
      <c r="Z503" s="35" t="s">
        <v>916</v>
      </c>
      <c r="AA503" s="38">
        <v>95.801388888000005</v>
      </c>
      <c r="AB503" s="42" t="s">
        <v>916</v>
      </c>
      <c r="AC503" s="43" t="s">
        <v>916</v>
      </c>
      <c r="AD503" s="43" t="s">
        <v>916</v>
      </c>
      <c r="AE503" s="33" t="s">
        <v>916</v>
      </c>
      <c r="AF503" s="35" t="s">
        <v>916</v>
      </c>
      <c r="AG503" s="44">
        <v>492514.33333333331</v>
      </c>
      <c r="AH503" s="42" t="s">
        <v>916</v>
      </c>
      <c r="AI503" s="32" t="e">
        <f>VLOOKUP(A503,'4月明細'!B:B,1,0)</f>
        <v>#N/A</v>
      </c>
    </row>
    <row r="504" spans="1:35" ht="19.95" customHeight="1" x14ac:dyDescent="0.3">
      <c r="A504" s="33" t="s">
        <v>2210</v>
      </c>
      <c r="B504" s="34">
        <v>46086.434895833336</v>
      </c>
      <c r="C504" s="34" t="str">
        <f t="shared" si="20"/>
        <v>202603</v>
      </c>
      <c r="D504" s="35" t="s">
        <v>996</v>
      </c>
      <c r="E504" s="36" t="s">
        <v>910</v>
      </c>
      <c r="F504" s="36" t="s">
        <v>1768</v>
      </c>
      <c r="G504" s="37" t="s">
        <v>2211</v>
      </c>
      <c r="H504" s="36" t="s">
        <v>954</v>
      </c>
      <c r="I504" s="35" t="s">
        <v>2212</v>
      </c>
      <c r="J504" s="36" t="s">
        <v>914</v>
      </c>
      <c r="K504" s="33" t="s">
        <v>916</v>
      </c>
      <c r="L504" s="35" t="s">
        <v>916</v>
      </c>
      <c r="M504" s="36" t="s">
        <v>1039</v>
      </c>
      <c r="N504" s="45">
        <v>46099.727777777778</v>
      </c>
      <c r="O504" s="36" t="s">
        <v>1384</v>
      </c>
      <c r="P504" s="38">
        <v>13.292881944399999</v>
      </c>
      <c r="Q504" s="39" t="s">
        <v>2213</v>
      </c>
      <c r="R504" s="35" t="s">
        <v>916</v>
      </c>
      <c r="S504" s="35"/>
      <c r="T504" s="35" t="s">
        <v>1624</v>
      </c>
      <c r="U504" s="40">
        <v>46087</v>
      </c>
      <c r="V504" s="41">
        <v>46153.532743055555</v>
      </c>
      <c r="W504" s="40">
        <v>46086</v>
      </c>
      <c r="X504" s="35" t="s">
        <v>916</v>
      </c>
      <c r="Y504" s="35" t="s">
        <v>916</v>
      </c>
      <c r="Z504" s="35" t="s">
        <v>916</v>
      </c>
      <c r="AA504" s="38">
        <v>319.02916666559997</v>
      </c>
      <c r="AB504" s="42" t="s">
        <v>916</v>
      </c>
      <c r="AC504" s="43" t="s">
        <v>916</v>
      </c>
      <c r="AD504" s="43" t="s">
        <v>916</v>
      </c>
      <c r="AE504" s="33" t="s">
        <v>916</v>
      </c>
      <c r="AF504" s="35" t="s">
        <v>916</v>
      </c>
      <c r="AG504" s="44">
        <v>492477.75</v>
      </c>
      <c r="AH504" s="42" t="s">
        <v>916</v>
      </c>
      <c r="AI504" s="32" t="e">
        <f>VLOOKUP(A504,'4月明細'!B:B,1,0)</f>
        <v>#N/A</v>
      </c>
    </row>
    <row r="505" spans="1:35" ht="19.95" customHeight="1" x14ac:dyDescent="0.3">
      <c r="A505" s="33" t="s">
        <v>550</v>
      </c>
      <c r="B505" s="34">
        <v>46085.71365740741</v>
      </c>
      <c r="C505" s="34" t="str">
        <f t="shared" si="20"/>
        <v>202603</v>
      </c>
      <c r="D505" s="35" t="s">
        <v>941</v>
      </c>
      <c r="E505" s="36" t="s">
        <v>942</v>
      </c>
      <c r="F505" s="36" t="s">
        <v>1386</v>
      </c>
      <c r="G505" s="37" t="s">
        <v>2214</v>
      </c>
      <c r="H505" s="36" t="s">
        <v>1078</v>
      </c>
      <c r="I505" s="35"/>
      <c r="J505" s="36" t="s">
        <v>945</v>
      </c>
      <c r="K505" s="33" t="s">
        <v>916</v>
      </c>
      <c r="L505" s="35" t="s">
        <v>916</v>
      </c>
      <c r="M505" s="36" t="s">
        <v>957</v>
      </c>
      <c r="N505" s="45">
        <v>46085.886111111111</v>
      </c>
      <c r="O505" s="36" t="s">
        <v>25</v>
      </c>
      <c r="P505" s="38">
        <v>0.17245370369999999</v>
      </c>
      <c r="Q505" s="39" t="s">
        <v>1404</v>
      </c>
      <c r="R505" s="35" t="s">
        <v>916</v>
      </c>
      <c r="S505" s="35"/>
      <c r="T505" s="35" t="s">
        <v>1624</v>
      </c>
      <c r="U505" s="40">
        <v>46086</v>
      </c>
      <c r="V505" s="41">
        <v>46153.532743055555</v>
      </c>
      <c r="W505" s="40">
        <v>46085</v>
      </c>
      <c r="X505" s="35" t="s">
        <v>916</v>
      </c>
      <c r="Y505" s="35" t="s">
        <v>916</v>
      </c>
      <c r="Z505" s="35" t="s">
        <v>916</v>
      </c>
      <c r="AA505" s="38">
        <v>4.1388888888000004</v>
      </c>
      <c r="AB505" s="42" t="s">
        <v>916</v>
      </c>
      <c r="AC505" s="43" t="s">
        <v>916</v>
      </c>
      <c r="AD505" s="43" t="s">
        <v>916</v>
      </c>
      <c r="AE505" s="33" t="s">
        <v>916</v>
      </c>
      <c r="AF505" s="35" t="s">
        <v>916</v>
      </c>
      <c r="AG505" s="44">
        <v>0</v>
      </c>
      <c r="AH505" s="42" t="s">
        <v>916</v>
      </c>
      <c r="AI505" s="32" t="e">
        <f>VLOOKUP(A505,'4月明細'!B:B,1,0)</f>
        <v>#N/A</v>
      </c>
    </row>
    <row r="506" spans="1:35" ht="19.95" customHeight="1" x14ac:dyDescent="0.3">
      <c r="A506" s="33" t="s">
        <v>549</v>
      </c>
      <c r="B506" s="34">
        <v>46085.666215277779</v>
      </c>
      <c r="C506" s="34" t="str">
        <f t="shared" si="20"/>
        <v>202603</v>
      </c>
      <c r="D506" s="35" t="s">
        <v>951</v>
      </c>
      <c r="E506" s="36" t="s">
        <v>910</v>
      </c>
      <c r="F506" s="36" t="s">
        <v>2090</v>
      </c>
      <c r="G506" s="37" t="s">
        <v>2215</v>
      </c>
      <c r="H506" s="36" t="s">
        <v>928</v>
      </c>
      <c r="I506" s="35" t="s">
        <v>2216</v>
      </c>
      <c r="J506" s="36" t="s">
        <v>938</v>
      </c>
      <c r="K506" s="33" t="s">
        <v>916</v>
      </c>
      <c r="L506" s="35" t="s">
        <v>916</v>
      </c>
      <c r="M506" s="36" t="s">
        <v>1039</v>
      </c>
      <c r="N506" s="45">
        <v>46087.698611111111</v>
      </c>
      <c r="O506" s="36" t="s">
        <v>25</v>
      </c>
      <c r="P506" s="38">
        <v>2.0323958332999998</v>
      </c>
      <c r="Q506" s="39" t="s">
        <v>2217</v>
      </c>
      <c r="R506" s="35" t="s">
        <v>916</v>
      </c>
      <c r="S506" s="35"/>
      <c r="T506" s="35" t="s">
        <v>1624</v>
      </c>
      <c r="U506" s="40">
        <v>46086</v>
      </c>
      <c r="V506" s="41">
        <v>46153.532743055555</v>
      </c>
      <c r="W506" s="40">
        <v>46085</v>
      </c>
      <c r="X506" s="35" t="s">
        <v>916</v>
      </c>
      <c r="Y506" s="35" t="s">
        <v>916</v>
      </c>
      <c r="Z506" s="35" t="s">
        <v>916</v>
      </c>
      <c r="AA506" s="38">
        <v>48.777499999200003</v>
      </c>
      <c r="AB506" s="42" t="s">
        <v>916</v>
      </c>
      <c r="AC506" s="43" t="s">
        <v>916</v>
      </c>
      <c r="AD506" s="43" t="s">
        <v>916</v>
      </c>
      <c r="AE506" s="33" t="s">
        <v>916</v>
      </c>
      <c r="AF506" s="35" t="s">
        <v>916</v>
      </c>
      <c r="AG506" s="44">
        <v>0</v>
      </c>
      <c r="AH506" s="42" t="s">
        <v>916</v>
      </c>
      <c r="AI506" s="32" t="e">
        <f>VLOOKUP(A506,'4月明細'!B:B,1,0)</f>
        <v>#N/A</v>
      </c>
    </row>
    <row r="507" spans="1:35" ht="19.95" customHeight="1" x14ac:dyDescent="0.3">
      <c r="A507" s="33" t="s">
        <v>548</v>
      </c>
      <c r="B507" s="34">
        <v>46085.65079861111</v>
      </c>
      <c r="C507" s="34" t="str">
        <f t="shared" si="20"/>
        <v>202603</v>
      </c>
      <c r="D507" s="35" t="s">
        <v>951</v>
      </c>
      <c r="E507" s="36" t="s">
        <v>910</v>
      </c>
      <c r="F507" s="36" t="s">
        <v>2218</v>
      </c>
      <c r="G507" s="37" t="s">
        <v>2219</v>
      </c>
      <c r="H507" s="36" t="s">
        <v>928</v>
      </c>
      <c r="I507" s="35" t="s">
        <v>2220</v>
      </c>
      <c r="J507" s="36" t="s">
        <v>916</v>
      </c>
      <c r="K507" s="33" t="s">
        <v>916</v>
      </c>
      <c r="L507" s="35" t="s">
        <v>916</v>
      </c>
      <c r="M507" s="36" t="s">
        <v>957</v>
      </c>
      <c r="N507" s="45">
        <v>46085.886111111111</v>
      </c>
      <c r="O507" s="36" t="s">
        <v>25</v>
      </c>
      <c r="P507" s="38">
        <v>0.23531250000000001</v>
      </c>
      <c r="Q507" s="39" t="s">
        <v>1404</v>
      </c>
      <c r="R507" s="35" t="s">
        <v>916</v>
      </c>
      <c r="S507" s="35"/>
      <c r="T507" s="35" t="s">
        <v>1624</v>
      </c>
      <c r="U507" s="40">
        <v>46086</v>
      </c>
      <c r="V507" s="41">
        <v>46153.532743055555</v>
      </c>
      <c r="W507" s="40">
        <v>46085</v>
      </c>
      <c r="X507" s="35" t="s">
        <v>916</v>
      </c>
      <c r="Y507" s="35" t="s">
        <v>916</v>
      </c>
      <c r="Z507" s="35" t="s">
        <v>916</v>
      </c>
      <c r="AA507" s="38">
        <v>5.6475</v>
      </c>
      <c r="AB507" s="42" t="s">
        <v>916</v>
      </c>
      <c r="AC507" s="43" t="s">
        <v>916</v>
      </c>
      <c r="AD507" s="43" t="s">
        <v>916</v>
      </c>
      <c r="AE507" s="33" t="s">
        <v>916</v>
      </c>
      <c r="AF507" s="35" t="s">
        <v>916</v>
      </c>
      <c r="AG507" s="44">
        <v>0</v>
      </c>
      <c r="AH507" s="42" t="s">
        <v>916</v>
      </c>
      <c r="AI507" s="32" t="e">
        <f>VLOOKUP(A507,'4月明細'!B:B,1,0)</f>
        <v>#N/A</v>
      </c>
    </row>
    <row r="508" spans="1:35" ht="19.95" customHeight="1" x14ac:dyDescent="0.3">
      <c r="A508" s="33" t="s">
        <v>547</v>
      </c>
      <c r="B508" s="34">
        <v>46085.608946759261</v>
      </c>
      <c r="C508" s="34" t="str">
        <f t="shared" si="20"/>
        <v>202603</v>
      </c>
      <c r="D508" s="35" t="s">
        <v>996</v>
      </c>
      <c r="E508" s="36" t="s">
        <v>910</v>
      </c>
      <c r="F508" s="36" t="s">
        <v>964</v>
      </c>
      <c r="G508" s="37" t="s">
        <v>2221</v>
      </c>
      <c r="H508" s="36" t="s">
        <v>954</v>
      </c>
      <c r="I508" s="35"/>
      <c r="J508" s="36" t="s">
        <v>914</v>
      </c>
      <c r="K508" s="33" t="s">
        <v>916</v>
      </c>
      <c r="L508" s="35" t="s">
        <v>916</v>
      </c>
      <c r="M508" s="36" t="s">
        <v>957</v>
      </c>
      <c r="N508" s="45">
        <v>46085.885416666664</v>
      </c>
      <c r="O508" s="36" t="s">
        <v>25</v>
      </c>
      <c r="P508" s="38">
        <v>0.27646990739999999</v>
      </c>
      <c r="Q508" s="39" t="s">
        <v>1404</v>
      </c>
      <c r="R508" s="35" t="s">
        <v>916</v>
      </c>
      <c r="S508" s="35"/>
      <c r="T508" s="35" t="s">
        <v>1624</v>
      </c>
      <c r="U508" s="40">
        <v>46086</v>
      </c>
      <c r="V508" s="41">
        <v>46153.532743055555</v>
      </c>
      <c r="W508" s="40">
        <v>46085</v>
      </c>
      <c r="X508" s="35" t="s">
        <v>916</v>
      </c>
      <c r="Y508" s="35" t="s">
        <v>916</v>
      </c>
      <c r="Z508" s="35" t="s">
        <v>916</v>
      </c>
      <c r="AA508" s="38">
        <v>6.6352777775999998</v>
      </c>
      <c r="AB508" s="42" t="s">
        <v>916</v>
      </c>
      <c r="AC508" s="43" t="s">
        <v>916</v>
      </c>
      <c r="AD508" s="43" t="s">
        <v>916</v>
      </c>
      <c r="AE508" s="33" t="s">
        <v>916</v>
      </c>
      <c r="AF508" s="35" t="s">
        <v>916</v>
      </c>
      <c r="AG508" s="44">
        <v>0</v>
      </c>
      <c r="AH508" s="42" t="s">
        <v>916</v>
      </c>
      <c r="AI508" s="32" t="e">
        <f>VLOOKUP(A508,'4月明細'!B:B,1,0)</f>
        <v>#N/A</v>
      </c>
    </row>
    <row r="509" spans="1:35" ht="19.95" customHeight="1" x14ac:dyDescent="0.3">
      <c r="A509" s="33" t="s">
        <v>546</v>
      </c>
      <c r="B509" s="34">
        <v>46085.562175925923</v>
      </c>
      <c r="C509" s="34" t="str">
        <f t="shared" si="20"/>
        <v>202603</v>
      </c>
      <c r="D509" s="35" t="s">
        <v>996</v>
      </c>
      <c r="E509" s="36" t="s">
        <v>910</v>
      </c>
      <c r="F509" s="36" t="s">
        <v>1089</v>
      </c>
      <c r="G509" s="37" t="s">
        <v>2222</v>
      </c>
      <c r="H509" s="36" t="s">
        <v>928</v>
      </c>
      <c r="I509" s="35"/>
      <c r="J509" s="36" t="s">
        <v>914</v>
      </c>
      <c r="K509" s="33" t="s">
        <v>916</v>
      </c>
      <c r="L509" s="35" t="s">
        <v>916</v>
      </c>
      <c r="M509" s="36" t="s">
        <v>957</v>
      </c>
      <c r="N509" s="45">
        <v>46085.885416666664</v>
      </c>
      <c r="O509" s="36" t="s">
        <v>25</v>
      </c>
      <c r="P509" s="38">
        <v>0.32324074069999997</v>
      </c>
      <c r="Q509" s="39" t="s">
        <v>1404</v>
      </c>
      <c r="R509" s="35" t="s">
        <v>916</v>
      </c>
      <c r="S509" s="35"/>
      <c r="T509" s="35" t="s">
        <v>1624</v>
      </c>
      <c r="U509" s="40">
        <v>46086</v>
      </c>
      <c r="V509" s="41">
        <v>46153.532743055555</v>
      </c>
      <c r="W509" s="40">
        <v>46085</v>
      </c>
      <c r="X509" s="35" t="s">
        <v>916</v>
      </c>
      <c r="Y509" s="35" t="s">
        <v>916</v>
      </c>
      <c r="Z509" s="35" t="s">
        <v>916</v>
      </c>
      <c r="AA509" s="38">
        <v>7.7577777768000002</v>
      </c>
      <c r="AB509" s="42" t="s">
        <v>916</v>
      </c>
      <c r="AC509" s="43" t="s">
        <v>916</v>
      </c>
      <c r="AD509" s="43" t="s">
        <v>916</v>
      </c>
      <c r="AE509" s="33" t="s">
        <v>916</v>
      </c>
      <c r="AF509" s="35" t="s">
        <v>916</v>
      </c>
      <c r="AG509" s="44">
        <v>0</v>
      </c>
      <c r="AH509" s="42" t="s">
        <v>916</v>
      </c>
      <c r="AI509" s="32" t="e">
        <f>VLOOKUP(A509,'4月明細'!B:B,1,0)</f>
        <v>#N/A</v>
      </c>
    </row>
    <row r="510" spans="1:35" ht="19.95" customHeight="1" x14ac:dyDescent="0.3">
      <c r="A510" s="33" t="s">
        <v>545</v>
      </c>
      <c r="B510" s="34">
        <v>46085.547627314816</v>
      </c>
      <c r="C510" s="34" t="str">
        <f t="shared" si="20"/>
        <v>202603</v>
      </c>
      <c r="D510" s="35" t="s">
        <v>996</v>
      </c>
      <c r="E510" s="36" t="s">
        <v>910</v>
      </c>
      <c r="F510" s="36" t="s">
        <v>1967</v>
      </c>
      <c r="G510" s="37" t="s">
        <v>998</v>
      </c>
      <c r="H510" s="36" t="s">
        <v>928</v>
      </c>
      <c r="I510" s="35"/>
      <c r="J510" s="36" t="s">
        <v>914</v>
      </c>
      <c r="K510" s="33" t="s">
        <v>916</v>
      </c>
      <c r="L510" s="35" t="s">
        <v>916</v>
      </c>
      <c r="M510" s="36" t="s">
        <v>957</v>
      </c>
      <c r="N510" s="45">
        <v>46085.884722222225</v>
      </c>
      <c r="O510" s="36" t="s">
        <v>25</v>
      </c>
      <c r="P510" s="38">
        <v>0.33709490739999998</v>
      </c>
      <c r="Q510" s="39" t="s">
        <v>1404</v>
      </c>
      <c r="R510" s="35" t="s">
        <v>916</v>
      </c>
      <c r="S510" s="35"/>
      <c r="T510" s="35" t="s">
        <v>1624</v>
      </c>
      <c r="U510" s="40">
        <v>46086</v>
      </c>
      <c r="V510" s="41">
        <v>46153.532743055555</v>
      </c>
      <c r="W510" s="40">
        <v>46085</v>
      </c>
      <c r="X510" s="35" t="s">
        <v>916</v>
      </c>
      <c r="Y510" s="35" t="s">
        <v>916</v>
      </c>
      <c r="Z510" s="35" t="s">
        <v>916</v>
      </c>
      <c r="AA510" s="38">
        <v>8.0902777776000008</v>
      </c>
      <c r="AB510" s="42" t="s">
        <v>916</v>
      </c>
      <c r="AC510" s="43" t="s">
        <v>916</v>
      </c>
      <c r="AD510" s="43" t="s">
        <v>916</v>
      </c>
      <c r="AE510" s="33" t="s">
        <v>916</v>
      </c>
      <c r="AF510" s="35" t="s">
        <v>916</v>
      </c>
      <c r="AG510" s="44">
        <v>0</v>
      </c>
      <c r="AH510" s="42" t="s">
        <v>916</v>
      </c>
      <c r="AI510" s="32" t="e">
        <f>VLOOKUP(A510,'4月明細'!B:B,1,0)</f>
        <v>#N/A</v>
      </c>
    </row>
    <row r="511" spans="1:35" ht="19.95" customHeight="1" x14ac:dyDescent="0.3">
      <c r="A511" s="33" t="s">
        <v>544</v>
      </c>
      <c r="B511" s="34">
        <v>46085.488576388889</v>
      </c>
      <c r="C511" s="34" t="str">
        <f t="shared" si="20"/>
        <v>202603</v>
      </c>
      <c r="D511" s="35" t="s">
        <v>996</v>
      </c>
      <c r="E511" s="36" t="s">
        <v>910</v>
      </c>
      <c r="F511" s="36" t="s">
        <v>1686</v>
      </c>
      <c r="G511" s="37" t="s">
        <v>2221</v>
      </c>
      <c r="H511" s="36" t="s">
        <v>954</v>
      </c>
      <c r="I511" s="35"/>
      <c r="J511" s="36" t="s">
        <v>914</v>
      </c>
      <c r="K511" s="33" t="s">
        <v>916</v>
      </c>
      <c r="L511" s="35" t="s">
        <v>916</v>
      </c>
      <c r="M511" s="36" t="s">
        <v>957</v>
      </c>
      <c r="N511" s="45">
        <v>46085.884722222225</v>
      </c>
      <c r="O511" s="36" t="s">
        <v>25</v>
      </c>
      <c r="P511" s="38">
        <v>0.39614583330000003</v>
      </c>
      <c r="Q511" s="39" t="s">
        <v>1404</v>
      </c>
      <c r="R511" s="35" t="s">
        <v>916</v>
      </c>
      <c r="S511" s="35"/>
      <c r="T511" s="35" t="s">
        <v>1624</v>
      </c>
      <c r="U511" s="40">
        <v>46086</v>
      </c>
      <c r="V511" s="41">
        <v>46153.532743055555</v>
      </c>
      <c r="W511" s="40">
        <v>46085</v>
      </c>
      <c r="X511" s="35" t="s">
        <v>916</v>
      </c>
      <c r="Y511" s="35" t="s">
        <v>916</v>
      </c>
      <c r="Z511" s="35" t="s">
        <v>916</v>
      </c>
      <c r="AA511" s="38">
        <v>9.5074999992000002</v>
      </c>
      <c r="AB511" s="42" t="s">
        <v>916</v>
      </c>
      <c r="AC511" s="43" t="s">
        <v>916</v>
      </c>
      <c r="AD511" s="43" t="s">
        <v>916</v>
      </c>
      <c r="AE511" s="33" t="s">
        <v>916</v>
      </c>
      <c r="AF511" s="35" t="s">
        <v>916</v>
      </c>
      <c r="AG511" s="44">
        <v>0</v>
      </c>
      <c r="AH511" s="42" t="s">
        <v>916</v>
      </c>
      <c r="AI511" s="32" t="e">
        <f>VLOOKUP(A511,'4月明細'!B:B,1,0)</f>
        <v>#N/A</v>
      </c>
    </row>
    <row r="512" spans="1:35" ht="19.95" customHeight="1" x14ac:dyDescent="0.3">
      <c r="A512" s="33" t="s">
        <v>543</v>
      </c>
      <c r="B512" s="34">
        <v>46085.486851851849</v>
      </c>
      <c r="C512" s="34" t="str">
        <f t="shared" si="20"/>
        <v>202603</v>
      </c>
      <c r="D512" s="35" t="s">
        <v>996</v>
      </c>
      <c r="E512" s="36" t="s">
        <v>910</v>
      </c>
      <c r="F512" s="36" t="s">
        <v>1686</v>
      </c>
      <c r="G512" s="37" t="s">
        <v>2223</v>
      </c>
      <c r="H512" s="36" t="s">
        <v>928</v>
      </c>
      <c r="I512" s="35"/>
      <c r="J512" s="36" t="s">
        <v>914</v>
      </c>
      <c r="K512" s="33" t="s">
        <v>916</v>
      </c>
      <c r="L512" s="35" t="s">
        <v>916</v>
      </c>
      <c r="M512" s="36" t="s">
        <v>1039</v>
      </c>
      <c r="N512" s="45">
        <v>46090.431944444441</v>
      </c>
      <c r="O512" s="36" t="s">
        <v>25</v>
      </c>
      <c r="P512" s="38">
        <v>4.9450925926</v>
      </c>
      <c r="Q512" s="39" t="s">
        <v>2224</v>
      </c>
      <c r="R512" s="35" t="s">
        <v>916</v>
      </c>
      <c r="S512" s="35"/>
      <c r="T512" s="35" t="s">
        <v>1624</v>
      </c>
      <c r="U512" s="40">
        <v>46086</v>
      </c>
      <c r="V512" s="41">
        <v>46153.532743055555</v>
      </c>
      <c r="W512" s="40">
        <v>46085</v>
      </c>
      <c r="X512" s="35" t="s">
        <v>916</v>
      </c>
      <c r="Y512" s="35" t="s">
        <v>916</v>
      </c>
      <c r="Z512" s="35" t="s">
        <v>916</v>
      </c>
      <c r="AA512" s="38">
        <v>118.6822222224</v>
      </c>
      <c r="AB512" s="42" t="s">
        <v>916</v>
      </c>
      <c r="AC512" s="43" t="s">
        <v>916</v>
      </c>
      <c r="AD512" s="43" t="s">
        <v>916</v>
      </c>
      <c r="AE512" s="33" t="s">
        <v>916</v>
      </c>
      <c r="AF512" s="35" t="s">
        <v>916</v>
      </c>
      <c r="AG512" s="44">
        <v>492514.3666666667</v>
      </c>
      <c r="AH512" s="42" t="s">
        <v>916</v>
      </c>
      <c r="AI512" s="32" t="e">
        <f>VLOOKUP(A512,'4月明細'!B:B,1,0)</f>
        <v>#N/A</v>
      </c>
    </row>
    <row r="513" spans="1:35" ht="19.95" customHeight="1" x14ac:dyDescent="0.3">
      <c r="A513" s="33" t="s">
        <v>542</v>
      </c>
      <c r="B513" s="34">
        <v>46085.434918981482</v>
      </c>
      <c r="C513" s="34" t="str">
        <f t="shared" si="20"/>
        <v>202603</v>
      </c>
      <c r="D513" s="35" t="s">
        <v>996</v>
      </c>
      <c r="E513" s="36" t="s">
        <v>910</v>
      </c>
      <c r="F513" s="36" t="s">
        <v>2225</v>
      </c>
      <c r="G513" s="37" t="s">
        <v>2226</v>
      </c>
      <c r="H513" s="36" t="s">
        <v>954</v>
      </c>
      <c r="I513" s="35"/>
      <c r="J513" s="36" t="s">
        <v>914</v>
      </c>
      <c r="K513" s="33" t="s">
        <v>916</v>
      </c>
      <c r="L513" s="35" t="s">
        <v>916</v>
      </c>
      <c r="M513" s="36" t="s">
        <v>957</v>
      </c>
      <c r="N513" s="45">
        <v>46085.884722222225</v>
      </c>
      <c r="O513" s="36" t="s">
        <v>25</v>
      </c>
      <c r="P513" s="38">
        <v>0.4498032407</v>
      </c>
      <c r="Q513" s="39" t="s">
        <v>1404</v>
      </c>
      <c r="R513" s="35" t="s">
        <v>916</v>
      </c>
      <c r="S513" s="35"/>
      <c r="T513" s="35" t="s">
        <v>1624</v>
      </c>
      <c r="U513" s="40">
        <v>46086</v>
      </c>
      <c r="V513" s="41">
        <v>46153.532743055555</v>
      </c>
      <c r="W513" s="40">
        <v>46085</v>
      </c>
      <c r="X513" s="35" t="s">
        <v>916</v>
      </c>
      <c r="Y513" s="35" t="s">
        <v>916</v>
      </c>
      <c r="Z513" s="35" t="s">
        <v>916</v>
      </c>
      <c r="AA513" s="38">
        <v>10.795277776800001</v>
      </c>
      <c r="AB513" s="42" t="s">
        <v>916</v>
      </c>
      <c r="AC513" s="43" t="s">
        <v>916</v>
      </c>
      <c r="AD513" s="43" t="s">
        <v>916</v>
      </c>
      <c r="AE513" s="33" t="s">
        <v>916</v>
      </c>
      <c r="AF513" s="35" t="s">
        <v>916</v>
      </c>
      <c r="AG513" s="44">
        <v>0</v>
      </c>
      <c r="AH513" s="42" t="s">
        <v>916</v>
      </c>
      <c r="AI513" s="32" t="e">
        <f>VLOOKUP(A513,'4月明細'!B:B,1,0)</f>
        <v>#N/A</v>
      </c>
    </row>
    <row r="514" spans="1:35" ht="19.95" customHeight="1" x14ac:dyDescent="0.3">
      <c r="A514" s="33" t="s">
        <v>541</v>
      </c>
      <c r="B514" s="34">
        <v>46085.424270833333</v>
      </c>
      <c r="C514" s="34" t="str">
        <f t="shared" si="20"/>
        <v>202603</v>
      </c>
      <c r="D514" s="35" t="s">
        <v>996</v>
      </c>
      <c r="E514" s="36" t="s">
        <v>910</v>
      </c>
      <c r="F514" s="36" t="s">
        <v>2039</v>
      </c>
      <c r="G514" s="37" t="s">
        <v>2226</v>
      </c>
      <c r="H514" s="36" t="s">
        <v>954</v>
      </c>
      <c r="I514" s="35"/>
      <c r="J514" s="36" t="s">
        <v>914</v>
      </c>
      <c r="K514" s="33" t="s">
        <v>916</v>
      </c>
      <c r="L514" s="35" t="s">
        <v>916</v>
      </c>
      <c r="M514" s="36" t="s">
        <v>957</v>
      </c>
      <c r="N514" s="45">
        <v>46085.883333333331</v>
      </c>
      <c r="O514" s="36" t="s">
        <v>25</v>
      </c>
      <c r="P514" s="38">
        <v>0.45906249999999998</v>
      </c>
      <c r="Q514" s="39" t="s">
        <v>1404</v>
      </c>
      <c r="R514" s="35" t="s">
        <v>916</v>
      </c>
      <c r="S514" s="35"/>
      <c r="T514" s="35" t="s">
        <v>1624</v>
      </c>
      <c r="U514" s="40">
        <v>46086</v>
      </c>
      <c r="V514" s="41">
        <v>46153.532743055555</v>
      </c>
      <c r="W514" s="40">
        <v>46085</v>
      </c>
      <c r="X514" s="35" t="s">
        <v>916</v>
      </c>
      <c r="Y514" s="35" t="s">
        <v>916</v>
      </c>
      <c r="Z514" s="35" t="s">
        <v>916</v>
      </c>
      <c r="AA514" s="38">
        <v>11.0175</v>
      </c>
      <c r="AB514" s="42" t="s">
        <v>916</v>
      </c>
      <c r="AC514" s="43" t="s">
        <v>916</v>
      </c>
      <c r="AD514" s="43" t="s">
        <v>916</v>
      </c>
      <c r="AE514" s="33" t="s">
        <v>916</v>
      </c>
      <c r="AF514" s="35" t="s">
        <v>916</v>
      </c>
      <c r="AG514" s="44">
        <v>0</v>
      </c>
      <c r="AH514" s="42" t="s">
        <v>916</v>
      </c>
      <c r="AI514" s="32" t="e">
        <f>VLOOKUP(A514,'4月明細'!B:B,1,0)</f>
        <v>#N/A</v>
      </c>
    </row>
    <row r="515" spans="1:35" ht="19.95" customHeight="1" x14ac:dyDescent="0.3">
      <c r="A515" s="33" t="s">
        <v>540</v>
      </c>
      <c r="B515" s="34">
        <v>46085.096585648149</v>
      </c>
      <c r="C515" s="34" t="str">
        <f t="shared" ref="C515:C578" si="21">TEXT(B515,"YYYYMM")</f>
        <v>202603</v>
      </c>
      <c r="D515" s="35" t="s">
        <v>1510</v>
      </c>
      <c r="E515" s="36" t="s">
        <v>942</v>
      </c>
      <c r="F515" s="36" t="s">
        <v>1282</v>
      </c>
      <c r="G515" s="37" t="s">
        <v>2227</v>
      </c>
      <c r="H515" s="36" t="s">
        <v>989</v>
      </c>
      <c r="I515" s="35"/>
      <c r="J515" s="36" t="s">
        <v>945</v>
      </c>
      <c r="K515" s="33" t="s">
        <v>916</v>
      </c>
      <c r="L515" s="35" t="s">
        <v>916</v>
      </c>
      <c r="M515" s="36" t="s">
        <v>1039</v>
      </c>
      <c r="N515" s="45">
        <v>46085.884027777778</v>
      </c>
      <c r="O515" s="36" t="s">
        <v>25</v>
      </c>
      <c r="P515" s="38">
        <v>0.78744212960000004</v>
      </c>
      <c r="Q515" s="39" t="s">
        <v>994</v>
      </c>
      <c r="R515" s="35" t="s">
        <v>916</v>
      </c>
      <c r="S515" s="35"/>
      <c r="T515" s="35" t="s">
        <v>1624</v>
      </c>
      <c r="U515" s="40">
        <v>46086</v>
      </c>
      <c r="V515" s="41">
        <v>46153.532743055555</v>
      </c>
      <c r="W515" s="40">
        <v>46085</v>
      </c>
      <c r="X515" s="35" t="s">
        <v>916</v>
      </c>
      <c r="Y515" s="35" t="s">
        <v>916</v>
      </c>
      <c r="Z515" s="35" t="s">
        <v>916</v>
      </c>
      <c r="AA515" s="38">
        <v>18.898611110400001</v>
      </c>
      <c r="AB515" s="42" t="s">
        <v>916</v>
      </c>
      <c r="AC515" s="43" t="s">
        <v>916</v>
      </c>
      <c r="AD515" s="43" t="s">
        <v>916</v>
      </c>
      <c r="AE515" s="33" t="s">
        <v>916</v>
      </c>
      <c r="AF515" s="35" t="s">
        <v>916</v>
      </c>
      <c r="AG515" s="44">
        <v>0</v>
      </c>
      <c r="AH515" s="42" t="s">
        <v>916</v>
      </c>
      <c r="AI515" s="32" t="e">
        <f>VLOOKUP(A515,'4月明細'!B:B,1,0)</f>
        <v>#N/A</v>
      </c>
    </row>
    <row r="516" spans="1:35" ht="19.95" customHeight="1" x14ac:dyDescent="0.3">
      <c r="A516" s="33" t="s">
        <v>2228</v>
      </c>
      <c r="B516" s="34">
        <v>46084.618067129632</v>
      </c>
      <c r="C516" s="34" t="str">
        <f t="shared" si="21"/>
        <v>202603</v>
      </c>
      <c r="D516" s="35" t="s">
        <v>996</v>
      </c>
      <c r="E516" s="36" t="s">
        <v>910</v>
      </c>
      <c r="F516" s="36" t="s">
        <v>2039</v>
      </c>
      <c r="G516" s="37" t="s">
        <v>2229</v>
      </c>
      <c r="H516" s="36" t="s">
        <v>954</v>
      </c>
      <c r="I516" s="35"/>
      <c r="J516" s="36" t="s">
        <v>914</v>
      </c>
      <c r="K516" s="33" t="s">
        <v>916</v>
      </c>
      <c r="L516" s="35" t="s">
        <v>916</v>
      </c>
      <c r="M516" s="36" t="s">
        <v>957</v>
      </c>
      <c r="N516" s="45">
        <v>46084.835416666669</v>
      </c>
      <c r="O516" s="36" t="s">
        <v>1920</v>
      </c>
      <c r="P516" s="38">
        <v>0.21734953700000001</v>
      </c>
      <c r="Q516" s="39" t="s">
        <v>2230</v>
      </c>
      <c r="R516" s="35" t="s">
        <v>916</v>
      </c>
      <c r="S516" s="35"/>
      <c r="T516" s="35" t="s">
        <v>1624</v>
      </c>
      <c r="U516" s="40">
        <v>46085</v>
      </c>
      <c r="V516" s="41">
        <v>46153.532743055555</v>
      </c>
      <c r="W516" s="40">
        <v>46084</v>
      </c>
      <c r="X516" s="35" t="s">
        <v>916</v>
      </c>
      <c r="Y516" s="35" t="s">
        <v>916</v>
      </c>
      <c r="Z516" s="35" t="s">
        <v>916</v>
      </c>
      <c r="AA516" s="38">
        <v>5.216388888</v>
      </c>
      <c r="AB516" s="42" t="s">
        <v>916</v>
      </c>
      <c r="AC516" s="43" t="s">
        <v>916</v>
      </c>
      <c r="AD516" s="43" t="s">
        <v>916</v>
      </c>
      <c r="AE516" s="33" t="s">
        <v>916</v>
      </c>
      <c r="AF516" s="35" t="s">
        <v>916</v>
      </c>
      <c r="AG516" s="44">
        <v>0</v>
      </c>
      <c r="AH516" s="42" t="s">
        <v>916</v>
      </c>
      <c r="AI516" s="32" t="e">
        <f>VLOOKUP(A516,'4月明細'!B:B,1,0)</f>
        <v>#N/A</v>
      </c>
    </row>
    <row r="517" spans="1:35" ht="19.95" customHeight="1" x14ac:dyDescent="0.3">
      <c r="A517" s="33" t="s">
        <v>539</v>
      </c>
      <c r="B517" s="34">
        <v>46084.616550925923</v>
      </c>
      <c r="C517" s="34" t="str">
        <f t="shared" si="21"/>
        <v>202603</v>
      </c>
      <c r="D517" s="35" t="s">
        <v>996</v>
      </c>
      <c r="E517" s="36" t="s">
        <v>910</v>
      </c>
      <c r="F517" s="36" t="s">
        <v>2039</v>
      </c>
      <c r="G517" s="37" t="s">
        <v>1444</v>
      </c>
      <c r="H517" s="36" t="s">
        <v>954</v>
      </c>
      <c r="I517" s="35"/>
      <c r="J517" s="36" t="s">
        <v>914</v>
      </c>
      <c r="K517" s="33" t="s">
        <v>916</v>
      </c>
      <c r="L517" s="35" t="s">
        <v>916</v>
      </c>
      <c r="M517" s="36" t="s">
        <v>957</v>
      </c>
      <c r="N517" s="45">
        <v>46084.834722222222</v>
      </c>
      <c r="O517" s="36" t="s">
        <v>25</v>
      </c>
      <c r="P517" s="38">
        <v>0.21817129630000001</v>
      </c>
      <c r="Q517" s="39" t="s">
        <v>2231</v>
      </c>
      <c r="R517" s="35" t="s">
        <v>916</v>
      </c>
      <c r="S517" s="35" t="s">
        <v>2232</v>
      </c>
      <c r="T517" s="35" t="s">
        <v>1624</v>
      </c>
      <c r="U517" s="40">
        <v>46085</v>
      </c>
      <c r="V517" s="41">
        <v>46153.532743055555</v>
      </c>
      <c r="W517" s="40">
        <v>46084</v>
      </c>
      <c r="X517" s="35" t="s">
        <v>916</v>
      </c>
      <c r="Y517" s="35" t="s">
        <v>916</v>
      </c>
      <c r="Z517" s="35" t="s">
        <v>916</v>
      </c>
      <c r="AA517" s="38">
        <v>5.2361111111999996</v>
      </c>
      <c r="AB517" s="42" t="s">
        <v>916</v>
      </c>
      <c r="AC517" s="43" t="s">
        <v>916</v>
      </c>
      <c r="AD517" s="43" t="s">
        <v>916</v>
      </c>
      <c r="AE517" s="33" t="s">
        <v>916</v>
      </c>
      <c r="AF517" s="35" t="s">
        <v>916</v>
      </c>
      <c r="AG517" s="44">
        <v>492380.05</v>
      </c>
      <c r="AH517" s="42" t="s">
        <v>916</v>
      </c>
      <c r="AI517" s="32" t="e">
        <f>VLOOKUP(A517,'4月明細'!B:B,1,0)</f>
        <v>#N/A</v>
      </c>
    </row>
    <row r="518" spans="1:35" ht="19.95" customHeight="1" x14ac:dyDescent="0.3">
      <c r="A518" s="33" t="s">
        <v>538</v>
      </c>
      <c r="B518" s="34">
        <v>46084.59269675926</v>
      </c>
      <c r="C518" s="34" t="str">
        <f t="shared" si="21"/>
        <v>202603</v>
      </c>
      <c r="D518" s="35" t="s">
        <v>996</v>
      </c>
      <c r="E518" s="36" t="s">
        <v>910</v>
      </c>
      <c r="F518" s="36" t="s">
        <v>1220</v>
      </c>
      <c r="G518" s="37" t="s">
        <v>2233</v>
      </c>
      <c r="H518" s="36" t="s">
        <v>928</v>
      </c>
      <c r="I518" s="35"/>
      <c r="J518" s="36" t="s">
        <v>914</v>
      </c>
      <c r="K518" s="33" t="s">
        <v>916</v>
      </c>
      <c r="L518" s="35" t="s">
        <v>916</v>
      </c>
      <c r="M518" s="36" t="s">
        <v>957</v>
      </c>
      <c r="N518" s="45">
        <v>46084.597222222219</v>
      </c>
      <c r="O518" s="36" t="s">
        <v>25</v>
      </c>
      <c r="P518" s="38">
        <v>4.5254630000000004E-3</v>
      </c>
      <c r="Q518" s="39" t="s">
        <v>1404</v>
      </c>
      <c r="R518" s="35" t="s">
        <v>916</v>
      </c>
      <c r="S518" s="35"/>
      <c r="T518" s="35" t="s">
        <v>1624</v>
      </c>
      <c r="U518" s="40">
        <v>46085</v>
      </c>
      <c r="V518" s="41">
        <v>46153.532743055555</v>
      </c>
      <c r="W518" s="40">
        <v>46084</v>
      </c>
      <c r="X518" s="35" t="s">
        <v>916</v>
      </c>
      <c r="Y518" s="35" t="s">
        <v>916</v>
      </c>
      <c r="Z518" s="35" t="s">
        <v>916</v>
      </c>
      <c r="AA518" s="38">
        <v>0.108611112</v>
      </c>
      <c r="AB518" s="42" t="s">
        <v>916</v>
      </c>
      <c r="AC518" s="43" t="s">
        <v>916</v>
      </c>
      <c r="AD518" s="43" t="s">
        <v>916</v>
      </c>
      <c r="AE518" s="33" t="s">
        <v>916</v>
      </c>
      <c r="AF518" s="35" t="s">
        <v>916</v>
      </c>
      <c r="AG518" s="44">
        <v>0</v>
      </c>
      <c r="AH518" s="42" t="s">
        <v>916</v>
      </c>
      <c r="AI518" s="32" t="e">
        <f>VLOOKUP(A518,'4月明細'!B:B,1,0)</f>
        <v>#N/A</v>
      </c>
    </row>
    <row r="519" spans="1:35" ht="19.95" customHeight="1" x14ac:dyDescent="0.3">
      <c r="A519" s="33" t="s">
        <v>537</v>
      </c>
      <c r="B519" s="34">
        <v>46084.578194444446</v>
      </c>
      <c r="C519" s="34" t="str">
        <f t="shared" si="21"/>
        <v>202603</v>
      </c>
      <c r="D519" s="35" t="s">
        <v>996</v>
      </c>
      <c r="E519" s="36" t="s">
        <v>910</v>
      </c>
      <c r="F519" s="36" t="s">
        <v>2225</v>
      </c>
      <c r="G519" s="37" t="s">
        <v>2234</v>
      </c>
      <c r="H519" s="36" t="s">
        <v>954</v>
      </c>
      <c r="I519" s="35"/>
      <c r="J519" s="36" t="s">
        <v>914</v>
      </c>
      <c r="K519" s="33" t="s">
        <v>916</v>
      </c>
      <c r="L519" s="35" t="s">
        <v>916</v>
      </c>
      <c r="M519" s="36" t="s">
        <v>923</v>
      </c>
      <c r="N519" s="45">
        <v>46084.837500000001</v>
      </c>
      <c r="O519" s="36" t="s">
        <v>25</v>
      </c>
      <c r="P519" s="38">
        <v>0.25930555560000002</v>
      </c>
      <c r="Q519" s="39" t="s">
        <v>2235</v>
      </c>
      <c r="R519" s="35" t="s">
        <v>916</v>
      </c>
      <c r="S519" s="35"/>
      <c r="T519" s="35" t="s">
        <v>1624</v>
      </c>
      <c r="U519" s="40">
        <v>46085</v>
      </c>
      <c r="V519" s="41">
        <v>46153.532743055555</v>
      </c>
      <c r="W519" s="40">
        <v>46084</v>
      </c>
      <c r="X519" s="35" t="s">
        <v>916</v>
      </c>
      <c r="Y519" s="35" t="s">
        <v>916</v>
      </c>
      <c r="Z519" s="35" t="s">
        <v>916</v>
      </c>
      <c r="AA519" s="38">
        <v>6.2233333344000004</v>
      </c>
      <c r="AB519" s="42" t="s">
        <v>916</v>
      </c>
      <c r="AC519" s="43" t="s">
        <v>916</v>
      </c>
      <c r="AD519" s="43" t="s">
        <v>916</v>
      </c>
      <c r="AE519" s="33" t="s">
        <v>916</v>
      </c>
      <c r="AF519" s="35" t="s">
        <v>916</v>
      </c>
      <c r="AG519" s="44">
        <v>0</v>
      </c>
      <c r="AH519" s="42" t="s">
        <v>916</v>
      </c>
      <c r="AI519" s="32" t="e">
        <f>VLOOKUP(A519,'4月明細'!B:B,1,0)</f>
        <v>#N/A</v>
      </c>
    </row>
    <row r="520" spans="1:35" ht="19.95" customHeight="1" x14ac:dyDescent="0.3">
      <c r="A520" s="33" t="s">
        <v>536</v>
      </c>
      <c r="B520" s="34">
        <v>46084.497581018521</v>
      </c>
      <c r="C520" s="34" t="str">
        <f t="shared" si="21"/>
        <v>202603</v>
      </c>
      <c r="D520" s="35" t="s">
        <v>996</v>
      </c>
      <c r="E520" s="36" t="s">
        <v>910</v>
      </c>
      <c r="F520" s="36" t="s">
        <v>911</v>
      </c>
      <c r="G520" s="37" t="s">
        <v>2236</v>
      </c>
      <c r="H520" s="36" t="s">
        <v>928</v>
      </c>
      <c r="I520" s="35"/>
      <c r="J520" s="36" t="s">
        <v>914</v>
      </c>
      <c r="K520" s="33" t="s">
        <v>916</v>
      </c>
      <c r="L520" s="35" t="s">
        <v>916</v>
      </c>
      <c r="M520" s="36" t="s">
        <v>923</v>
      </c>
      <c r="N520" s="45">
        <v>46084.837500000001</v>
      </c>
      <c r="O520" s="36" t="s">
        <v>25</v>
      </c>
      <c r="P520" s="38">
        <v>0.33991898149999999</v>
      </c>
      <c r="Q520" s="39" t="s">
        <v>2237</v>
      </c>
      <c r="R520" s="35" t="s">
        <v>916</v>
      </c>
      <c r="S520" s="35"/>
      <c r="T520" s="35" t="s">
        <v>1624</v>
      </c>
      <c r="U520" s="40">
        <v>46085</v>
      </c>
      <c r="V520" s="41">
        <v>46153.532743055555</v>
      </c>
      <c r="W520" s="40">
        <v>46084</v>
      </c>
      <c r="X520" s="35" t="s">
        <v>916</v>
      </c>
      <c r="Y520" s="35" t="s">
        <v>916</v>
      </c>
      <c r="Z520" s="35" t="s">
        <v>916</v>
      </c>
      <c r="AA520" s="38">
        <v>8.1580555560000008</v>
      </c>
      <c r="AB520" s="42" t="s">
        <v>916</v>
      </c>
      <c r="AC520" s="43" t="s">
        <v>916</v>
      </c>
      <c r="AD520" s="43" t="s">
        <v>916</v>
      </c>
      <c r="AE520" s="33" t="s">
        <v>916</v>
      </c>
      <c r="AF520" s="35" t="s">
        <v>916</v>
      </c>
      <c r="AG520" s="44">
        <v>0</v>
      </c>
      <c r="AH520" s="42" t="s">
        <v>916</v>
      </c>
      <c r="AI520" s="32" t="e">
        <f>VLOOKUP(A520,'4月明細'!B:B,1,0)</f>
        <v>#N/A</v>
      </c>
    </row>
    <row r="521" spans="1:35" ht="19.95" customHeight="1" x14ac:dyDescent="0.3">
      <c r="A521" s="33" t="s">
        <v>535</v>
      </c>
      <c r="B521" s="34">
        <v>46084.489421296297</v>
      </c>
      <c r="C521" s="34" t="str">
        <f t="shared" si="21"/>
        <v>202603</v>
      </c>
      <c r="D521" s="35" t="s">
        <v>1014</v>
      </c>
      <c r="E521" s="36" t="s">
        <v>942</v>
      </c>
      <c r="F521" s="36" t="s">
        <v>2043</v>
      </c>
      <c r="G521" s="37" t="s">
        <v>2238</v>
      </c>
      <c r="H521" s="36" t="s">
        <v>954</v>
      </c>
      <c r="I521" s="35"/>
      <c r="J521" s="36" t="s">
        <v>945</v>
      </c>
      <c r="K521" s="33" t="s">
        <v>916</v>
      </c>
      <c r="L521" s="35" t="s">
        <v>916</v>
      </c>
      <c r="M521" s="36" t="s">
        <v>923</v>
      </c>
      <c r="N521" s="45">
        <v>46084.597222222219</v>
      </c>
      <c r="O521" s="36" t="s">
        <v>25</v>
      </c>
      <c r="P521" s="38">
        <v>0.1078009259</v>
      </c>
      <c r="Q521" s="39" t="s">
        <v>1174</v>
      </c>
      <c r="R521" s="35" t="s">
        <v>916</v>
      </c>
      <c r="S521" s="35"/>
      <c r="T521" s="35" t="s">
        <v>1624</v>
      </c>
      <c r="U521" s="40">
        <v>46085</v>
      </c>
      <c r="V521" s="41">
        <v>46153.532743055555</v>
      </c>
      <c r="W521" s="40">
        <v>46084</v>
      </c>
      <c r="X521" s="35" t="s">
        <v>916</v>
      </c>
      <c r="Y521" s="35" t="s">
        <v>916</v>
      </c>
      <c r="Z521" s="35" t="s">
        <v>916</v>
      </c>
      <c r="AA521" s="38">
        <v>2.5872222215999998</v>
      </c>
      <c r="AB521" s="42" t="s">
        <v>916</v>
      </c>
      <c r="AC521" s="43" t="s">
        <v>916</v>
      </c>
      <c r="AD521" s="43" t="s">
        <v>916</v>
      </c>
      <c r="AE521" s="33" t="s">
        <v>916</v>
      </c>
      <c r="AF521" s="35" t="s">
        <v>916</v>
      </c>
      <c r="AG521" s="44">
        <v>0</v>
      </c>
      <c r="AH521" s="42" t="s">
        <v>916</v>
      </c>
      <c r="AI521" s="32" t="e">
        <f>VLOOKUP(A521,'4月明細'!B:B,1,0)</f>
        <v>#N/A</v>
      </c>
    </row>
    <row r="522" spans="1:35" ht="19.95" customHeight="1" x14ac:dyDescent="0.3">
      <c r="A522" s="33" t="s">
        <v>534</v>
      </c>
      <c r="B522" s="34">
        <v>46084.46361111111</v>
      </c>
      <c r="C522" s="34" t="str">
        <f t="shared" si="21"/>
        <v>202603</v>
      </c>
      <c r="D522" s="35" t="s">
        <v>996</v>
      </c>
      <c r="E522" s="36" t="s">
        <v>910</v>
      </c>
      <c r="F522" s="36" t="s">
        <v>1534</v>
      </c>
      <c r="G522" s="37" t="s">
        <v>998</v>
      </c>
      <c r="H522" s="36" t="s">
        <v>928</v>
      </c>
      <c r="I522" s="35"/>
      <c r="J522" s="36" t="s">
        <v>914</v>
      </c>
      <c r="K522" s="33" t="s">
        <v>916</v>
      </c>
      <c r="L522" s="35" t="s">
        <v>916</v>
      </c>
      <c r="M522" s="36" t="s">
        <v>923</v>
      </c>
      <c r="N522" s="45">
        <v>46084.597916666666</v>
      </c>
      <c r="O522" s="36" t="s">
        <v>25</v>
      </c>
      <c r="P522" s="38">
        <v>0.13430555559999999</v>
      </c>
      <c r="Q522" s="39" t="s">
        <v>1404</v>
      </c>
      <c r="R522" s="35" t="s">
        <v>916</v>
      </c>
      <c r="S522" s="35"/>
      <c r="T522" s="35" t="s">
        <v>1624</v>
      </c>
      <c r="U522" s="40">
        <v>46085</v>
      </c>
      <c r="V522" s="41">
        <v>46153.532743055555</v>
      </c>
      <c r="W522" s="40">
        <v>46084</v>
      </c>
      <c r="X522" s="35" t="s">
        <v>916</v>
      </c>
      <c r="Y522" s="35" t="s">
        <v>916</v>
      </c>
      <c r="Z522" s="35" t="s">
        <v>916</v>
      </c>
      <c r="AA522" s="38">
        <v>3.2233333343999999</v>
      </c>
      <c r="AB522" s="42" t="s">
        <v>916</v>
      </c>
      <c r="AC522" s="43" t="s">
        <v>916</v>
      </c>
      <c r="AD522" s="43" t="s">
        <v>916</v>
      </c>
      <c r="AE522" s="33" t="s">
        <v>916</v>
      </c>
      <c r="AF522" s="35" t="s">
        <v>916</v>
      </c>
      <c r="AG522" s="44">
        <v>0</v>
      </c>
      <c r="AH522" s="42" t="s">
        <v>916</v>
      </c>
      <c r="AI522" s="32" t="e">
        <f>VLOOKUP(A522,'4月明細'!B:B,1,0)</f>
        <v>#N/A</v>
      </c>
    </row>
    <row r="523" spans="1:35" ht="19.95" customHeight="1" x14ac:dyDescent="0.3">
      <c r="A523" s="33" t="s">
        <v>533</v>
      </c>
      <c r="B523" s="34">
        <v>46083.646134259259</v>
      </c>
      <c r="C523" s="34" t="str">
        <f t="shared" si="21"/>
        <v>202603</v>
      </c>
      <c r="D523" s="35" t="s">
        <v>951</v>
      </c>
      <c r="E523" s="36" t="s">
        <v>910</v>
      </c>
      <c r="F523" s="36" t="s">
        <v>1341</v>
      </c>
      <c r="G523" s="37" t="s">
        <v>2239</v>
      </c>
      <c r="H523" s="36" t="s">
        <v>954</v>
      </c>
      <c r="I523" s="35" t="s">
        <v>2240</v>
      </c>
      <c r="J523" s="36" t="s">
        <v>929</v>
      </c>
      <c r="K523" s="33" t="s">
        <v>916</v>
      </c>
      <c r="L523" s="35" t="s">
        <v>916</v>
      </c>
      <c r="M523" s="36" t="s">
        <v>957</v>
      </c>
      <c r="N523" s="45">
        <v>46083.818055555559</v>
      </c>
      <c r="O523" s="36" t="s">
        <v>25</v>
      </c>
      <c r="P523" s="38">
        <v>0.1719212963</v>
      </c>
      <c r="Q523" s="39" t="s">
        <v>1404</v>
      </c>
      <c r="R523" s="35" t="s">
        <v>916</v>
      </c>
      <c r="S523" s="35"/>
      <c r="T523" s="35" t="s">
        <v>1624</v>
      </c>
      <c r="U523" s="40">
        <v>46084</v>
      </c>
      <c r="V523" s="41">
        <v>46153.532743055555</v>
      </c>
      <c r="W523" s="40">
        <v>46083</v>
      </c>
      <c r="X523" s="35" t="s">
        <v>916</v>
      </c>
      <c r="Y523" s="35" t="s">
        <v>916</v>
      </c>
      <c r="Z523" s="35" t="s">
        <v>916</v>
      </c>
      <c r="AA523" s="38">
        <v>4.1261111112000002</v>
      </c>
      <c r="AB523" s="42" t="s">
        <v>916</v>
      </c>
      <c r="AC523" s="43" t="s">
        <v>916</v>
      </c>
      <c r="AD523" s="43" t="s">
        <v>916</v>
      </c>
      <c r="AE523" s="33" t="s">
        <v>916</v>
      </c>
      <c r="AF523" s="35" t="s">
        <v>916</v>
      </c>
      <c r="AG523" s="44">
        <v>0</v>
      </c>
      <c r="AH523" s="42" t="s">
        <v>916</v>
      </c>
      <c r="AI523" s="32" t="e">
        <f>VLOOKUP(A523,'4月明細'!B:B,1,0)</f>
        <v>#N/A</v>
      </c>
    </row>
    <row r="524" spans="1:35" ht="19.95" customHeight="1" x14ac:dyDescent="0.3">
      <c r="A524" s="33" t="s">
        <v>2241</v>
      </c>
      <c r="B524" s="34">
        <v>46083.484791666669</v>
      </c>
      <c r="C524" s="34" t="str">
        <f t="shared" si="21"/>
        <v>202603</v>
      </c>
      <c r="D524" s="35" t="s">
        <v>986</v>
      </c>
      <c r="E524" s="36" t="s">
        <v>910</v>
      </c>
      <c r="F524" s="36" t="s">
        <v>1686</v>
      </c>
      <c r="G524" s="37" t="s">
        <v>2242</v>
      </c>
      <c r="H524" s="36" t="s">
        <v>928</v>
      </c>
      <c r="I524" s="35"/>
      <c r="J524" s="36" t="s">
        <v>929</v>
      </c>
      <c r="K524" s="33" t="s">
        <v>916</v>
      </c>
      <c r="L524" s="35" t="s">
        <v>916</v>
      </c>
      <c r="M524" s="36" t="s">
        <v>1039</v>
      </c>
      <c r="N524" s="45">
        <v>46086.390972222223</v>
      </c>
      <c r="O524" s="36" t="s">
        <v>1920</v>
      </c>
      <c r="P524" s="38">
        <v>2.9061805556000002</v>
      </c>
      <c r="Q524" s="39" t="s">
        <v>2230</v>
      </c>
      <c r="R524" s="35" t="s">
        <v>916</v>
      </c>
      <c r="S524" s="35"/>
      <c r="T524" s="35" t="s">
        <v>1624</v>
      </c>
      <c r="U524" s="40">
        <v>46084</v>
      </c>
      <c r="V524" s="41">
        <v>46153.532743055555</v>
      </c>
      <c r="W524" s="40">
        <v>46083</v>
      </c>
      <c r="X524" s="35" t="s">
        <v>916</v>
      </c>
      <c r="Y524" s="35" t="s">
        <v>916</v>
      </c>
      <c r="Z524" s="35" t="s">
        <v>916</v>
      </c>
      <c r="AA524" s="38">
        <v>69.748333334400002</v>
      </c>
      <c r="AB524" s="42" t="s">
        <v>916</v>
      </c>
      <c r="AC524" s="43" t="s">
        <v>916</v>
      </c>
      <c r="AD524" s="43" t="s">
        <v>916</v>
      </c>
      <c r="AE524" s="33" t="s">
        <v>916</v>
      </c>
      <c r="AF524" s="35" t="s">
        <v>916</v>
      </c>
      <c r="AG524" s="44">
        <v>0</v>
      </c>
      <c r="AH524" s="42" t="s">
        <v>916</v>
      </c>
      <c r="AI524" s="32" t="e">
        <f>VLOOKUP(A524,'4月明細'!B:B,1,0)</f>
        <v>#N/A</v>
      </c>
    </row>
    <row r="525" spans="1:35" ht="19.95" customHeight="1" x14ac:dyDescent="0.3">
      <c r="A525" s="33" t="s">
        <v>532</v>
      </c>
      <c r="B525" s="34">
        <v>46082.918356481481</v>
      </c>
      <c r="C525" s="34" t="str">
        <f t="shared" si="21"/>
        <v>202603</v>
      </c>
      <c r="D525" s="35" t="s">
        <v>1747</v>
      </c>
      <c r="E525" s="36" t="s">
        <v>942</v>
      </c>
      <c r="F525" s="36" t="s">
        <v>1338</v>
      </c>
      <c r="G525" s="37" t="s">
        <v>2243</v>
      </c>
      <c r="H525" s="36" t="s">
        <v>1078</v>
      </c>
      <c r="I525" s="35"/>
      <c r="J525" s="36" t="s">
        <v>945</v>
      </c>
      <c r="K525" s="33" t="s">
        <v>916</v>
      </c>
      <c r="L525" s="35" t="s">
        <v>916</v>
      </c>
      <c r="M525" s="36" t="s">
        <v>957</v>
      </c>
      <c r="N525" s="45">
        <v>46083.661805555559</v>
      </c>
      <c r="O525" s="36" t="s">
        <v>25</v>
      </c>
      <c r="P525" s="38">
        <v>0.74344907410000005</v>
      </c>
      <c r="Q525" s="39" t="s">
        <v>2244</v>
      </c>
      <c r="R525" s="35" t="s">
        <v>916</v>
      </c>
      <c r="S525" s="35"/>
      <c r="T525" s="35" t="s">
        <v>1624</v>
      </c>
      <c r="U525" s="40">
        <v>46083</v>
      </c>
      <c r="V525" s="41">
        <v>46153.532743055555</v>
      </c>
      <c r="W525" s="40">
        <v>46083</v>
      </c>
      <c r="X525" s="35" t="s">
        <v>916</v>
      </c>
      <c r="Y525" s="35" t="s">
        <v>916</v>
      </c>
      <c r="Z525" s="35" t="s">
        <v>916</v>
      </c>
      <c r="AA525" s="38">
        <v>17.842777778399999</v>
      </c>
      <c r="AB525" s="42" t="s">
        <v>916</v>
      </c>
      <c r="AC525" s="43" t="s">
        <v>916</v>
      </c>
      <c r="AD525" s="43" t="s">
        <v>916</v>
      </c>
      <c r="AE525" s="33" t="s">
        <v>916</v>
      </c>
      <c r="AF525" s="35" t="s">
        <v>916</v>
      </c>
      <c r="AG525" s="44">
        <v>492370.65</v>
      </c>
      <c r="AH525" s="42" t="s">
        <v>916</v>
      </c>
      <c r="AI525" s="32" t="e">
        <f>VLOOKUP(A525,'4月明細'!B:B,1,0)</f>
        <v>#N/A</v>
      </c>
    </row>
    <row r="526" spans="1:35" ht="19.95" customHeight="1" x14ac:dyDescent="0.3">
      <c r="A526" s="33" t="s">
        <v>531</v>
      </c>
      <c r="B526" s="34">
        <v>46082.679085648146</v>
      </c>
      <c r="C526" s="34" t="str">
        <f t="shared" si="21"/>
        <v>202603</v>
      </c>
      <c r="D526" s="35" t="s">
        <v>909</v>
      </c>
      <c r="E526" s="36" t="s">
        <v>910</v>
      </c>
      <c r="F526" s="36" t="s">
        <v>1833</v>
      </c>
      <c r="G526" s="37" t="s">
        <v>2245</v>
      </c>
      <c r="H526" s="36" t="s">
        <v>1078</v>
      </c>
      <c r="I526" s="35" t="s">
        <v>2246</v>
      </c>
      <c r="J526" s="36" t="s">
        <v>929</v>
      </c>
      <c r="K526" s="33" t="s">
        <v>916</v>
      </c>
      <c r="L526" s="35" t="s">
        <v>916</v>
      </c>
      <c r="M526" s="36" t="s">
        <v>957</v>
      </c>
      <c r="N526" s="45">
        <v>46083.662499999999</v>
      </c>
      <c r="O526" s="36" t="s">
        <v>25</v>
      </c>
      <c r="P526" s="38">
        <v>0.98341435180000003</v>
      </c>
      <c r="Q526" s="39" t="s">
        <v>2247</v>
      </c>
      <c r="R526" s="35" t="s">
        <v>916</v>
      </c>
      <c r="S526" s="35"/>
      <c r="T526" s="35" t="s">
        <v>1624</v>
      </c>
      <c r="U526" s="40">
        <v>46083</v>
      </c>
      <c r="V526" s="41">
        <v>46153.532743055555</v>
      </c>
      <c r="W526" s="40">
        <v>46082</v>
      </c>
      <c r="X526" s="35" t="s">
        <v>916</v>
      </c>
      <c r="Y526" s="35" t="s">
        <v>916</v>
      </c>
      <c r="Z526" s="35" t="s">
        <v>916</v>
      </c>
      <c r="AA526" s="38">
        <v>23.601944443200001</v>
      </c>
      <c r="AB526" s="42" t="s">
        <v>916</v>
      </c>
      <c r="AC526" s="43" t="s">
        <v>916</v>
      </c>
      <c r="AD526" s="43" t="s">
        <v>916</v>
      </c>
      <c r="AE526" s="33" t="s">
        <v>916</v>
      </c>
      <c r="AF526" s="35" t="s">
        <v>916</v>
      </c>
      <c r="AG526" s="44">
        <v>492370.66666666669</v>
      </c>
      <c r="AH526" s="42" t="s">
        <v>916</v>
      </c>
      <c r="AI526" s="32" t="e">
        <f>VLOOKUP(A526,'4月明細'!B:B,1,0)</f>
        <v>#N/A</v>
      </c>
    </row>
    <row r="527" spans="1:35" ht="19.95" customHeight="1" x14ac:dyDescent="0.3">
      <c r="A527" s="33" t="s">
        <v>530</v>
      </c>
      <c r="B527" s="34">
        <v>46082.61041666667</v>
      </c>
      <c r="C527" s="34" t="str">
        <f t="shared" si="21"/>
        <v>202603</v>
      </c>
      <c r="D527" s="35" t="s">
        <v>951</v>
      </c>
      <c r="E527" s="36" t="s">
        <v>910</v>
      </c>
      <c r="F527" s="36" t="s">
        <v>1672</v>
      </c>
      <c r="G527" s="37" t="s">
        <v>2248</v>
      </c>
      <c r="H527" s="36" t="s">
        <v>928</v>
      </c>
      <c r="I527" s="35"/>
      <c r="J527" s="36" t="s">
        <v>929</v>
      </c>
      <c r="K527" s="33" t="s">
        <v>916</v>
      </c>
      <c r="L527" s="35" t="s">
        <v>916</v>
      </c>
      <c r="M527" s="36" t="s">
        <v>957</v>
      </c>
      <c r="N527" s="45">
        <v>46083.662499999999</v>
      </c>
      <c r="O527" s="36" t="s">
        <v>25</v>
      </c>
      <c r="P527" s="38">
        <v>1.0520833332999999</v>
      </c>
      <c r="Q527" s="39" t="s">
        <v>2249</v>
      </c>
      <c r="R527" s="35" t="s">
        <v>916</v>
      </c>
      <c r="S527" s="35"/>
      <c r="T527" s="35" t="s">
        <v>1624</v>
      </c>
      <c r="U527" s="40">
        <v>46083</v>
      </c>
      <c r="V527" s="41">
        <v>46153.532743055555</v>
      </c>
      <c r="W527" s="40">
        <v>46082</v>
      </c>
      <c r="X527" s="35" t="s">
        <v>916</v>
      </c>
      <c r="Y527" s="35" t="s">
        <v>916</v>
      </c>
      <c r="Z527" s="35" t="s">
        <v>916</v>
      </c>
      <c r="AA527" s="38">
        <v>25.2499999992</v>
      </c>
      <c r="AB527" s="42" t="s">
        <v>916</v>
      </c>
      <c r="AC527" s="43" t="s">
        <v>916</v>
      </c>
      <c r="AD527" s="43" t="s">
        <v>916</v>
      </c>
      <c r="AE527" s="33" t="s">
        <v>916</v>
      </c>
      <c r="AF527" s="35" t="s">
        <v>916</v>
      </c>
      <c r="AG527" s="44">
        <v>492370.66666666669</v>
      </c>
      <c r="AH527" s="42" t="s">
        <v>916</v>
      </c>
      <c r="AI527" s="32" t="e">
        <f>VLOOKUP(A527,'4月明細'!B:B,1,0)</f>
        <v>#N/A</v>
      </c>
    </row>
    <row r="528" spans="1:35" ht="19.95" customHeight="1" x14ac:dyDescent="0.3">
      <c r="A528" s="33" t="s">
        <v>529</v>
      </c>
      <c r="B528" s="34">
        <v>46082.593032407407</v>
      </c>
      <c r="C528" s="34" t="str">
        <f t="shared" si="21"/>
        <v>202603</v>
      </c>
      <c r="D528" s="35" t="s">
        <v>951</v>
      </c>
      <c r="E528" s="36" t="s">
        <v>910</v>
      </c>
      <c r="F528" s="36" t="s">
        <v>1179</v>
      </c>
      <c r="G528" s="37" t="s">
        <v>2250</v>
      </c>
      <c r="H528" s="36" t="s">
        <v>928</v>
      </c>
      <c r="I528" s="35" t="s">
        <v>2251</v>
      </c>
      <c r="J528" s="36" t="s">
        <v>929</v>
      </c>
      <c r="K528" s="33" t="s">
        <v>916</v>
      </c>
      <c r="L528" s="35" t="s">
        <v>916</v>
      </c>
      <c r="M528" s="36" t="s">
        <v>957</v>
      </c>
      <c r="N528" s="45">
        <v>46084.884722222225</v>
      </c>
      <c r="O528" s="36" t="s">
        <v>25</v>
      </c>
      <c r="P528" s="38">
        <v>2.2916898147999998</v>
      </c>
      <c r="Q528" s="39" t="s">
        <v>1404</v>
      </c>
      <c r="R528" s="35" t="s">
        <v>916</v>
      </c>
      <c r="S528" s="35"/>
      <c r="T528" s="35" t="s">
        <v>1624</v>
      </c>
      <c r="U528" s="40">
        <v>46083</v>
      </c>
      <c r="V528" s="41">
        <v>46153.532743055555</v>
      </c>
      <c r="W528" s="40">
        <v>46082</v>
      </c>
      <c r="X528" s="35" t="s">
        <v>916</v>
      </c>
      <c r="Y528" s="35" t="s">
        <v>916</v>
      </c>
      <c r="Z528" s="35" t="s">
        <v>916</v>
      </c>
      <c r="AA528" s="38">
        <v>55.000555555200002</v>
      </c>
      <c r="AB528" s="42" t="s">
        <v>916</v>
      </c>
      <c r="AC528" s="43" t="s">
        <v>916</v>
      </c>
      <c r="AD528" s="43" t="s">
        <v>916</v>
      </c>
      <c r="AE528" s="33" t="s">
        <v>916</v>
      </c>
      <c r="AF528" s="35" t="s">
        <v>916</v>
      </c>
      <c r="AG528" s="44">
        <v>0</v>
      </c>
      <c r="AH528" s="42" t="s">
        <v>916</v>
      </c>
      <c r="AI528" s="32" t="e">
        <f>VLOOKUP(A528,'4月明細'!B:B,1,0)</f>
        <v>#N/A</v>
      </c>
    </row>
    <row r="529" spans="1:35" ht="19.95" customHeight="1" x14ac:dyDescent="0.3">
      <c r="A529" s="33" t="s">
        <v>528</v>
      </c>
      <c r="B529" s="34">
        <v>46082.543009259258</v>
      </c>
      <c r="C529" s="34" t="str">
        <f t="shared" si="21"/>
        <v>202603</v>
      </c>
      <c r="D529" s="35" t="s">
        <v>951</v>
      </c>
      <c r="E529" s="36" t="s">
        <v>910</v>
      </c>
      <c r="F529" s="36" t="s">
        <v>1004</v>
      </c>
      <c r="G529" s="37" t="s">
        <v>2252</v>
      </c>
      <c r="H529" s="36" t="s">
        <v>954</v>
      </c>
      <c r="I529" s="35" t="s">
        <v>2253</v>
      </c>
      <c r="J529" s="36" t="s">
        <v>929</v>
      </c>
      <c r="K529" s="33" t="s">
        <v>916</v>
      </c>
      <c r="L529" s="35" t="s">
        <v>916</v>
      </c>
      <c r="M529" s="36" t="s">
        <v>957</v>
      </c>
      <c r="N529" s="45">
        <v>46083.661111111112</v>
      </c>
      <c r="O529" s="36" t="s">
        <v>25</v>
      </c>
      <c r="P529" s="38">
        <v>1.1181018519000001</v>
      </c>
      <c r="Q529" s="39" t="s">
        <v>2254</v>
      </c>
      <c r="R529" s="35" t="s">
        <v>916</v>
      </c>
      <c r="S529" s="35" t="s">
        <v>2255</v>
      </c>
      <c r="T529" s="35" t="s">
        <v>1624</v>
      </c>
      <c r="U529" s="40">
        <v>46083</v>
      </c>
      <c r="V529" s="41">
        <v>46153.532743055555</v>
      </c>
      <c r="W529" s="40">
        <v>46082</v>
      </c>
      <c r="X529" s="35" t="s">
        <v>916</v>
      </c>
      <c r="Y529" s="35" t="s">
        <v>916</v>
      </c>
      <c r="Z529" s="35" t="s">
        <v>916</v>
      </c>
      <c r="AA529" s="38">
        <v>26.834444445599999</v>
      </c>
      <c r="AB529" s="42" t="s">
        <v>916</v>
      </c>
      <c r="AC529" s="43" t="s">
        <v>916</v>
      </c>
      <c r="AD529" s="43" t="s">
        <v>916</v>
      </c>
      <c r="AE529" s="33" t="s">
        <v>916</v>
      </c>
      <c r="AF529" s="35" t="s">
        <v>916</v>
      </c>
      <c r="AG529" s="44">
        <v>492370.7333333334</v>
      </c>
      <c r="AH529" s="42" t="s">
        <v>916</v>
      </c>
      <c r="AI529" s="32" t="e">
        <f>VLOOKUP(A529,'4月明細'!B:B,1,0)</f>
        <v>#N/A</v>
      </c>
    </row>
    <row r="530" spans="1:35" ht="19.95" customHeight="1" x14ac:dyDescent="0.3">
      <c r="A530" s="33" t="s">
        <v>527</v>
      </c>
      <c r="B530" s="34">
        <v>46081.442604166667</v>
      </c>
      <c r="C530" s="34" t="str">
        <f t="shared" si="21"/>
        <v>202602</v>
      </c>
      <c r="D530" s="35" t="s">
        <v>951</v>
      </c>
      <c r="E530" s="36" t="s">
        <v>942</v>
      </c>
      <c r="F530" s="36" t="s">
        <v>1783</v>
      </c>
      <c r="G530" s="37" t="s">
        <v>2256</v>
      </c>
      <c r="H530" s="36" t="s">
        <v>954</v>
      </c>
      <c r="I530" s="35"/>
      <c r="J530" s="36" t="s">
        <v>945</v>
      </c>
      <c r="K530" s="33" t="s">
        <v>916</v>
      </c>
      <c r="L530" s="35" t="s">
        <v>916</v>
      </c>
      <c r="M530" s="36" t="s">
        <v>923</v>
      </c>
      <c r="N530" s="45">
        <v>46083.661805555559</v>
      </c>
      <c r="O530" s="36" t="s">
        <v>25</v>
      </c>
      <c r="P530" s="38">
        <v>2.2192013889000002</v>
      </c>
      <c r="Q530" s="39" t="s">
        <v>2257</v>
      </c>
      <c r="R530" s="35" t="s">
        <v>916</v>
      </c>
      <c r="S530" s="35" t="s">
        <v>2258</v>
      </c>
      <c r="T530" s="35" t="s">
        <v>1624</v>
      </c>
      <c r="U530" s="40">
        <v>46082</v>
      </c>
      <c r="V530" s="41">
        <v>46153.532743055555</v>
      </c>
      <c r="W530" s="40">
        <v>46081</v>
      </c>
      <c r="X530" s="35" t="s">
        <v>916</v>
      </c>
      <c r="Y530" s="35" t="s">
        <v>916</v>
      </c>
      <c r="Z530" s="35" t="s">
        <v>916</v>
      </c>
      <c r="AA530" s="38">
        <v>53.260833333599997</v>
      </c>
      <c r="AB530" s="42" t="s">
        <v>916</v>
      </c>
      <c r="AC530" s="43" t="s">
        <v>916</v>
      </c>
      <c r="AD530" s="43" t="s">
        <v>916</v>
      </c>
      <c r="AE530" s="33" t="s">
        <v>916</v>
      </c>
      <c r="AF530" s="35" t="s">
        <v>916</v>
      </c>
      <c r="AG530" s="44">
        <v>492370.7333333334</v>
      </c>
      <c r="AH530" s="42" t="s">
        <v>916</v>
      </c>
      <c r="AI530" s="32" t="e">
        <f>VLOOKUP(A530,'4月明細'!B:B,1,0)</f>
        <v>#N/A</v>
      </c>
    </row>
    <row r="531" spans="1:35" ht="19.95" customHeight="1" x14ac:dyDescent="0.3">
      <c r="A531" s="33" t="s">
        <v>526</v>
      </c>
      <c r="B531" s="34">
        <v>46080.879502314812</v>
      </c>
      <c r="C531" s="34" t="str">
        <f t="shared" si="21"/>
        <v>202602</v>
      </c>
      <c r="D531" s="35" t="s">
        <v>941</v>
      </c>
      <c r="E531" s="36" t="s">
        <v>942</v>
      </c>
      <c r="F531" s="36" t="s">
        <v>1885</v>
      </c>
      <c r="G531" s="37" t="s">
        <v>2259</v>
      </c>
      <c r="H531" s="36" t="s">
        <v>913</v>
      </c>
      <c r="I531" s="35"/>
      <c r="J531" s="36" t="s">
        <v>945</v>
      </c>
      <c r="K531" s="33" t="s">
        <v>916</v>
      </c>
      <c r="L531" s="35" t="s">
        <v>916</v>
      </c>
      <c r="M531" s="36" t="s">
        <v>923</v>
      </c>
      <c r="N531" s="45">
        <v>46083.632638888892</v>
      </c>
      <c r="O531" s="36" t="s">
        <v>25</v>
      </c>
      <c r="P531" s="38">
        <v>2.7531365741</v>
      </c>
      <c r="Q531" s="39" t="s">
        <v>2260</v>
      </c>
      <c r="R531" s="35" t="s">
        <v>916</v>
      </c>
      <c r="S531" s="35"/>
      <c r="T531" s="35" t="s">
        <v>1624</v>
      </c>
      <c r="U531" s="40">
        <v>46081</v>
      </c>
      <c r="V531" s="41">
        <v>46153.532743055555</v>
      </c>
      <c r="W531" s="40">
        <v>46081</v>
      </c>
      <c r="X531" s="35" t="s">
        <v>916</v>
      </c>
      <c r="Y531" s="35" t="s">
        <v>916</v>
      </c>
      <c r="Z531" s="35" t="s">
        <v>916</v>
      </c>
      <c r="AA531" s="38">
        <v>66.075277778399993</v>
      </c>
      <c r="AB531" s="42" t="s">
        <v>916</v>
      </c>
      <c r="AC531" s="43" t="s">
        <v>916</v>
      </c>
      <c r="AD531" s="43" t="s">
        <v>916</v>
      </c>
      <c r="AE531" s="33" t="s">
        <v>916</v>
      </c>
      <c r="AF531" s="35" t="s">
        <v>916</v>
      </c>
      <c r="AG531" s="44">
        <v>492370.75</v>
      </c>
      <c r="AH531" s="42" t="s">
        <v>916</v>
      </c>
      <c r="AI531" s="32" t="e">
        <f>VLOOKUP(A531,'4月明細'!B:B,1,0)</f>
        <v>#N/A</v>
      </c>
    </row>
    <row r="532" spans="1:35" ht="19.95" customHeight="1" x14ac:dyDescent="0.3">
      <c r="A532" s="33" t="s">
        <v>525</v>
      </c>
      <c r="B532" s="34">
        <v>46080.486967592595</v>
      </c>
      <c r="C532" s="34" t="str">
        <f t="shared" si="21"/>
        <v>202602</v>
      </c>
      <c r="D532" s="35" t="s">
        <v>909</v>
      </c>
      <c r="E532" s="36" t="s">
        <v>910</v>
      </c>
      <c r="F532" s="36" t="s">
        <v>1898</v>
      </c>
      <c r="G532" s="37" t="s">
        <v>2261</v>
      </c>
      <c r="H532" s="36" t="s">
        <v>928</v>
      </c>
      <c r="I532" s="35" t="s">
        <v>2262</v>
      </c>
      <c r="J532" s="36" t="s">
        <v>914</v>
      </c>
      <c r="K532" s="33" t="s">
        <v>916</v>
      </c>
      <c r="L532" s="35" t="s">
        <v>916</v>
      </c>
      <c r="M532" s="36" t="s">
        <v>923</v>
      </c>
      <c r="N532" s="45">
        <v>46083.657638888886</v>
      </c>
      <c r="O532" s="36" t="s">
        <v>25</v>
      </c>
      <c r="P532" s="38">
        <v>3.1706712963000001</v>
      </c>
      <c r="Q532" s="39" t="s">
        <v>2263</v>
      </c>
      <c r="R532" s="35" t="s">
        <v>916</v>
      </c>
      <c r="S532" s="35" t="s">
        <v>2264</v>
      </c>
      <c r="T532" s="35" t="s">
        <v>1624</v>
      </c>
      <c r="U532" s="40">
        <v>46081</v>
      </c>
      <c r="V532" s="41">
        <v>46153.532743055555</v>
      </c>
      <c r="W532" s="40">
        <v>46080</v>
      </c>
      <c r="X532" s="35" t="s">
        <v>916</v>
      </c>
      <c r="Y532" s="35" t="s">
        <v>916</v>
      </c>
      <c r="Z532" s="35" t="s">
        <v>916</v>
      </c>
      <c r="AA532" s="38">
        <v>76.096111111200003</v>
      </c>
      <c r="AB532" s="42" t="s">
        <v>916</v>
      </c>
      <c r="AC532" s="43" t="s">
        <v>916</v>
      </c>
      <c r="AD532" s="43" t="s">
        <v>916</v>
      </c>
      <c r="AE532" s="33" t="s">
        <v>916</v>
      </c>
      <c r="AF532" s="35" t="s">
        <v>916</v>
      </c>
      <c r="AG532" s="44">
        <v>492370.81666666671</v>
      </c>
      <c r="AH532" s="42" t="s">
        <v>916</v>
      </c>
      <c r="AI532" s="32" t="e">
        <f>VLOOKUP(A532,'4月明細'!B:B,1,0)</f>
        <v>#N/A</v>
      </c>
    </row>
    <row r="533" spans="1:35" ht="19.95" customHeight="1" x14ac:dyDescent="0.3">
      <c r="A533" s="33" t="s">
        <v>498</v>
      </c>
      <c r="B533" s="34">
        <v>46079.615162037036</v>
      </c>
      <c r="C533" s="34" t="str">
        <f t="shared" si="21"/>
        <v>202602</v>
      </c>
      <c r="D533" s="35" t="s">
        <v>996</v>
      </c>
      <c r="E533" s="36" t="s">
        <v>910</v>
      </c>
      <c r="F533" s="36" t="s">
        <v>981</v>
      </c>
      <c r="G533" s="37" t="s">
        <v>2265</v>
      </c>
      <c r="H533" s="36" t="s">
        <v>954</v>
      </c>
      <c r="I533" s="35"/>
      <c r="J533" s="36" t="s">
        <v>914</v>
      </c>
      <c r="K533" s="33" t="s">
        <v>916</v>
      </c>
      <c r="L533" s="35" t="s">
        <v>916</v>
      </c>
      <c r="M533" s="36" t="s">
        <v>957</v>
      </c>
      <c r="N533" s="45">
        <v>46080.546527777777</v>
      </c>
      <c r="O533" s="36" t="s">
        <v>25</v>
      </c>
      <c r="P533" s="38">
        <v>0.9313657407</v>
      </c>
      <c r="Q533" s="39" t="s">
        <v>2266</v>
      </c>
      <c r="R533" s="35" t="s">
        <v>916</v>
      </c>
      <c r="S533" s="35"/>
      <c r="T533" s="35" t="s">
        <v>1624</v>
      </c>
      <c r="U533" s="40">
        <v>46080</v>
      </c>
      <c r="V533" s="41">
        <v>46153.532743055555</v>
      </c>
      <c r="W533" s="40">
        <v>46079</v>
      </c>
      <c r="X533" s="35" t="s">
        <v>916</v>
      </c>
      <c r="Y533" s="35" t="s">
        <v>916</v>
      </c>
      <c r="Z533" s="35" t="s">
        <v>916</v>
      </c>
      <c r="AA533" s="38">
        <v>22.3527777768</v>
      </c>
      <c r="AB533" s="42" t="s">
        <v>916</v>
      </c>
      <c r="AC533" s="43" t="s">
        <v>916</v>
      </c>
      <c r="AD533" s="43" t="s">
        <v>916</v>
      </c>
      <c r="AE533" s="33" t="s">
        <v>916</v>
      </c>
      <c r="AF533" s="35" t="s">
        <v>916</v>
      </c>
      <c r="AG533" s="44">
        <v>0</v>
      </c>
      <c r="AH533" s="42" t="s">
        <v>916</v>
      </c>
      <c r="AI533" s="32" t="e">
        <f>VLOOKUP(A533,'4月明細'!B:B,1,0)</f>
        <v>#N/A</v>
      </c>
    </row>
    <row r="534" spans="1:35" ht="19.95" customHeight="1" x14ac:dyDescent="0.3">
      <c r="A534" s="33" t="s">
        <v>497</v>
      </c>
      <c r="B534" s="34">
        <v>46079.554039351853</v>
      </c>
      <c r="C534" s="34" t="str">
        <f t="shared" si="21"/>
        <v>202602</v>
      </c>
      <c r="D534" s="35" t="s">
        <v>996</v>
      </c>
      <c r="E534" s="36" t="s">
        <v>910</v>
      </c>
      <c r="F534" s="36" t="s">
        <v>1718</v>
      </c>
      <c r="G534" s="37" t="s">
        <v>1979</v>
      </c>
      <c r="H534" s="36" t="s">
        <v>954</v>
      </c>
      <c r="I534" s="35"/>
      <c r="J534" s="36" t="s">
        <v>914</v>
      </c>
      <c r="K534" s="33" t="s">
        <v>916</v>
      </c>
      <c r="L534" s="35" t="s">
        <v>916</v>
      </c>
      <c r="M534" s="36" t="s">
        <v>957</v>
      </c>
      <c r="N534" s="45">
        <v>46080.547222222223</v>
      </c>
      <c r="O534" s="36" t="s">
        <v>25</v>
      </c>
      <c r="P534" s="38">
        <v>0.99318287039999997</v>
      </c>
      <c r="Q534" s="39" t="s">
        <v>1071</v>
      </c>
      <c r="R534" s="35" t="s">
        <v>916</v>
      </c>
      <c r="S534" s="35"/>
      <c r="T534" s="35" t="s">
        <v>1624</v>
      </c>
      <c r="U534" s="40">
        <v>46080</v>
      </c>
      <c r="V534" s="41">
        <v>46153.532743055555</v>
      </c>
      <c r="W534" s="40">
        <v>46079</v>
      </c>
      <c r="X534" s="35" t="s">
        <v>916</v>
      </c>
      <c r="Y534" s="35" t="s">
        <v>916</v>
      </c>
      <c r="Z534" s="35" t="s">
        <v>916</v>
      </c>
      <c r="AA534" s="38">
        <v>23.836388889599998</v>
      </c>
      <c r="AB534" s="42" t="s">
        <v>916</v>
      </c>
      <c r="AC534" s="43" t="s">
        <v>916</v>
      </c>
      <c r="AD534" s="43" t="s">
        <v>916</v>
      </c>
      <c r="AE534" s="33" t="s">
        <v>916</v>
      </c>
      <c r="AF534" s="35" t="s">
        <v>916</v>
      </c>
      <c r="AG534" s="44">
        <v>0</v>
      </c>
      <c r="AH534" s="42" t="s">
        <v>916</v>
      </c>
      <c r="AI534" s="32" t="e">
        <f>VLOOKUP(A534,'4月明細'!B:B,1,0)</f>
        <v>#N/A</v>
      </c>
    </row>
    <row r="535" spans="1:35" ht="19.95" customHeight="1" x14ac:dyDescent="0.3">
      <c r="A535" s="33" t="s">
        <v>524</v>
      </c>
      <c r="B535" s="34">
        <v>46079.457615740743</v>
      </c>
      <c r="C535" s="34" t="str">
        <f t="shared" si="21"/>
        <v>202602</v>
      </c>
      <c r="D535" s="35" t="s">
        <v>996</v>
      </c>
      <c r="E535" s="36" t="s">
        <v>910</v>
      </c>
      <c r="F535" s="36" t="s">
        <v>1537</v>
      </c>
      <c r="G535" s="37" t="s">
        <v>2267</v>
      </c>
      <c r="H535" s="36" t="s">
        <v>1078</v>
      </c>
      <c r="I535" s="35"/>
      <c r="J535" s="36" t="s">
        <v>914</v>
      </c>
      <c r="K535" s="33" t="s">
        <v>916</v>
      </c>
      <c r="L535" s="35" t="s">
        <v>916</v>
      </c>
      <c r="M535" s="36" t="s">
        <v>957</v>
      </c>
      <c r="N535" s="45">
        <v>46083.661111111112</v>
      </c>
      <c r="O535" s="36" t="s">
        <v>25</v>
      </c>
      <c r="P535" s="38">
        <v>4.2034953703999998</v>
      </c>
      <c r="Q535" s="39" t="s">
        <v>1404</v>
      </c>
      <c r="R535" s="35" t="s">
        <v>916</v>
      </c>
      <c r="S535" s="35"/>
      <c r="T535" s="35" t="s">
        <v>1624</v>
      </c>
      <c r="U535" s="40">
        <v>46080</v>
      </c>
      <c r="V535" s="41">
        <v>46153.532743055555</v>
      </c>
      <c r="W535" s="40">
        <v>46079</v>
      </c>
      <c r="X535" s="35" t="s">
        <v>916</v>
      </c>
      <c r="Y535" s="35" t="s">
        <v>916</v>
      </c>
      <c r="Z535" s="35" t="s">
        <v>916</v>
      </c>
      <c r="AA535" s="38">
        <v>100.8838888896</v>
      </c>
      <c r="AB535" s="42" t="s">
        <v>916</v>
      </c>
      <c r="AC535" s="43" t="s">
        <v>916</v>
      </c>
      <c r="AD535" s="43" t="s">
        <v>916</v>
      </c>
      <c r="AE535" s="33" t="s">
        <v>916</v>
      </c>
      <c r="AF535" s="35" t="s">
        <v>916</v>
      </c>
      <c r="AG535" s="44">
        <v>0</v>
      </c>
      <c r="AH535" s="42" t="s">
        <v>916</v>
      </c>
      <c r="AI535" s="32" t="e">
        <f>VLOOKUP(A535,'4月明細'!B:B,1,0)</f>
        <v>#N/A</v>
      </c>
    </row>
    <row r="536" spans="1:35" ht="19.95" customHeight="1" x14ac:dyDescent="0.3">
      <c r="A536" s="33" t="s">
        <v>496</v>
      </c>
      <c r="B536" s="34">
        <v>46079.446944444448</v>
      </c>
      <c r="C536" s="34" t="str">
        <f t="shared" si="21"/>
        <v>202602</v>
      </c>
      <c r="D536" s="35" t="s">
        <v>996</v>
      </c>
      <c r="E536" s="36" t="s">
        <v>910</v>
      </c>
      <c r="F536" s="36" t="s">
        <v>1108</v>
      </c>
      <c r="G536" s="37" t="s">
        <v>998</v>
      </c>
      <c r="H536" s="36" t="s">
        <v>928</v>
      </c>
      <c r="I536" s="35"/>
      <c r="J536" s="36" t="s">
        <v>914</v>
      </c>
      <c r="K536" s="33" t="s">
        <v>916</v>
      </c>
      <c r="L536" s="35" t="s">
        <v>916</v>
      </c>
      <c r="M536" s="36" t="s">
        <v>957</v>
      </c>
      <c r="N536" s="45">
        <v>46080.54791666667</v>
      </c>
      <c r="O536" s="36" t="s">
        <v>25</v>
      </c>
      <c r="P536" s="38">
        <v>1.1009722222</v>
      </c>
      <c r="Q536" s="39" t="s">
        <v>2268</v>
      </c>
      <c r="R536" s="35" t="s">
        <v>916</v>
      </c>
      <c r="S536" s="35"/>
      <c r="T536" s="35" t="s">
        <v>1624</v>
      </c>
      <c r="U536" s="40">
        <v>46080</v>
      </c>
      <c r="V536" s="41">
        <v>46153.532743055555</v>
      </c>
      <c r="W536" s="40">
        <v>46079</v>
      </c>
      <c r="X536" s="35" t="s">
        <v>916</v>
      </c>
      <c r="Y536" s="35" t="s">
        <v>916</v>
      </c>
      <c r="Z536" s="35" t="s">
        <v>916</v>
      </c>
      <c r="AA536" s="38">
        <v>26.423333332799999</v>
      </c>
      <c r="AB536" s="42" t="s">
        <v>916</v>
      </c>
      <c r="AC536" s="43" t="s">
        <v>916</v>
      </c>
      <c r="AD536" s="43" t="s">
        <v>916</v>
      </c>
      <c r="AE536" s="33" t="s">
        <v>916</v>
      </c>
      <c r="AF536" s="35" t="s">
        <v>916</v>
      </c>
      <c r="AG536" s="44">
        <v>0</v>
      </c>
      <c r="AH536" s="42" t="s">
        <v>916</v>
      </c>
      <c r="AI536" s="32" t="e">
        <f>VLOOKUP(A536,'4月明細'!B:B,1,0)</f>
        <v>#N/A</v>
      </c>
    </row>
    <row r="537" spans="1:35" ht="19.95" customHeight="1" x14ac:dyDescent="0.3">
      <c r="A537" s="33" t="s">
        <v>523</v>
      </c>
      <c r="B537" s="34">
        <v>46079.436678240738</v>
      </c>
      <c r="C537" s="34" t="str">
        <f t="shared" si="21"/>
        <v>202602</v>
      </c>
      <c r="D537" s="35" t="s">
        <v>996</v>
      </c>
      <c r="E537" s="36" t="s">
        <v>910</v>
      </c>
      <c r="F537" s="36" t="s">
        <v>947</v>
      </c>
      <c r="G537" s="37" t="s">
        <v>2269</v>
      </c>
      <c r="H537" s="36" t="s">
        <v>928</v>
      </c>
      <c r="I537" s="35"/>
      <c r="J537" s="36" t="s">
        <v>914</v>
      </c>
      <c r="K537" s="33" t="s">
        <v>916</v>
      </c>
      <c r="L537" s="35" t="s">
        <v>916</v>
      </c>
      <c r="M537" s="36" t="s">
        <v>923</v>
      </c>
      <c r="N537" s="45">
        <v>46083.656944444447</v>
      </c>
      <c r="O537" s="36" t="s">
        <v>25</v>
      </c>
      <c r="P537" s="38">
        <v>4.2202662036999996</v>
      </c>
      <c r="Q537" s="39" t="s">
        <v>2270</v>
      </c>
      <c r="R537" s="35" t="s">
        <v>916</v>
      </c>
      <c r="S537" s="35" t="s">
        <v>2271</v>
      </c>
      <c r="T537" s="35" t="s">
        <v>1624</v>
      </c>
      <c r="U537" s="40">
        <v>46080</v>
      </c>
      <c r="V537" s="41">
        <v>46153.532743055555</v>
      </c>
      <c r="W537" s="40">
        <v>46079</v>
      </c>
      <c r="X537" s="35" t="s">
        <v>916</v>
      </c>
      <c r="Y537" s="35" t="s">
        <v>916</v>
      </c>
      <c r="Z537" s="35" t="s">
        <v>916</v>
      </c>
      <c r="AA537" s="38">
        <v>101.2863888888</v>
      </c>
      <c r="AB537" s="42" t="s">
        <v>916</v>
      </c>
      <c r="AC537" s="43" t="s">
        <v>916</v>
      </c>
      <c r="AD537" s="43" t="s">
        <v>916</v>
      </c>
      <c r="AE537" s="33" t="s">
        <v>916</v>
      </c>
      <c r="AF537" s="35" t="s">
        <v>916</v>
      </c>
      <c r="AG537" s="44">
        <v>492379.43333333329</v>
      </c>
      <c r="AH537" s="42" t="s">
        <v>916</v>
      </c>
      <c r="AI537" s="32" t="e">
        <f>VLOOKUP(A537,'4月明細'!B:B,1,0)</f>
        <v>#N/A</v>
      </c>
    </row>
    <row r="538" spans="1:35" ht="19.95" customHeight="1" x14ac:dyDescent="0.3">
      <c r="A538" s="33" t="s">
        <v>2272</v>
      </c>
      <c r="B538" s="34">
        <v>46079.43545138889</v>
      </c>
      <c r="C538" s="34" t="str">
        <f t="shared" si="21"/>
        <v>202602</v>
      </c>
      <c r="D538" s="35" t="s">
        <v>996</v>
      </c>
      <c r="E538" s="36" t="s">
        <v>910</v>
      </c>
      <c r="F538" s="36" t="s">
        <v>947</v>
      </c>
      <c r="G538" s="37" t="s">
        <v>2273</v>
      </c>
      <c r="H538" s="36" t="s">
        <v>928</v>
      </c>
      <c r="I538" s="35"/>
      <c r="J538" s="36" t="s">
        <v>914</v>
      </c>
      <c r="K538" s="33" t="s">
        <v>916</v>
      </c>
      <c r="L538" s="35" t="s">
        <v>916</v>
      </c>
      <c r="M538" s="36" t="s">
        <v>1039</v>
      </c>
      <c r="N538" s="45">
        <v>46083.656944444447</v>
      </c>
      <c r="O538" s="36" t="s">
        <v>1920</v>
      </c>
      <c r="P538" s="38">
        <v>4.2214930555999999</v>
      </c>
      <c r="Q538" s="39" t="s">
        <v>2274</v>
      </c>
      <c r="R538" s="46" t="s">
        <v>2275</v>
      </c>
      <c r="S538" s="35"/>
      <c r="T538" s="35" t="s">
        <v>1624</v>
      </c>
      <c r="U538" s="40">
        <v>46080</v>
      </c>
      <c r="V538" s="41">
        <v>46153.532743055555</v>
      </c>
      <c r="W538" s="40">
        <v>46079</v>
      </c>
      <c r="X538" s="35" t="s">
        <v>916</v>
      </c>
      <c r="Y538" s="35" t="s">
        <v>916</v>
      </c>
      <c r="Z538" s="35" t="s">
        <v>916</v>
      </c>
      <c r="AA538" s="38">
        <v>101.3158333344</v>
      </c>
      <c r="AB538" s="42" t="s">
        <v>916</v>
      </c>
      <c r="AC538" s="43" t="s">
        <v>916</v>
      </c>
      <c r="AD538" s="43" t="s">
        <v>916</v>
      </c>
      <c r="AE538" s="33" t="s">
        <v>916</v>
      </c>
      <c r="AF538" s="35" t="s">
        <v>916</v>
      </c>
      <c r="AG538" s="44">
        <v>0</v>
      </c>
      <c r="AH538" s="42" t="s">
        <v>916</v>
      </c>
      <c r="AI538" s="32" t="e">
        <f>VLOOKUP(A538,'4月明細'!B:B,1,0)</f>
        <v>#N/A</v>
      </c>
    </row>
    <row r="539" spans="1:35" ht="19.95" customHeight="1" x14ac:dyDescent="0.3">
      <c r="A539" s="33" t="s">
        <v>2276</v>
      </c>
      <c r="B539" s="34">
        <v>46079.425879629627</v>
      </c>
      <c r="C539" s="34" t="str">
        <f t="shared" si="21"/>
        <v>202602</v>
      </c>
      <c r="D539" s="35" t="s">
        <v>996</v>
      </c>
      <c r="E539" s="36" t="s">
        <v>910</v>
      </c>
      <c r="F539" s="36" t="s">
        <v>1743</v>
      </c>
      <c r="G539" s="37" t="s">
        <v>2277</v>
      </c>
      <c r="H539" s="36" t="s">
        <v>928</v>
      </c>
      <c r="I539" s="35"/>
      <c r="J539" s="36" t="s">
        <v>914</v>
      </c>
      <c r="K539" s="33" t="s">
        <v>916</v>
      </c>
      <c r="L539" s="35" t="s">
        <v>916</v>
      </c>
      <c r="M539" s="36" t="s">
        <v>1039</v>
      </c>
      <c r="N539" s="45">
        <v>46090.395138888889</v>
      </c>
      <c r="O539" s="36" t="s">
        <v>1384</v>
      </c>
      <c r="P539" s="38">
        <v>10.969259259299999</v>
      </c>
      <c r="Q539" s="39" t="s">
        <v>1959</v>
      </c>
      <c r="R539" s="46" t="s">
        <v>2275</v>
      </c>
      <c r="S539" s="35"/>
      <c r="T539" s="35" t="s">
        <v>1624</v>
      </c>
      <c r="U539" s="40">
        <v>46080</v>
      </c>
      <c r="V539" s="41">
        <v>46153.532743055555</v>
      </c>
      <c r="W539" s="40">
        <v>46079</v>
      </c>
      <c r="X539" s="35" t="s">
        <v>916</v>
      </c>
      <c r="Y539" s="35" t="s">
        <v>916</v>
      </c>
      <c r="Z539" s="35" t="s">
        <v>916</v>
      </c>
      <c r="AA539" s="38">
        <v>263.26222222320001</v>
      </c>
      <c r="AB539" s="42" t="s">
        <v>916</v>
      </c>
      <c r="AC539" s="43" t="s">
        <v>916</v>
      </c>
      <c r="AD539" s="43" t="s">
        <v>916</v>
      </c>
      <c r="AE539" s="33" t="s">
        <v>916</v>
      </c>
      <c r="AF539" s="35" t="s">
        <v>916</v>
      </c>
      <c r="AG539" s="44">
        <v>0</v>
      </c>
      <c r="AH539" s="42" t="s">
        <v>916</v>
      </c>
      <c r="AI539" s="32" t="e">
        <f>VLOOKUP(A539,'4月明細'!B:B,1,0)</f>
        <v>#N/A</v>
      </c>
    </row>
    <row r="540" spans="1:35" ht="19.95" customHeight="1" x14ac:dyDescent="0.3">
      <c r="A540" s="33" t="s">
        <v>522</v>
      </c>
      <c r="B540" s="34">
        <v>46078.721458333333</v>
      </c>
      <c r="C540" s="34" t="str">
        <f t="shared" si="21"/>
        <v>202602</v>
      </c>
      <c r="D540" s="35" t="s">
        <v>2278</v>
      </c>
      <c r="E540" s="36" t="s">
        <v>910</v>
      </c>
      <c r="F540" s="36" t="s">
        <v>1950</v>
      </c>
      <c r="G540" s="37" t="s">
        <v>2279</v>
      </c>
      <c r="H540" s="36" t="s">
        <v>1114</v>
      </c>
      <c r="I540" s="35"/>
      <c r="J540" s="36" t="s">
        <v>929</v>
      </c>
      <c r="K540" s="33" t="s">
        <v>916</v>
      </c>
      <c r="L540" s="35" t="s">
        <v>916</v>
      </c>
      <c r="M540" s="36" t="s">
        <v>957</v>
      </c>
      <c r="N540" s="45">
        <v>46083.661111111112</v>
      </c>
      <c r="O540" s="36" t="s">
        <v>25</v>
      </c>
      <c r="P540" s="38">
        <v>4.9396527778000001</v>
      </c>
      <c r="Q540" s="39" t="s">
        <v>2280</v>
      </c>
      <c r="R540" s="35" t="s">
        <v>916</v>
      </c>
      <c r="S540" s="35"/>
      <c r="T540" s="35" t="s">
        <v>1624</v>
      </c>
      <c r="U540" s="40">
        <v>46079</v>
      </c>
      <c r="V540" s="41">
        <v>46153.532743055555</v>
      </c>
      <c r="W540" s="40">
        <v>46078</v>
      </c>
      <c r="X540" s="35" t="s">
        <v>916</v>
      </c>
      <c r="Y540" s="35" t="s">
        <v>916</v>
      </c>
      <c r="Z540" s="35" t="s">
        <v>916</v>
      </c>
      <c r="AA540" s="38">
        <v>118.5516666672</v>
      </c>
      <c r="AB540" s="42" t="s">
        <v>916</v>
      </c>
      <c r="AC540" s="43" t="s">
        <v>916</v>
      </c>
      <c r="AD540" s="43" t="s">
        <v>916</v>
      </c>
      <c r="AE540" s="33" t="s">
        <v>916</v>
      </c>
      <c r="AF540" s="35" t="s">
        <v>916</v>
      </c>
      <c r="AG540" s="44">
        <v>0</v>
      </c>
      <c r="AH540" s="42" t="s">
        <v>916</v>
      </c>
      <c r="AI540" s="32" t="e">
        <f>VLOOKUP(A540,'4月明細'!B:B,1,0)</f>
        <v>#N/A</v>
      </c>
    </row>
    <row r="541" spans="1:35" ht="19.95" customHeight="1" x14ac:dyDescent="0.3">
      <c r="A541" s="33" t="s">
        <v>495</v>
      </c>
      <c r="B541" s="34">
        <v>46078.703958333332</v>
      </c>
      <c r="C541" s="34" t="str">
        <f t="shared" si="21"/>
        <v>202602</v>
      </c>
      <c r="D541" s="35" t="s">
        <v>951</v>
      </c>
      <c r="E541" s="36" t="s">
        <v>910</v>
      </c>
      <c r="F541" s="36" t="s">
        <v>1316</v>
      </c>
      <c r="G541" s="37" t="s">
        <v>2281</v>
      </c>
      <c r="H541" s="36" t="s">
        <v>1114</v>
      </c>
      <c r="I541" s="35" t="s">
        <v>2282</v>
      </c>
      <c r="J541" s="36" t="s">
        <v>929</v>
      </c>
      <c r="K541" s="33" t="s">
        <v>916</v>
      </c>
      <c r="L541" s="35" t="s">
        <v>916</v>
      </c>
      <c r="M541" s="36" t="s">
        <v>923</v>
      </c>
      <c r="N541" s="45">
        <v>46080.549305555556</v>
      </c>
      <c r="O541" s="36" t="s">
        <v>25</v>
      </c>
      <c r="P541" s="38">
        <v>1.8453472222</v>
      </c>
      <c r="Q541" s="39" t="s">
        <v>2283</v>
      </c>
      <c r="R541" s="35" t="s">
        <v>916</v>
      </c>
      <c r="S541" s="35"/>
      <c r="T541" s="35" t="s">
        <v>1624</v>
      </c>
      <c r="U541" s="40">
        <v>46079</v>
      </c>
      <c r="V541" s="41">
        <v>46153.532754629632</v>
      </c>
      <c r="W541" s="40">
        <v>46078</v>
      </c>
      <c r="X541" s="35" t="s">
        <v>916</v>
      </c>
      <c r="Y541" s="35" t="s">
        <v>916</v>
      </c>
      <c r="Z541" s="35" t="s">
        <v>916</v>
      </c>
      <c r="AA541" s="38">
        <v>44.288333332800001</v>
      </c>
      <c r="AB541" s="42" t="s">
        <v>916</v>
      </c>
      <c r="AC541" s="43" t="s">
        <v>916</v>
      </c>
      <c r="AD541" s="43" t="s">
        <v>916</v>
      </c>
      <c r="AE541" s="33" t="s">
        <v>916</v>
      </c>
      <c r="AF541" s="35" t="s">
        <v>916</v>
      </c>
      <c r="AG541" s="44">
        <v>0</v>
      </c>
      <c r="AH541" s="42" t="s">
        <v>916</v>
      </c>
      <c r="AI541" s="32" t="e">
        <f>VLOOKUP(A541,'4月明細'!B:B,1,0)</f>
        <v>#N/A</v>
      </c>
    </row>
    <row r="542" spans="1:35" ht="19.95" customHeight="1" x14ac:dyDescent="0.3">
      <c r="A542" s="33" t="s">
        <v>494</v>
      </c>
      <c r="B542" s="34">
        <v>46078.696423611109</v>
      </c>
      <c r="C542" s="34" t="str">
        <f t="shared" si="21"/>
        <v>202602</v>
      </c>
      <c r="D542" s="35" t="s">
        <v>996</v>
      </c>
      <c r="E542" s="36" t="s">
        <v>910</v>
      </c>
      <c r="F542" s="36" t="s">
        <v>1227</v>
      </c>
      <c r="G542" s="37" t="s">
        <v>1041</v>
      </c>
      <c r="H542" s="36" t="s">
        <v>954</v>
      </c>
      <c r="I542" s="35"/>
      <c r="J542" s="36" t="s">
        <v>914</v>
      </c>
      <c r="K542" s="33" t="s">
        <v>916</v>
      </c>
      <c r="L542" s="35" t="s">
        <v>916</v>
      </c>
      <c r="M542" s="36" t="s">
        <v>957</v>
      </c>
      <c r="N542" s="45">
        <v>46080.55</v>
      </c>
      <c r="O542" s="36" t="s">
        <v>25</v>
      </c>
      <c r="P542" s="38">
        <v>1.8535763889000001</v>
      </c>
      <c r="Q542" s="39" t="s">
        <v>2284</v>
      </c>
      <c r="R542" s="35" t="s">
        <v>916</v>
      </c>
      <c r="S542" s="35"/>
      <c r="T542" s="35" t="s">
        <v>1624</v>
      </c>
      <c r="U542" s="40">
        <v>46079</v>
      </c>
      <c r="V542" s="41">
        <v>46153.532754629632</v>
      </c>
      <c r="W542" s="40">
        <v>46078</v>
      </c>
      <c r="X542" s="35" t="s">
        <v>916</v>
      </c>
      <c r="Y542" s="35" t="s">
        <v>916</v>
      </c>
      <c r="Z542" s="35" t="s">
        <v>916</v>
      </c>
      <c r="AA542" s="38">
        <v>44.485833333599999</v>
      </c>
      <c r="AB542" s="42" t="s">
        <v>916</v>
      </c>
      <c r="AC542" s="43" t="s">
        <v>916</v>
      </c>
      <c r="AD542" s="43" t="s">
        <v>916</v>
      </c>
      <c r="AE542" s="33" t="s">
        <v>916</v>
      </c>
      <c r="AF542" s="35" t="s">
        <v>916</v>
      </c>
      <c r="AG542" s="44">
        <v>0</v>
      </c>
      <c r="AH542" s="42" t="s">
        <v>916</v>
      </c>
      <c r="AI542" s="32" t="e">
        <f>VLOOKUP(A542,'4月明細'!B:B,1,0)</f>
        <v>#N/A</v>
      </c>
    </row>
    <row r="543" spans="1:35" ht="19.95" customHeight="1" x14ac:dyDescent="0.3">
      <c r="A543" s="33" t="s">
        <v>493</v>
      </c>
      <c r="B543" s="34">
        <v>46078.623854166668</v>
      </c>
      <c r="C543" s="34" t="str">
        <f t="shared" si="21"/>
        <v>202602</v>
      </c>
      <c r="D543" s="35" t="s">
        <v>996</v>
      </c>
      <c r="E543" s="36" t="s">
        <v>910</v>
      </c>
      <c r="F543" s="36" t="s">
        <v>1095</v>
      </c>
      <c r="G543" s="37" t="s">
        <v>1550</v>
      </c>
      <c r="H543" s="36" t="s">
        <v>954</v>
      </c>
      <c r="I543" s="35"/>
      <c r="J543" s="36" t="s">
        <v>914</v>
      </c>
      <c r="K543" s="33" t="s">
        <v>916</v>
      </c>
      <c r="L543" s="35" t="s">
        <v>916</v>
      </c>
      <c r="M543" s="36" t="s">
        <v>957</v>
      </c>
      <c r="N543" s="45">
        <v>46080.550694444442</v>
      </c>
      <c r="O543" s="36" t="s">
        <v>25</v>
      </c>
      <c r="P543" s="38">
        <v>1.9268402778</v>
      </c>
      <c r="Q543" s="39" t="s">
        <v>2285</v>
      </c>
      <c r="R543" s="35" t="s">
        <v>916</v>
      </c>
      <c r="S543" s="35"/>
      <c r="T543" s="35" t="s">
        <v>1624</v>
      </c>
      <c r="U543" s="40">
        <v>46079</v>
      </c>
      <c r="V543" s="41">
        <v>46153.532754629632</v>
      </c>
      <c r="W543" s="40">
        <v>46078</v>
      </c>
      <c r="X543" s="35" t="s">
        <v>916</v>
      </c>
      <c r="Y543" s="35" t="s">
        <v>916</v>
      </c>
      <c r="Z543" s="35" t="s">
        <v>916</v>
      </c>
      <c r="AA543" s="38">
        <v>46.244166667199998</v>
      </c>
      <c r="AB543" s="42" t="s">
        <v>916</v>
      </c>
      <c r="AC543" s="43" t="s">
        <v>916</v>
      </c>
      <c r="AD543" s="43" t="s">
        <v>916</v>
      </c>
      <c r="AE543" s="33" t="s">
        <v>916</v>
      </c>
      <c r="AF543" s="35" t="s">
        <v>916</v>
      </c>
      <c r="AG543" s="44">
        <v>0</v>
      </c>
      <c r="AH543" s="42" t="s">
        <v>916</v>
      </c>
      <c r="AI543" s="32" t="e">
        <f>VLOOKUP(A543,'4月明細'!B:B,1,0)</f>
        <v>#N/A</v>
      </c>
    </row>
    <row r="544" spans="1:35" ht="19.95" customHeight="1" x14ac:dyDescent="0.3">
      <c r="A544" s="33" t="s">
        <v>492</v>
      </c>
      <c r="B544" s="34">
        <v>46078.608136574076</v>
      </c>
      <c r="C544" s="34" t="str">
        <f t="shared" si="21"/>
        <v>202602</v>
      </c>
      <c r="D544" s="35" t="s">
        <v>996</v>
      </c>
      <c r="E544" s="36" t="s">
        <v>910</v>
      </c>
      <c r="F544" s="36" t="s">
        <v>1095</v>
      </c>
      <c r="G544" s="37" t="s">
        <v>2200</v>
      </c>
      <c r="H544" s="36" t="s">
        <v>928</v>
      </c>
      <c r="I544" s="35"/>
      <c r="J544" s="36" t="s">
        <v>914</v>
      </c>
      <c r="K544" s="33" t="s">
        <v>916</v>
      </c>
      <c r="L544" s="35" t="s">
        <v>916</v>
      </c>
      <c r="M544" s="36" t="s">
        <v>957</v>
      </c>
      <c r="N544" s="45">
        <v>46080.551388888889</v>
      </c>
      <c r="O544" s="36" t="s">
        <v>25</v>
      </c>
      <c r="P544" s="38">
        <v>1.9432523148</v>
      </c>
      <c r="Q544" s="39" t="s">
        <v>2286</v>
      </c>
      <c r="R544" s="35" t="s">
        <v>916</v>
      </c>
      <c r="S544" s="35"/>
      <c r="T544" s="35" t="s">
        <v>1624</v>
      </c>
      <c r="U544" s="40">
        <v>46079</v>
      </c>
      <c r="V544" s="41">
        <v>46153.532754629632</v>
      </c>
      <c r="W544" s="40">
        <v>46078</v>
      </c>
      <c r="X544" s="35" t="s">
        <v>916</v>
      </c>
      <c r="Y544" s="35" t="s">
        <v>916</v>
      </c>
      <c r="Z544" s="35" t="s">
        <v>916</v>
      </c>
      <c r="AA544" s="38">
        <v>46.638055555199998</v>
      </c>
      <c r="AB544" s="42" t="s">
        <v>916</v>
      </c>
      <c r="AC544" s="43" t="s">
        <v>916</v>
      </c>
      <c r="AD544" s="43" t="s">
        <v>916</v>
      </c>
      <c r="AE544" s="33" t="s">
        <v>916</v>
      </c>
      <c r="AF544" s="35" t="s">
        <v>916</v>
      </c>
      <c r="AG544" s="44">
        <v>0</v>
      </c>
      <c r="AH544" s="42" t="s">
        <v>916</v>
      </c>
      <c r="AI544" s="32" t="e">
        <f>VLOOKUP(A544,'4月明細'!B:B,1,0)</f>
        <v>#N/A</v>
      </c>
    </row>
    <row r="545" spans="1:35" ht="19.95" customHeight="1" x14ac:dyDescent="0.3">
      <c r="A545" s="33" t="s">
        <v>491</v>
      </c>
      <c r="B545" s="34">
        <v>46078.487650462965</v>
      </c>
      <c r="C545" s="34" t="str">
        <f t="shared" si="21"/>
        <v>202602</v>
      </c>
      <c r="D545" s="35" t="s">
        <v>996</v>
      </c>
      <c r="E545" s="36" t="s">
        <v>910</v>
      </c>
      <c r="F545" s="36" t="s">
        <v>1050</v>
      </c>
      <c r="G545" s="37" t="s">
        <v>2287</v>
      </c>
      <c r="H545" s="36" t="s">
        <v>954</v>
      </c>
      <c r="I545" s="35"/>
      <c r="J545" s="36" t="s">
        <v>914</v>
      </c>
      <c r="K545" s="33" t="s">
        <v>916</v>
      </c>
      <c r="L545" s="35" t="s">
        <v>916</v>
      </c>
      <c r="M545" s="36" t="s">
        <v>957</v>
      </c>
      <c r="N545" s="45">
        <v>46080.553472222222</v>
      </c>
      <c r="O545" s="36" t="s">
        <v>25</v>
      </c>
      <c r="P545" s="38">
        <v>2.0658217592999999</v>
      </c>
      <c r="Q545" s="39" t="s">
        <v>2288</v>
      </c>
      <c r="R545" s="35" t="s">
        <v>916</v>
      </c>
      <c r="S545" s="35"/>
      <c r="T545" s="35" t="s">
        <v>1624</v>
      </c>
      <c r="U545" s="40">
        <v>46079</v>
      </c>
      <c r="V545" s="41">
        <v>46153.532754629632</v>
      </c>
      <c r="W545" s="40">
        <v>46078</v>
      </c>
      <c r="X545" s="35" t="s">
        <v>916</v>
      </c>
      <c r="Y545" s="35" t="s">
        <v>916</v>
      </c>
      <c r="Z545" s="35" t="s">
        <v>916</v>
      </c>
      <c r="AA545" s="38">
        <v>49.579722223200001</v>
      </c>
      <c r="AB545" s="42" t="s">
        <v>916</v>
      </c>
      <c r="AC545" s="43" t="s">
        <v>916</v>
      </c>
      <c r="AD545" s="43" t="s">
        <v>916</v>
      </c>
      <c r="AE545" s="33" t="s">
        <v>916</v>
      </c>
      <c r="AF545" s="35" t="s">
        <v>916</v>
      </c>
      <c r="AG545" s="44">
        <v>0</v>
      </c>
      <c r="AH545" s="42" t="s">
        <v>916</v>
      </c>
      <c r="AI545" s="32" t="e">
        <f>VLOOKUP(A545,'4月明細'!B:B,1,0)</f>
        <v>#N/A</v>
      </c>
    </row>
    <row r="546" spans="1:35" ht="19.95" customHeight="1" x14ac:dyDescent="0.3">
      <c r="A546" s="33" t="s">
        <v>2289</v>
      </c>
      <c r="B546" s="34">
        <v>46078.436909722222</v>
      </c>
      <c r="C546" s="34" t="str">
        <f t="shared" si="21"/>
        <v>202602</v>
      </c>
      <c r="D546" s="35" t="s">
        <v>996</v>
      </c>
      <c r="E546" s="36" t="s">
        <v>910</v>
      </c>
      <c r="F546" s="36" t="s">
        <v>1765</v>
      </c>
      <c r="G546" s="37" t="s">
        <v>2290</v>
      </c>
      <c r="H546" s="36" t="s">
        <v>1023</v>
      </c>
      <c r="I546" s="35"/>
      <c r="J546" s="36" t="s">
        <v>914</v>
      </c>
      <c r="K546" s="33" t="s">
        <v>916</v>
      </c>
      <c r="L546" s="35" t="s">
        <v>1116</v>
      </c>
      <c r="M546" s="36" t="s">
        <v>957</v>
      </c>
      <c r="N546" s="45">
        <v>46083.659722222219</v>
      </c>
      <c r="O546" s="36" t="s">
        <v>1117</v>
      </c>
      <c r="P546" s="38">
        <v>5.2228124999999999</v>
      </c>
      <c r="Q546" s="39" t="s">
        <v>2291</v>
      </c>
      <c r="R546" s="46" t="s">
        <v>2292</v>
      </c>
      <c r="S546" s="35" t="s">
        <v>2293</v>
      </c>
      <c r="T546" s="35" t="s">
        <v>1624</v>
      </c>
      <c r="U546" s="40">
        <v>46079</v>
      </c>
      <c r="V546" s="41">
        <v>46153.532754629632</v>
      </c>
      <c r="W546" s="40">
        <v>46078</v>
      </c>
      <c r="X546" s="35" t="s">
        <v>916</v>
      </c>
      <c r="Y546" s="35" t="s">
        <v>916</v>
      </c>
      <c r="Z546" s="35" t="s">
        <v>916</v>
      </c>
      <c r="AA546" s="38">
        <v>125.3475</v>
      </c>
      <c r="AB546" s="42" t="s">
        <v>916</v>
      </c>
      <c r="AC546" s="43" t="s">
        <v>916</v>
      </c>
      <c r="AD546" s="43" t="s">
        <v>916</v>
      </c>
      <c r="AE546" s="33" t="s">
        <v>916</v>
      </c>
      <c r="AF546" s="35" t="s">
        <v>916</v>
      </c>
      <c r="AG546" s="44">
        <v>492379.33333333331</v>
      </c>
      <c r="AH546" s="42" t="s">
        <v>916</v>
      </c>
      <c r="AI546" s="32" t="e">
        <f>VLOOKUP(A546,'4月明細'!B:B,1,0)</f>
        <v>#N/A</v>
      </c>
    </row>
    <row r="547" spans="1:35" ht="19.95" customHeight="1" x14ac:dyDescent="0.3">
      <c r="A547" s="33" t="s">
        <v>490</v>
      </c>
      <c r="B547" s="34">
        <v>46077.647997685184</v>
      </c>
      <c r="C547" s="34" t="str">
        <f t="shared" si="21"/>
        <v>202602</v>
      </c>
      <c r="D547" s="35" t="s">
        <v>951</v>
      </c>
      <c r="E547" s="36" t="s">
        <v>910</v>
      </c>
      <c r="F547" s="36" t="s">
        <v>1419</v>
      </c>
      <c r="G547" s="37" t="s">
        <v>2294</v>
      </c>
      <c r="H547" s="36" t="s">
        <v>1023</v>
      </c>
      <c r="I547" s="35" t="s">
        <v>2295</v>
      </c>
      <c r="J547" s="36" t="s">
        <v>929</v>
      </c>
      <c r="K547" s="33" t="s">
        <v>916</v>
      </c>
      <c r="L547" s="35" t="s">
        <v>916</v>
      </c>
      <c r="M547" s="36" t="s">
        <v>957</v>
      </c>
      <c r="N547" s="45">
        <v>46078.427777777775</v>
      </c>
      <c r="O547" s="36" t="s">
        <v>25</v>
      </c>
      <c r="P547" s="38">
        <v>0.77978009260000003</v>
      </c>
      <c r="Q547" s="39" t="s">
        <v>2296</v>
      </c>
      <c r="R547" s="35" t="s">
        <v>916</v>
      </c>
      <c r="S547" s="35" t="s">
        <v>2297</v>
      </c>
      <c r="T547" s="35" t="s">
        <v>1624</v>
      </c>
      <c r="U547" s="40">
        <v>46078</v>
      </c>
      <c r="V547" s="41">
        <v>46153.532754629632</v>
      </c>
      <c r="W547" s="40">
        <v>46077</v>
      </c>
      <c r="X547" s="35" t="s">
        <v>916</v>
      </c>
      <c r="Y547" s="35" t="s">
        <v>916</v>
      </c>
      <c r="Z547" s="35" t="s">
        <v>916</v>
      </c>
      <c r="AA547" s="38">
        <v>18.714722222399999</v>
      </c>
      <c r="AB547" s="42" t="s">
        <v>916</v>
      </c>
      <c r="AC547" s="43" t="s">
        <v>916</v>
      </c>
      <c r="AD547" s="43" t="s">
        <v>916</v>
      </c>
      <c r="AE547" s="33" t="s">
        <v>916</v>
      </c>
      <c r="AF547" s="35" t="s">
        <v>916</v>
      </c>
      <c r="AG547" s="44">
        <v>492226.26666666672</v>
      </c>
      <c r="AH547" s="42" t="s">
        <v>916</v>
      </c>
      <c r="AI547" s="32" t="e">
        <f>VLOOKUP(A547,'4月明細'!B:B,1,0)</f>
        <v>#N/A</v>
      </c>
    </row>
    <row r="548" spans="1:35" ht="19.95" customHeight="1" x14ac:dyDescent="0.3">
      <c r="A548" s="33" t="s">
        <v>521</v>
      </c>
      <c r="B548" s="34">
        <v>46077.450694444444</v>
      </c>
      <c r="C548" s="34" t="str">
        <f t="shared" si="21"/>
        <v>202602</v>
      </c>
      <c r="D548" s="35" t="s">
        <v>1653</v>
      </c>
      <c r="E548" s="36" t="s">
        <v>934</v>
      </c>
      <c r="F548" s="36" t="s">
        <v>2298</v>
      </c>
      <c r="G548" s="37" t="s">
        <v>2145</v>
      </c>
      <c r="H548" s="36" t="s">
        <v>928</v>
      </c>
      <c r="I548" s="35" t="s">
        <v>2299</v>
      </c>
      <c r="J548" s="36" t="s">
        <v>929</v>
      </c>
      <c r="K548" s="33" t="s">
        <v>916</v>
      </c>
      <c r="L548" s="35" t="s">
        <v>916</v>
      </c>
      <c r="M548" s="36" t="s">
        <v>957</v>
      </c>
      <c r="N548" s="45">
        <v>46085.888194444444</v>
      </c>
      <c r="O548" s="36" t="s">
        <v>25</v>
      </c>
      <c r="P548" s="38">
        <v>8.4375</v>
      </c>
      <c r="Q548" s="39" t="s">
        <v>1404</v>
      </c>
      <c r="R548" s="35" t="s">
        <v>916</v>
      </c>
      <c r="S548" s="35"/>
      <c r="T548" s="35" t="s">
        <v>1624</v>
      </c>
      <c r="U548" s="40">
        <v>46078</v>
      </c>
      <c r="V548" s="41">
        <v>46153.532754629632</v>
      </c>
      <c r="W548" s="40">
        <v>46077</v>
      </c>
      <c r="X548" s="35" t="s">
        <v>916</v>
      </c>
      <c r="Y548" s="35" t="s">
        <v>916</v>
      </c>
      <c r="Z548" s="35" t="s">
        <v>916</v>
      </c>
      <c r="AA548" s="38">
        <v>202.5</v>
      </c>
      <c r="AB548" s="42" t="s">
        <v>916</v>
      </c>
      <c r="AC548" s="43" t="s">
        <v>916</v>
      </c>
      <c r="AD548" s="43" t="s">
        <v>916</v>
      </c>
      <c r="AE548" s="33" t="s">
        <v>916</v>
      </c>
      <c r="AF548" s="35" t="s">
        <v>916</v>
      </c>
      <c r="AG548" s="44">
        <v>0</v>
      </c>
      <c r="AH548" s="42" t="s">
        <v>916</v>
      </c>
      <c r="AI548" s="32" t="e">
        <f>VLOOKUP(A548,'4月明細'!B:B,1,0)</f>
        <v>#N/A</v>
      </c>
    </row>
    <row r="549" spans="1:35" ht="19.95" customHeight="1" x14ac:dyDescent="0.3">
      <c r="A549" s="33" t="s">
        <v>489</v>
      </c>
      <c r="B549" s="34">
        <v>46077.446620370371</v>
      </c>
      <c r="C549" s="34" t="str">
        <f t="shared" si="21"/>
        <v>202602</v>
      </c>
      <c r="D549" s="35" t="s">
        <v>951</v>
      </c>
      <c r="E549" s="36" t="s">
        <v>910</v>
      </c>
      <c r="F549" s="36" t="s">
        <v>2300</v>
      </c>
      <c r="G549" s="37" t="s">
        <v>2301</v>
      </c>
      <c r="H549" s="36" t="s">
        <v>954</v>
      </c>
      <c r="I549" s="35" t="s">
        <v>2302</v>
      </c>
      <c r="J549" s="36" t="s">
        <v>914</v>
      </c>
      <c r="K549" s="33" t="s">
        <v>916</v>
      </c>
      <c r="L549" s="35" t="s">
        <v>916</v>
      </c>
      <c r="M549" s="36" t="s">
        <v>957</v>
      </c>
      <c r="N549" s="45">
        <v>46077.449305555558</v>
      </c>
      <c r="O549" s="36" t="s">
        <v>25</v>
      </c>
      <c r="P549" s="38">
        <v>2.6851852000000002E-3</v>
      </c>
      <c r="Q549" s="39" t="s">
        <v>2303</v>
      </c>
      <c r="R549" s="35" t="s">
        <v>916</v>
      </c>
      <c r="S549" s="35"/>
      <c r="T549" s="35" t="s">
        <v>1624</v>
      </c>
      <c r="U549" s="40">
        <v>46078</v>
      </c>
      <c r="V549" s="41">
        <v>46153.532754629632</v>
      </c>
      <c r="W549" s="40">
        <v>46077</v>
      </c>
      <c r="X549" s="35" t="s">
        <v>916</v>
      </c>
      <c r="Y549" s="35" t="s">
        <v>916</v>
      </c>
      <c r="Z549" s="35" t="s">
        <v>916</v>
      </c>
      <c r="AA549" s="38">
        <v>6.44444448E-2</v>
      </c>
      <c r="AB549" s="42" t="s">
        <v>916</v>
      </c>
      <c r="AC549" s="43" t="s">
        <v>916</v>
      </c>
      <c r="AD549" s="43" t="s">
        <v>916</v>
      </c>
      <c r="AE549" s="33" t="s">
        <v>916</v>
      </c>
      <c r="AF549" s="35" t="s">
        <v>916</v>
      </c>
      <c r="AG549" s="44">
        <v>0</v>
      </c>
      <c r="AH549" s="42" t="s">
        <v>916</v>
      </c>
      <c r="AI549" s="32" t="e">
        <f>VLOOKUP(A549,'4月明細'!B:B,1,0)</f>
        <v>#N/A</v>
      </c>
    </row>
    <row r="550" spans="1:35" ht="19.95" customHeight="1" x14ac:dyDescent="0.3">
      <c r="A550" s="33" t="s">
        <v>520</v>
      </c>
      <c r="B550" s="34">
        <v>46077.446527777778</v>
      </c>
      <c r="C550" s="34" t="str">
        <f t="shared" si="21"/>
        <v>202602</v>
      </c>
      <c r="D550" s="35" t="s">
        <v>1653</v>
      </c>
      <c r="E550" s="36" t="s">
        <v>934</v>
      </c>
      <c r="F550" s="36" t="s">
        <v>1203</v>
      </c>
      <c r="G550" s="37" t="s">
        <v>2304</v>
      </c>
      <c r="H550" s="36" t="s">
        <v>928</v>
      </c>
      <c r="I550" s="35"/>
      <c r="J550" s="36" t="s">
        <v>929</v>
      </c>
      <c r="K550" s="33" t="s">
        <v>916</v>
      </c>
      <c r="L550" s="35" t="s">
        <v>916</v>
      </c>
      <c r="M550" s="36" t="s">
        <v>2305</v>
      </c>
      <c r="N550" s="45">
        <v>46085.888194444444</v>
      </c>
      <c r="O550" s="36" t="s">
        <v>25</v>
      </c>
      <c r="P550" s="38">
        <v>8.4416666666999998</v>
      </c>
      <c r="Q550" s="39" t="s">
        <v>1404</v>
      </c>
      <c r="R550" s="35" t="s">
        <v>916</v>
      </c>
      <c r="S550" s="35"/>
      <c r="T550" s="35" t="s">
        <v>1624</v>
      </c>
      <c r="U550" s="40">
        <v>46078</v>
      </c>
      <c r="V550" s="41">
        <v>46153.532754629632</v>
      </c>
      <c r="W550" s="40">
        <v>46077</v>
      </c>
      <c r="X550" s="35" t="s">
        <v>916</v>
      </c>
      <c r="Y550" s="35" t="s">
        <v>916</v>
      </c>
      <c r="Z550" s="35" t="s">
        <v>916</v>
      </c>
      <c r="AA550" s="38">
        <v>202.60000000080001</v>
      </c>
      <c r="AB550" s="42" t="s">
        <v>916</v>
      </c>
      <c r="AC550" s="43" t="s">
        <v>916</v>
      </c>
      <c r="AD550" s="43" t="s">
        <v>916</v>
      </c>
      <c r="AE550" s="33" t="s">
        <v>916</v>
      </c>
      <c r="AF550" s="35" t="s">
        <v>916</v>
      </c>
      <c r="AG550" s="44">
        <v>0</v>
      </c>
      <c r="AH550" s="42" t="s">
        <v>916</v>
      </c>
      <c r="AI550" s="32" t="e">
        <f>VLOOKUP(A550,'4月明細'!B:B,1,0)</f>
        <v>#N/A</v>
      </c>
    </row>
    <row r="551" spans="1:35" ht="19.95" customHeight="1" x14ac:dyDescent="0.3">
      <c r="A551" s="33" t="s">
        <v>519</v>
      </c>
      <c r="B551" s="34">
        <v>46077.445138888892</v>
      </c>
      <c r="C551" s="34" t="str">
        <f t="shared" si="21"/>
        <v>202602</v>
      </c>
      <c r="D551" s="35" t="s">
        <v>1653</v>
      </c>
      <c r="E551" s="36" t="s">
        <v>934</v>
      </c>
      <c r="F551" s="36" t="s">
        <v>1203</v>
      </c>
      <c r="G551" s="37" t="s">
        <v>2306</v>
      </c>
      <c r="H551" s="36" t="s">
        <v>928</v>
      </c>
      <c r="I551" s="35"/>
      <c r="J551" s="36" t="s">
        <v>929</v>
      </c>
      <c r="K551" s="33" t="s">
        <v>916</v>
      </c>
      <c r="L551" s="35" t="s">
        <v>916</v>
      </c>
      <c r="M551" s="36" t="s">
        <v>923</v>
      </c>
      <c r="N551" s="45">
        <v>46083.645138888889</v>
      </c>
      <c r="O551" s="36" t="s">
        <v>25</v>
      </c>
      <c r="P551" s="38">
        <v>6.2</v>
      </c>
      <c r="Q551" s="39" t="s">
        <v>2307</v>
      </c>
      <c r="R551" s="35" t="s">
        <v>916</v>
      </c>
      <c r="S551" s="35"/>
      <c r="T551" s="35" t="s">
        <v>1624</v>
      </c>
      <c r="U551" s="40">
        <v>46078</v>
      </c>
      <c r="V551" s="41">
        <v>46153.532754629632</v>
      </c>
      <c r="W551" s="40">
        <v>46077</v>
      </c>
      <c r="X551" s="35" t="s">
        <v>916</v>
      </c>
      <c r="Y551" s="35" t="s">
        <v>916</v>
      </c>
      <c r="Z551" s="35" t="s">
        <v>916</v>
      </c>
      <c r="AA551" s="38">
        <v>148.80000000000001</v>
      </c>
      <c r="AB551" s="42" t="s">
        <v>916</v>
      </c>
      <c r="AC551" s="43" t="s">
        <v>916</v>
      </c>
      <c r="AD551" s="43" t="s">
        <v>916</v>
      </c>
      <c r="AE551" s="33" t="s">
        <v>916</v>
      </c>
      <c r="AF551" s="35" t="s">
        <v>916</v>
      </c>
      <c r="AG551" s="44">
        <v>0</v>
      </c>
      <c r="AH551" s="42" t="s">
        <v>916</v>
      </c>
      <c r="AI551" s="32" t="e">
        <f>VLOOKUP(A551,'4月明細'!B:B,1,0)</f>
        <v>#N/A</v>
      </c>
    </row>
    <row r="552" spans="1:35" ht="19.95" customHeight="1" x14ac:dyDescent="0.3">
      <c r="A552" s="33" t="s">
        <v>488</v>
      </c>
      <c r="B552" s="34">
        <v>46076.898460648146</v>
      </c>
      <c r="C552" s="34" t="str">
        <f t="shared" si="21"/>
        <v>202602</v>
      </c>
      <c r="D552" s="35" t="s">
        <v>2308</v>
      </c>
      <c r="E552" s="36" t="s">
        <v>1199</v>
      </c>
      <c r="F552" s="36" t="s">
        <v>1860</v>
      </c>
      <c r="G552" s="37" t="s">
        <v>2309</v>
      </c>
      <c r="H552" s="36" t="s">
        <v>954</v>
      </c>
      <c r="I552" s="35"/>
      <c r="J552" s="36" t="s">
        <v>938</v>
      </c>
      <c r="K552" s="33" t="s">
        <v>916</v>
      </c>
      <c r="L552" s="35" t="s">
        <v>916</v>
      </c>
      <c r="M552" s="36" t="s">
        <v>923</v>
      </c>
      <c r="N552" s="45">
        <v>46077.406944444447</v>
      </c>
      <c r="O552" s="36" t="s">
        <v>25</v>
      </c>
      <c r="P552" s="38">
        <v>0.50848379629999996</v>
      </c>
      <c r="Q552" s="39" t="s">
        <v>1328</v>
      </c>
      <c r="R552" s="35" t="s">
        <v>916</v>
      </c>
      <c r="S552" s="35"/>
      <c r="T552" s="35" t="s">
        <v>1624</v>
      </c>
      <c r="U552" s="40">
        <v>46077</v>
      </c>
      <c r="V552" s="41">
        <v>46153.532754629632</v>
      </c>
      <c r="W552" s="40">
        <v>46077</v>
      </c>
      <c r="X552" s="35" t="s">
        <v>916</v>
      </c>
      <c r="Y552" s="35" t="s">
        <v>916</v>
      </c>
      <c r="Z552" s="35" t="s">
        <v>916</v>
      </c>
      <c r="AA552" s="38">
        <v>12.203611111200001</v>
      </c>
      <c r="AB552" s="42" t="s">
        <v>916</v>
      </c>
      <c r="AC552" s="43" t="s">
        <v>916</v>
      </c>
      <c r="AD552" s="43" t="s">
        <v>916</v>
      </c>
      <c r="AE552" s="33" t="s">
        <v>916</v>
      </c>
      <c r="AF552" s="35" t="s">
        <v>916</v>
      </c>
      <c r="AG552" s="44">
        <v>0</v>
      </c>
      <c r="AH552" s="42" t="s">
        <v>916</v>
      </c>
      <c r="AI552" s="32" t="e">
        <f>VLOOKUP(A552,'4月明細'!B:B,1,0)</f>
        <v>#N/A</v>
      </c>
    </row>
    <row r="553" spans="1:35" ht="19.95" customHeight="1" x14ac:dyDescent="0.3">
      <c r="A553" s="33" t="s">
        <v>518</v>
      </c>
      <c r="B553" s="34">
        <v>46076.71298611111</v>
      </c>
      <c r="C553" s="34" t="str">
        <f t="shared" si="21"/>
        <v>202602</v>
      </c>
      <c r="D553" s="35" t="s">
        <v>2310</v>
      </c>
      <c r="E553" s="36" t="s">
        <v>1149</v>
      </c>
      <c r="F553" s="36" t="s">
        <v>1511</v>
      </c>
      <c r="G553" s="37" t="s">
        <v>2311</v>
      </c>
      <c r="H553" s="36" t="s">
        <v>928</v>
      </c>
      <c r="I553" s="35" t="s">
        <v>2312</v>
      </c>
      <c r="J553" s="36" t="s">
        <v>938</v>
      </c>
      <c r="K553" s="33" t="s">
        <v>916</v>
      </c>
      <c r="L553" s="35" t="s">
        <v>916</v>
      </c>
      <c r="M553" s="36" t="s">
        <v>957</v>
      </c>
      <c r="N553" s="45">
        <v>46083.654166666667</v>
      </c>
      <c r="O553" s="36" t="s">
        <v>25</v>
      </c>
      <c r="P553" s="38">
        <v>6.9411805555999999</v>
      </c>
      <c r="Q553" s="39" t="s">
        <v>1404</v>
      </c>
      <c r="R553" s="35" t="s">
        <v>916</v>
      </c>
      <c r="S553" s="35"/>
      <c r="T553" s="35" t="s">
        <v>1624</v>
      </c>
      <c r="U553" s="40">
        <v>46077</v>
      </c>
      <c r="V553" s="41">
        <v>46153.532754629632</v>
      </c>
      <c r="W553" s="40">
        <v>46076</v>
      </c>
      <c r="X553" s="35" t="s">
        <v>916</v>
      </c>
      <c r="Y553" s="35" t="s">
        <v>916</v>
      </c>
      <c r="Z553" s="35" t="s">
        <v>916</v>
      </c>
      <c r="AA553" s="38">
        <v>166.58833333440001</v>
      </c>
      <c r="AB553" s="42" t="s">
        <v>916</v>
      </c>
      <c r="AC553" s="43" t="s">
        <v>916</v>
      </c>
      <c r="AD553" s="43" t="s">
        <v>916</v>
      </c>
      <c r="AE553" s="33" t="s">
        <v>916</v>
      </c>
      <c r="AF553" s="35" t="s">
        <v>916</v>
      </c>
      <c r="AG553" s="44">
        <v>0</v>
      </c>
      <c r="AH553" s="42" t="s">
        <v>916</v>
      </c>
      <c r="AI553" s="32" t="e">
        <f>VLOOKUP(A553,'4月明細'!B:B,1,0)</f>
        <v>#N/A</v>
      </c>
    </row>
    <row r="554" spans="1:35" ht="19.95" customHeight="1" x14ac:dyDescent="0.3">
      <c r="A554" s="33" t="s">
        <v>2313</v>
      </c>
      <c r="B554" s="34">
        <v>46076.712453703702</v>
      </c>
      <c r="C554" s="34" t="str">
        <f t="shared" si="21"/>
        <v>202602</v>
      </c>
      <c r="D554" s="35" t="s">
        <v>2310</v>
      </c>
      <c r="E554" s="36" t="s">
        <v>1149</v>
      </c>
      <c r="F554" s="36" t="s">
        <v>952</v>
      </c>
      <c r="G554" s="37" t="s">
        <v>2314</v>
      </c>
      <c r="H554" s="36" t="s">
        <v>928</v>
      </c>
      <c r="I554" s="35" t="s">
        <v>2315</v>
      </c>
      <c r="J554" s="36" t="s">
        <v>938</v>
      </c>
      <c r="K554" s="33" t="s">
        <v>916</v>
      </c>
      <c r="L554" s="35" t="s">
        <v>916</v>
      </c>
      <c r="M554" s="36" t="s">
        <v>1039</v>
      </c>
      <c r="N554" s="45">
        <v>46076.713194444441</v>
      </c>
      <c r="O554" s="36" t="s">
        <v>1384</v>
      </c>
      <c r="P554" s="38">
        <v>7.4074069999999995E-4</v>
      </c>
      <c r="Q554" s="39" t="s">
        <v>2316</v>
      </c>
      <c r="R554" s="35" t="s">
        <v>916</v>
      </c>
      <c r="S554" s="35"/>
      <c r="T554" s="35" t="s">
        <v>1624</v>
      </c>
      <c r="U554" s="40">
        <v>46077</v>
      </c>
      <c r="V554" s="41">
        <v>46153.532754629632</v>
      </c>
      <c r="W554" s="40">
        <v>46076</v>
      </c>
      <c r="X554" s="35" t="s">
        <v>916</v>
      </c>
      <c r="Y554" s="35" t="s">
        <v>916</v>
      </c>
      <c r="Z554" s="35" t="s">
        <v>916</v>
      </c>
      <c r="AA554" s="38">
        <v>1.7777776799999999E-2</v>
      </c>
      <c r="AB554" s="42" t="s">
        <v>916</v>
      </c>
      <c r="AC554" s="43" t="s">
        <v>916</v>
      </c>
      <c r="AD554" s="43" t="s">
        <v>916</v>
      </c>
      <c r="AE554" s="33" t="s">
        <v>916</v>
      </c>
      <c r="AF554" s="35" t="s">
        <v>916</v>
      </c>
      <c r="AG554" s="44">
        <v>492200.93333333329</v>
      </c>
      <c r="AH554" s="42" t="s">
        <v>916</v>
      </c>
      <c r="AI554" s="32" t="e">
        <f>VLOOKUP(A554,'4月明細'!B:B,1,0)</f>
        <v>#N/A</v>
      </c>
    </row>
    <row r="555" spans="1:35" ht="19.95" customHeight="1" x14ac:dyDescent="0.3">
      <c r="A555" s="33" t="s">
        <v>487</v>
      </c>
      <c r="B555" s="34">
        <v>46076.711840277778</v>
      </c>
      <c r="C555" s="34" t="str">
        <f t="shared" si="21"/>
        <v>202602</v>
      </c>
      <c r="D555" s="35" t="s">
        <v>2310</v>
      </c>
      <c r="E555" s="36" t="s">
        <v>1149</v>
      </c>
      <c r="F555" s="36" t="s">
        <v>964</v>
      </c>
      <c r="G555" s="37" t="s">
        <v>2317</v>
      </c>
      <c r="H555" s="36" t="s">
        <v>928</v>
      </c>
      <c r="I555" s="35" t="s">
        <v>2318</v>
      </c>
      <c r="J555" s="36" t="s">
        <v>938</v>
      </c>
      <c r="K555" s="33" t="s">
        <v>916</v>
      </c>
      <c r="L555" s="35" t="s">
        <v>916</v>
      </c>
      <c r="M555" s="36" t="s">
        <v>957</v>
      </c>
      <c r="N555" s="45">
        <v>46077.440972222219</v>
      </c>
      <c r="O555" s="36" t="s">
        <v>25</v>
      </c>
      <c r="P555" s="38">
        <v>0.72913194439999995</v>
      </c>
      <c r="Q555" s="39" t="s">
        <v>1391</v>
      </c>
      <c r="R555" s="35" t="s">
        <v>916</v>
      </c>
      <c r="S555" s="35"/>
      <c r="T555" s="35" t="s">
        <v>1624</v>
      </c>
      <c r="U555" s="40">
        <v>46077</v>
      </c>
      <c r="V555" s="41">
        <v>46153.532754629632</v>
      </c>
      <c r="W555" s="40">
        <v>46076</v>
      </c>
      <c r="X555" s="35" t="s">
        <v>916</v>
      </c>
      <c r="Y555" s="35" t="s">
        <v>916</v>
      </c>
      <c r="Z555" s="35" t="s">
        <v>916</v>
      </c>
      <c r="AA555" s="38">
        <v>17.499166665600001</v>
      </c>
      <c r="AB555" s="42" t="s">
        <v>916</v>
      </c>
      <c r="AC555" s="43" t="s">
        <v>916</v>
      </c>
      <c r="AD555" s="43" t="s">
        <v>916</v>
      </c>
      <c r="AE555" s="33" t="s">
        <v>916</v>
      </c>
      <c r="AF555" s="35" t="s">
        <v>916</v>
      </c>
      <c r="AG555" s="44">
        <v>0</v>
      </c>
      <c r="AH555" s="42" t="s">
        <v>916</v>
      </c>
      <c r="AI555" s="32" t="e">
        <f>VLOOKUP(A555,'4月明細'!B:B,1,0)</f>
        <v>#N/A</v>
      </c>
    </row>
    <row r="556" spans="1:35" ht="19.95" customHeight="1" x14ac:dyDescent="0.3">
      <c r="A556" s="33" t="s">
        <v>486</v>
      </c>
      <c r="B556" s="34">
        <v>46076.711134259262</v>
      </c>
      <c r="C556" s="34" t="str">
        <f t="shared" si="21"/>
        <v>202602</v>
      </c>
      <c r="D556" s="35" t="s">
        <v>2310</v>
      </c>
      <c r="E556" s="36" t="s">
        <v>1149</v>
      </c>
      <c r="F556" s="36" t="s">
        <v>1606</v>
      </c>
      <c r="G556" s="37" t="s">
        <v>2317</v>
      </c>
      <c r="H556" s="36" t="s">
        <v>928</v>
      </c>
      <c r="I556" s="35" t="s">
        <v>2319</v>
      </c>
      <c r="J556" s="36" t="s">
        <v>938</v>
      </c>
      <c r="K556" s="33" t="s">
        <v>916</v>
      </c>
      <c r="L556" s="35" t="s">
        <v>916</v>
      </c>
      <c r="M556" s="36" t="s">
        <v>957</v>
      </c>
      <c r="N556" s="45">
        <v>46077.440972222219</v>
      </c>
      <c r="O556" s="36" t="s">
        <v>25</v>
      </c>
      <c r="P556" s="38">
        <v>0.72983796300000003</v>
      </c>
      <c r="Q556" s="39" t="s">
        <v>1391</v>
      </c>
      <c r="R556" s="35" t="s">
        <v>916</v>
      </c>
      <c r="S556" s="35"/>
      <c r="T556" s="35" t="s">
        <v>1624</v>
      </c>
      <c r="U556" s="40">
        <v>46077</v>
      </c>
      <c r="V556" s="41">
        <v>46153.532754629632</v>
      </c>
      <c r="W556" s="40">
        <v>46076</v>
      </c>
      <c r="X556" s="35" t="s">
        <v>916</v>
      </c>
      <c r="Y556" s="35" t="s">
        <v>916</v>
      </c>
      <c r="Z556" s="35" t="s">
        <v>916</v>
      </c>
      <c r="AA556" s="38">
        <v>17.516111112000001</v>
      </c>
      <c r="AB556" s="42" t="s">
        <v>916</v>
      </c>
      <c r="AC556" s="43" t="s">
        <v>916</v>
      </c>
      <c r="AD556" s="43" t="s">
        <v>916</v>
      </c>
      <c r="AE556" s="33" t="s">
        <v>916</v>
      </c>
      <c r="AF556" s="35" t="s">
        <v>916</v>
      </c>
      <c r="AG556" s="44">
        <v>0</v>
      </c>
      <c r="AH556" s="42" t="s">
        <v>916</v>
      </c>
      <c r="AI556" s="32" t="e">
        <f>VLOOKUP(A556,'4月明細'!B:B,1,0)</f>
        <v>#N/A</v>
      </c>
    </row>
    <row r="557" spans="1:35" ht="19.95" customHeight="1" x14ac:dyDescent="0.3">
      <c r="A557" s="33" t="s">
        <v>2320</v>
      </c>
      <c r="B557" s="34">
        <v>46076.71056712963</v>
      </c>
      <c r="C557" s="34" t="str">
        <f t="shared" si="21"/>
        <v>202602</v>
      </c>
      <c r="D557" s="35" t="s">
        <v>2310</v>
      </c>
      <c r="E557" s="36" t="s">
        <v>1149</v>
      </c>
      <c r="F557" s="36" t="s">
        <v>1606</v>
      </c>
      <c r="G557" s="37" t="s">
        <v>2321</v>
      </c>
      <c r="H557" s="36" t="s">
        <v>928</v>
      </c>
      <c r="I557" s="35" t="s">
        <v>2322</v>
      </c>
      <c r="J557" s="36" t="s">
        <v>938</v>
      </c>
      <c r="K557" s="33" t="s">
        <v>916</v>
      </c>
      <c r="L557" s="35" t="s">
        <v>916</v>
      </c>
      <c r="M557" s="36" t="s">
        <v>1039</v>
      </c>
      <c r="N557" s="45">
        <v>46076.720833333333</v>
      </c>
      <c r="O557" s="36" t="s">
        <v>939</v>
      </c>
      <c r="P557" s="38">
        <v>1.02662037E-2</v>
      </c>
      <c r="Q557" s="39" t="s">
        <v>2323</v>
      </c>
      <c r="R557" s="35" t="s">
        <v>916</v>
      </c>
      <c r="S557" s="35"/>
      <c r="T557" s="35" t="s">
        <v>1624</v>
      </c>
      <c r="U557" s="40">
        <v>46077</v>
      </c>
      <c r="V557" s="41">
        <v>46153.532754629632</v>
      </c>
      <c r="W557" s="40">
        <v>46076</v>
      </c>
      <c r="X557" s="40">
        <v>46153</v>
      </c>
      <c r="Y557" s="35" t="s">
        <v>916</v>
      </c>
      <c r="Z557" s="35" t="s">
        <v>916</v>
      </c>
      <c r="AA557" s="38">
        <v>0.24638888880000001</v>
      </c>
      <c r="AB557" s="42" t="s">
        <v>916</v>
      </c>
      <c r="AC557" s="43" t="s">
        <v>916</v>
      </c>
      <c r="AD557" s="43" t="s">
        <v>916</v>
      </c>
      <c r="AE557" s="33" t="s">
        <v>916</v>
      </c>
      <c r="AF557" s="35" t="s">
        <v>916</v>
      </c>
      <c r="AG557" s="44">
        <v>492200.96666666667</v>
      </c>
      <c r="AH557" s="42" t="s">
        <v>916</v>
      </c>
      <c r="AI557" s="32" t="e">
        <f>VLOOKUP(A557,'4月明細'!B:B,1,0)</f>
        <v>#N/A</v>
      </c>
    </row>
    <row r="558" spans="1:35" ht="19.95" customHeight="1" x14ac:dyDescent="0.3">
      <c r="A558" s="33" t="s">
        <v>2324</v>
      </c>
      <c r="B558" s="34">
        <v>46076.697858796295</v>
      </c>
      <c r="C558" s="34" t="str">
        <f t="shared" si="21"/>
        <v>202602</v>
      </c>
      <c r="D558" s="35" t="s">
        <v>2310</v>
      </c>
      <c r="E558" s="36" t="s">
        <v>1149</v>
      </c>
      <c r="F558" s="36" t="s">
        <v>1975</v>
      </c>
      <c r="G558" s="37" t="s">
        <v>2314</v>
      </c>
      <c r="H558" s="36" t="s">
        <v>928</v>
      </c>
      <c r="I558" s="35" t="s">
        <v>2325</v>
      </c>
      <c r="J558" s="36" t="s">
        <v>938</v>
      </c>
      <c r="K558" s="33" t="s">
        <v>916</v>
      </c>
      <c r="L558" s="35" t="s">
        <v>916</v>
      </c>
      <c r="M558" s="36" t="s">
        <v>1039</v>
      </c>
      <c r="N558" s="45">
        <v>46077.382638888892</v>
      </c>
      <c r="O558" s="36" t="s">
        <v>1384</v>
      </c>
      <c r="P558" s="38">
        <v>0.68478009259999995</v>
      </c>
      <c r="Q558" s="39" t="s">
        <v>2316</v>
      </c>
      <c r="R558" s="35" t="s">
        <v>916</v>
      </c>
      <c r="S558" s="35"/>
      <c r="T558" s="35" t="s">
        <v>1624</v>
      </c>
      <c r="U558" s="40">
        <v>46077</v>
      </c>
      <c r="V558" s="41">
        <v>46153.532754629632</v>
      </c>
      <c r="W558" s="40">
        <v>46076</v>
      </c>
      <c r="X558" s="35" t="s">
        <v>916</v>
      </c>
      <c r="Y558" s="35" t="s">
        <v>916</v>
      </c>
      <c r="Z558" s="35" t="s">
        <v>916</v>
      </c>
      <c r="AA558" s="38">
        <v>16.434722222400001</v>
      </c>
      <c r="AB558" s="42" t="s">
        <v>916</v>
      </c>
      <c r="AC558" s="43" t="s">
        <v>916</v>
      </c>
      <c r="AD558" s="43" t="s">
        <v>916</v>
      </c>
      <c r="AE558" s="33" t="s">
        <v>916</v>
      </c>
      <c r="AF558" s="35" t="s">
        <v>916</v>
      </c>
      <c r="AG558" s="44">
        <v>492201.18333333329</v>
      </c>
      <c r="AH558" s="42" t="s">
        <v>916</v>
      </c>
      <c r="AI558" s="32" t="e">
        <f>VLOOKUP(A558,'4月明細'!B:B,1,0)</f>
        <v>#N/A</v>
      </c>
    </row>
    <row r="559" spans="1:35" ht="19.95" customHeight="1" x14ac:dyDescent="0.3">
      <c r="A559" s="33" t="s">
        <v>2326</v>
      </c>
      <c r="B559" s="34">
        <v>46076.697326388887</v>
      </c>
      <c r="C559" s="34" t="str">
        <f t="shared" si="21"/>
        <v>202602</v>
      </c>
      <c r="D559" s="35" t="s">
        <v>2310</v>
      </c>
      <c r="E559" s="36" t="s">
        <v>1149</v>
      </c>
      <c r="F559" s="36" t="s">
        <v>2327</v>
      </c>
      <c r="G559" s="37" t="s">
        <v>2328</v>
      </c>
      <c r="H559" s="36" t="s">
        <v>928</v>
      </c>
      <c r="I559" s="35" t="s">
        <v>2329</v>
      </c>
      <c r="J559" s="36" t="s">
        <v>938</v>
      </c>
      <c r="K559" s="33" t="s">
        <v>916</v>
      </c>
      <c r="L559" s="35" t="s">
        <v>916</v>
      </c>
      <c r="M559" s="36" t="s">
        <v>1039</v>
      </c>
      <c r="N559" s="45">
        <v>46085.703472222223</v>
      </c>
      <c r="O559" s="36" t="s">
        <v>939</v>
      </c>
      <c r="P559" s="38">
        <v>9.0061458332999997</v>
      </c>
      <c r="Q559" s="39" t="s">
        <v>2323</v>
      </c>
      <c r="R559" s="35" t="s">
        <v>916</v>
      </c>
      <c r="S559" s="35"/>
      <c r="T559" s="35" t="s">
        <v>1624</v>
      </c>
      <c r="U559" s="40">
        <v>46077</v>
      </c>
      <c r="V559" s="41">
        <v>46153.532754629632</v>
      </c>
      <c r="W559" s="40">
        <v>46076</v>
      </c>
      <c r="X559" s="40">
        <v>46153</v>
      </c>
      <c r="Y559" s="35" t="s">
        <v>916</v>
      </c>
      <c r="Z559" s="35" t="s">
        <v>916</v>
      </c>
      <c r="AA559" s="38">
        <v>216.14749999919999</v>
      </c>
      <c r="AB559" s="42" t="s">
        <v>916</v>
      </c>
      <c r="AC559" s="43" t="s">
        <v>916</v>
      </c>
      <c r="AD559" s="43" t="s">
        <v>916</v>
      </c>
      <c r="AE559" s="33" t="s">
        <v>916</v>
      </c>
      <c r="AF559" s="35" t="s">
        <v>916</v>
      </c>
      <c r="AG559" s="44">
        <v>492200.9833333334</v>
      </c>
      <c r="AH559" s="42" t="s">
        <v>916</v>
      </c>
      <c r="AI559" s="32" t="e">
        <f>VLOOKUP(A559,'4月明細'!B:B,1,0)</f>
        <v>#N/A</v>
      </c>
    </row>
    <row r="560" spans="1:35" ht="19.95" customHeight="1" x14ac:dyDescent="0.3">
      <c r="A560" s="33" t="s">
        <v>2330</v>
      </c>
      <c r="B560" s="34">
        <v>46076.695960648147</v>
      </c>
      <c r="C560" s="34" t="str">
        <f t="shared" si="21"/>
        <v>202602</v>
      </c>
      <c r="D560" s="35" t="s">
        <v>2310</v>
      </c>
      <c r="E560" s="36" t="s">
        <v>1149</v>
      </c>
      <c r="F560" s="36" t="s">
        <v>1736</v>
      </c>
      <c r="G560" s="37" t="s">
        <v>2331</v>
      </c>
      <c r="H560" s="36" t="s">
        <v>928</v>
      </c>
      <c r="I560" s="35" t="s">
        <v>2332</v>
      </c>
      <c r="J560" s="36" t="s">
        <v>938</v>
      </c>
      <c r="K560" s="33" t="s">
        <v>916</v>
      </c>
      <c r="L560" s="35" t="s">
        <v>916</v>
      </c>
      <c r="M560" s="36" t="s">
        <v>1039</v>
      </c>
      <c r="N560" s="45">
        <v>46076.700694444444</v>
      </c>
      <c r="O560" s="36" t="s">
        <v>1384</v>
      </c>
      <c r="P560" s="38">
        <v>4.7337962999999999E-3</v>
      </c>
      <c r="Q560" s="39" t="s">
        <v>2316</v>
      </c>
      <c r="R560" s="35" t="s">
        <v>916</v>
      </c>
      <c r="S560" s="35"/>
      <c r="T560" s="35" t="s">
        <v>1624</v>
      </c>
      <c r="U560" s="40">
        <v>46077</v>
      </c>
      <c r="V560" s="41">
        <v>46153.532754629632</v>
      </c>
      <c r="W560" s="40">
        <v>46076</v>
      </c>
      <c r="X560" s="35" t="s">
        <v>916</v>
      </c>
      <c r="Y560" s="35" t="s">
        <v>916</v>
      </c>
      <c r="Z560" s="35" t="s">
        <v>916</v>
      </c>
      <c r="AA560" s="38">
        <v>0.1136111112</v>
      </c>
      <c r="AB560" s="42" t="s">
        <v>916</v>
      </c>
      <c r="AC560" s="43" t="s">
        <v>916</v>
      </c>
      <c r="AD560" s="43" t="s">
        <v>916</v>
      </c>
      <c r="AE560" s="33" t="s">
        <v>916</v>
      </c>
      <c r="AF560" s="35" t="s">
        <v>916</v>
      </c>
      <c r="AG560" s="44">
        <v>492201</v>
      </c>
      <c r="AH560" s="42" t="s">
        <v>916</v>
      </c>
      <c r="AI560" s="32" t="e">
        <f>VLOOKUP(A560,'4月明細'!B:B,1,0)</f>
        <v>#N/A</v>
      </c>
    </row>
    <row r="561" spans="1:35" ht="19.95" customHeight="1" x14ac:dyDescent="0.3">
      <c r="A561" s="33" t="s">
        <v>2333</v>
      </c>
      <c r="B561" s="34">
        <v>46076.695821759262</v>
      </c>
      <c r="C561" s="34" t="str">
        <f t="shared" si="21"/>
        <v>202602</v>
      </c>
      <c r="D561" s="35" t="s">
        <v>2310</v>
      </c>
      <c r="E561" s="36" t="s">
        <v>1149</v>
      </c>
      <c r="F561" s="36" t="s">
        <v>1537</v>
      </c>
      <c r="G561" s="37" t="s">
        <v>2334</v>
      </c>
      <c r="H561" s="36" t="s">
        <v>928</v>
      </c>
      <c r="I561" s="35" t="s">
        <v>2335</v>
      </c>
      <c r="J561" s="36" t="s">
        <v>938</v>
      </c>
      <c r="K561" s="33" t="s">
        <v>916</v>
      </c>
      <c r="L561" s="35" t="s">
        <v>916</v>
      </c>
      <c r="M561" s="36" t="s">
        <v>1039</v>
      </c>
      <c r="N561" s="45">
        <v>46076.700694444444</v>
      </c>
      <c r="O561" s="36" t="s">
        <v>1384</v>
      </c>
      <c r="P561" s="38">
        <v>4.8726851999999999E-3</v>
      </c>
      <c r="Q561" s="39" t="s">
        <v>2336</v>
      </c>
      <c r="R561" s="35" t="s">
        <v>916</v>
      </c>
      <c r="S561" s="35"/>
      <c r="T561" s="35" t="s">
        <v>1624</v>
      </c>
      <c r="U561" s="40">
        <v>46077</v>
      </c>
      <c r="V561" s="41">
        <v>46153.532754629632</v>
      </c>
      <c r="W561" s="40">
        <v>46076</v>
      </c>
      <c r="X561" s="35" t="s">
        <v>916</v>
      </c>
      <c r="Y561" s="35" t="s">
        <v>916</v>
      </c>
      <c r="Z561" s="35" t="s">
        <v>916</v>
      </c>
      <c r="AA561" s="38">
        <v>0.11694444480000001</v>
      </c>
      <c r="AB561" s="42" t="s">
        <v>916</v>
      </c>
      <c r="AC561" s="43" t="s">
        <v>916</v>
      </c>
      <c r="AD561" s="43" t="s">
        <v>916</v>
      </c>
      <c r="AE561" s="33" t="s">
        <v>916</v>
      </c>
      <c r="AF561" s="35" t="s">
        <v>916</v>
      </c>
      <c r="AG561" s="44">
        <v>492201</v>
      </c>
      <c r="AH561" s="42" t="s">
        <v>916</v>
      </c>
      <c r="AI561" s="32" t="e">
        <f>VLOOKUP(A561,'4月明細'!B:B,1,0)</f>
        <v>#N/A</v>
      </c>
    </row>
    <row r="562" spans="1:35" ht="19.95" customHeight="1" x14ac:dyDescent="0.3">
      <c r="A562" s="33" t="s">
        <v>2337</v>
      </c>
      <c r="B562" s="34">
        <v>46076.694386574076</v>
      </c>
      <c r="C562" s="34" t="str">
        <f t="shared" si="21"/>
        <v>202602</v>
      </c>
      <c r="D562" s="35" t="s">
        <v>2310</v>
      </c>
      <c r="E562" s="36" t="s">
        <v>1149</v>
      </c>
      <c r="F562" s="36" t="s">
        <v>1227</v>
      </c>
      <c r="G562" s="37" t="s">
        <v>2334</v>
      </c>
      <c r="H562" s="36" t="s">
        <v>928</v>
      </c>
      <c r="I562" s="35" t="s">
        <v>2338</v>
      </c>
      <c r="J562" s="36" t="s">
        <v>938</v>
      </c>
      <c r="K562" s="33" t="s">
        <v>916</v>
      </c>
      <c r="L562" s="35" t="s">
        <v>916</v>
      </c>
      <c r="M562" s="36" t="s">
        <v>1039</v>
      </c>
      <c r="N562" s="45">
        <v>46076.7</v>
      </c>
      <c r="O562" s="36" t="s">
        <v>1384</v>
      </c>
      <c r="P562" s="38">
        <v>5.6134258999999999E-3</v>
      </c>
      <c r="Q562" s="39" t="s">
        <v>2316</v>
      </c>
      <c r="R562" s="35" t="s">
        <v>916</v>
      </c>
      <c r="S562" s="35"/>
      <c r="T562" s="35" t="s">
        <v>1624</v>
      </c>
      <c r="U562" s="40">
        <v>46077</v>
      </c>
      <c r="V562" s="41">
        <v>46153.532754629632</v>
      </c>
      <c r="W562" s="40">
        <v>46076</v>
      </c>
      <c r="X562" s="35" t="s">
        <v>916</v>
      </c>
      <c r="Y562" s="35" t="s">
        <v>916</v>
      </c>
      <c r="Z562" s="35" t="s">
        <v>916</v>
      </c>
      <c r="AA562" s="38">
        <v>0.1347222216</v>
      </c>
      <c r="AB562" s="42" t="s">
        <v>916</v>
      </c>
      <c r="AC562" s="43" t="s">
        <v>916</v>
      </c>
      <c r="AD562" s="43" t="s">
        <v>916</v>
      </c>
      <c r="AE562" s="33" t="s">
        <v>916</v>
      </c>
      <c r="AF562" s="35" t="s">
        <v>916</v>
      </c>
      <c r="AG562" s="44">
        <v>492201.01666666672</v>
      </c>
      <c r="AH562" s="42" t="s">
        <v>916</v>
      </c>
      <c r="AI562" s="32" t="e">
        <f>VLOOKUP(A562,'4月明細'!B:B,1,0)</f>
        <v>#N/A</v>
      </c>
    </row>
    <row r="563" spans="1:35" ht="19.95" customHeight="1" x14ac:dyDescent="0.3">
      <c r="A563" s="33" t="s">
        <v>2339</v>
      </c>
      <c r="B563" s="34">
        <v>46076.693680555552</v>
      </c>
      <c r="C563" s="34" t="str">
        <f t="shared" si="21"/>
        <v>202602</v>
      </c>
      <c r="D563" s="35" t="s">
        <v>2310</v>
      </c>
      <c r="E563" s="36" t="s">
        <v>1149</v>
      </c>
      <c r="F563" s="36" t="s">
        <v>1141</v>
      </c>
      <c r="G563" s="37" t="s">
        <v>2328</v>
      </c>
      <c r="H563" s="36" t="s">
        <v>928</v>
      </c>
      <c r="I563" s="35" t="s">
        <v>2340</v>
      </c>
      <c r="J563" s="36" t="s">
        <v>938</v>
      </c>
      <c r="K563" s="33" t="s">
        <v>916</v>
      </c>
      <c r="L563" s="35" t="s">
        <v>916</v>
      </c>
      <c r="M563" s="36" t="s">
        <v>1039</v>
      </c>
      <c r="N563" s="45">
        <v>46085.723611111112</v>
      </c>
      <c r="O563" s="36" t="s">
        <v>939</v>
      </c>
      <c r="P563" s="38">
        <v>9.0299305556</v>
      </c>
      <c r="Q563" s="39" t="s">
        <v>2323</v>
      </c>
      <c r="R563" s="35" t="s">
        <v>916</v>
      </c>
      <c r="S563" s="35"/>
      <c r="T563" s="35" t="s">
        <v>1624</v>
      </c>
      <c r="U563" s="40">
        <v>46077</v>
      </c>
      <c r="V563" s="41">
        <v>46153.532754629632</v>
      </c>
      <c r="W563" s="40">
        <v>46076</v>
      </c>
      <c r="X563" s="40">
        <v>46153</v>
      </c>
      <c r="Y563" s="35" t="s">
        <v>916</v>
      </c>
      <c r="Z563" s="35" t="s">
        <v>916</v>
      </c>
      <c r="AA563" s="38">
        <v>216.7183333344</v>
      </c>
      <c r="AB563" s="42" t="s">
        <v>916</v>
      </c>
      <c r="AC563" s="43" t="s">
        <v>916</v>
      </c>
      <c r="AD563" s="43" t="s">
        <v>916</v>
      </c>
      <c r="AE563" s="33" t="s">
        <v>916</v>
      </c>
      <c r="AF563" s="35" t="s">
        <v>916</v>
      </c>
      <c r="AG563" s="44">
        <v>492201.01666666672</v>
      </c>
      <c r="AH563" s="42" t="s">
        <v>916</v>
      </c>
      <c r="AI563" s="32" t="e">
        <f>VLOOKUP(A563,'4月明細'!B:B,1,0)</f>
        <v>#N/A</v>
      </c>
    </row>
    <row r="564" spans="1:35" ht="19.95" customHeight="1" x14ac:dyDescent="0.3">
      <c r="A564" s="33" t="s">
        <v>2341</v>
      </c>
      <c r="B564" s="34">
        <v>46076.693067129629</v>
      </c>
      <c r="C564" s="34" t="str">
        <f t="shared" si="21"/>
        <v>202602</v>
      </c>
      <c r="D564" s="35" t="s">
        <v>2310</v>
      </c>
      <c r="E564" s="36" t="s">
        <v>1149</v>
      </c>
      <c r="F564" s="36" t="s">
        <v>1799</v>
      </c>
      <c r="G564" s="37" t="s">
        <v>2342</v>
      </c>
      <c r="H564" s="36" t="s">
        <v>928</v>
      </c>
      <c r="I564" s="35" t="s">
        <v>2343</v>
      </c>
      <c r="J564" s="36" t="s">
        <v>938</v>
      </c>
      <c r="K564" s="33" t="s">
        <v>916</v>
      </c>
      <c r="L564" s="35" t="s">
        <v>916</v>
      </c>
      <c r="M564" s="36" t="s">
        <v>1039</v>
      </c>
      <c r="N564" s="45">
        <v>46085.723611111112</v>
      </c>
      <c r="O564" s="36" t="s">
        <v>939</v>
      </c>
      <c r="P564" s="38">
        <v>9.0305439814999993</v>
      </c>
      <c r="Q564" s="39" t="s">
        <v>2323</v>
      </c>
      <c r="R564" s="35" t="s">
        <v>916</v>
      </c>
      <c r="S564" s="35"/>
      <c r="T564" s="35" t="s">
        <v>1624</v>
      </c>
      <c r="U564" s="40">
        <v>46077</v>
      </c>
      <c r="V564" s="41">
        <v>46153.532754629632</v>
      </c>
      <c r="W564" s="40">
        <v>46076</v>
      </c>
      <c r="X564" s="40">
        <v>46153</v>
      </c>
      <c r="Y564" s="35" t="s">
        <v>916</v>
      </c>
      <c r="Z564" s="35" t="s">
        <v>916</v>
      </c>
      <c r="AA564" s="38">
        <v>216.73305555600001</v>
      </c>
      <c r="AB564" s="42" t="s">
        <v>916</v>
      </c>
      <c r="AC564" s="43" t="s">
        <v>916</v>
      </c>
      <c r="AD564" s="43" t="s">
        <v>916</v>
      </c>
      <c r="AE564" s="33" t="s">
        <v>916</v>
      </c>
      <c r="AF564" s="35" t="s">
        <v>916</v>
      </c>
      <c r="AG564" s="44">
        <v>492201.03333333333</v>
      </c>
      <c r="AH564" s="42" t="s">
        <v>916</v>
      </c>
      <c r="AI564" s="32" t="e">
        <f>VLOOKUP(A564,'4月明細'!B:B,1,0)</f>
        <v>#N/A</v>
      </c>
    </row>
    <row r="565" spans="1:35" ht="19.95" customHeight="1" x14ac:dyDescent="0.3">
      <c r="A565" s="33" t="s">
        <v>485</v>
      </c>
      <c r="B565" s="34">
        <v>46076.69263888889</v>
      </c>
      <c r="C565" s="34" t="str">
        <f t="shared" si="21"/>
        <v>202602</v>
      </c>
      <c r="D565" s="35" t="s">
        <v>2310</v>
      </c>
      <c r="E565" s="36" t="s">
        <v>1149</v>
      </c>
      <c r="F565" s="36" t="s">
        <v>1799</v>
      </c>
      <c r="G565" s="37" t="s">
        <v>2344</v>
      </c>
      <c r="H565" s="36" t="s">
        <v>928</v>
      </c>
      <c r="I565" s="35" t="s">
        <v>2345</v>
      </c>
      <c r="J565" s="36" t="s">
        <v>938</v>
      </c>
      <c r="K565" s="33" t="s">
        <v>916</v>
      </c>
      <c r="L565" s="35" t="s">
        <v>916</v>
      </c>
      <c r="M565" s="36" t="s">
        <v>957</v>
      </c>
      <c r="N565" s="45">
        <v>46077.419444444444</v>
      </c>
      <c r="O565" s="36" t="s">
        <v>25</v>
      </c>
      <c r="P565" s="38">
        <v>0.72680555560000004</v>
      </c>
      <c r="Q565" s="39" t="s">
        <v>1328</v>
      </c>
      <c r="R565" s="35" t="s">
        <v>916</v>
      </c>
      <c r="S565" s="35"/>
      <c r="T565" s="35" t="s">
        <v>1624</v>
      </c>
      <c r="U565" s="40">
        <v>46077</v>
      </c>
      <c r="V565" s="41">
        <v>46153.532754629632</v>
      </c>
      <c r="W565" s="40">
        <v>46076</v>
      </c>
      <c r="X565" s="35" t="s">
        <v>916</v>
      </c>
      <c r="Y565" s="35" t="s">
        <v>916</v>
      </c>
      <c r="Z565" s="35" t="s">
        <v>916</v>
      </c>
      <c r="AA565" s="38">
        <v>17.443333334399998</v>
      </c>
      <c r="AB565" s="42" t="s">
        <v>916</v>
      </c>
      <c r="AC565" s="43" t="s">
        <v>916</v>
      </c>
      <c r="AD565" s="43" t="s">
        <v>916</v>
      </c>
      <c r="AE565" s="33" t="s">
        <v>916</v>
      </c>
      <c r="AF565" s="35" t="s">
        <v>916</v>
      </c>
      <c r="AG565" s="44">
        <v>0</v>
      </c>
      <c r="AH565" s="42" t="s">
        <v>916</v>
      </c>
      <c r="AI565" s="32" t="e">
        <f>VLOOKUP(A565,'4月明細'!B:B,1,0)</f>
        <v>#N/A</v>
      </c>
    </row>
    <row r="566" spans="1:35" ht="19.95" customHeight="1" x14ac:dyDescent="0.3">
      <c r="A566" s="33" t="s">
        <v>2346</v>
      </c>
      <c r="B566" s="34">
        <v>46076.691921296297</v>
      </c>
      <c r="C566" s="34" t="str">
        <f t="shared" si="21"/>
        <v>202602</v>
      </c>
      <c r="D566" s="35" t="s">
        <v>2310</v>
      </c>
      <c r="E566" s="36" t="s">
        <v>1149</v>
      </c>
      <c r="F566" s="36" t="s">
        <v>1799</v>
      </c>
      <c r="G566" s="37" t="s">
        <v>2347</v>
      </c>
      <c r="H566" s="36" t="s">
        <v>928</v>
      </c>
      <c r="I566" s="35" t="s">
        <v>2348</v>
      </c>
      <c r="J566" s="36" t="s">
        <v>938</v>
      </c>
      <c r="K566" s="33" t="s">
        <v>916</v>
      </c>
      <c r="L566" s="35" t="s">
        <v>916</v>
      </c>
      <c r="M566" s="36" t="s">
        <v>1039</v>
      </c>
      <c r="N566" s="45">
        <v>46076.701388888891</v>
      </c>
      <c r="O566" s="36" t="s">
        <v>1384</v>
      </c>
      <c r="P566" s="38">
        <v>9.4675925999999997E-3</v>
      </c>
      <c r="Q566" s="39" t="s">
        <v>2316</v>
      </c>
      <c r="R566" s="35" t="s">
        <v>916</v>
      </c>
      <c r="S566" s="35"/>
      <c r="T566" s="35" t="s">
        <v>1624</v>
      </c>
      <c r="U566" s="40">
        <v>46077</v>
      </c>
      <c r="V566" s="41">
        <v>46153.532754629632</v>
      </c>
      <c r="W566" s="40">
        <v>46076</v>
      </c>
      <c r="X566" s="35" t="s">
        <v>916</v>
      </c>
      <c r="Y566" s="35" t="s">
        <v>916</v>
      </c>
      <c r="Z566" s="35" t="s">
        <v>916</v>
      </c>
      <c r="AA566" s="38">
        <v>0.22722222240000001</v>
      </c>
      <c r="AB566" s="42" t="s">
        <v>916</v>
      </c>
      <c r="AC566" s="43" t="s">
        <v>916</v>
      </c>
      <c r="AD566" s="43" t="s">
        <v>916</v>
      </c>
      <c r="AE566" s="33" t="s">
        <v>916</v>
      </c>
      <c r="AF566" s="35" t="s">
        <v>916</v>
      </c>
      <c r="AG566" s="44">
        <v>492201.03333333333</v>
      </c>
      <c r="AH566" s="42" t="s">
        <v>916</v>
      </c>
      <c r="AI566" s="32" t="e">
        <f>VLOOKUP(A566,'4月明細'!B:B,1,0)</f>
        <v>#N/A</v>
      </c>
    </row>
    <row r="567" spans="1:35" ht="19.95" customHeight="1" x14ac:dyDescent="0.3">
      <c r="A567" s="33" t="s">
        <v>481</v>
      </c>
      <c r="B567" s="34">
        <v>46076.652361111112</v>
      </c>
      <c r="C567" s="34" t="str">
        <f t="shared" si="21"/>
        <v>202602</v>
      </c>
      <c r="D567" s="35" t="s">
        <v>2310</v>
      </c>
      <c r="E567" s="36" t="s">
        <v>1149</v>
      </c>
      <c r="F567" s="36" t="s">
        <v>1799</v>
      </c>
      <c r="G567" s="37" t="s">
        <v>2349</v>
      </c>
      <c r="H567" s="36" t="s">
        <v>928</v>
      </c>
      <c r="I567" s="35" t="s">
        <v>2350</v>
      </c>
      <c r="J567" s="36" t="s">
        <v>938</v>
      </c>
      <c r="K567" s="33" t="s">
        <v>916</v>
      </c>
      <c r="L567" s="35" t="s">
        <v>916</v>
      </c>
      <c r="M567" s="36" t="s">
        <v>1039</v>
      </c>
      <c r="N567" s="45">
        <v>46077.380555555559</v>
      </c>
      <c r="O567" s="36" t="s">
        <v>25</v>
      </c>
      <c r="P567" s="38">
        <v>0.72819444440000003</v>
      </c>
      <c r="Q567" s="39" t="s">
        <v>2351</v>
      </c>
      <c r="R567" s="35" t="s">
        <v>916</v>
      </c>
      <c r="S567" s="35" t="s">
        <v>2352</v>
      </c>
      <c r="T567" s="35" t="s">
        <v>1624</v>
      </c>
      <c r="U567" s="40">
        <v>46077</v>
      </c>
      <c r="V567" s="41">
        <v>46153.532754629632</v>
      </c>
      <c r="W567" s="40">
        <v>46076</v>
      </c>
      <c r="X567" s="35" t="s">
        <v>916</v>
      </c>
      <c r="Y567" s="35" t="s">
        <v>916</v>
      </c>
      <c r="Z567" s="35" t="s">
        <v>916</v>
      </c>
      <c r="AA567" s="38">
        <v>17.4766666656</v>
      </c>
      <c r="AB567" s="42" t="s">
        <v>916</v>
      </c>
      <c r="AC567" s="43" t="s">
        <v>916</v>
      </c>
      <c r="AD567" s="43" t="s">
        <v>916</v>
      </c>
      <c r="AE567" s="33" t="s">
        <v>916</v>
      </c>
      <c r="AF567" s="35" t="s">
        <v>916</v>
      </c>
      <c r="AG567" s="44">
        <v>0</v>
      </c>
      <c r="AH567" s="42" t="s">
        <v>916</v>
      </c>
      <c r="AI567" s="32" t="e">
        <f>VLOOKUP(A567,'4月明細'!B:B,1,0)</f>
        <v>#N/A</v>
      </c>
    </row>
    <row r="568" spans="1:35" ht="19.95" customHeight="1" x14ac:dyDescent="0.3">
      <c r="A568" s="33" t="s">
        <v>484</v>
      </c>
      <c r="B568" s="34">
        <v>46076.684189814812</v>
      </c>
      <c r="C568" s="34" t="str">
        <f t="shared" si="21"/>
        <v>202602</v>
      </c>
      <c r="D568" s="35" t="s">
        <v>996</v>
      </c>
      <c r="E568" s="36" t="s">
        <v>910</v>
      </c>
      <c r="F568" s="36" t="s">
        <v>1335</v>
      </c>
      <c r="G568" s="37" t="s">
        <v>1041</v>
      </c>
      <c r="H568" s="36" t="s">
        <v>954</v>
      </c>
      <c r="I568" s="35"/>
      <c r="J568" s="36" t="s">
        <v>914</v>
      </c>
      <c r="K568" s="33" t="s">
        <v>916</v>
      </c>
      <c r="L568" s="35" t="s">
        <v>916</v>
      </c>
      <c r="M568" s="36" t="s">
        <v>957</v>
      </c>
      <c r="N568" s="45">
        <v>46077.400694444441</v>
      </c>
      <c r="O568" s="36" t="s">
        <v>25</v>
      </c>
      <c r="P568" s="38">
        <v>0.71650462960000005</v>
      </c>
      <c r="Q568" s="39" t="s">
        <v>1328</v>
      </c>
      <c r="R568" s="35" t="s">
        <v>916</v>
      </c>
      <c r="S568" s="35"/>
      <c r="T568" s="35" t="s">
        <v>1624</v>
      </c>
      <c r="U568" s="40">
        <v>46077</v>
      </c>
      <c r="V568" s="41">
        <v>46153.532754629632</v>
      </c>
      <c r="W568" s="40">
        <v>46076</v>
      </c>
      <c r="X568" s="35" t="s">
        <v>916</v>
      </c>
      <c r="Y568" s="35" t="s">
        <v>916</v>
      </c>
      <c r="Z568" s="35" t="s">
        <v>916</v>
      </c>
      <c r="AA568" s="38">
        <v>17.1961111104</v>
      </c>
      <c r="AB568" s="42" t="s">
        <v>916</v>
      </c>
      <c r="AC568" s="43" t="s">
        <v>916</v>
      </c>
      <c r="AD568" s="43" t="s">
        <v>916</v>
      </c>
      <c r="AE568" s="33" t="s">
        <v>916</v>
      </c>
      <c r="AF568" s="35" t="s">
        <v>916</v>
      </c>
      <c r="AG568" s="44">
        <v>0</v>
      </c>
      <c r="AH568" s="42" t="s">
        <v>916</v>
      </c>
      <c r="AI568" s="32" t="e">
        <f>VLOOKUP(A568,'4月明細'!B:B,1,0)</f>
        <v>#N/A</v>
      </c>
    </row>
    <row r="569" spans="1:35" ht="19.95" customHeight="1" x14ac:dyDescent="0.3">
      <c r="A569" s="33" t="s">
        <v>2353</v>
      </c>
      <c r="B569" s="34">
        <v>46076.677418981482</v>
      </c>
      <c r="C569" s="34" t="str">
        <f t="shared" si="21"/>
        <v>202602</v>
      </c>
      <c r="D569" s="35" t="s">
        <v>909</v>
      </c>
      <c r="E569" s="36" t="s">
        <v>910</v>
      </c>
      <c r="F569" s="36" t="s">
        <v>1765</v>
      </c>
      <c r="G569" s="37" t="s">
        <v>2354</v>
      </c>
      <c r="H569" s="36" t="s">
        <v>1023</v>
      </c>
      <c r="I569" s="35" t="s">
        <v>2355</v>
      </c>
      <c r="J569" s="36" t="s">
        <v>929</v>
      </c>
      <c r="K569" s="33" t="s">
        <v>916</v>
      </c>
      <c r="L569" s="35" t="s">
        <v>1116</v>
      </c>
      <c r="M569" s="36" t="s">
        <v>957</v>
      </c>
      <c r="N569" s="45">
        <v>46077.408333333333</v>
      </c>
      <c r="O569" s="36" t="s">
        <v>1117</v>
      </c>
      <c r="P569" s="38">
        <v>0.73091435189999998</v>
      </c>
      <c r="Q569" s="39" t="s">
        <v>2217</v>
      </c>
      <c r="R569" s="35" t="s">
        <v>916</v>
      </c>
      <c r="S569" s="35"/>
      <c r="T569" s="35" t="s">
        <v>1624</v>
      </c>
      <c r="U569" s="40">
        <v>46077</v>
      </c>
      <c r="V569" s="41">
        <v>46153.532754629632</v>
      </c>
      <c r="W569" s="40">
        <v>46076</v>
      </c>
      <c r="X569" s="35" t="s">
        <v>916</v>
      </c>
      <c r="Y569" s="35" t="s">
        <v>916</v>
      </c>
      <c r="Z569" s="35" t="s">
        <v>916</v>
      </c>
      <c r="AA569" s="38">
        <v>17.541944445599999</v>
      </c>
      <c r="AB569" s="42" t="s">
        <v>916</v>
      </c>
      <c r="AC569" s="43" t="s">
        <v>916</v>
      </c>
      <c r="AD569" s="43" t="s">
        <v>916</v>
      </c>
      <c r="AE569" s="33" t="s">
        <v>916</v>
      </c>
      <c r="AF569" s="35" t="s">
        <v>916</v>
      </c>
      <c r="AG569" s="44">
        <v>0</v>
      </c>
      <c r="AH569" s="42" t="s">
        <v>916</v>
      </c>
      <c r="AI569" s="32" t="e">
        <f>VLOOKUP(A569,'4月明細'!B:B,1,0)</f>
        <v>#N/A</v>
      </c>
    </row>
    <row r="570" spans="1:35" ht="19.95" customHeight="1" x14ac:dyDescent="0.3">
      <c r="A570" s="33" t="s">
        <v>483</v>
      </c>
      <c r="B570" s="34">
        <v>46076.664386574077</v>
      </c>
      <c r="C570" s="34" t="str">
        <f t="shared" si="21"/>
        <v>202602</v>
      </c>
      <c r="D570" s="35" t="s">
        <v>996</v>
      </c>
      <c r="E570" s="36" t="s">
        <v>910</v>
      </c>
      <c r="F570" s="36" t="s">
        <v>1282</v>
      </c>
      <c r="G570" s="37" t="s">
        <v>2356</v>
      </c>
      <c r="H570" s="36" t="s">
        <v>913</v>
      </c>
      <c r="I570" s="35"/>
      <c r="J570" s="36" t="s">
        <v>914</v>
      </c>
      <c r="K570" s="33" t="s">
        <v>916</v>
      </c>
      <c r="L570" s="35" t="s">
        <v>916</v>
      </c>
      <c r="M570" s="36" t="s">
        <v>923</v>
      </c>
      <c r="N570" s="45">
        <v>46077.401388888888</v>
      </c>
      <c r="O570" s="36" t="s">
        <v>25</v>
      </c>
      <c r="P570" s="38">
        <v>0.7370023148</v>
      </c>
      <c r="Q570" s="39" t="s">
        <v>1328</v>
      </c>
      <c r="R570" s="46" t="s">
        <v>2357</v>
      </c>
      <c r="S570" s="35"/>
      <c r="T570" s="35" t="s">
        <v>1624</v>
      </c>
      <c r="U570" s="40">
        <v>46077</v>
      </c>
      <c r="V570" s="41">
        <v>46153.532754629632</v>
      </c>
      <c r="W570" s="40">
        <v>46076</v>
      </c>
      <c r="X570" s="35" t="s">
        <v>916</v>
      </c>
      <c r="Y570" s="35" t="s">
        <v>916</v>
      </c>
      <c r="Z570" s="35" t="s">
        <v>916</v>
      </c>
      <c r="AA570" s="38">
        <v>17.688055555199998</v>
      </c>
      <c r="AB570" s="42" t="s">
        <v>916</v>
      </c>
      <c r="AC570" s="43" t="s">
        <v>916</v>
      </c>
      <c r="AD570" s="43" t="s">
        <v>916</v>
      </c>
      <c r="AE570" s="33" t="s">
        <v>916</v>
      </c>
      <c r="AF570" s="35" t="s">
        <v>916</v>
      </c>
      <c r="AG570" s="44">
        <v>0</v>
      </c>
      <c r="AH570" s="42" t="s">
        <v>916</v>
      </c>
      <c r="AI570" s="32" t="e">
        <f>VLOOKUP(A570,'4月明細'!B:B,1,0)</f>
        <v>#N/A</v>
      </c>
    </row>
    <row r="571" spans="1:35" ht="19.95" customHeight="1" x14ac:dyDescent="0.3">
      <c r="A571" s="33" t="s">
        <v>482</v>
      </c>
      <c r="B571" s="34">
        <v>46076.654039351852</v>
      </c>
      <c r="C571" s="34" t="str">
        <f t="shared" si="21"/>
        <v>202602</v>
      </c>
      <c r="D571" s="35" t="s">
        <v>996</v>
      </c>
      <c r="E571" s="36" t="s">
        <v>910</v>
      </c>
      <c r="F571" s="36" t="s">
        <v>1282</v>
      </c>
      <c r="G571" s="37" t="s">
        <v>2358</v>
      </c>
      <c r="H571" s="36" t="s">
        <v>954</v>
      </c>
      <c r="I571" s="35"/>
      <c r="J571" s="36" t="s">
        <v>914</v>
      </c>
      <c r="K571" s="33" t="s">
        <v>916</v>
      </c>
      <c r="L571" s="35" t="s">
        <v>916</v>
      </c>
      <c r="M571" s="36" t="s">
        <v>957</v>
      </c>
      <c r="N571" s="45">
        <v>46077.402083333334</v>
      </c>
      <c r="O571" s="36" t="s">
        <v>25</v>
      </c>
      <c r="P571" s="38">
        <v>0.74804398149999995</v>
      </c>
      <c r="Q571" s="39" t="s">
        <v>2359</v>
      </c>
      <c r="R571" s="35" t="s">
        <v>916</v>
      </c>
      <c r="S571" s="35"/>
      <c r="T571" s="35" t="s">
        <v>1624</v>
      </c>
      <c r="U571" s="40">
        <v>46077</v>
      </c>
      <c r="V571" s="41">
        <v>46153.532754629632</v>
      </c>
      <c r="W571" s="40">
        <v>46076</v>
      </c>
      <c r="X571" s="35" t="s">
        <v>916</v>
      </c>
      <c r="Y571" s="35" t="s">
        <v>916</v>
      </c>
      <c r="Z571" s="35" t="s">
        <v>916</v>
      </c>
      <c r="AA571" s="38">
        <v>17.953055555999999</v>
      </c>
      <c r="AB571" s="42" t="s">
        <v>916</v>
      </c>
      <c r="AC571" s="43" t="s">
        <v>916</v>
      </c>
      <c r="AD571" s="43" t="s">
        <v>916</v>
      </c>
      <c r="AE571" s="33" t="s">
        <v>916</v>
      </c>
      <c r="AF571" s="35" t="s">
        <v>916</v>
      </c>
      <c r="AG571" s="44">
        <v>0</v>
      </c>
      <c r="AH571" s="42" t="s">
        <v>916</v>
      </c>
      <c r="AI571" s="32" t="e">
        <f>VLOOKUP(A571,'4月明細'!B:B,1,0)</f>
        <v>#N/A</v>
      </c>
    </row>
    <row r="572" spans="1:35" ht="19.95" customHeight="1" x14ac:dyDescent="0.3">
      <c r="A572" s="33" t="s">
        <v>517</v>
      </c>
      <c r="B572" s="34">
        <v>46076.651736111111</v>
      </c>
      <c r="C572" s="34" t="str">
        <f t="shared" si="21"/>
        <v>202602</v>
      </c>
      <c r="D572" s="35" t="s">
        <v>2310</v>
      </c>
      <c r="E572" s="36" t="s">
        <v>1149</v>
      </c>
      <c r="F572" s="36" t="s">
        <v>1381</v>
      </c>
      <c r="G572" s="37" t="s">
        <v>2360</v>
      </c>
      <c r="H572" s="36" t="s">
        <v>954</v>
      </c>
      <c r="I572" s="35" t="s">
        <v>2361</v>
      </c>
      <c r="J572" s="36" t="s">
        <v>938</v>
      </c>
      <c r="K572" s="33" t="s">
        <v>916</v>
      </c>
      <c r="L572" s="35" t="s">
        <v>916</v>
      </c>
      <c r="M572" s="36" t="s">
        <v>957</v>
      </c>
      <c r="N572" s="45">
        <v>46083.65902777778</v>
      </c>
      <c r="O572" s="36" t="s">
        <v>25</v>
      </c>
      <c r="P572" s="38">
        <v>7.0072916666999996</v>
      </c>
      <c r="Q572" s="39" t="s">
        <v>2362</v>
      </c>
      <c r="R572" s="35" t="s">
        <v>916</v>
      </c>
      <c r="S572" s="35"/>
      <c r="T572" s="35" t="s">
        <v>1624</v>
      </c>
      <c r="U572" s="40">
        <v>46077</v>
      </c>
      <c r="V572" s="41">
        <v>46153.532754629632</v>
      </c>
      <c r="W572" s="40">
        <v>46076</v>
      </c>
      <c r="X572" s="35" t="s">
        <v>916</v>
      </c>
      <c r="Y572" s="35" t="s">
        <v>916</v>
      </c>
      <c r="Z572" s="35" t="s">
        <v>916</v>
      </c>
      <c r="AA572" s="38">
        <v>168.1750000008</v>
      </c>
      <c r="AB572" s="42" t="s">
        <v>916</v>
      </c>
      <c r="AC572" s="43" t="s">
        <v>916</v>
      </c>
      <c r="AD572" s="43" t="s">
        <v>916</v>
      </c>
      <c r="AE572" s="33" t="s">
        <v>916</v>
      </c>
      <c r="AF572" s="35" t="s">
        <v>916</v>
      </c>
      <c r="AG572" s="44">
        <v>492417.41666666669</v>
      </c>
      <c r="AH572" s="42" t="s">
        <v>916</v>
      </c>
      <c r="AI572" s="32" t="e">
        <f>VLOOKUP(A572,'4月明細'!B:B,1,0)</f>
        <v>#N/A</v>
      </c>
    </row>
    <row r="573" spans="1:35" ht="19.95" customHeight="1" x14ac:dyDescent="0.3">
      <c r="A573" s="33" t="s">
        <v>2363</v>
      </c>
      <c r="B573" s="34">
        <v>46076.650729166664</v>
      </c>
      <c r="C573" s="34" t="str">
        <f t="shared" si="21"/>
        <v>202602</v>
      </c>
      <c r="D573" s="35" t="s">
        <v>2310</v>
      </c>
      <c r="E573" s="36" t="s">
        <v>1149</v>
      </c>
      <c r="F573" s="36" t="s">
        <v>1381</v>
      </c>
      <c r="G573" s="37" t="s">
        <v>2364</v>
      </c>
      <c r="H573" s="36" t="s">
        <v>928</v>
      </c>
      <c r="I573" s="35" t="s">
        <v>2365</v>
      </c>
      <c r="J573" s="36" t="s">
        <v>938</v>
      </c>
      <c r="K573" s="33" t="s">
        <v>916</v>
      </c>
      <c r="L573" s="35" t="s">
        <v>916</v>
      </c>
      <c r="M573" s="36" t="s">
        <v>1039</v>
      </c>
      <c r="N573" s="45">
        <v>46077.383333333331</v>
      </c>
      <c r="O573" s="36" t="s">
        <v>1384</v>
      </c>
      <c r="P573" s="38">
        <v>0.73260416669999995</v>
      </c>
      <c r="Q573" s="39" t="s">
        <v>2316</v>
      </c>
      <c r="R573" s="35" t="s">
        <v>916</v>
      </c>
      <c r="S573" s="35"/>
      <c r="T573" s="35" t="s">
        <v>1624</v>
      </c>
      <c r="U573" s="40">
        <v>46077</v>
      </c>
      <c r="V573" s="41">
        <v>46153.532754629632</v>
      </c>
      <c r="W573" s="40">
        <v>46076</v>
      </c>
      <c r="X573" s="35" t="s">
        <v>916</v>
      </c>
      <c r="Y573" s="35" t="s">
        <v>916</v>
      </c>
      <c r="Z573" s="35" t="s">
        <v>916</v>
      </c>
      <c r="AA573" s="38">
        <v>17.5825000008</v>
      </c>
      <c r="AB573" s="42" t="s">
        <v>916</v>
      </c>
      <c r="AC573" s="43" t="s">
        <v>916</v>
      </c>
      <c r="AD573" s="43" t="s">
        <v>916</v>
      </c>
      <c r="AE573" s="33" t="s">
        <v>916</v>
      </c>
      <c r="AF573" s="35" t="s">
        <v>916</v>
      </c>
      <c r="AG573" s="44">
        <v>492201.20000000013</v>
      </c>
      <c r="AH573" s="42" t="s">
        <v>916</v>
      </c>
      <c r="AI573" s="32" t="e">
        <f>VLOOKUP(A573,'4月明細'!B:B,1,0)</f>
        <v>#N/A</v>
      </c>
    </row>
    <row r="574" spans="1:35" ht="19.95" customHeight="1" x14ac:dyDescent="0.3">
      <c r="A574" s="33" t="s">
        <v>2366</v>
      </c>
      <c r="B574" s="34">
        <v>46076.650289351855</v>
      </c>
      <c r="C574" s="34" t="str">
        <f t="shared" si="21"/>
        <v>202602</v>
      </c>
      <c r="D574" s="35" t="s">
        <v>2310</v>
      </c>
      <c r="E574" s="36" t="s">
        <v>1149</v>
      </c>
      <c r="F574" s="36" t="s">
        <v>1860</v>
      </c>
      <c r="G574" s="37" t="s">
        <v>2367</v>
      </c>
      <c r="H574" s="36" t="s">
        <v>928</v>
      </c>
      <c r="I574" s="35" t="s">
        <v>2368</v>
      </c>
      <c r="J574" s="36" t="s">
        <v>938</v>
      </c>
      <c r="K574" s="33" t="s">
        <v>916</v>
      </c>
      <c r="L574" s="35" t="s">
        <v>916</v>
      </c>
      <c r="M574" s="36" t="s">
        <v>1039</v>
      </c>
      <c r="N574" s="45">
        <v>46085.835416666669</v>
      </c>
      <c r="O574" s="36" t="s">
        <v>939</v>
      </c>
      <c r="P574" s="38">
        <v>9.1851273148000008</v>
      </c>
      <c r="Q574" s="39" t="s">
        <v>2369</v>
      </c>
      <c r="R574" s="35" t="s">
        <v>916</v>
      </c>
      <c r="S574" s="35"/>
      <c r="T574" s="35" t="s">
        <v>1624</v>
      </c>
      <c r="U574" s="40">
        <v>46077</v>
      </c>
      <c r="V574" s="41">
        <v>46153.532754629632</v>
      </c>
      <c r="W574" s="40">
        <v>46076</v>
      </c>
      <c r="X574" s="40">
        <v>46153</v>
      </c>
      <c r="Y574" s="35" t="s">
        <v>916</v>
      </c>
      <c r="Z574" s="35" t="s">
        <v>916</v>
      </c>
      <c r="AA574" s="38">
        <v>220.4430555552</v>
      </c>
      <c r="AB574" s="42" t="s">
        <v>916</v>
      </c>
      <c r="AC574" s="43" t="s">
        <v>916</v>
      </c>
      <c r="AD574" s="43" t="s">
        <v>916</v>
      </c>
      <c r="AE574" s="33" t="s">
        <v>916</v>
      </c>
      <c r="AF574" s="35" t="s">
        <v>916</v>
      </c>
      <c r="AG574" s="44">
        <v>492201.05</v>
      </c>
      <c r="AH574" s="42" t="s">
        <v>916</v>
      </c>
      <c r="AI574" s="32" t="e">
        <f>VLOOKUP(A574,'4月明細'!B:B,1,0)</f>
        <v>#N/A</v>
      </c>
    </row>
    <row r="575" spans="1:35" ht="19.95" customHeight="1" x14ac:dyDescent="0.3">
      <c r="A575" s="33" t="s">
        <v>2370</v>
      </c>
      <c r="B575" s="34">
        <v>46076.648125</v>
      </c>
      <c r="C575" s="34" t="str">
        <f t="shared" si="21"/>
        <v>202602</v>
      </c>
      <c r="D575" s="35" t="s">
        <v>2310</v>
      </c>
      <c r="E575" s="36" t="s">
        <v>1149</v>
      </c>
      <c r="F575" s="36" t="s">
        <v>1429</v>
      </c>
      <c r="G575" s="37" t="s">
        <v>2371</v>
      </c>
      <c r="H575" s="36" t="s">
        <v>928</v>
      </c>
      <c r="I575" s="35" t="s">
        <v>2372</v>
      </c>
      <c r="J575" s="36" t="s">
        <v>938</v>
      </c>
      <c r="K575" s="33" t="s">
        <v>916</v>
      </c>
      <c r="L575" s="35" t="s">
        <v>916</v>
      </c>
      <c r="M575" s="36" t="s">
        <v>1135</v>
      </c>
      <c r="N575" s="45">
        <v>46083.660416666666</v>
      </c>
      <c r="O575" s="36" t="s">
        <v>939</v>
      </c>
      <c r="P575" s="38">
        <v>7.0122916667000004</v>
      </c>
      <c r="Q575" s="36" t="s">
        <v>916</v>
      </c>
      <c r="R575" s="35" t="s">
        <v>916</v>
      </c>
      <c r="S575" s="35"/>
      <c r="T575" s="35" t="s">
        <v>1624</v>
      </c>
      <c r="U575" s="40">
        <v>46077</v>
      </c>
      <c r="V575" s="41">
        <v>46153.532754629632</v>
      </c>
      <c r="W575" s="40">
        <v>46076</v>
      </c>
      <c r="X575" s="40">
        <v>46153</v>
      </c>
      <c r="Y575" s="35" t="s">
        <v>916</v>
      </c>
      <c r="Z575" s="35" t="s">
        <v>916</v>
      </c>
      <c r="AA575" s="38">
        <v>168.2950000008</v>
      </c>
      <c r="AB575" s="42" t="s">
        <v>916</v>
      </c>
      <c r="AC575" s="43" t="s">
        <v>916</v>
      </c>
      <c r="AD575" s="43" t="s">
        <v>916</v>
      </c>
      <c r="AE575" s="33" t="s">
        <v>916</v>
      </c>
      <c r="AF575" s="35" t="s">
        <v>916</v>
      </c>
      <c r="AG575" s="44">
        <v>0</v>
      </c>
      <c r="AH575" s="42" t="s">
        <v>916</v>
      </c>
      <c r="AI575" s="32" t="e">
        <f>VLOOKUP(A575,'4月明細'!B:B,1,0)</f>
        <v>#N/A</v>
      </c>
    </row>
    <row r="576" spans="1:35" ht="19.95" customHeight="1" x14ac:dyDescent="0.3">
      <c r="A576" s="33" t="s">
        <v>2373</v>
      </c>
      <c r="B576" s="34">
        <v>46076.644930555558</v>
      </c>
      <c r="C576" s="34" t="str">
        <f t="shared" si="21"/>
        <v>202602</v>
      </c>
      <c r="D576" s="35" t="s">
        <v>2310</v>
      </c>
      <c r="E576" s="36" t="s">
        <v>1149</v>
      </c>
      <c r="F576" s="36" t="s">
        <v>1561</v>
      </c>
      <c r="G576" s="37" t="s">
        <v>2374</v>
      </c>
      <c r="H576" s="36" t="s">
        <v>928</v>
      </c>
      <c r="I576" s="35" t="s">
        <v>2375</v>
      </c>
      <c r="J576" s="36" t="s">
        <v>938</v>
      </c>
      <c r="K576" s="33" t="s">
        <v>916</v>
      </c>
      <c r="L576" s="35" t="s">
        <v>916</v>
      </c>
      <c r="M576" s="36" t="s">
        <v>1135</v>
      </c>
      <c r="N576" s="45">
        <v>46083.656944444447</v>
      </c>
      <c r="O576" s="36" t="s">
        <v>939</v>
      </c>
      <c r="P576" s="38">
        <v>7.0120138889000003</v>
      </c>
      <c r="Q576" s="36" t="s">
        <v>916</v>
      </c>
      <c r="R576" s="35" t="s">
        <v>916</v>
      </c>
      <c r="S576" s="35"/>
      <c r="T576" s="35" t="s">
        <v>1624</v>
      </c>
      <c r="U576" s="40">
        <v>46077</v>
      </c>
      <c r="V576" s="41">
        <v>46153.532754629632</v>
      </c>
      <c r="W576" s="40">
        <v>46076</v>
      </c>
      <c r="X576" s="40">
        <v>46153</v>
      </c>
      <c r="Y576" s="35" t="s">
        <v>916</v>
      </c>
      <c r="Z576" s="35" t="s">
        <v>916</v>
      </c>
      <c r="AA576" s="38">
        <v>168.28833333360001</v>
      </c>
      <c r="AB576" s="42" t="s">
        <v>916</v>
      </c>
      <c r="AC576" s="43" t="s">
        <v>916</v>
      </c>
      <c r="AD576" s="43" t="s">
        <v>916</v>
      </c>
      <c r="AE576" s="33" t="s">
        <v>916</v>
      </c>
      <c r="AF576" s="35" t="s">
        <v>916</v>
      </c>
      <c r="AG576" s="44">
        <v>0</v>
      </c>
      <c r="AH576" s="42" t="s">
        <v>916</v>
      </c>
      <c r="AI576" s="32" t="e">
        <f>VLOOKUP(A576,'4月明細'!B:B,1,0)</f>
        <v>#N/A</v>
      </c>
    </row>
    <row r="577" spans="1:35" ht="19.95" customHeight="1" x14ac:dyDescent="0.3">
      <c r="A577" s="33" t="s">
        <v>2376</v>
      </c>
      <c r="B577" s="34">
        <v>46076.644479166665</v>
      </c>
      <c r="C577" s="34" t="str">
        <f t="shared" si="21"/>
        <v>202602</v>
      </c>
      <c r="D577" s="35" t="s">
        <v>2310</v>
      </c>
      <c r="E577" s="36" t="s">
        <v>1149</v>
      </c>
      <c r="F577" s="36" t="s">
        <v>1765</v>
      </c>
      <c r="G577" s="37" t="s">
        <v>2377</v>
      </c>
      <c r="H577" s="36" t="s">
        <v>954</v>
      </c>
      <c r="I577" s="35" t="s">
        <v>2378</v>
      </c>
      <c r="J577" s="36" t="s">
        <v>938</v>
      </c>
      <c r="K577" s="33" t="s">
        <v>916</v>
      </c>
      <c r="L577" s="35" t="s">
        <v>916</v>
      </c>
      <c r="M577" s="36" t="s">
        <v>1039</v>
      </c>
      <c r="N577" s="45">
        <v>46085.835416666669</v>
      </c>
      <c r="O577" s="36" t="s">
        <v>939</v>
      </c>
      <c r="P577" s="38">
        <v>9.1909375000000004</v>
      </c>
      <c r="Q577" s="39" t="s">
        <v>2369</v>
      </c>
      <c r="R577" s="35" t="s">
        <v>916</v>
      </c>
      <c r="S577" s="35"/>
      <c r="T577" s="35" t="s">
        <v>1624</v>
      </c>
      <c r="U577" s="40">
        <v>46077</v>
      </c>
      <c r="V577" s="41">
        <v>46153.532754629632</v>
      </c>
      <c r="W577" s="40">
        <v>46076</v>
      </c>
      <c r="X577" s="40">
        <v>46153</v>
      </c>
      <c r="Y577" s="35" t="s">
        <v>916</v>
      </c>
      <c r="Z577" s="35" t="s">
        <v>916</v>
      </c>
      <c r="AA577" s="38">
        <v>220.58250000000001</v>
      </c>
      <c r="AB577" s="42" t="s">
        <v>916</v>
      </c>
      <c r="AC577" s="43" t="s">
        <v>916</v>
      </c>
      <c r="AD577" s="43" t="s">
        <v>916</v>
      </c>
      <c r="AE577" s="33" t="s">
        <v>916</v>
      </c>
      <c r="AF577" s="35" t="s">
        <v>916</v>
      </c>
      <c r="AG577" s="44">
        <v>492201.05</v>
      </c>
      <c r="AH577" s="42" t="s">
        <v>916</v>
      </c>
      <c r="AI577" s="32" t="e">
        <f>VLOOKUP(A577,'4月明細'!B:B,1,0)</f>
        <v>#N/A</v>
      </c>
    </row>
    <row r="578" spans="1:35" ht="19.95" customHeight="1" x14ac:dyDescent="0.3">
      <c r="A578" s="33" t="s">
        <v>480</v>
      </c>
      <c r="B578" s="34">
        <v>46076.644155092596</v>
      </c>
      <c r="C578" s="34" t="str">
        <f t="shared" si="21"/>
        <v>202602</v>
      </c>
      <c r="D578" s="35" t="s">
        <v>2310</v>
      </c>
      <c r="E578" s="36" t="s">
        <v>1149</v>
      </c>
      <c r="F578" s="36" t="s">
        <v>1765</v>
      </c>
      <c r="G578" s="37" t="s">
        <v>2379</v>
      </c>
      <c r="H578" s="36" t="s">
        <v>954</v>
      </c>
      <c r="I578" s="35" t="s">
        <v>2380</v>
      </c>
      <c r="J578" s="36" t="s">
        <v>938</v>
      </c>
      <c r="K578" s="33" t="s">
        <v>916</v>
      </c>
      <c r="L578" s="35" t="s">
        <v>916</v>
      </c>
      <c r="M578" s="36" t="s">
        <v>923</v>
      </c>
      <c r="N578" s="45">
        <v>46077.386111111111</v>
      </c>
      <c r="O578" s="36" t="s">
        <v>25</v>
      </c>
      <c r="P578" s="38">
        <v>0.74195601850000004</v>
      </c>
      <c r="Q578" s="39" t="s">
        <v>2381</v>
      </c>
      <c r="R578" s="35" t="s">
        <v>916</v>
      </c>
      <c r="S578" s="35" t="s">
        <v>2382</v>
      </c>
      <c r="T578" s="35" t="s">
        <v>1624</v>
      </c>
      <c r="U578" s="40">
        <v>46077</v>
      </c>
      <c r="V578" s="41">
        <v>46153.532754629632</v>
      </c>
      <c r="W578" s="40">
        <v>46076</v>
      </c>
      <c r="X578" s="35" t="s">
        <v>916</v>
      </c>
      <c r="Y578" s="35" t="s">
        <v>916</v>
      </c>
      <c r="Z578" s="35" t="s">
        <v>916</v>
      </c>
      <c r="AA578" s="38">
        <v>17.806944443999999</v>
      </c>
      <c r="AB578" s="42" t="s">
        <v>916</v>
      </c>
      <c r="AC578" s="43" t="s">
        <v>916</v>
      </c>
      <c r="AD578" s="43" t="s">
        <v>916</v>
      </c>
      <c r="AE578" s="33" t="s">
        <v>916</v>
      </c>
      <c r="AF578" s="35" t="s">
        <v>916</v>
      </c>
      <c r="AG578" s="44">
        <v>492201.26666666672</v>
      </c>
      <c r="AH578" s="42" t="s">
        <v>916</v>
      </c>
      <c r="AI578" s="32" t="e">
        <f>VLOOKUP(A578,'4月明細'!B:B,1,0)</f>
        <v>#N/A</v>
      </c>
    </row>
    <row r="579" spans="1:35" ht="19.95" customHeight="1" x14ac:dyDescent="0.3">
      <c r="A579" s="33" t="s">
        <v>478</v>
      </c>
      <c r="B579" s="34">
        <v>46076.643113425926</v>
      </c>
      <c r="C579" s="34" t="str">
        <f t="shared" ref="C579:C642" si="22">TEXT(B579,"YYYYMM")</f>
        <v>202602</v>
      </c>
      <c r="D579" s="35" t="s">
        <v>2310</v>
      </c>
      <c r="E579" s="36" t="s">
        <v>1149</v>
      </c>
      <c r="F579" s="36" t="s">
        <v>1765</v>
      </c>
      <c r="G579" s="37" t="s">
        <v>2383</v>
      </c>
      <c r="H579" s="36" t="s">
        <v>954</v>
      </c>
      <c r="I579" s="35" t="s">
        <v>2384</v>
      </c>
      <c r="J579" s="36" t="s">
        <v>938</v>
      </c>
      <c r="K579" s="33" t="s">
        <v>916</v>
      </c>
      <c r="L579" s="35" t="s">
        <v>916</v>
      </c>
      <c r="M579" s="36" t="s">
        <v>923</v>
      </c>
      <c r="N579" s="45">
        <v>46077.402777777781</v>
      </c>
      <c r="O579" s="36" t="s">
        <v>25</v>
      </c>
      <c r="P579" s="38">
        <v>0.75966435190000003</v>
      </c>
      <c r="Q579" s="39" t="s">
        <v>2385</v>
      </c>
      <c r="R579" s="35" t="s">
        <v>916</v>
      </c>
      <c r="S579" s="35"/>
      <c r="T579" s="35" t="s">
        <v>1624</v>
      </c>
      <c r="U579" s="40">
        <v>46077</v>
      </c>
      <c r="V579" s="41">
        <v>46153.532754629632</v>
      </c>
      <c r="W579" s="40">
        <v>46076</v>
      </c>
      <c r="X579" s="35" t="s">
        <v>916</v>
      </c>
      <c r="Y579" s="35" t="s">
        <v>916</v>
      </c>
      <c r="Z579" s="35" t="s">
        <v>916</v>
      </c>
      <c r="AA579" s="38">
        <v>18.2319444456</v>
      </c>
      <c r="AB579" s="42" t="s">
        <v>916</v>
      </c>
      <c r="AC579" s="43" t="s">
        <v>916</v>
      </c>
      <c r="AD579" s="43" t="s">
        <v>916</v>
      </c>
      <c r="AE579" s="33" t="s">
        <v>916</v>
      </c>
      <c r="AF579" s="35" t="s">
        <v>916</v>
      </c>
      <c r="AG579" s="44">
        <v>0</v>
      </c>
      <c r="AH579" s="42" t="s">
        <v>916</v>
      </c>
      <c r="AI579" s="32" t="e">
        <f>VLOOKUP(A579,'4月明細'!B:B,1,0)</f>
        <v>#N/A</v>
      </c>
    </row>
    <row r="580" spans="1:35" ht="19.95" customHeight="1" x14ac:dyDescent="0.3">
      <c r="A580" s="33" t="s">
        <v>479</v>
      </c>
      <c r="B580" s="34">
        <v>46076.643541666665</v>
      </c>
      <c r="C580" s="34" t="str">
        <f t="shared" si="22"/>
        <v>202602</v>
      </c>
      <c r="D580" s="35" t="s">
        <v>996</v>
      </c>
      <c r="E580" s="36" t="s">
        <v>910</v>
      </c>
      <c r="F580" s="36" t="s">
        <v>961</v>
      </c>
      <c r="G580" s="37" t="s">
        <v>2386</v>
      </c>
      <c r="H580" s="36" t="s">
        <v>954</v>
      </c>
      <c r="I580" s="35"/>
      <c r="J580" s="36" t="s">
        <v>914</v>
      </c>
      <c r="K580" s="33" t="s">
        <v>916</v>
      </c>
      <c r="L580" s="35" t="s">
        <v>916</v>
      </c>
      <c r="M580" s="36" t="s">
        <v>957</v>
      </c>
      <c r="N580" s="45">
        <v>46077.40347222222</v>
      </c>
      <c r="O580" s="36" t="s">
        <v>25</v>
      </c>
      <c r="P580" s="38">
        <v>0.7599305556</v>
      </c>
      <c r="Q580" s="39" t="s">
        <v>2387</v>
      </c>
      <c r="R580" s="35" t="s">
        <v>916</v>
      </c>
      <c r="S580" s="35"/>
      <c r="T580" s="35" t="s">
        <v>1624</v>
      </c>
      <c r="U580" s="40">
        <v>46077</v>
      </c>
      <c r="V580" s="41">
        <v>46153.532754629632</v>
      </c>
      <c r="W580" s="40">
        <v>46076</v>
      </c>
      <c r="X580" s="35" t="s">
        <v>916</v>
      </c>
      <c r="Y580" s="35" t="s">
        <v>916</v>
      </c>
      <c r="Z580" s="35" t="s">
        <v>916</v>
      </c>
      <c r="AA580" s="38">
        <v>18.2383333344</v>
      </c>
      <c r="AB580" s="42" t="s">
        <v>916</v>
      </c>
      <c r="AC580" s="43" t="s">
        <v>916</v>
      </c>
      <c r="AD580" s="43" t="s">
        <v>916</v>
      </c>
      <c r="AE580" s="33" t="s">
        <v>916</v>
      </c>
      <c r="AF580" s="35" t="s">
        <v>916</v>
      </c>
      <c r="AG580" s="44">
        <v>0</v>
      </c>
      <c r="AH580" s="42" t="s">
        <v>916</v>
      </c>
      <c r="AI580" s="32" t="e">
        <f>VLOOKUP(A580,'4月明細'!B:B,1,0)</f>
        <v>#N/A</v>
      </c>
    </row>
    <row r="581" spans="1:35" ht="19.95" customHeight="1" x14ac:dyDescent="0.3">
      <c r="A581" s="33" t="s">
        <v>2388</v>
      </c>
      <c r="B581" s="34">
        <v>46076.642708333333</v>
      </c>
      <c r="C581" s="34" t="str">
        <f t="shared" si="22"/>
        <v>202602</v>
      </c>
      <c r="D581" s="35" t="s">
        <v>2310</v>
      </c>
      <c r="E581" s="36" t="s">
        <v>1149</v>
      </c>
      <c r="F581" s="36" t="s">
        <v>1765</v>
      </c>
      <c r="G581" s="37" t="s">
        <v>2389</v>
      </c>
      <c r="H581" s="36" t="s">
        <v>928</v>
      </c>
      <c r="I581" s="35" t="s">
        <v>2390</v>
      </c>
      <c r="J581" s="36" t="s">
        <v>938</v>
      </c>
      <c r="K581" s="33" t="s">
        <v>916</v>
      </c>
      <c r="L581" s="35" t="s">
        <v>916</v>
      </c>
      <c r="M581" s="36" t="s">
        <v>1039</v>
      </c>
      <c r="N581" s="45">
        <v>46085.836111111108</v>
      </c>
      <c r="O581" s="36" t="s">
        <v>939</v>
      </c>
      <c r="P581" s="38">
        <v>9.1934027777999994</v>
      </c>
      <c r="Q581" s="39" t="s">
        <v>2369</v>
      </c>
      <c r="R581" s="35" t="s">
        <v>916</v>
      </c>
      <c r="S581" s="35"/>
      <c r="T581" s="35" t="s">
        <v>1624</v>
      </c>
      <c r="U581" s="40">
        <v>46077</v>
      </c>
      <c r="V581" s="41">
        <v>46153.532754629632</v>
      </c>
      <c r="W581" s="40">
        <v>46076</v>
      </c>
      <c r="X581" s="40">
        <v>46153</v>
      </c>
      <c r="Y581" s="35" t="s">
        <v>916</v>
      </c>
      <c r="Z581" s="35" t="s">
        <v>916</v>
      </c>
      <c r="AA581" s="38">
        <v>220.64166666720001</v>
      </c>
      <c r="AB581" s="42" t="s">
        <v>916</v>
      </c>
      <c r="AC581" s="43" t="s">
        <v>916</v>
      </c>
      <c r="AD581" s="43" t="s">
        <v>916</v>
      </c>
      <c r="AE581" s="33" t="s">
        <v>916</v>
      </c>
      <c r="AF581" s="35" t="s">
        <v>916</v>
      </c>
      <c r="AG581" s="44">
        <v>492201.2333333334</v>
      </c>
      <c r="AH581" s="42" t="s">
        <v>916</v>
      </c>
      <c r="AI581" s="32" t="e">
        <f>VLOOKUP(A581,'4月明細'!B:B,1,0)</f>
        <v>#N/A</v>
      </c>
    </row>
    <row r="582" spans="1:35" ht="19.95" customHeight="1" x14ac:dyDescent="0.3">
      <c r="A582" s="33" t="s">
        <v>2391</v>
      </c>
      <c r="B582" s="34">
        <v>46076.641296296293</v>
      </c>
      <c r="C582" s="34" t="str">
        <f t="shared" si="22"/>
        <v>202602</v>
      </c>
      <c r="D582" s="35" t="s">
        <v>2310</v>
      </c>
      <c r="E582" s="36" t="s">
        <v>1149</v>
      </c>
      <c r="F582" s="36" t="s">
        <v>1765</v>
      </c>
      <c r="G582" s="37" t="s">
        <v>2392</v>
      </c>
      <c r="H582" s="36" t="s">
        <v>928</v>
      </c>
      <c r="I582" s="35" t="s">
        <v>2393</v>
      </c>
      <c r="J582" s="36" t="s">
        <v>938</v>
      </c>
      <c r="K582" s="33" t="s">
        <v>916</v>
      </c>
      <c r="L582" s="35" t="s">
        <v>916</v>
      </c>
      <c r="M582" s="36" t="s">
        <v>1039</v>
      </c>
      <c r="N582" s="45">
        <v>46077.385416666664</v>
      </c>
      <c r="O582" s="36" t="s">
        <v>1384</v>
      </c>
      <c r="P582" s="38">
        <v>0.74412037040000001</v>
      </c>
      <c r="Q582" s="39" t="s">
        <v>2316</v>
      </c>
      <c r="R582" s="35" t="s">
        <v>916</v>
      </c>
      <c r="S582" s="35"/>
      <c r="T582" s="35" t="s">
        <v>1624</v>
      </c>
      <c r="U582" s="40">
        <v>46077</v>
      </c>
      <c r="V582" s="41">
        <v>46153.532754629632</v>
      </c>
      <c r="W582" s="40">
        <v>46076</v>
      </c>
      <c r="X582" s="35" t="s">
        <v>916</v>
      </c>
      <c r="Y582" s="35" t="s">
        <v>916</v>
      </c>
      <c r="Z582" s="35" t="s">
        <v>916</v>
      </c>
      <c r="AA582" s="38">
        <v>17.858888889599999</v>
      </c>
      <c r="AB582" s="42" t="s">
        <v>916</v>
      </c>
      <c r="AC582" s="43" t="s">
        <v>916</v>
      </c>
      <c r="AD582" s="43" t="s">
        <v>916</v>
      </c>
      <c r="AE582" s="33" t="s">
        <v>916</v>
      </c>
      <c r="AF582" s="35" t="s">
        <v>916</v>
      </c>
      <c r="AG582" s="44">
        <v>492201.25</v>
      </c>
      <c r="AH582" s="42" t="s">
        <v>916</v>
      </c>
      <c r="AI582" s="32" t="e">
        <f>VLOOKUP(A582,'4月明細'!B:B,1,0)</f>
        <v>#N/A</v>
      </c>
    </row>
    <row r="583" spans="1:35" ht="19.95" customHeight="1" x14ac:dyDescent="0.3">
      <c r="A583" s="33" t="s">
        <v>2394</v>
      </c>
      <c r="B583" s="34">
        <v>46076.640868055554</v>
      </c>
      <c r="C583" s="34" t="str">
        <f t="shared" si="22"/>
        <v>202602</v>
      </c>
      <c r="D583" s="35" t="s">
        <v>2310</v>
      </c>
      <c r="E583" s="36" t="s">
        <v>1149</v>
      </c>
      <c r="F583" s="36" t="s">
        <v>1870</v>
      </c>
      <c r="G583" s="37" t="s">
        <v>2377</v>
      </c>
      <c r="H583" s="36" t="s">
        <v>954</v>
      </c>
      <c r="I583" s="35" t="s">
        <v>2395</v>
      </c>
      <c r="J583" s="36" t="s">
        <v>938</v>
      </c>
      <c r="K583" s="33" t="s">
        <v>916</v>
      </c>
      <c r="L583" s="35" t="s">
        <v>916</v>
      </c>
      <c r="M583" s="36" t="s">
        <v>1039</v>
      </c>
      <c r="N583" s="45">
        <v>46085.836111111108</v>
      </c>
      <c r="O583" s="36" t="s">
        <v>939</v>
      </c>
      <c r="P583" s="38">
        <v>9.1952430556000007</v>
      </c>
      <c r="Q583" s="39" t="s">
        <v>2369</v>
      </c>
      <c r="R583" s="35" t="s">
        <v>916</v>
      </c>
      <c r="S583" s="35"/>
      <c r="T583" s="35" t="s">
        <v>1624</v>
      </c>
      <c r="U583" s="40">
        <v>46077</v>
      </c>
      <c r="V583" s="41">
        <v>46153.532754629632</v>
      </c>
      <c r="W583" s="40">
        <v>46076</v>
      </c>
      <c r="X583" s="40">
        <v>46153</v>
      </c>
      <c r="Y583" s="35" t="s">
        <v>916</v>
      </c>
      <c r="Z583" s="35" t="s">
        <v>916</v>
      </c>
      <c r="AA583" s="38">
        <v>220.6858333344</v>
      </c>
      <c r="AB583" s="42" t="s">
        <v>916</v>
      </c>
      <c r="AC583" s="43" t="s">
        <v>916</v>
      </c>
      <c r="AD583" s="43" t="s">
        <v>916</v>
      </c>
      <c r="AE583" s="33" t="s">
        <v>916</v>
      </c>
      <c r="AF583" s="35" t="s">
        <v>916</v>
      </c>
      <c r="AG583" s="44">
        <v>492201.25</v>
      </c>
      <c r="AH583" s="42" t="s">
        <v>916</v>
      </c>
      <c r="AI583" s="32" t="e">
        <f>VLOOKUP(A583,'4月明細'!B:B,1,0)</f>
        <v>#N/A</v>
      </c>
    </row>
    <row r="584" spans="1:35" ht="19.95" customHeight="1" x14ac:dyDescent="0.3">
      <c r="A584" s="33" t="s">
        <v>477</v>
      </c>
      <c r="B584" s="34">
        <v>46076.638287037036</v>
      </c>
      <c r="C584" s="34" t="str">
        <f t="shared" si="22"/>
        <v>202602</v>
      </c>
      <c r="D584" s="35" t="s">
        <v>2310</v>
      </c>
      <c r="E584" s="36" t="s">
        <v>1149</v>
      </c>
      <c r="F584" s="36" t="s">
        <v>1870</v>
      </c>
      <c r="G584" s="37" t="s">
        <v>2379</v>
      </c>
      <c r="H584" s="36" t="s">
        <v>954</v>
      </c>
      <c r="I584" s="35" t="s">
        <v>2396</v>
      </c>
      <c r="J584" s="36" t="s">
        <v>938</v>
      </c>
      <c r="K584" s="33" t="s">
        <v>916</v>
      </c>
      <c r="L584" s="35" t="s">
        <v>916</v>
      </c>
      <c r="M584" s="36" t="s">
        <v>923</v>
      </c>
      <c r="N584" s="45">
        <v>46077.386111111111</v>
      </c>
      <c r="O584" s="36" t="s">
        <v>25</v>
      </c>
      <c r="P584" s="38">
        <v>0.74782407409999996</v>
      </c>
      <c r="Q584" s="39" t="s">
        <v>2397</v>
      </c>
      <c r="R584" s="35" t="s">
        <v>916</v>
      </c>
      <c r="S584" s="35" t="s">
        <v>2398</v>
      </c>
      <c r="T584" s="35" t="s">
        <v>1624</v>
      </c>
      <c r="U584" s="40">
        <v>46077</v>
      </c>
      <c r="V584" s="41">
        <v>46153.532754629632</v>
      </c>
      <c r="W584" s="40">
        <v>46076</v>
      </c>
      <c r="X584" s="35" t="s">
        <v>916</v>
      </c>
      <c r="Y584" s="35" t="s">
        <v>916</v>
      </c>
      <c r="Z584" s="35" t="s">
        <v>916</v>
      </c>
      <c r="AA584" s="38">
        <v>17.947777778399999</v>
      </c>
      <c r="AB584" s="42" t="s">
        <v>916</v>
      </c>
      <c r="AC584" s="43" t="s">
        <v>916</v>
      </c>
      <c r="AD584" s="43" t="s">
        <v>916</v>
      </c>
      <c r="AE584" s="33" t="s">
        <v>916</v>
      </c>
      <c r="AF584" s="35" t="s">
        <v>916</v>
      </c>
      <c r="AG584" s="44">
        <v>492201.28333333338</v>
      </c>
      <c r="AH584" s="42" t="s">
        <v>916</v>
      </c>
      <c r="AI584" s="32" t="e">
        <f>VLOOKUP(A584,'4月明細'!B:B,1,0)</f>
        <v>#N/A</v>
      </c>
    </row>
    <row r="585" spans="1:35" ht="19.95" customHeight="1" x14ac:dyDescent="0.3">
      <c r="A585" s="33" t="s">
        <v>2399</v>
      </c>
      <c r="B585" s="34">
        <v>46076.63784722222</v>
      </c>
      <c r="C585" s="34" t="str">
        <f t="shared" si="22"/>
        <v>202602</v>
      </c>
      <c r="D585" s="35" t="s">
        <v>2310</v>
      </c>
      <c r="E585" s="36" t="s">
        <v>1149</v>
      </c>
      <c r="F585" s="36" t="s">
        <v>1870</v>
      </c>
      <c r="G585" s="37" t="s">
        <v>2392</v>
      </c>
      <c r="H585" s="36" t="s">
        <v>928</v>
      </c>
      <c r="I585" s="35" t="s">
        <v>2400</v>
      </c>
      <c r="J585" s="36" t="s">
        <v>938</v>
      </c>
      <c r="K585" s="33" t="s">
        <v>916</v>
      </c>
      <c r="L585" s="35" t="s">
        <v>916</v>
      </c>
      <c r="M585" s="36" t="s">
        <v>1039</v>
      </c>
      <c r="N585" s="45">
        <v>46077.388888888891</v>
      </c>
      <c r="O585" s="36" t="s">
        <v>1384</v>
      </c>
      <c r="P585" s="38">
        <v>0.75104166670000005</v>
      </c>
      <c r="Q585" s="39" t="s">
        <v>2316</v>
      </c>
      <c r="R585" s="35" t="s">
        <v>916</v>
      </c>
      <c r="S585" s="35"/>
      <c r="T585" s="35" t="s">
        <v>1624</v>
      </c>
      <c r="U585" s="40">
        <v>46077</v>
      </c>
      <c r="V585" s="41">
        <v>46153.532754629632</v>
      </c>
      <c r="W585" s="40">
        <v>46076</v>
      </c>
      <c r="X585" s="35" t="s">
        <v>916</v>
      </c>
      <c r="Y585" s="35" t="s">
        <v>916</v>
      </c>
      <c r="Z585" s="35" t="s">
        <v>916</v>
      </c>
      <c r="AA585" s="38">
        <v>18.025000000799999</v>
      </c>
      <c r="AB585" s="42" t="s">
        <v>916</v>
      </c>
      <c r="AC585" s="43" t="s">
        <v>916</v>
      </c>
      <c r="AD585" s="43" t="s">
        <v>916</v>
      </c>
      <c r="AE585" s="33" t="s">
        <v>916</v>
      </c>
      <c r="AF585" s="35" t="s">
        <v>916</v>
      </c>
      <c r="AG585" s="44">
        <v>492201.36666666658</v>
      </c>
      <c r="AH585" s="42" t="s">
        <v>916</v>
      </c>
      <c r="AI585" s="32" t="e">
        <f>VLOOKUP(A585,'4月明細'!B:B,1,0)</f>
        <v>#N/A</v>
      </c>
    </row>
    <row r="586" spans="1:35" ht="19.95" customHeight="1" x14ac:dyDescent="0.3">
      <c r="A586" s="33" t="s">
        <v>2401</v>
      </c>
      <c r="B586" s="34">
        <v>46076.637407407405</v>
      </c>
      <c r="C586" s="34" t="str">
        <f t="shared" si="22"/>
        <v>202602</v>
      </c>
      <c r="D586" s="35" t="s">
        <v>2310</v>
      </c>
      <c r="E586" s="36" t="s">
        <v>1149</v>
      </c>
      <c r="F586" s="36" t="s">
        <v>1870</v>
      </c>
      <c r="G586" s="37" t="s">
        <v>2402</v>
      </c>
      <c r="H586" s="36" t="s">
        <v>928</v>
      </c>
      <c r="I586" s="35" t="s">
        <v>2403</v>
      </c>
      <c r="J586" s="36" t="s">
        <v>938</v>
      </c>
      <c r="K586" s="33" t="s">
        <v>916</v>
      </c>
      <c r="L586" s="35" t="s">
        <v>916</v>
      </c>
      <c r="M586" s="36" t="s">
        <v>1039</v>
      </c>
      <c r="N586" s="45">
        <v>46085.836111111108</v>
      </c>
      <c r="O586" s="36" t="s">
        <v>939</v>
      </c>
      <c r="P586" s="38">
        <v>9.1987037036999997</v>
      </c>
      <c r="Q586" s="39" t="s">
        <v>2369</v>
      </c>
      <c r="R586" s="35" t="s">
        <v>916</v>
      </c>
      <c r="S586" s="35"/>
      <c r="T586" s="35" t="s">
        <v>1624</v>
      </c>
      <c r="U586" s="40">
        <v>46077</v>
      </c>
      <c r="V586" s="41">
        <v>46153.532754629632</v>
      </c>
      <c r="W586" s="40">
        <v>46076</v>
      </c>
      <c r="X586" s="40">
        <v>46153</v>
      </c>
      <c r="Y586" s="35" t="s">
        <v>916</v>
      </c>
      <c r="Z586" s="35" t="s">
        <v>916</v>
      </c>
      <c r="AA586" s="38">
        <v>220.76888888880001</v>
      </c>
      <c r="AB586" s="42" t="s">
        <v>916</v>
      </c>
      <c r="AC586" s="43" t="s">
        <v>916</v>
      </c>
      <c r="AD586" s="43" t="s">
        <v>916</v>
      </c>
      <c r="AE586" s="33" t="s">
        <v>916</v>
      </c>
      <c r="AF586" s="35" t="s">
        <v>916</v>
      </c>
      <c r="AG586" s="44">
        <v>492201.06666666671</v>
      </c>
      <c r="AH586" s="42" t="s">
        <v>916</v>
      </c>
      <c r="AI586" s="32" t="e">
        <f>VLOOKUP(A586,'4月明細'!B:B,1,0)</f>
        <v>#N/A</v>
      </c>
    </row>
    <row r="587" spans="1:35" ht="19.95" customHeight="1" x14ac:dyDescent="0.3">
      <c r="A587" s="33" t="s">
        <v>2404</v>
      </c>
      <c r="B587" s="34">
        <v>46076.636886574073</v>
      </c>
      <c r="C587" s="34" t="str">
        <f t="shared" si="22"/>
        <v>202602</v>
      </c>
      <c r="D587" s="35" t="s">
        <v>2310</v>
      </c>
      <c r="E587" s="36" t="s">
        <v>1149</v>
      </c>
      <c r="F587" s="36" t="s">
        <v>1870</v>
      </c>
      <c r="G587" s="37" t="s">
        <v>2405</v>
      </c>
      <c r="H587" s="36" t="s">
        <v>928</v>
      </c>
      <c r="I587" s="35" t="s">
        <v>2406</v>
      </c>
      <c r="J587" s="36" t="s">
        <v>938</v>
      </c>
      <c r="K587" s="33" t="s">
        <v>916</v>
      </c>
      <c r="L587" s="35" t="s">
        <v>916</v>
      </c>
      <c r="M587" s="36" t="s">
        <v>1039</v>
      </c>
      <c r="N587" s="45">
        <v>46085.836111111108</v>
      </c>
      <c r="O587" s="36" t="s">
        <v>939</v>
      </c>
      <c r="P587" s="38">
        <v>9.1992245369999992</v>
      </c>
      <c r="Q587" s="39" t="s">
        <v>2369</v>
      </c>
      <c r="R587" s="35" t="s">
        <v>916</v>
      </c>
      <c r="S587" s="35"/>
      <c r="T587" s="35" t="s">
        <v>1624</v>
      </c>
      <c r="U587" s="40">
        <v>46077</v>
      </c>
      <c r="V587" s="41">
        <v>46153.532754629632</v>
      </c>
      <c r="W587" s="40">
        <v>46076</v>
      </c>
      <c r="X587" s="40">
        <v>46153</v>
      </c>
      <c r="Y587" s="35" t="s">
        <v>916</v>
      </c>
      <c r="Z587" s="35" t="s">
        <v>916</v>
      </c>
      <c r="AA587" s="38">
        <v>220.78138888800001</v>
      </c>
      <c r="AB587" s="42" t="s">
        <v>916</v>
      </c>
      <c r="AC587" s="43" t="s">
        <v>916</v>
      </c>
      <c r="AD587" s="43" t="s">
        <v>916</v>
      </c>
      <c r="AE587" s="33" t="s">
        <v>916</v>
      </c>
      <c r="AF587" s="35" t="s">
        <v>916</v>
      </c>
      <c r="AG587" s="44">
        <v>492201.4</v>
      </c>
      <c r="AH587" s="42" t="s">
        <v>916</v>
      </c>
      <c r="AI587" s="32" t="e">
        <f>VLOOKUP(A587,'4月明細'!B:B,1,0)</f>
        <v>#N/A</v>
      </c>
    </row>
    <row r="588" spans="1:35" ht="19.95" customHeight="1" x14ac:dyDescent="0.3">
      <c r="A588" s="33" t="s">
        <v>2407</v>
      </c>
      <c r="B588" s="34">
        <v>46076.635381944441</v>
      </c>
      <c r="C588" s="34" t="str">
        <f t="shared" si="22"/>
        <v>202602</v>
      </c>
      <c r="D588" s="35" t="s">
        <v>2310</v>
      </c>
      <c r="E588" s="36" t="s">
        <v>1149</v>
      </c>
      <c r="F588" s="36" t="s">
        <v>1870</v>
      </c>
      <c r="G588" s="37" t="s">
        <v>2408</v>
      </c>
      <c r="H588" s="36" t="s">
        <v>928</v>
      </c>
      <c r="I588" s="35" t="s">
        <v>2409</v>
      </c>
      <c r="J588" s="36" t="s">
        <v>938</v>
      </c>
      <c r="K588" s="33" t="s">
        <v>916</v>
      </c>
      <c r="L588" s="35" t="s">
        <v>916</v>
      </c>
      <c r="M588" s="36" t="s">
        <v>1039</v>
      </c>
      <c r="N588" s="45">
        <v>46076.703472222223</v>
      </c>
      <c r="O588" s="36" t="s">
        <v>1384</v>
      </c>
      <c r="P588" s="38">
        <v>6.8090277800000001E-2</v>
      </c>
      <c r="Q588" s="39" t="s">
        <v>2316</v>
      </c>
      <c r="R588" s="35" t="s">
        <v>916</v>
      </c>
      <c r="S588" s="35"/>
      <c r="T588" s="35" t="s">
        <v>1624</v>
      </c>
      <c r="U588" s="40">
        <v>46077</v>
      </c>
      <c r="V588" s="41">
        <v>46153.532754629632</v>
      </c>
      <c r="W588" s="40">
        <v>46076</v>
      </c>
      <c r="X588" s="35" t="s">
        <v>916</v>
      </c>
      <c r="Y588" s="35" t="s">
        <v>916</v>
      </c>
      <c r="Z588" s="35" t="s">
        <v>916</v>
      </c>
      <c r="AA588" s="38">
        <v>1.6341666671999999</v>
      </c>
      <c r="AB588" s="42" t="s">
        <v>916</v>
      </c>
      <c r="AC588" s="43" t="s">
        <v>916</v>
      </c>
      <c r="AD588" s="43" t="s">
        <v>916</v>
      </c>
      <c r="AE588" s="33" t="s">
        <v>916</v>
      </c>
      <c r="AF588" s="35" t="s">
        <v>916</v>
      </c>
      <c r="AG588" s="44">
        <v>492201.4</v>
      </c>
      <c r="AH588" s="42" t="s">
        <v>916</v>
      </c>
      <c r="AI588" s="32" t="e">
        <f>VLOOKUP(A588,'4月明細'!B:B,1,0)</f>
        <v>#N/A</v>
      </c>
    </row>
    <row r="589" spans="1:35" ht="19.95" customHeight="1" x14ac:dyDescent="0.3">
      <c r="A589" s="33" t="s">
        <v>2410</v>
      </c>
      <c r="B589" s="34">
        <v>46076.634768518517</v>
      </c>
      <c r="C589" s="34" t="str">
        <f t="shared" si="22"/>
        <v>202602</v>
      </c>
      <c r="D589" s="35" t="s">
        <v>2310</v>
      </c>
      <c r="E589" s="36" t="s">
        <v>1149</v>
      </c>
      <c r="F589" s="36" t="s">
        <v>1860</v>
      </c>
      <c r="G589" s="37" t="s">
        <v>2411</v>
      </c>
      <c r="H589" s="36" t="s">
        <v>928</v>
      </c>
      <c r="I589" s="35" t="s">
        <v>2412</v>
      </c>
      <c r="J589" s="36" t="s">
        <v>938</v>
      </c>
      <c r="K589" s="33" t="s">
        <v>916</v>
      </c>
      <c r="L589" s="35" t="s">
        <v>916</v>
      </c>
      <c r="M589" s="36" t="s">
        <v>957</v>
      </c>
      <c r="N589" s="45">
        <v>46083.65902777778</v>
      </c>
      <c r="O589" s="36" t="s">
        <v>939</v>
      </c>
      <c r="P589" s="38">
        <v>7.0242592592999999</v>
      </c>
      <c r="Q589" s="36" t="s">
        <v>916</v>
      </c>
      <c r="R589" s="35" t="s">
        <v>916</v>
      </c>
      <c r="S589" s="35"/>
      <c r="T589" s="35" t="s">
        <v>1624</v>
      </c>
      <c r="U589" s="40">
        <v>46077</v>
      </c>
      <c r="V589" s="41">
        <v>46153.532754629632</v>
      </c>
      <c r="W589" s="40">
        <v>46076</v>
      </c>
      <c r="X589" s="40">
        <v>46153</v>
      </c>
      <c r="Y589" s="35" t="s">
        <v>916</v>
      </c>
      <c r="Z589" s="35" t="s">
        <v>916</v>
      </c>
      <c r="AA589" s="38">
        <v>168.58222222320001</v>
      </c>
      <c r="AB589" s="42" t="s">
        <v>916</v>
      </c>
      <c r="AC589" s="43" t="s">
        <v>916</v>
      </c>
      <c r="AD589" s="43" t="s">
        <v>916</v>
      </c>
      <c r="AE589" s="33" t="s">
        <v>916</v>
      </c>
      <c r="AF589" s="35" t="s">
        <v>916</v>
      </c>
      <c r="AG589" s="44">
        <v>0</v>
      </c>
      <c r="AH589" s="42" t="s">
        <v>916</v>
      </c>
      <c r="AI589" s="32" t="e">
        <f>VLOOKUP(A589,'4月明細'!B:B,1,0)</f>
        <v>#N/A</v>
      </c>
    </row>
    <row r="590" spans="1:35" ht="19.95" customHeight="1" x14ac:dyDescent="0.3">
      <c r="A590" s="33" t="s">
        <v>2413</v>
      </c>
      <c r="B590" s="34">
        <v>46076.634016203701</v>
      </c>
      <c r="C590" s="34" t="str">
        <f t="shared" si="22"/>
        <v>202602</v>
      </c>
      <c r="D590" s="35" t="s">
        <v>2310</v>
      </c>
      <c r="E590" s="36" t="s">
        <v>1149</v>
      </c>
      <c r="F590" s="36" t="s">
        <v>1200</v>
      </c>
      <c r="G590" s="37" t="s">
        <v>2414</v>
      </c>
      <c r="H590" s="36" t="s">
        <v>928</v>
      </c>
      <c r="I590" s="35" t="s">
        <v>2415</v>
      </c>
      <c r="J590" s="36" t="s">
        <v>938</v>
      </c>
      <c r="K590" s="33" t="s">
        <v>916</v>
      </c>
      <c r="L590" s="35" t="s">
        <v>916</v>
      </c>
      <c r="M590" s="36" t="s">
        <v>1039</v>
      </c>
      <c r="N590" s="45">
        <v>46085.836111111108</v>
      </c>
      <c r="O590" s="36" t="s">
        <v>939</v>
      </c>
      <c r="P590" s="38">
        <v>9.2020949073999994</v>
      </c>
      <c r="Q590" s="39" t="s">
        <v>2369</v>
      </c>
      <c r="R590" s="35" t="s">
        <v>916</v>
      </c>
      <c r="S590" s="35"/>
      <c r="T590" s="35" t="s">
        <v>1624</v>
      </c>
      <c r="U590" s="40">
        <v>46077</v>
      </c>
      <c r="V590" s="41">
        <v>46153.532754629632</v>
      </c>
      <c r="W590" s="40">
        <v>46076</v>
      </c>
      <c r="X590" s="40">
        <v>46153</v>
      </c>
      <c r="Y590" s="35" t="s">
        <v>916</v>
      </c>
      <c r="Z590" s="35" t="s">
        <v>916</v>
      </c>
      <c r="AA590" s="38">
        <v>220.85027777760001</v>
      </c>
      <c r="AB590" s="42" t="s">
        <v>916</v>
      </c>
      <c r="AC590" s="43" t="s">
        <v>916</v>
      </c>
      <c r="AD590" s="43" t="s">
        <v>916</v>
      </c>
      <c r="AE590" s="33" t="s">
        <v>916</v>
      </c>
      <c r="AF590" s="35" t="s">
        <v>916</v>
      </c>
      <c r="AG590" s="44">
        <v>492201.41666666669</v>
      </c>
      <c r="AH590" s="42" t="s">
        <v>916</v>
      </c>
      <c r="AI590" s="32" t="e">
        <f>VLOOKUP(A590,'4月明細'!B:B,1,0)</f>
        <v>#N/A</v>
      </c>
    </row>
    <row r="591" spans="1:35" ht="19.95" customHeight="1" x14ac:dyDescent="0.3">
      <c r="A591" s="33" t="s">
        <v>516</v>
      </c>
      <c r="B591" s="34">
        <v>46076.632928240739</v>
      </c>
      <c r="C591" s="34" t="str">
        <f t="shared" si="22"/>
        <v>202602</v>
      </c>
      <c r="D591" s="35" t="s">
        <v>2310</v>
      </c>
      <c r="E591" s="36" t="s">
        <v>1149</v>
      </c>
      <c r="F591" s="36" t="s">
        <v>1155</v>
      </c>
      <c r="G591" s="37" t="s">
        <v>2416</v>
      </c>
      <c r="H591" s="36" t="s">
        <v>928</v>
      </c>
      <c r="I591" s="35" t="s">
        <v>2417</v>
      </c>
      <c r="J591" s="36" t="s">
        <v>938</v>
      </c>
      <c r="K591" s="33" t="s">
        <v>916</v>
      </c>
      <c r="L591" s="35" t="s">
        <v>916</v>
      </c>
      <c r="M591" s="36" t="s">
        <v>923</v>
      </c>
      <c r="N591" s="45">
        <v>46083.65347222222</v>
      </c>
      <c r="O591" s="36" t="s">
        <v>25</v>
      </c>
      <c r="P591" s="38">
        <v>7.0205439815000004</v>
      </c>
      <c r="Q591" s="39" t="s">
        <v>1404</v>
      </c>
      <c r="R591" s="35" t="s">
        <v>916</v>
      </c>
      <c r="S591" s="35"/>
      <c r="T591" s="35" t="s">
        <v>1624</v>
      </c>
      <c r="U591" s="40">
        <v>46077</v>
      </c>
      <c r="V591" s="41">
        <v>46153.532754629632</v>
      </c>
      <c r="W591" s="40">
        <v>46076</v>
      </c>
      <c r="X591" s="35" t="s">
        <v>916</v>
      </c>
      <c r="Y591" s="35" t="s">
        <v>916</v>
      </c>
      <c r="Z591" s="35" t="s">
        <v>916</v>
      </c>
      <c r="AA591" s="38">
        <v>168.493055556</v>
      </c>
      <c r="AB591" s="42" t="s">
        <v>916</v>
      </c>
      <c r="AC591" s="43" t="s">
        <v>916</v>
      </c>
      <c r="AD591" s="43" t="s">
        <v>916</v>
      </c>
      <c r="AE591" s="33" t="s">
        <v>916</v>
      </c>
      <c r="AF591" s="35" t="s">
        <v>916</v>
      </c>
      <c r="AG591" s="44">
        <v>0</v>
      </c>
      <c r="AH591" s="42" t="s">
        <v>916</v>
      </c>
      <c r="AI591" s="32" t="e">
        <f>VLOOKUP(A591,'4月明細'!B:B,1,0)</f>
        <v>#N/A</v>
      </c>
    </row>
    <row r="592" spans="1:35" ht="19.95" customHeight="1" x14ac:dyDescent="0.3">
      <c r="A592" s="33" t="s">
        <v>2418</v>
      </c>
      <c r="B592" s="34">
        <v>46076.632118055553</v>
      </c>
      <c r="C592" s="34" t="str">
        <f t="shared" si="22"/>
        <v>202602</v>
      </c>
      <c r="D592" s="35" t="s">
        <v>2310</v>
      </c>
      <c r="E592" s="36" t="s">
        <v>1149</v>
      </c>
      <c r="F592" s="36" t="s">
        <v>935</v>
      </c>
      <c r="G592" s="37" t="s">
        <v>2419</v>
      </c>
      <c r="H592" s="36" t="s">
        <v>928</v>
      </c>
      <c r="I592" s="35" t="s">
        <v>2420</v>
      </c>
      <c r="J592" s="36" t="s">
        <v>938</v>
      </c>
      <c r="K592" s="33" t="s">
        <v>916</v>
      </c>
      <c r="L592" s="35" t="s">
        <v>916</v>
      </c>
      <c r="M592" s="36" t="s">
        <v>916</v>
      </c>
      <c r="N592" s="45">
        <v>46083.634027777778</v>
      </c>
      <c r="O592" s="36" t="s">
        <v>939</v>
      </c>
      <c r="P592" s="38">
        <v>7.0019097221999997</v>
      </c>
      <c r="Q592" s="36" t="s">
        <v>916</v>
      </c>
      <c r="R592" s="35" t="s">
        <v>916</v>
      </c>
      <c r="S592" s="35"/>
      <c r="T592" s="35" t="s">
        <v>1624</v>
      </c>
      <c r="U592" s="40">
        <v>46077</v>
      </c>
      <c r="V592" s="41">
        <v>46153.532754629632</v>
      </c>
      <c r="W592" s="40">
        <v>46076</v>
      </c>
      <c r="X592" s="40">
        <v>46153</v>
      </c>
      <c r="Y592" s="35" t="s">
        <v>916</v>
      </c>
      <c r="Z592" s="35" t="s">
        <v>916</v>
      </c>
      <c r="AA592" s="38">
        <v>168.04583333279999</v>
      </c>
      <c r="AB592" s="42" t="s">
        <v>916</v>
      </c>
      <c r="AC592" s="43" t="s">
        <v>916</v>
      </c>
      <c r="AD592" s="43" t="s">
        <v>916</v>
      </c>
      <c r="AE592" s="33" t="s">
        <v>916</v>
      </c>
      <c r="AF592" s="35" t="s">
        <v>916</v>
      </c>
      <c r="AG592" s="44">
        <v>0</v>
      </c>
      <c r="AH592" s="42" t="s">
        <v>916</v>
      </c>
      <c r="AI592" s="32" t="e">
        <f>VLOOKUP(A592,'4月明細'!B:B,1,0)</f>
        <v>#N/A</v>
      </c>
    </row>
    <row r="593" spans="1:35" ht="19.95" customHeight="1" x14ac:dyDescent="0.3">
      <c r="A593" s="33" t="s">
        <v>476</v>
      </c>
      <c r="B593" s="34">
        <v>46076.63175925926</v>
      </c>
      <c r="C593" s="34" t="str">
        <f t="shared" si="22"/>
        <v>202602</v>
      </c>
      <c r="D593" s="35" t="s">
        <v>996</v>
      </c>
      <c r="E593" s="36" t="s">
        <v>910</v>
      </c>
      <c r="F593" s="36" t="s">
        <v>1161</v>
      </c>
      <c r="G593" s="37" t="s">
        <v>2421</v>
      </c>
      <c r="H593" s="36" t="s">
        <v>954</v>
      </c>
      <c r="I593" s="35"/>
      <c r="J593" s="36" t="s">
        <v>914</v>
      </c>
      <c r="K593" s="33" t="s">
        <v>916</v>
      </c>
      <c r="L593" s="35" t="s">
        <v>916</v>
      </c>
      <c r="M593" s="36" t="s">
        <v>957</v>
      </c>
      <c r="N593" s="45">
        <v>46077.40347222222</v>
      </c>
      <c r="O593" s="36" t="s">
        <v>25</v>
      </c>
      <c r="P593" s="38">
        <v>0.77171296300000003</v>
      </c>
      <c r="Q593" s="39" t="s">
        <v>2422</v>
      </c>
      <c r="R593" s="35" t="s">
        <v>916</v>
      </c>
      <c r="S593" s="35"/>
      <c r="T593" s="35" t="s">
        <v>1624</v>
      </c>
      <c r="U593" s="40">
        <v>46077</v>
      </c>
      <c r="V593" s="41">
        <v>46153.532754629632</v>
      </c>
      <c r="W593" s="40">
        <v>46076</v>
      </c>
      <c r="X593" s="35" t="s">
        <v>916</v>
      </c>
      <c r="Y593" s="35" t="s">
        <v>916</v>
      </c>
      <c r="Z593" s="35" t="s">
        <v>916</v>
      </c>
      <c r="AA593" s="38">
        <v>18.521111112</v>
      </c>
      <c r="AB593" s="42" t="s">
        <v>916</v>
      </c>
      <c r="AC593" s="43" t="s">
        <v>916</v>
      </c>
      <c r="AD593" s="43" t="s">
        <v>916</v>
      </c>
      <c r="AE593" s="33" t="s">
        <v>916</v>
      </c>
      <c r="AF593" s="35" t="s">
        <v>916</v>
      </c>
      <c r="AG593" s="44">
        <v>0</v>
      </c>
      <c r="AH593" s="42" t="s">
        <v>916</v>
      </c>
      <c r="AI593" s="32" t="e">
        <f>VLOOKUP(A593,'4月明細'!B:B,1,0)</f>
        <v>#N/A</v>
      </c>
    </row>
    <row r="594" spans="1:35" ht="19.95" customHeight="1" x14ac:dyDescent="0.3">
      <c r="A594" s="33" t="s">
        <v>475</v>
      </c>
      <c r="B594" s="34">
        <v>46076.629374999997</v>
      </c>
      <c r="C594" s="34" t="str">
        <f t="shared" si="22"/>
        <v>202602</v>
      </c>
      <c r="D594" s="35" t="s">
        <v>2423</v>
      </c>
      <c r="E594" s="36" t="s">
        <v>910</v>
      </c>
      <c r="F594" s="36" t="s">
        <v>1161</v>
      </c>
      <c r="G594" s="37" t="s">
        <v>1041</v>
      </c>
      <c r="H594" s="36" t="s">
        <v>954</v>
      </c>
      <c r="I594" s="35"/>
      <c r="J594" s="36" t="s">
        <v>914</v>
      </c>
      <c r="K594" s="33" t="s">
        <v>916</v>
      </c>
      <c r="L594" s="35" t="s">
        <v>916</v>
      </c>
      <c r="M594" s="36" t="s">
        <v>957</v>
      </c>
      <c r="N594" s="45">
        <v>46077.413194444445</v>
      </c>
      <c r="O594" s="36" t="s">
        <v>25</v>
      </c>
      <c r="P594" s="38">
        <v>0.78381944439999995</v>
      </c>
      <c r="Q594" s="39" t="s">
        <v>1328</v>
      </c>
      <c r="R594" s="35" t="s">
        <v>916</v>
      </c>
      <c r="S594" s="35"/>
      <c r="T594" s="35" t="s">
        <v>1624</v>
      </c>
      <c r="U594" s="40">
        <v>46077</v>
      </c>
      <c r="V594" s="41">
        <v>46153.532754629632</v>
      </c>
      <c r="W594" s="40">
        <v>46076</v>
      </c>
      <c r="X594" s="35" t="s">
        <v>916</v>
      </c>
      <c r="Y594" s="35" t="s">
        <v>916</v>
      </c>
      <c r="Z594" s="35" t="s">
        <v>916</v>
      </c>
      <c r="AA594" s="38">
        <v>18.811666665600001</v>
      </c>
      <c r="AB594" s="42" t="s">
        <v>916</v>
      </c>
      <c r="AC594" s="43" t="s">
        <v>916</v>
      </c>
      <c r="AD594" s="43" t="s">
        <v>916</v>
      </c>
      <c r="AE594" s="33" t="s">
        <v>916</v>
      </c>
      <c r="AF594" s="35" t="s">
        <v>916</v>
      </c>
      <c r="AG594" s="44">
        <v>0</v>
      </c>
      <c r="AH594" s="42" t="s">
        <v>916</v>
      </c>
      <c r="AI594" s="32" t="e">
        <f>VLOOKUP(A594,'4月明細'!B:B,1,0)</f>
        <v>#N/A</v>
      </c>
    </row>
    <row r="595" spans="1:35" ht="19.95" customHeight="1" x14ac:dyDescent="0.3">
      <c r="A595" s="33" t="s">
        <v>515</v>
      </c>
      <c r="B595" s="34">
        <v>46076.610069444447</v>
      </c>
      <c r="C595" s="34" t="str">
        <f t="shared" si="22"/>
        <v>202602</v>
      </c>
      <c r="D595" s="35" t="s">
        <v>2278</v>
      </c>
      <c r="E595" s="36" t="s">
        <v>910</v>
      </c>
      <c r="F595" s="36" t="s">
        <v>1076</v>
      </c>
      <c r="G595" s="37" t="s">
        <v>2424</v>
      </c>
      <c r="H595" s="36" t="s">
        <v>954</v>
      </c>
      <c r="I595" s="35"/>
      <c r="J595" s="36" t="s">
        <v>929</v>
      </c>
      <c r="K595" s="33" t="s">
        <v>916</v>
      </c>
      <c r="L595" s="35" t="s">
        <v>916</v>
      </c>
      <c r="M595" s="36" t="s">
        <v>1039</v>
      </c>
      <c r="N595" s="45">
        <v>46093.396527777775</v>
      </c>
      <c r="O595" s="36" t="s">
        <v>25</v>
      </c>
      <c r="P595" s="38">
        <v>16.786458333300001</v>
      </c>
      <c r="Q595" s="39" t="s">
        <v>2425</v>
      </c>
      <c r="R595" s="35" t="s">
        <v>916</v>
      </c>
      <c r="S595" s="35" t="s">
        <v>2426</v>
      </c>
      <c r="T595" s="35" t="s">
        <v>1624</v>
      </c>
      <c r="U595" s="40">
        <v>46077</v>
      </c>
      <c r="V595" s="41">
        <v>46153.532754629632</v>
      </c>
      <c r="W595" s="40">
        <v>46076</v>
      </c>
      <c r="X595" s="35" t="s">
        <v>916</v>
      </c>
      <c r="Y595" s="35" t="s">
        <v>916</v>
      </c>
      <c r="Z595" s="35" t="s">
        <v>916</v>
      </c>
      <c r="AA595" s="38">
        <v>402.87499999919999</v>
      </c>
      <c r="AB595" s="42" t="s">
        <v>916</v>
      </c>
      <c r="AC595" s="43" t="s">
        <v>916</v>
      </c>
      <c r="AD595" s="43" t="s">
        <v>916</v>
      </c>
      <c r="AE595" s="33" t="s">
        <v>916</v>
      </c>
      <c r="AF595" s="35" t="s">
        <v>916</v>
      </c>
      <c r="AG595" s="44">
        <v>0</v>
      </c>
      <c r="AH595" s="42" t="s">
        <v>916</v>
      </c>
      <c r="AI595" s="32" t="e">
        <f>VLOOKUP(A595,'4月明細'!B:B,1,0)</f>
        <v>#N/A</v>
      </c>
    </row>
    <row r="596" spans="1:35" ht="19.95" customHeight="1" x14ac:dyDescent="0.3">
      <c r="A596" s="33" t="s">
        <v>2427</v>
      </c>
      <c r="B596" s="34">
        <v>46076.602129629631</v>
      </c>
      <c r="C596" s="34" t="str">
        <f t="shared" si="22"/>
        <v>202602</v>
      </c>
      <c r="D596" s="35" t="s">
        <v>2310</v>
      </c>
      <c r="E596" s="36" t="s">
        <v>1149</v>
      </c>
      <c r="F596" s="36" t="s">
        <v>1141</v>
      </c>
      <c r="G596" s="37" t="s">
        <v>2428</v>
      </c>
      <c r="H596" s="36" t="s">
        <v>928</v>
      </c>
      <c r="I596" s="35" t="s">
        <v>2429</v>
      </c>
      <c r="J596" s="36" t="s">
        <v>938</v>
      </c>
      <c r="K596" s="33" t="s">
        <v>916</v>
      </c>
      <c r="L596" s="35" t="s">
        <v>916</v>
      </c>
      <c r="M596" s="36" t="s">
        <v>1039</v>
      </c>
      <c r="N596" s="45">
        <v>46085.836805555555</v>
      </c>
      <c r="O596" s="36" t="s">
        <v>939</v>
      </c>
      <c r="P596" s="38">
        <v>9.2346759258999995</v>
      </c>
      <c r="Q596" s="39" t="s">
        <v>2369</v>
      </c>
      <c r="R596" s="35" t="s">
        <v>916</v>
      </c>
      <c r="S596" s="35"/>
      <c r="T596" s="35" t="s">
        <v>1624</v>
      </c>
      <c r="U596" s="40">
        <v>46077</v>
      </c>
      <c r="V596" s="41">
        <v>46153.532754629632</v>
      </c>
      <c r="W596" s="40">
        <v>46076</v>
      </c>
      <c r="X596" s="40">
        <v>46153</v>
      </c>
      <c r="Y596" s="35" t="s">
        <v>916</v>
      </c>
      <c r="Z596" s="35" t="s">
        <v>916</v>
      </c>
      <c r="AA596" s="38">
        <v>221.63222222159999</v>
      </c>
      <c r="AB596" s="42" t="s">
        <v>916</v>
      </c>
      <c r="AC596" s="43" t="s">
        <v>916</v>
      </c>
      <c r="AD596" s="43" t="s">
        <v>916</v>
      </c>
      <c r="AE596" s="33" t="s">
        <v>916</v>
      </c>
      <c r="AF596" s="35" t="s">
        <v>916</v>
      </c>
      <c r="AG596" s="44">
        <v>492201.45</v>
      </c>
      <c r="AH596" s="42" t="s">
        <v>916</v>
      </c>
      <c r="AI596" s="32" t="e">
        <f>VLOOKUP(A596,'4月明細'!B:B,1,0)</f>
        <v>#N/A</v>
      </c>
    </row>
    <row r="597" spans="1:35" ht="19.95" customHeight="1" x14ac:dyDescent="0.3">
      <c r="A597" s="33" t="s">
        <v>2430</v>
      </c>
      <c r="B597" s="34">
        <v>46076.601446759261</v>
      </c>
      <c r="C597" s="34" t="str">
        <f t="shared" si="22"/>
        <v>202602</v>
      </c>
      <c r="D597" s="35" t="s">
        <v>2310</v>
      </c>
      <c r="E597" s="36" t="s">
        <v>1149</v>
      </c>
      <c r="F597" s="36" t="s">
        <v>1564</v>
      </c>
      <c r="G597" s="37" t="s">
        <v>2431</v>
      </c>
      <c r="H597" s="36" t="s">
        <v>928</v>
      </c>
      <c r="I597" s="35" t="s">
        <v>2432</v>
      </c>
      <c r="J597" s="36" t="s">
        <v>938</v>
      </c>
      <c r="K597" s="33" t="s">
        <v>916</v>
      </c>
      <c r="L597" s="35" t="s">
        <v>916</v>
      </c>
      <c r="M597" s="36" t="s">
        <v>916</v>
      </c>
      <c r="N597" s="45">
        <v>46083.635416666664</v>
      </c>
      <c r="O597" s="36" t="s">
        <v>939</v>
      </c>
      <c r="P597" s="38">
        <v>7.0339699074000004</v>
      </c>
      <c r="Q597" s="36" t="s">
        <v>916</v>
      </c>
      <c r="R597" s="35" t="s">
        <v>916</v>
      </c>
      <c r="S597" s="35"/>
      <c r="T597" s="35" t="s">
        <v>1624</v>
      </c>
      <c r="U597" s="40">
        <v>46077</v>
      </c>
      <c r="V597" s="41">
        <v>46153.532754629632</v>
      </c>
      <c r="W597" s="40">
        <v>46076</v>
      </c>
      <c r="X597" s="40">
        <v>46153</v>
      </c>
      <c r="Y597" s="35" t="s">
        <v>916</v>
      </c>
      <c r="Z597" s="35" t="s">
        <v>916</v>
      </c>
      <c r="AA597" s="38">
        <v>168.81527777759999</v>
      </c>
      <c r="AB597" s="42" t="s">
        <v>916</v>
      </c>
      <c r="AC597" s="43" t="s">
        <v>916</v>
      </c>
      <c r="AD597" s="43" t="s">
        <v>916</v>
      </c>
      <c r="AE597" s="33" t="s">
        <v>916</v>
      </c>
      <c r="AF597" s="35" t="s">
        <v>916</v>
      </c>
      <c r="AG597" s="44">
        <v>0</v>
      </c>
      <c r="AH597" s="42" t="s">
        <v>916</v>
      </c>
      <c r="AI597" s="32" t="e">
        <f>VLOOKUP(A597,'4月明細'!B:B,1,0)</f>
        <v>#N/A</v>
      </c>
    </row>
    <row r="598" spans="1:35" ht="19.95" customHeight="1" x14ac:dyDescent="0.3">
      <c r="A598" s="33" t="s">
        <v>2433</v>
      </c>
      <c r="B598" s="34">
        <v>46076.600844907407</v>
      </c>
      <c r="C598" s="34" t="str">
        <f t="shared" si="22"/>
        <v>202602</v>
      </c>
      <c r="D598" s="35" t="s">
        <v>2310</v>
      </c>
      <c r="E598" s="36" t="s">
        <v>1149</v>
      </c>
      <c r="F598" s="36" t="s">
        <v>1564</v>
      </c>
      <c r="G598" s="37" t="s">
        <v>2428</v>
      </c>
      <c r="H598" s="36" t="s">
        <v>928</v>
      </c>
      <c r="I598" s="35" t="s">
        <v>2434</v>
      </c>
      <c r="J598" s="36" t="s">
        <v>938</v>
      </c>
      <c r="K598" s="33" t="s">
        <v>916</v>
      </c>
      <c r="L598" s="35" t="s">
        <v>916</v>
      </c>
      <c r="M598" s="36" t="s">
        <v>1039</v>
      </c>
      <c r="N598" s="45">
        <v>46085.836805555555</v>
      </c>
      <c r="O598" s="36" t="s">
        <v>939</v>
      </c>
      <c r="P598" s="38">
        <v>9.2359606481000007</v>
      </c>
      <c r="Q598" s="39" t="s">
        <v>2369</v>
      </c>
      <c r="R598" s="35" t="s">
        <v>916</v>
      </c>
      <c r="S598" s="35"/>
      <c r="T598" s="35" t="s">
        <v>1624</v>
      </c>
      <c r="U598" s="40">
        <v>46077</v>
      </c>
      <c r="V598" s="41">
        <v>46153.532754629632</v>
      </c>
      <c r="W598" s="40">
        <v>46076</v>
      </c>
      <c r="X598" s="40">
        <v>46153</v>
      </c>
      <c r="Y598" s="35" t="s">
        <v>916</v>
      </c>
      <c r="Z598" s="35" t="s">
        <v>916</v>
      </c>
      <c r="AA598" s="38">
        <v>221.66305555439999</v>
      </c>
      <c r="AB598" s="42" t="s">
        <v>916</v>
      </c>
      <c r="AC598" s="43" t="s">
        <v>916</v>
      </c>
      <c r="AD598" s="43" t="s">
        <v>916</v>
      </c>
      <c r="AE598" s="33" t="s">
        <v>916</v>
      </c>
      <c r="AF598" s="35" t="s">
        <v>916</v>
      </c>
      <c r="AG598" s="44">
        <v>492201.46666666667</v>
      </c>
      <c r="AH598" s="42" t="s">
        <v>916</v>
      </c>
      <c r="AI598" s="32" t="e">
        <f>VLOOKUP(A598,'4月明細'!B:B,1,0)</f>
        <v>#N/A</v>
      </c>
    </row>
    <row r="599" spans="1:35" ht="19.95" customHeight="1" x14ac:dyDescent="0.3">
      <c r="A599" s="33" t="s">
        <v>474</v>
      </c>
      <c r="B599" s="34">
        <v>46076.600590277776</v>
      </c>
      <c r="C599" s="34" t="str">
        <f t="shared" si="22"/>
        <v>202602</v>
      </c>
      <c r="D599" s="35" t="s">
        <v>996</v>
      </c>
      <c r="E599" s="36" t="s">
        <v>910</v>
      </c>
      <c r="F599" s="36" t="s">
        <v>1568</v>
      </c>
      <c r="G599" s="37" t="s">
        <v>2435</v>
      </c>
      <c r="H599" s="36" t="s">
        <v>989</v>
      </c>
      <c r="I599" s="35"/>
      <c r="J599" s="36" t="s">
        <v>914</v>
      </c>
      <c r="K599" s="33" t="s">
        <v>916</v>
      </c>
      <c r="L599" s="35" t="s">
        <v>916</v>
      </c>
      <c r="M599" s="36" t="s">
        <v>957</v>
      </c>
      <c r="N599" s="45">
        <v>46078.439583333333</v>
      </c>
      <c r="O599" s="36" t="s">
        <v>25</v>
      </c>
      <c r="P599" s="38">
        <v>1.8389930556</v>
      </c>
      <c r="Q599" s="39" t="s">
        <v>2436</v>
      </c>
      <c r="R599" s="35" t="s">
        <v>916</v>
      </c>
      <c r="S599" s="35" t="s">
        <v>2437</v>
      </c>
      <c r="T599" s="35" t="s">
        <v>1624</v>
      </c>
      <c r="U599" s="40">
        <v>46077</v>
      </c>
      <c r="V599" s="41">
        <v>46153.532754629632</v>
      </c>
      <c r="W599" s="40">
        <v>46076</v>
      </c>
      <c r="X599" s="35" t="s">
        <v>916</v>
      </c>
      <c r="Y599" s="35" t="s">
        <v>916</v>
      </c>
      <c r="Z599" s="35" t="s">
        <v>916</v>
      </c>
      <c r="AA599" s="38">
        <v>44.135833334399997</v>
      </c>
      <c r="AB599" s="42" t="s">
        <v>916</v>
      </c>
      <c r="AC599" s="43" t="s">
        <v>916</v>
      </c>
      <c r="AD599" s="43" t="s">
        <v>916</v>
      </c>
      <c r="AE599" s="33" t="s">
        <v>916</v>
      </c>
      <c r="AF599" s="35" t="s">
        <v>916</v>
      </c>
      <c r="AG599" s="44">
        <v>492226.55</v>
      </c>
      <c r="AH599" s="42" t="s">
        <v>916</v>
      </c>
      <c r="AI599" s="32" t="e">
        <f>VLOOKUP(A599,'4月明細'!B:B,1,0)</f>
        <v>#N/A</v>
      </c>
    </row>
    <row r="600" spans="1:35" ht="19.95" customHeight="1" x14ac:dyDescent="0.3">
      <c r="A600" s="33" t="s">
        <v>473</v>
      </c>
      <c r="B600" s="34">
        <v>46076.599976851852</v>
      </c>
      <c r="C600" s="34" t="str">
        <f t="shared" si="22"/>
        <v>202602</v>
      </c>
      <c r="D600" s="35" t="s">
        <v>2310</v>
      </c>
      <c r="E600" s="36" t="s">
        <v>1149</v>
      </c>
      <c r="F600" s="36" t="s">
        <v>1564</v>
      </c>
      <c r="G600" s="37" t="s">
        <v>2438</v>
      </c>
      <c r="H600" s="36" t="s">
        <v>928</v>
      </c>
      <c r="I600" s="35" t="s">
        <v>2439</v>
      </c>
      <c r="J600" s="36" t="s">
        <v>938</v>
      </c>
      <c r="K600" s="33" t="s">
        <v>916</v>
      </c>
      <c r="L600" s="35" t="s">
        <v>916</v>
      </c>
      <c r="M600" s="36" t="s">
        <v>957</v>
      </c>
      <c r="N600" s="45">
        <v>46077.395138888889</v>
      </c>
      <c r="O600" s="36" t="s">
        <v>25</v>
      </c>
      <c r="P600" s="38">
        <v>0.79516203699999999</v>
      </c>
      <c r="Q600" s="39" t="s">
        <v>2440</v>
      </c>
      <c r="R600" s="35" t="s">
        <v>916</v>
      </c>
      <c r="S600" s="35"/>
      <c r="T600" s="35" t="s">
        <v>1624</v>
      </c>
      <c r="U600" s="40">
        <v>46077</v>
      </c>
      <c r="V600" s="41">
        <v>46153.532766203702</v>
      </c>
      <c r="W600" s="40">
        <v>46076</v>
      </c>
      <c r="X600" s="35" t="s">
        <v>916</v>
      </c>
      <c r="Y600" s="35" t="s">
        <v>916</v>
      </c>
      <c r="Z600" s="35" t="s">
        <v>916</v>
      </c>
      <c r="AA600" s="38">
        <v>19.083888888000001</v>
      </c>
      <c r="AB600" s="42" t="s">
        <v>916</v>
      </c>
      <c r="AC600" s="43" t="s">
        <v>916</v>
      </c>
      <c r="AD600" s="43" t="s">
        <v>916</v>
      </c>
      <c r="AE600" s="33" t="s">
        <v>916</v>
      </c>
      <c r="AF600" s="35" t="s">
        <v>916</v>
      </c>
      <c r="AG600" s="44">
        <v>492201.48333333328</v>
      </c>
      <c r="AH600" s="42" t="s">
        <v>916</v>
      </c>
      <c r="AI600" s="32" t="e">
        <f>VLOOKUP(A600,'4月明細'!B:B,1,0)</f>
        <v>#N/A</v>
      </c>
    </row>
    <row r="601" spans="1:35" ht="19.95" customHeight="1" x14ac:dyDescent="0.3">
      <c r="A601" s="33" t="s">
        <v>514</v>
      </c>
      <c r="B601" s="34">
        <v>46076.59851851852</v>
      </c>
      <c r="C601" s="34" t="str">
        <f t="shared" si="22"/>
        <v>202602</v>
      </c>
      <c r="D601" s="35" t="s">
        <v>2310</v>
      </c>
      <c r="E601" s="36" t="s">
        <v>1149</v>
      </c>
      <c r="F601" s="36" t="s">
        <v>2441</v>
      </c>
      <c r="G601" s="37" t="s">
        <v>2442</v>
      </c>
      <c r="H601" s="36" t="s">
        <v>1023</v>
      </c>
      <c r="I601" s="35" t="s">
        <v>2443</v>
      </c>
      <c r="J601" s="36" t="s">
        <v>938</v>
      </c>
      <c r="K601" s="33" t="s">
        <v>916</v>
      </c>
      <c r="L601" s="35" t="s">
        <v>916</v>
      </c>
      <c r="M601" s="36" t="s">
        <v>957</v>
      </c>
      <c r="N601" s="45">
        <v>46090.570138888892</v>
      </c>
      <c r="O601" s="36" t="s">
        <v>25</v>
      </c>
      <c r="P601" s="38">
        <v>13.9716203704</v>
      </c>
      <c r="Q601" s="39" t="s">
        <v>2444</v>
      </c>
      <c r="R601" s="35" t="s">
        <v>916</v>
      </c>
      <c r="S601" s="35"/>
      <c r="T601" s="35" t="s">
        <v>1624</v>
      </c>
      <c r="U601" s="40">
        <v>46077</v>
      </c>
      <c r="V601" s="41">
        <v>46153.532766203702</v>
      </c>
      <c r="W601" s="40">
        <v>46076</v>
      </c>
      <c r="X601" s="35" t="s">
        <v>916</v>
      </c>
      <c r="Y601" s="35" t="s">
        <v>916</v>
      </c>
      <c r="Z601" s="35" t="s">
        <v>916</v>
      </c>
      <c r="AA601" s="38">
        <v>335.31888888959998</v>
      </c>
      <c r="AB601" s="42" t="s">
        <v>916</v>
      </c>
      <c r="AC601" s="43" t="s">
        <v>916</v>
      </c>
      <c r="AD601" s="43" t="s">
        <v>916</v>
      </c>
      <c r="AE601" s="33" t="s">
        <v>916</v>
      </c>
      <c r="AF601" s="35" t="s">
        <v>916</v>
      </c>
      <c r="AG601" s="44">
        <v>0</v>
      </c>
      <c r="AH601" s="42" t="s">
        <v>916</v>
      </c>
      <c r="AI601" s="32" t="e">
        <f>VLOOKUP(A601,'4月明細'!B:B,1,0)</f>
        <v>#N/A</v>
      </c>
    </row>
    <row r="602" spans="1:35" ht="19.95" customHeight="1" x14ac:dyDescent="0.3">
      <c r="A602" s="33" t="s">
        <v>2445</v>
      </c>
      <c r="B602" s="34">
        <v>46076.596932870372</v>
      </c>
      <c r="C602" s="34" t="str">
        <f t="shared" si="22"/>
        <v>202602</v>
      </c>
      <c r="D602" s="35" t="s">
        <v>2310</v>
      </c>
      <c r="E602" s="36" t="s">
        <v>1149</v>
      </c>
      <c r="F602" s="36" t="s">
        <v>1316</v>
      </c>
      <c r="G602" s="37" t="s">
        <v>2446</v>
      </c>
      <c r="H602" s="36" t="s">
        <v>928</v>
      </c>
      <c r="I602" s="35" t="s">
        <v>2447</v>
      </c>
      <c r="J602" s="36" t="s">
        <v>938</v>
      </c>
      <c r="K602" s="33" t="s">
        <v>916</v>
      </c>
      <c r="L602" s="35" t="s">
        <v>916</v>
      </c>
      <c r="M602" s="36" t="s">
        <v>916</v>
      </c>
      <c r="N602" s="45">
        <v>46083.636805555558</v>
      </c>
      <c r="O602" s="36" t="s">
        <v>939</v>
      </c>
      <c r="P602" s="38">
        <v>7.0398726851999998</v>
      </c>
      <c r="Q602" s="36" t="s">
        <v>916</v>
      </c>
      <c r="R602" s="35" t="s">
        <v>916</v>
      </c>
      <c r="S602" s="35"/>
      <c r="T602" s="35" t="s">
        <v>1624</v>
      </c>
      <c r="U602" s="40">
        <v>46077</v>
      </c>
      <c r="V602" s="41">
        <v>46153.532766203702</v>
      </c>
      <c r="W602" s="40">
        <v>46076</v>
      </c>
      <c r="X602" s="40">
        <v>46153</v>
      </c>
      <c r="Y602" s="35" t="s">
        <v>916</v>
      </c>
      <c r="Z602" s="35" t="s">
        <v>916</v>
      </c>
      <c r="AA602" s="38">
        <v>168.9569444448</v>
      </c>
      <c r="AB602" s="42" t="s">
        <v>916</v>
      </c>
      <c r="AC602" s="43" t="s">
        <v>916</v>
      </c>
      <c r="AD602" s="43" t="s">
        <v>916</v>
      </c>
      <c r="AE602" s="33" t="s">
        <v>916</v>
      </c>
      <c r="AF602" s="35" t="s">
        <v>916</v>
      </c>
      <c r="AG602" s="44">
        <v>0</v>
      </c>
      <c r="AH602" s="42" t="s">
        <v>916</v>
      </c>
      <c r="AI602" s="32" t="e">
        <f>VLOOKUP(A602,'4月明細'!B:B,1,0)</f>
        <v>#N/A</v>
      </c>
    </row>
    <row r="603" spans="1:35" ht="19.95" customHeight="1" x14ac:dyDescent="0.3">
      <c r="A603" s="33" t="s">
        <v>513</v>
      </c>
      <c r="B603" s="34">
        <v>46076.59648148148</v>
      </c>
      <c r="C603" s="34" t="str">
        <f t="shared" si="22"/>
        <v>202602</v>
      </c>
      <c r="D603" s="35" t="s">
        <v>2310</v>
      </c>
      <c r="E603" s="36" t="s">
        <v>1149</v>
      </c>
      <c r="F603" s="36" t="s">
        <v>1213</v>
      </c>
      <c r="G603" s="37" t="s">
        <v>2448</v>
      </c>
      <c r="H603" s="36" t="s">
        <v>954</v>
      </c>
      <c r="I603" s="35" t="s">
        <v>2449</v>
      </c>
      <c r="J603" s="36" t="s">
        <v>938</v>
      </c>
      <c r="K603" s="33" t="s">
        <v>916</v>
      </c>
      <c r="L603" s="35" t="s">
        <v>916</v>
      </c>
      <c r="M603" s="36" t="s">
        <v>957</v>
      </c>
      <c r="N603" s="45">
        <v>46083.643055555556</v>
      </c>
      <c r="O603" s="36" t="s">
        <v>25</v>
      </c>
      <c r="P603" s="38">
        <v>7.0465740740999996</v>
      </c>
      <c r="Q603" s="39" t="s">
        <v>2450</v>
      </c>
      <c r="R603" s="35" t="s">
        <v>916</v>
      </c>
      <c r="S603" s="35"/>
      <c r="T603" s="35" t="s">
        <v>1624</v>
      </c>
      <c r="U603" s="40">
        <v>46077</v>
      </c>
      <c r="V603" s="41">
        <v>46153.532766203702</v>
      </c>
      <c r="W603" s="40">
        <v>46076</v>
      </c>
      <c r="X603" s="35" t="s">
        <v>916</v>
      </c>
      <c r="Y603" s="35" t="s">
        <v>916</v>
      </c>
      <c r="Z603" s="35" t="s">
        <v>916</v>
      </c>
      <c r="AA603" s="38">
        <v>169.11777777840001</v>
      </c>
      <c r="AB603" s="42" t="s">
        <v>916</v>
      </c>
      <c r="AC603" s="43" t="s">
        <v>916</v>
      </c>
      <c r="AD603" s="43" t="s">
        <v>916</v>
      </c>
      <c r="AE603" s="33" t="s">
        <v>916</v>
      </c>
      <c r="AF603" s="35" t="s">
        <v>916</v>
      </c>
      <c r="AG603" s="44">
        <v>0</v>
      </c>
      <c r="AH603" s="42" t="s">
        <v>916</v>
      </c>
      <c r="AI603" s="32" t="e">
        <f>VLOOKUP(A603,'4月明細'!B:B,1,0)</f>
        <v>#N/A</v>
      </c>
    </row>
    <row r="604" spans="1:35" ht="19.95" customHeight="1" x14ac:dyDescent="0.3">
      <c r="A604" s="33" t="s">
        <v>2451</v>
      </c>
      <c r="B604" s="34">
        <v>46076.595902777779</v>
      </c>
      <c r="C604" s="34" t="str">
        <f t="shared" si="22"/>
        <v>202602</v>
      </c>
      <c r="D604" s="35" t="s">
        <v>2310</v>
      </c>
      <c r="E604" s="36" t="s">
        <v>1149</v>
      </c>
      <c r="F604" s="36" t="s">
        <v>1213</v>
      </c>
      <c r="G604" s="37" t="s">
        <v>2452</v>
      </c>
      <c r="H604" s="36" t="s">
        <v>928</v>
      </c>
      <c r="I604" s="35" t="s">
        <v>2453</v>
      </c>
      <c r="J604" s="36" t="s">
        <v>938</v>
      </c>
      <c r="K604" s="33" t="s">
        <v>916</v>
      </c>
      <c r="L604" s="35" t="s">
        <v>916</v>
      </c>
      <c r="M604" s="36" t="s">
        <v>1039</v>
      </c>
      <c r="N604" s="45">
        <v>46085.836805555555</v>
      </c>
      <c r="O604" s="36" t="s">
        <v>939</v>
      </c>
      <c r="P604" s="38">
        <v>9.2409027778000006</v>
      </c>
      <c r="Q604" s="39" t="s">
        <v>2369</v>
      </c>
      <c r="R604" s="35" t="s">
        <v>916</v>
      </c>
      <c r="S604" s="35"/>
      <c r="T604" s="35" t="s">
        <v>1624</v>
      </c>
      <c r="U604" s="40">
        <v>46077</v>
      </c>
      <c r="V604" s="41">
        <v>46153.532766203702</v>
      </c>
      <c r="W604" s="40">
        <v>46076</v>
      </c>
      <c r="X604" s="40">
        <v>46153</v>
      </c>
      <c r="Y604" s="35" t="s">
        <v>916</v>
      </c>
      <c r="Z604" s="35" t="s">
        <v>916</v>
      </c>
      <c r="AA604" s="38">
        <v>221.7816666672</v>
      </c>
      <c r="AB604" s="42" t="s">
        <v>916</v>
      </c>
      <c r="AC604" s="43" t="s">
        <v>916</v>
      </c>
      <c r="AD604" s="43" t="s">
        <v>916</v>
      </c>
      <c r="AE604" s="33" t="s">
        <v>916</v>
      </c>
      <c r="AF604" s="35" t="s">
        <v>916</v>
      </c>
      <c r="AG604" s="44">
        <v>492201.53333333333</v>
      </c>
      <c r="AH604" s="42" t="s">
        <v>916</v>
      </c>
      <c r="AI604" s="32" t="e">
        <f>VLOOKUP(A604,'4月明細'!B:B,1,0)</f>
        <v>#N/A</v>
      </c>
    </row>
    <row r="605" spans="1:35" ht="19.95" customHeight="1" x14ac:dyDescent="0.3">
      <c r="A605" s="33" t="s">
        <v>472</v>
      </c>
      <c r="B605" s="34">
        <v>46076.595393518517</v>
      </c>
      <c r="C605" s="34" t="str">
        <f t="shared" si="22"/>
        <v>202602</v>
      </c>
      <c r="D605" s="35" t="s">
        <v>2310</v>
      </c>
      <c r="E605" s="36" t="s">
        <v>1149</v>
      </c>
      <c r="F605" s="36" t="s">
        <v>1213</v>
      </c>
      <c r="G605" s="37" t="s">
        <v>2454</v>
      </c>
      <c r="H605" s="36" t="s">
        <v>928</v>
      </c>
      <c r="I605" s="35" t="s">
        <v>2455</v>
      </c>
      <c r="J605" s="36" t="s">
        <v>938</v>
      </c>
      <c r="K605" s="33" t="s">
        <v>916</v>
      </c>
      <c r="L605" s="35" t="s">
        <v>916</v>
      </c>
      <c r="M605" s="36" t="s">
        <v>957</v>
      </c>
      <c r="N605" s="45">
        <v>46077.398611111108</v>
      </c>
      <c r="O605" s="36" t="s">
        <v>25</v>
      </c>
      <c r="P605" s="38">
        <v>0.80321759260000003</v>
      </c>
      <c r="Q605" s="39" t="s">
        <v>2440</v>
      </c>
      <c r="R605" s="35" t="s">
        <v>916</v>
      </c>
      <c r="S605" s="35"/>
      <c r="T605" s="35" t="s">
        <v>1624</v>
      </c>
      <c r="U605" s="40">
        <v>46077</v>
      </c>
      <c r="V605" s="41">
        <v>46153.532766203702</v>
      </c>
      <c r="W605" s="40">
        <v>46076</v>
      </c>
      <c r="X605" s="35" t="s">
        <v>916</v>
      </c>
      <c r="Y605" s="35" t="s">
        <v>916</v>
      </c>
      <c r="Z605" s="35" t="s">
        <v>916</v>
      </c>
      <c r="AA605" s="38">
        <v>19.277222222399999</v>
      </c>
      <c r="AB605" s="42" t="s">
        <v>916</v>
      </c>
      <c r="AC605" s="43" t="s">
        <v>916</v>
      </c>
      <c r="AD605" s="43" t="s">
        <v>916</v>
      </c>
      <c r="AE605" s="33" t="s">
        <v>916</v>
      </c>
      <c r="AF605" s="35" t="s">
        <v>916</v>
      </c>
      <c r="AG605" s="44">
        <v>492201.56666666671</v>
      </c>
      <c r="AH605" s="42" t="s">
        <v>916</v>
      </c>
      <c r="AI605" s="32" t="e">
        <f>VLOOKUP(A605,'4月明細'!B:B,1,0)</f>
        <v>#N/A</v>
      </c>
    </row>
    <row r="606" spans="1:35" ht="19.95" customHeight="1" x14ac:dyDescent="0.3">
      <c r="A606" s="33" t="s">
        <v>2456</v>
      </c>
      <c r="B606" s="34">
        <v>46076.594930555555</v>
      </c>
      <c r="C606" s="34" t="str">
        <f t="shared" si="22"/>
        <v>202602</v>
      </c>
      <c r="D606" s="35" t="s">
        <v>2310</v>
      </c>
      <c r="E606" s="36" t="s">
        <v>1149</v>
      </c>
      <c r="F606" s="36" t="s">
        <v>1133</v>
      </c>
      <c r="G606" s="37" t="s">
        <v>2448</v>
      </c>
      <c r="H606" s="36" t="s">
        <v>954</v>
      </c>
      <c r="I606" s="35" t="s">
        <v>2457</v>
      </c>
      <c r="J606" s="36" t="s">
        <v>938</v>
      </c>
      <c r="K606" s="33" t="s">
        <v>916</v>
      </c>
      <c r="L606" s="35" t="s">
        <v>916</v>
      </c>
      <c r="M606" s="36" t="s">
        <v>957</v>
      </c>
      <c r="N606" s="45">
        <v>46090.570833333331</v>
      </c>
      <c r="O606" s="36" t="s">
        <v>939</v>
      </c>
      <c r="P606" s="38">
        <v>13.9759027778</v>
      </c>
      <c r="Q606" s="39" t="s">
        <v>2458</v>
      </c>
      <c r="R606" s="35" t="s">
        <v>916</v>
      </c>
      <c r="S606" s="35"/>
      <c r="T606" s="35" t="s">
        <v>1624</v>
      </c>
      <c r="U606" s="40">
        <v>46077</v>
      </c>
      <c r="V606" s="41">
        <v>46153.532766203702</v>
      </c>
      <c r="W606" s="40">
        <v>46076</v>
      </c>
      <c r="X606" s="40">
        <v>46153</v>
      </c>
      <c r="Y606" s="35" t="s">
        <v>916</v>
      </c>
      <c r="Z606" s="35" t="s">
        <v>916</v>
      </c>
      <c r="AA606" s="38">
        <v>335.42166666719999</v>
      </c>
      <c r="AB606" s="42" t="s">
        <v>916</v>
      </c>
      <c r="AC606" s="43" t="s">
        <v>916</v>
      </c>
      <c r="AD606" s="43" t="s">
        <v>916</v>
      </c>
      <c r="AE606" s="33" t="s">
        <v>916</v>
      </c>
      <c r="AF606" s="35" t="s">
        <v>916</v>
      </c>
      <c r="AG606" s="44">
        <v>0</v>
      </c>
      <c r="AH606" s="42" t="s">
        <v>916</v>
      </c>
      <c r="AI606" s="32" t="e">
        <f>VLOOKUP(A606,'4月明細'!B:B,1,0)</f>
        <v>#N/A</v>
      </c>
    </row>
    <row r="607" spans="1:35" ht="19.95" customHeight="1" x14ac:dyDescent="0.3">
      <c r="A607" s="33" t="s">
        <v>512</v>
      </c>
      <c r="B607" s="34">
        <v>46076.594131944446</v>
      </c>
      <c r="C607" s="34" t="str">
        <f t="shared" si="22"/>
        <v>202602</v>
      </c>
      <c r="D607" s="35" t="s">
        <v>2310</v>
      </c>
      <c r="E607" s="36" t="s">
        <v>1149</v>
      </c>
      <c r="F607" s="36" t="s">
        <v>1133</v>
      </c>
      <c r="G607" s="37" t="s">
        <v>2459</v>
      </c>
      <c r="H607" s="36" t="s">
        <v>928</v>
      </c>
      <c r="I607" s="35" t="s">
        <v>2460</v>
      </c>
      <c r="J607" s="36" t="s">
        <v>938</v>
      </c>
      <c r="K607" s="33" t="s">
        <v>916</v>
      </c>
      <c r="L607" s="35" t="s">
        <v>916</v>
      </c>
      <c r="M607" s="36" t="s">
        <v>957</v>
      </c>
      <c r="N607" s="45">
        <v>46083.638194444444</v>
      </c>
      <c r="O607" s="36" t="s">
        <v>25</v>
      </c>
      <c r="P607" s="38">
        <v>7.0440624999999999</v>
      </c>
      <c r="Q607" s="39" t="s">
        <v>2461</v>
      </c>
      <c r="R607" s="35" t="s">
        <v>916</v>
      </c>
      <c r="S607" s="35"/>
      <c r="T607" s="35" t="s">
        <v>1624</v>
      </c>
      <c r="U607" s="40">
        <v>46077</v>
      </c>
      <c r="V607" s="41">
        <v>46153.532766203702</v>
      </c>
      <c r="W607" s="40">
        <v>46076</v>
      </c>
      <c r="X607" s="35" t="s">
        <v>916</v>
      </c>
      <c r="Y607" s="35" t="s">
        <v>916</v>
      </c>
      <c r="Z607" s="35" t="s">
        <v>916</v>
      </c>
      <c r="AA607" s="38">
        <v>169.0575</v>
      </c>
      <c r="AB607" s="42" t="s">
        <v>916</v>
      </c>
      <c r="AC607" s="43" t="s">
        <v>916</v>
      </c>
      <c r="AD607" s="43" t="s">
        <v>916</v>
      </c>
      <c r="AE607" s="33" t="s">
        <v>916</v>
      </c>
      <c r="AF607" s="35" t="s">
        <v>916</v>
      </c>
      <c r="AG607" s="44">
        <v>0</v>
      </c>
      <c r="AH607" s="42" t="s">
        <v>916</v>
      </c>
      <c r="AI607" s="32" t="e">
        <f>VLOOKUP(A607,'4月明細'!B:B,1,0)</f>
        <v>#N/A</v>
      </c>
    </row>
    <row r="608" spans="1:35" ht="19.95" customHeight="1" x14ac:dyDescent="0.3">
      <c r="A608" s="33" t="s">
        <v>2462</v>
      </c>
      <c r="B608" s="34">
        <v>46076.593495370369</v>
      </c>
      <c r="C608" s="34" t="str">
        <f t="shared" si="22"/>
        <v>202602</v>
      </c>
      <c r="D608" s="35" t="s">
        <v>2310</v>
      </c>
      <c r="E608" s="36" t="s">
        <v>1149</v>
      </c>
      <c r="F608" s="36" t="s">
        <v>2039</v>
      </c>
      <c r="G608" s="37" t="s">
        <v>2463</v>
      </c>
      <c r="H608" s="36" t="s">
        <v>928</v>
      </c>
      <c r="I608" s="35" t="s">
        <v>2464</v>
      </c>
      <c r="J608" s="36" t="s">
        <v>938</v>
      </c>
      <c r="K608" s="33" t="s">
        <v>916</v>
      </c>
      <c r="L608" s="35" t="s">
        <v>916</v>
      </c>
      <c r="M608" s="36" t="s">
        <v>1039</v>
      </c>
      <c r="N608" s="45">
        <v>46077.397916666669</v>
      </c>
      <c r="O608" s="36" t="s">
        <v>1384</v>
      </c>
      <c r="P608" s="38">
        <v>0.80442129630000003</v>
      </c>
      <c r="Q608" s="39" t="s">
        <v>2316</v>
      </c>
      <c r="R608" s="35" t="s">
        <v>916</v>
      </c>
      <c r="S608" s="35"/>
      <c r="T608" s="35" t="s">
        <v>1624</v>
      </c>
      <c r="U608" s="40">
        <v>46077</v>
      </c>
      <c r="V608" s="41">
        <v>46153.532766203702</v>
      </c>
      <c r="W608" s="40">
        <v>46076</v>
      </c>
      <c r="X608" s="35" t="s">
        <v>916</v>
      </c>
      <c r="Y608" s="35" t="s">
        <v>916</v>
      </c>
      <c r="Z608" s="35" t="s">
        <v>916</v>
      </c>
      <c r="AA608" s="38">
        <v>19.3061111112</v>
      </c>
      <c r="AB608" s="42" t="s">
        <v>916</v>
      </c>
      <c r="AC608" s="43" t="s">
        <v>916</v>
      </c>
      <c r="AD608" s="43" t="s">
        <v>916</v>
      </c>
      <c r="AE608" s="33" t="s">
        <v>916</v>
      </c>
      <c r="AF608" s="35" t="s">
        <v>916</v>
      </c>
      <c r="AG608" s="44">
        <v>492201.55</v>
      </c>
      <c r="AH608" s="42" t="s">
        <v>916</v>
      </c>
      <c r="AI608" s="32" t="e">
        <f>VLOOKUP(A608,'4月明細'!B:B,1,0)</f>
        <v>#N/A</v>
      </c>
    </row>
    <row r="609" spans="1:35" ht="19.95" customHeight="1" x14ac:dyDescent="0.3">
      <c r="A609" s="33" t="s">
        <v>511</v>
      </c>
      <c r="B609" s="34">
        <v>46076.586168981485</v>
      </c>
      <c r="C609" s="34" t="str">
        <f t="shared" si="22"/>
        <v>202602</v>
      </c>
      <c r="D609" s="35" t="s">
        <v>2310</v>
      </c>
      <c r="E609" s="36" t="s">
        <v>1149</v>
      </c>
      <c r="F609" s="36" t="s">
        <v>935</v>
      </c>
      <c r="G609" s="37" t="s">
        <v>2465</v>
      </c>
      <c r="H609" s="36" t="s">
        <v>928</v>
      </c>
      <c r="I609" s="35" t="s">
        <v>2466</v>
      </c>
      <c r="J609" s="36" t="s">
        <v>938</v>
      </c>
      <c r="K609" s="33" t="s">
        <v>916</v>
      </c>
      <c r="L609" s="35" t="s">
        <v>916</v>
      </c>
      <c r="M609" s="36" t="s">
        <v>957</v>
      </c>
      <c r="N609" s="45">
        <v>46083.638888888891</v>
      </c>
      <c r="O609" s="36" t="s">
        <v>25</v>
      </c>
      <c r="P609" s="38">
        <v>7.0527199074000002</v>
      </c>
      <c r="Q609" s="39" t="s">
        <v>2199</v>
      </c>
      <c r="R609" s="35" t="s">
        <v>916</v>
      </c>
      <c r="S609" s="35"/>
      <c r="T609" s="35" t="s">
        <v>1624</v>
      </c>
      <c r="U609" s="40">
        <v>46077</v>
      </c>
      <c r="V609" s="41">
        <v>46153.532766203702</v>
      </c>
      <c r="W609" s="40">
        <v>46076</v>
      </c>
      <c r="X609" s="35" t="s">
        <v>916</v>
      </c>
      <c r="Y609" s="35" t="s">
        <v>916</v>
      </c>
      <c r="Z609" s="35" t="s">
        <v>916</v>
      </c>
      <c r="AA609" s="38">
        <v>169.26527777760001</v>
      </c>
      <c r="AB609" s="42" t="s">
        <v>916</v>
      </c>
      <c r="AC609" s="43" t="s">
        <v>916</v>
      </c>
      <c r="AD609" s="43" t="s">
        <v>916</v>
      </c>
      <c r="AE609" s="33" t="s">
        <v>916</v>
      </c>
      <c r="AF609" s="35" t="s">
        <v>916</v>
      </c>
      <c r="AG609" s="44">
        <v>0</v>
      </c>
      <c r="AH609" s="42" t="s">
        <v>916</v>
      </c>
      <c r="AI609" s="32" t="e">
        <f>VLOOKUP(A609,'4月明細'!B:B,1,0)</f>
        <v>#N/A</v>
      </c>
    </row>
    <row r="610" spans="1:35" ht="19.95" customHeight="1" x14ac:dyDescent="0.3">
      <c r="A610" s="33" t="s">
        <v>471</v>
      </c>
      <c r="B610" s="34">
        <v>46076.588356481479</v>
      </c>
      <c r="C610" s="34" t="str">
        <f t="shared" si="22"/>
        <v>202602</v>
      </c>
      <c r="D610" s="35" t="s">
        <v>996</v>
      </c>
      <c r="E610" s="36" t="s">
        <v>910</v>
      </c>
      <c r="F610" s="36" t="s">
        <v>1568</v>
      </c>
      <c r="G610" s="37" t="s">
        <v>2467</v>
      </c>
      <c r="H610" s="36" t="s">
        <v>1023</v>
      </c>
      <c r="I610" s="35"/>
      <c r="J610" s="36" t="s">
        <v>914</v>
      </c>
      <c r="K610" s="33" t="s">
        <v>916</v>
      </c>
      <c r="L610" s="35" t="s">
        <v>916</v>
      </c>
      <c r="M610" s="36" t="s">
        <v>957</v>
      </c>
      <c r="N610" s="45">
        <v>46077.404166666667</v>
      </c>
      <c r="O610" s="36" t="s">
        <v>25</v>
      </c>
      <c r="P610" s="38">
        <v>0.81581018520000004</v>
      </c>
      <c r="Q610" s="39" t="s">
        <v>2468</v>
      </c>
      <c r="R610" s="35" t="s">
        <v>916</v>
      </c>
      <c r="S610" s="35"/>
      <c r="T610" s="35" t="s">
        <v>1624</v>
      </c>
      <c r="U610" s="40">
        <v>46077</v>
      </c>
      <c r="V610" s="41">
        <v>46153.532766203702</v>
      </c>
      <c r="W610" s="40">
        <v>46076</v>
      </c>
      <c r="X610" s="35" t="s">
        <v>916</v>
      </c>
      <c r="Y610" s="35" t="s">
        <v>916</v>
      </c>
      <c r="Z610" s="35" t="s">
        <v>916</v>
      </c>
      <c r="AA610" s="38">
        <v>19.5794444448</v>
      </c>
      <c r="AB610" s="42" t="s">
        <v>916</v>
      </c>
      <c r="AC610" s="43" t="s">
        <v>916</v>
      </c>
      <c r="AD610" s="43" t="s">
        <v>916</v>
      </c>
      <c r="AE610" s="33" t="s">
        <v>916</v>
      </c>
      <c r="AF610" s="35" t="s">
        <v>916</v>
      </c>
      <c r="AG610" s="44">
        <v>0</v>
      </c>
      <c r="AH610" s="42" t="s">
        <v>916</v>
      </c>
      <c r="AI610" s="32" t="e">
        <f>VLOOKUP(A610,'4月明細'!B:B,1,0)</f>
        <v>#N/A</v>
      </c>
    </row>
    <row r="611" spans="1:35" ht="19.95" customHeight="1" x14ac:dyDescent="0.3">
      <c r="A611" s="33" t="s">
        <v>2469</v>
      </c>
      <c r="B611" s="34">
        <v>46076.585231481484</v>
      </c>
      <c r="C611" s="34" t="str">
        <f t="shared" si="22"/>
        <v>202602</v>
      </c>
      <c r="D611" s="35" t="s">
        <v>2310</v>
      </c>
      <c r="E611" s="36" t="s">
        <v>1149</v>
      </c>
      <c r="F611" s="36" t="s">
        <v>1686</v>
      </c>
      <c r="G611" s="37" t="s">
        <v>2452</v>
      </c>
      <c r="H611" s="36" t="s">
        <v>928</v>
      </c>
      <c r="I611" s="35" t="s">
        <v>2470</v>
      </c>
      <c r="J611" s="36" t="s">
        <v>938</v>
      </c>
      <c r="K611" s="33" t="s">
        <v>916</v>
      </c>
      <c r="L611" s="35" t="s">
        <v>916</v>
      </c>
      <c r="M611" s="36" t="s">
        <v>1039</v>
      </c>
      <c r="N611" s="45">
        <v>46085.836805555555</v>
      </c>
      <c r="O611" s="36" t="s">
        <v>939</v>
      </c>
      <c r="P611" s="38">
        <v>9.2515740741000005</v>
      </c>
      <c r="Q611" s="39" t="s">
        <v>2369</v>
      </c>
      <c r="R611" s="35" t="s">
        <v>916</v>
      </c>
      <c r="S611" s="35"/>
      <c r="T611" s="35" t="s">
        <v>1624</v>
      </c>
      <c r="U611" s="40">
        <v>46077</v>
      </c>
      <c r="V611" s="41">
        <v>46153.532766203702</v>
      </c>
      <c r="W611" s="40">
        <v>46076</v>
      </c>
      <c r="X611" s="40">
        <v>46153</v>
      </c>
      <c r="Y611" s="35" t="s">
        <v>916</v>
      </c>
      <c r="Z611" s="35" t="s">
        <v>916</v>
      </c>
      <c r="AA611" s="38">
        <v>222.0377777784</v>
      </c>
      <c r="AB611" s="42" t="s">
        <v>916</v>
      </c>
      <c r="AC611" s="43" t="s">
        <v>916</v>
      </c>
      <c r="AD611" s="43" t="s">
        <v>916</v>
      </c>
      <c r="AE611" s="33" t="s">
        <v>916</v>
      </c>
      <c r="AF611" s="35" t="s">
        <v>916</v>
      </c>
      <c r="AG611" s="44">
        <v>492201.58333333331</v>
      </c>
      <c r="AH611" s="42" t="s">
        <v>916</v>
      </c>
      <c r="AI611" s="32" t="e">
        <f>VLOOKUP(A611,'4月明細'!B:B,1,0)</f>
        <v>#N/A</v>
      </c>
    </row>
    <row r="612" spans="1:35" ht="19.95" customHeight="1" x14ac:dyDescent="0.3">
      <c r="A612" s="33" t="s">
        <v>510</v>
      </c>
      <c r="B612" s="34">
        <v>46076.583495370367</v>
      </c>
      <c r="C612" s="34" t="str">
        <f t="shared" si="22"/>
        <v>202602</v>
      </c>
      <c r="D612" s="35" t="s">
        <v>2310</v>
      </c>
      <c r="E612" s="36" t="s">
        <v>1149</v>
      </c>
      <c r="F612" s="36" t="s">
        <v>1316</v>
      </c>
      <c r="G612" s="37" t="s">
        <v>2471</v>
      </c>
      <c r="H612" s="36" t="s">
        <v>954</v>
      </c>
      <c r="I612" s="35" t="s">
        <v>2472</v>
      </c>
      <c r="J612" s="36" t="s">
        <v>938</v>
      </c>
      <c r="K612" s="33" t="s">
        <v>916</v>
      </c>
      <c r="L612" s="35" t="s">
        <v>916</v>
      </c>
      <c r="M612" s="36" t="s">
        <v>957</v>
      </c>
      <c r="N612" s="45">
        <v>46083.63958333333</v>
      </c>
      <c r="O612" s="36" t="s">
        <v>25</v>
      </c>
      <c r="P612" s="38">
        <v>7.0560879630000004</v>
      </c>
      <c r="Q612" s="39" t="s">
        <v>2307</v>
      </c>
      <c r="R612" s="35" t="s">
        <v>916</v>
      </c>
      <c r="S612" s="35"/>
      <c r="T612" s="35" t="s">
        <v>1624</v>
      </c>
      <c r="U612" s="40">
        <v>46077</v>
      </c>
      <c r="V612" s="41">
        <v>46153.532766203702</v>
      </c>
      <c r="W612" s="40">
        <v>46076</v>
      </c>
      <c r="X612" s="35" t="s">
        <v>916</v>
      </c>
      <c r="Y612" s="35" t="s">
        <v>916</v>
      </c>
      <c r="Z612" s="35" t="s">
        <v>916</v>
      </c>
      <c r="AA612" s="38">
        <v>169.34611111199999</v>
      </c>
      <c r="AB612" s="42" t="s">
        <v>916</v>
      </c>
      <c r="AC612" s="43" t="s">
        <v>916</v>
      </c>
      <c r="AD612" s="43" t="s">
        <v>916</v>
      </c>
      <c r="AE612" s="33" t="s">
        <v>916</v>
      </c>
      <c r="AF612" s="35" t="s">
        <v>916</v>
      </c>
      <c r="AG612" s="44">
        <v>0</v>
      </c>
      <c r="AH612" s="42" t="s">
        <v>916</v>
      </c>
      <c r="AI612" s="32" t="e">
        <f>VLOOKUP(A612,'4月明細'!B:B,1,0)</f>
        <v>#N/A</v>
      </c>
    </row>
    <row r="613" spans="1:35" ht="19.95" customHeight="1" x14ac:dyDescent="0.3">
      <c r="A613" s="33" t="s">
        <v>470</v>
      </c>
      <c r="B613" s="34">
        <v>46076.584074074075</v>
      </c>
      <c r="C613" s="34" t="str">
        <f t="shared" si="22"/>
        <v>202602</v>
      </c>
      <c r="D613" s="35" t="s">
        <v>909</v>
      </c>
      <c r="E613" s="36" t="s">
        <v>910</v>
      </c>
      <c r="F613" s="36" t="s">
        <v>2039</v>
      </c>
      <c r="G613" s="37" t="s">
        <v>2473</v>
      </c>
      <c r="H613" s="36" t="s">
        <v>928</v>
      </c>
      <c r="I613" s="35" t="s">
        <v>2474</v>
      </c>
      <c r="J613" s="36" t="s">
        <v>929</v>
      </c>
      <c r="K613" s="33" t="s">
        <v>916</v>
      </c>
      <c r="L613" s="35" t="s">
        <v>916</v>
      </c>
      <c r="M613" s="36" t="s">
        <v>923</v>
      </c>
      <c r="N613" s="45">
        <v>46078.44027777778</v>
      </c>
      <c r="O613" s="36" t="s">
        <v>25</v>
      </c>
      <c r="P613" s="38">
        <v>1.8562037037000001</v>
      </c>
      <c r="Q613" s="39" t="s">
        <v>2475</v>
      </c>
      <c r="R613" s="35" t="s">
        <v>916</v>
      </c>
      <c r="S613" s="35" t="s">
        <v>2476</v>
      </c>
      <c r="T613" s="35" t="s">
        <v>1624</v>
      </c>
      <c r="U613" s="40">
        <v>46077</v>
      </c>
      <c r="V613" s="41">
        <v>46153.532766203702</v>
      </c>
      <c r="W613" s="40">
        <v>46076</v>
      </c>
      <c r="X613" s="35" t="s">
        <v>916</v>
      </c>
      <c r="Y613" s="35" t="s">
        <v>916</v>
      </c>
      <c r="Z613" s="35" t="s">
        <v>916</v>
      </c>
      <c r="AA613" s="38">
        <v>44.548888888800001</v>
      </c>
      <c r="AB613" s="42" t="s">
        <v>916</v>
      </c>
      <c r="AC613" s="43" t="s">
        <v>916</v>
      </c>
      <c r="AD613" s="43" t="s">
        <v>916</v>
      </c>
      <c r="AE613" s="33" t="s">
        <v>916</v>
      </c>
      <c r="AF613" s="35" t="s">
        <v>916</v>
      </c>
      <c r="AG613" s="44">
        <v>0</v>
      </c>
      <c r="AH613" s="42" t="s">
        <v>916</v>
      </c>
      <c r="AI613" s="32" t="e">
        <f>VLOOKUP(A613,'4月明細'!B:B,1,0)</f>
        <v>#N/A</v>
      </c>
    </row>
    <row r="614" spans="1:35" ht="19.95" customHeight="1" x14ac:dyDescent="0.3">
      <c r="A614" s="33" t="s">
        <v>509</v>
      </c>
      <c r="B614" s="34">
        <v>46076.582696759258</v>
      </c>
      <c r="C614" s="34" t="str">
        <f t="shared" si="22"/>
        <v>202602</v>
      </c>
      <c r="D614" s="35" t="s">
        <v>2310</v>
      </c>
      <c r="E614" s="36" t="s">
        <v>1149</v>
      </c>
      <c r="F614" s="36" t="s">
        <v>1316</v>
      </c>
      <c r="G614" s="37" t="s">
        <v>2477</v>
      </c>
      <c r="H614" s="36" t="s">
        <v>928</v>
      </c>
      <c r="I614" s="35" t="s">
        <v>2478</v>
      </c>
      <c r="J614" s="36" t="s">
        <v>938</v>
      </c>
      <c r="K614" s="33" t="s">
        <v>916</v>
      </c>
      <c r="L614" s="35" t="s">
        <v>916</v>
      </c>
      <c r="M614" s="36" t="s">
        <v>957</v>
      </c>
      <c r="N614" s="45">
        <v>46083.63958333333</v>
      </c>
      <c r="O614" s="36" t="s">
        <v>25</v>
      </c>
      <c r="P614" s="38">
        <v>7.0568865741</v>
      </c>
      <c r="Q614" s="39" t="s">
        <v>2171</v>
      </c>
      <c r="R614" s="35" t="s">
        <v>916</v>
      </c>
      <c r="S614" s="35"/>
      <c r="T614" s="35" t="s">
        <v>1624</v>
      </c>
      <c r="U614" s="40">
        <v>46077</v>
      </c>
      <c r="V614" s="41">
        <v>46153.532766203702</v>
      </c>
      <c r="W614" s="40">
        <v>46076</v>
      </c>
      <c r="X614" s="35" t="s">
        <v>916</v>
      </c>
      <c r="Y614" s="35" t="s">
        <v>916</v>
      </c>
      <c r="Z614" s="35" t="s">
        <v>916</v>
      </c>
      <c r="AA614" s="38">
        <v>169.36527777840001</v>
      </c>
      <c r="AB614" s="42" t="s">
        <v>916</v>
      </c>
      <c r="AC614" s="43" t="s">
        <v>916</v>
      </c>
      <c r="AD614" s="43" t="s">
        <v>916</v>
      </c>
      <c r="AE614" s="33" t="s">
        <v>916</v>
      </c>
      <c r="AF614" s="35" t="s">
        <v>916</v>
      </c>
      <c r="AG614" s="44">
        <v>0</v>
      </c>
      <c r="AH614" s="42" t="s">
        <v>916</v>
      </c>
      <c r="AI614" s="32" t="e">
        <f>VLOOKUP(A614,'4月明細'!B:B,1,0)</f>
        <v>#N/A</v>
      </c>
    </row>
    <row r="615" spans="1:35" ht="19.95" customHeight="1" x14ac:dyDescent="0.3">
      <c r="A615" s="33" t="s">
        <v>469</v>
      </c>
      <c r="B615" s="34">
        <v>46076.582245370373</v>
      </c>
      <c r="C615" s="34" t="str">
        <f t="shared" si="22"/>
        <v>202602</v>
      </c>
      <c r="D615" s="35" t="s">
        <v>1587</v>
      </c>
      <c r="E615" s="36" t="s">
        <v>942</v>
      </c>
      <c r="F615" s="36" t="s">
        <v>1282</v>
      </c>
      <c r="G615" s="37" t="s">
        <v>2479</v>
      </c>
      <c r="H615" s="36" t="s">
        <v>913</v>
      </c>
      <c r="I615" s="35"/>
      <c r="J615" s="36" t="s">
        <v>938</v>
      </c>
      <c r="K615" s="33" t="s">
        <v>916</v>
      </c>
      <c r="L615" s="35" t="s">
        <v>916</v>
      </c>
      <c r="M615" s="36" t="s">
        <v>923</v>
      </c>
      <c r="N615" s="45">
        <v>46078.440972222219</v>
      </c>
      <c r="O615" s="36" t="s">
        <v>25</v>
      </c>
      <c r="P615" s="38">
        <v>1.8587268519</v>
      </c>
      <c r="Q615" s="39" t="s">
        <v>2307</v>
      </c>
      <c r="R615" s="46" t="s">
        <v>2480</v>
      </c>
      <c r="S615" s="35"/>
      <c r="T615" s="35" t="s">
        <v>1624</v>
      </c>
      <c r="U615" s="40">
        <v>46077</v>
      </c>
      <c r="V615" s="41">
        <v>46153.532766203702</v>
      </c>
      <c r="W615" s="40">
        <v>46076</v>
      </c>
      <c r="X615" s="35" t="s">
        <v>916</v>
      </c>
      <c r="Y615" s="35" t="s">
        <v>916</v>
      </c>
      <c r="Z615" s="35" t="s">
        <v>916</v>
      </c>
      <c r="AA615" s="38">
        <v>44.609444445599998</v>
      </c>
      <c r="AB615" s="42" t="s">
        <v>916</v>
      </c>
      <c r="AC615" s="43" t="s">
        <v>916</v>
      </c>
      <c r="AD615" s="43" t="s">
        <v>916</v>
      </c>
      <c r="AE615" s="33" t="s">
        <v>916</v>
      </c>
      <c r="AF615" s="35" t="s">
        <v>916</v>
      </c>
      <c r="AG615" s="44">
        <v>492226.58333333337</v>
      </c>
      <c r="AH615" s="42" t="s">
        <v>916</v>
      </c>
      <c r="AI615" s="32" t="e">
        <f>VLOOKUP(A615,'4月明細'!B:B,1,0)</f>
        <v>#N/A</v>
      </c>
    </row>
    <row r="616" spans="1:35" ht="19.95" customHeight="1" x14ac:dyDescent="0.3">
      <c r="A616" s="33" t="s">
        <v>468</v>
      </c>
      <c r="B616" s="34">
        <v>46076.582025462965</v>
      </c>
      <c r="C616" s="34" t="str">
        <f t="shared" si="22"/>
        <v>202602</v>
      </c>
      <c r="D616" s="35" t="s">
        <v>2310</v>
      </c>
      <c r="E616" s="36" t="s">
        <v>1149</v>
      </c>
      <c r="F616" s="36" t="s">
        <v>1479</v>
      </c>
      <c r="G616" s="37" t="s">
        <v>2481</v>
      </c>
      <c r="H616" s="36" t="s">
        <v>928</v>
      </c>
      <c r="I616" s="35" t="s">
        <v>2482</v>
      </c>
      <c r="J616" s="36" t="s">
        <v>938</v>
      </c>
      <c r="K616" s="33" t="s">
        <v>916</v>
      </c>
      <c r="L616" s="35" t="s">
        <v>916</v>
      </c>
      <c r="M616" s="36" t="s">
        <v>957</v>
      </c>
      <c r="N616" s="45">
        <v>46078.43472222222</v>
      </c>
      <c r="O616" s="36" t="s">
        <v>25</v>
      </c>
      <c r="P616" s="38">
        <v>1.8526967593000001</v>
      </c>
      <c r="Q616" s="39" t="s">
        <v>2483</v>
      </c>
      <c r="R616" s="35" t="s">
        <v>916</v>
      </c>
      <c r="S616" s="35" t="s">
        <v>2484</v>
      </c>
      <c r="T616" s="35" t="s">
        <v>1624</v>
      </c>
      <c r="U616" s="40">
        <v>46077</v>
      </c>
      <c r="V616" s="41">
        <v>46153.532766203702</v>
      </c>
      <c r="W616" s="40">
        <v>46076</v>
      </c>
      <c r="X616" s="35" t="s">
        <v>916</v>
      </c>
      <c r="Y616" s="35" t="s">
        <v>916</v>
      </c>
      <c r="Z616" s="35" t="s">
        <v>916</v>
      </c>
      <c r="AA616" s="38">
        <v>44.464722223199999</v>
      </c>
      <c r="AB616" s="42" t="s">
        <v>916</v>
      </c>
      <c r="AC616" s="43" t="s">
        <v>916</v>
      </c>
      <c r="AD616" s="43" t="s">
        <v>916</v>
      </c>
      <c r="AE616" s="33" t="s">
        <v>916</v>
      </c>
      <c r="AF616" s="35" t="s">
        <v>916</v>
      </c>
      <c r="AG616" s="44">
        <v>492226.43333333329</v>
      </c>
      <c r="AH616" s="42" t="s">
        <v>916</v>
      </c>
      <c r="AI616" s="32" t="e">
        <f>VLOOKUP(A616,'4月明細'!B:B,1,0)</f>
        <v>#N/A</v>
      </c>
    </row>
    <row r="617" spans="1:35" ht="19.95" customHeight="1" x14ac:dyDescent="0.3">
      <c r="A617" s="33" t="s">
        <v>2485</v>
      </c>
      <c r="B617" s="34">
        <v>46076.580231481479</v>
      </c>
      <c r="C617" s="34" t="str">
        <f t="shared" si="22"/>
        <v>202602</v>
      </c>
      <c r="D617" s="35" t="s">
        <v>2310</v>
      </c>
      <c r="E617" s="36" t="s">
        <v>1149</v>
      </c>
      <c r="F617" s="36" t="s">
        <v>1441</v>
      </c>
      <c r="G617" s="37" t="s">
        <v>2486</v>
      </c>
      <c r="H617" s="36" t="s">
        <v>928</v>
      </c>
      <c r="I617" s="35" t="s">
        <v>2487</v>
      </c>
      <c r="J617" s="36" t="s">
        <v>938</v>
      </c>
      <c r="K617" s="33" t="s">
        <v>916</v>
      </c>
      <c r="L617" s="35" t="s">
        <v>916</v>
      </c>
      <c r="M617" s="36" t="s">
        <v>1039</v>
      </c>
      <c r="N617" s="45">
        <v>46077.397916666669</v>
      </c>
      <c r="O617" s="36" t="s">
        <v>1384</v>
      </c>
      <c r="P617" s="38">
        <v>0.8176851852</v>
      </c>
      <c r="Q617" s="39" t="s">
        <v>2316</v>
      </c>
      <c r="R617" s="35" t="s">
        <v>916</v>
      </c>
      <c r="S617" s="35"/>
      <c r="T617" s="35" t="s">
        <v>1624</v>
      </c>
      <c r="U617" s="40">
        <v>46077</v>
      </c>
      <c r="V617" s="41">
        <v>46153.532766203702</v>
      </c>
      <c r="W617" s="40">
        <v>46076</v>
      </c>
      <c r="X617" s="35" t="s">
        <v>916</v>
      </c>
      <c r="Y617" s="35" t="s">
        <v>916</v>
      </c>
      <c r="Z617" s="35" t="s">
        <v>916</v>
      </c>
      <c r="AA617" s="38">
        <v>19.624444444800002</v>
      </c>
      <c r="AB617" s="42" t="s">
        <v>916</v>
      </c>
      <c r="AC617" s="43" t="s">
        <v>916</v>
      </c>
      <c r="AD617" s="43" t="s">
        <v>916</v>
      </c>
      <c r="AE617" s="33" t="s">
        <v>916</v>
      </c>
      <c r="AF617" s="35" t="s">
        <v>916</v>
      </c>
      <c r="AG617" s="44">
        <v>492201.55</v>
      </c>
      <c r="AH617" s="42" t="s">
        <v>916</v>
      </c>
      <c r="AI617" s="32" t="e">
        <f>VLOOKUP(A617,'4月明細'!B:B,1,0)</f>
        <v>#N/A</v>
      </c>
    </row>
    <row r="618" spans="1:35" ht="19.95" customHeight="1" x14ac:dyDescent="0.3">
      <c r="A618" s="33" t="s">
        <v>2488</v>
      </c>
      <c r="B618" s="34">
        <v>46076.579664351855</v>
      </c>
      <c r="C618" s="34" t="str">
        <f t="shared" si="22"/>
        <v>202602</v>
      </c>
      <c r="D618" s="35" t="s">
        <v>2310</v>
      </c>
      <c r="E618" s="36" t="s">
        <v>1149</v>
      </c>
      <c r="F618" s="36" t="s">
        <v>1584</v>
      </c>
      <c r="G618" s="37" t="s">
        <v>2489</v>
      </c>
      <c r="H618" s="36" t="s">
        <v>928</v>
      </c>
      <c r="I618" s="35" t="s">
        <v>2490</v>
      </c>
      <c r="J618" s="36" t="s">
        <v>938</v>
      </c>
      <c r="K618" s="33" t="s">
        <v>916</v>
      </c>
      <c r="L618" s="35" t="s">
        <v>916</v>
      </c>
      <c r="M618" s="36" t="s">
        <v>1039</v>
      </c>
      <c r="N618" s="45">
        <v>46085.836805555555</v>
      </c>
      <c r="O618" s="36" t="s">
        <v>939</v>
      </c>
      <c r="P618" s="38">
        <v>9.2571412036999998</v>
      </c>
      <c r="Q618" s="39" t="s">
        <v>2369</v>
      </c>
      <c r="R618" s="35" t="s">
        <v>916</v>
      </c>
      <c r="S618" s="35"/>
      <c r="T618" s="35" t="s">
        <v>1624</v>
      </c>
      <c r="U618" s="40">
        <v>46077</v>
      </c>
      <c r="V618" s="41">
        <v>46153.532766203702</v>
      </c>
      <c r="W618" s="40">
        <v>46076</v>
      </c>
      <c r="X618" s="40">
        <v>46153</v>
      </c>
      <c r="Y618" s="35" t="s">
        <v>916</v>
      </c>
      <c r="Z618" s="35" t="s">
        <v>916</v>
      </c>
      <c r="AA618" s="38">
        <v>222.17138888880001</v>
      </c>
      <c r="AB618" s="42" t="s">
        <v>916</v>
      </c>
      <c r="AC618" s="43" t="s">
        <v>916</v>
      </c>
      <c r="AD618" s="43" t="s">
        <v>916</v>
      </c>
      <c r="AE618" s="33" t="s">
        <v>916</v>
      </c>
      <c r="AF618" s="35" t="s">
        <v>916</v>
      </c>
      <c r="AG618" s="44">
        <v>492201.58333333331</v>
      </c>
      <c r="AH618" s="42" t="s">
        <v>916</v>
      </c>
      <c r="AI618" s="32" t="e">
        <f>VLOOKUP(A618,'4月明細'!B:B,1,0)</f>
        <v>#N/A</v>
      </c>
    </row>
    <row r="619" spans="1:35" ht="19.95" customHeight="1" x14ac:dyDescent="0.3">
      <c r="A619" s="33" t="s">
        <v>467</v>
      </c>
      <c r="B619" s="34">
        <v>46076.578900462962</v>
      </c>
      <c r="C619" s="34" t="str">
        <f t="shared" si="22"/>
        <v>202602</v>
      </c>
      <c r="D619" s="35" t="s">
        <v>2310</v>
      </c>
      <c r="E619" s="36" t="s">
        <v>1149</v>
      </c>
      <c r="F619" s="36" t="s">
        <v>1584</v>
      </c>
      <c r="G619" s="37" t="s">
        <v>2491</v>
      </c>
      <c r="H619" s="36" t="s">
        <v>928</v>
      </c>
      <c r="I619" s="35" t="s">
        <v>2492</v>
      </c>
      <c r="J619" s="36" t="s">
        <v>938</v>
      </c>
      <c r="K619" s="33" t="s">
        <v>916</v>
      </c>
      <c r="L619" s="35" t="s">
        <v>916</v>
      </c>
      <c r="M619" s="36" t="s">
        <v>957</v>
      </c>
      <c r="N619" s="45">
        <v>46077.399305555555</v>
      </c>
      <c r="O619" s="36" t="s">
        <v>25</v>
      </c>
      <c r="P619" s="38">
        <v>0.82040509260000005</v>
      </c>
      <c r="Q619" s="39" t="s">
        <v>2440</v>
      </c>
      <c r="R619" s="35" t="s">
        <v>916</v>
      </c>
      <c r="S619" s="35"/>
      <c r="T619" s="35" t="s">
        <v>1624</v>
      </c>
      <c r="U619" s="40">
        <v>46077</v>
      </c>
      <c r="V619" s="41">
        <v>46153.532766203702</v>
      </c>
      <c r="W619" s="40">
        <v>46076</v>
      </c>
      <c r="X619" s="35" t="s">
        <v>916</v>
      </c>
      <c r="Y619" s="35" t="s">
        <v>916</v>
      </c>
      <c r="Z619" s="35" t="s">
        <v>916</v>
      </c>
      <c r="AA619" s="38">
        <v>19.6897222224</v>
      </c>
      <c r="AB619" s="42" t="s">
        <v>916</v>
      </c>
      <c r="AC619" s="43" t="s">
        <v>916</v>
      </c>
      <c r="AD619" s="43" t="s">
        <v>916</v>
      </c>
      <c r="AE619" s="33" t="s">
        <v>916</v>
      </c>
      <c r="AF619" s="35" t="s">
        <v>916</v>
      </c>
      <c r="AG619" s="44">
        <v>492201.6</v>
      </c>
      <c r="AH619" s="42" t="s">
        <v>916</v>
      </c>
      <c r="AI619" s="32" t="e">
        <f>VLOOKUP(A619,'4月明細'!B:B,1,0)</f>
        <v>#N/A</v>
      </c>
    </row>
    <row r="620" spans="1:35" ht="19.95" customHeight="1" x14ac:dyDescent="0.3">
      <c r="A620" s="33" t="s">
        <v>2493</v>
      </c>
      <c r="B620" s="34">
        <v>46076.578611111108</v>
      </c>
      <c r="C620" s="34" t="str">
        <f t="shared" si="22"/>
        <v>202602</v>
      </c>
      <c r="D620" s="35" t="s">
        <v>2310</v>
      </c>
      <c r="E620" s="36" t="s">
        <v>1149</v>
      </c>
      <c r="F620" s="36" t="s">
        <v>1141</v>
      </c>
      <c r="G620" s="37" t="s">
        <v>2494</v>
      </c>
      <c r="H620" s="36" t="s">
        <v>928</v>
      </c>
      <c r="I620" s="35" t="s">
        <v>2495</v>
      </c>
      <c r="J620" s="36" t="s">
        <v>938</v>
      </c>
      <c r="K620" s="33" t="s">
        <v>916</v>
      </c>
      <c r="L620" s="35" t="s">
        <v>916</v>
      </c>
      <c r="M620" s="36" t="s">
        <v>1039</v>
      </c>
      <c r="N620" s="45">
        <v>46077.4</v>
      </c>
      <c r="O620" s="36" t="s">
        <v>1384</v>
      </c>
      <c r="P620" s="38">
        <v>0.82138888889999995</v>
      </c>
      <c r="Q620" s="36" t="s">
        <v>916</v>
      </c>
      <c r="R620" s="35" t="s">
        <v>916</v>
      </c>
      <c r="S620" s="35"/>
      <c r="T620" s="35" t="s">
        <v>1624</v>
      </c>
      <c r="U620" s="40">
        <v>46077</v>
      </c>
      <c r="V620" s="41">
        <v>46153.532766203702</v>
      </c>
      <c r="W620" s="40">
        <v>46076</v>
      </c>
      <c r="X620" s="35" t="s">
        <v>916</v>
      </c>
      <c r="Y620" s="35" t="s">
        <v>916</v>
      </c>
      <c r="Z620" s="35" t="s">
        <v>916</v>
      </c>
      <c r="AA620" s="38">
        <v>19.713333333600001</v>
      </c>
      <c r="AB620" s="42" t="s">
        <v>916</v>
      </c>
      <c r="AC620" s="43" t="s">
        <v>916</v>
      </c>
      <c r="AD620" s="43" t="s">
        <v>916</v>
      </c>
      <c r="AE620" s="33" t="s">
        <v>916</v>
      </c>
      <c r="AF620" s="35" t="s">
        <v>916</v>
      </c>
      <c r="AG620" s="44">
        <v>0</v>
      </c>
      <c r="AH620" s="42" t="s">
        <v>916</v>
      </c>
      <c r="AI620" s="32" t="e">
        <f>VLOOKUP(A620,'4月明細'!B:B,1,0)</f>
        <v>#N/A</v>
      </c>
    </row>
    <row r="621" spans="1:35" ht="19.95" customHeight="1" x14ac:dyDescent="0.3">
      <c r="A621" s="33" t="s">
        <v>2496</v>
      </c>
      <c r="B621" s="34">
        <v>46076.578182870369</v>
      </c>
      <c r="C621" s="34" t="str">
        <f t="shared" si="22"/>
        <v>202602</v>
      </c>
      <c r="D621" s="35" t="s">
        <v>2310</v>
      </c>
      <c r="E621" s="36" t="s">
        <v>1149</v>
      </c>
      <c r="F621" s="36" t="s">
        <v>1736</v>
      </c>
      <c r="G621" s="37" t="s">
        <v>2494</v>
      </c>
      <c r="H621" s="36" t="s">
        <v>928</v>
      </c>
      <c r="I621" s="35" t="s">
        <v>2497</v>
      </c>
      <c r="J621" s="36" t="s">
        <v>938</v>
      </c>
      <c r="K621" s="33" t="s">
        <v>916</v>
      </c>
      <c r="L621" s="35" t="s">
        <v>916</v>
      </c>
      <c r="M621" s="36" t="s">
        <v>1039</v>
      </c>
      <c r="N621" s="45">
        <v>46077.400694444441</v>
      </c>
      <c r="O621" s="36" t="s">
        <v>1384</v>
      </c>
      <c r="P621" s="38">
        <v>0.82251157409999998</v>
      </c>
      <c r="Q621" s="36" t="s">
        <v>916</v>
      </c>
      <c r="R621" s="35" t="s">
        <v>916</v>
      </c>
      <c r="S621" s="35"/>
      <c r="T621" s="35" t="s">
        <v>1624</v>
      </c>
      <c r="U621" s="40">
        <v>46077</v>
      </c>
      <c r="V621" s="41">
        <v>46153.532766203702</v>
      </c>
      <c r="W621" s="40">
        <v>46076</v>
      </c>
      <c r="X621" s="35" t="s">
        <v>916</v>
      </c>
      <c r="Y621" s="35" t="s">
        <v>916</v>
      </c>
      <c r="Z621" s="35" t="s">
        <v>916</v>
      </c>
      <c r="AA621" s="38">
        <v>19.740277778399999</v>
      </c>
      <c r="AB621" s="42" t="s">
        <v>916</v>
      </c>
      <c r="AC621" s="43" t="s">
        <v>916</v>
      </c>
      <c r="AD621" s="43" t="s">
        <v>916</v>
      </c>
      <c r="AE621" s="33" t="s">
        <v>916</v>
      </c>
      <c r="AF621" s="35" t="s">
        <v>916</v>
      </c>
      <c r="AG621" s="44">
        <v>0</v>
      </c>
      <c r="AH621" s="42" t="s">
        <v>916</v>
      </c>
      <c r="AI621" s="32" t="e">
        <f>VLOOKUP(A621,'4月明細'!B:B,1,0)</f>
        <v>#N/A</v>
      </c>
    </row>
    <row r="622" spans="1:35" ht="19.95" customHeight="1" x14ac:dyDescent="0.3">
      <c r="A622" s="33" t="s">
        <v>2498</v>
      </c>
      <c r="B622" s="34">
        <v>46076.577893518515</v>
      </c>
      <c r="C622" s="34" t="str">
        <f t="shared" si="22"/>
        <v>202602</v>
      </c>
      <c r="D622" s="35" t="s">
        <v>2310</v>
      </c>
      <c r="E622" s="36" t="s">
        <v>1149</v>
      </c>
      <c r="F622" s="36" t="s">
        <v>947</v>
      </c>
      <c r="G622" s="37" t="s">
        <v>2494</v>
      </c>
      <c r="H622" s="36" t="s">
        <v>928</v>
      </c>
      <c r="I622" s="35" t="s">
        <v>2499</v>
      </c>
      <c r="J622" s="36" t="s">
        <v>938</v>
      </c>
      <c r="K622" s="33" t="s">
        <v>916</v>
      </c>
      <c r="L622" s="35" t="s">
        <v>916</v>
      </c>
      <c r="M622" s="36" t="s">
        <v>1039</v>
      </c>
      <c r="N622" s="45">
        <v>46077.400694444441</v>
      </c>
      <c r="O622" s="36" t="s">
        <v>1384</v>
      </c>
      <c r="P622" s="38">
        <v>0.82280092589999998</v>
      </c>
      <c r="Q622" s="36" t="s">
        <v>916</v>
      </c>
      <c r="R622" s="35" t="s">
        <v>916</v>
      </c>
      <c r="S622" s="35"/>
      <c r="T622" s="35" t="s">
        <v>1624</v>
      </c>
      <c r="U622" s="40">
        <v>46077</v>
      </c>
      <c r="V622" s="41">
        <v>46153.532766203702</v>
      </c>
      <c r="W622" s="40">
        <v>46076</v>
      </c>
      <c r="X622" s="35" t="s">
        <v>916</v>
      </c>
      <c r="Y622" s="35" t="s">
        <v>916</v>
      </c>
      <c r="Z622" s="35" t="s">
        <v>916</v>
      </c>
      <c r="AA622" s="38">
        <v>19.747222221600001</v>
      </c>
      <c r="AB622" s="42" t="s">
        <v>916</v>
      </c>
      <c r="AC622" s="43" t="s">
        <v>916</v>
      </c>
      <c r="AD622" s="43" t="s">
        <v>916</v>
      </c>
      <c r="AE622" s="33" t="s">
        <v>916</v>
      </c>
      <c r="AF622" s="35" t="s">
        <v>916</v>
      </c>
      <c r="AG622" s="44">
        <v>0</v>
      </c>
      <c r="AH622" s="42" t="s">
        <v>916</v>
      </c>
      <c r="AI622" s="32" t="e">
        <f>VLOOKUP(A622,'4月明細'!B:B,1,0)</f>
        <v>#N/A</v>
      </c>
    </row>
    <row r="623" spans="1:35" ht="19.95" customHeight="1" x14ac:dyDescent="0.3">
      <c r="A623" s="33" t="s">
        <v>2500</v>
      </c>
      <c r="B623" s="34">
        <v>46076.577511574076</v>
      </c>
      <c r="C623" s="34" t="str">
        <f t="shared" si="22"/>
        <v>202602</v>
      </c>
      <c r="D623" s="35" t="s">
        <v>2310</v>
      </c>
      <c r="E623" s="36" t="s">
        <v>1149</v>
      </c>
      <c r="F623" s="36" t="s">
        <v>2501</v>
      </c>
      <c r="G623" s="37" t="s">
        <v>2494</v>
      </c>
      <c r="H623" s="36" t="s">
        <v>928</v>
      </c>
      <c r="I623" s="35" t="s">
        <v>2502</v>
      </c>
      <c r="J623" s="36" t="s">
        <v>938</v>
      </c>
      <c r="K623" s="33" t="s">
        <v>916</v>
      </c>
      <c r="L623" s="35" t="s">
        <v>916</v>
      </c>
      <c r="M623" s="36" t="s">
        <v>1039</v>
      </c>
      <c r="N623" s="45">
        <v>46077.401388888888</v>
      </c>
      <c r="O623" s="36" t="s">
        <v>1384</v>
      </c>
      <c r="P623" s="38">
        <v>0.82387731480000004</v>
      </c>
      <c r="Q623" s="36" t="s">
        <v>916</v>
      </c>
      <c r="R623" s="35" t="s">
        <v>916</v>
      </c>
      <c r="S623" s="35"/>
      <c r="T623" s="35" t="s">
        <v>1624</v>
      </c>
      <c r="U623" s="40">
        <v>46077</v>
      </c>
      <c r="V623" s="41">
        <v>46153.532766203702</v>
      </c>
      <c r="W623" s="40">
        <v>46076</v>
      </c>
      <c r="X623" s="35" t="s">
        <v>916</v>
      </c>
      <c r="Y623" s="35" t="s">
        <v>916</v>
      </c>
      <c r="Z623" s="35" t="s">
        <v>916</v>
      </c>
      <c r="AA623" s="38">
        <v>19.773055555199999</v>
      </c>
      <c r="AB623" s="42" t="s">
        <v>916</v>
      </c>
      <c r="AC623" s="43" t="s">
        <v>916</v>
      </c>
      <c r="AD623" s="43" t="s">
        <v>916</v>
      </c>
      <c r="AE623" s="33" t="s">
        <v>916</v>
      </c>
      <c r="AF623" s="35" t="s">
        <v>916</v>
      </c>
      <c r="AG623" s="44">
        <v>0</v>
      </c>
      <c r="AH623" s="42" t="s">
        <v>916</v>
      </c>
      <c r="AI623" s="32" t="e">
        <f>VLOOKUP(A623,'4月明細'!B:B,1,0)</f>
        <v>#N/A</v>
      </c>
    </row>
    <row r="624" spans="1:35" ht="19.95" customHeight="1" x14ac:dyDescent="0.3">
      <c r="A624" s="33" t="s">
        <v>2503</v>
      </c>
      <c r="B624" s="34">
        <v>46076.577025462961</v>
      </c>
      <c r="C624" s="34" t="str">
        <f t="shared" si="22"/>
        <v>202602</v>
      </c>
      <c r="D624" s="35" t="s">
        <v>2310</v>
      </c>
      <c r="E624" s="36" t="s">
        <v>1149</v>
      </c>
      <c r="F624" s="36" t="s">
        <v>1237</v>
      </c>
      <c r="G624" s="37" t="s">
        <v>2494</v>
      </c>
      <c r="H624" s="36" t="s">
        <v>928</v>
      </c>
      <c r="I624" s="35" t="s">
        <v>2504</v>
      </c>
      <c r="J624" s="36" t="s">
        <v>938</v>
      </c>
      <c r="K624" s="33" t="s">
        <v>916</v>
      </c>
      <c r="L624" s="35" t="s">
        <v>916</v>
      </c>
      <c r="M624" s="36" t="s">
        <v>1039</v>
      </c>
      <c r="N624" s="45">
        <v>46077.402083333334</v>
      </c>
      <c r="O624" s="36" t="s">
        <v>1384</v>
      </c>
      <c r="P624" s="38">
        <v>0.8250578704</v>
      </c>
      <c r="Q624" s="36" t="s">
        <v>916</v>
      </c>
      <c r="R624" s="35" t="s">
        <v>916</v>
      </c>
      <c r="S624" s="35"/>
      <c r="T624" s="35" t="s">
        <v>1624</v>
      </c>
      <c r="U624" s="40">
        <v>46077</v>
      </c>
      <c r="V624" s="41">
        <v>46153.532766203702</v>
      </c>
      <c r="W624" s="40">
        <v>46076</v>
      </c>
      <c r="X624" s="35" t="s">
        <v>916</v>
      </c>
      <c r="Y624" s="35" t="s">
        <v>916</v>
      </c>
      <c r="Z624" s="35" t="s">
        <v>916</v>
      </c>
      <c r="AA624" s="38">
        <v>19.801388889599998</v>
      </c>
      <c r="AB624" s="42" t="s">
        <v>916</v>
      </c>
      <c r="AC624" s="43" t="s">
        <v>916</v>
      </c>
      <c r="AD624" s="43" t="s">
        <v>916</v>
      </c>
      <c r="AE624" s="33" t="s">
        <v>916</v>
      </c>
      <c r="AF624" s="35" t="s">
        <v>916</v>
      </c>
      <c r="AG624" s="44">
        <v>0</v>
      </c>
      <c r="AH624" s="42" t="s">
        <v>916</v>
      </c>
      <c r="AI624" s="32" t="e">
        <f>VLOOKUP(A624,'4月明細'!B:B,1,0)</f>
        <v>#N/A</v>
      </c>
    </row>
    <row r="625" spans="1:35" ht="19.95" customHeight="1" x14ac:dyDescent="0.3">
      <c r="A625" s="33" t="s">
        <v>2505</v>
      </c>
      <c r="B625" s="34">
        <v>46076.574525462966</v>
      </c>
      <c r="C625" s="34" t="str">
        <f t="shared" si="22"/>
        <v>202602</v>
      </c>
      <c r="D625" s="35" t="s">
        <v>2310</v>
      </c>
      <c r="E625" s="36" t="s">
        <v>1149</v>
      </c>
      <c r="F625" s="36" t="s">
        <v>1225</v>
      </c>
      <c r="G625" s="37" t="s">
        <v>2494</v>
      </c>
      <c r="H625" s="36" t="s">
        <v>928</v>
      </c>
      <c r="I625" s="35" t="s">
        <v>2506</v>
      </c>
      <c r="J625" s="36" t="s">
        <v>938</v>
      </c>
      <c r="K625" s="33" t="s">
        <v>916</v>
      </c>
      <c r="L625" s="35" t="s">
        <v>916</v>
      </c>
      <c r="M625" s="36" t="s">
        <v>1039</v>
      </c>
      <c r="N625" s="45">
        <v>46077.402083333334</v>
      </c>
      <c r="O625" s="36" t="s">
        <v>1384</v>
      </c>
      <c r="P625" s="38">
        <v>0.82755787039999995</v>
      </c>
      <c r="Q625" s="36" t="s">
        <v>916</v>
      </c>
      <c r="R625" s="35" t="s">
        <v>916</v>
      </c>
      <c r="S625" s="35"/>
      <c r="T625" s="35" t="s">
        <v>1624</v>
      </c>
      <c r="U625" s="40">
        <v>46077</v>
      </c>
      <c r="V625" s="41">
        <v>46153.532766203702</v>
      </c>
      <c r="W625" s="40">
        <v>46076</v>
      </c>
      <c r="X625" s="35" t="s">
        <v>916</v>
      </c>
      <c r="Y625" s="35" t="s">
        <v>916</v>
      </c>
      <c r="Z625" s="35" t="s">
        <v>916</v>
      </c>
      <c r="AA625" s="38">
        <v>19.861388889600001</v>
      </c>
      <c r="AB625" s="42" t="s">
        <v>916</v>
      </c>
      <c r="AC625" s="43" t="s">
        <v>916</v>
      </c>
      <c r="AD625" s="43" t="s">
        <v>916</v>
      </c>
      <c r="AE625" s="33" t="s">
        <v>916</v>
      </c>
      <c r="AF625" s="35" t="s">
        <v>916</v>
      </c>
      <c r="AG625" s="44">
        <v>0</v>
      </c>
      <c r="AH625" s="42" t="s">
        <v>916</v>
      </c>
      <c r="AI625" s="32" t="e">
        <f>VLOOKUP(A625,'4月明細'!B:B,1,0)</f>
        <v>#N/A</v>
      </c>
    </row>
    <row r="626" spans="1:35" ht="19.95" customHeight="1" x14ac:dyDescent="0.3">
      <c r="A626" s="33" t="s">
        <v>2507</v>
      </c>
      <c r="B626" s="34">
        <v>46076.574166666665</v>
      </c>
      <c r="C626" s="34" t="str">
        <f t="shared" si="22"/>
        <v>202602</v>
      </c>
      <c r="D626" s="35" t="s">
        <v>2310</v>
      </c>
      <c r="E626" s="36" t="s">
        <v>1149</v>
      </c>
      <c r="F626" s="36" t="s">
        <v>1740</v>
      </c>
      <c r="G626" s="37" t="s">
        <v>2508</v>
      </c>
      <c r="H626" s="36" t="s">
        <v>928</v>
      </c>
      <c r="I626" s="35" t="s">
        <v>2509</v>
      </c>
      <c r="J626" s="36" t="s">
        <v>938</v>
      </c>
      <c r="K626" s="33" t="s">
        <v>916</v>
      </c>
      <c r="L626" s="35" t="s">
        <v>916</v>
      </c>
      <c r="M626" s="36" t="s">
        <v>1039</v>
      </c>
      <c r="N626" s="45">
        <v>46077.402083333334</v>
      </c>
      <c r="O626" s="36" t="s">
        <v>1384</v>
      </c>
      <c r="P626" s="38">
        <v>0.82791666669999997</v>
      </c>
      <c r="Q626" s="39" t="s">
        <v>2316</v>
      </c>
      <c r="R626" s="35" t="s">
        <v>916</v>
      </c>
      <c r="S626" s="35"/>
      <c r="T626" s="35" t="s">
        <v>1624</v>
      </c>
      <c r="U626" s="40">
        <v>46077</v>
      </c>
      <c r="V626" s="41">
        <v>46153.532766203702</v>
      </c>
      <c r="W626" s="40">
        <v>46076</v>
      </c>
      <c r="X626" s="35" t="s">
        <v>916</v>
      </c>
      <c r="Y626" s="35" t="s">
        <v>916</v>
      </c>
      <c r="Z626" s="35" t="s">
        <v>916</v>
      </c>
      <c r="AA626" s="38">
        <v>19.870000000800001</v>
      </c>
      <c r="AB626" s="42" t="s">
        <v>916</v>
      </c>
      <c r="AC626" s="43" t="s">
        <v>916</v>
      </c>
      <c r="AD626" s="43" t="s">
        <v>916</v>
      </c>
      <c r="AE626" s="33" t="s">
        <v>916</v>
      </c>
      <c r="AF626" s="35" t="s">
        <v>916</v>
      </c>
      <c r="AG626" s="44">
        <v>492201.65</v>
      </c>
      <c r="AH626" s="42" t="s">
        <v>916</v>
      </c>
      <c r="AI626" s="32" t="e">
        <f>VLOOKUP(A626,'4月明細'!B:B,1,0)</f>
        <v>#N/A</v>
      </c>
    </row>
    <row r="627" spans="1:35" ht="19.95" customHeight="1" x14ac:dyDescent="0.3">
      <c r="A627" s="33" t="s">
        <v>2510</v>
      </c>
      <c r="B627" s="34">
        <v>46076.573692129627</v>
      </c>
      <c r="C627" s="34" t="str">
        <f t="shared" si="22"/>
        <v>202602</v>
      </c>
      <c r="D627" s="35" t="s">
        <v>2310</v>
      </c>
      <c r="E627" s="36" t="s">
        <v>1149</v>
      </c>
      <c r="F627" s="36" t="s">
        <v>1546</v>
      </c>
      <c r="G627" s="37" t="s">
        <v>2508</v>
      </c>
      <c r="H627" s="36" t="s">
        <v>928</v>
      </c>
      <c r="I627" s="35" t="s">
        <v>2511</v>
      </c>
      <c r="J627" s="36" t="s">
        <v>938</v>
      </c>
      <c r="K627" s="33" t="s">
        <v>916</v>
      </c>
      <c r="L627" s="35" t="s">
        <v>916</v>
      </c>
      <c r="M627" s="36" t="s">
        <v>1039</v>
      </c>
      <c r="N627" s="45">
        <v>46077.402777777781</v>
      </c>
      <c r="O627" s="36" t="s">
        <v>1384</v>
      </c>
      <c r="P627" s="38">
        <v>0.82908564809999996</v>
      </c>
      <c r="Q627" s="39" t="s">
        <v>2316</v>
      </c>
      <c r="R627" s="35" t="s">
        <v>916</v>
      </c>
      <c r="S627" s="35"/>
      <c r="T627" s="35" t="s">
        <v>1624</v>
      </c>
      <c r="U627" s="40">
        <v>46077</v>
      </c>
      <c r="V627" s="41">
        <v>46153.532766203702</v>
      </c>
      <c r="W627" s="40">
        <v>46076</v>
      </c>
      <c r="X627" s="35" t="s">
        <v>916</v>
      </c>
      <c r="Y627" s="35" t="s">
        <v>916</v>
      </c>
      <c r="Z627" s="35" t="s">
        <v>916</v>
      </c>
      <c r="AA627" s="38">
        <v>19.898055554399999</v>
      </c>
      <c r="AB627" s="42" t="s">
        <v>916</v>
      </c>
      <c r="AC627" s="43" t="s">
        <v>916</v>
      </c>
      <c r="AD627" s="43" t="s">
        <v>916</v>
      </c>
      <c r="AE627" s="33" t="s">
        <v>916</v>
      </c>
      <c r="AF627" s="35" t="s">
        <v>916</v>
      </c>
      <c r="AG627" s="44">
        <v>492201.66666666663</v>
      </c>
      <c r="AH627" s="42" t="s">
        <v>916</v>
      </c>
      <c r="AI627" s="32" t="e">
        <f>VLOOKUP(A627,'4月明細'!B:B,1,0)</f>
        <v>#N/A</v>
      </c>
    </row>
    <row r="628" spans="1:35" ht="19.95" customHeight="1" x14ac:dyDescent="0.3">
      <c r="A628" s="33" t="s">
        <v>2512</v>
      </c>
      <c r="B628" s="34">
        <v>46076.573379629626</v>
      </c>
      <c r="C628" s="34" t="str">
        <f t="shared" si="22"/>
        <v>202602</v>
      </c>
      <c r="D628" s="35" t="s">
        <v>2310</v>
      </c>
      <c r="E628" s="36" t="s">
        <v>1149</v>
      </c>
      <c r="F628" s="36" t="s">
        <v>1552</v>
      </c>
      <c r="G628" s="37" t="s">
        <v>2508</v>
      </c>
      <c r="H628" s="36" t="s">
        <v>928</v>
      </c>
      <c r="I628" s="35" t="s">
        <v>2513</v>
      </c>
      <c r="J628" s="36" t="s">
        <v>938</v>
      </c>
      <c r="K628" s="33" t="s">
        <v>916</v>
      </c>
      <c r="L628" s="35" t="s">
        <v>916</v>
      </c>
      <c r="M628" s="36" t="s">
        <v>1039</v>
      </c>
      <c r="N628" s="45">
        <v>46077.402777777781</v>
      </c>
      <c r="O628" s="36" t="s">
        <v>1384</v>
      </c>
      <c r="P628" s="38">
        <v>0.82939814810000001</v>
      </c>
      <c r="Q628" s="39" t="s">
        <v>2316</v>
      </c>
      <c r="R628" s="35" t="s">
        <v>916</v>
      </c>
      <c r="S628" s="35"/>
      <c r="T628" s="35" t="s">
        <v>1624</v>
      </c>
      <c r="U628" s="40">
        <v>46077</v>
      </c>
      <c r="V628" s="41">
        <v>46153.532766203702</v>
      </c>
      <c r="W628" s="40">
        <v>46076</v>
      </c>
      <c r="X628" s="35" t="s">
        <v>916</v>
      </c>
      <c r="Y628" s="35" t="s">
        <v>916</v>
      </c>
      <c r="Z628" s="35" t="s">
        <v>916</v>
      </c>
      <c r="AA628" s="38">
        <v>19.905555554399999</v>
      </c>
      <c r="AB628" s="42" t="s">
        <v>916</v>
      </c>
      <c r="AC628" s="43" t="s">
        <v>916</v>
      </c>
      <c r="AD628" s="43" t="s">
        <v>916</v>
      </c>
      <c r="AE628" s="33" t="s">
        <v>916</v>
      </c>
      <c r="AF628" s="35" t="s">
        <v>916</v>
      </c>
      <c r="AG628" s="44">
        <v>492201.66666666663</v>
      </c>
      <c r="AH628" s="42" t="s">
        <v>916</v>
      </c>
      <c r="AI628" s="32" t="e">
        <f>VLOOKUP(A628,'4月明細'!B:B,1,0)</f>
        <v>#N/A</v>
      </c>
    </row>
    <row r="629" spans="1:35" ht="19.95" customHeight="1" x14ac:dyDescent="0.3">
      <c r="A629" s="33" t="s">
        <v>2514</v>
      </c>
      <c r="B629" s="34">
        <v>46076.573055555556</v>
      </c>
      <c r="C629" s="34" t="str">
        <f t="shared" si="22"/>
        <v>202602</v>
      </c>
      <c r="D629" s="35" t="s">
        <v>2310</v>
      </c>
      <c r="E629" s="36" t="s">
        <v>1149</v>
      </c>
      <c r="F629" s="36" t="s">
        <v>2515</v>
      </c>
      <c r="G629" s="37" t="s">
        <v>2508</v>
      </c>
      <c r="H629" s="36" t="s">
        <v>928</v>
      </c>
      <c r="I629" s="35" t="s">
        <v>2516</v>
      </c>
      <c r="J629" s="36" t="s">
        <v>938</v>
      </c>
      <c r="K629" s="33" t="s">
        <v>916</v>
      </c>
      <c r="L629" s="35" t="s">
        <v>916</v>
      </c>
      <c r="M629" s="36" t="s">
        <v>1039</v>
      </c>
      <c r="N629" s="45">
        <v>46077.402777777781</v>
      </c>
      <c r="O629" s="36" t="s">
        <v>1384</v>
      </c>
      <c r="P629" s="38">
        <v>0.82972222220000003</v>
      </c>
      <c r="Q629" s="39" t="s">
        <v>2316</v>
      </c>
      <c r="R629" s="35" t="s">
        <v>916</v>
      </c>
      <c r="S629" s="35"/>
      <c r="T629" s="35" t="s">
        <v>1624</v>
      </c>
      <c r="U629" s="40">
        <v>46077</v>
      </c>
      <c r="V629" s="41">
        <v>46153.532766203702</v>
      </c>
      <c r="W629" s="40">
        <v>46076</v>
      </c>
      <c r="X629" s="35" t="s">
        <v>916</v>
      </c>
      <c r="Y629" s="35" t="s">
        <v>916</v>
      </c>
      <c r="Z629" s="35" t="s">
        <v>916</v>
      </c>
      <c r="AA629" s="38">
        <v>19.913333332800001</v>
      </c>
      <c r="AB629" s="42" t="s">
        <v>916</v>
      </c>
      <c r="AC629" s="43" t="s">
        <v>916</v>
      </c>
      <c r="AD629" s="43" t="s">
        <v>916</v>
      </c>
      <c r="AE629" s="33" t="s">
        <v>916</v>
      </c>
      <c r="AF629" s="35" t="s">
        <v>916</v>
      </c>
      <c r="AG629" s="44">
        <v>492201.66666666663</v>
      </c>
      <c r="AH629" s="42" t="s">
        <v>916</v>
      </c>
      <c r="AI629" s="32" t="e">
        <f>VLOOKUP(A629,'4月明細'!B:B,1,0)</f>
        <v>#N/A</v>
      </c>
    </row>
    <row r="630" spans="1:35" ht="19.95" customHeight="1" x14ac:dyDescent="0.3">
      <c r="A630" s="33" t="s">
        <v>2517</v>
      </c>
      <c r="B630" s="34">
        <v>46076.572592592594</v>
      </c>
      <c r="C630" s="34" t="str">
        <f t="shared" si="22"/>
        <v>202602</v>
      </c>
      <c r="D630" s="35" t="s">
        <v>2310</v>
      </c>
      <c r="E630" s="36" t="s">
        <v>1149</v>
      </c>
      <c r="F630" s="36" t="s">
        <v>1612</v>
      </c>
      <c r="G630" s="37" t="s">
        <v>2508</v>
      </c>
      <c r="H630" s="36" t="s">
        <v>928</v>
      </c>
      <c r="I630" s="35" t="s">
        <v>2518</v>
      </c>
      <c r="J630" s="36" t="s">
        <v>938</v>
      </c>
      <c r="K630" s="33" t="s">
        <v>916</v>
      </c>
      <c r="L630" s="35" t="s">
        <v>916</v>
      </c>
      <c r="M630" s="36" t="s">
        <v>1039</v>
      </c>
      <c r="N630" s="45">
        <v>46077.40347222222</v>
      </c>
      <c r="O630" s="36" t="s">
        <v>1384</v>
      </c>
      <c r="P630" s="38">
        <v>0.83087962959999995</v>
      </c>
      <c r="Q630" s="39" t="s">
        <v>2316</v>
      </c>
      <c r="R630" s="35" t="s">
        <v>916</v>
      </c>
      <c r="S630" s="35"/>
      <c r="T630" s="35" t="s">
        <v>1624</v>
      </c>
      <c r="U630" s="40">
        <v>46077</v>
      </c>
      <c r="V630" s="41">
        <v>46153.532766203702</v>
      </c>
      <c r="W630" s="40">
        <v>46076</v>
      </c>
      <c r="X630" s="35" t="s">
        <v>916</v>
      </c>
      <c r="Y630" s="35" t="s">
        <v>916</v>
      </c>
      <c r="Z630" s="35" t="s">
        <v>916</v>
      </c>
      <c r="AA630" s="38">
        <v>19.941111110400001</v>
      </c>
      <c r="AB630" s="42" t="s">
        <v>916</v>
      </c>
      <c r="AC630" s="43" t="s">
        <v>916</v>
      </c>
      <c r="AD630" s="43" t="s">
        <v>916</v>
      </c>
      <c r="AE630" s="33" t="s">
        <v>916</v>
      </c>
      <c r="AF630" s="35" t="s">
        <v>916</v>
      </c>
      <c r="AG630" s="44">
        <v>492201.68333333329</v>
      </c>
      <c r="AH630" s="42" t="s">
        <v>916</v>
      </c>
      <c r="AI630" s="32" t="e">
        <f>VLOOKUP(A630,'4月明細'!B:B,1,0)</f>
        <v>#N/A</v>
      </c>
    </row>
    <row r="631" spans="1:35" ht="19.95" customHeight="1" x14ac:dyDescent="0.3">
      <c r="A631" s="33" t="s">
        <v>2519</v>
      </c>
      <c r="B631" s="34">
        <v>46076.572129629632</v>
      </c>
      <c r="C631" s="34" t="str">
        <f t="shared" si="22"/>
        <v>202602</v>
      </c>
      <c r="D631" s="35" t="s">
        <v>2310</v>
      </c>
      <c r="E631" s="36" t="s">
        <v>1149</v>
      </c>
      <c r="F631" s="36" t="s">
        <v>1588</v>
      </c>
      <c r="G631" s="37" t="s">
        <v>2508</v>
      </c>
      <c r="H631" s="36" t="s">
        <v>928</v>
      </c>
      <c r="I631" s="35" t="s">
        <v>2520</v>
      </c>
      <c r="J631" s="36" t="s">
        <v>938</v>
      </c>
      <c r="K631" s="33" t="s">
        <v>916</v>
      </c>
      <c r="L631" s="35" t="s">
        <v>916</v>
      </c>
      <c r="M631" s="36" t="s">
        <v>1039</v>
      </c>
      <c r="N631" s="45">
        <v>46077.404166666667</v>
      </c>
      <c r="O631" s="36" t="s">
        <v>1384</v>
      </c>
      <c r="P631" s="38">
        <v>0.83203703699999998</v>
      </c>
      <c r="Q631" s="39" t="s">
        <v>2316</v>
      </c>
      <c r="R631" s="35" t="s">
        <v>916</v>
      </c>
      <c r="S631" s="35"/>
      <c r="T631" s="35" t="s">
        <v>1624</v>
      </c>
      <c r="U631" s="40">
        <v>46077</v>
      </c>
      <c r="V631" s="41">
        <v>46153.532766203702</v>
      </c>
      <c r="W631" s="40">
        <v>46076</v>
      </c>
      <c r="X631" s="35" t="s">
        <v>916</v>
      </c>
      <c r="Y631" s="35" t="s">
        <v>916</v>
      </c>
      <c r="Z631" s="35" t="s">
        <v>916</v>
      </c>
      <c r="AA631" s="38">
        <v>19.968888887999999</v>
      </c>
      <c r="AB631" s="42" t="s">
        <v>916</v>
      </c>
      <c r="AC631" s="43" t="s">
        <v>916</v>
      </c>
      <c r="AD631" s="43" t="s">
        <v>916</v>
      </c>
      <c r="AE631" s="33" t="s">
        <v>916</v>
      </c>
      <c r="AF631" s="35" t="s">
        <v>916</v>
      </c>
      <c r="AG631" s="44">
        <v>492201.7</v>
      </c>
      <c r="AH631" s="42" t="s">
        <v>916</v>
      </c>
      <c r="AI631" s="32" t="e">
        <f>VLOOKUP(A631,'4月明細'!B:B,1,0)</f>
        <v>#N/A</v>
      </c>
    </row>
    <row r="632" spans="1:35" ht="19.95" customHeight="1" x14ac:dyDescent="0.3">
      <c r="A632" s="33" t="s">
        <v>2521</v>
      </c>
      <c r="B632" s="34">
        <v>46076.571701388886</v>
      </c>
      <c r="C632" s="34" t="str">
        <f t="shared" si="22"/>
        <v>202602</v>
      </c>
      <c r="D632" s="35" t="s">
        <v>2310</v>
      </c>
      <c r="E632" s="36" t="s">
        <v>1149</v>
      </c>
      <c r="F632" s="36" t="s">
        <v>1441</v>
      </c>
      <c r="G632" s="37" t="s">
        <v>2508</v>
      </c>
      <c r="H632" s="36" t="s">
        <v>928</v>
      </c>
      <c r="I632" s="35" t="s">
        <v>2522</v>
      </c>
      <c r="J632" s="36" t="s">
        <v>938</v>
      </c>
      <c r="K632" s="33" t="s">
        <v>916</v>
      </c>
      <c r="L632" s="35" t="s">
        <v>916</v>
      </c>
      <c r="M632" s="36" t="s">
        <v>1039</v>
      </c>
      <c r="N632" s="45">
        <v>46077.404166666667</v>
      </c>
      <c r="O632" s="36" t="s">
        <v>1384</v>
      </c>
      <c r="P632" s="38">
        <v>0.83246527780000001</v>
      </c>
      <c r="Q632" s="39" t="s">
        <v>2316</v>
      </c>
      <c r="R632" s="35" t="s">
        <v>916</v>
      </c>
      <c r="S632" s="35"/>
      <c r="T632" s="35" t="s">
        <v>1624</v>
      </c>
      <c r="U632" s="40">
        <v>46077</v>
      </c>
      <c r="V632" s="41">
        <v>46153.532766203702</v>
      </c>
      <c r="W632" s="40">
        <v>46076</v>
      </c>
      <c r="X632" s="35" t="s">
        <v>916</v>
      </c>
      <c r="Y632" s="35" t="s">
        <v>916</v>
      </c>
      <c r="Z632" s="35" t="s">
        <v>916</v>
      </c>
      <c r="AA632" s="38">
        <v>19.979166667200001</v>
      </c>
      <c r="AB632" s="42" t="s">
        <v>916</v>
      </c>
      <c r="AC632" s="43" t="s">
        <v>916</v>
      </c>
      <c r="AD632" s="43" t="s">
        <v>916</v>
      </c>
      <c r="AE632" s="33" t="s">
        <v>916</v>
      </c>
      <c r="AF632" s="35" t="s">
        <v>916</v>
      </c>
      <c r="AG632" s="44">
        <v>492201.7</v>
      </c>
      <c r="AH632" s="42" t="s">
        <v>916</v>
      </c>
      <c r="AI632" s="32" t="e">
        <f>VLOOKUP(A632,'4月明細'!B:B,1,0)</f>
        <v>#N/A</v>
      </c>
    </row>
    <row r="633" spans="1:35" ht="19.95" customHeight="1" x14ac:dyDescent="0.3">
      <c r="A633" s="33" t="s">
        <v>2523</v>
      </c>
      <c r="B633" s="34">
        <v>46076.570844907408</v>
      </c>
      <c r="C633" s="34" t="str">
        <f t="shared" si="22"/>
        <v>202602</v>
      </c>
      <c r="D633" s="35" t="s">
        <v>2310</v>
      </c>
      <c r="E633" s="36" t="s">
        <v>1149</v>
      </c>
      <c r="F633" s="36" t="s">
        <v>1967</v>
      </c>
      <c r="G633" s="37" t="s">
        <v>2508</v>
      </c>
      <c r="H633" s="36" t="s">
        <v>928</v>
      </c>
      <c r="I633" s="35" t="s">
        <v>2524</v>
      </c>
      <c r="J633" s="36" t="s">
        <v>938</v>
      </c>
      <c r="K633" s="33" t="s">
        <v>916</v>
      </c>
      <c r="L633" s="35" t="s">
        <v>916</v>
      </c>
      <c r="M633" s="36" t="s">
        <v>1039</v>
      </c>
      <c r="N633" s="45">
        <v>46077.404166666667</v>
      </c>
      <c r="O633" s="36" t="s">
        <v>1384</v>
      </c>
      <c r="P633" s="38">
        <v>0.83332175929999996</v>
      </c>
      <c r="Q633" s="39" t="s">
        <v>2316</v>
      </c>
      <c r="R633" s="35" t="s">
        <v>916</v>
      </c>
      <c r="S633" s="35"/>
      <c r="T633" s="35" t="s">
        <v>1624</v>
      </c>
      <c r="U633" s="40">
        <v>46077</v>
      </c>
      <c r="V633" s="41">
        <v>46153.532766203702</v>
      </c>
      <c r="W633" s="40">
        <v>46076</v>
      </c>
      <c r="X633" s="35" t="s">
        <v>916</v>
      </c>
      <c r="Y633" s="35" t="s">
        <v>916</v>
      </c>
      <c r="Z633" s="35" t="s">
        <v>916</v>
      </c>
      <c r="AA633" s="38">
        <v>19.999722223199999</v>
      </c>
      <c r="AB633" s="42" t="s">
        <v>916</v>
      </c>
      <c r="AC633" s="43" t="s">
        <v>916</v>
      </c>
      <c r="AD633" s="43" t="s">
        <v>916</v>
      </c>
      <c r="AE633" s="33" t="s">
        <v>916</v>
      </c>
      <c r="AF633" s="35" t="s">
        <v>916</v>
      </c>
      <c r="AG633" s="44">
        <v>492201.7</v>
      </c>
      <c r="AH633" s="42" t="s">
        <v>916</v>
      </c>
      <c r="AI633" s="32" t="e">
        <f>VLOOKUP(A633,'4月明細'!B:B,1,0)</f>
        <v>#N/A</v>
      </c>
    </row>
    <row r="634" spans="1:35" ht="19.95" customHeight="1" x14ac:dyDescent="0.3">
      <c r="A634" s="33" t="s">
        <v>2525</v>
      </c>
      <c r="B634" s="34">
        <v>46076.569699074076</v>
      </c>
      <c r="C634" s="34" t="str">
        <f t="shared" si="22"/>
        <v>202602</v>
      </c>
      <c r="D634" s="35" t="s">
        <v>2310</v>
      </c>
      <c r="E634" s="36" t="s">
        <v>1149</v>
      </c>
      <c r="F634" s="36" t="s">
        <v>2039</v>
      </c>
      <c r="G634" s="37" t="s">
        <v>2508</v>
      </c>
      <c r="H634" s="36" t="s">
        <v>928</v>
      </c>
      <c r="I634" s="35" t="s">
        <v>2526</v>
      </c>
      <c r="J634" s="36" t="s">
        <v>938</v>
      </c>
      <c r="K634" s="33" t="s">
        <v>916</v>
      </c>
      <c r="L634" s="35" t="s">
        <v>916</v>
      </c>
      <c r="M634" s="36" t="s">
        <v>1039</v>
      </c>
      <c r="N634" s="45">
        <v>46077.404861111114</v>
      </c>
      <c r="O634" s="36" t="s">
        <v>1384</v>
      </c>
      <c r="P634" s="38">
        <v>0.83516203700000002</v>
      </c>
      <c r="Q634" s="39" t="s">
        <v>2316</v>
      </c>
      <c r="R634" s="35" t="s">
        <v>916</v>
      </c>
      <c r="S634" s="35"/>
      <c r="T634" s="35" t="s">
        <v>1624</v>
      </c>
      <c r="U634" s="40">
        <v>46077</v>
      </c>
      <c r="V634" s="41">
        <v>46153.532766203702</v>
      </c>
      <c r="W634" s="40">
        <v>46076</v>
      </c>
      <c r="X634" s="35" t="s">
        <v>916</v>
      </c>
      <c r="Y634" s="35" t="s">
        <v>916</v>
      </c>
      <c r="Z634" s="35" t="s">
        <v>916</v>
      </c>
      <c r="AA634" s="38">
        <v>20.043888888000001</v>
      </c>
      <c r="AB634" s="42" t="s">
        <v>916</v>
      </c>
      <c r="AC634" s="43" t="s">
        <v>916</v>
      </c>
      <c r="AD634" s="43" t="s">
        <v>916</v>
      </c>
      <c r="AE634" s="33" t="s">
        <v>916</v>
      </c>
      <c r="AF634" s="35" t="s">
        <v>916</v>
      </c>
      <c r="AG634" s="44">
        <v>492201.71666666667</v>
      </c>
      <c r="AH634" s="42" t="s">
        <v>916</v>
      </c>
      <c r="AI634" s="32" t="e">
        <f>VLOOKUP(A634,'4月明細'!B:B,1,0)</f>
        <v>#N/A</v>
      </c>
    </row>
    <row r="635" spans="1:35" ht="19.95" customHeight="1" x14ac:dyDescent="0.3">
      <c r="A635" s="33" t="s">
        <v>2527</v>
      </c>
      <c r="B635" s="34">
        <v>46076.567245370374</v>
      </c>
      <c r="C635" s="34" t="str">
        <f t="shared" si="22"/>
        <v>202602</v>
      </c>
      <c r="D635" s="35" t="s">
        <v>2310</v>
      </c>
      <c r="E635" s="36" t="s">
        <v>1149</v>
      </c>
      <c r="F635" s="36" t="s">
        <v>1750</v>
      </c>
      <c r="G635" s="37" t="s">
        <v>2508</v>
      </c>
      <c r="H635" s="36" t="s">
        <v>928</v>
      </c>
      <c r="I635" s="35" t="s">
        <v>2528</v>
      </c>
      <c r="J635" s="36" t="s">
        <v>938</v>
      </c>
      <c r="K635" s="33" t="s">
        <v>916</v>
      </c>
      <c r="L635" s="35" t="s">
        <v>916</v>
      </c>
      <c r="M635" s="36" t="s">
        <v>1039</v>
      </c>
      <c r="N635" s="45">
        <v>46077.404861111114</v>
      </c>
      <c r="O635" s="36" t="s">
        <v>1384</v>
      </c>
      <c r="P635" s="38">
        <v>0.8376157407</v>
      </c>
      <c r="Q635" s="39" t="s">
        <v>2316</v>
      </c>
      <c r="R635" s="35" t="s">
        <v>916</v>
      </c>
      <c r="S635" s="35"/>
      <c r="T635" s="35" t="s">
        <v>1624</v>
      </c>
      <c r="U635" s="40">
        <v>46077</v>
      </c>
      <c r="V635" s="41">
        <v>46153.532766203702</v>
      </c>
      <c r="W635" s="40">
        <v>46076</v>
      </c>
      <c r="X635" s="35" t="s">
        <v>916</v>
      </c>
      <c r="Y635" s="35" t="s">
        <v>916</v>
      </c>
      <c r="Z635" s="35" t="s">
        <v>916</v>
      </c>
      <c r="AA635" s="38">
        <v>20.1027777768</v>
      </c>
      <c r="AB635" s="42" t="s">
        <v>916</v>
      </c>
      <c r="AC635" s="43" t="s">
        <v>916</v>
      </c>
      <c r="AD635" s="43" t="s">
        <v>916</v>
      </c>
      <c r="AE635" s="33" t="s">
        <v>916</v>
      </c>
      <c r="AF635" s="35" t="s">
        <v>916</v>
      </c>
      <c r="AG635" s="44">
        <v>492201.71666666667</v>
      </c>
      <c r="AH635" s="42" t="s">
        <v>916</v>
      </c>
      <c r="AI635" s="32" t="e">
        <f>VLOOKUP(A635,'4月明細'!B:B,1,0)</f>
        <v>#N/A</v>
      </c>
    </row>
    <row r="636" spans="1:35" ht="19.95" customHeight="1" x14ac:dyDescent="0.3">
      <c r="A636" s="33" t="s">
        <v>466</v>
      </c>
      <c r="B636" s="34">
        <v>46076.562708333331</v>
      </c>
      <c r="C636" s="34" t="str">
        <f t="shared" si="22"/>
        <v>202602</v>
      </c>
      <c r="D636" s="35" t="s">
        <v>2310</v>
      </c>
      <c r="E636" s="36" t="s">
        <v>1149</v>
      </c>
      <c r="F636" s="36" t="s">
        <v>2529</v>
      </c>
      <c r="G636" s="37" t="s">
        <v>2530</v>
      </c>
      <c r="H636" s="36" t="s">
        <v>928</v>
      </c>
      <c r="I636" s="35" t="s">
        <v>2531</v>
      </c>
      <c r="J636" s="36" t="s">
        <v>938</v>
      </c>
      <c r="K636" s="33" t="s">
        <v>916</v>
      </c>
      <c r="L636" s="35" t="s">
        <v>916</v>
      </c>
      <c r="M636" s="36" t="s">
        <v>1135</v>
      </c>
      <c r="N636" s="45">
        <v>46077.405555555553</v>
      </c>
      <c r="O636" s="36" t="s">
        <v>25</v>
      </c>
      <c r="P636" s="38">
        <v>0.84284722219999997</v>
      </c>
      <c r="Q636" s="39" t="s">
        <v>2532</v>
      </c>
      <c r="R636" s="35" t="s">
        <v>916</v>
      </c>
      <c r="S636" s="35"/>
      <c r="T636" s="35" t="s">
        <v>1624</v>
      </c>
      <c r="U636" s="40">
        <v>46077</v>
      </c>
      <c r="V636" s="41">
        <v>46153.532766203702</v>
      </c>
      <c r="W636" s="40">
        <v>46076</v>
      </c>
      <c r="X636" s="35" t="s">
        <v>916</v>
      </c>
      <c r="Y636" s="35" t="s">
        <v>916</v>
      </c>
      <c r="Z636" s="35" t="s">
        <v>916</v>
      </c>
      <c r="AA636" s="38">
        <v>20.228333332799998</v>
      </c>
      <c r="AB636" s="42" t="s">
        <v>916</v>
      </c>
      <c r="AC636" s="43" t="s">
        <v>916</v>
      </c>
      <c r="AD636" s="43" t="s">
        <v>916</v>
      </c>
      <c r="AE636" s="33" t="s">
        <v>916</v>
      </c>
      <c r="AF636" s="35" t="s">
        <v>916</v>
      </c>
      <c r="AG636" s="44">
        <v>0</v>
      </c>
      <c r="AH636" s="42" t="s">
        <v>916</v>
      </c>
      <c r="AI636" s="32" t="e">
        <f>VLOOKUP(A636,'4月明細'!B:B,1,0)</f>
        <v>#N/A</v>
      </c>
    </row>
    <row r="637" spans="1:35" ht="19.95" customHeight="1" x14ac:dyDescent="0.3">
      <c r="A637" s="33" t="s">
        <v>2533</v>
      </c>
      <c r="B637" s="34">
        <v>46076.561944444446</v>
      </c>
      <c r="C637" s="34" t="str">
        <f t="shared" si="22"/>
        <v>202602</v>
      </c>
      <c r="D637" s="35" t="s">
        <v>2310</v>
      </c>
      <c r="E637" s="36" t="s">
        <v>1149</v>
      </c>
      <c r="F637" s="36" t="s">
        <v>935</v>
      </c>
      <c r="G637" s="37" t="s">
        <v>2534</v>
      </c>
      <c r="H637" s="36" t="s">
        <v>928</v>
      </c>
      <c r="I637" s="35" t="s">
        <v>2535</v>
      </c>
      <c r="J637" s="36" t="s">
        <v>938</v>
      </c>
      <c r="K637" s="33" t="s">
        <v>916</v>
      </c>
      <c r="L637" s="35" t="s">
        <v>916</v>
      </c>
      <c r="M637" s="36" t="s">
        <v>1039</v>
      </c>
      <c r="N637" s="45">
        <v>46085.837500000001</v>
      </c>
      <c r="O637" s="36" t="s">
        <v>939</v>
      </c>
      <c r="P637" s="38">
        <v>9.2755555556000004</v>
      </c>
      <c r="Q637" s="39" t="s">
        <v>2369</v>
      </c>
      <c r="R637" s="35" t="s">
        <v>916</v>
      </c>
      <c r="S637" s="35"/>
      <c r="T637" s="35" t="s">
        <v>1624</v>
      </c>
      <c r="U637" s="40">
        <v>46077</v>
      </c>
      <c r="V637" s="41">
        <v>46153.532766203702</v>
      </c>
      <c r="W637" s="40">
        <v>46076</v>
      </c>
      <c r="X637" s="40">
        <v>46153</v>
      </c>
      <c r="Y637" s="35" t="s">
        <v>916</v>
      </c>
      <c r="Z637" s="35" t="s">
        <v>916</v>
      </c>
      <c r="AA637" s="38">
        <v>222.61333333440001</v>
      </c>
      <c r="AB637" s="42" t="s">
        <v>916</v>
      </c>
      <c r="AC637" s="43" t="s">
        <v>916</v>
      </c>
      <c r="AD637" s="43" t="s">
        <v>916</v>
      </c>
      <c r="AE637" s="33" t="s">
        <v>916</v>
      </c>
      <c r="AF637" s="35" t="s">
        <v>916</v>
      </c>
      <c r="AG637" s="44">
        <v>492201.75</v>
      </c>
      <c r="AH637" s="42" t="s">
        <v>916</v>
      </c>
      <c r="AI637" s="32" t="e">
        <f>VLOOKUP(A637,'4月明細'!B:B,1,0)</f>
        <v>#N/A</v>
      </c>
    </row>
    <row r="638" spans="1:35" ht="19.95" customHeight="1" x14ac:dyDescent="0.3">
      <c r="A638" s="33" t="s">
        <v>508</v>
      </c>
      <c r="B638" s="34">
        <v>46076.55709490741</v>
      </c>
      <c r="C638" s="34" t="str">
        <f t="shared" si="22"/>
        <v>202602</v>
      </c>
      <c r="D638" s="35" t="s">
        <v>2310</v>
      </c>
      <c r="E638" s="36" t="s">
        <v>1149</v>
      </c>
      <c r="F638" s="36" t="s">
        <v>935</v>
      </c>
      <c r="G638" s="37" t="s">
        <v>2536</v>
      </c>
      <c r="H638" s="36" t="s">
        <v>928</v>
      </c>
      <c r="I638" s="35" t="s">
        <v>2537</v>
      </c>
      <c r="J638" s="36" t="s">
        <v>938</v>
      </c>
      <c r="K638" s="33" t="s">
        <v>916</v>
      </c>
      <c r="L638" s="35" t="s">
        <v>916</v>
      </c>
      <c r="M638" s="36" t="s">
        <v>957</v>
      </c>
      <c r="N638" s="45">
        <v>46083.640972222223</v>
      </c>
      <c r="O638" s="36" t="s">
        <v>25</v>
      </c>
      <c r="P638" s="38">
        <v>7.0838773147999996</v>
      </c>
      <c r="Q638" s="39" t="s">
        <v>2307</v>
      </c>
      <c r="R638" s="35" t="s">
        <v>916</v>
      </c>
      <c r="S638" s="35"/>
      <c r="T638" s="35" t="s">
        <v>1624</v>
      </c>
      <c r="U638" s="40">
        <v>46077</v>
      </c>
      <c r="V638" s="41">
        <v>46153.532766203702</v>
      </c>
      <c r="W638" s="40">
        <v>46076</v>
      </c>
      <c r="X638" s="35" t="s">
        <v>916</v>
      </c>
      <c r="Y638" s="35" t="s">
        <v>916</v>
      </c>
      <c r="Z638" s="35" t="s">
        <v>916</v>
      </c>
      <c r="AA638" s="38">
        <v>170.0130555552</v>
      </c>
      <c r="AB638" s="42" t="s">
        <v>916</v>
      </c>
      <c r="AC638" s="43" t="s">
        <v>916</v>
      </c>
      <c r="AD638" s="43" t="s">
        <v>916</v>
      </c>
      <c r="AE638" s="33" t="s">
        <v>916</v>
      </c>
      <c r="AF638" s="35" t="s">
        <v>916</v>
      </c>
      <c r="AG638" s="44">
        <v>0</v>
      </c>
      <c r="AH638" s="42" t="s">
        <v>916</v>
      </c>
      <c r="AI638" s="32" t="e">
        <f>VLOOKUP(A638,'4月明細'!B:B,1,0)</f>
        <v>#N/A</v>
      </c>
    </row>
    <row r="639" spans="1:35" ht="19.95" customHeight="1" x14ac:dyDescent="0.3">
      <c r="A639" s="33" t="s">
        <v>465</v>
      </c>
      <c r="B639" s="34">
        <v>46076.540648148148</v>
      </c>
      <c r="C639" s="34" t="str">
        <f t="shared" si="22"/>
        <v>202602</v>
      </c>
      <c r="D639" s="35" t="s">
        <v>996</v>
      </c>
      <c r="E639" s="36" t="s">
        <v>910</v>
      </c>
      <c r="F639" s="36" t="s">
        <v>2298</v>
      </c>
      <c r="G639" s="37" t="s">
        <v>2538</v>
      </c>
      <c r="H639" s="36" t="s">
        <v>928</v>
      </c>
      <c r="I639" s="35"/>
      <c r="J639" s="36" t="s">
        <v>914</v>
      </c>
      <c r="K639" s="33" t="s">
        <v>916</v>
      </c>
      <c r="L639" s="35" t="s">
        <v>916</v>
      </c>
      <c r="M639" s="36" t="s">
        <v>957</v>
      </c>
      <c r="N639" s="45">
        <v>46078.427083333336</v>
      </c>
      <c r="O639" s="36" t="s">
        <v>25</v>
      </c>
      <c r="P639" s="38">
        <v>1.8864351852000001</v>
      </c>
      <c r="Q639" s="39" t="s">
        <v>2539</v>
      </c>
      <c r="R639" s="46" t="s">
        <v>2540</v>
      </c>
      <c r="S639" s="35" t="s">
        <v>2541</v>
      </c>
      <c r="T639" s="35" t="s">
        <v>1624</v>
      </c>
      <c r="U639" s="40">
        <v>46077</v>
      </c>
      <c r="V639" s="41">
        <v>46153.532766203702</v>
      </c>
      <c r="W639" s="40">
        <v>46076</v>
      </c>
      <c r="X639" s="35" t="s">
        <v>916</v>
      </c>
      <c r="Y639" s="35" t="s">
        <v>916</v>
      </c>
      <c r="Z639" s="35" t="s">
        <v>916</v>
      </c>
      <c r="AA639" s="38">
        <v>45.274444444799997</v>
      </c>
      <c r="AB639" s="42" t="s">
        <v>916</v>
      </c>
      <c r="AC639" s="43" t="s">
        <v>916</v>
      </c>
      <c r="AD639" s="43" t="s">
        <v>916</v>
      </c>
      <c r="AE639" s="33" t="s">
        <v>916</v>
      </c>
      <c r="AF639" s="35" t="s">
        <v>916</v>
      </c>
      <c r="AG639" s="44">
        <v>492226.25000000012</v>
      </c>
      <c r="AH639" s="42" t="s">
        <v>916</v>
      </c>
      <c r="AI639" s="32" t="e">
        <f>VLOOKUP(A639,'4月明細'!B:B,1,0)</f>
        <v>#N/A</v>
      </c>
    </row>
    <row r="640" spans="1:35" ht="19.95" customHeight="1" x14ac:dyDescent="0.3">
      <c r="A640" s="33" t="s">
        <v>464</v>
      </c>
      <c r="B640" s="34">
        <v>46076.536828703705</v>
      </c>
      <c r="C640" s="34" t="str">
        <f t="shared" si="22"/>
        <v>202602</v>
      </c>
      <c r="D640" s="35" t="s">
        <v>909</v>
      </c>
      <c r="E640" s="36" t="s">
        <v>910</v>
      </c>
      <c r="F640" s="36" t="s">
        <v>981</v>
      </c>
      <c r="G640" s="37" t="s">
        <v>977</v>
      </c>
      <c r="H640" s="36" t="s">
        <v>1114</v>
      </c>
      <c r="I640" s="35" t="s">
        <v>2542</v>
      </c>
      <c r="J640" s="36" t="s">
        <v>929</v>
      </c>
      <c r="K640" s="33" t="s">
        <v>916</v>
      </c>
      <c r="L640" s="35" t="s">
        <v>916</v>
      </c>
      <c r="M640" s="36" t="s">
        <v>957</v>
      </c>
      <c r="N640" s="45">
        <v>46077.45208333333</v>
      </c>
      <c r="O640" s="36" t="s">
        <v>25</v>
      </c>
      <c r="P640" s="38">
        <v>0.91525462960000004</v>
      </c>
      <c r="Q640" s="39" t="s">
        <v>2543</v>
      </c>
      <c r="R640" s="35" t="s">
        <v>916</v>
      </c>
      <c r="S640" s="35"/>
      <c r="T640" s="35" t="s">
        <v>1624</v>
      </c>
      <c r="U640" s="40">
        <v>46077</v>
      </c>
      <c r="V640" s="41">
        <v>46153.532766203702</v>
      </c>
      <c r="W640" s="40">
        <v>46076</v>
      </c>
      <c r="X640" s="35" t="s">
        <v>916</v>
      </c>
      <c r="Y640" s="35" t="s">
        <v>916</v>
      </c>
      <c r="Z640" s="35" t="s">
        <v>916</v>
      </c>
      <c r="AA640" s="38">
        <v>21.9661111104</v>
      </c>
      <c r="AB640" s="42" t="s">
        <v>916</v>
      </c>
      <c r="AC640" s="43" t="s">
        <v>916</v>
      </c>
      <c r="AD640" s="43" t="s">
        <v>916</v>
      </c>
      <c r="AE640" s="33" t="s">
        <v>916</v>
      </c>
      <c r="AF640" s="35" t="s">
        <v>916</v>
      </c>
      <c r="AG640" s="44">
        <v>0</v>
      </c>
      <c r="AH640" s="42" t="s">
        <v>916</v>
      </c>
      <c r="AI640" s="32" t="e">
        <f>VLOOKUP(A640,'4月明細'!B:B,1,0)</f>
        <v>#N/A</v>
      </c>
    </row>
    <row r="641" spans="1:35" ht="19.95" customHeight="1" x14ac:dyDescent="0.3">
      <c r="A641" s="33" t="s">
        <v>2544</v>
      </c>
      <c r="B641" s="34">
        <v>46076.492361111108</v>
      </c>
      <c r="C641" s="34" t="str">
        <f t="shared" si="22"/>
        <v>202602</v>
      </c>
      <c r="D641" s="35" t="s">
        <v>1653</v>
      </c>
      <c r="E641" s="36" t="s">
        <v>934</v>
      </c>
      <c r="F641" s="36" t="s">
        <v>1341</v>
      </c>
      <c r="G641" s="37" t="s">
        <v>2545</v>
      </c>
      <c r="H641" s="36" t="s">
        <v>1114</v>
      </c>
      <c r="I641" s="35" t="s">
        <v>2546</v>
      </c>
      <c r="J641" s="36" t="s">
        <v>929</v>
      </c>
      <c r="K641" s="33" t="s">
        <v>916</v>
      </c>
      <c r="L641" s="35" t="s">
        <v>916</v>
      </c>
      <c r="M641" s="36" t="s">
        <v>957</v>
      </c>
      <c r="N641" s="45">
        <v>46083.64166666667</v>
      </c>
      <c r="O641" s="36" t="s">
        <v>939</v>
      </c>
      <c r="P641" s="38">
        <v>7.1493055555999998</v>
      </c>
      <c r="Q641" s="36" t="s">
        <v>916</v>
      </c>
      <c r="R641" s="35" t="s">
        <v>916</v>
      </c>
      <c r="S641" s="35"/>
      <c r="T641" s="35" t="s">
        <v>1624</v>
      </c>
      <c r="U641" s="40">
        <v>46077</v>
      </c>
      <c r="V641" s="41">
        <v>46153.532766203702</v>
      </c>
      <c r="W641" s="40">
        <v>46076</v>
      </c>
      <c r="X641" s="40">
        <v>46153</v>
      </c>
      <c r="Y641" s="35" t="s">
        <v>916</v>
      </c>
      <c r="Z641" s="35" t="s">
        <v>916</v>
      </c>
      <c r="AA641" s="38">
        <v>171.58333333440001</v>
      </c>
      <c r="AB641" s="42" t="s">
        <v>916</v>
      </c>
      <c r="AC641" s="43" t="s">
        <v>916</v>
      </c>
      <c r="AD641" s="43" t="s">
        <v>916</v>
      </c>
      <c r="AE641" s="33" t="s">
        <v>916</v>
      </c>
      <c r="AF641" s="35" t="s">
        <v>916</v>
      </c>
      <c r="AG641" s="44">
        <v>0</v>
      </c>
      <c r="AH641" s="42" t="s">
        <v>916</v>
      </c>
      <c r="AI641" s="32" t="e">
        <f>VLOOKUP(A641,'4月明細'!B:B,1,0)</f>
        <v>#N/A</v>
      </c>
    </row>
    <row r="642" spans="1:35" ht="19.95" customHeight="1" x14ac:dyDescent="0.3">
      <c r="A642" s="33" t="s">
        <v>2547</v>
      </c>
      <c r="B642" s="34">
        <v>46076.490972222222</v>
      </c>
      <c r="C642" s="34" t="str">
        <f t="shared" si="22"/>
        <v>202602</v>
      </c>
      <c r="D642" s="35" t="s">
        <v>1653</v>
      </c>
      <c r="E642" s="36" t="s">
        <v>934</v>
      </c>
      <c r="F642" s="36" t="s">
        <v>1341</v>
      </c>
      <c r="G642" s="37" t="s">
        <v>1660</v>
      </c>
      <c r="H642" s="36" t="s">
        <v>1114</v>
      </c>
      <c r="I642" s="35" t="s">
        <v>2548</v>
      </c>
      <c r="J642" s="36" t="s">
        <v>929</v>
      </c>
      <c r="K642" s="33" t="s">
        <v>916</v>
      </c>
      <c r="L642" s="35" t="s">
        <v>916</v>
      </c>
      <c r="M642" s="36" t="s">
        <v>957</v>
      </c>
      <c r="N642" s="45">
        <v>46083.64166666667</v>
      </c>
      <c r="O642" s="36" t="s">
        <v>939</v>
      </c>
      <c r="P642" s="38">
        <v>7.1506944444</v>
      </c>
      <c r="Q642" s="36" t="s">
        <v>916</v>
      </c>
      <c r="R642" s="35" t="s">
        <v>916</v>
      </c>
      <c r="S642" s="35"/>
      <c r="T642" s="35" t="s">
        <v>1624</v>
      </c>
      <c r="U642" s="40">
        <v>46077</v>
      </c>
      <c r="V642" s="41">
        <v>46153.532766203702</v>
      </c>
      <c r="W642" s="40">
        <v>46076</v>
      </c>
      <c r="X642" s="40">
        <v>46153</v>
      </c>
      <c r="Y642" s="35" t="s">
        <v>916</v>
      </c>
      <c r="Z642" s="35" t="s">
        <v>916</v>
      </c>
      <c r="AA642" s="38">
        <v>171.61666666560001</v>
      </c>
      <c r="AB642" s="42" t="s">
        <v>916</v>
      </c>
      <c r="AC642" s="43" t="s">
        <v>916</v>
      </c>
      <c r="AD642" s="43" t="s">
        <v>916</v>
      </c>
      <c r="AE642" s="33" t="s">
        <v>916</v>
      </c>
      <c r="AF642" s="35" t="s">
        <v>916</v>
      </c>
      <c r="AG642" s="44">
        <v>0</v>
      </c>
      <c r="AH642" s="42" t="s">
        <v>916</v>
      </c>
      <c r="AI642" s="32" t="e">
        <f>VLOOKUP(A642,'4月明細'!B:B,1,0)</f>
        <v>#N/A</v>
      </c>
    </row>
    <row r="643" spans="1:35" ht="19.95" customHeight="1" x14ac:dyDescent="0.3">
      <c r="A643" s="33" t="s">
        <v>2549</v>
      </c>
      <c r="B643" s="34">
        <v>46076.489583333336</v>
      </c>
      <c r="C643" s="34" t="str">
        <f t="shared" ref="C643:C706" si="23">TEXT(B643,"YYYYMM")</f>
        <v>202602</v>
      </c>
      <c r="D643" s="35" t="s">
        <v>1653</v>
      </c>
      <c r="E643" s="36" t="s">
        <v>934</v>
      </c>
      <c r="F643" s="36" t="s">
        <v>2550</v>
      </c>
      <c r="G643" s="37" t="s">
        <v>2551</v>
      </c>
      <c r="H643" s="36" t="s">
        <v>928</v>
      </c>
      <c r="I643" s="35" t="s">
        <v>1983</v>
      </c>
      <c r="J643" s="36" t="s">
        <v>929</v>
      </c>
      <c r="K643" s="33" t="s">
        <v>916</v>
      </c>
      <c r="L643" s="35" t="s">
        <v>916</v>
      </c>
      <c r="M643" s="36" t="s">
        <v>957</v>
      </c>
      <c r="N643" s="45">
        <v>46083.642361111109</v>
      </c>
      <c r="O643" s="36" t="s">
        <v>939</v>
      </c>
      <c r="P643" s="38">
        <v>7.1527777777999999</v>
      </c>
      <c r="Q643" s="39" t="s">
        <v>2369</v>
      </c>
      <c r="R643" s="35" t="s">
        <v>916</v>
      </c>
      <c r="S643" s="35"/>
      <c r="T643" s="35" t="s">
        <v>1624</v>
      </c>
      <c r="U643" s="40">
        <v>46077</v>
      </c>
      <c r="V643" s="41">
        <v>46153.532766203702</v>
      </c>
      <c r="W643" s="40">
        <v>46076</v>
      </c>
      <c r="X643" s="40">
        <v>46153</v>
      </c>
      <c r="Y643" s="35" t="s">
        <v>916</v>
      </c>
      <c r="Z643" s="35" t="s">
        <v>916</v>
      </c>
      <c r="AA643" s="38">
        <v>171.66666666719999</v>
      </c>
      <c r="AB643" s="42" t="s">
        <v>916</v>
      </c>
      <c r="AC643" s="43" t="s">
        <v>916</v>
      </c>
      <c r="AD643" s="43" t="s">
        <v>916</v>
      </c>
      <c r="AE643" s="33" t="s">
        <v>916</v>
      </c>
      <c r="AF643" s="35" t="s">
        <v>916</v>
      </c>
      <c r="AG643" s="44">
        <v>0</v>
      </c>
      <c r="AH643" s="42" t="s">
        <v>916</v>
      </c>
      <c r="AI643" s="32" t="e">
        <f>VLOOKUP(A643,'4月明細'!B:B,1,0)</f>
        <v>#N/A</v>
      </c>
    </row>
    <row r="644" spans="1:35" ht="19.95" customHeight="1" x14ac:dyDescent="0.3">
      <c r="A644" s="33" t="s">
        <v>463</v>
      </c>
      <c r="B644" s="34">
        <v>46076.488275462965</v>
      </c>
      <c r="C644" s="34" t="str">
        <f t="shared" si="23"/>
        <v>202602</v>
      </c>
      <c r="D644" s="35" t="s">
        <v>996</v>
      </c>
      <c r="E644" s="36" t="s">
        <v>910</v>
      </c>
      <c r="F644" s="36" t="s">
        <v>1370</v>
      </c>
      <c r="G644" s="37" t="s">
        <v>2552</v>
      </c>
      <c r="H644" s="36" t="s">
        <v>954</v>
      </c>
      <c r="I644" s="35"/>
      <c r="J644" s="36" t="s">
        <v>1058</v>
      </c>
      <c r="K644" s="33" t="s">
        <v>916</v>
      </c>
      <c r="L644" s="35" t="s">
        <v>916</v>
      </c>
      <c r="M644" s="36" t="s">
        <v>957</v>
      </c>
      <c r="N644" s="45">
        <v>46076.568055555559</v>
      </c>
      <c r="O644" s="36" t="s">
        <v>25</v>
      </c>
      <c r="P644" s="38">
        <v>7.9780092600000005E-2</v>
      </c>
      <c r="Q644" s="39" t="s">
        <v>2553</v>
      </c>
      <c r="R644" s="35" t="s">
        <v>916</v>
      </c>
      <c r="S644" s="35" t="s">
        <v>2554</v>
      </c>
      <c r="T644" s="35" t="s">
        <v>1624</v>
      </c>
      <c r="U644" s="40">
        <v>46077</v>
      </c>
      <c r="V644" s="41">
        <v>46153.532766203702</v>
      </c>
      <c r="W644" s="40">
        <v>46076</v>
      </c>
      <c r="X644" s="35" t="s">
        <v>916</v>
      </c>
      <c r="Y644" s="35" t="s">
        <v>916</v>
      </c>
      <c r="Z644" s="35" t="s">
        <v>916</v>
      </c>
      <c r="AA644" s="38">
        <v>1.9147222224</v>
      </c>
      <c r="AB644" s="42" t="s">
        <v>916</v>
      </c>
      <c r="AC644" s="43" t="s">
        <v>916</v>
      </c>
      <c r="AD644" s="43" t="s">
        <v>916</v>
      </c>
      <c r="AE644" s="33" t="s">
        <v>916</v>
      </c>
      <c r="AF644" s="35" t="s">
        <v>916</v>
      </c>
      <c r="AG644" s="44">
        <v>492181.6333333333</v>
      </c>
      <c r="AH644" s="42" t="s">
        <v>916</v>
      </c>
      <c r="AI644" s="32" t="e">
        <f>VLOOKUP(A644,'4月明細'!B:B,1,0)</f>
        <v>#N/A</v>
      </c>
    </row>
    <row r="645" spans="1:35" ht="19.95" customHeight="1" x14ac:dyDescent="0.3">
      <c r="A645" s="33" t="s">
        <v>2555</v>
      </c>
      <c r="B645" s="34">
        <v>46076.48541666667</v>
      </c>
      <c r="C645" s="34" t="str">
        <f t="shared" si="23"/>
        <v>202602</v>
      </c>
      <c r="D645" s="35" t="s">
        <v>1653</v>
      </c>
      <c r="E645" s="36" t="s">
        <v>934</v>
      </c>
      <c r="F645" s="36" t="s">
        <v>1768</v>
      </c>
      <c r="G645" s="37" t="s">
        <v>2551</v>
      </c>
      <c r="H645" s="36" t="s">
        <v>928</v>
      </c>
      <c r="I645" s="35" t="s">
        <v>1983</v>
      </c>
      <c r="J645" s="36" t="s">
        <v>929</v>
      </c>
      <c r="K645" s="33" t="s">
        <v>916</v>
      </c>
      <c r="L645" s="35" t="s">
        <v>916</v>
      </c>
      <c r="M645" s="36" t="s">
        <v>957</v>
      </c>
      <c r="N645" s="45">
        <v>46085.883333333331</v>
      </c>
      <c r="O645" s="36" t="s">
        <v>939</v>
      </c>
      <c r="P645" s="38">
        <v>9.3979166667000005</v>
      </c>
      <c r="Q645" s="39" t="s">
        <v>2369</v>
      </c>
      <c r="R645" s="35" t="s">
        <v>916</v>
      </c>
      <c r="S645" s="35"/>
      <c r="T645" s="35" t="s">
        <v>1624</v>
      </c>
      <c r="U645" s="40">
        <v>46077</v>
      </c>
      <c r="V645" s="41">
        <v>46153.532766203702</v>
      </c>
      <c r="W645" s="40">
        <v>46076</v>
      </c>
      <c r="X645" s="40">
        <v>46153</v>
      </c>
      <c r="Y645" s="35" t="s">
        <v>916</v>
      </c>
      <c r="Z645" s="35" t="s">
        <v>916</v>
      </c>
      <c r="AA645" s="38">
        <v>225.5500000008</v>
      </c>
      <c r="AB645" s="42" t="s">
        <v>916</v>
      </c>
      <c r="AC645" s="43" t="s">
        <v>916</v>
      </c>
      <c r="AD645" s="43" t="s">
        <v>916</v>
      </c>
      <c r="AE645" s="33" t="s">
        <v>916</v>
      </c>
      <c r="AF645" s="35" t="s">
        <v>916</v>
      </c>
      <c r="AG645" s="44">
        <v>0</v>
      </c>
      <c r="AH645" s="42" t="s">
        <v>916</v>
      </c>
      <c r="AI645" s="32" t="e">
        <f>VLOOKUP(A645,'4月明細'!B:B,1,0)</f>
        <v>#N/A</v>
      </c>
    </row>
    <row r="646" spans="1:35" ht="19.95" customHeight="1" x14ac:dyDescent="0.3">
      <c r="A646" s="33" t="s">
        <v>2556</v>
      </c>
      <c r="B646" s="34">
        <v>46076.476388888892</v>
      </c>
      <c r="C646" s="34" t="str">
        <f t="shared" si="23"/>
        <v>202602</v>
      </c>
      <c r="D646" s="35" t="s">
        <v>1653</v>
      </c>
      <c r="E646" s="36" t="s">
        <v>934</v>
      </c>
      <c r="F646" s="36" t="s">
        <v>2080</v>
      </c>
      <c r="G646" s="37" t="s">
        <v>2551</v>
      </c>
      <c r="H646" s="36" t="s">
        <v>928</v>
      </c>
      <c r="I646" s="35" t="s">
        <v>1983</v>
      </c>
      <c r="J646" s="36" t="s">
        <v>929</v>
      </c>
      <c r="K646" s="33" t="s">
        <v>916</v>
      </c>
      <c r="L646" s="35" t="s">
        <v>916</v>
      </c>
      <c r="M646" s="36" t="s">
        <v>957</v>
      </c>
      <c r="N646" s="45">
        <v>46083.647916666669</v>
      </c>
      <c r="O646" s="36" t="s">
        <v>939</v>
      </c>
      <c r="P646" s="38">
        <v>7.1715277777999997</v>
      </c>
      <c r="Q646" s="39" t="s">
        <v>2369</v>
      </c>
      <c r="R646" s="35" t="s">
        <v>916</v>
      </c>
      <c r="S646" s="35"/>
      <c r="T646" s="35" t="s">
        <v>1624</v>
      </c>
      <c r="U646" s="40">
        <v>46077</v>
      </c>
      <c r="V646" s="41">
        <v>46153.532766203702</v>
      </c>
      <c r="W646" s="40">
        <v>46076</v>
      </c>
      <c r="X646" s="40">
        <v>46153</v>
      </c>
      <c r="Y646" s="35" t="s">
        <v>916</v>
      </c>
      <c r="Z646" s="35" t="s">
        <v>916</v>
      </c>
      <c r="AA646" s="38">
        <v>172.11666666720001</v>
      </c>
      <c r="AB646" s="42" t="s">
        <v>916</v>
      </c>
      <c r="AC646" s="43" t="s">
        <v>916</v>
      </c>
      <c r="AD646" s="43" t="s">
        <v>916</v>
      </c>
      <c r="AE646" s="33" t="s">
        <v>916</v>
      </c>
      <c r="AF646" s="35" t="s">
        <v>916</v>
      </c>
      <c r="AG646" s="44">
        <v>0</v>
      </c>
      <c r="AH646" s="42" t="s">
        <v>916</v>
      </c>
      <c r="AI646" s="32" t="e">
        <f>VLOOKUP(A646,'4月明細'!B:B,1,0)</f>
        <v>#N/A</v>
      </c>
    </row>
    <row r="647" spans="1:35" ht="19.95" customHeight="1" x14ac:dyDescent="0.3">
      <c r="A647" s="33" t="s">
        <v>2557</v>
      </c>
      <c r="B647" s="34">
        <v>46076.472916666666</v>
      </c>
      <c r="C647" s="34" t="str">
        <f t="shared" si="23"/>
        <v>202602</v>
      </c>
      <c r="D647" s="35" t="s">
        <v>1653</v>
      </c>
      <c r="E647" s="36" t="s">
        <v>934</v>
      </c>
      <c r="F647" s="36" t="s">
        <v>1076</v>
      </c>
      <c r="G647" s="37" t="s">
        <v>2558</v>
      </c>
      <c r="H647" s="36" t="s">
        <v>928</v>
      </c>
      <c r="I647" s="35" t="s">
        <v>2559</v>
      </c>
      <c r="J647" s="36" t="s">
        <v>929</v>
      </c>
      <c r="K647" s="33" t="s">
        <v>916</v>
      </c>
      <c r="L647" s="35" t="s">
        <v>916</v>
      </c>
      <c r="M647" s="36" t="s">
        <v>916</v>
      </c>
      <c r="N647" s="45">
        <v>46083.643750000003</v>
      </c>
      <c r="O647" s="36" t="s">
        <v>939</v>
      </c>
      <c r="P647" s="38">
        <v>7.1708333333000001</v>
      </c>
      <c r="Q647" s="36" t="s">
        <v>916</v>
      </c>
      <c r="R647" s="35" t="s">
        <v>916</v>
      </c>
      <c r="S647" s="35"/>
      <c r="T647" s="35" t="s">
        <v>1624</v>
      </c>
      <c r="U647" s="40">
        <v>46077</v>
      </c>
      <c r="V647" s="41">
        <v>46153.532766203702</v>
      </c>
      <c r="W647" s="40">
        <v>46076</v>
      </c>
      <c r="X647" s="40">
        <v>46153</v>
      </c>
      <c r="Y647" s="35" t="s">
        <v>916</v>
      </c>
      <c r="Z647" s="35" t="s">
        <v>916</v>
      </c>
      <c r="AA647" s="38">
        <v>172.09999999920001</v>
      </c>
      <c r="AB647" s="42" t="s">
        <v>916</v>
      </c>
      <c r="AC647" s="43" t="s">
        <v>916</v>
      </c>
      <c r="AD647" s="43" t="s">
        <v>916</v>
      </c>
      <c r="AE647" s="33" t="s">
        <v>916</v>
      </c>
      <c r="AF647" s="35" t="s">
        <v>916</v>
      </c>
      <c r="AG647" s="44">
        <v>0</v>
      </c>
      <c r="AH647" s="42" t="s">
        <v>916</v>
      </c>
      <c r="AI647" s="32" t="e">
        <f>VLOOKUP(A647,'4月明細'!B:B,1,0)</f>
        <v>#N/A</v>
      </c>
    </row>
    <row r="648" spans="1:35" ht="19.95" customHeight="1" x14ac:dyDescent="0.3">
      <c r="A648" s="33" t="s">
        <v>2560</v>
      </c>
      <c r="B648" s="34">
        <v>46076.414583333331</v>
      </c>
      <c r="C648" s="34" t="str">
        <f t="shared" si="23"/>
        <v>202602</v>
      </c>
      <c r="D648" s="35" t="s">
        <v>1653</v>
      </c>
      <c r="E648" s="36" t="s">
        <v>934</v>
      </c>
      <c r="F648" s="36" t="s">
        <v>1564</v>
      </c>
      <c r="G648" s="37" t="s">
        <v>2561</v>
      </c>
      <c r="H648" s="36" t="s">
        <v>928</v>
      </c>
      <c r="I648" s="35"/>
      <c r="J648" s="36" t="s">
        <v>929</v>
      </c>
      <c r="K648" s="33" t="s">
        <v>916</v>
      </c>
      <c r="L648" s="35" t="s">
        <v>916</v>
      </c>
      <c r="M648" s="36" t="s">
        <v>916</v>
      </c>
      <c r="N648" s="45">
        <v>46083.643750000003</v>
      </c>
      <c r="O648" s="36" t="s">
        <v>939</v>
      </c>
      <c r="P648" s="38">
        <v>7.2291666667000003</v>
      </c>
      <c r="Q648" s="36" t="s">
        <v>916</v>
      </c>
      <c r="R648" s="35" t="s">
        <v>916</v>
      </c>
      <c r="S648" s="35"/>
      <c r="T648" s="35" t="s">
        <v>1624</v>
      </c>
      <c r="U648" s="40">
        <v>46077</v>
      </c>
      <c r="V648" s="41">
        <v>46153.532766203702</v>
      </c>
      <c r="W648" s="40">
        <v>46076</v>
      </c>
      <c r="X648" s="40">
        <v>46153</v>
      </c>
      <c r="Y648" s="35" t="s">
        <v>916</v>
      </c>
      <c r="Z648" s="35" t="s">
        <v>916</v>
      </c>
      <c r="AA648" s="38">
        <v>173.50000000079999</v>
      </c>
      <c r="AB648" s="42" t="s">
        <v>916</v>
      </c>
      <c r="AC648" s="43" t="s">
        <v>916</v>
      </c>
      <c r="AD648" s="43" t="s">
        <v>916</v>
      </c>
      <c r="AE648" s="33" t="s">
        <v>916</v>
      </c>
      <c r="AF648" s="35" t="s">
        <v>916</v>
      </c>
      <c r="AG648" s="44">
        <v>0</v>
      </c>
      <c r="AH648" s="42" t="s">
        <v>916</v>
      </c>
      <c r="AI648" s="32" t="e">
        <f>VLOOKUP(A648,'4月明細'!B:B,1,0)</f>
        <v>#N/A</v>
      </c>
    </row>
    <row r="649" spans="1:35" ht="19.95" customHeight="1" x14ac:dyDescent="0.3">
      <c r="A649" s="33" t="s">
        <v>462</v>
      </c>
      <c r="B649" s="34">
        <v>46076.437326388892</v>
      </c>
      <c r="C649" s="34" t="str">
        <f t="shared" si="23"/>
        <v>202602</v>
      </c>
      <c r="D649" s="35" t="s">
        <v>909</v>
      </c>
      <c r="E649" s="36" t="s">
        <v>910</v>
      </c>
      <c r="F649" s="36" t="s">
        <v>2327</v>
      </c>
      <c r="G649" s="37" t="s">
        <v>1544</v>
      </c>
      <c r="H649" s="36" t="s">
        <v>928</v>
      </c>
      <c r="I649" s="35" t="s">
        <v>2562</v>
      </c>
      <c r="J649" s="36" t="s">
        <v>929</v>
      </c>
      <c r="K649" s="33" t="s">
        <v>916</v>
      </c>
      <c r="L649" s="35" t="s">
        <v>916</v>
      </c>
      <c r="M649" s="36" t="s">
        <v>957</v>
      </c>
      <c r="N649" s="45">
        <v>46076.569444444445</v>
      </c>
      <c r="O649" s="36" t="s">
        <v>25</v>
      </c>
      <c r="P649" s="38">
        <v>0.13211805560000001</v>
      </c>
      <c r="Q649" s="39" t="s">
        <v>2563</v>
      </c>
      <c r="R649" s="35" t="s">
        <v>916</v>
      </c>
      <c r="S649" s="35" t="s">
        <v>2564</v>
      </c>
      <c r="T649" s="35" t="s">
        <v>1624</v>
      </c>
      <c r="U649" s="40">
        <v>46077</v>
      </c>
      <c r="V649" s="41">
        <v>46153.532766203702</v>
      </c>
      <c r="W649" s="40">
        <v>46076</v>
      </c>
      <c r="X649" s="35" t="s">
        <v>916</v>
      </c>
      <c r="Y649" s="35" t="s">
        <v>916</v>
      </c>
      <c r="Z649" s="35" t="s">
        <v>916</v>
      </c>
      <c r="AA649" s="38">
        <v>3.1708333344000001</v>
      </c>
      <c r="AB649" s="42" t="s">
        <v>916</v>
      </c>
      <c r="AC649" s="43" t="s">
        <v>916</v>
      </c>
      <c r="AD649" s="43" t="s">
        <v>916</v>
      </c>
      <c r="AE649" s="33" t="s">
        <v>916</v>
      </c>
      <c r="AF649" s="35" t="s">
        <v>916</v>
      </c>
      <c r="AG649" s="44">
        <v>492181.66666666669</v>
      </c>
      <c r="AH649" s="42" t="s">
        <v>916</v>
      </c>
      <c r="AI649" s="32" t="e">
        <f>VLOOKUP(A649,'4月明細'!B:B,1,0)</f>
        <v>#N/A</v>
      </c>
    </row>
    <row r="650" spans="1:35" ht="19.95" customHeight="1" x14ac:dyDescent="0.3">
      <c r="A650" s="33" t="s">
        <v>2565</v>
      </c>
      <c r="B650" s="34">
        <v>46076.413194444445</v>
      </c>
      <c r="C650" s="34" t="str">
        <f t="shared" si="23"/>
        <v>202602</v>
      </c>
      <c r="D650" s="35" t="s">
        <v>1653</v>
      </c>
      <c r="E650" s="36" t="s">
        <v>934</v>
      </c>
      <c r="F650" s="36" t="s">
        <v>1419</v>
      </c>
      <c r="G650" s="37" t="s">
        <v>2566</v>
      </c>
      <c r="H650" s="36" t="s">
        <v>928</v>
      </c>
      <c r="I650" s="35" t="s">
        <v>2567</v>
      </c>
      <c r="J650" s="36" t="s">
        <v>929</v>
      </c>
      <c r="K650" s="33" t="s">
        <v>916</v>
      </c>
      <c r="L650" s="35" t="s">
        <v>916</v>
      </c>
      <c r="M650" s="36" t="s">
        <v>916</v>
      </c>
      <c r="N650" s="45">
        <v>46083.644444444442</v>
      </c>
      <c r="O650" s="36" t="s">
        <v>939</v>
      </c>
      <c r="P650" s="38">
        <v>7.2312500000000002</v>
      </c>
      <c r="Q650" s="36" t="s">
        <v>916</v>
      </c>
      <c r="R650" s="35" t="s">
        <v>916</v>
      </c>
      <c r="S650" s="35"/>
      <c r="T650" s="35" t="s">
        <v>1624</v>
      </c>
      <c r="U650" s="40">
        <v>46077</v>
      </c>
      <c r="V650" s="41">
        <v>46153.532766203702</v>
      </c>
      <c r="W650" s="40">
        <v>46076</v>
      </c>
      <c r="X650" s="40">
        <v>46153</v>
      </c>
      <c r="Y650" s="35" t="s">
        <v>916</v>
      </c>
      <c r="Z650" s="35" t="s">
        <v>916</v>
      </c>
      <c r="AA650" s="38">
        <v>173.55</v>
      </c>
      <c r="AB650" s="42" t="s">
        <v>916</v>
      </c>
      <c r="AC650" s="43" t="s">
        <v>916</v>
      </c>
      <c r="AD650" s="43" t="s">
        <v>916</v>
      </c>
      <c r="AE650" s="33" t="s">
        <v>916</v>
      </c>
      <c r="AF650" s="35" t="s">
        <v>916</v>
      </c>
      <c r="AG650" s="44">
        <v>0</v>
      </c>
      <c r="AH650" s="42" t="s">
        <v>916</v>
      </c>
      <c r="AI650" s="32" t="e">
        <f>VLOOKUP(A650,'4月明細'!B:B,1,0)</f>
        <v>#N/A</v>
      </c>
    </row>
    <row r="651" spans="1:35" ht="19.95" customHeight="1" x14ac:dyDescent="0.3">
      <c r="A651" s="33" t="s">
        <v>2568</v>
      </c>
      <c r="B651" s="34">
        <v>46076.411805555559</v>
      </c>
      <c r="C651" s="34" t="str">
        <f t="shared" si="23"/>
        <v>202602</v>
      </c>
      <c r="D651" s="35" t="s">
        <v>1653</v>
      </c>
      <c r="E651" s="36" t="s">
        <v>934</v>
      </c>
      <c r="F651" s="36" t="s">
        <v>1419</v>
      </c>
      <c r="G651" s="37" t="s">
        <v>1660</v>
      </c>
      <c r="H651" s="36" t="s">
        <v>1114</v>
      </c>
      <c r="I651" s="35" t="s">
        <v>2569</v>
      </c>
      <c r="J651" s="36" t="s">
        <v>929</v>
      </c>
      <c r="K651" s="33" t="s">
        <v>916</v>
      </c>
      <c r="L651" s="35" t="s">
        <v>916</v>
      </c>
      <c r="M651" s="36" t="s">
        <v>916</v>
      </c>
      <c r="N651" s="45">
        <v>46083.644444444442</v>
      </c>
      <c r="O651" s="36" t="s">
        <v>939</v>
      </c>
      <c r="P651" s="38">
        <v>7.2326388889000004</v>
      </c>
      <c r="Q651" s="36" t="s">
        <v>916</v>
      </c>
      <c r="R651" s="35" t="s">
        <v>916</v>
      </c>
      <c r="S651" s="35"/>
      <c r="T651" s="35" t="s">
        <v>1624</v>
      </c>
      <c r="U651" s="40">
        <v>46077</v>
      </c>
      <c r="V651" s="41">
        <v>46153.532766203702</v>
      </c>
      <c r="W651" s="40">
        <v>46076</v>
      </c>
      <c r="X651" s="40">
        <v>46153</v>
      </c>
      <c r="Y651" s="35" t="s">
        <v>916</v>
      </c>
      <c r="Z651" s="35" t="s">
        <v>916</v>
      </c>
      <c r="AA651" s="38">
        <v>173.5833333336</v>
      </c>
      <c r="AB651" s="42" t="s">
        <v>916</v>
      </c>
      <c r="AC651" s="43" t="s">
        <v>916</v>
      </c>
      <c r="AD651" s="43" t="s">
        <v>916</v>
      </c>
      <c r="AE651" s="33" t="s">
        <v>916</v>
      </c>
      <c r="AF651" s="35" t="s">
        <v>916</v>
      </c>
      <c r="AG651" s="44">
        <v>0</v>
      </c>
      <c r="AH651" s="42" t="s">
        <v>916</v>
      </c>
      <c r="AI651" s="32" t="e">
        <f>VLOOKUP(A651,'4月明細'!B:B,1,0)</f>
        <v>#N/A</v>
      </c>
    </row>
    <row r="652" spans="1:35" ht="19.95" customHeight="1" x14ac:dyDescent="0.3">
      <c r="A652" s="33" t="s">
        <v>2570</v>
      </c>
      <c r="B652" s="34">
        <v>46076.401388888888</v>
      </c>
      <c r="C652" s="34" t="str">
        <f t="shared" si="23"/>
        <v>202602</v>
      </c>
      <c r="D652" s="35" t="s">
        <v>1653</v>
      </c>
      <c r="E652" s="36" t="s">
        <v>934</v>
      </c>
      <c r="F652" s="36" t="s">
        <v>961</v>
      </c>
      <c r="G652" s="37" t="s">
        <v>2048</v>
      </c>
      <c r="H652" s="36" t="s">
        <v>928</v>
      </c>
      <c r="I652" s="35" t="s">
        <v>2571</v>
      </c>
      <c r="J652" s="36" t="s">
        <v>929</v>
      </c>
      <c r="K652" s="33" t="s">
        <v>916</v>
      </c>
      <c r="L652" s="35" t="s">
        <v>916</v>
      </c>
      <c r="M652" s="36" t="s">
        <v>957</v>
      </c>
      <c r="N652" s="45">
        <v>46083.646527777775</v>
      </c>
      <c r="O652" s="36" t="s">
        <v>939</v>
      </c>
      <c r="P652" s="38">
        <v>7.2451388888999997</v>
      </c>
      <c r="Q652" s="39" t="s">
        <v>2369</v>
      </c>
      <c r="R652" s="35" t="s">
        <v>916</v>
      </c>
      <c r="S652" s="35"/>
      <c r="T652" s="35" t="s">
        <v>1624</v>
      </c>
      <c r="U652" s="40">
        <v>46077</v>
      </c>
      <c r="V652" s="41">
        <v>46153.532766203702</v>
      </c>
      <c r="W652" s="40">
        <v>46076</v>
      </c>
      <c r="X652" s="40">
        <v>46153</v>
      </c>
      <c r="Y652" s="35" t="s">
        <v>916</v>
      </c>
      <c r="Z652" s="35" t="s">
        <v>916</v>
      </c>
      <c r="AA652" s="38">
        <v>173.88333333360001</v>
      </c>
      <c r="AB652" s="42" t="s">
        <v>916</v>
      </c>
      <c r="AC652" s="43" t="s">
        <v>916</v>
      </c>
      <c r="AD652" s="43" t="s">
        <v>916</v>
      </c>
      <c r="AE652" s="33" t="s">
        <v>916</v>
      </c>
      <c r="AF652" s="35" t="s">
        <v>916</v>
      </c>
      <c r="AG652" s="44">
        <v>0</v>
      </c>
      <c r="AH652" s="42" t="s">
        <v>916</v>
      </c>
      <c r="AI652" s="32" t="e">
        <f>VLOOKUP(A652,'4月明細'!B:B,1,0)</f>
        <v>#N/A</v>
      </c>
    </row>
    <row r="653" spans="1:35" ht="19.95" customHeight="1" x14ac:dyDescent="0.3">
      <c r="A653" s="33" t="s">
        <v>2572</v>
      </c>
      <c r="B653" s="34">
        <v>46076.397222222222</v>
      </c>
      <c r="C653" s="34" t="str">
        <f t="shared" si="23"/>
        <v>202602</v>
      </c>
      <c r="D653" s="35" t="s">
        <v>1653</v>
      </c>
      <c r="E653" s="36" t="s">
        <v>934</v>
      </c>
      <c r="F653" s="36" t="s">
        <v>961</v>
      </c>
      <c r="G653" s="37" t="s">
        <v>2145</v>
      </c>
      <c r="H653" s="36" t="s">
        <v>928</v>
      </c>
      <c r="I653" s="35" t="s">
        <v>2573</v>
      </c>
      <c r="J653" s="36" t="s">
        <v>929</v>
      </c>
      <c r="K653" s="33" t="s">
        <v>916</v>
      </c>
      <c r="L653" s="35" t="s">
        <v>916</v>
      </c>
      <c r="M653" s="36" t="s">
        <v>957</v>
      </c>
      <c r="N653" s="45">
        <v>46083.645833333336</v>
      </c>
      <c r="O653" s="36" t="s">
        <v>1384</v>
      </c>
      <c r="P653" s="38">
        <v>7.2486111110999998</v>
      </c>
      <c r="Q653" s="36" t="s">
        <v>916</v>
      </c>
      <c r="R653" s="35" t="s">
        <v>916</v>
      </c>
      <c r="S653" s="35"/>
      <c r="T653" s="35" t="s">
        <v>1624</v>
      </c>
      <c r="U653" s="40">
        <v>46077</v>
      </c>
      <c r="V653" s="41">
        <v>46153.532766203702</v>
      </c>
      <c r="W653" s="40">
        <v>46076</v>
      </c>
      <c r="X653" s="35" t="s">
        <v>916</v>
      </c>
      <c r="Y653" s="35" t="s">
        <v>916</v>
      </c>
      <c r="Z653" s="35" t="s">
        <v>916</v>
      </c>
      <c r="AA653" s="38">
        <v>173.96666666639999</v>
      </c>
      <c r="AB653" s="42" t="s">
        <v>916</v>
      </c>
      <c r="AC653" s="43" t="s">
        <v>916</v>
      </c>
      <c r="AD653" s="43" t="s">
        <v>916</v>
      </c>
      <c r="AE653" s="33" t="s">
        <v>916</v>
      </c>
      <c r="AF653" s="35" t="s">
        <v>916</v>
      </c>
      <c r="AG653" s="44">
        <v>0</v>
      </c>
      <c r="AH653" s="42" t="s">
        <v>916</v>
      </c>
      <c r="AI653" s="32" t="e">
        <f>VLOOKUP(A653,'4月明細'!B:B,1,0)</f>
        <v>#N/A</v>
      </c>
    </row>
    <row r="654" spans="1:35" ht="19.95" customHeight="1" x14ac:dyDescent="0.3">
      <c r="A654" s="33" t="s">
        <v>2574</v>
      </c>
      <c r="B654" s="34">
        <v>46076.390972222223</v>
      </c>
      <c r="C654" s="34" t="str">
        <f t="shared" si="23"/>
        <v>202602</v>
      </c>
      <c r="D654" s="35" t="s">
        <v>1653</v>
      </c>
      <c r="E654" s="36" t="s">
        <v>934</v>
      </c>
      <c r="F654" s="36" t="s">
        <v>997</v>
      </c>
      <c r="G654" s="37" t="s">
        <v>1660</v>
      </c>
      <c r="H654" s="36" t="s">
        <v>1114</v>
      </c>
      <c r="I654" s="35" t="s">
        <v>2575</v>
      </c>
      <c r="J654" s="36" t="s">
        <v>929</v>
      </c>
      <c r="K654" s="33" t="s">
        <v>916</v>
      </c>
      <c r="L654" s="35" t="s">
        <v>916</v>
      </c>
      <c r="M654" s="36" t="s">
        <v>957</v>
      </c>
      <c r="N654" s="45">
        <v>46083.645833333336</v>
      </c>
      <c r="O654" s="36" t="s">
        <v>939</v>
      </c>
      <c r="P654" s="38">
        <v>7.2548611111000003</v>
      </c>
      <c r="Q654" s="36" t="s">
        <v>916</v>
      </c>
      <c r="R654" s="35" t="s">
        <v>916</v>
      </c>
      <c r="S654" s="35"/>
      <c r="T654" s="35" t="s">
        <v>1624</v>
      </c>
      <c r="U654" s="40">
        <v>46077</v>
      </c>
      <c r="V654" s="41">
        <v>46153.532766203702</v>
      </c>
      <c r="W654" s="40">
        <v>46076</v>
      </c>
      <c r="X654" s="40">
        <v>46153</v>
      </c>
      <c r="Y654" s="35" t="s">
        <v>916</v>
      </c>
      <c r="Z654" s="35" t="s">
        <v>916</v>
      </c>
      <c r="AA654" s="38">
        <v>174.11666666639999</v>
      </c>
      <c r="AB654" s="42" t="s">
        <v>916</v>
      </c>
      <c r="AC654" s="43" t="s">
        <v>916</v>
      </c>
      <c r="AD654" s="43" t="s">
        <v>916</v>
      </c>
      <c r="AE654" s="33" t="s">
        <v>916</v>
      </c>
      <c r="AF654" s="35" t="s">
        <v>916</v>
      </c>
      <c r="AG654" s="44">
        <v>0</v>
      </c>
      <c r="AH654" s="42" t="s">
        <v>916</v>
      </c>
      <c r="AI654" s="32" t="e">
        <f>VLOOKUP(A654,'4月明細'!B:B,1,0)</f>
        <v>#N/A</v>
      </c>
    </row>
    <row r="655" spans="1:35" ht="19.95" customHeight="1" x14ac:dyDescent="0.3">
      <c r="A655" s="33" t="s">
        <v>2576</v>
      </c>
      <c r="B655" s="34">
        <v>46076.386805555558</v>
      </c>
      <c r="C655" s="34" t="str">
        <f t="shared" si="23"/>
        <v>202602</v>
      </c>
      <c r="D655" s="35" t="s">
        <v>1653</v>
      </c>
      <c r="E655" s="36" t="s">
        <v>934</v>
      </c>
      <c r="F655" s="36" t="s">
        <v>1475</v>
      </c>
      <c r="G655" s="37" t="s">
        <v>1660</v>
      </c>
      <c r="H655" s="36" t="s">
        <v>1114</v>
      </c>
      <c r="I655" s="35" t="s">
        <v>2577</v>
      </c>
      <c r="J655" s="36" t="s">
        <v>929</v>
      </c>
      <c r="K655" s="33" t="s">
        <v>916</v>
      </c>
      <c r="L655" s="35" t="s">
        <v>916</v>
      </c>
      <c r="M655" s="36" t="s">
        <v>916</v>
      </c>
      <c r="N655" s="45">
        <v>46083.646527777775</v>
      </c>
      <c r="O655" s="36" t="s">
        <v>939</v>
      </c>
      <c r="P655" s="38">
        <v>7.2597222221999997</v>
      </c>
      <c r="Q655" s="36" t="s">
        <v>916</v>
      </c>
      <c r="R655" s="35" t="s">
        <v>916</v>
      </c>
      <c r="S655" s="35"/>
      <c r="T655" s="35" t="s">
        <v>1624</v>
      </c>
      <c r="U655" s="40">
        <v>46077</v>
      </c>
      <c r="V655" s="41">
        <v>46153.532766203702</v>
      </c>
      <c r="W655" s="40">
        <v>46076</v>
      </c>
      <c r="X655" s="40">
        <v>46153</v>
      </c>
      <c r="Y655" s="35" t="s">
        <v>916</v>
      </c>
      <c r="Z655" s="35" t="s">
        <v>916</v>
      </c>
      <c r="AA655" s="38">
        <v>174.23333333279999</v>
      </c>
      <c r="AB655" s="42" t="s">
        <v>916</v>
      </c>
      <c r="AC655" s="43" t="s">
        <v>916</v>
      </c>
      <c r="AD655" s="43" t="s">
        <v>916</v>
      </c>
      <c r="AE655" s="33" t="s">
        <v>916</v>
      </c>
      <c r="AF655" s="35" t="s">
        <v>916</v>
      </c>
      <c r="AG655" s="44">
        <v>0</v>
      </c>
      <c r="AH655" s="42" t="s">
        <v>916</v>
      </c>
      <c r="AI655" s="32" t="e">
        <f>VLOOKUP(A655,'4月明細'!B:B,1,0)</f>
        <v>#N/A</v>
      </c>
    </row>
    <row r="656" spans="1:35" ht="19.95" customHeight="1" x14ac:dyDescent="0.3">
      <c r="A656" s="33" t="s">
        <v>2578</v>
      </c>
      <c r="B656" s="34">
        <v>46076.380555555559</v>
      </c>
      <c r="C656" s="34" t="str">
        <f t="shared" si="23"/>
        <v>202602</v>
      </c>
      <c r="D656" s="35" t="s">
        <v>1653</v>
      </c>
      <c r="E656" s="36" t="s">
        <v>934</v>
      </c>
      <c r="F656" s="36" t="s">
        <v>1552</v>
      </c>
      <c r="G656" s="37" t="s">
        <v>1660</v>
      </c>
      <c r="H656" s="36" t="s">
        <v>1114</v>
      </c>
      <c r="I656" s="35" t="s">
        <v>2579</v>
      </c>
      <c r="J656" s="36" t="s">
        <v>929</v>
      </c>
      <c r="K656" s="33" t="s">
        <v>916</v>
      </c>
      <c r="L656" s="35" t="s">
        <v>916</v>
      </c>
      <c r="M656" s="36" t="s">
        <v>916</v>
      </c>
      <c r="N656" s="45">
        <v>46083.647222222222</v>
      </c>
      <c r="O656" s="36" t="s">
        <v>939</v>
      </c>
      <c r="P656" s="38">
        <v>7.2666666666999999</v>
      </c>
      <c r="Q656" s="36" t="s">
        <v>916</v>
      </c>
      <c r="R656" s="35" t="s">
        <v>916</v>
      </c>
      <c r="S656" s="35"/>
      <c r="T656" s="35" t="s">
        <v>1624</v>
      </c>
      <c r="U656" s="40">
        <v>46077</v>
      </c>
      <c r="V656" s="41">
        <v>46153.532766203702</v>
      </c>
      <c r="W656" s="40">
        <v>46076</v>
      </c>
      <c r="X656" s="40">
        <v>46153</v>
      </c>
      <c r="Y656" s="35" t="s">
        <v>916</v>
      </c>
      <c r="Z656" s="35" t="s">
        <v>916</v>
      </c>
      <c r="AA656" s="38">
        <v>174.40000000079999</v>
      </c>
      <c r="AB656" s="42" t="s">
        <v>916</v>
      </c>
      <c r="AC656" s="43" t="s">
        <v>916</v>
      </c>
      <c r="AD656" s="43" t="s">
        <v>916</v>
      </c>
      <c r="AE656" s="33" t="s">
        <v>916</v>
      </c>
      <c r="AF656" s="35" t="s">
        <v>916</v>
      </c>
      <c r="AG656" s="44">
        <v>0</v>
      </c>
      <c r="AH656" s="42" t="s">
        <v>916</v>
      </c>
      <c r="AI656" s="32" t="e">
        <f>VLOOKUP(A656,'4月明細'!B:B,1,0)</f>
        <v>#N/A</v>
      </c>
    </row>
    <row r="657" spans="1:35" ht="19.95" customHeight="1" x14ac:dyDescent="0.3">
      <c r="A657" s="33" t="s">
        <v>2580</v>
      </c>
      <c r="B657" s="34">
        <v>46076.380555555559</v>
      </c>
      <c r="C657" s="34" t="str">
        <f t="shared" si="23"/>
        <v>202602</v>
      </c>
      <c r="D657" s="35" t="s">
        <v>1653</v>
      </c>
      <c r="E657" s="36" t="s">
        <v>934</v>
      </c>
      <c r="F657" s="36" t="s">
        <v>2165</v>
      </c>
      <c r="G657" s="37" t="s">
        <v>2581</v>
      </c>
      <c r="H657" s="36" t="s">
        <v>928</v>
      </c>
      <c r="I657" s="35"/>
      <c r="J657" s="36" t="s">
        <v>929</v>
      </c>
      <c r="K657" s="33" t="s">
        <v>916</v>
      </c>
      <c r="L657" s="35" t="s">
        <v>916</v>
      </c>
      <c r="M657" s="36" t="s">
        <v>916</v>
      </c>
      <c r="N657" s="45">
        <v>46083.647222222222</v>
      </c>
      <c r="O657" s="36" t="s">
        <v>939</v>
      </c>
      <c r="P657" s="38">
        <v>7.2666666666999999</v>
      </c>
      <c r="Q657" s="36" t="s">
        <v>916</v>
      </c>
      <c r="R657" s="35" t="s">
        <v>916</v>
      </c>
      <c r="S657" s="35"/>
      <c r="T657" s="35" t="s">
        <v>1624</v>
      </c>
      <c r="U657" s="40">
        <v>46077</v>
      </c>
      <c r="V657" s="41">
        <v>46153.532766203702</v>
      </c>
      <c r="W657" s="40">
        <v>46076</v>
      </c>
      <c r="X657" s="40">
        <v>46153</v>
      </c>
      <c r="Y657" s="35" t="s">
        <v>916</v>
      </c>
      <c r="Z657" s="35" t="s">
        <v>916</v>
      </c>
      <c r="AA657" s="38">
        <v>174.40000000079999</v>
      </c>
      <c r="AB657" s="42" t="s">
        <v>916</v>
      </c>
      <c r="AC657" s="43" t="s">
        <v>916</v>
      </c>
      <c r="AD657" s="43" t="s">
        <v>916</v>
      </c>
      <c r="AE657" s="33" t="s">
        <v>916</v>
      </c>
      <c r="AF657" s="35" t="s">
        <v>916</v>
      </c>
      <c r="AG657" s="44">
        <v>0</v>
      </c>
      <c r="AH657" s="42" t="s">
        <v>916</v>
      </c>
      <c r="AI657" s="32" t="e">
        <f>VLOOKUP(A657,'4月明細'!B:B,1,0)</f>
        <v>#N/A</v>
      </c>
    </row>
    <row r="658" spans="1:35" ht="19.95" customHeight="1" x14ac:dyDescent="0.3">
      <c r="A658" s="33" t="s">
        <v>2582</v>
      </c>
      <c r="B658" s="34">
        <v>46076.372916666667</v>
      </c>
      <c r="C658" s="34" t="str">
        <f t="shared" si="23"/>
        <v>202602</v>
      </c>
      <c r="D658" s="35" t="s">
        <v>1653</v>
      </c>
      <c r="E658" s="36" t="s">
        <v>934</v>
      </c>
      <c r="F658" s="36" t="s">
        <v>2165</v>
      </c>
      <c r="G658" s="37" t="s">
        <v>2583</v>
      </c>
      <c r="H658" s="36" t="s">
        <v>928</v>
      </c>
      <c r="I658" s="35"/>
      <c r="J658" s="36" t="s">
        <v>929</v>
      </c>
      <c r="K658" s="33" t="s">
        <v>916</v>
      </c>
      <c r="L658" s="35" t="s">
        <v>916</v>
      </c>
      <c r="M658" s="36" t="s">
        <v>957</v>
      </c>
      <c r="N658" s="45">
        <v>46083.650694444441</v>
      </c>
      <c r="O658" s="36" t="s">
        <v>939</v>
      </c>
      <c r="P658" s="38">
        <v>7.2777777777999999</v>
      </c>
      <c r="Q658" s="36" t="s">
        <v>916</v>
      </c>
      <c r="R658" s="35" t="s">
        <v>916</v>
      </c>
      <c r="S658" s="35"/>
      <c r="T658" s="35" t="s">
        <v>1624</v>
      </c>
      <c r="U658" s="40">
        <v>46077</v>
      </c>
      <c r="V658" s="41">
        <v>46153.532766203702</v>
      </c>
      <c r="W658" s="40">
        <v>46076</v>
      </c>
      <c r="X658" s="40">
        <v>46153</v>
      </c>
      <c r="Y658" s="35" t="s">
        <v>916</v>
      </c>
      <c r="Z658" s="35" t="s">
        <v>916</v>
      </c>
      <c r="AA658" s="38">
        <v>174.66666666719999</v>
      </c>
      <c r="AB658" s="42" t="s">
        <v>916</v>
      </c>
      <c r="AC658" s="43" t="s">
        <v>916</v>
      </c>
      <c r="AD658" s="43" t="s">
        <v>916</v>
      </c>
      <c r="AE658" s="33" t="s">
        <v>916</v>
      </c>
      <c r="AF658" s="35" t="s">
        <v>916</v>
      </c>
      <c r="AG658" s="44">
        <v>0</v>
      </c>
      <c r="AH658" s="42" t="s">
        <v>916</v>
      </c>
      <c r="AI658" s="32" t="e">
        <f>VLOOKUP(A658,'4月明細'!B:B,1,0)</f>
        <v>#N/A</v>
      </c>
    </row>
    <row r="659" spans="1:35" ht="19.95" customHeight="1" x14ac:dyDescent="0.3">
      <c r="A659" s="33" t="s">
        <v>2584</v>
      </c>
      <c r="B659" s="34">
        <v>46076.370833333334</v>
      </c>
      <c r="C659" s="34" t="str">
        <f t="shared" si="23"/>
        <v>202602</v>
      </c>
      <c r="D659" s="35" t="s">
        <v>1653</v>
      </c>
      <c r="E659" s="36" t="s">
        <v>934</v>
      </c>
      <c r="F659" s="36" t="s">
        <v>1095</v>
      </c>
      <c r="G659" s="37" t="s">
        <v>2585</v>
      </c>
      <c r="H659" s="36" t="s">
        <v>928</v>
      </c>
      <c r="I659" s="35" t="s">
        <v>2586</v>
      </c>
      <c r="J659" s="36" t="s">
        <v>929</v>
      </c>
      <c r="K659" s="33" t="s">
        <v>916</v>
      </c>
      <c r="L659" s="35" t="s">
        <v>916</v>
      </c>
      <c r="M659" s="36" t="s">
        <v>957</v>
      </c>
      <c r="N659" s="45">
        <v>46083.647916666669</v>
      </c>
      <c r="O659" s="36" t="s">
        <v>939</v>
      </c>
      <c r="P659" s="38">
        <v>7.2770833333000002</v>
      </c>
      <c r="Q659" s="39" t="s">
        <v>2369</v>
      </c>
      <c r="R659" s="35" t="s">
        <v>916</v>
      </c>
      <c r="S659" s="35"/>
      <c r="T659" s="35" t="s">
        <v>1624</v>
      </c>
      <c r="U659" s="40">
        <v>46077</v>
      </c>
      <c r="V659" s="41">
        <v>46153.532766203702</v>
      </c>
      <c r="W659" s="40">
        <v>46076</v>
      </c>
      <c r="X659" s="40">
        <v>46153</v>
      </c>
      <c r="Y659" s="35" t="s">
        <v>916</v>
      </c>
      <c r="Z659" s="35" t="s">
        <v>916</v>
      </c>
      <c r="AA659" s="38">
        <v>174.64999999919999</v>
      </c>
      <c r="AB659" s="42" t="s">
        <v>916</v>
      </c>
      <c r="AC659" s="43" t="s">
        <v>916</v>
      </c>
      <c r="AD659" s="43" t="s">
        <v>916</v>
      </c>
      <c r="AE659" s="33" t="s">
        <v>916</v>
      </c>
      <c r="AF659" s="35" t="s">
        <v>916</v>
      </c>
      <c r="AG659" s="44">
        <v>0</v>
      </c>
      <c r="AH659" s="42" t="s">
        <v>916</v>
      </c>
      <c r="AI659" s="32" t="e">
        <f>VLOOKUP(A659,'4月明細'!B:B,1,0)</f>
        <v>#N/A</v>
      </c>
    </row>
    <row r="660" spans="1:35" ht="19.95" customHeight="1" x14ac:dyDescent="0.3">
      <c r="A660" s="33" t="s">
        <v>461</v>
      </c>
      <c r="B660" s="34">
        <v>46076.032986111109</v>
      </c>
      <c r="C660" s="34" t="str">
        <f t="shared" si="23"/>
        <v>202602</v>
      </c>
      <c r="D660" s="35" t="s">
        <v>960</v>
      </c>
      <c r="E660" s="36" t="s">
        <v>942</v>
      </c>
      <c r="F660" s="36" t="s">
        <v>1898</v>
      </c>
      <c r="G660" s="37" t="s">
        <v>2587</v>
      </c>
      <c r="H660" s="36" t="s">
        <v>928</v>
      </c>
      <c r="I660" s="35"/>
      <c r="J660" s="36" t="s">
        <v>945</v>
      </c>
      <c r="K660" s="33" t="s">
        <v>916</v>
      </c>
      <c r="L660" s="35" t="s">
        <v>916</v>
      </c>
      <c r="M660" s="36" t="s">
        <v>957</v>
      </c>
      <c r="N660" s="45">
        <v>46076.582638888889</v>
      </c>
      <c r="O660" s="36" t="s">
        <v>25</v>
      </c>
      <c r="P660" s="38">
        <v>0.54965277779999999</v>
      </c>
      <c r="Q660" s="39" t="s">
        <v>2588</v>
      </c>
      <c r="R660" s="46" t="s">
        <v>2589</v>
      </c>
      <c r="S660" s="35" t="s">
        <v>2590</v>
      </c>
      <c r="T660" s="35" t="s">
        <v>1624</v>
      </c>
      <c r="U660" s="40">
        <v>46077</v>
      </c>
      <c r="V660" s="41">
        <v>46153.532766203702</v>
      </c>
      <c r="W660" s="40">
        <v>46076</v>
      </c>
      <c r="X660" s="35" t="s">
        <v>916</v>
      </c>
      <c r="Y660" s="35" t="s">
        <v>916</v>
      </c>
      <c r="Z660" s="35" t="s">
        <v>916</v>
      </c>
      <c r="AA660" s="38">
        <v>13.1916666672</v>
      </c>
      <c r="AB660" s="42" t="s">
        <v>916</v>
      </c>
      <c r="AC660" s="43" t="s">
        <v>916</v>
      </c>
      <c r="AD660" s="43" t="s">
        <v>916</v>
      </c>
      <c r="AE660" s="33" t="s">
        <v>916</v>
      </c>
      <c r="AF660" s="35" t="s">
        <v>916</v>
      </c>
      <c r="AG660" s="44">
        <v>492181.98333333328</v>
      </c>
      <c r="AH660" s="42" t="s">
        <v>916</v>
      </c>
      <c r="AI660" s="32" t="e">
        <f>VLOOKUP(A660,'4月明細'!B:B,1,0)</f>
        <v>#N/A</v>
      </c>
    </row>
    <row r="661" spans="1:35" ht="19.95" customHeight="1" x14ac:dyDescent="0.3">
      <c r="A661" s="33" t="s">
        <v>460</v>
      </c>
      <c r="B661" s="34">
        <v>46075.647893518515</v>
      </c>
      <c r="C661" s="34" t="str">
        <f t="shared" si="23"/>
        <v>202602</v>
      </c>
      <c r="D661" s="35" t="s">
        <v>951</v>
      </c>
      <c r="E661" s="36" t="s">
        <v>910</v>
      </c>
      <c r="F661" s="36" t="s">
        <v>947</v>
      </c>
      <c r="G661" s="37" t="s">
        <v>2591</v>
      </c>
      <c r="H661" s="36" t="s">
        <v>928</v>
      </c>
      <c r="I661" s="35" t="s">
        <v>2592</v>
      </c>
      <c r="J661" s="36" t="s">
        <v>929</v>
      </c>
      <c r="K661" s="33" t="s">
        <v>916</v>
      </c>
      <c r="L661" s="35" t="s">
        <v>916</v>
      </c>
      <c r="M661" s="36" t="s">
        <v>957</v>
      </c>
      <c r="N661" s="45">
        <v>46076.570138888892</v>
      </c>
      <c r="O661" s="36" t="s">
        <v>25</v>
      </c>
      <c r="P661" s="38">
        <v>0.92224537039999999</v>
      </c>
      <c r="Q661" s="39" t="s">
        <v>2593</v>
      </c>
      <c r="R661" s="35" t="s">
        <v>916</v>
      </c>
      <c r="S661" s="35" t="s">
        <v>2594</v>
      </c>
      <c r="T661" s="35" t="s">
        <v>1624</v>
      </c>
      <c r="U661" s="40">
        <v>46076</v>
      </c>
      <c r="V661" s="41">
        <v>46153.532766203702</v>
      </c>
      <c r="W661" s="40">
        <v>46075</v>
      </c>
      <c r="X661" s="35" t="s">
        <v>916</v>
      </c>
      <c r="Y661" s="35" t="s">
        <v>916</v>
      </c>
      <c r="Z661" s="35" t="s">
        <v>916</v>
      </c>
      <c r="AA661" s="38">
        <v>22.133888889600001</v>
      </c>
      <c r="AB661" s="42" t="s">
        <v>916</v>
      </c>
      <c r="AC661" s="43" t="s">
        <v>916</v>
      </c>
      <c r="AD661" s="43" t="s">
        <v>916</v>
      </c>
      <c r="AE661" s="33" t="s">
        <v>916</v>
      </c>
      <c r="AF661" s="35" t="s">
        <v>916</v>
      </c>
      <c r="AG661" s="44">
        <v>492181.68333333329</v>
      </c>
      <c r="AH661" s="42" t="s">
        <v>916</v>
      </c>
      <c r="AI661" s="32" t="e">
        <f>VLOOKUP(A661,'4月明細'!B:B,1,0)</f>
        <v>#N/A</v>
      </c>
    </row>
    <row r="662" spans="1:35" ht="19.95" customHeight="1" x14ac:dyDescent="0.3">
      <c r="A662" s="33" t="s">
        <v>459</v>
      </c>
      <c r="B662" s="34">
        <v>46075.604409722226</v>
      </c>
      <c r="C662" s="34" t="str">
        <f t="shared" si="23"/>
        <v>202602</v>
      </c>
      <c r="D662" s="35" t="s">
        <v>996</v>
      </c>
      <c r="E662" s="36" t="s">
        <v>910</v>
      </c>
      <c r="F662" s="36" t="s">
        <v>987</v>
      </c>
      <c r="G662" s="37" t="s">
        <v>2595</v>
      </c>
      <c r="H662" s="36" t="s">
        <v>954</v>
      </c>
      <c r="I662" s="35"/>
      <c r="J662" s="36" t="s">
        <v>914</v>
      </c>
      <c r="K662" s="33" t="s">
        <v>916</v>
      </c>
      <c r="L662" s="35" t="s">
        <v>916</v>
      </c>
      <c r="M662" s="36" t="s">
        <v>916</v>
      </c>
      <c r="N662" s="45">
        <v>46076.570833333331</v>
      </c>
      <c r="O662" s="36" t="s">
        <v>25</v>
      </c>
      <c r="P662" s="38">
        <v>0.96642361109999997</v>
      </c>
      <c r="Q662" s="39" t="s">
        <v>2596</v>
      </c>
      <c r="R662" s="35" t="s">
        <v>916</v>
      </c>
      <c r="S662" s="35"/>
      <c r="T662" s="35" t="s">
        <v>1624</v>
      </c>
      <c r="U662" s="40">
        <v>46076</v>
      </c>
      <c r="V662" s="41">
        <v>46153.532766203702</v>
      </c>
      <c r="W662" s="40">
        <v>46075</v>
      </c>
      <c r="X662" s="35" t="s">
        <v>916</v>
      </c>
      <c r="Y662" s="35" t="s">
        <v>916</v>
      </c>
      <c r="Z662" s="35" t="s">
        <v>916</v>
      </c>
      <c r="AA662" s="38">
        <v>23.194166666400001</v>
      </c>
      <c r="AB662" s="42" t="s">
        <v>916</v>
      </c>
      <c r="AC662" s="43" t="s">
        <v>916</v>
      </c>
      <c r="AD662" s="43" t="s">
        <v>916</v>
      </c>
      <c r="AE662" s="33" t="s">
        <v>916</v>
      </c>
      <c r="AF662" s="35" t="s">
        <v>916</v>
      </c>
      <c r="AG662" s="44">
        <v>492181.70000000013</v>
      </c>
      <c r="AH662" s="42" t="s">
        <v>916</v>
      </c>
      <c r="AI662" s="32" t="e">
        <f>VLOOKUP(A662,'4月明細'!B:B,1,0)</f>
        <v>#N/A</v>
      </c>
    </row>
    <row r="663" spans="1:35" ht="19.95" customHeight="1" x14ac:dyDescent="0.3">
      <c r="A663" s="33" t="s">
        <v>458</v>
      </c>
      <c r="B663" s="34">
        <v>46075.600057870368</v>
      </c>
      <c r="C663" s="34" t="str">
        <f t="shared" si="23"/>
        <v>202602</v>
      </c>
      <c r="D663" s="35" t="s">
        <v>996</v>
      </c>
      <c r="E663" s="36" t="s">
        <v>910</v>
      </c>
      <c r="F663" s="36" t="s">
        <v>1634</v>
      </c>
      <c r="G663" s="37" t="s">
        <v>2597</v>
      </c>
      <c r="H663" s="36" t="s">
        <v>1078</v>
      </c>
      <c r="I663" s="35"/>
      <c r="J663" s="36" t="s">
        <v>929</v>
      </c>
      <c r="K663" s="33" t="s">
        <v>916</v>
      </c>
      <c r="L663" s="35" t="s">
        <v>916</v>
      </c>
      <c r="M663" s="36" t="s">
        <v>916</v>
      </c>
      <c r="N663" s="45">
        <v>46076.570833333331</v>
      </c>
      <c r="O663" s="36" t="s">
        <v>25</v>
      </c>
      <c r="P663" s="38">
        <v>0.97077546299999995</v>
      </c>
      <c r="Q663" s="39" t="s">
        <v>2598</v>
      </c>
      <c r="R663" s="35" t="s">
        <v>916</v>
      </c>
      <c r="S663" s="35" t="s">
        <v>2599</v>
      </c>
      <c r="T663" s="35" t="s">
        <v>1624</v>
      </c>
      <c r="U663" s="40">
        <v>46076</v>
      </c>
      <c r="V663" s="41">
        <v>46153.532766203702</v>
      </c>
      <c r="W663" s="40">
        <v>46075</v>
      </c>
      <c r="X663" s="35" t="s">
        <v>916</v>
      </c>
      <c r="Y663" s="35" t="s">
        <v>916</v>
      </c>
      <c r="Z663" s="35" t="s">
        <v>916</v>
      </c>
      <c r="AA663" s="38">
        <v>23.298611112</v>
      </c>
      <c r="AB663" s="42" t="s">
        <v>916</v>
      </c>
      <c r="AC663" s="43" t="s">
        <v>916</v>
      </c>
      <c r="AD663" s="43" t="s">
        <v>916</v>
      </c>
      <c r="AE663" s="33" t="s">
        <v>916</v>
      </c>
      <c r="AF663" s="35" t="s">
        <v>916</v>
      </c>
      <c r="AG663" s="44">
        <v>492181.70000000013</v>
      </c>
      <c r="AH663" s="42" t="s">
        <v>916</v>
      </c>
      <c r="AI663" s="32" t="e">
        <f>VLOOKUP(A663,'4月明細'!B:B,1,0)</f>
        <v>#N/A</v>
      </c>
    </row>
    <row r="664" spans="1:35" ht="19.95" customHeight="1" x14ac:dyDescent="0.3">
      <c r="A664" s="33" t="s">
        <v>457</v>
      </c>
      <c r="B664" s="34">
        <v>46075.582094907404</v>
      </c>
      <c r="C664" s="34" t="str">
        <f t="shared" si="23"/>
        <v>202602</v>
      </c>
      <c r="D664" s="35" t="s">
        <v>996</v>
      </c>
      <c r="E664" s="36" t="s">
        <v>910</v>
      </c>
      <c r="F664" s="36" t="s">
        <v>2600</v>
      </c>
      <c r="G664" s="37" t="s">
        <v>2601</v>
      </c>
      <c r="H664" s="36" t="s">
        <v>1078</v>
      </c>
      <c r="I664" s="35"/>
      <c r="J664" s="36" t="s">
        <v>914</v>
      </c>
      <c r="K664" s="33" t="s">
        <v>916</v>
      </c>
      <c r="L664" s="35" t="s">
        <v>916</v>
      </c>
      <c r="M664" s="36" t="s">
        <v>916</v>
      </c>
      <c r="N664" s="45">
        <v>46076.571527777778</v>
      </c>
      <c r="O664" s="36" t="s">
        <v>25</v>
      </c>
      <c r="P664" s="38">
        <v>0.98943287040000005</v>
      </c>
      <c r="Q664" s="39" t="s">
        <v>2602</v>
      </c>
      <c r="R664" s="35" t="s">
        <v>916</v>
      </c>
      <c r="S664" s="35" t="s">
        <v>2603</v>
      </c>
      <c r="T664" s="35" t="s">
        <v>1624</v>
      </c>
      <c r="U664" s="40">
        <v>46076</v>
      </c>
      <c r="V664" s="41">
        <v>46153.532766203702</v>
      </c>
      <c r="W664" s="40">
        <v>46075</v>
      </c>
      <c r="X664" s="35" t="s">
        <v>916</v>
      </c>
      <c r="Y664" s="35" t="s">
        <v>916</v>
      </c>
      <c r="Z664" s="35" t="s">
        <v>916</v>
      </c>
      <c r="AA664" s="38">
        <v>23.746388889599999</v>
      </c>
      <c r="AB664" s="42" t="s">
        <v>916</v>
      </c>
      <c r="AC664" s="43" t="s">
        <v>916</v>
      </c>
      <c r="AD664" s="43" t="s">
        <v>916</v>
      </c>
      <c r="AE664" s="33" t="s">
        <v>916</v>
      </c>
      <c r="AF664" s="35" t="s">
        <v>916</v>
      </c>
      <c r="AG664" s="44">
        <v>492181.71666666667</v>
      </c>
      <c r="AH664" s="42" t="s">
        <v>916</v>
      </c>
      <c r="AI664" s="32" t="e">
        <f>VLOOKUP(A664,'4月明細'!B:B,1,0)</f>
        <v>#N/A</v>
      </c>
    </row>
    <row r="665" spans="1:35" ht="19.95" customHeight="1" x14ac:dyDescent="0.3">
      <c r="A665" s="33" t="s">
        <v>456</v>
      </c>
      <c r="B665" s="34">
        <v>46075.558020833334</v>
      </c>
      <c r="C665" s="34" t="str">
        <f t="shared" si="23"/>
        <v>202602</v>
      </c>
      <c r="D665" s="35" t="s">
        <v>951</v>
      </c>
      <c r="E665" s="36" t="s">
        <v>910</v>
      </c>
      <c r="F665" s="36" t="s">
        <v>1232</v>
      </c>
      <c r="G665" s="37" t="s">
        <v>2604</v>
      </c>
      <c r="H665" s="36" t="s">
        <v>954</v>
      </c>
      <c r="I665" s="35" t="s">
        <v>2605</v>
      </c>
      <c r="J665" s="36" t="s">
        <v>914</v>
      </c>
      <c r="K665" s="33" t="s">
        <v>916</v>
      </c>
      <c r="L665" s="35" t="s">
        <v>916</v>
      </c>
      <c r="M665" s="36" t="s">
        <v>957</v>
      </c>
      <c r="N665" s="45">
        <v>46076.571527777778</v>
      </c>
      <c r="O665" s="36" t="s">
        <v>25</v>
      </c>
      <c r="P665" s="38">
        <v>1.0135069444</v>
      </c>
      <c r="Q665" s="39" t="s">
        <v>2606</v>
      </c>
      <c r="R665" s="35" t="s">
        <v>916</v>
      </c>
      <c r="S665" s="35" t="s">
        <v>2607</v>
      </c>
      <c r="T665" s="35" t="s">
        <v>1624</v>
      </c>
      <c r="U665" s="40">
        <v>46076</v>
      </c>
      <c r="V665" s="41">
        <v>46153.532766203702</v>
      </c>
      <c r="W665" s="40">
        <v>46075</v>
      </c>
      <c r="X665" s="35" t="s">
        <v>916</v>
      </c>
      <c r="Y665" s="35" t="s">
        <v>916</v>
      </c>
      <c r="Z665" s="35" t="s">
        <v>916</v>
      </c>
      <c r="AA665" s="38">
        <v>24.3241666656</v>
      </c>
      <c r="AB665" s="42" t="s">
        <v>916</v>
      </c>
      <c r="AC665" s="43" t="s">
        <v>916</v>
      </c>
      <c r="AD665" s="43" t="s">
        <v>916</v>
      </c>
      <c r="AE665" s="33" t="s">
        <v>916</v>
      </c>
      <c r="AF665" s="35" t="s">
        <v>916</v>
      </c>
      <c r="AG665" s="44">
        <v>492181.71666666667</v>
      </c>
      <c r="AH665" s="42" t="s">
        <v>916</v>
      </c>
      <c r="AI665" s="32" t="e">
        <f>VLOOKUP(A665,'4月明細'!B:B,1,0)</f>
        <v>#N/A</v>
      </c>
    </row>
    <row r="666" spans="1:35" ht="19.95" customHeight="1" x14ac:dyDescent="0.3">
      <c r="A666" s="33" t="s">
        <v>455</v>
      </c>
      <c r="B666" s="34">
        <v>46075.547789351855</v>
      </c>
      <c r="C666" s="34" t="str">
        <f t="shared" si="23"/>
        <v>202602</v>
      </c>
      <c r="D666" s="35" t="s">
        <v>1178</v>
      </c>
      <c r="E666" s="36" t="s">
        <v>910</v>
      </c>
      <c r="F666" s="36" t="s">
        <v>1768</v>
      </c>
      <c r="G666" s="37" t="s">
        <v>2608</v>
      </c>
      <c r="H666" s="36" t="s">
        <v>928</v>
      </c>
      <c r="I666" s="35" t="s">
        <v>2609</v>
      </c>
      <c r="J666" s="36" t="s">
        <v>929</v>
      </c>
      <c r="K666" s="33" t="s">
        <v>916</v>
      </c>
      <c r="L666" s="35" t="s">
        <v>916</v>
      </c>
      <c r="M666" s="36" t="s">
        <v>916</v>
      </c>
      <c r="N666" s="45">
        <v>46076.574305555558</v>
      </c>
      <c r="O666" s="36" t="s">
        <v>25</v>
      </c>
      <c r="P666" s="38">
        <v>1.0265162037</v>
      </c>
      <c r="Q666" s="39" t="s">
        <v>2610</v>
      </c>
      <c r="R666" s="35" t="s">
        <v>916</v>
      </c>
      <c r="S666" s="35" t="s">
        <v>2611</v>
      </c>
      <c r="T666" s="35" t="s">
        <v>1624</v>
      </c>
      <c r="U666" s="40">
        <v>46076</v>
      </c>
      <c r="V666" s="41">
        <v>46153.532766203702</v>
      </c>
      <c r="W666" s="40">
        <v>46075</v>
      </c>
      <c r="X666" s="35" t="s">
        <v>916</v>
      </c>
      <c r="Y666" s="35" t="s">
        <v>916</v>
      </c>
      <c r="Z666" s="35" t="s">
        <v>916</v>
      </c>
      <c r="AA666" s="38">
        <v>24.636388888799999</v>
      </c>
      <c r="AB666" s="42" t="s">
        <v>916</v>
      </c>
      <c r="AC666" s="43" t="s">
        <v>916</v>
      </c>
      <c r="AD666" s="43" t="s">
        <v>916</v>
      </c>
      <c r="AE666" s="33" t="s">
        <v>916</v>
      </c>
      <c r="AF666" s="35" t="s">
        <v>916</v>
      </c>
      <c r="AG666" s="44">
        <v>492181.78333333338</v>
      </c>
      <c r="AH666" s="42" t="s">
        <v>916</v>
      </c>
      <c r="AI666" s="32" t="e">
        <f>VLOOKUP(A666,'4月明細'!B:B,1,0)</f>
        <v>#N/A</v>
      </c>
    </row>
    <row r="667" spans="1:35" ht="19.95" customHeight="1" x14ac:dyDescent="0.3">
      <c r="A667" s="33" t="s">
        <v>454</v>
      </c>
      <c r="B667" s="34">
        <v>46075.533935185187</v>
      </c>
      <c r="C667" s="34" t="str">
        <f t="shared" si="23"/>
        <v>202602</v>
      </c>
      <c r="D667" s="35" t="s">
        <v>996</v>
      </c>
      <c r="E667" s="36" t="s">
        <v>910</v>
      </c>
      <c r="F667" s="36" t="s">
        <v>1017</v>
      </c>
      <c r="G667" s="37" t="s">
        <v>1041</v>
      </c>
      <c r="H667" s="36" t="s">
        <v>954</v>
      </c>
      <c r="I667" s="35"/>
      <c r="J667" s="36" t="s">
        <v>914</v>
      </c>
      <c r="K667" s="33" t="s">
        <v>916</v>
      </c>
      <c r="L667" s="35" t="s">
        <v>916</v>
      </c>
      <c r="M667" s="36" t="s">
        <v>916</v>
      </c>
      <c r="N667" s="45">
        <v>46076.574999999997</v>
      </c>
      <c r="O667" s="36" t="s">
        <v>25</v>
      </c>
      <c r="P667" s="38">
        <v>1.0410648147999999</v>
      </c>
      <c r="Q667" s="39" t="s">
        <v>2612</v>
      </c>
      <c r="R667" s="35" t="s">
        <v>916</v>
      </c>
      <c r="S667" s="35" t="s">
        <v>2613</v>
      </c>
      <c r="T667" s="35" t="s">
        <v>1624</v>
      </c>
      <c r="U667" s="40">
        <v>46076</v>
      </c>
      <c r="V667" s="41">
        <v>46153.532766203702</v>
      </c>
      <c r="W667" s="40">
        <v>46075</v>
      </c>
      <c r="X667" s="35" t="s">
        <v>916</v>
      </c>
      <c r="Y667" s="35" t="s">
        <v>916</v>
      </c>
      <c r="Z667" s="35" t="s">
        <v>916</v>
      </c>
      <c r="AA667" s="38">
        <v>24.985555555200001</v>
      </c>
      <c r="AB667" s="42" t="s">
        <v>916</v>
      </c>
      <c r="AC667" s="43" t="s">
        <v>916</v>
      </c>
      <c r="AD667" s="43" t="s">
        <v>916</v>
      </c>
      <c r="AE667" s="33" t="s">
        <v>916</v>
      </c>
      <c r="AF667" s="35" t="s">
        <v>916</v>
      </c>
      <c r="AG667" s="44">
        <v>492181.8</v>
      </c>
      <c r="AH667" s="42" t="s">
        <v>916</v>
      </c>
      <c r="AI667" s="32" t="e">
        <f>VLOOKUP(A667,'4月明細'!B:B,1,0)</f>
        <v>#N/A</v>
      </c>
    </row>
    <row r="668" spans="1:35" ht="19.95" customHeight="1" x14ac:dyDescent="0.3">
      <c r="A668" s="33" t="s">
        <v>453</v>
      </c>
      <c r="B668" s="34">
        <v>46075.482314814813</v>
      </c>
      <c r="C668" s="34" t="str">
        <f t="shared" si="23"/>
        <v>202602</v>
      </c>
      <c r="D668" s="35" t="s">
        <v>996</v>
      </c>
      <c r="E668" s="36" t="s">
        <v>910</v>
      </c>
      <c r="F668" s="36" t="s">
        <v>2614</v>
      </c>
      <c r="G668" s="37" t="s">
        <v>1993</v>
      </c>
      <c r="H668" s="36" t="s">
        <v>928</v>
      </c>
      <c r="I668" s="35" t="s">
        <v>2615</v>
      </c>
      <c r="J668" s="36" t="s">
        <v>914</v>
      </c>
      <c r="K668" s="33" t="s">
        <v>916</v>
      </c>
      <c r="L668" s="35" t="s">
        <v>916</v>
      </c>
      <c r="M668" s="36" t="s">
        <v>957</v>
      </c>
      <c r="N668" s="45">
        <v>46076.574999999997</v>
      </c>
      <c r="O668" s="36" t="s">
        <v>25</v>
      </c>
      <c r="P668" s="38">
        <v>1.0926851851999999</v>
      </c>
      <c r="Q668" s="39" t="s">
        <v>2616</v>
      </c>
      <c r="R668" s="35" t="s">
        <v>916</v>
      </c>
      <c r="S668" s="35" t="s">
        <v>2617</v>
      </c>
      <c r="T668" s="35" t="s">
        <v>1624</v>
      </c>
      <c r="U668" s="40">
        <v>46076</v>
      </c>
      <c r="V668" s="41">
        <v>46153.532766203702</v>
      </c>
      <c r="W668" s="40">
        <v>46075</v>
      </c>
      <c r="X668" s="35" t="s">
        <v>916</v>
      </c>
      <c r="Y668" s="35" t="s">
        <v>916</v>
      </c>
      <c r="Z668" s="35" t="s">
        <v>916</v>
      </c>
      <c r="AA668" s="38">
        <v>26.2244444448</v>
      </c>
      <c r="AB668" s="42" t="s">
        <v>916</v>
      </c>
      <c r="AC668" s="43" t="s">
        <v>916</v>
      </c>
      <c r="AD668" s="43" t="s">
        <v>916</v>
      </c>
      <c r="AE668" s="33" t="s">
        <v>916</v>
      </c>
      <c r="AF668" s="35" t="s">
        <v>916</v>
      </c>
      <c r="AG668" s="44">
        <v>492181.81666666671</v>
      </c>
      <c r="AH668" s="42" t="s">
        <v>916</v>
      </c>
      <c r="AI668" s="32" t="e">
        <f>VLOOKUP(A668,'4月明細'!B:B,1,0)</f>
        <v>#N/A</v>
      </c>
    </row>
    <row r="669" spans="1:35" ht="19.95" customHeight="1" x14ac:dyDescent="0.3">
      <c r="A669" s="33" t="s">
        <v>452</v>
      </c>
      <c r="B669" s="34">
        <v>46075.467280092591</v>
      </c>
      <c r="C669" s="34" t="str">
        <f t="shared" si="23"/>
        <v>202602</v>
      </c>
      <c r="D669" s="35" t="s">
        <v>996</v>
      </c>
      <c r="E669" s="36" t="s">
        <v>910</v>
      </c>
      <c r="F669" s="36" t="s">
        <v>1032</v>
      </c>
      <c r="G669" s="37" t="s">
        <v>1041</v>
      </c>
      <c r="H669" s="36" t="s">
        <v>954</v>
      </c>
      <c r="I669" s="35"/>
      <c r="J669" s="36" t="s">
        <v>914</v>
      </c>
      <c r="K669" s="33" t="s">
        <v>916</v>
      </c>
      <c r="L669" s="35" t="s">
        <v>916</v>
      </c>
      <c r="M669" s="36" t="s">
        <v>957</v>
      </c>
      <c r="N669" s="45">
        <v>46076.575694444444</v>
      </c>
      <c r="O669" s="36" t="s">
        <v>25</v>
      </c>
      <c r="P669" s="38">
        <v>1.1084143518</v>
      </c>
      <c r="Q669" s="39" t="s">
        <v>2618</v>
      </c>
      <c r="R669" s="35" t="s">
        <v>916</v>
      </c>
      <c r="S669" s="35" t="s">
        <v>2619</v>
      </c>
      <c r="T669" s="35" t="s">
        <v>1624</v>
      </c>
      <c r="U669" s="40">
        <v>46076</v>
      </c>
      <c r="V669" s="41">
        <v>46153.532777777778</v>
      </c>
      <c r="W669" s="40">
        <v>46075</v>
      </c>
      <c r="X669" s="35" t="s">
        <v>916</v>
      </c>
      <c r="Y669" s="35" t="s">
        <v>916</v>
      </c>
      <c r="Z669" s="35" t="s">
        <v>916</v>
      </c>
      <c r="AA669" s="38">
        <v>26.601944443200001</v>
      </c>
      <c r="AB669" s="42" t="s">
        <v>916</v>
      </c>
      <c r="AC669" s="43" t="s">
        <v>916</v>
      </c>
      <c r="AD669" s="43" t="s">
        <v>916</v>
      </c>
      <c r="AE669" s="33" t="s">
        <v>916</v>
      </c>
      <c r="AF669" s="35" t="s">
        <v>916</v>
      </c>
      <c r="AG669" s="44">
        <v>492181.81666666671</v>
      </c>
      <c r="AH669" s="42" t="s">
        <v>916</v>
      </c>
      <c r="AI669" s="32" t="e">
        <f>VLOOKUP(A669,'4月明細'!B:B,1,0)</f>
        <v>#N/A</v>
      </c>
    </row>
    <row r="670" spans="1:35" ht="19.95" customHeight="1" x14ac:dyDescent="0.3">
      <c r="A670" s="33" t="s">
        <v>451</v>
      </c>
      <c r="B670" s="34">
        <v>46075.422071759262</v>
      </c>
      <c r="C670" s="34" t="str">
        <f t="shared" si="23"/>
        <v>202602</v>
      </c>
      <c r="D670" s="35" t="s">
        <v>996</v>
      </c>
      <c r="E670" s="36" t="s">
        <v>910</v>
      </c>
      <c r="F670" s="36" t="s">
        <v>1720</v>
      </c>
      <c r="G670" s="37" t="s">
        <v>2620</v>
      </c>
      <c r="H670" s="36" t="s">
        <v>954</v>
      </c>
      <c r="I670" s="35" t="s">
        <v>2621</v>
      </c>
      <c r="J670" s="36" t="s">
        <v>914</v>
      </c>
      <c r="K670" s="33" t="s">
        <v>916</v>
      </c>
      <c r="L670" s="35" t="s">
        <v>916</v>
      </c>
      <c r="M670" s="36" t="s">
        <v>957</v>
      </c>
      <c r="N670" s="45">
        <v>46076.576388888891</v>
      </c>
      <c r="O670" s="36" t="s">
        <v>25</v>
      </c>
      <c r="P670" s="38">
        <v>1.1543171296000001</v>
      </c>
      <c r="Q670" s="39" t="s">
        <v>2622</v>
      </c>
      <c r="R670" s="35" t="s">
        <v>916</v>
      </c>
      <c r="S670" s="35" t="s">
        <v>2623</v>
      </c>
      <c r="T670" s="35" t="s">
        <v>1624</v>
      </c>
      <c r="U670" s="40">
        <v>46076</v>
      </c>
      <c r="V670" s="41">
        <v>46153.532777777778</v>
      </c>
      <c r="W670" s="40">
        <v>46075</v>
      </c>
      <c r="X670" s="35" t="s">
        <v>916</v>
      </c>
      <c r="Y670" s="35" t="s">
        <v>916</v>
      </c>
      <c r="Z670" s="35" t="s">
        <v>916</v>
      </c>
      <c r="AA670" s="38">
        <v>27.703611110400001</v>
      </c>
      <c r="AB670" s="42" t="s">
        <v>916</v>
      </c>
      <c r="AC670" s="43" t="s">
        <v>916</v>
      </c>
      <c r="AD670" s="43" t="s">
        <v>916</v>
      </c>
      <c r="AE670" s="33" t="s">
        <v>916</v>
      </c>
      <c r="AF670" s="35" t="s">
        <v>916</v>
      </c>
      <c r="AG670" s="44">
        <v>492181.83333333337</v>
      </c>
      <c r="AH670" s="42" t="s">
        <v>916</v>
      </c>
      <c r="AI670" s="32" t="e">
        <f>VLOOKUP(A670,'4月明細'!B:B,1,0)</f>
        <v>#N/A</v>
      </c>
    </row>
    <row r="671" spans="1:35" ht="19.95" customHeight="1" x14ac:dyDescent="0.3">
      <c r="A671" s="33" t="s">
        <v>450</v>
      </c>
      <c r="B671" s="34">
        <v>46074.927986111114</v>
      </c>
      <c r="C671" s="34" t="str">
        <f t="shared" si="23"/>
        <v>202602</v>
      </c>
      <c r="D671" s="35" t="s">
        <v>2624</v>
      </c>
      <c r="E671" s="36" t="s">
        <v>942</v>
      </c>
      <c r="F671" s="36" t="s">
        <v>2080</v>
      </c>
      <c r="G671" s="37" t="s">
        <v>2625</v>
      </c>
      <c r="H671" s="36" t="s">
        <v>913</v>
      </c>
      <c r="I671" s="35"/>
      <c r="J671" s="36" t="s">
        <v>945</v>
      </c>
      <c r="K671" s="33" t="s">
        <v>916</v>
      </c>
      <c r="L671" s="35" t="s">
        <v>916</v>
      </c>
      <c r="M671" s="36" t="s">
        <v>1135</v>
      </c>
      <c r="N671" s="45">
        <v>46075.386111111111</v>
      </c>
      <c r="O671" s="36" t="s">
        <v>25</v>
      </c>
      <c r="P671" s="38">
        <v>0.458125</v>
      </c>
      <c r="Q671" s="39" t="s">
        <v>2626</v>
      </c>
      <c r="R671" s="35" t="s">
        <v>916</v>
      </c>
      <c r="S671" s="35"/>
      <c r="T671" s="35" t="s">
        <v>1624</v>
      </c>
      <c r="U671" s="40">
        <v>46075</v>
      </c>
      <c r="V671" s="41">
        <v>46153.532777777778</v>
      </c>
      <c r="W671" s="40">
        <v>46075</v>
      </c>
      <c r="X671" s="35" t="s">
        <v>916</v>
      </c>
      <c r="Y671" s="35" t="s">
        <v>916</v>
      </c>
      <c r="Z671" s="35" t="s">
        <v>916</v>
      </c>
      <c r="AA671" s="38">
        <v>10.994999999999999</v>
      </c>
      <c r="AB671" s="42" t="s">
        <v>916</v>
      </c>
      <c r="AC671" s="43" t="s">
        <v>916</v>
      </c>
      <c r="AD671" s="43" t="s">
        <v>916</v>
      </c>
      <c r="AE671" s="33" t="s">
        <v>916</v>
      </c>
      <c r="AF671" s="35" t="s">
        <v>916</v>
      </c>
      <c r="AG671" s="44">
        <v>0</v>
      </c>
      <c r="AH671" s="42" t="s">
        <v>916</v>
      </c>
      <c r="AI671" s="32" t="e">
        <f>VLOOKUP(A671,'4月明細'!B:B,1,0)</f>
        <v>#N/A</v>
      </c>
    </row>
    <row r="672" spans="1:35" ht="19.95" customHeight="1" x14ac:dyDescent="0.3">
      <c r="A672" s="33" t="s">
        <v>2627</v>
      </c>
      <c r="B672" s="34">
        <v>46074.777881944443</v>
      </c>
      <c r="C672" s="34" t="str">
        <f t="shared" si="23"/>
        <v>202602</v>
      </c>
      <c r="D672" s="35" t="s">
        <v>1510</v>
      </c>
      <c r="E672" s="36" t="s">
        <v>1112</v>
      </c>
      <c r="F672" s="36" t="s">
        <v>1860</v>
      </c>
      <c r="G672" s="37" t="s">
        <v>2628</v>
      </c>
      <c r="H672" s="36" t="s">
        <v>1078</v>
      </c>
      <c r="I672" s="35"/>
      <c r="J672" s="36" t="s">
        <v>938</v>
      </c>
      <c r="K672" s="33" t="s">
        <v>916</v>
      </c>
      <c r="L672" s="35" t="s">
        <v>916</v>
      </c>
      <c r="M672" s="36" t="s">
        <v>916</v>
      </c>
      <c r="N672" s="45">
        <v>46083.648611111108</v>
      </c>
      <c r="O672" s="36" t="s">
        <v>918</v>
      </c>
      <c r="P672" s="38">
        <v>8.8707291667000003</v>
      </c>
      <c r="Q672" s="39" t="s">
        <v>1404</v>
      </c>
      <c r="R672" s="35" t="s">
        <v>916</v>
      </c>
      <c r="S672" s="35"/>
      <c r="T672" s="35" t="s">
        <v>1624</v>
      </c>
      <c r="U672" s="40">
        <v>46075</v>
      </c>
      <c r="V672" s="41">
        <v>46153.532777777778</v>
      </c>
      <c r="W672" s="40">
        <v>46074</v>
      </c>
      <c r="X672" s="35" t="s">
        <v>916</v>
      </c>
      <c r="Y672" s="35" t="s">
        <v>916</v>
      </c>
      <c r="Z672" s="35" t="s">
        <v>916</v>
      </c>
      <c r="AA672" s="38">
        <v>212.89750000079999</v>
      </c>
      <c r="AB672" s="42" t="s">
        <v>916</v>
      </c>
      <c r="AC672" s="43" t="s">
        <v>916</v>
      </c>
      <c r="AD672" s="43" t="s">
        <v>916</v>
      </c>
      <c r="AE672" s="33" t="s">
        <v>916</v>
      </c>
      <c r="AF672" s="35" t="s">
        <v>916</v>
      </c>
      <c r="AG672" s="44">
        <v>0</v>
      </c>
      <c r="AH672" s="42" t="s">
        <v>916</v>
      </c>
      <c r="AI672" s="32" t="e">
        <f>VLOOKUP(A672,'4月明細'!B:B,1,0)</f>
        <v>#N/A</v>
      </c>
    </row>
    <row r="673" spans="1:35" ht="19.95" customHeight="1" x14ac:dyDescent="0.3">
      <c r="A673" s="33" t="s">
        <v>449</v>
      </c>
      <c r="B673" s="34">
        <v>46074.712094907409</v>
      </c>
      <c r="C673" s="34" t="str">
        <f t="shared" si="23"/>
        <v>202602</v>
      </c>
      <c r="D673" s="35" t="s">
        <v>2278</v>
      </c>
      <c r="E673" s="36" t="s">
        <v>910</v>
      </c>
      <c r="F673" s="36" t="s">
        <v>1021</v>
      </c>
      <c r="G673" s="37" t="s">
        <v>2629</v>
      </c>
      <c r="H673" s="36" t="s">
        <v>954</v>
      </c>
      <c r="I673" s="35"/>
      <c r="J673" s="36" t="s">
        <v>914</v>
      </c>
      <c r="K673" s="33" t="s">
        <v>916</v>
      </c>
      <c r="L673" s="35" t="s">
        <v>916</v>
      </c>
      <c r="M673" s="36" t="s">
        <v>1135</v>
      </c>
      <c r="N673" s="45">
        <v>46075.387499999997</v>
      </c>
      <c r="O673" s="36" t="s">
        <v>25</v>
      </c>
      <c r="P673" s="38">
        <v>0.67540509260000003</v>
      </c>
      <c r="Q673" s="39" t="s">
        <v>1404</v>
      </c>
      <c r="R673" s="35" t="s">
        <v>916</v>
      </c>
      <c r="S673" s="35" t="s">
        <v>2630</v>
      </c>
      <c r="T673" s="35" t="s">
        <v>1624</v>
      </c>
      <c r="U673" s="40">
        <v>46075</v>
      </c>
      <c r="V673" s="41">
        <v>46153.532777777778</v>
      </c>
      <c r="W673" s="40">
        <v>46074</v>
      </c>
      <c r="X673" s="35" t="s">
        <v>916</v>
      </c>
      <c r="Y673" s="35" t="s">
        <v>916</v>
      </c>
      <c r="Z673" s="35" t="s">
        <v>916</v>
      </c>
      <c r="AA673" s="38">
        <v>16.2097222224</v>
      </c>
      <c r="AB673" s="42" t="s">
        <v>916</v>
      </c>
      <c r="AC673" s="43" t="s">
        <v>916</v>
      </c>
      <c r="AD673" s="43" t="s">
        <v>916</v>
      </c>
      <c r="AE673" s="33" t="s">
        <v>916</v>
      </c>
      <c r="AF673" s="35" t="s">
        <v>916</v>
      </c>
      <c r="AG673" s="44">
        <v>0</v>
      </c>
      <c r="AH673" s="42" t="s">
        <v>916</v>
      </c>
      <c r="AI673" s="32" t="e">
        <f>VLOOKUP(A673,'4月明細'!B:B,1,0)</f>
        <v>#N/A</v>
      </c>
    </row>
    <row r="674" spans="1:35" ht="19.95" customHeight="1" x14ac:dyDescent="0.3">
      <c r="A674" s="33" t="s">
        <v>448</v>
      </c>
      <c r="B674" s="34">
        <v>46074.61074074074</v>
      </c>
      <c r="C674" s="34" t="str">
        <f t="shared" si="23"/>
        <v>202602</v>
      </c>
      <c r="D674" s="35" t="s">
        <v>951</v>
      </c>
      <c r="E674" s="36" t="s">
        <v>910</v>
      </c>
      <c r="F674" s="36" t="s">
        <v>943</v>
      </c>
      <c r="G674" s="37" t="s">
        <v>2631</v>
      </c>
      <c r="H674" s="36" t="s">
        <v>954</v>
      </c>
      <c r="I674" s="35" t="s">
        <v>2632</v>
      </c>
      <c r="J674" s="36" t="s">
        <v>914</v>
      </c>
      <c r="K674" s="33" t="s">
        <v>916</v>
      </c>
      <c r="L674" s="35" t="s">
        <v>916</v>
      </c>
      <c r="M674" s="36" t="s">
        <v>1135</v>
      </c>
      <c r="N674" s="45">
        <v>46075.388888888891</v>
      </c>
      <c r="O674" s="36" t="s">
        <v>25</v>
      </c>
      <c r="P674" s="38">
        <v>0.7781481482</v>
      </c>
      <c r="Q674" s="39" t="s">
        <v>2633</v>
      </c>
      <c r="R674" s="35" t="s">
        <v>916</v>
      </c>
      <c r="S674" s="35"/>
      <c r="T674" s="35" t="s">
        <v>1624</v>
      </c>
      <c r="U674" s="40">
        <v>46075</v>
      </c>
      <c r="V674" s="41">
        <v>46153.532777777778</v>
      </c>
      <c r="W674" s="40">
        <v>46074</v>
      </c>
      <c r="X674" s="35" t="s">
        <v>916</v>
      </c>
      <c r="Y674" s="35" t="s">
        <v>916</v>
      </c>
      <c r="Z674" s="35" t="s">
        <v>916</v>
      </c>
      <c r="AA674" s="38">
        <v>18.675555556799999</v>
      </c>
      <c r="AB674" s="42" t="s">
        <v>916</v>
      </c>
      <c r="AC674" s="43" t="s">
        <v>916</v>
      </c>
      <c r="AD674" s="43" t="s">
        <v>916</v>
      </c>
      <c r="AE674" s="33" t="s">
        <v>916</v>
      </c>
      <c r="AF674" s="35" t="s">
        <v>916</v>
      </c>
      <c r="AG674" s="44">
        <v>0</v>
      </c>
      <c r="AH674" s="42" t="s">
        <v>916</v>
      </c>
      <c r="AI674" s="32" t="e">
        <f>VLOOKUP(A674,'4月明細'!B:B,1,0)</f>
        <v>#N/A</v>
      </c>
    </row>
    <row r="675" spans="1:35" ht="19.95" customHeight="1" x14ac:dyDescent="0.3">
      <c r="A675" s="33" t="s">
        <v>447</v>
      </c>
      <c r="B675" s="34">
        <v>46074.596990740742</v>
      </c>
      <c r="C675" s="34" t="str">
        <f t="shared" si="23"/>
        <v>202602</v>
      </c>
      <c r="D675" s="35" t="s">
        <v>2278</v>
      </c>
      <c r="E675" s="36" t="s">
        <v>910</v>
      </c>
      <c r="F675" s="36" t="s">
        <v>1830</v>
      </c>
      <c r="G675" s="37" t="s">
        <v>2634</v>
      </c>
      <c r="H675" s="36" t="s">
        <v>954</v>
      </c>
      <c r="I675" s="35"/>
      <c r="J675" s="36" t="s">
        <v>914</v>
      </c>
      <c r="K675" s="33" t="s">
        <v>916</v>
      </c>
      <c r="L675" s="35" t="s">
        <v>916</v>
      </c>
      <c r="M675" s="36" t="s">
        <v>1135</v>
      </c>
      <c r="N675" s="45">
        <v>46075.38958333333</v>
      </c>
      <c r="O675" s="36" t="s">
        <v>25</v>
      </c>
      <c r="P675" s="38">
        <v>0.79259259260000003</v>
      </c>
      <c r="Q675" s="39" t="s">
        <v>2635</v>
      </c>
      <c r="R675" s="35" t="s">
        <v>916</v>
      </c>
      <c r="S675" s="35"/>
      <c r="T675" s="35" t="s">
        <v>1624</v>
      </c>
      <c r="U675" s="40">
        <v>46075</v>
      </c>
      <c r="V675" s="41">
        <v>46153.532777777778</v>
      </c>
      <c r="W675" s="40">
        <v>46074</v>
      </c>
      <c r="X675" s="35" t="s">
        <v>916</v>
      </c>
      <c r="Y675" s="35" t="s">
        <v>916</v>
      </c>
      <c r="Z675" s="35" t="s">
        <v>916</v>
      </c>
      <c r="AA675" s="38">
        <v>19.0222222224</v>
      </c>
      <c r="AB675" s="42" t="s">
        <v>916</v>
      </c>
      <c r="AC675" s="43" t="s">
        <v>916</v>
      </c>
      <c r="AD675" s="43" t="s">
        <v>916</v>
      </c>
      <c r="AE675" s="33" t="s">
        <v>916</v>
      </c>
      <c r="AF675" s="35" t="s">
        <v>916</v>
      </c>
      <c r="AG675" s="44">
        <v>0</v>
      </c>
      <c r="AH675" s="42" t="s">
        <v>916</v>
      </c>
      <c r="AI675" s="32" t="e">
        <f>VLOOKUP(A675,'4月明細'!B:B,1,0)</f>
        <v>#N/A</v>
      </c>
    </row>
    <row r="676" spans="1:35" ht="19.95" customHeight="1" x14ac:dyDescent="0.3">
      <c r="A676" s="33" t="s">
        <v>446</v>
      </c>
      <c r="B676" s="34">
        <v>46074.572905092595</v>
      </c>
      <c r="C676" s="34" t="str">
        <f t="shared" si="23"/>
        <v>202602</v>
      </c>
      <c r="D676" s="35" t="s">
        <v>2278</v>
      </c>
      <c r="E676" s="36" t="s">
        <v>910</v>
      </c>
      <c r="F676" s="36" t="s">
        <v>1381</v>
      </c>
      <c r="G676" s="37" t="s">
        <v>2636</v>
      </c>
      <c r="H676" s="36" t="s">
        <v>1078</v>
      </c>
      <c r="I676" s="35"/>
      <c r="J676" s="36" t="s">
        <v>914</v>
      </c>
      <c r="K676" s="33" t="s">
        <v>916</v>
      </c>
      <c r="L676" s="35" t="s">
        <v>916</v>
      </c>
      <c r="M676" s="36" t="s">
        <v>1135</v>
      </c>
      <c r="N676" s="45">
        <v>46075.390277777777</v>
      </c>
      <c r="O676" s="36" t="s">
        <v>25</v>
      </c>
      <c r="P676" s="38">
        <v>0.81737268519999995</v>
      </c>
      <c r="Q676" s="39" t="s">
        <v>2637</v>
      </c>
      <c r="R676" s="35" t="s">
        <v>916</v>
      </c>
      <c r="S676" s="35" t="s">
        <v>2638</v>
      </c>
      <c r="T676" s="35" t="s">
        <v>1624</v>
      </c>
      <c r="U676" s="40">
        <v>46075</v>
      </c>
      <c r="V676" s="41">
        <v>46153.532777777778</v>
      </c>
      <c r="W676" s="40">
        <v>46074</v>
      </c>
      <c r="X676" s="35" t="s">
        <v>916</v>
      </c>
      <c r="Y676" s="35" t="s">
        <v>916</v>
      </c>
      <c r="Z676" s="35" t="s">
        <v>916</v>
      </c>
      <c r="AA676" s="38">
        <v>19.616944444800001</v>
      </c>
      <c r="AB676" s="42" t="s">
        <v>916</v>
      </c>
      <c r="AC676" s="43" t="s">
        <v>916</v>
      </c>
      <c r="AD676" s="43" t="s">
        <v>916</v>
      </c>
      <c r="AE676" s="33" t="s">
        <v>916</v>
      </c>
      <c r="AF676" s="35" t="s">
        <v>916</v>
      </c>
      <c r="AG676" s="44">
        <v>0</v>
      </c>
      <c r="AH676" s="42" t="s">
        <v>916</v>
      </c>
      <c r="AI676" s="32" t="e">
        <f>VLOOKUP(A676,'4月明細'!B:B,1,0)</f>
        <v>#N/A</v>
      </c>
    </row>
    <row r="677" spans="1:35" ht="19.95" customHeight="1" x14ac:dyDescent="0.3">
      <c r="A677" s="33" t="s">
        <v>445</v>
      </c>
      <c r="B677" s="34">
        <v>46074.572546296295</v>
      </c>
      <c r="C677" s="34" t="str">
        <f t="shared" si="23"/>
        <v>202602</v>
      </c>
      <c r="D677" s="35" t="s">
        <v>2278</v>
      </c>
      <c r="E677" s="36" t="s">
        <v>910</v>
      </c>
      <c r="F677" s="36" t="s">
        <v>1830</v>
      </c>
      <c r="G677" s="37" t="s">
        <v>2639</v>
      </c>
      <c r="H677" s="36" t="s">
        <v>928</v>
      </c>
      <c r="I677" s="35"/>
      <c r="J677" s="36" t="s">
        <v>914</v>
      </c>
      <c r="K677" s="33" t="s">
        <v>916</v>
      </c>
      <c r="L677" s="35" t="s">
        <v>916</v>
      </c>
      <c r="M677" s="36" t="s">
        <v>1135</v>
      </c>
      <c r="N677" s="45">
        <v>46075.392361111109</v>
      </c>
      <c r="O677" s="36" t="s">
        <v>25</v>
      </c>
      <c r="P677" s="38">
        <v>0.81981481479999996</v>
      </c>
      <c r="Q677" s="39" t="s">
        <v>2640</v>
      </c>
      <c r="R677" s="35" t="s">
        <v>916</v>
      </c>
      <c r="S677" s="35"/>
      <c r="T677" s="35" t="s">
        <v>1624</v>
      </c>
      <c r="U677" s="40">
        <v>46075</v>
      </c>
      <c r="V677" s="41">
        <v>46153.532777777778</v>
      </c>
      <c r="W677" s="40">
        <v>46074</v>
      </c>
      <c r="X677" s="35" t="s">
        <v>916</v>
      </c>
      <c r="Y677" s="35" t="s">
        <v>916</v>
      </c>
      <c r="Z677" s="35" t="s">
        <v>916</v>
      </c>
      <c r="AA677" s="38">
        <v>19.675555555199999</v>
      </c>
      <c r="AB677" s="42" t="s">
        <v>916</v>
      </c>
      <c r="AC677" s="43" t="s">
        <v>916</v>
      </c>
      <c r="AD677" s="43" t="s">
        <v>916</v>
      </c>
      <c r="AE677" s="33" t="s">
        <v>916</v>
      </c>
      <c r="AF677" s="35" t="s">
        <v>916</v>
      </c>
      <c r="AG677" s="44">
        <v>0</v>
      </c>
      <c r="AH677" s="42" t="s">
        <v>916</v>
      </c>
      <c r="AI677" s="32" t="e">
        <f>VLOOKUP(A677,'4月明細'!B:B,1,0)</f>
        <v>#N/A</v>
      </c>
    </row>
    <row r="678" spans="1:35" ht="19.95" customHeight="1" x14ac:dyDescent="0.3">
      <c r="A678" s="33" t="s">
        <v>444</v>
      </c>
      <c r="B678" s="34">
        <v>46074.563090277778</v>
      </c>
      <c r="C678" s="34" t="str">
        <f t="shared" si="23"/>
        <v>202602</v>
      </c>
      <c r="D678" s="35" t="s">
        <v>951</v>
      </c>
      <c r="E678" s="36" t="s">
        <v>910</v>
      </c>
      <c r="F678" s="36" t="s">
        <v>943</v>
      </c>
      <c r="G678" s="37" t="s">
        <v>2641</v>
      </c>
      <c r="H678" s="36" t="s">
        <v>928</v>
      </c>
      <c r="I678" s="35" t="s">
        <v>2642</v>
      </c>
      <c r="J678" s="36" t="s">
        <v>914</v>
      </c>
      <c r="K678" s="33" t="s">
        <v>916</v>
      </c>
      <c r="L678" s="35" t="s">
        <v>916</v>
      </c>
      <c r="M678" s="36" t="s">
        <v>1135</v>
      </c>
      <c r="N678" s="45">
        <v>46075.384722222225</v>
      </c>
      <c r="O678" s="36" t="s">
        <v>25</v>
      </c>
      <c r="P678" s="38">
        <v>0.82163194439999998</v>
      </c>
      <c r="Q678" s="39" t="s">
        <v>1366</v>
      </c>
      <c r="R678" s="35" t="s">
        <v>916</v>
      </c>
      <c r="S678" s="35"/>
      <c r="T678" s="35" t="s">
        <v>1624</v>
      </c>
      <c r="U678" s="40">
        <v>46075</v>
      </c>
      <c r="V678" s="41">
        <v>46153.532777777778</v>
      </c>
      <c r="W678" s="40">
        <v>46074</v>
      </c>
      <c r="X678" s="35" t="s">
        <v>916</v>
      </c>
      <c r="Y678" s="35" t="s">
        <v>916</v>
      </c>
      <c r="Z678" s="35" t="s">
        <v>916</v>
      </c>
      <c r="AA678" s="38">
        <v>19.7191666656</v>
      </c>
      <c r="AB678" s="42" t="s">
        <v>916</v>
      </c>
      <c r="AC678" s="43" t="s">
        <v>916</v>
      </c>
      <c r="AD678" s="43" t="s">
        <v>916</v>
      </c>
      <c r="AE678" s="33" t="s">
        <v>916</v>
      </c>
      <c r="AF678" s="35" t="s">
        <v>916</v>
      </c>
      <c r="AG678" s="44">
        <v>0</v>
      </c>
      <c r="AH678" s="42" t="s">
        <v>916</v>
      </c>
      <c r="AI678" s="32" t="e">
        <f>VLOOKUP(A678,'4月明細'!B:B,1,0)</f>
        <v>#N/A</v>
      </c>
    </row>
    <row r="679" spans="1:35" ht="19.95" customHeight="1" x14ac:dyDescent="0.3">
      <c r="A679" s="33" t="s">
        <v>443</v>
      </c>
      <c r="B679" s="34">
        <v>46074.524826388886</v>
      </c>
      <c r="C679" s="34" t="str">
        <f t="shared" si="23"/>
        <v>202602</v>
      </c>
      <c r="D679" s="35" t="s">
        <v>986</v>
      </c>
      <c r="E679" s="36" t="s">
        <v>910</v>
      </c>
      <c r="F679" s="36" t="s">
        <v>1095</v>
      </c>
      <c r="G679" s="37" t="s">
        <v>2643</v>
      </c>
      <c r="H679" s="36" t="s">
        <v>954</v>
      </c>
      <c r="I679" s="35"/>
      <c r="J679" s="36" t="s">
        <v>914</v>
      </c>
      <c r="K679" s="33" t="s">
        <v>916</v>
      </c>
      <c r="L679" s="35" t="s">
        <v>916</v>
      </c>
      <c r="M679" s="36" t="s">
        <v>1135</v>
      </c>
      <c r="N679" s="45">
        <v>46074.556944444441</v>
      </c>
      <c r="O679" s="36" t="s">
        <v>25</v>
      </c>
      <c r="P679" s="38">
        <v>3.2118055600000001E-2</v>
      </c>
      <c r="Q679" s="39" t="s">
        <v>2644</v>
      </c>
      <c r="R679" s="35" t="s">
        <v>916</v>
      </c>
      <c r="S679" s="35" t="s">
        <v>2645</v>
      </c>
      <c r="T679" s="35" t="s">
        <v>1624</v>
      </c>
      <c r="U679" s="40">
        <v>46075</v>
      </c>
      <c r="V679" s="41">
        <v>46153.532777777778</v>
      </c>
      <c r="W679" s="40">
        <v>46074</v>
      </c>
      <c r="X679" s="35" t="s">
        <v>916</v>
      </c>
      <c r="Y679" s="35" t="s">
        <v>916</v>
      </c>
      <c r="Z679" s="35" t="s">
        <v>916</v>
      </c>
      <c r="AA679" s="38">
        <v>0.77083333440000001</v>
      </c>
      <c r="AB679" s="42" t="s">
        <v>916</v>
      </c>
      <c r="AC679" s="43" t="s">
        <v>916</v>
      </c>
      <c r="AD679" s="43" t="s">
        <v>916</v>
      </c>
      <c r="AE679" s="33" t="s">
        <v>916</v>
      </c>
      <c r="AF679" s="35" t="s">
        <v>916</v>
      </c>
      <c r="AG679" s="44">
        <v>0</v>
      </c>
      <c r="AH679" s="42" t="s">
        <v>916</v>
      </c>
      <c r="AI679" s="32" t="e">
        <f>VLOOKUP(A679,'4月明細'!B:B,1,0)</f>
        <v>#N/A</v>
      </c>
    </row>
    <row r="680" spans="1:35" ht="19.95" customHeight="1" x14ac:dyDescent="0.3">
      <c r="A680" s="33" t="s">
        <v>442</v>
      </c>
      <c r="B680" s="34">
        <v>46074.460590277777</v>
      </c>
      <c r="C680" s="34" t="str">
        <f t="shared" si="23"/>
        <v>202602</v>
      </c>
      <c r="D680" s="35" t="s">
        <v>951</v>
      </c>
      <c r="E680" s="36" t="s">
        <v>942</v>
      </c>
      <c r="F680" s="36" t="s">
        <v>987</v>
      </c>
      <c r="G680" s="37" t="s">
        <v>2646</v>
      </c>
      <c r="H680" s="36" t="s">
        <v>954</v>
      </c>
      <c r="I680" s="35"/>
      <c r="J680" s="36" t="s">
        <v>1058</v>
      </c>
      <c r="K680" s="33" t="s">
        <v>916</v>
      </c>
      <c r="L680" s="35" t="s">
        <v>916</v>
      </c>
      <c r="M680" s="36" t="s">
        <v>1135</v>
      </c>
      <c r="N680" s="45">
        <v>46074.474999999999</v>
      </c>
      <c r="O680" s="36" t="s">
        <v>25</v>
      </c>
      <c r="P680" s="38">
        <v>1.4409722200000001E-2</v>
      </c>
      <c r="Q680" s="39" t="s">
        <v>2647</v>
      </c>
      <c r="R680" s="35" t="s">
        <v>916</v>
      </c>
      <c r="S680" s="35"/>
      <c r="T680" s="35" t="s">
        <v>1624</v>
      </c>
      <c r="U680" s="40">
        <v>46075</v>
      </c>
      <c r="V680" s="41">
        <v>46153.532777777778</v>
      </c>
      <c r="W680" s="40">
        <v>46074</v>
      </c>
      <c r="X680" s="35" t="s">
        <v>916</v>
      </c>
      <c r="Y680" s="35" t="s">
        <v>916</v>
      </c>
      <c r="Z680" s="35" t="s">
        <v>916</v>
      </c>
      <c r="AA680" s="38">
        <v>0.3458333328</v>
      </c>
      <c r="AB680" s="42" t="s">
        <v>916</v>
      </c>
      <c r="AC680" s="43" t="s">
        <v>916</v>
      </c>
      <c r="AD680" s="43" t="s">
        <v>916</v>
      </c>
      <c r="AE680" s="33" t="s">
        <v>916</v>
      </c>
      <c r="AF680" s="35" t="s">
        <v>916</v>
      </c>
      <c r="AG680" s="44">
        <v>0</v>
      </c>
      <c r="AH680" s="42" t="s">
        <v>916</v>
      </c>
      <c r="AI680" s="32" t="e">
        <f>VLOOKUP(A680,'4月明細'!B:B,1,0)</f>
        <v>#N/A</v>
      </c>
    </row>
    <row r="681" spans="1:35" ht="19.95" customHeight="1" x14ac:dyDescent="0.3">
      <c r="A681" s="33" t="s">
        <v>441</v>
      </c>
      <c r="B681" s="34">
        <v>46073.749074074076</v>
      </c>
      <c r="C681" s="34" t="str">
        <f t="shared" si="23"/>
        <v>202602</v>
      </c>
      <c r="D681" s="35" t="s">
        <v>909</v>
      </c>
      <c r="E681" s="36" t="s">
        <v>910</v>
      </c>
      <c r="F681" s="36" t="s">
        <v>1588</v>
      </c>
      <c r="G681" s="37" t="s">
        <v>2648</v>
      </c>
      <c r="H681" s="36" t="s">
        <v>1078</v>
      </c>
      <c r="I681" s="35" t="s">
        <v>2649</v>
      </c>
      <c r="J681" s="36" t="s">
        <v>914</v>
      </c>
      <c r="K681" s="33" t="s">
        <v>916</v>
      </c>
      <c r="L681" s="35" t="s">
        <v>916</v>
      </c>
      <c r="M681" s="36" t="s">
        <v>916</v>
      </c>
      <c r="N681" s="45">
        <v>46074.448611111111</v>
      </c>
      <c r="O681" s="36" t="s">
        <v>25</v>
      </c>
      <c r="P681" s="38">
        <v>0.69953703700000003</v>
      </c>
      <c r="Q681" s="39" t="s">
        <v>2650</v>
      </c>
      <c r="R681" s="35" t="s">
        <v>916</v>
      </c>
      <c r="S681" s="35" t="s">
        <v>2651</v>
      </c>
      <c r="T681" s="35" t="s">
        <v>1624</v>
      </c>
      <c r="U681" s="40">
        <v>46074</v>
      </c>
      <c r="V681" s="41">
        <v>46153.532777777778</v>
      </c>
      <c r="W681" s="40">
        <v>46073</v>
      </c>
      <c r="X681" s="35" t="s">
        <v>916</v>
      </c>
      <c r="Y681" s="35" t="s">
        <v>916</v>
      </c>
      <c r="Z681" s="35" t="s">
        <v>916</v>
      </c>
      <c r="AA681" s="38">
        <v>16.788888887999999</v>
      </c>
      <c r="AB681" s="42" t="s">
        <v>916</v>
      </c>
      <c r="AC681" s="43" t="s">
        <v>916</v>
      </c>
      <c r="AD681" s="43" t="s">
        <v>916</v>
      </c>
      <c r="AE681" s="33" t="s">
        <v>916</v>
      </c>
      <c r="AF681" s="35" t="s">
        <v>916</v>
      </c>
      <c r="AG681" s="44">
        <v>492130.76666666672</v>
      </c>
      <c r="AH681" s="42" t="s">
        <v>916</v>
      </c>
      <c r="AI681" s="32" t="e">
        <f>VLOOKUP(A681,'4月明細'!B:B,1,0)</f>
        <v>#N/A</v>
      </c>
    </row>
    <row r="682" spans="1:35" ht="19.95" customHeight="1" x14ac:dyDescent="0.3">
      <c r="A682" s="33" t="s">
        <v>507</v>
      </c>
      <c r="B682" s="34">
        <v>46073.076701388891</v>
      </c>
      <c r="C682" s="34" t="str">
        <f t="shared" si="23"/>
        <v>202602</v>
      </c>
      <c r="D682" s="35" t="s">
        <v>1217</v>
      </c>
      <c r="E682" s="36" t="s">
        <v>942</v>
      </c>
      <c r="F682" s="36" t="s">
        <v>1222</v>
      </c>
      <c r="G682" s="37" t="s">
        <v>2652</v>
      </c>
      <c r="H682" s="36" t="s">
        <v>913</v>
      </c>
      <c r="I682" s="35"/>
      <c r="J682" s="36" t="s">
        <v>945</v>
      </c>
      <c r="K682" s="33" t="s">
        <v>916</v>
      </c>
      <c r="L682" s="35" t="s">
        <v>916</v>
      </c>
      <c r="M682" s="36" t="s">
        <v>916</v>
      </c>
      <c r="N682" s="45">
        <v>46083.649305555555</v>
      </c>
      <c r="O682" s="36" t="s">
        <v>25</v>
      </c>
      <c r="P682" s="38">
        <v>10.5726041667</v>
      </c>
      <c r="Q682" s="39" t="s">
        <v>1404</v>
      </c>
      <c r="R682" s="35" t="s">
        <v>916</v>
      </c>
      <c r="S682" s="35"/>
      <c r="T682" s="35" t="s">
        <v>1624</v>
      </c>
      <c r="U682" s="40">
        <v>46074</v>
      </c>
      <c r="V682" s="41">
        <v>46153.532777777778</v>
      </c>
      <c r="W682" s="40">
        <v>46073</v>
      </c>
      <c r="X682" s="35" t="s">
        <v>916</v>
      </c>
      <c r="Y682" s="35" t="s">
        <v>916</v>
      </c>
      <c r="Z682" s="35" t="s">
        <v>916</v>
      </c>
      <c r="AA682" s="38">
        <v>253.74250000079999</v>
      </c>
      <c r="AB682" s="42" t="s">
        <v>916</v>
      </c>
      <c r="AC682" s="43" t="s">
        <v>916</v>
      </c>
      <c r="AD682" s="43" t="s">
        <v>916</v>
      </c>
      <c r="AE682" s="33" t="s">
        <v>916</v>
      </c>
      <c r="AF682" s="35" t="s">
        <v>916</v>
      </c>
      <c r="AG682" s="44">
        <v>0</v>
      </c>
      <c r="AH682" s="42" t="s">
        <v>916</v>
      </c>
      <c r="AI682" s="32" t="e">
        <f>VLOOKUP(A682,'4月明細'!B:B,1,0)</f>
        <v>#N/A</v>
      </c>
    </row>
    <row r="683" spans="1:35" ht="19.95" customHeight="1" x14ac:dyDescent="0.3">
      <c r="A683" s="33" t="s">
        <v>440</v>
      </c>
      <c r="B683" s="34">
        <v>46073.022152777776</v>
      </c>
      <c r="C683" s="34" t="str">
        <f t="shared" si="23"/>
        <v>202602</v>
      </c>
      <c r="D683" s="35" t="s">
        <v>1217</v>
      </c>
      <c r="E683" s="36" t="s">
        <v>942</v>
      </c>
      <c r="F683" s="36" t="s">
        <v>926</v>
      </c>
      <c r="G683" s="37" t="s">
        <v>2653</v>
      </c>
      <c r="H683" s="36" t="s">
        <v>1114</v>
      </c>
      <c r="I683" s="35"/>
      <c r="J683" s="36" t="s">
        <v>945</v>
      </c>
      <c r="K683" s="33" t="s">
        <v>916</v>
      </c>
      <c r="L683" s="35" t="s">
        <v>916</v>
      </c>
      <c r="M683" s="36" t="s">
        <v>916</v>
      </c>
      <c r="N683" s="45">
        <v>46078.477083333331</v>
      </c>
      <c r="O683" s="36" t="s">
        <v>25</v>
      </c>
      <c r="P683" s="38">
        <v>5.4549305555999998</v>
      </c>
      <c r="Q683" s="39" t="s">
        <v>2654</v>
      </c>
      <c r="R683" s="35" t="s">
        <v>916</v>
      </c>
      <c r="S683" s="35"/>
      <c r="T683" s="35" t="s">
        <v>1624</v>
      </c>
      <c r="U683" s="40">
        <v>46074</v>
      </c>
      <c r="V683" s="41">
        <v>46153.532777777778</v>
      </c>
      <c r="W683" s="40">
        <v>46073</v>
      </c>
      <c r="X683" s="35" t="s">
        <v>916</v>
      </c>
      <c r="Y683" s="35" t="s">
        <v>916</v>
      </c>
      <c r="Z683" s="35" t="s">
        <v>916</v>
      </c>
      <c r="AA683" s="38">
        <v>130.91833333439999</v>
      </c>
      <c r="AB683" s="42" t="s">
        <v>916</v>
      </c>
      <c r="AC683" s="43" t="s">
        <v>916</v>
      </c>
      <c r="AD683" s="43" t="s">
        <v>916</v>
      </c>
      <c r="AE683" s="33" t="s">
        <v>916</v>
      </c>
      <c r="AF683" s="35" t="s">
        <v>916</v>
      </c>
      <c r="AG683" s="44">
        <v>492227.45000000013</v>
      </c>
      <c r="AH683" s="42" t="s">
        <v>916</v>
      </c>
      <c r="AI683" s="32" t="e">
        <f>VLOOKUP(A683,'4月明細'!B:B,1,0)</f>
        <v>#N/A</v>
      </c>
    </row>
    <row r="684" spans="1:35" ht="19.95" customHeight="1" x14ac:dyDescent="0.3">
      <c r="A684" s="33" t="s">
        <v>439</v>
      </c>
      <c r="B684" s="34">
        <v>46072.912476851852</v>
      </c>
      <c r="C684" s="34" t="str">
        <f t="shared" si="23"/>
        <v>202602</v>
      </c>
      <c r="D684" s="35" t="s">
        <v>1510</v>
      </c>
      <c r="E684" s="36" t="s">
        <v>942</v>
      </c>
      <c r="F684" s="36" t="s">
        <v>1572</v>
      </c>
      <c r="G684" s="37" t="s">
        <v>2655</v>
      </c>
      <c r="H684" s="36" t="s">
        <v>928</v>
      </c>
      <c r="I684" s="35"/>
      <c r="J684" s="36" t="s">
        <v>945</v>
      </c>
      <c r="K684" s="33" t="s">
        <v>916</v>
      </c>
      <c r="L684" s="35" t="s">
        <v>916</v>
      </c>
      <c r="M684" s="36" t="s">
        <v>957</v>
      </c>
      <c r="N684" s="45">
        <v>46076.583333333336</v>
      </c>
      <c r="O684" s="36" t="s">
        <v>25</v>
      </c>
      <c r="P684" s="38">
        <v>3.6708564815</v>
      </c>
      <c r="Q684" s="39" t="s">
        <v>2656</v>
      </c>
      <c r="R684" s="35" t="s">
        <v>916</v>
      </c>
      <c r="S684" s="35"/>
      <c r="T684" s="35" t="s">
        <v>1624</v>
      </c>
      <c r="U684" s="40">
        <v>46073</v>
      </c>
      <c r="V684" s="41">
        <v>46153.532777777778</v>
      </c>
      <c r="W684" s="40">
        <v>46073</v>
      </c>
      <c r="X684" s="35" t="s">
        <v>916</v>
      </c>
      <c r="Y684" s="35" t="s">
        <v>916</v>
      </c>
      <c r="Z684" s="35" t="s">
        <v>916</v>
      </c>
      <c r="AA684" s="38">
        <v>88.100555556000003</v>
      </c>
      <c r="AB684" s="42" t="s">
        <v>916</v>
      </c>
      <c r="AC684" s="43" t="s">
        <v>916</v>
      </c>
      <c r="AD684" s="43" t="s">
        <v>916</v>
      </c>
      <c r="AE684" s="33" t="s">
        <v>916</v>
      </c>
      <c r="AF684" s="35" t="s">
        <v>916</v>
      </c>
      <c r="AG684" s="44">
        <v>492182.00000000012</v>
      </c>
      <c r="AH684" s="42" t="s">
        <v>916</v>
      </c>
      <c r="AI684" s="32" t="e">
        <f>VLOOKUP(A684,'4月明細'!B:B,1,0)</f>
        <v>#N/A</v>
      </c>
    </row>
    <row r="685" spans="1:35" ht="19.95" customHeight="1" x14ac:dyDescent="0.3">
      <c r="A685" s="33" t="s">
        <v>506</v>
      </c>
      <c r="B685" s="34">
        <v>46072.911840277775</v>
      </c>
      <c r="C685" s="34" t="str">
        <f t="shared" si="23"/>
        <v>202602</v>
      </c>
      <c r="D685" s="35" t="s">
        <v>1510</v>
      </c>
      <c r="E685" s="36" t="s">
        <v>942</v>
      </c>
      <c r="F685" s="36" t="s">
        <v>1606</v>
      </c>
      <c r="G685" s="37" t="s">
        <v>2657</v>
      </c>
      <c r="H685" s="36" t="s">
        <v>928</v>
      </c>
      <c r="I685" s="35"/>
      <c r="J685" s="36" t="s">
        <v>945</v>
      </c>
      <c r="K685" s="33" t="s">
        <v>916</v>
      </c>
      <c r="L685" s="35" t="s">
        <v>916</v>
      </c>
      <c r="M685" s="36" t="s">
        <v>957</v>
      </c>
      <c r="N685" s="45">
        <v>46083.65</v>
      </c>
      <c r="O685" s="36" t="s">
        <v>25</v>
      </c>
      <c r="P685" s="38">
        <v>10.738159722200001</v>
      </c>
      <c r="Q685" s="39" t="s">
        <v>1404</v>
      </c>
      <c r="R685" s="35" t="s">
        <v>916</v>
      </c>
      <c r="S685" s="35"/>
      <c r="T685" s="35" t="s">
        <v>1624</v>
      </c>
      <c r="U685" s="40">
        <v>46073</v>
      </c>
      <c r="V685" s="41">
        <v>46153.532777777778</v>
      </c>
      <c r="W685" s="40">
        <v>46073</v>
      </c>
      <c r="X685" s="35" t="s">
        <v>916</v>
      </c>
      <c r="Y685" s="35" t="s">
        <v>916</v>
      </c>
      <c r="Z685" s="35" t="s">
        <v>916</v>
      </c>
      <c r="AA685" s="38">
        <v>257.7158333328</v>
      </c>
      <c r="AB685" s="42" t="s">
        <v>916</v>
      </c>
      <c r="AC685" s="43" t="s">
        <v>916</v>
      </c>
      <c r="AD685" s="43" t="s">
        <v>916</v>
      </c>
      <c r="AE685" s="33" t="s">
        <v>916</v>
      </c>
      <c r="AF685" s="35" t="s">
        <v>916</v>
      </c>
      <c r="AG685" s="44">
        <v>0</v>
      </c>
      <c r="AH685" s="42" t="s">
        <v>916</v>
      </c>
      <c r="AI685" s="32" t="e">
        <f>VLOOKUP(A685,'4月明細'!B:B,1,0)</f>
        <v>#N/A</v>
      </c>
    </row>
    <row r="686" spans="1:35" ht="19.95" customHeight="1" x14ac:dyDescent="0.3">
      <c r="A686" s="33" t="s">
        <v>438</v>
      </c>
      <c r="B686" s="34">
        <v>46072.864618055559</v>
      </c>
      <c r="C686" s="34" t="str">
        <f t="shared" si="23"/>
        <v>202602</v>
      </c>
      <c r="D686" s="35" t="s">
        <v>1747</v>
      </c>
      <c r="E686" s="36" t="s">
        <v>942</v>
      </c>
      <c r="F686" s="36" t="s">
        <v>1731</v>
      </c>
      <c r="G686" s="37" t="s">
        <v>1721</v>
      </c>
      <c r="H686" s="36" t="s">
        <v>913</v>
      </c>
      <c r="I686" s="35"/>
      <c r="J686" s="36" t="s">
        <v>945</v>
      </c>
      <c r="K686" s="33" t="s">
        <v>916</v>
      </c>
      <c r="L686" s="35" t="s">
        <v>916</v>
      </c>
      <c r="M686" s="36" t="s">
        <v>957</v>
      </c>
      <c r="N686" s="45">
        <v>46076.584027777775</v>
      </c>
      <c r="O686" s="36" t="s">
        <v>25</v>
      </c>
      <c r="P686" s="38">
        <v>3.7194097222</v>
      </c>
      <c r="Q686" s="39" t="s">
        <v>2658</v>
      </c>
      <c r="R686" s="35" t="s">
        <v>916</v>
      </c>
      <c r="S686" s="35"/>
      <c r="T686" s="35" t="s">
        <v>1624</v>
      </c>
      <c r="U686" s="40">
        <v>46073</v>
      </c>
      <c r="V686" s="41">
        <v>46153.532777777778</v>
      </c>
      <c r="W686" s="40">
        <v>46073</v>
      </c>
      <c r="X686" s="35" t="s">
        <v>916</v>
      </c>
      <c r="Y686" s="35" t="s">
        <v>916</v>
      </c>
      <c r="Z686" s="35" t="s">
        <v>916</v>
      </c>
      <c r="AA686" s="38">
        <v>89.2658333328</v>
      </c>
      <c r="AB686" s="42" t="s">
        <v>916</v>
      </c>
      <c r="AC686" s="43" t="s">
        <v>916</v>
      </c>
      <c r="AD686" s="43" t="s">
        <v>916</v>
      </c>
      <c r="AE686" s="33" t="s">
        <v>916</v>
      </c>
      <c r="AF686" s="35" t="s">
        <v>916</v>
      </c>
      <c r="AG686" s="44">
        <v>492182.01666666672</v>
      </c>
      <c r="AH686" s="42" t="s">
        <v>916</v>
      </c>
      <c r="AI686" s="32" t="e">
        <f>VLOOKUP(A686,'4月明細'!B:B,1,0)</f>
        <v>#N/A</v>
      </c>
    </row>
    <row r="687" spans="1:35" ht="19.95" customHeight="1" x14ac:dyDescent="0.3">
      <c r="A687" s="33" t="s">
        <v>437</v>
      </c>
      <c r="B687" s="34">
        <v>46071.878634259258</v>
      </c>
      <c r="C687" s="34" t="str">
        <f t="shared" si="23"/>
        <v>202602</v>
      </c>
      <c r="D687" s="35" t="s">
        <v>986</v>
      </c>
      <c r="E687" s="36" t="s">
        <v>910</v>
      </c>
      <c r="F687" s="36" t="s">
        <v>1429</v>
      </c>
      <c r="G687" s="37" t="s">
        <v>2659</v>
      </c>
      <c r="H687" s="36" t="s">
        <v>954</v>
      </c>
      <c r="I687" s="35"/>
      <c r="J687" s="36" t="s">
        <v>938</v>
      </c>
      <c r="K687" s="33" t="s">
        <v>916</v>
      </c>
      <c r="L687" s="35" t="s">
        <v>916</v>
      </c>
      <c r="M687" s="36" t="s">
        <v>957</v>
      </c>
      <c r="N687" s="45">
        <v>46074.454861111109</v>
      </c>
      <c r="O687" s="36" t="s">
        <v>25</v>
      </c>
      <c r="P687" s="38">
        <v>2.5762268519</v>
      </c>
      <c r="Q687" s="39" t="s">
        <v>2660</v>
      </c>
      <c r="R687" s="35" t="s">
        <v>916</v>
      </c>
      <c r="S687" s="35" t="s">
        <v>2661</v>
      </c>
      <c r="T687" s="35" t="s">
        <v>1624</v>
      </c>
      <c r="U687" s="40">
        <v>46072</v>
      </c>
      <c r="V687" s="41">
        <v>46153.532777777778</v>
      </c>
      <c r="W687" s="40">
        <v>46072</v>
      </c>
      <c r="X687" s="35" t="s">
        <v>916</v>
      </c>
      <c r="Y687" s="35" t="s">
        <v>916</v>
      </c>
      <c r="Z687" s="35" t="s">
        <v>916</v>
      </c>
      <c r="AA687" s="38">
        <v>61.829444445599997</v>
      </c>
      <c r="AB687" s="42" t="s">
        <v>916</v>
      </c>
      <c r="AC687" s="43" t="s">
        <v>916</v>
      </c>
      <c r="AD687" s="43" t="s">
        <v>916</v>
      </c>
      <c r="AE687" s="33" t="s">
        <v>916</v>
      </c>
      <c r="AF687" s="35" t="s">
        <v>916</v>
      </c>
      <c r="AG687" s="44">
        <v>492130.91666666669</v>
      </c>
      <c r="AH687" s="42" t="s">
        <v>916</v>
      </c>
      <c r="AI687" s="32" t="e">
        <f>VLOOKUP(A687,'4月明細'!B:B,1,0)</f>
        <v>#N/A</v>
      </c>
    </row>
    <row r="688" spans="1:35" ht="19.95" customHeight="1" x14ac:dyDescent="0.3">
      <c r="A688" s="33" t="s">
        <v>505</v>
      </c>
      <c r="B688" s="34">
        <v>46071.767916666664</v>
      </c>
      <c r="C688" s="34" t="str">
        <f t="shared" si="23"/>
        <v>202602</v>
      </c>
      <c r="D688" s="35" t="s">
        <v>1856</v>
      </c>
      <c r="E688" s="36" t="s">
        <v>1112</v>
      </c>
      <c r="F688" s="36" t="s">
        <v>2218</v>
      </c>
      <c r="G688" s="37" t="s">
        <v>2662</v>
      </c>
      <c r="H688" s="36" t="s">
        <v>1023</v>
      </c>
      <c r="I688" s="35" t="s">
        <v>2663</v>
      </c>
      <c r="J688" s="36" t="s">
        <v>938</v>
      </c>
      <c r="K688" s="33" t="s">
        <v>916</v>
      </c>
      <c r="L688" s="35" t="s">
        <v>916</v>
      </c>
      <c r="M688" s="36" t="s">
        <v>916</v>
      </c>
      <c r="N688" s="45">
        <v>46083.65</v>
      </c>
      <c r="O688" s="36" t="s">
        <v>25</v>
      </c>
      <c r="P688" s="38">
        <v>11.882083333300001</v>
      </c>
      <c r="Q688" s="39" t="s">
        <v>1404</v>
      </c>
      <c r="R688" s="35" t="s">
        <v>916</v>
      </c>
      <c r="S688" s="35"/>
      <c r="T688" s="35" t="s">
        <v>1624</v>
      </c>
      <c r="U688" s="40">
        <v>46072</v>
      </c>
      <c r="V688" s="41">
        <v>46153.532777777778</v>
      </c>
      <c r="W688" s="40">
        <v>46071</v>
      </c>
      <c r="X688" s="35" t="s">
        <v>916</v>
      </c>
      <c r="Y688" s="35" t="s">
        <v>916</v>
      </c>
      <c r="Z688" s="35" t="s">
        <v>916</v>
      </c>
      <c r="AA688" s="38">
        <v>285.1699999992</v>
      </c>
      <c r="AB688" s="42" t="s">
        <v>916</v>
      </c>
      <c r="AC688" s="43" t="s">
        <v>916</v>
      </c>
      <c r="AD688" s="43" t="s">
        <v>916</v>
      </c>
      <c r="AE688" s="33" t="s">
        <v>916</v>
      </c>
      <c r="AF688" s="35" t="s">
        <v>916</v>
      </c>
      <c r="AG688" s="44">
        <v>0</v>
      </c>
      <c r="AH688" s="42" t="s">
        <v>916</v>
      </c>
      <c r="AI688" s="32" t="e">
        <f>VLOOKUP(A688,'4月明細'!B:B,1,0)</f>
        <v>#N/A</v>
      </c>
    </row>
    <row r="689" spans="1:35" ht="19.95" customHeight="1" x14ac:dyDescent="0.3">
      <c r="A689" s="33" t="s">
        <v>436</v>
      </c>
      <c r="B689" s="34">
        <v>46071.733240740738</v>
      </c>
      <c r="C689" s="34" t="str">
        <f t="shared" si="23"/>
        <v>202602</v>
      </c>
      <c r="D689" s="35" t="s">
        <v>909</v>
      </c>
      <c r="E689" s="36" t="s">
        <v>910</v>
      </c>
      <c r="F689" s="36" t="s">
        <v>1397</v>
      </c>
      <c r="G689" s="37" t="s">
        <v>2664</v>
      </c>
      <c r="H689" s="36" t="s">
        <v>928</v>
      </c>
      <c r="I689" s="35" t="s">
        <v>2665</v>
      </c>
      <c r="J689" s="36" t="s">
        <v>929</v>
      </c>
      <c r="K689" s="33" t="s">
        <v>916</v>
      </c>
      <c r="L689" s="35" t="s">
        <v>916</v>
      </c>
      <c r="M689" s="36" t="s">
        <v>957</v>
      </c>
      <c r="N689" s="45">
        <v>46076.581250000003</v>
      </c>
      <c r="O689" s="36" t="s">
        <v>25</v>
      </c>
      <c r="P689" s="38">
        <v>4.8480092593000004</v>
      </c>
      <c r="Q689" s="39" t="s">
        <v>2666</v>
      </c>
      <c r="R689" s="35" t="s">
        <v>916</v>
      </c>
      <c r="S689" s="35" t="s">
        <v>2667</v>
      </c>
      <c r="T689" s="35" t="s">
        <v>1624</v>
      </c>
      <c r="U689" s="40">
        <v>46072</v>
      </c>
      <c r="V689" s="41">
        <v>46153.532777777778</v>
      </c>
      <c r="W689" s="40">
        <v>46071</v>
      </c>
      <c r="X689" s="35" t="s">
        <v>916</v>
      </c>
      <c r="Y689" s="35" t="s">
        <v>916</v>
      </c>
      <c r="Z689" s="35" t="s">
        <v>916</v>
      </c>
      <c r="AA689" s="38">
        <v>116.3522222232</v>
      </c>
      <c r="AB689" s="42" t="s">
        <v>916</v>
      </c>
      <c r="AC689" s="43" t="s">
        <v>916</v>
      </c>
      <c r="AD689" s="43" t="s">
        <v>916</v>
      </c>
      <c r="AE689" s="33" t="s">
        <v>916</v>
      </c>
      <c r="AF689" s="35" t="s">
        <v>916</v>
      </c>
      <c r="AG689" s="44">
        <v>492181.95</v>
      </c>
      <c r="AH689" s="42" t="s">
        <v>916</v>
      </c>
      <c r="AI689" s="32" t="e">
        <f>VLOOKUP(A689,'4月明細'!B:B,1,0)</f>
        <v>#N/A</v>
      </c>
    </row>
    <row r="690" spans="1:35" ht="19.95" customHeight="1" x14ac:dyDescent="0.3">
      <c r="A690" s="33" t="s">
        <v>435</v>
      </c>
      <c r="B690" s="34">
        <v>46071.685960648145</v>
      </c>
      <c r="C690" s="34" t="str">
        <f t="shared" si="23"/>
        <v>202602</v>
      </c>
      <c r="D690" s="35" t="s">
        <v>1198</v>
      </c>
      <c r="E690" s="36" t="s">
        <v>1199</v>
      </c>
      <c r="F690" s="36" t="s">
        <v>1860</v>
      </c>
      <c r="G690" s="37" t="s">
        <v>2668</v>
      </c>
      <c r="H690" s="36" t="s">
        <v>928</v>
      </c>
      <c r="I690" s="35" t="s">
        <v>1594</v>
      </c>
      <c r="J690" s="36" t="s">
        <v>938</v>
      </c>
      <c r="K690" s="33" t="s">
        <v>916</v>
      </c>
      <c r="L690" s="35" t="s">
        <v>916</v>
      </c>
      <c r="M690" s="36" t="s">
        <v>957</v>
      </c>
      <c r="N690" s="45">
        <v>46074.456944444442</v>
      </c>
      <c r="O690" s="36" t="s">
        <v>25</v>
      </c>
      <c r="P690" s="38">
        <v>2.7709837962999999</v>
      </c>
      <c r="Q690" s="39" t="s">
        <v>2669</v>
      </c>
      <c r="R690" s="35" t="s">
        <v>916</v>
      </c>
      <c r="S690" s="35" t="s">
        <v>2670</v>
      </c>
      <c r="T690" s="35" t="s">
        <v>1624</v>
      </c>
      <c r="U690" s="40">
        <v>46072</v>
      </c>
      <c r="V690" s="41">
        <v>46153.532777777778</v>
      </c>
      <c r="W690" s="40">
        <v>46071</v>
      </c>
      <c r="X690" s="35" t="s">
        <v>916</v>
      </c>
      <c r="Y690" s="35" t="s">
        <v>916</v>
      </c>
      <c r="Z690" s="35" t="s">
        <v>916</v>
      </c>
      <c r="AA690" s="38">
        <v>66.503611111200001</v>
      </c>
      <c r="AB690" s="42" t="s">
        <v>916</v>
      </c>
      <c r="AC690" s="43" t="s">
        <v>916</v>
      </c>
      <c r="AD690" s="43" t="s">
        <v>916</v>
      </c>
      <c r="AE690" s="33" t="s">
        <v>916</v>
      </c>
      <c r="AF690" s="35" t="s">
        <v>916</v>
      </c>
      <c r="AG690" s="44">
        <v>492130.96666666667</v>
      </c>
      <c r="AH690" s="42" t="s">
        <v>916</v>
      </c>
      <c r="AI690" s="32" t="e">
        <f>VLOOKUP(A690,'4月明細'!B:B,1,0)</f>
        <v>#N/A</v>
      </c>
    </row>
    <row r="691" spans="1:35" ht="19.95" customHeight="1" x14ac:dyDescent="0.3">
      <c r="A691" s="33" t="s">
        <v>434</v>
      </c>
      <c r="B691" s="34">
        <v>46071.564259259256</v>
      </c>
      <c r="C691" s="34" t="str">
        <f t="shared" si="23"/>
        <v>202602</v>
      </c>
      <c r="D691" s="35" t="s">
        <v>1597</v>
      </c>
      <c r="E691" s="36" t="s">
        <v>942</v>
      </c>
      <c r="F691" s="36" t="s">
        <v>1350</v>
      </c>
      <c r="G691" s="37" t="s">
        <v>2671</v>
      </c>
      <c r="H691" s="36" t="s">
        <v>1023</v>
      </c>
      <c r="I691" s="35"/>
      <c r="J691" s="36" t="s">
        <v>945</v>
      </c>
      <c r="K691" s="33" t="s">
        <v>916</v>
      </c>
      <c r="L691" s="35" t="s">
        <v>916</v>
      </c>
      <c r="M691" s="36" t="s">
        <v>957</v>
      </c>
      <c r="N691" s="45">
        <v>46078.486111111109</v>
      </c>
      <c r="O691" s="36" t="s">
        <v>25</v>
      </c>
      <c r="P691" s="38">
        <v>6.9218518518999996</v>
      </c>
      <c r="Q691" s="39" t="s">
        <v>2672</v>
      </c>
      <c r="R691" s="46" t="s">
        <v>2673</v>
      </c>
      <c r="S691" s="35"/>
      <c r="T691" s="35" t="s">
        <v>1624</v>
      </c>
      <c r="U691" s="40">
        <v>46072</v>
      </c>
      <c r="V691" s="41">
        <v>46153.532777777778</v>
      </c>
      <c r="W691" s="40">
        <v>46071</v>
      </c>
      <c r="X691" s="35" t="s">
        <v>916</v>
      </c>
      <c r="Y691" s="35" t="s">
        <v>916</v>
      </c>
      <c r="Z691" s="35" t="s">
        <v>916</v>
      </c>
      <c r="AA691" s="38">
        <v>166.12444444560001</v>
      </c>
      <c r="AB691" s="42" t="s">
        <v>916</v>
      </c>
      <c r="AC691" s="43" t="s">
        <v>916</v>
      </c>
      <c r="AD691" s="43" t="s">
        <v>916</v>
      </c>
      <c r="AE691" s="33" t="s">
        <v>916</v>
      </c>
      <c r="AF691" s="35" t="s">
        <v>916</v>
      </c>
      <c r="AG691" s="44">
        <v>492227.46666666667</v>
      </c>
      <c r="AH691" s="42" t="s">
        <v>916</v>
      </c>
      <c r="AI691" s="32" t="e">
        <f>VLOOKUP(A691,'4月明細'!B:B,1,0)</f>
        <v>#N/A</v>
      </c>
    </row>
    <row r="692" spans="1:35" ht="19.95" customHeight="1" x14ac:dyDescent="0.3">
      <c r="A692" s="33" t="s">
        <v>433</v>
      </c>
      <c r="B692" s="34">
        <v>46071.554872685185</v>
      </c>
      <c r="C692" s="34" t="str">
        <f t="shared" si="23"/>
        <v>202602</v>
      </c>
      <c r="D692" s="35" t="s">
        <v>909</v>
      </c>
      <c r="E692" s="36" t="s">
        <v>910</v>
      </c>
      <c r="F692" s="36" t="s">
        <v>987</v>
      </c>
      <c r="G692" s="37" t="s">
        <v>2674</v>
      </c>
      <c r="H692" s="36" t="s">
        <v>928</v>
      </c>
      <c r="I692" s="35"/>
      <c r="J692" s="36" t="s">
        <v>914</v>
      </c>
      <c r="K692" s="33" t="s">
        <v>916</v>
      </c>
      <c r="L692" s="35" t="s">
        <v>916</v>
      </c>
      <c r="M692" s="36" t="s">
        <v>957</v>
      </c>
      <c r="N692" s="45">
        <v>46074.458333333336</v>
      </c>
      <c r="O692" s="36" t="s">
        <v>25</v>
      </c>
      <c r="P692" s="38">
        <v>2.9034606481999998</v>
      </c>
      <c r="Q692" s="39" t="s">
        <v>2675</v>
      </c>
      <c r="R692" s="35" t="s">
        <v>916</v>
      </c>
      <c r="S692" s="35"/>
      <c r="T692" s="35" t="s">
        <v>1624</v>
      </c>
      <c r="U692" s="40">
        <v>46072</v>
      </c>
      <c r="V692" s="41">
        <v>46153.532777777778</v>
      </c>
      <c r="W692" s="40">
        <v>46071</v>
      </c>
      <c r="X692" s="35" t="s">
        <v>916</v>
      </c>
      <c r="Y692" s="35" t="s">
        <v>916</v>
      </c>
      <c r="Z692" s="35" t="s">
        <v>916</v>
      </c>
      <c r="AA692" s="38">
        <v>69.683055556799999</v>
      </c>
      <c r="AB692" s="42" t="s">
        <v>916</v>
      </c>
      <c r="AC692" s="43" t="s">
        <v>916</v>
      </c>
      <c r="AD692" s="43" t="s">
        <v>916</v>
      </c>
      <c r="AE692" s="33" t="s">
        <v>916</v>
      </c>
      <c r="AF692" s="35" t="s">
        <v>916</v>
      </c>
      <c r="AG692" s="44">
        <v>492131.00000000012</v>
      </c>
      <c r="AH692" s="42" t="s">
        <v>916</v>
      </c>
      <c r="AI692" s="32" t="e">
        <f>VLOOKUP(A692,'4月明細'!B:B,1,0)</f>
        <v>#N/A</v>
      </c>
    </row>
    <row r="693" spans="1:35" ht="19.95" customHeight="1" x14ac:dyDescent="0.3">
      <c r="A693" s="33" t="s">
        <v>432</v>
      </c>
      <c r="B693" s="34">
        <v>46071.517951388887</v>
      </c>
      <c r="C693" s="34" t="str">
        <f t="shared" si="23"/>
        <v>202602</v>
      </c>
      <c r="D693" s="35" t="s">
        <v>951</v>
      </c>
      <c r="E693" s="36" t="s">
        <v>910</v>
      </c>
      <c r="F693" s="36" t="s">
        <v>1370</v>
      </c>
      <c r="G693" s="37" t="s">
        <v>2676</v>
      </c>
      <c r="H693" s="36" t="s">
        <v>928</v>
      </c>
      <c r="I693" s="35"/>
      <c r="J693" s="36" t="s">
        <v>914</v>
      </c>
      <c r="K693" s="33" t="s">
        <v>916</v>
      </c>
      <c r="L693" s="35" t="s">
        <v>916</v>
      </c>
      <c r="M693" s="36" t="s">
        <v>957</v>
      </c>
      <c r="N693" s="45">
        <v>46076.577777777777</v>
      </c>
      <c r="O693" s="36" t="s">
        <v>25</v>
      </c>
      <c r="P693" s="38">
        <v>5.0598263889000004</v>
      </c>
      <c r="Q693" s="39" t="s">
        <v>2677</v>
      </c>
      <c r="R693" s="35" t="s">
        <v>916</v>
      </c>
      <c r="S693" s="35"/>
      <c r="T693" s="35" t="s">
        <v>1624</v>
      </c>
      <c r="U693" s="40">
        <v>46072</v>
      </c>
      <c r="V693" s="41">
        <v>46153.532777777778</v>
      </c>
      <c r="W693" s="40">
        <v>46071</v>
      </c>
      <c r="X693" s="35" t="s">
        <v>916</v>
      </c>
      <c r="Y693" s="35" t="s">
        <v>916</v>
      </c>
      <c r="Z693" s="35" t="s">
        <v>916</v>
      </c>
      <c r="AA693" s="38">
        <v>121.4358333336</v>
      </c>
      <c r="AB693" s="42" t="s">
        <v>916</v>
      </c>
      <c r="AC693" s="43" t="s">
        <v>916</v>
      </c>
      <c r="AD693" s="43" t="s">
        <v>916</v>
      </c>
      <c r="AE693" s="33" t="s">
        <v>916</v>
      </c>
      <c r="AF693" s="35" t="s">
        <v>916</v>
      </c>
      <c r="AG693" s="44">
        <v>492181.85</v>
      </c>
      <c r="AH693" s="42" t="s">
        <v>916</v>
      </c>
      <c r="AI693" s="32" t="e">
        <f>VLOOKUP(A693,'4月明細'!B:B,1,0)</f>
        <v>#N/A</v>
      </c>
    </row>
    <row r="694" spans="1:35" ht="19.95" customHeight="1" x14ac:dyDescent="0.3">
      <c r="A694" s="33" t="s">
        <v>2678</v>
      </c>
      <c r="B694" s="34">
        <v>46071.476261574076</v>
      </c>
      <c r="C694" s="34" t="str">
        <f t="shared" si="23"/>
        <v>202602</v>
      </c>
      <c r="D694" s="35" t="s">
        <v>1856</v>
      </c>
      <c r="E694" s="36" t="s">
        <v>942</v>
      </c>
      <c r="F694" s="36" t="s">
        <v>1155</v>
      </c>
      <c r="G694" s="37" t="s">
        <v>2679</v>
      </c>
      <c r="H694" s="36" t="s">
        <v>1114</v>
      </c>
      <c r="I694" s="35" t="s">
        <v>2680</v>
      </c>
      <c r="J694" s="36" t="s">
        <v>1058</v>
      </c>
      <c r="K694" s="33" t="s">
        <v>916</v>
      </c>
      <c r="L694" s="35" t="s">
        <v>916</v>
      </c>
      <c r="M694" s="36" t="s">
        <v>1135</v>
      </c>
      <c r="N694" s="45">
        <v>46077.669444444444</v>
      </c>
      <c r="O694" s="36" t="s">
        <v>1797</v>
      </c>
      <c r="P694" s="38">
        <v>6.1931828704000003</v>
      </c>
      <c r="Q694" s="39" t="s">
        <v>2681</v>
      </c>
      <c r="R694" s="35" t="s">
        <v>916</v>
      </c>
      <c r="S694" s="35"/>
      <c r="T694" s="35" t="s">
        <v>1624</v>
      </c>
      <c r="U694" s="40">
        <v>46072</v>
      </c>
      <c r="V694" s="41">
        <v>46153.532777777778</v>
      </c>
      <c r="W694" s="40">
        <v>46071</v>
      </c>
      <c r="X694" s="35" t="s">
        <v>916</v>
      </c>
      <c r="Y694" s="35" t="s">
        <v>916</v>
      </c>
      <c r="Z694" s="35" t="s">
        <v>916</v>
      </c>
      <c r="AA694" s="38">
        <v>148.6363888896</v>
      </c>
      <c r="AB694" s="42" t="s">
        <v>916</v>
      </c>
      <c r="AC694" s="43" t="s">
        <v>916</v>
      </c>
      <c r="AD694" s="43" t="s">
        <v>916</v>
      </c>
      <c r="AE694" s="33" t="s">
        <v>916</v>
      </c>
      <c r="AF694" s="35" t="s">
        <v>916</v>
      </c>
      <c r="AG694" s="44">
        <v>0</v>
      </c>
      <c r="AH694" s="42" t="s">
        <v>916</v>
      </c>
      <c r="AI694" s="32" t="e">
        <f>VLOOKUP(A694,'4月明細'!B:B,1,0)</f>
        <v>#N/A</v>
      </c>
    </row>
    <row r="695" spans="1:35" ht="19.95" customHeight="1" x14ac:dyDescent="0.3">
      <c r="A695" s="33" t="s">
        <v>504</v>
      </c>
      <c r="B695" s="34">
        <v>46071.472372685188</v>
      </c>
      <c r="C695" s="34" t="str">
        <f t="shared" si="23"/>
        <v>202602</v>
      </c>
      <c r="D695" s="35" t="s">
        <v>951</v>
      </c>
      <c r="E695" s="36" t="s">
        <v>910</v>
      </c>
      <c r="F695" s="36" t="s">
        <v>1068</v>
      </c>
      <c r="G695" s="37" t="s">
        <v>2682</v>
      </c>
      <c r="H695" s="36" t="s">
        <v>928</v>
      </c>
      <c r="I695" s="35" t="s">
        <v>2683</v>
      </c>
      <c r="J695" s="36" t="s">
        <v>914</v>
      </c>
      <c r="K695" s="33" t="s">
        <v>916</v>
      </c>
      <c r="L695" s="35" t="s">
        <v>916</v>
      </c>
      <c r="M695" s="36" t="s">
        <v>957</v>
      </c>
      <c r="N695" s="45">
        <v>46083.650694444441</v>
      </c>
      <c r="O695" s="36" t="s">
        <v>25</v>
      </c>
      <c r="P695" s="38">
        <v>12.178321759299999</v>
      </c>
      <c r="Q695" s="39" t="s">
        <v>1404</v>
      </c>
      <c r="R695" s="35" t="s">
        <v>916</v>
      </c>
      <c r="S695" s="35"/>
      <c r="T695" s="35" t="s">
        <v>1624</v>
      </c>
      <c r="U695" s="40">
        <v>46072</v>
      </c>
      <c r="V695" s="41">
        <v>46153.532777777778</v>
      </c>
      <c r="W695" s="40">
        <v>46071</v>
      </c>
      <c r="X695" s="35" t="s">
        <v>916</v>
      </c>
      <c r="Y695" s="35" t="s">
        <v>916</v>
      </c>
      <c r="Z695" s="35" t="s">
        <v>916</v>
      </c>
      <c r="AA695" s="38">
        <v>292.2797222232</v>
      </c>
      <c r="AB695" s="42" t="s">
        <v>916</v>
      </c>
      <c r="AC695" s="43" t="s">
        <v>916</v>
      </c>
      <c r="AD695" s="43" t="s">
        <v>916</v>
      </c>
      <c r="AE695" s="33" t="s">
        <v>916</v>
      </c>
      <c r="AF695" s="35" t="s">
        <v>916</v>
      </c>
      <c r="AG695" s="44">
        <v>0</v>
      </c>
      <c r="AH695" s="42" t="s">
        <v>916</v>
      </c>
      <c r="AI695" s="32" t="e">
        <f>VLOOKUP(A695,'4月明細'!B:B,1,0)</f>
        <v>#N/A</v>
      </c>
    </row>
    <row r="696" spans="1:35" ht="19.95" customHeight="1" x14ac:dyDescent="0.3">
      <c r="A696" s="33" t="s">
        <v>431</v>
      </c>
      <c r="B696" s="34">
        <v>46070.710057870368</v>
      </c>
      <c r="C696" s="34" t="str">
        <f t="shared" si="23"/>
        <v>202602</v>
      </c>
      <c r="D696" s="35" t="s">
        <v>1510</v>
      </c>
      <c r="E696" s="36" t="s">
        <v>942</v>
      </c>
      <c r="F696" s="36" t="s">
        <v>1316</v>
      </c>
      <c r="G696" s="37" t="s">
        <v>2684</v>
      </c>
      <c r="H696" s="36" t="s">
        <v>954</v>
      </c>
      <c r="I696" s="35"/>
      <c r="J696" s="36" t="s">
        <v>945</v>
      </c>
      <c r="K696" s="33" t="s">
        <v>916</v>
      </c>
      <c r="L696" s="35" t="s">
        <v>916</v>
      </c>
      <c r="M696" s="36" t="s">
        <v>1039</v>
      </c>
      <c r="N696" s="45">
        <v>46074.459027777775</v>
      </c>
      <c r="O696" s="36" t="s">
        <v>25</v>
      </c>
      <c r="P696" s="38">
        <v>3.7489699073999998</v>
      </c>
      <c r="Q696" s="39" t="s">
        <v>2685</v>
      </c>
      <c r="R696" s="35" t="s">
        <v>916</v>
      </c>
      <c r="S696" s="35"/>
      <c r="T696" s="35" t="s">
        <v>1624</v>
      </c>
      <c r="U696" s="40">
        <v>46071</v>
      </c>
      <c r="V696" s="41">
        <v>46153.532777777778</v>
      </c>
      <c r="W696" s="40">
        <v>46070</v>
      </c>
      <c r="X696" s="35" t="s">
        <v>916</v>
      </c>
      <c r="Y696" s="35" t="s">
        <v>916</v>
      </c>
      <c r="Z696" s="35" t="s">
        <v>916</v>
      </c>
      <c r="AA696" s="38">
        <v>89.975277777599999</v>
      </c>
      <c r="AB696" s="42" t="s">
        <v>916</v>
      </c>
      <c r="AC696" s="43" t="s">
        <v>916</v>
      </c>
      <c r="AD696" s="43" t="s">
        <v>916</v>
      </c>
      <c r="AE696" s="33" t="s">
        <v>916</v>
      </c>
      <c r="AF696" s="35" t="s">
        <v>916</v>
      </c>
      <c r="AG696" s="44">
        <v>492131.01666666672</v>
      </c>
      <c r="AH696" s="42" t="s">
        <v>916</v>
      </c>
      <c r="AI696" s="32" t="e">
        <f>VLOOKUP(A696,'4月明細'!B:B,1,0)</f>
        <v>#N/A</v>
      </c>
    </row>
    <row r="697" spans="1:35" ht="19.95" customHeight="1" x14ac:dyDescent="0.3">
      <c r="A697" s="33" t="s">
        <v>430</v>
      </c>
      <c r="B697" s="34">
        <v>46070.685381944444</v>
      </c>
      <c r="C697" s="34" t="str">
        <f t="shared" si="23"/>
        <v>202602</v>
      </c>
      <c r="D697" s="35" t="s">
        <v>1510</v>
      </c>
      <c r="E697" s="36" t="s">
        <v>942</v>
      </c>
      <c r="F697" s="36" t="s">
        <v>1253</v>
      </c>
      <c r="G697" s="37" t="s">
        <v>2686</v>
      </c>
      <c r="H697" s="36" t="s">
        <v>928</v>
      </c>
      <c r="I697" s="35"/>
      <c r="J697" s="36" t="s">
        <v>945</v>
      </c>
      <c r="K697" s="33" t="s">
        <v>916</v>
      </c>
      <c r="L697" s="35" t="s">
        <v>916</v>
      </c>
      <c r="M697" s="36" t="s">
        <v>957</v>
      </c>
      <c r="N697" s="45">
        <v>46074.482638888891</v>
      </c>
      <c r="O697" s="36" t="s">
        <v>25</v>
      </c>
      <c r="P697" s="38">
        <v>3.7972569443999999</v>
      </c>
      <c r="Q697" s="39" t="s">
        <v>1366</v>
      </c>
      <c r="R697" s="35" t="s">
        <v>916</v>
      </c>
      <c r="S697" s="35"/>
      <c r="T697" s="35" t="s">
        <v>1624</v>
      </c>
      <c r="U697" s="40">
        <v>46071</v>
      </c>
      <c r="V697" s="41">
        <v>46153.532777777778</v>
      </c>
      <c r="W697" s="40">
        <v>46070</v>
      </c>
      <c r="X697" s="35" t="s">
        <v>916</v>
      </c>
      <c r="Y697" s="35" t="s">
        <v>916</v>
      </c>
      <c r="Z697" s="35" t="s">
        <v>916</v>
      </c>
      <c r="AA697" s="38">
        <v>91.134166665600006</v>
      </c>
      <c r="AB697" s="42" t="s">
        <v>916</v>
      </c>
      <c r="AC697" s="43" t="s">
        <v>916</v>
      </c>
      <c r="AD697" s="43" t="s">
        <v>916</v>
      </c>
      <c r="AE697" s="33" t="s">
        <v>916</v>
      </c>
      <c r="AF697" s="35" t="s">
        <v>916</v>
      </c>
      <c r="AG697" s="44">
        <v>0</v>
      </c>
      <c r="AH697" s="42" t="s">
        <v>916</v>
      </c>
      <c r="AI697" s="32" t="e">
        <f>VLOOKUP(A697,'4月明細'!B:B,1,0)</f>
        <v>#N/A</v>
      </c>
    </row>
    <row r="698" spans="1:35" ht="19.95" customHeight="1" x14ac:dyDescent="0.3">
      <c r="A698" s="33" t="s">
        <v>2687</v>
      </c>
      <c r="B698" s="34">
        <v>46070.592129629629</v>
      </c>
      <c r="C698" s="34" t="str">
        <f t="shared" si="23"/>
        <v>202602</v>
      </c>
      <c r="D698" s="35" t="s">
        <v>1856</v>
      </c>
      <c r="E698" s="36" t="s">
        <v>942</v>
      </c>
      <c r="F698" s="36" t="s">
        <v>1229</v>
      </c>
      <c r="G698" s="37" t="s">
        <v>2688</v>
      </c>
      <c r="H698" s="36" t="s">
        <v>954</v>
      </c>
      <c r="I698" s="35"/>
      <c r="J698" s="36" t="s">
        <v>945</v>
      </c>
      <c r="K698" s="33" t="s">
        <v>916</v>
      </c>
      <c r="L698" s="35" t="s">
        <v>916</v>
      </c>
      <c r="M698" s="36" t="s">
        <v>1039</v>
      </c>
      <c r="N698" s="45">
        <v>46074.460416666669</v>
      </c>
      <c r="O698" s="36" t="s">
        <v>1920</v>
      </c>
      <c r="P698" s="38">
        <v>3.868287037</v>
      </c>
      <c r="Q698" s="39" t="s">
        <v>2689</v>
      </c>
      <c r="R698" s="35" t="s">
        <v>916</v>
      </c>
      <c r="S698" s="35"/>
      <c r="T698" s="35" t="s">
        <v>1624</v>
      </c>
      <c r="U698" s="40">
        <v>46071</v>
      </c>
      <c r="V698" s="41">
        <v>46153.532777777778</v>
      </c>
      <c r="W698" s="40">
        <v>46070</v>
      </c>
      <c r="X698" s="35" t="s">
        <v>916</v>
      </c>
      <c r="Y698" s="35" t="s">
        <v>916</v>
      </c>
      <c r="Z698" s="35" t="s">
        <v>916</v>
      </c>
      <c r="AA698" s="38">
        <v>92.838888888</v>
      </c>
      <c r="AB698" s="42" t="s">
        <v>916</v>
      </c>
      <c r="AC698" s="43" t="s">
        <v>916</v>
      </c>
      <c r="AD698" s="43" t="s">
        <v>916</v>
      </c>
      <c r="AE698" s="33" t="s">
        <v>916</v>
      </c>
      <c r="AF698" s="35" t="s">
        <v>916</v>
      </c>
      <c r="AG698" s="44">
        <v>492131.05</v>
      </c>
      <c r="AH698" s="42" t="s">
        <v>916</v>
      </c>
      <c r="AI698" s="32" t="e">
        <f>VLOOKUP(A698,'4月明細'!B:B,1,0)</f>
        <v>#N/A</v>
      </c>
    </row>
    <row r="699" spans="1:35" ht="19.95" customHeight="1" x14ac:dyDescent="0.3">
      <c r="A699" s="33" t="s">
        <v>429</v>
      </c>
      <c r="B699" s="34">
        <v>46070.571689814817</v>
      </c>
      <c r="C699" s="34" t="str">
        <f t="shared" si="23"/>
        <v>202602</v>
      </c>
      <c r="D699" s="35" t="s">
        <v>996</v>
      </c>
      <c r="E699" s="36" t="s">
        <v>910</v>
      </c>
      <c r="F699" s="36" t="s">
        <v>1377</v>
      </c>
      <c r="G699" s="37" t="s">
        <v>1550</v>
      </c>
      <c r="H699" s="36" t="s">
        <v>954</v>
      </c>
      <c r="I699" s="35" t="s">
        <v>2690</v>
      </c>
      <c r="J699" s="36" t="s">
        <v>914</v>
      </c>
      <c r="K699" s="33" t="s">
        <v>916</v>
      </c>
      <c r="L699" s="35" t="s">
        <v>916</v>
      </c>
      <c r="M699" s="36" t="s">
        <v>957</v>
      </c>
      <c r="N699" s="45">
        <v>46074.481944444444</v>
      </c>
      <c r="O699" s="36" t="s">
        <v>25</v>
      </c>
      <c r="P699" s="38">
        <v>3.9102546295999998</v>
      </c>
      <c r="Q699" s="39" t="s">
        <v>1739</v>
      </c>
      <c r="R699" s="35" t="s">
        <v>916</v>
      </c>
      <c r="S699" s="35"/>
      <c r="T699" s="35" t="s">
        <v>1624</v>
      </c>
      <c r="U699" s="40">
        <v>46071</v>
      </c>
      <c r="V699" s="41">
        <v>46153.532777777778</v>
      </c>
      <c r="W699" s="40">
        <v>46070</v>
      </c>
      <c r="X699" s="35" t="s">
        <v>916</v>
      </c>
      <c r="Y699" s="35" t="s">
        <v>916</v>
      </c>
      <c r="Z699" s="35" t="s">
        <v>916</v>
      </c>
      <c r="AA699" s="38">
        <v>93.846111110400003</v>
      </c>
      <c r="AB699" s="42" t="s">
        <v>916</v>
      </c>
      <c r="AC699" s="43" t="s">
        <v>916</v>
      </c>
      <c r="AD699" s="43" t="s">
        <v>916</v>
      </c>
      <c r="AE699" s="33" t="s">
        <v>916</v>
      </c>
      <c r="AF699" s="35" t="s">
        <v>916</v>
      </c>
      <c r="AG699" s="44">
        <v>0</v>
      </c>
      <c r="AH699" s="42" t="s">
        <v>916</v>
      </c>
      <c r="AI699" s="32" t="e">
        <f>VLOOKUP(A699,'4月明細'!B:B,1,0)</f>
        <v>#N/A</v>
      </c>
    </row>
    <row r="700" spans="1:35" ht="19.95" customHeight="1" x14ac:dyDescent="0.3">
      <c r="A700" s="33" t="s">
        <v>428</v>
      </c>
      <c r="B700" s="34">
        <v>46070.511990740742</v>
      </c>
      <c r="C700" s="34" t="str">
        <f t="shared" si="23"/>
        <v>202602</v>
      </c>
      <c r="D700" s="35" t="s">
        <v>996</v>
      </c>
      <c r="E700" s="36" t="s">
        <v>910</v>
      </c>
      <c r="F700" s="36" t="s">
        <v>2550</v>
      </c>
      <c r="G700" s="37" t="s">
        <v>1993</v>
      </c>
      <c r="H700" s="36" t="s">
        <v>928</v>
      </c>
      <c r="I700" s="35"/>
      <c r="J700" s="36" t="s">
        <v>914</v>
      </c>
      <c r="K700" s="33" t="s">
        <v>916</v>
      </c>
      <c r="L700" s="35" t="s">
        <v>916</v>
      </c>
      <c r="M700" s="36" t="s">
        <v>1039</v>
      </c>
      <c r="N700" s="45">
        <v>46070.568749999999</v>
      </c>
      <c r="O700" s="36" t="s">
        <v>25</v>
      </c>
      <c r="P700" s="38">
        <v>5.6759259300000003E-2</v>
      </c>
      <c r="Q700" s="39" t="s">
        <v>2171</v>
      </c>
      <c r="R700" s="35" t="s">
        <v>916</v>
      </c>
      <c r="S700" s="35"/>
      <c r="T700" s="35" t="s">
        <v>1701</v>
      </c>
      <c r="U700" s="40">
        <v>46071</v>
      </c>
      <c r="V700" s="41">
        <v>46153.532777777778</v>
      </c>
      <c r="W700" s="40">
        <v>46070</v>
      </c>
      <c r="X700" s="35" t="s">
        <v>916</v>
      </c>
      <c r="Y700" s="35" t="s">
        <v>916</v>
      </c>
      <c r="Z700" s="35" t="s">
        <v>916</v>
      </c>
      <c r="AA700" s="38">
        <v>1.3622222232000001</v>
      </c>
      <c r="AB700" s="42" t="s">
        <v>916</v>
      </c>
      <c r="AC700" s="43" t="s">
        <v>916</v>
      </c>
      <c r="AD700" s="43" t="s">
        <v>916</v>
      </c>
      <c r="AE700" s="33" t="s">
        <v>916</v>
      </c>
      <c r="AF700" s="35" t="s">
        <v>916</v>
      </c>
      <c r="AG700" s="44">
        <v>0</v>
      </c>
      <c r="AH700" s="42" t="s">
        <v>916</v>
      </c>
      <c r="AI700" s="32" t="e">
        <f>VLOOKUP(A700,'4月明細'!B:B,1,0)</f>
        <v>#N/A</v>
      </c>
    </row>
    <row r="701" spans="1:35" ht="19.95" customHeight="1" x14ac:dyDescent="0.3">
      <c r="A701" s="33" t="s">
        <v>427</v>
      </c>
      <c r="B701" s="34">
        <v>46070.440995370373</v>
      </c>
      <c r="C701" s="34" t="str">
        <f t="shared" si="23"/>
        <v>202602</v>
      </c>
      <c r="D701" s="35" t="s">
        <v>996</v>
      </c>
      <c r="E701" s="36" t="s">
        <v>910</v>
      </c>
      <c r="F701" s="36" t="s">
        <v>1335</v>
      </c>
      <c r="G701" s="37" t="s">
        <v>2691</v>
      </c>
      <c r="H701" s="36" t="s">
        <v>1078</v>
      </c>
      <c r="I701" s="35"/>
      <c r="J701" s="36" t="s">
        <v>914</v>
      </c>
      <c r="K701" s="33" t="s">
        <v>916</v>
      </c>
      <c r="L701" s="35" t="s">
        <v>916</v>
      </c>
      <c r="M701" s="36" t="s">
        <v>1039</v>
      </c>
      <c r="N701" s="45">
        <v>46070.559027777781</v>
      </c>
      <c r="O701" s="36" t="s">
        <v>25</v>
      </c>
      <c r="P701" s="38">
        <v>0.1180324074</v>
      </c>
      <c r="Q701" s="39" t="s">
        <v>2692</v>
      </c>
      <c r="R701" s="35" t="s">
        <v>916</v>
      </c>
      <c r="S701" s="35"/>
      <c r="T701" s="35" t="s">
        <v>1701</v>
      </c>
      <c r="U701" s="40">
        <v>46071</v>
      </c>
      <c r="V701" s="41">
        <v>46153.532777777778</v>
      </c>
      <c r="W701" s="40">
        <v>46070</v>
      </c>
      <c r="X701" s="35" t="s">
        <v>916</v>
      </c>
      <c r="Y701" s="35" t="s">
        <v>916</v>
      </c>
      <c r="Z701" s="35" t="s">
        <v>916</v>
      </c>
      <c r="AA701" s="38">
        <v>2.8327777776</v>
      </c>
      <c r="AB701" s="42" t="s">
        <v>916</v>
      </c>
      <c r="AC701" s="43" t="s">
        <v>916</v>
      </c>
      <c r="AD701" s="43" t="s">
        <v>916</v>
      </c>
      <c r="AE701" s="33" t="s">
        <v>916</v>
      </c>
      <c r="AF701" s="35" t="s">
        <v>916</v>
      </c>
      <c r="AG701" s="44">
        <v>0</v>
      </c>
      <c r="AH701" s="42" t="s">
        <v>916</v>
      </c>
      <c r="AI701" s="32" t="e">
        <f>VLOOKUP(A701,'4月明細'!B:B,1,0)</f>
        <v>#N/A</v>
      </c>
    </row>
    <row r="702" spans="1:35" ht="19.95" customHeight="1" x14ac:dyDescent="0.3">
      <c r="A702" s="33" t="s">
        <v>426</v>
      </c>
      <c r="B702" s="34">
        <v>46069.900092592594</v>
      </c>
      <c r="C702" s="34" t="str">
        <f t="shared" si="23"/>
        <v>202602</v>
      </c>
      <c r="D702" s="35" t="s">
        <v>1168</v>
      </c>
      <c r="E702" s="36" t="s">
        <v>942</v>
      </c>
      <c r="F702" s="36" t="s">
        <v>1552</v>
      </c>
      <c r="G702" s="37" t="s">
        <v>2693</v>
      </c>
      <c r="H702" s="36" t="s">
        <v>913</v>
      </c>
      <c r="I702" s="35"/>
      <c r="J702" s="36" t="s">
        <v>945</v>
      </c>
      <c r="K702" s="33" t="s">
        <v>916</v>
      </c>
      <c r="L702" s="35" t="s">
        <v>916</v>
      </c>
      <c r="M702" s="36" t="s">
        <v>916</v>
      </c>
      <c r="N702" s="45">
        <v>46070.556944444441</v>
      </c>
      <c r="O702" s="36" t="s">
        <v>25</v>
      </c>
      <c r="P702" s="38">
        <v>0.65685185189999995</v>
      </c>
      <c r="Q702" s="39" t="s">
        <v>2694</v>
      </c>
      <c r="R702" s="35" t="s">
        <v>916</v>
      </c>
      <c r="S702" s="35"/>
      <c r="T702" s="35" t="s">
        <v>1701</v>
      </c>
      <c r="U702" s="40">
        <v>46070</v>
      </c>
      <c r="V702" s="41">
        <v>46153.532777777778</v>
      </c>
      <c r="W702" s="40">
        <v>46070</v>
      </c>
      <c r="X702" s="35" t="s">
        <v>916</v>
      </c>
      <c r="Y702" s="35" t="s">
        <v>916</v>
      </c>
      <c r="Z702" s="35" t="s">
        <v>916</v>
      </c>
      <c r="AA702" s="38">
        <v>15.764444445600001</v>
      </c>
      <c r="AB702" s="42" t="s">
        <v>916</v>
      </c>
      <c r="AC702" s="43" t="s">
        <v>916</v>
      </c>
      <c r="AD702" s="43" t="s">
        <v>916</v>
      </c>
      <c r="AE702" s="33" t="s">
        <v>916</v>
      </c>
      <c r="AF702" s="35" t="s">
        <v>916</v>
      </c>
      <c r="AG702" s="44">
        <v>0</v>
      </c>
      <c r="AH702" s="42" t="s">
        <v>916</v>
      </c>
      <c r="AI702" s="32" t="e">
        <f>VLOOKUP(A702,'4月明細'!B:B,1,0)</f>
        <v>#N/A</v>
      </c>
    </row>
    <row r="703" spans="1:35" ht="19.95" customHeight="1" x14ac:dyDescent="0.3">
      <c r="A703" s="33" t="s">
        <v>425</v>
      </c>
      <c r="B703" s="34">
        <v>46069.856562499997</v>
      </c>
      <c r="C703" s="34" t="str">
        <f t="shared" si="23"/>
        <v>202602</v>
      </c>
      <c r="D703" s="35" t="s">
        <v>960</v>
      </c>
      <c r="E703" s="36" t="s">
        <v>942</v>
      </c>
      <c r="F703" s="36" t="s">
        <v>911</v>
      </c>
      <c r="G703" s="37" t="s">
        <v>2695</v>
      </c>
      <c r="H703" s="36" t="s">
        <v>954</v>
      </c>
      <c r="I703" s="35"/>
      <c r="J703" s="36" t="s">
        <v>945</v>
      </c>
      <c r="K703" s="33" t="s">
        <v>916</v>
      </c>
      <c r="L703" s="35" t="s">
        <v>916</v>
      </c>
      <c r="M703" s="36" t="s">
        <v>916</v>
      </c>
      <c r="N703" s="45">
        <v>46070.556250000001</v>
      </c>
      <c r="O703" s="36" t="s">
        <v>25</v>
      </c>
      <c r="P703" s="38">
        <v>0.69968750000000002</v>
      </c>
      <c r="Q703" s="39" t="s">
        <v>1328</v>
      </c>
      <c r="R703" s="35" t="s">
        <v>916</v>
      </c>
      <c r="S703" s="35"/>
      <c r="T703" s="35" t="s">
        <v>1701</v>
      </c>
      <c r="U703" s="40">
        <v>46070</v>
      </c>
      <c r="V703" s="41">
        <v>46153.532777777778</v>
      </c>
      <c r="W703" s="40">
        <v>46070</v>
      </c>
      <c r="X703" s="35" t="s">
        <v>916</v>
      </c>
      <c r="Y703" s="35" t="s">
        <v>916</v>
      </c>
      <c r="Z703" s="35" t="s">
        <v>916</v>
      </c>
      <c r="AA703" s="38">
        <v>16.7925</v>
      </c>
      <c r="AB703" s="42" t="s">
        <v>916</v>
      </c>
      <c r="AC703" s="43" t="s">
        <v>916</v>
      </c>
      <c r="AD703" s="43" t="s">
        <v>916</v>
      </c>
      <c r="AE703" s="33" t="s">
        <v>916</v>
      </c>
      <c r="AF703" s="35" t="s">
        <v>916</v>
      </c>
      <c r="AG703" s="44">
        <v>0</v>
      </c>
      <c r="AH703" s="42" t="s">
        <v>916</v>
      </c>
      <c r="AI703" s="32" t="e">
        <f>VLOOKUP(A703,'4月明細'!B:B,1,0)</f>
        <v>#N/A</v>
      </c>
    </row>
    <row r="704" spans="1:35" ht="19.95" customHeight="1" x14ac:dyDescent="0.3">
      <c r="A704" s="33" t="s">
        <v>424</v>
      </c>
      <c r="B704" s="34">
        <v>46069.721076388887</v>
      </c>
      <c r="C704" s="34" t="str">
        <f t="shared" si="23"/>
        <v>202602</v>
      </c>
      <c r="D704" s="35" t="s">
        <v>996</v>
      </c>
      <c r="E704" s="36" t="s">
        <v>910</v>
      </c>
      <c r="F704" s="36" t="s">
        <v>1750</v>
      </c>
      <c r="G704" s="37" t="s">
        <v>1041</v>
      </c>
      <c r="H704" s="36" t="s">
        <v>954</v>
      </c>
      <c r="I704" s="35" t="s">
        <v>2696</v>
      </c>
      <c r="J704" s="36" t="s">
        <v>929</v>
      </c>
      <c r="K704" s="33" t="s">
        <v>916</v>
      </c>
      <c r="L704" s="35" t="s">
        <v>916</v>
      </c>
      <c r="M704" s="36" t="s">
        <v>1039</v>
      </c>
      <c r="N704" s="45">
        <v>46070.556250000001</v>
      </c>
      <c r="O704" s="36" t="s">
        <v>25</v>
      </c>
      <c r="P704" s="38">
        <v>0.83517361109999999</v>
      </c>
      <c r="Q704" s="39" t="s">
        <v>1328</v>
      </c>
      <c r="R704" s="35" t="s">
        <v>916</v>
      </c>
      <c r="S704" s="35"/>
      <c r="T704" s="35" t="s">
        <v>1701</v>
      </c>
      <c r="U704" s="40">
        <v>46070</v>
      </c>
      <c r="V704" s="41">
        <v>46153.532777777778</v>
      </c>
      <c r="W704" s="40">
        <v>46069</v>
      </c>
      <c r="X704" s="35" t="s">
        <v>916</v>
      </c>
      <c r="Y704" s="35" t="s">
        <v>916</v>
      </c>
      <c r="Z704" s="35" t="s">
        <v>916</v>
      </c>
      <c r="AA704" s="38">
        <v>20.044166666399999</v>
      </c>
      <c r="AB704" s="42" t="s">
        <v>916</v>
      </c>
      <c r="AC704" s="43" t="s">
        <v>916</v>
      </c>
      <c r="AD704" s="43" t="s">
        <v>916</v>
      </c>
      <c r="AE704" s="33" t="s">
        <v>916</v>
      </c>
      <c r="AF704" s="35" t="s">
        <v>916</v>
      </c>
      <c r="AG704" s="44">
        <v>0</v>
      </c>
      <c r="AH704" s="42" t="s">
        <v>916</v>
      </c>
      <c r="AI704" s="32" t="e">
        <f>VLOOKUP(A704,'4月明細'!B:B,1,0)</f>
        <v>#N/A</v>
      </c>
    </row>
    <row r="705" spans="1:35" ht="19.95" customHeight="1" x14ac:dyDescent="0.3">
      <c r="A705" s="33" t="s">
        <v>423</v>
      </c>
      <c r="B705" s="34">
        <v>46069.688796296294</v>
      </c>
      <c r="C705" s="34" t="str">
        <f t="shared" si="23"/>
        <v>202602</v>
      </c>
      <c r="D705" s="35" t="s">
        <v>951</v>
      </c>
      <c r="E705" s="36" t="s">
        <v>910</v>
      </c>
      <c r="F705" s="36" t="s">
        <v>1121</v>
      </c>
      <c r="G705" s="37" t="s">
        <v>2697</v>
      </c>
      <c r="H705" s="36" t="s">
        <v>928</v>
      </c>
      <c r="I705" s="35"/>
      <c r="J705" s="36" t="s">
        <v>929</v>
      </c>
      <c r="K705" s="33" t="s">
        <v>916</v>
      </c>
      <c r="L705" s="35" t="s">
        <v>916</v>
      </c>
      <c r="M705" s="36" t="s">
        <v>916</v>
      </c>
      <c r="N705" s="45">
        <v>46074.492361111108</v>
      </c>
      <c r="O705" s="36" t="s">
        <v>25</v>
      </c>
      <c r="P705" s="38">
        <v>4.8035648147999996</v>
      </c>
      <c r="Q705" s="39" t="s">
        <v>1366</v>
      </c>
      <c r="R705" s="35" t="s">
        <v>916</v>
      </c>
      <c r="S705" s="35" t="s">
        <v>2698</v>
      </c>
      <c r="T705" s="35" t="s">
        <v>1624</v>
      </c>
      <c r="U705" s="40">
        <v>46070</v>
      </c>
      <c r="V705" s="41">
        <v>46153.532777777778</v>
      </c>
      <c r="W705" s="40">
        <v>46069</v>
      </c>
      <c r="X705" s="35" t="s">
        <v>916</v>
      </c>
      <c r="Y705" s="35" t="s">
        <v>916</v>
      </c>
      <c r="Z705" s="35" t="s">
        <v>916</v>
      </c>
      <c r="AA705" s="38">
        <v>115.28555555520001</v>
      </c>
      <c r="AB705" s="42" t="s">
        <v>916</v>
      </c>
      <c r="AC705" s="43" t="s">
        <v>916</v>
      </c>
      <c r="AD705" s="43" t="s">
        <v>916</v>
      </c>
      <c r="AE705" s="33" t="s">
        <v>916</v>
      </c>
      <c r="AF705" s="35" t="s">
        <v>916</v>
      </c>
      <c r="AG705" s="44">
        <v>0</v>
      </c>
      <c r="AH705" s="42" t="s">
        <v>916</v>
      </c>
      <c r="AI705" s="32" t="e">
        <f>VLOOKUP(A705,'4月明細'!B:B,1,0)</f>
        <v>#N/A</v>
      </c>
    </row>
    <row r="706" spans="1:35" ht="19.95" customHeight="1" x14ac:dyDescent="0.3">
      <c r="A706" s="33" t="s">
        <v>422</v>
      </c>
      <c r="B706" s="34">
        <v>46069.688275462962</v>
      </c>
      <c r="C706" s="34" t="str">
        <f t="shared" si="23"/>
        <v>202602</v>
      </c>
      <c r="D706" s="35" t="s">
        <v>951</v>
      </c>
      <c r="E706" s="36" t="s">
        <v>910</v>
      </c>
      <c r="F706" s="36" t="s">
        <v>1121</v>
      </c>
      <c r="G706" s="37" t="s">
        <v>2699</v>
      </c>
      <c r="H706" s="36" t="s">
        <v>954</v>
      </c>
      <c r="I706" s="35" t="s">
        <v>2700</v>
      </c>
      <c r="J706" s="36" t="s">
        <v>929</v>
      </c>
      <c r="K706" s="33" t="s">
        <v>916</v>
      </c>
      <c r="L706" s="35" t="s">
        <v>916</v>
      </c>
      <c r="M706" s="36" t="s">
        <v>916</v>
      </c>
      <c r="N706" s="45">
        <v>46074.490972222222</v>
      </c>
      <c r="O706" s="36" t="s">
        <v>25</v>
      </c>
      <c r="P706" s="38">
        <v>4.8026967592999998</v>
      </c>
      <c r="Q706" s="39" t="s">
        <v>1739</v>
      </c>
      <c r="R706" s="35" t="s">
        <v>916</v>
      </c>
      <c r="S706" s="35" t="s">
        <v>2701</v>
      </c>
      <c r="T706" s="35" t="s">
        <v>1624</v>
      </c>
      <c r="U706" s="40">
        <v>46070</v>
      </c>
      <c r="V706" s="41">
        <v>46153.532777777778</v>
      </c>
      <c r="W706" s="40">
        <v>46069</v>
      </c>
      <c r="X706" s="35" t="s">
        <v>916</v>
      </c>
      <c r="Y706" s="35" t="s">
        <v>916</v>
      </c>
      <c r="Z706" s="35" t="s">
        <v>916</v>
      </c>
      <c r="AA706" s="38">
        <v>115.2647222232</v>
      </c>
      <c r="AB706" s="42" t="s">
        <v>916</v>
      </c>
      <c r="AC706" s="43" t="s">
        <v>916</v>
      </c>
      <c r="AD706" s="43" t="s">
        <v>916</v>
      </c>
      <c r="AE706" s="33" t="s">
        <v>916</v>
      </c>
      <c r="AF706" s="35" t="s">
        <v>916</v>
      </c>
      <c r="AG706" s="44">
        <v>0</v>
      </c>
      <c r="AH706" s="42" t="s">
        <v>916</v>
      </c>
      <c r="AI706" s="32" t="e">
        <f>VLOOKUP(A706,'4月明細'!B:B,1,0)</f>
        <v>#N/A</v>
      </c>
    </row>
    <row r="707" spans="1:35" ht="19.95" customHeight="1" x14ac:dyDescent="0.3">
      <c r="A707" s="33" t="s">
        <v>421</v>
      </c>
      <c r="B707" s="34">
        <v>46069.683969907404</v>
      </c>
      <c r="C707" s="34" t="str">
        <f t="shared" ref="C707:C770" si="24">TEXT(B707,"YYYYMM")</f>
        <v>202602</v>
      </c>
      <c r="D707" s="35" t="s">
        <v>1168</v>
      </c>
      <c r="E707" s="36" t="s">
        <v>942</v>
      </c>
      <c r="F707" s="36" t="s">
        <v>1783</v>
      </c>
      <c r="G707" s="37" t="s">
        <v>2702</v>
      </c>
      <c r="H707" s="36" t="s">
        <v>1078</v>
      </c>
      <c r="I707" s="35"/>
      <c r="J707" s="36" t="s">
        <v>945</v>
      </c>
      <c r="K707" s="33" t="s">
        <v>916</v>
      </c>
      <c r="L707" s="35" t="s">
        <v>916</v>
      </c>
      <c r="M707" s="36" t="s">
        <v>916</v>
      </c>
      <c r="N707" s="45">
        <v>46070.558333333334</v>
      </c>
      <c r="O707" s="36" t="s">
        <v>25</v>
      </c>
      <c r="P707" s="38">
        <v>0.87436342590000005</v>
      </c>
      <c r="Q707" s="39" t="s">
        <v>2070</v>
      </c>
      <c r="R707" s="35" t="s">
        <v>916</v>
      </c>
      <c r="S707" s="35"/>
      <c r="T707" s="35" t="s">
        <v>1701</v>
      </c>
      <c r="U707" s="40">
        <v>46070</v>
      </c>
      <c r="V707" s="41">
        <v>46153.532777777778</v>
      </c>
      <c r="W707" s="40">
        <v>46069</v>
      </c>
      <c r="X707" s="35" t="s">
        <v>916</v>
      </c>
      <c r="Y707" s="35" t="s">
        <v>916</v>
      </c>
      <c r="Z707" s="35" t="s">
        <v>916</v>
      </c>
      <c r="AA707" s="38">
        <v>20.984722221599998</v>
      </c>
      <c r="AB707" s="42" t="s">
        <v>916</v>
      </c>
      <c r="AC707" s="43" t="s">
        <v>916</v>
      </c>
      <c r="AD707" s="43" t="s">
        <v>916</v>
      </c>
      <c r="AE707" s="33" t="s">
        <v>916</v>
      </c>
      <c r="AF707" s="35" t="s">
        <v>916</v>
      </c>
      <c r="AG707" s="44">
        <v>0</v>
      </c>
      <c r="AH707" s="42" t="s">
        <v>916</v>
      </c>
      <c r="AI707" s="32" t="e">
        <f>VLOOKUP(A707,'4月明細'!B:B,1,0)</f>
        <v>#N/A</v>
      </c>
    </row>
    <row r="708" spans="1:35" ht="19.95" customHeight="1" x14ac:dyDescent="0.3">
      <c r="A708" s="33" t="s">
        <v>420</v>
      </c>
      <c r="B708" s="34">
        <v>46069.675682870373</v>
      </c>
      <c r="C708" s="34" t="str">
        <f t="shared" si="24"/>
        <v>202602</v>
      </c>
      <c r="D708" s="35" t="s">
        <v>951</v>
      </c>
      <c r="E708" s="36" t="s">
        <v>910</v>
      </c>
      <c r="F708" s="36" t="s">
        <v>1354</v>
      </c>
      <c r="G708" s="37" t="s">
        <v>2703</v>
      </c>
      <c r="H708" s="36" t="s">
        <v>954</v>
      </c>
      <c r="I708" s="35" t="s">
        <v>2704</v>
      </c>
      <c r="J708" s="36" t="s">
        <v>929</v>
      </c>
      <c r="K708" s="33" t="s">
        <v>916</v>
      </c>
      <c r="L708" s="35" t="s">
        <v>916</v>
      </c>
      <c r="M708" s="36" t="s">
        <v>916</v>
      </c>
      <c r="N708" s="45">
        <v>46070.557638888888</v>
      </c>
      <c r="O708" s="36" t="s">
        <v>25</v>
      </c>
      <c r="P708" s="38">
        <v>0.88195601850000005</v>
      </c>
      <c r="Q708" s="39" t="s">
        <v>2705</v>
      </c>
      <c r="R708" s="35" t="s">
        <v>916</v>
      </c>
      <c r="S708" s="35"/>
      <c r="T708" s="35" t="s">
        <v>1701</v>
      </c>
      <c r="U708" s="40">
        <v>46070</v>
      </c>
      <c r="V708" s="41">
        <v>46153.532777777778</v>
      </c>
      <c r="W708" s="40">
        <v>46069</v>
      </c>
      <c r="X708" s="35" t="s">
        <v>916</v>
      </c>
      <c r="Y708" s="35" t="s">
        <v>916</v>
      </c>
      <c r="Z708" s="35" t="s">
        <v>916</v>
      </c>
      <c r="AA708" s="38">
        <v>21.166944443999999</v>
      </c>
      <c r="AB708" s="42" t="s">
        <v>916</v>
      </c>
      <c r="AC708" s="43" t="s">
        <v>916</v>
      </c>
      <c r="AD708" s="43" t="s">
        <v>916</v>
      </c>
      <c r="AE708" s="33" t="s">
        <v>916</v>
      </c>
      <c r="AF708" s="35" t="s">
        <v>916</v>
      </c>
      <c r="AG708" s="44">
        <v>0</v>
      </c>
      <c r="AH708" s="42" t="s">
        <v>916</v>
      </c>
      <c r="AI708" s="32" t="e">
        <f>VLOOKUP(A708,'4月明細'!B:B,1,0)</f>
        <v>#N/A</v>
      </c>
    </row>
    <row r="709" spans="1:35" ht="19.95" customHeight="1" x14ac:dyDescent="0.3">
      <c r="A709" s="33" t="s">
        <v>419</v>
      </c>
      <c r="B709" s="34">
        <v>46069.625150462962</v>
      </c>
      <c r="C709" s="34" t="str">
        <f t="shared" si="24"/>
        <v>202602</v>
      </c>
      <c r="D709" s="35" t="s">
        <v>996</v>
      </c>
      <c r="E709" s="36" t="s">
        <v>910</v>
      </c>
      <c r="F709" s="36" t="s">
        <v>2225</v>
      </c>
      <c r="G709" s="37" t="s">
        <v>2706</v>
      </c>
      <c r="H709" s="36" t="s">
        <v>928</v>
      </c>
      <c r="I709" s="35" t="s">
        <v>2707</v>
      </c>
      <c r="J709" s="36" t="s">
        <v>914</v>
      </c>
      <c r="K709" s="33" t="s">
        <v>916</v>
      </c>
      <c r="L709" s="35" t="s">
        <v>916</v>
      </c>
      <c r="M709" s="36" t="s">
        <v>916</v>
      </c>
      <c r="N709" s="45">
        <v>46074.479166666664</v>
      </c>
      <c r="O709" s="36" t="s">
        <v>25</v>
      </c>
      <c r="P709" s="38">
        <v>4.8540162036999996</v>
      </c>
      <c r="Q709" s="39" t="s">
        <v>1366</v>
      </c>
      <c r="R709" s="35" t="s">
        <v>916</v>
      </c>
      <c r="S709" s="35"/>
      <c r="T709" s="35" t="s">
        <v>1624</v>
      </c>
      <c r="U709" s="40">
        <v>46070</v>
      </c>
      <c r="V709" s="41">
        <v>46153.532777777778</v>
      </c>
      <c r="W709" s="40">
        <v>46069</v>
      </c>
      <c r="X709" s="35" t="s">
        <v>916</v>
      </c>
      <c r="Y709" s="35" t="s">
        <v>916</v>
      </c>
      <c r="Z709" s="35" t="s">
        <v>916</v>
      </c>
      <c r="AA709" s="38">
        <v>116.4963888888</v>
      </c>
      <c r="AB709" s="42" t="s">
        <v>916</v>
      </c>
      <c r="AC709" s="43" t="s">
        <v>916</v>
      </c>
      <c r="AD709" s="43" t="s">
        <v>916</v>
      </c>
      <c r="AE709" s="33" t="s">
        <v>916</v>
      </c>
      <c r="AF709" s="35" t="s">
        <v>916</v>
      </c>
      <c r="AG709" s="44">
        <v>0</v>
      </c>
      <c r="AH709" s="42" t="s">
        <v>916</v>
      </c>
      <c r="AI709" s="32" t="e">
        <f>VLOOKUP(A709,'4月明細'!B:B,1,0)</f>
        <v>#N/A</v>
      </c>
    </row>
    <row r="710" spans="1:35" ht="19.95" customHeight="1" x14ac:dyDescent="0.3">
      <c r="A710" s="33" t="s">
        <v>418</v>
      </c>
      <c r="B710" s="34">
        <v>46069.616562499999</v>
      </c>
      <c r="C710" s="34" t="str">
        <f t="shared" si="24"/>
        <v>202602</v>
      </c>
      <c r="D710" s="35" t="s">
        <v>996</v>
      </c>
      <c r="E710" s="36" t="s">
        <v>910</v>
      </c>
      <c r="F710" s="36" t="s">
        <v>2225</v>
      </c>
      <c r="G710" s="37" t="s">
        <v>2708</v>
      </c>
      <c r="H710" s="36" t="s">
        <v>954</v>
      </c>
      <c r="I710" s="35" t="s">
        <v>2709</v>
      </c>
      <c r="J710" s="36" t="s">
        <v>914</v>
      </c>
      <c r="K710" s="33" t="s">
        <v>916</v>
      </c>
      <c r="L710" s="35" t="s">
        <v>916</v>
      </c>
      <c r="M710" s="36" t="s">
        <v>957</v>
      </c>
      <c r="N710" s="45">
        <v>46076.57916666667</v>
      </c>
      <c r="O710" s="36" t="s">
        <v>25</v>
      </c>
      <c r="P710" s="38">
        <v>6.9626041667000003</v>
      </c>
      <c r="Q710" s="39" t="s">
        <v>2710</v>
      </c>
      <c r="R710" s="46" t="s">
        <v>2711</v>
      </c>
      <c r="S710" s="35" t="s">
        <v>2712</v>
      </c>
      <c r="T710" s="35" t="s">
        <v>1624</v>
      </c>
      <c r="U710" s="40">
        <v>46070</v>
      </c>
      <c r="V710" s="41">
        <v>46153.532777777778</v>
      </c>
      <c r="W710" s="40">
        <v>46069</v>
      </c>
      <c r="X710" s="35" t="s">
        <v>916</v>
      </c>
      <c r="Y710" s="35" t="s">
        <v>916</v>
      </c>
      <c r="Z710" s="35" t="s">
        <v>916</v>
      </c>
      <c r="AA710" s="38">
        <v>167.10250000080001</v>
      </c>
      <c r="AB710" s="42" t="s">
        <v>916</v>
      </c>
      <c r="AC710" s="43" t="s">
        <v>916</v>
      </c>
      <c r="AD710" s="43" t="s">
        <v>916</v>
      </c>
      <c r="AE710" s="33" t="s">
        <v>916</v>
      </c>
      <c r="AF710" s="35" t="s">
        <v>916</v>
      </c>
      <c r="AG710" s="44">
        <v>492181.9</v>
      </c>
      <c r="AH710" s="42" t="s">
        <v>916</v>
      </c>
      <c r="AI710" s="32" t="e">
        <f>VLOOKUP(A710,'4月明細'!B:B,1,0)</f>
        <v>#N/A</v>
      </c>
    </row>
    <row r="711" spans="1:35" ht="19.95" customHeight="1" x14ac:dyDescent="0.3">
      <c r="A711" s="33" t="s">
        <v>417</v>
      </c>
      <c r="B711" s="34">
        <v>46069.61005787037</v>
      </c>
      <c r="C711" s="34" t="str">
        <f t="shared" si="24"/>
        <v>202602</v>
      </c>
      <c r="D711" s="35" t="s">
        <v>2278</v>
      </c>
      <c r="E711" s="36" t="s">
        <v>910</v>
      </c>
      <c r="F711" s="36" t="s">
        <v>1475</v>
      </c>
      <c r="G711" s="37" t="s">
        <v>2713</v>
      </c>
      <c r="H711" s="36" t="s">
        <v>928</v>
      </c>
      <c r="I711" s="35" t="s">
        <v>2714</v>
      </c>
      <c r="J711" s="36" t="s">
        <v>929</v>
      </c>
      <c r="K711" s="33" t="s">
        <v>916</v>
      </c>
      <c r="L711" s="35" t="s">
        <v>916</v>
      </c>
      <c r="M711" s="36" t="s">
        <v>1039</v>
      </c>
      <c r="N711" s="45">
        <v>46070.55972222222</v>
      </c>
      <c r="O711" s="36" t="s">
        <v>25</v>
      </c>
      <c r="P711" s="38">
        <v>0.94966435189999998</v>
      </c>
      <c r="Q711" s="39" t="s">
        <v>2715</v>
      </c>
      <c r="R711" s="35" t="s">
        <v>916</v>
      </c>
      <c r="S711" s="35"/>
      <c r="T711" s="35" t="s">
        <v>1701</v>
      </c>
      <c r="U711" s="40">
        <v>46070</v>
      </c>
      <c r="V711" s="41">
        <v>46153.532777777778</v>
      </c>
      <c r="W711" s="40">
        <v>46069</v>
      </c>
      <c r="X711" s="35" t="s">
        <v>916</v>
      </c>
      <c r="Y711" s="35" t="s">
        <v>916</v>
      </c>
      <c r="Z711" s="35" t="s">
        <v>916</v>
      </c>
      <c r="AA711" s="38">
        <v>22.791944445599999</v>
      </c>
      <c r="AB711" s="42" t="s">
        <v>916</v>
      </c>
      <c r="AC711" s="43" t="s">
        <v>916</v>
      </c>
      <c r="AD711" s="43" t="s">
        <v>916</v>
      </c>
      <c r="AE711" s="33" t="s">
        <v>916</v>
      </c>
      <c r="AF711" s="35" t="s">
        <v>916</v>
      </c>
      <c r="AG711" s="44">
        <v>0</v>
      </c>
      <c r="AH711" s="42" t="s">
        <v>916</v>
      </c>
      <c r="AI711" s="32" t="e">
        <f>VLOOKUP(A711,'4月明細'!B:B,1,0)</f>
        <v>#N/A</v>
      </c>
    </row>
    <row r="712" spans="1:35" ht="19.95" customHeight="1" x14ac:dyDescent="0.3">
      <c r="A712" s="33" t="s">
        <v>416</v>
      </c>
      <c r="B712" s="34">
        <v>46069.434444444443</v>
      </c>
      <c r="C712" s="34" t="str">
        <f t="shared" si="24"/>
        <v>202602</v>
      </c>
      <c r="D712" s="35" t="s">
        <v>951</v>
      </c>
      <c r="E712" s="36" t="s">
        <v>910</v>
      </c>
      <c r="F712" s="36" t="s">
        <v>1093</v>
      </c>
      <c r="G712" s="37" t="s">
        <v>2716</v>
      </c>
      <c r="H712" s="36" t="s">
        <v>928</v>
      </c>
      <c r="I712" s="35"/>
      <c r="J712" s="36" t="s">
        <v>914</v>
      </c>
      <c r="K712" s="33" t="s">
        <v>916</v>
      </c>
      <c r="L712" s="35" t="s">
        <v>916</v>
      </c>
      <c r="M712" s="36" t="s">
        <v>1039</v>
      </c>
      <c r="N712" s="45">
        <v>46070.558333333334</v>
      </c>
      <c r="O712" s="36" t="s">
        <v>25</v>
      </c>
      <c r="P712" s="38">
        <v>1.1238888889</v>
      </c>
      <c r="Q712" s="39" t="s">
        <v>2717</v>
      </c>
      <c r="R712" s="35" t="s">
        <v>916</v>
      </c>
      <c r="S712" s="35"/>
      <c r="T712" s="35" t="s">
        <v>1701</v>
      </c>
      <c r="U712" s="40">
        <v>46070</v>
      </c>
      <c r="V712" s="41">
        <v>46153.532777777778</v>
      </c>
      <c r="W712" s="40">
        <v>46069</v>
      </c>
      <c r="X712" s="35" t="s">
        <v>916</v>
      </c>
      <c r="Y712" s="35" t="s">
        <v>916</v>
      </c>
      <c r="Z712" s="35" t="s">
        <v>916</v>
      </c>
      <c r="AA712" s="38">
        <v>26.973333333599999</v>
      </c>
      <c r="AB712" s="42" t="s">
        <v>916</v>
      </c>
      <c r="AC712" s="43" t="s">
        <v>916</v>
      </c>
      <c r="AD712" s="43" t="s">
        <v>916</v>
      </c>
      <c r="AE712" s="33" t="s">
        <v>916</v>
      </c>
      <c r="AF712" s="35" t="s">
        <v>916</v>
      </c>
      <c r="AG712" s="44">
        <v>0</v>
      </c>
      <c r="AH712" s="42" t="s">
        <v>916</v>
      </c>
      <c r="AI712" s="32" t="e">
        <f>VLOOKUP(A712,'4月明細'!B:B,1,0)</f>
        <v>#N/A</v>
      </c>
    </row>
    <row r="713" spans="1:35" ht="19.95" customHeight="1" x14ac:dyDescent="0.3">
      <c r="A713" s="33" t="s">
        <v>415</v>
      </c>
      <c r="B713" s="34">
        <v>46069.415625000001</v>
      </c>
      <c r="C713" s="34" t="str">
        <f t="shared" si="24"/>
        <v>202602</v>
      </c>
      <c r="D713" s="35" t="s">
        <v>951</v>
      </c>
      <c r="E713" s="36" t="s">
        <v>910</v>
      </c>
      <c r="F713" s="36" t="s">
        <v>1740</v>
      </c>
      <c r="G713" s="37" t="s">
        <v>2718</v>
      </c>
      <c r="H713" s="36" t="s">
        <v>928</v>
      </c>
      <c r="I713" s="35"/>
      <c r="J713" s="36" t="s">
        <v>914</v>
      </c>
      <c r="K713" s="33" t="s">
        <v>916</v>
      </c>
      <c r="L713" s="35" t="s">
        <v>916</v>
      </c>
      <c r="M713" s="36" t="s">
        <v>1039</v>
      </c>
      <c r="N713" s="45">
        <v>46070.559027777781</v>
      </c>
      <c r="O713" s="36" t="s">
        <v>25</v>
      </c>
      <c r="P713" s="38">
        <v>1.1434027778</v>
      </c>
      <c r="Q713" s="39" t="s">
        <v>2719</v>
      </c>
      <c r="R713" s="35" t="s">
        <v>916</v>
      </c>
      <c r="S713" s="35"/>
      <c r="T713" s="35" t="s">
        <v>1701</v>
      </c>
      <c r="U713" s="40">
        <v>46070</v>
      </c>
      <c r="V713" s="41">
        <v>46153.532777777778</v>
      </c>
      <c r="W713" s="40">
        <v>46069</v>
      </c>
      <c r="X713" s="35" t="s">
        <v>916</v>
      </c>
      <c r="Y713" s="35" t="s">
        <v>916</v>
      </c>
      <c r="Z713" s="35" t="s">
        <v>916</v>
      </c>
      <c r="AA713" s="38">
        <v>27.4416666672</v>
      </c>
      <c r="AB713" s="42" t="s">
        <v>916</v>
      </c>
      <c r="AC713" s="43" t="s">
        <v>916</v>
      </c>
      <c r="AD713" s="43" t="s">
        <v>916</v>
      </c>
      <c r="AE713" s="33" t="s">
        <v>916</v>
      </c>
      <c r="AF713" s="35" t="s">
        <v>916</v>
      </c>
      <c r="AG713" s="44">
        <v>0</v>
      </c>
      <c r="AH713" s="42" t="s">
        <v>916</v>
      </c>
      <c r="AI713" s="32" t="e">
        <f>VLOOKUP(A713,'4月明細'!B:B,1,0)</f>
        <v>#N/A</v>
      </c>
    </row>
    <row r="714" spans="1:35" ht="19.95" customHeight="1" x14ac:dyDescent="0.3">
      <c r="A714" s="33" t="s">
        <v>414</v>
      </c>
      <c r="B714" s="34">
        <v>46069.415335648147</v>
      </c>
      <c r="C714" s="34" t="str">
        <f t="shared" si="24"/>
        <v>202602</v>
      </c>
      <c r="D714" s="35" t="s">
        <v>951</v>
      </c>
      <c r="E714" s="36" t="s">
        <v>910</v>
      </c>
      <c r="F714" s="36" t="s">
        <v>1479</v>
      </c>
      <c r="G714" s="37" t="s">
        <v>2720</v>
      </c>
      <c r="H714" s="36" t="s">
        <v>1023</v>
      </c>
      <c r="I714" s="35" t="s">
        <v>2721</v>
      </c>
      <c r="J714" s="36" t="s">
        <v>929</v>
      </c>
      <c r="K714" s="33" t="s">
        <v>916</v>
      </c>
      <c r="L714" s="35" t="s">
        <v>916</v>
      </c>
      <c r="M714" s="36" t="s">
        <v>1039</v>
      </c>
      <c r="N714" s="45">
        <v>46070.560416666667</v>
      </c>
      <c r="O714" s="36" t="s">
        <v>25</v>
      </c>
      <c r="P714" s="38">
        <v>1.1450810185</v>
      </c>
      <c r="Q714" s="39" t="s">
        <v>2722</v>
      </c>
      <c r="R714" s="35" t="s">
        <v>916</v>
      </c>
      <c r="S714" s="35"/>
      <c r="T714" s="35" t="s">
        <v>1701</v>
      </c>
      <c r="U714" s="40">
        <v>46070</v>
      </c>
      <c r="V714" s="41">
        <v>46153.532777777778</v>
      </c>
      <c r="W714" s="40">
        <v>46069</v>
      </c>
      <c r="X714" s="35" t="s">
        <v>916</v>
      </c>
      <c r="Y714" s="35" t="s">
        <v>916</v>
      </c>
      <c r="Z714" s="35" t="s">
        <v>916</v>
      </c>
      <c r="AA714" s="38">
        <v>27.481944444</v>
      </c>
      <c r="AB714" s="42" t="s">
        <v>916</v>
      </c>
      <c r="AC714" s="43" t="s">
        <v>916</v>
      </c>
      <c r="AD714" s="43" t="s">
        <v>916</v>
      </c>
      <c r="AE714" s="33" t="s">
        <v>916</v>
      </c>
      <c r="AF714" s="35" t="s">
        <v>916</v>
      </c>
      <c r="AG714" s="44">
        <v>0</v>
      </c>
      <c r="AH714" s="42" t="s">
        <v>916</v>
      </c>
      <c r="AI714" s="32" t="e">
        <f>VLOOKUP(A714,'4月明細'!B:B,1,0)</f>
        <v>#N/A</v>
      </c>
    </row>
    <row r="715" spans="1:35" ht="19.95" customHeight="1" x14ac:dyDescent="0.3">
      <c r="A715" s="33" t="s">
        <v>503</v>
      </c>
      <c r="B715" s="34">
        <v>46068.935104166667</v>
      </c>
      <c r="C715" s="34" t="str">
        <f t="shared" si="24"/>
        <v>202602</v>
      </c>
      <c r="D715" s="35" t="s">
        <v>1747</v>
      </c>
      <c r="E715" s="36" t="s">
        <v>942</v>
      </c>
      <c r="F715" s="36" t="s">
        <v>1068</v>
      </c>
      <c r="G715" s="37" t="s">
        <v>2723</v>
      </c>
      <c r="H715" s="36" t="s">
        <v>1023</v>
      </c>
      <c r="I715" s="35"/>
      <c r="J715" s="36" t="s">
        <v>945</v>
      </c>
      <c r="K715" s="33" t="s">
        <v>916</v>
      </c>
      <c r="L715" s="35" t="s">
        <v>916</v>
      </c>
      <c r="M715" s="36" t="s">
        <v>916</v>
      </c>
      <c r="N715" s="45">
        <v>46083.651388888888</v>
      </c>
      <c r="O715" s="36" t="s">
        <v>25</v>
      </c>
      <c r="P715" s="38">
        <v>14.716284722199999</v>
      </c>
      <c r="Q715" s="39" t="s">
        <v>1404</v>
      </c>
      <c r="R715" s="35" t="s">
        <v>916</v>
      </c>
      <c r="S715" s="35"/>
      <c r="T715" s="35" t="s">
        <v>1624</v>
      </c>
      <c r="U715" s="40">
        <v>46069</v>
      </c>
      <c r="V715" s="41">
        <v>46153.532777777778</v>
      </c>
      <c r="W715" s="40">
        <v>46069</v>
      </c>
      <c r="X715" s="35" t="s">
        <v>916</v>
      </c>
      <c r="Y715" s="35" t="s">
        <v>916</v>
      </c>
      <c r="Z715" s="35" t="s">
        <v>916</v>
      </c>
      <c r="AA715" s="38">
        <v>353.19083333280003</v>
      </c>
      <c r="AB715" s="42" t="s">
        <v>916</v>
      </c>
      <c r="AC715" s="43" t="s">
        <v>916</v>
      </c>
      <c r="AD715" s="43" t="s">
        <v>916</v>
      </c>
      <c r="AE715" s="33" t="s">
        <v>916</v>
      </c>
      <c r="AF715" s="35" t="s">
        <v>916</v>
      </c>
      <c r="AG715" s="44">
        <v>0</v>
      </c>
      <c r="AH715" s="42" t="s">
        <v>916</v>
      </c>
      <c r="AI715" s="32" t="e">
        <f>VLOOKUP(A715,'4月明細'!B:B,1,0)</f>
        <v>#N/A</v>
      </c>
    </row>
    <row r="716" spans="1:35" ht="19.95" customHeight="1" x14ac:dyDescent="0.3">
      <c r="A716" s="33" t="s">
        <v>413</v>
      </c>
      <c r="B716" s="34">
        <v>46068.923784722225</v>
      </c>
      <c r="C716" s="34" t="str">
        <f t="shared" si="24"/>
        <v>202602</v>
      </c>
      <c r="D716" s="35" t="s">
        <v>1168</v>
      </c>
      <c r="E716" s="36" t="s">
        <v>942</v>
      </c>
      <c r="F716" s="36" t="s">
        <v>1469</v>
      </c>
      <c r="G716" s="37" t="s">
        <v>2724</v>
      </c>
      <c r="H716" s="36" t="s">
        <v>913</v>
      </c>
      <c r="I716" s="35"/>
      <c r="J716" s="36" t="s">
        <v>945</v>
      </c>
      <c r="K716" s="33" t="s">
        <v>916</v>
      </c>
      <c r="L716" s="35" t="s">
        <v>916</v>
      </c>
      <c r="M716" s="36" t="s">
        <v>1039</v>
      </c>
      <c r="N716" s="45">
        <v>46070.561111111114</v>
      </c>
      <c r="O716" s="36" t="s">
        <v>25</v>
      </c>
      <c r="P716" s="38">
        <v>1.6373263889</v>
      </c>
      <c r="Q716" s="39" t="s">
        <v>2725</v>
      </c>
      <c r="R716" s="35" t="s">
        <v>916</v>
      </c>
      <c r="S716" s="35"/>
      <c r="T716" s="35" t="s">
        <v>1701</v>
      </c>
      <c r="U716" s="40">
        <v>46069</v>
      </c>
      <c r="V716" s="41">
        <v>46153.532777777778</v>
      </c>
      <c r="W716" s="40">
        <v>46069</v>
      </c>
      <c r="X716" s="35" t="s">
        <v>916</v>
      </c>
      <c r="Y716" s="35" t="s">
        <v>916</v>
      </c>
      <c r="Z716" s="35" t="s">
        <v>916</v>
      </c>
      <c r="AA716" s="38">
        <v>39.295833333600001</v>
      </c>
      <c r="AB716" s="42" t="s">
        <v>916</v>
      </c>
      <c r="AC716" s="43" t="s">
        <v>916</v>
      </c>
      <c r="AD716" s="43" t="s">
        <v>916</v>
      </c>
      <c r="AE716" s="33" t="s">
        <v>916</v>
      </c>
      <c r="AF716" s="35" t="s">
        <v>916</v>
      </c>
      <c r="AG716" s="44">
        <v>0</v>
      </c>
      <c r="AH716" s="42" t="s">
        <v>916</v>
      </c>
      <c r="AI716" s="32" t="e">
        <f>VLOOKUP(A716,'4月明細'!B:B,1,0)</f>
        <v>#N/A</v>
      </c>
    </row>
    <row r="717" spans="1:35" ht="19.95" customHeight="1" x14ac:dyDescent="0.3">
      <c r="A717" s="33" t="s">
        <v>412</v>
      </c>
      <c r="B717" s="34">
        <v>46068.909282407411</v>
      </c>
      <c r="C717" s="34" t="str">
        <f t="shared" si="24"/>
        <v>202602</v>
      </c>
      <c r="D717" s="35" t="s">
        <v>1168</v>
      </c>
      <c r="E717" s="36" t="s">
        <v>942</v>
      </c>
      <c r="F717" s="36" t="s">
        <v>1370</v>
      </c>
      <c r="G717" s="37" t="s">
        <v>2726</v>
      </c>
      <c r="H717" s="36" t="s">
        <v>913</v>
      </c>
      <c r="I717" s="35"/>
      <c r="J717" s="36" t="s">
        <v>945</v>
      </c>
      <c r="K717" s="33" t="s">
        <v>916</v>
      </c>
      <c r="L717" s="35" t="s">
        <v>916</v>
      </c>
      <c r="M717" s="36" t="s">
        <v>916</v>
      </c>
      <c r="N717" s="45">
        <v>46070.561805555553</v>
      </c>
      <c r="O717" s="36" t="s">
        <v>25</v>
      </c>
      <c r="P717" s="38">
        <v>1.6525231482</v>
      </c>
      <c r="Q717" s="39" t="s">
        <v>2727</v>
      </c>
      <c r="R717" s="35" t="s">
        <v>916</v>
      </c>
      <c r="S717" s="35"/>
      <c r="T717" s="35" t="s">
        <v>1701</v>
      </c>
      <c r="U717" s="40">
        <v>46069</v>
      </c>
      <c r="V717" s="41">
        <v>46153.532777777778</v>
      </c>
      <c r="W717" s="40">
        <v>46069</v>
      </c>
      <c r="X717" s="35" t="s">
        <v>916</v>
      </c>
      <c r="Y717" s="35" t="s">
        <v>916</v>
      </c>
      <c r="Z717" s="35" t="s">
        <v>916</v>
      </c>
      <c r="AA717" s="38">
        <v>39.660555556799999</v>
      </c>
      <c r="AB717" s="42" t="s">
        <v>916</v>
      </c>
      <c r="AC717" s="43" t="s">
        <v>916</v>
      </c>
      <c r="AD717" s="43" t="s">
        <v>916</v>
      </c>
      <c r="AE717" s="33" t="s">
        <v>916</v>
      </c>
      <c r="AF717" s="35" t="s">
        <v>916</v>
      </c>
      <c r="AG717" s="44">
        <v>0</v>
      </c>
      <c r="AH717" s="42" t="s">
        <v>916</v>
      </c>
      <c r="AI717" s="32" t="e">
        <f>VLOOKUP(A717,'4月明細'!B:B,1,0)</f>
        <v>#N/A</v>
      </c>
    </row>
    <row r="718" spans="1:35" ht="19.95" customHeight="1" x14ac:dyDescent="0.3">
      <c r="A718" s="33" t="s">
        <v>411</v>
      </c>
      <c r="B718" s="34">
        <v>46068.678888888891</v>
      </c>
      <c r="C718" s="34" t="str">
        <f t="shared" si="24"/>
        <v>202602</v>
      </c>
      <c r="D718" s="35" t="s">
        <v>960</v>
      </c>
      <c r="E718" s="36" t="s">
        <v>942</v>
      </c>
      <c r="F718" s="36" t="s">
        <v>1975</v>
      </c>
      <c r="G718" s="37" t="s">
        <v>2648</v>
      </c>
      <c r="H718" s="36" t="s">
        <v>1078</v>
      </c>
      <c r="I718" s="35"/>
      <c r="J718" s="36" t="s">
        <v>945</v>
      </c>
      <c r="K718" s="33" t="s">
        <v>916</v>
      </c>
      <c r="L718" s="35" t="s">
        <v>916</v>
      </c>
      <c r="M718" s="36" t="s">
        <v>916</v>
      </c>
      <c r="N718" s="45">
        <v>46070.564583333333</v>
      </c>
      <c r="O718" s="36" t="s">
        <v>25</v>
      </c>
      <c r="P718" s="38">
        <v>1.8856944443999999</v>
      </c>
      <c r="Q718" s="39" t="s">
        <v>2171</v>
      </c>
      <c r="R718" s="35" t="s">
        <v>916</v>
      </c>
      <c r="S718" s="35"/>
      <c r="T718" s="35" t="s">
        <v>1701</v>
      </c>
      <c r="U718" s="40">
        <v>46069</v>
      </c>
      <c r="V718" s="41">
        <v>46153.532777777778</v>
      </c>
      <c r="W718" s="40">
        <v>46068</v>
      </c>
      <c r="X718" s="35" t="s">
        <v>916</v>
      </c>
      <c r="Y718" s="35" t="s">
        <v>916</v>
      </c>
      <c r="Z718" s="35" t="s">
        <v>916</v>
      </c>
      <c r="AA718" s="38">
        <v>45.256666665600001</v>
      </c>
      <c r="AB718" s="42" t="s">
        <v>916</v>
      </c>
      <c r="AC718" s="43" t="s">
        <v>916</v>
      </c>
      <c r="AD718" s="43" t="s">
        <v>916</v>
      </c>
      <c r="AE718" s="33" t="s">
        <v>916</v>
      </c>
      <c r="AF718" s="35" t="s">
        <v>916</v>
      </c>
      <c r="AG718" s="44">
        <v>0</v>
      </c>
      <c r="AH718" s="42" t="s">
        <v>916</v>
      </c>
      <c r="AI718" s="32" t="e">
        <f>VLOOKUP(A718,'4月明細'!B:B,1,0)</f>
        <v>#N/A</v>
      </c>
    </row>
    <row r="719" spans="1:35" ht="19.95" customHeight="1" x14ac:dyDescent="0.3">
      <c r="A719" s="33" t="s">
        <v>2728</v>
      </c>
      <c r="B719" s="34">
        <v>46068.64671296296</v>
      </c>
      <c r="C719" s="34" t="str">
        <f t="shared" si="24"/>
        <v>202602</v>
      </c>
      <c r="D719" s="35" t="s">
        <v>996</v>
      </c>
      <c r="E719" s="36" t="s">
        <v>910</v>
      </c>
      <c r="F719" s="36" t="s">
        <v>1870</v>
      </c>
      <c r="G719" s="37" t="s">
        <v>2729</v>
      </c>
      <c r="H719" s="36" t="s">
        <v>928</v>
      </c>
      <c r="I719" s="35"/>
      <c r="J719" s="36" t="s">
        <v>929</v>
      </c>
      <c r="K719" s="33" t="s">
        <v>916</v>
      </c>
      <c r="L719" s="35" t="s">
        <v>916</v>
      </c>
      <c r="M719" s="36" t="s">
        <v>1039</v>
      </c>
      <c r="N719" s="45">
        <v>46085.837500000001</v>
      </c>
      <c r="O719" s="36" t="s">
        <v>939</v>
      </c>
      <c r="P719" s="38">
        <v>17.190787037</v>
      </c>
      <c r="Q719" s="39" t="s">
        <v>2369</v>
      </c>
      <c r="R719" s="35" t="s">
        <v>916</v>
      </c>
      <c r="S719" s="35"/>
      <c r="T719" s="35" t="s">
        <v>1624</v>
      </c>
      <c r="U719" s="40">
        <v>46069</v>
      </c>
      <c r="V719" s="41">
        <v>46153.532777777778</v>
      </c>
      <c r="W719" s="40">
        <v>46068</v>
      </c>
      <c r="X719" s="40">
        <v>46153</v>
      </c>
      <c r="Y719" s="35" t="s">
        <v>916</v>
      </c>
      <c r="Z719" s="35" t="s">
        <v>916</v>
      </c>
      <c r="AA719" s="38">
        <v>412.57888888799999</v>
      </c>
      <c r="AB719" s="42" t="s">
        <v>916</v>
      </c>
      <c r="AC719" s="43" t="s">
        <v>916</v>
      </c>
      <c r="AD719" s="43" t="s">
        <v>916</v>
      </c>
      <c r="AE719" s="33" t="s">
        <v>916</v>
      </c>
      <c r="AF719" s="35" t="s">
        <v>916</v>
      </c>
      <c r="AG719" s="44">
        <v>492130.83333333337</v>
      </c>
      <c r="AH719" s="42" t="s">
        <v>916</v>
      </c>
      <c r="AI719" s="32" t="e">
        <f>VLOOKUP(A719,'4月明細'!B:B,1,0)</f>
        <v>#N/A</v>
      </c>
    </row>
    <row r="720" spans="1:35" ht="19.95" customHeight="1" x14ac:dyDescent="0.3">
      <c r="A720" s="33" t="s">
        <v>2730</v>
      </c>
      <c r="B720" s="34">
        <v>46068.645787037036</v>
      </c>
      <c r="C720" s="34" t="str">
        <f t="shared" si="24"/>
        <v>202602</v>
      </c>
      <c r="D720" s="35" t="s">
        <v>996</v>
      </c>
      <c r="E720" s="36" t="s">
        <v>910</v>
      </c>
      <c r="F720" s="36" t="s">
        <v>1870</v>
      </c>
      <c r="G720" s="37" t="s">
        <v>1005</v>
      </c>
      <c r="H720" s="36" t="s">
        <v>954</v>
      </c>
      <c r="I720" s="35" t="s">
        <v>2731</v>
      </c>
      <c r="J720" s="36" t="s">
        <v>929</v>
      </c>
      <c r="K720" s="33" t="s">
        <v>916</v>
      </c>
      <c r="L720" s="35" t="s">
        <v>916</v>
      </c>
      <c r="M720" s="36" t="s">
        <v>1039</v>
      </c>
      <c r="N720" s="45">
        <v>46085.837500000001</v>
      </c>
      <c r="O720" s="36" t="s">
        <v>939</v>
      </c>
      <c r="P720" s="38">
        <v>17.191712963000001</v>
      </c>
      <c r="Q720" s="39" t="s">
        <v>2369</v>
      </c>
      <c r="R720" s="35" t="s">
        <v>916</v>
      </c>
      <c r="S720" s="35"/>
      <c r="T720" s="35" t="s">
        <v>1624</v>
      </c>
      <c r="U720" s="40">
        <v>46069</v>
      </c>
      <c r="V720" s="41">
        <v>46153.532777777778</v>
      </c>
      <c r="W720" s="40">
        <v>46068</v>
      </c>
      <c r="X720" s="40">
        <v>46153</v>
      </c>
      <c r="Y720" s="35" t="s">
        <v>916</v>
      </c>
      <c r="Z720" s="35" t="s">
        <v>916</v>
      </c>
      <c r="AA720" s="38">
        <v>412.60111111200001</v>
      </c>
      <c r="AB720" s="42" t="s">
        <v>916</v>
      </c>
      <c r="AC720" s="43" t="s">
        <v>916</v>
      </c>
      <c r="AD720" s="43" t="s">
        <v>916</v>
      </c>
      <c r="AE720" s="33" t="s">
        <v>916</v>
      </c>
      <c r="AF720" s="35" t="s">
        <v>916</v>
      </c>
      <c r="AG720" s="44">
        <v>492130.83333333337</v>
      </c>
      <c r="AH720" s="42" t="s">
        <v>916</v>
      </c>
      <c r="AI720" s="32" t="e">
        <f>VLOOKUP(A720,'4月明細'!B:B,1,0)</f>
        <v>#N/A</v>
      </c>
    </row>
    <row r="721" spans="1:35" ht="19.95" customHeight="1" x14ac:dyDescent="0.3">
      <c r="A721" s="33" t="s">
        <v>502</v>
      </c>
      <c r="B721" s="34">
        <v>46068.644120370373</v>
      </c>
      <c r="C721" s="34" t="str">
        <f t="shared" si="24"/>
        <v>202602</v>
      </c>
      <c r="D721" s="35" t="s">
        <v>996</v>
      </c>
      <c r="E721" s="36" t="s">
        <v>910</v>
      </c>
      <c r="F721" s="36" t="s">
        <v>1870</v>
      </c>
      <c r="G721" s="37" t="s">
        <v>2732</v>
      </c>
      <c r="H721" s="36" t="s">
        <v>928</v>
      </c>
      <c r="I721" s="35" t="s">
        <v>2733</v>
      </c>
      <c r="J721" s="36" t="s">
        <v>929</v>
      </c>
      <c r="K721" s="33" t="s">
        <v>916</v>
      </c>
      <c r="L721" s="35" t="s">
        <v>916</v>
      </c>
      <c r="M721" s="36" t="s">
        <v>957</v>
      </c>
      <c r="N721" s="45">
        <v>46083.651388888888</v>
      </c>
      <c r="O721" s="36" t="s">
        <v>25</v>
      </c>
      <c r="P721" s="38">
        <v>15.0072685185</v>
      </c>
      <c r="Q721" s="39" t="s">
        <v>1404</v>
      </c>
      <c r="R721" s="35" t="s">
        <v>916</v>
      </c>
      <c r="S721" s="35"/>
      <c r="T721" s="35" t="s">
        <v>1624</v>
      </c>
      <c r="U721" s="40">
        <v>46069</v>
      </c>
      <c r="V721" s="41">
        <v>46153.532777777778</v>
      </c>
      <c r="W721" s="40">
        <v>46068</v>
      </c>
      <c r="X721" s="35" t="s">
        <v>916</v>
      </c>
      <c r="Y721" s="35" t="s">
        <v>916</v>
      </c>
      <c r="Z721" s="35" t="s">
        <v>916</v>
      </c>
      <c r="AA721" s="38">
        <v>360.17444444400002</v>
      </c>
      <c r="AB721" s="42" t="s">
        <v>916</v>
      </c>
      <c r="AC721" s="43" t="s">
        <v>916</v>
      </c>
      <c r="AD721" s="43" t="s">
        <v>916</v>
      </c>
      <c r="AE721" s="33" t="s">
        <v>916</v>
      </c>
      <c r="AF721" s="35" t="s">
        <v>916</v>
      </c>
      <c r="AG721" s="44">
        <v>0</v>
      </c>
      <c r="AH721" s="42" t="s">
        <v>916</v>
      </c>
      <c r="AI721" s="32" t="e">
        <f>VLOOKUP(A721,'4月明細'!B:B,1,0)</f>
        <v>#N/A</v>
      </c>
    </row>
    <row r="722" spans="1:35" ht="19.95" customHeight="1" x14ac:dyDescent="0.3">
      <c r="A722" s="33" t="s">
        <v>2734</v>
      </c>
      <c r="B722" s="34">
        <v>46068.63853009259</v>
      </c>
      <c r="C722" s="34" t="str">
        <f t="shared" si="24"/>
        <v>202602</v>
      </c>
      <c r="D722" s="35" t="s">
        <v>996</v>
      </c>
      <c r="E722" s="36" t="s">
        <v>910</v>
      </c>
      <c r="F722" s="36" t="s">
        <v>1591</v>
      </c>
      <c r="G722" s="37" t="s">
        <v>2729</v>
      </c>
      <c r="H722" s="36" t="s">
        <v>928</v>
      </c>
      <c r="I722" s="35" t="s">
        <v>2735</v>
      </c>
      <c r="J722" s="36" t="s">
        <v>929</v>
      </c>
      <c r="K722" s="33" t="s">
        <v>916</v>
      </c>
      <c r="L722" s="35" t="s">
        <v>916</v>
      </c>
      <c r="M722" s="36" t="s">
        <v>1039</v>
      </c>
      <c r="N722" s="45">
        <v>46074.451388888891</v>
      </c>
      <c r="O722" s="36" t="s">
        <v>1384</v>
      </c>
      <c r="P722" s="38">
        <v>5.8128587962999996</v>
      </c>
      <c r="Q722" s="39" t="s">
        <v>2369</v>
      </c>
      <c r="R722" s="35" t="s">
        <v>916</v>
      </c>
      <c r="S722" s="35"/>
      <c r="T722" s="35" t="s">
        <v>1624</v>
      </c>
      <c r="U722" s="40">
        <v>46069</v>
      </c>
      <c r="V722" s="41">
        <v>46153.532777777778</v>
      </c>
      <c r="W722" s="40">
        <v>46068</v>
      </c>
      <c r="X722" s="35" t="s">
        <v>916</v>
      </c>
      <c r="Y722" s="35" t="s">
        <v>916</v>
      </c>
      <c r="Z722" s="35" t="s">
        <v>916</v>
      </c>
      <c r="AA722" s="38">
        <v>139.5086111112</v>
      </c>
      <c r="AB722" s="42" t="s">
        <v>916</v>
      </c>
      <c r="AC722" s="43" t="s">
        <v>916</v>
      </c>
      <c r="AD722" s="43" t="s">
        <v>916</v>
      </c>
      <c r="AE722" s="33" t="s">
        <v>916</v>
      </c>
      <c r="AF722" s="35" t="s">
        <v>916</v>
      </c>
      <c r="AG722" s="44">
        <v>492130.83333333337</v>
      </c>
      <c r="AH722" s="42" t="s">
        <v>916</v>
      </c>
      <c r="AI722" s="32" t="e">
        <f>VLOOKUP(A722,'4月明細'!B:B,1,0)</f>
        <v>#N/A</v>
      </c>
    </row>
    <row r="723" spans="1:35" ht="19.95" customHeight="1" x14ac:dyDescent="0.3">
      <c r="A723" s="33" t="s">
        <v>410</v>
      </c>
      <c r="B723" s="34">
        <v>46068.637858796297</v>
      </c>
      <c r="C723" s="34" t="str">
        <f t="shared" si="24"/>
        <v>202602</v>
      </c>
      <c r="D723" s="35" t="s">
        <v>996</v>
      </c>
      <c r="E723" s="36" t="s">
        <v>910</v>
      </c>
      <c r="F723" s="36" t="s">
        <v>1222</v>
      </c>
      <c r="G723" s="37" t="s">
        <v>1041</v>
      </c>
      <c r="H723" s="36" t="s">
        <v>954</v>
      </c>
      <c r="I723" s="35"/>
      <c r="J723" s="36" t="s">
        <v>929</v>
      </c>
      <c r="K723" s="33" t="s">
        <v>916</v>
      </c>
      <c r="L723" s="35" t="s">
        <v>916</v>
      </c>
      <c r="M723" s="36" t="s">
        <v>916</v>
      </c>
      <c r="N723" s="45">
        <v>46070.5625</v>
      </c>
      <c r="O723" s="36" t="s">
        <v>25</v>
      </c>
      <c r="P723" s="38">
        <v>1.9246412037</v>
      </c>
      <c r="Q723" s="39" t="s">
        <v>2736</v>
      </c>
      <c r="R723" s="35" t="s">
        <v>916</v>
      </c>
      <c r="S723" s="35"/>
      <c r="T723" s="35" t="s">
        <v>1701</v>
      </c>
      <c r="U723" s="40">
        <v>46069</v>
      </c>
      <c r="V723" s="41">
        <v>46153.532777777778</v>
      </c>
      <c r="W723" s="40">
        <v>46068</v>
      </c>
      <c r="X723" s="35" t="s">
        <v>916</v>
      </c>
      <c r="Y723" s="35" t="s">
        <v>916</v>
      </c>
      <c r="Z723" s="35" t="s">
        <v>916</v>
      </c>
      <c r="AA723" s="38">
        <v>46.191388888799999</v>
      </c>
      <c r="AB723" s="42" t="s">
        <v>916</v>
      </c>
      <c r="AC723" s="43" t="s">
        <v>916</v>
      </c>
      <c r="AD723" s="43" t="s">
        <v>916</v>
      </c>
      <c r="AE723" s="33" t="s">
        <v>916</v>
      </c>
      <c r="AF723" s="35" t="s">
        <v>916</v>
      </c>
      <c r="AG723" s="44">
        <v>0</v>
      </c>
      <c r="AH723" s="42" t="s">
        <v>916</v>
      </c>
      <c r="AI723" s="32" t="e">
        <f>VLOOKUP(A723,'4月明細'!B:B,1,0)</f>
        <v>#N/A</v>
      </c>
    </row>
    <row r="724" spans="1:35" ht="19.95" customHeight="1" x14ac:dyDescent="0.3">
      <c r="A724" s="33" t="s">
        <v>409</v>
      </c>
      <c r="B724" s="34">
        <v>46068.596134259256</v>
      </c>
      <c r="C724" s="34" t="str">
        <f t="shared" si="24"/>
        <v>202602</v>
      </c>
      <c r="D724" s="35" t="s">
        <v>996</v>
      </c>
      <c r="E724" s="36" t="s">
        <v>910</v>
      </c>
      <c r="F724" s="36" t="s">
        <v>1068</v>
      </c>
      <c r="G724" s="37" t="s">
        <v>1018</v>
      </c>
      <c r="H724" s="36" t="s">
        <v>954</v>
      </c>
      <c r="I724" s="35"/>
      <c r="J724" s="36" t="s">
        <v>914</v>
      </c>
      <c r="K724" s="33" t="s">
        <v>916</v>
      </c>
      <c r="L724" s="35" t="s">
        <v>916</v>
      </c>
      <c r="M724" s="36" t="s">
        <v>916</v>
      </c>
      <c r="N724" s="45">
        <v>46068.620833333334</v>
      </c>
      <c r="O724" s="36" t="s">
        <v>25</v>
      </c>
      <c r="P724" s="38">
        <v>2.4699074099999999E-2</v>
      </c>
      <c r="Q724" s="39" t="s">
        <v>2217</v>
      </c>
      <c r="R724" s="35" t="s">
        <v>916</v>
      </c>
      <c r="S724" s="35"/>
      <c r="T724" s="35" t="s">
        <v>1701</v>
      </c>
      <c r="U724" s="40">
        <v>46069</v>
      </c>
      <c r="V724" s="41">
        <v>46153.532777777778</v>
      </c>
      <c r="W724" s="40">
        <v>46068</v>
      </c>
      <c r="X724" s="35" t="s">
        <v>916</v>
      </c>
      <c r="Y724" s="35" t="s">
        <v>916</v>
      </c>
      <c r="Z724" s="35" t="s">
        <v>916</v>
      </c>
      <c r="AA724" s="38">
        <v>0.59277777840000001</v>
      </c>
      <c r="AB724" s="42" t="s">
        <v>916</v>
      </c>
      <c r="AC724" s="43" t="s">
        <v>916</v>
      </c>
      <c r="AD724" s="43" t="s">
        <v>916</v>
      </c>
      <c r="AE724" s="33" t="s">
        <v>916</v>
      </c>
      <c r="AF724" s="35" t="s">
        <v>916</v>
      </c>
      <c r="AG724" s="44">
        <v>0</v>
      </c>
      <c r="AH724" s="42" t="s">
        <v>916</v>
      </c>
      <c r="AI724" s="32" t="e">
        <f>VLOOKUP(A724,'4月明細'!B:B,1,0)</f>
        <v>#N/A</v>
      </c>
    </row>
    <row r="725" spans="1:35" ht="19.95" customHeight="1" x14ac:dyDescent="0.3">
      <c r="A725" s="33" t="s">
        <v>2737</v>
      </c>
      <c r="B725" s="34">
        <v>46068.503819444442</v>
      </c>
      <c r="C725" s="34" t="str">
        <f t="shared" si="24"/>
        <v>202602</v>
      </c>
      <c r="D725" s="35" t="s">
        <v>951</v>
      </c>
      <c r="E725" s="36" t="s">
        <v>910</v>
      </c>
      <c r="F725" s="36" t="s">
        <v>2059</v>
      </c>
      <c r="G725" s="37" t="s">
        <v>2738</v>
      </c>
      <c r="H725" s="36" t="s">
        <v>954</v>
      </c>
      <c r="I725" s="35" t="s">
        <v>2739</v>
      </c>
      <c r="J725" s="36" t="s">
        <v>929</v>
      </c>
      <c r="K725" s="33" t="s">
        <v>916</v>
      </c>
      <c r="L725" s="35" t="s">
        <v>1116</v>
      </c>
      <c r="M725" s="36" t="s">
        <v>957</v>
      </c>
      <c r="N725" s="45">
        <v>46076.57708333333</v>
      </c>
      <c r="O725" s="36" t="s">
        <v>1117</v>
      </c>
      <c r="P725" s="38">
        <v>8.0732638888999997</v>
      </c>
      <c r="Q725" s="39" t="s">
        <v>2740</v>
      </c>
      <c r="R725" s="46" t="s">
        <v>2741</v>
      </c>
      <c r="S725" s="35" t="s">
        <v>2742</v>
      </c>
      <c r="T725" s="35" t="s">
        <v>1624</v>
      </c>
      <c r="U725" s="40">
        <v>46069</v>
      </c>
      <c r="V725" s="41">
        <v>46153.532777777778</v>
      </c>
      <c r="W725" s="40">
        <v>46068</v>
      </c>
      <c r="X725" s="35" t="s">
        <v>916</v>
      </c>
      <c r="Y725" s="35" t="s">
        <v>916</v>
      </c>
      <c r="Z725" s="35" t="s">
        <v>916</v>
      </c>
      <c r="AA725" s="38">
        <v>193.75833333360001</v>
      </c>
      <c r="AB725" s="42" t="s">
        <v>916</v>
      </c>
      <c r="AC725" s="43" t="s">
        <v>916</v>
      </c>
      <c r="AD725" s="43" t="s">
        <v>916</v>
      </c>
      <c r="AE725" s="33" t="s">
        <v>916</v>
      </c>
      <c r="AF725" s="35" t="s">
        <v>916</v>
      </c>
      <c r="AG725" s="44">
        <v>492181.85</v>
      </c>
      <c r="AH725" s="42" t="s">
        <v>916</v>
      </c>
      <c r="AI725" s="32" t="e">
        <f>VLOOKUP(A725,'4月明細'!B:B,1,0)</f>
        <v>#N/A</v>
      </c>
    </row>
    <row r="726" spans="1:35" ht="19.95" customHeight="1" x14ac:dyDescent="0.3">
      <c r="A726" s="33" t="s">
        <v>408</v>
      </c>
      <c r="B726" s="34">
        <v>46068.422407407408</v>
      </c>
      <c r="C726" s="34" t="str">
        <f t="shared" si="24"/>
        <v>202602</v>
      </c>
      <c r="D726" s="35" t="s">
        <v>941</v>
      </c>
      <c r="E726" s="36" t="s">
        <v>942</v>
      </c>
      <c r="F726" s="36" t="s">
        <v>1561</v>
      </c>
      <c r="G726" s="37" t="s">
        <v>2743</v>
      </c>
      <c r="H726" s="36" t="s">
        <v>1078</v>
      </c>
      <c r="I726" s="35"/>
      <c r="J726" s="36" t="s">
        <v>938</v>
      </c>
      <c r="K726" s="33" t="s">
        <v>916</v>
      </c>
      <c r="L726" s="35" t="s">
        <v>916</v>
      </c>
      <c r="M726" s="36" t="s">
        <v>916</v>
      </c>
      <c r="N726" s="45">
        <v>46068.470833333333</v>
      </c>
      <c r="O726" s="36" t="s">
        <v>25</v>
      </c>
      <c r="P726" s="38">
        <v>4.84259259E-2</v>
      </c>
      <c r="Q726" s="39" t="s">
        <v>1328</v>
      </c>
      <c r="R726" s="35" t="s">
        <v>916</v>
      </c>
      <c r="S726" s="35"/>
      <c r="T726" s="35" t="s">
        <v>1701</v>
      </c>
      <c r="U726" s="40">
        <v>46069</v>
      </c>
      <c r="V726" s="41">
        <v>46153.532777777778</v>
      </c>
      <c r="W726" s="40">
        <v>46068</v>
      </c>
      <c r="X726" s="35" t="s">
        <v>916</v>
      </c>
      <c r="Y726" s="35" t="s">
        <v>916</v>
      </c>
      <c r="Z726" s="35" t="s">
        <v>916</v>
      </c>
      <c r="AA726" s="38">
        <v>1.1622222216</v>
      </c>
      <c r="AB726" s="42" t="s">
        <v>916</v>
      </c>
      <c r="AC726" s="43" t="s">
        <v>916</v>
      </c>
      <c r="AD726" s="43" t="s">
        <v>916</v>
      </c>
      <c r="AE726" s="33" t="s">
        <v>916</v>
      </c>
      <c r="AF726" s="35" t="s">
        <v>916</v>
      </c>
      <c r="AG726" s="44">
        <v>0</v>
      </c>
      <c r="AH726" s="42" t="s">
        <v>916</v>
      </c>
      <c r="AI726" s="32" t="e">
        <f>VLOOKUP(A726,'4月明細'!B:B,1,0)</f>
        <v>#N/A</v>
      </c>
    </row>
    <row r="727" spans="1:35" ht="19.95" customHeight="1" x14ac:dyDescent="0.3">
      <c r="A727" s="33" t="s">
        <v>407</v>
      </c>
      <c r="B727" s="34">
        <v>46067.934907407405</v>
      </c>
      <c r="C727" s="34" t="str">
        <f t="shared" si="24"/>
        <v>202602</v>
      </c>
      <c r="D727" s="35" t="s">
        <v>1747</v>
      </c>
      <c r="E727" s="36" t="s">
        <v>942</v>
      </c>
      <c r="F727" s="36" t="s">
        <v>1253</v>
      </c>
      <c r="G727" s="37" t="s">
        <v>2744</v>
      </c>
      <c r="H727" s="36" t="s">
        <v>928</v>
      </c>
      <c r="I727" s="35"/>
      <c r="J727" s="36" t="s">
        <v>945</v>
      </c>
      <c r="K727" s="33" t="s">
        <v>916</v>
      </c>
      <c r="L727" s="35" t="s">
        <v>916</v>
      </c>
      <c r="M727" s="36" t="s">
        <v>916</v>
      </c>
      <c r="N727" s="45">
        <v>46068.470833333333</v>
      </c>
      <c r="O727" s="36" t="s">
        <v>25</v>
      </c>
      <c r="P727" s="38">
        <v>0.53592592589999999</v>
      </c>
      <c r="Q727" s="39" t="s">
        <v>1328</v>
      </c>
      <c r="R727" s="35" t="s">
        <v>916</v>
      </c>
      <c r="S727" s="35"/>
      <c r="T727" s="35" t="s">
        <v>1701</v>
      </c>
      <c r="U727" s="40">
        <v>46068</v>
      </c>
      <c r="V727" s="41">
        <v>46153.532777777778</v>
      </c>
      <c r="W727" s="40">
        <v>46068</v>
      </c>
      <c r="X727" s="35" t="s">
        <v>916</v>
      </c>
      <c r="Y727" s="35" t="s">
        <v>916</v>
      </c>
      <c r="Z727" s="35" t="s">
        <v>916</v>
      </c>
      <c r="AA727" s="38">
        <v>12.8622222216</v>
      </c>
      <c r="AB727" s="42" t="s">
        <v>916</v>
      </c>
      <c r="AC727" s="43" t="s">
        <v>916</v>
      </c>
      <c r="AD727" s="43" t="s">
        <v>916</v>
      </c>
      <c r="AE727" s="33" t="s">
        <v>916</v>
      </c>
      <c r="AF727" s="35" t="s">
        <v>916</v>
      </c>
      <c r="AG727" s="44">
        <v>0</v>
      </c>
      <c r="AH727" s="42" t="s">
        <v>916</v>
      </c>
      <c r="AI727" s="32" t="e">
        <f>VLOOKUP(A727,'4月明細'!B:B,1,0)</f>
        <v>#N/A</v>
      </c>
    </row>
    <row r="728" spans="1:35" ht="19.95" customHeight="1" x14ac:dyDescent="0.3">
      <c r="A728" s="33" t="s">
        <v>406</v>
      </c>
      <c r="B728" s="34">
        <v>46067.810127314813</v>
      </c>
      <c r="C728" s="34" t="str">
        <f t="shared" si="24"/>
        <v>202602</v>
      </c>
      <c r="D728" s="35" t="s">
        <v>1747</v>
      </c>
      <c r="E728" s="36" t="s">
        <v>942</v>
      </c>
      <c r="F728" s="36" t="s">
        <v>1392</v>
      </c>
      <c r="G728" s="37" t="s">
        <v>2745</v>
      </c>
      <c r="H728" s="36" t="s">
        <v>954</v>
      </c>
      <c r="I728" s="35"/>
      <c r="J728" s="36" t="s">
        <v>945</v>
      </c>
      <c r="K728" s="33" t="s">
        <v>916</v>
      </c>
      <c r="L728" s="35" t="s">
        <v>916</v>
      </c>
      <c r="M728" s="36" t="s">
        <v>916</v>
      </c>
      <c r="N728" s="45">
        <v>46068.47152777778</v>
      </c>
      <c r="O728" s="36" t="s">
        <v>25</v>
      </c>
      <c r="P728" s="38">
        <v>0.66140046299999999</v>
      </c>
      <c r="Q728" s="39" t="s">
        <v>1328</v>
      </c>
      <c r="R728" s="35" t="s">
        <v>916</v>
      </c>
      <c r="S728" s="35"/>
      <c r="T728" s="35" t="s">
        <v>1701</v>
      </c>
      <c r="U728" s="40">
        <v>46068</v>
      </c>
      <c r="V728" s="41">
        <v>46153.532777777778</v>
      </c>
      <c r="W728" s="40">
        <v>46067</v>
      </c>
      <c r="X728" s="35" t="s">
        <v>916</v>
      </c>
      <c r="Y728" s="35" t="s">
        <v>916</v>
      </c>
      <c r="Z728" s="35" t="s">
        <v>916</v>
      </c>
      <c r="AA728" s="38">
        <v>15.873611112000001</v>
      </c>
      <c r="AB728" s="42" t="s">
        <v>916</v>
      </c>
      <c r="AC728" s="43" t="s">
        <v>916</v>
      </c>
      <c r="AD728" s="43" t="s">
        <v>916</v>
      </c>
      <c r="AE728" s="33" t="s">
        <v>916</v>
      </c>
      <c r="AF728" s="35" t="s">
        <v>916</v>
      </c>
      <c r="AG728" s="44">
        <v>0</v>
      </c>
      <c r="AH728" s="42" t="s">
        <v>916</v>
      </c>
      <c r="AI728" s="32" t="e">
        <f>VLOOKUP(A728,'4月明細'!B:B,1,0)</f>
        <v>#N/A</v>
      </c>
    </row>
    <row r="729" spans="1:35" ht="19.95" customHeight="1" x14ac:dyDescent="0.3">
      <c r="A729" s="33" t="s">
        <v>405</v>
      </c>
      <c r="B729" s="34">
        <v>46067.761828703704</v>
      </c>
      <c r="C729" s="34" t="str">
        <f t="shared" si="24"/>
        <v>202602</v>
      </c>
      <c r="D729" s="35" t="s">
        <v>2278</v>
      </c>
      <c r="E729" s="36" t="s">
        <v>910</v>
      </c>
      <c r="F729" s="36" t="s">
        <v>1060</v>
      </c>
      <c r="G729" s="37" t="s">
        <v>2746</v>
      </c>
      <c r="H729" s="36" t="s">
        <v>954</v>
      </c>
      <c r="I729" s="35"/>
      <c r="J729" s="36" t="s">
        <v>929</v>
      </c>
      <c r="K729" s="33" t="s">
        <v>916</v>
      </c>
      <c r="L729" s="35" t="s">
        <v>916</v>
      </c>
      <c r="M729" s="36" t="s">
        <v>916</v>
      </c>
      <c r="N729" s="45">
        <v>46068.472222222219</v>
      </c>
      <c r="O729" s="36" t="s">
        <v>25</v>
      </c>
      <c r="P729" s="38">
        <v>0.71039351849999999</v>
      </c>
      <c r="Q729" s="39" t="s">
        <v>1328</v>
      </c>
      <c r="R729" s="35" t="s">
        <v>916</v>
      </c>
      <c r="S729" s="35"/>
      <c r="T729" s="35" t="s">
        <v>1701</v>
      </c>
      <c r="U729" s="40">
        <v>46068</v>
      </c>
      <c r="V729" s="41">
        <v>46153.532777777778</v>
      </c>
      <c r="W729" s="40">
        <v>46067</v>
      </c>
      <c r="X729" s="35" t="s">
        <v>916</v>
      </c>
      <c r="Y729" s="35" t="s">
        <v>916</v>
      </c>
      <c r="Z729" s="35" t="s">
        <v>916</v>
      </c>
      <c r="AA729" s="38">
        <v>17.049444443999999</v>
      </c>
      <c r="AB729" s="42" t="s">
        <v>916</v>
      </c>
      <c r="AC729" s="43" t="s">
        <v>916</v>
      </c>
      <c r="AD729" s="43" t="s">
        <v>916</v>
      </c>
      <c r="AE729" s="33" t="s">
        <v>916</v>
      </c>
      <c r="AF729" s="35" t="s">
        <v>916</v>
      </c>
      <c r="AG729" s="44">
        <v>0</v>
      </c>
      <c r="AH729" s="42" t="s">
        <v>916</v>
      </c>
      <c r="AI729" s="32" t="e">
        <f>VLOOKUP(A729,'4月明細'!B:B,1,0)</f>
        <v>#N/A</v>
      </c>
    </row>
    <row r="730" spans="1:35" ht="19.95" customHeight="1" x14ac:dyDescent="0.3">
      <c r="A730" s="33" t="s">
        <v>404</v>
      </c>
      <c r="B730" s="34">
        <v>46067.686585648145</v>
      </c>
      <c r="C730" s="34" t="str">
        <f t="shared" si="24"/>
        <v>202602</v>
      </c>
      <c r="D730" s="35" t="s">
        <v>1178</v>
      </c>
      <c r="E730" s="36" t="s">
        <v>910</v>
      </c>
      <c r="F730" s="36" t="s">
        <v>1750</v>
      </c>
      <c r="G730" s="37" t="s">
        <v>2747</v>
      </c>
      <c r="H730" s="36" t="s">
        <v>928</v>
      </c>
      <c r="I730" s="35" t="s">
        <v>2748</v>
      </c>
      <c r="J730" s="36" t="s">
        <v>929</v>
      </c>
      <c r="K730" s="33" t="s">
        <v>916</v>
      </c>
      <c r="L730" s="35" t="s">
        <v>916</v>
      </c>
      <c r="M730" s="36" t="s">
        <v>916</v>
      </c>
      <c r="N730" s="45">
        <v>46068.472916666666</v>
      </c>
      <c r="O730" s="36" t="s">
        <v>25</v>
      </c>
      <c r="P730" s="38">
        <v>0.78633101849999998</v>
      </c>
      <c r="Q730" s="39" t="s">
        <v>2303</v>
      </c>
      <c r="R730" s="35" t="s">
        <v>916</v>
      </c>
      <c r="S730" s="35"/>
      <c r="T730" s="35" t="s">
        <v>1701</v>
      </c>
      <c r="U730" s="40">
        <v>46068</v>
      </c>
      <c r="V730" s="41">
        <v>46153.532777777778</v>
      </c>
      <c r="W730" s="40">
        <v>46067</v>
      </c>
      <c r="X730" s="35" t="s">
        <v>916</v>
      </c>
      <c r="Y730" s="35" t="s">
        <v>916</v>
      </c>
      <c r="Z730" s="35" t="s">
        <v>916</v>
      </c>
      <c r="AA730" s="38">
        <v>18.871944444</v>
      </c>
      <c r="AB730" s="42" t="s">
        <v>916</v>
      </c>
      <c r="AC730" s="43" t="s">
        <v>916</v>
      </c>
      <c r="AD730" s="43" t="s">
        <v>916</v>
      </c>
      <c r="AE730" s="33" t="s">
        <v>916</v>
      </c>
      <c r="AF730" s="35" t="s">
        <v>916</v>
      </c>
      <c r="AG730" s="44">
        <v>0</v>
      </c>
      <c r="AH730" s="42" t="s">
        <v>916</v>
      </c>
      <c r="AI730" s="32" t="e">
        <f>VLOOKUP(A730,'4月明細'!B:B,1,0)</f>
        <v>#N/A</v>
      </c>
    </row>
    <row r="731" spans="1:35" ht="19.95" customHeight="1" x14ac:dyDescent="0.3">
      <c r="A731" s="33" t="s">
        <v>403</v>
      </c>
      <c r="B731" s="34">
        <v>46067.678368055553</v>
      </c>
      <c r="C731" s="34" t="str">
        <f t="shared" si="24"/>
        <v>202602</v>
      </c>
      <c r="D731" s="35" t="s">
        <v>1747</v>
      </c>
      <c r="E731" s="36" t="s">
        <v>942</v>
      </c>
      <c r="F731" s="36" t="s">
        <v>911</v>
      </c>
      <c r="G731" s="37" t="s">
        <v>2749</v>
      </c>
      <c r="H731" s="36" t="s">
        <v>913</v>
      </c>
      <c r="I731" s="35"/>
      <c r="J731" s="36" t="s">
        <v>945</v>
      </c>
      <c r="K731" s="33" t="s">
        <v>916</v>
      </c>
      <c r="L731" s="35" t="s">
        <v>916</v>
      </c>
      <c r="M731" s="36" t="s">
        <v>916</v>
      </c>
      <c r="N731" s="45">
        <v>46068.473611111112</v>
      </c>
      <c r="O731" s="36" t="s">
        <v>25</v>
      </c>
      <c r="P731" s="38">
        <v>0.79524305559999997</v>
      </c>
      <c r="Q731" s="39" t="s">
        <v>2750</v>
      </c>
      <c r="R731" s="35" t="s">
        <v>916</v>
      </c>
      <c r="S731" s="35"/>
      <c r="T731" s="35" t="s">
        <v>1701</v>
      </c>
      <c r="U731" s="40">
        <v>46068</v>
      </c>
      <c r="V731" s="41">
        <v>46153.532777777778</v>
      </c>
      <c r="W731" s="40">
        <v>46067</v>
      </c>
      <c r="X731" s="35" t="s">
        <v>916</v>
      </c>
      <c r="Y731" s="35" t="s">
        <v>916</v>
      </c>
      <c r="Z731" s="35" t="s">
        <v>916</v>
      </c>
      <c r="AA731" s="38">
        <v>19.0858333344</v>
      </c>
      <c r="AB731" s="42" t="s">
        <v>916</v>
      </c>
      <c r="AC731" s="43" t="s">
        <v>916</v>
      </c>
      <c r="AD731" s="43" t="s">
        <v>916</v>
      </c>
      <c r="AE731" s="33" t="s">
        <v>916</v>
      </c>
      <c r="AF731" s="35" t="s">
        <v>916</v>
      </c>
      <c r="AG731" s="44">
        <v>0</v>
      </c>
      <c r="AH731" s="42" t="s">
        <v>916</v>
      </c>
      <c r="AI731" s="32" t="e">
        <f>VLOOKUP(A731,'4月明細'!B:B,1,0)</f>
        <v>#N/A</v>
      </c>
    </row>
    <row r="732" spans="1:35" ht="19.95" customHeight="1" x14ac:dyDescent="0.3">
      <c r="A732" s="33" t="s">
        <v>402</v>
      </c>
      <c r="B732" s="34">
        <v>46067.617800925924</v>
      </c>
      <c r="C732" s="34" t="str">
        <f t="shared" si="24"/>
        <v>202602</v>
      </c>
      <c r="D732" s="35" t="s">
        <v>2278</v>
      </c>
      <c r="E732" s="36" t="s">
        <v>910</v>
      </c>
      <c r="F732" s="36" t="s">
        <v>1531</v>
      </c>
      <c r="G732" s="37" t="s">
        <v>2751</v>
      </c>
      <c r="H732" s="36" t="s">
        <v>928</v>
      </c>
      <c r="I732" s="35"/>
      <c r="J732" s="36" t="s">
        <v>914</v>
      </c>
      <c r="K732" s="33" t="s">
        <v>916</v>
      </c>
      <c r="L732" s="35" t="s">
        <v>916</v>
      </c>
      <c r="M732" s="36" t="s">
        <v>916</v>
      </c>
      <c r="N732" s="45">
        <v>46068.473611111112</v>
      </c>
      <c r="O732" s="36" t="s">
        <v>25</v>
      </c>
      <c r="P732" s="38">
        <v>0.85581018519999996</v>
      </c>
      <c r="Q732" s="39" t="s">
        <v>2752</v>
      </c>
      <c r="R732" s="35" t="s">
        <v>916</v>
      </c>
      <c r="S732" s="35"/>
      <c r="T732" s="35" t="s">
        <v>1701</v>
      </c>
      <c r="U732" s="40">
        <v>46068</v>
      </c>
      <c r="V732" s="41">
        <v>46153.532777777778</v>
      </c>
      <c r="W732" s="40">
        <v>46067</v>
      </c>
      <c r="X732" s="35" t="s">
        <v>916</v>
      </c>
      <c r="Y732" s="35" t="s">
        <v>916</v>
      </c>
      <c r="Z732" s="35" t="s">
        <v>916</v>
      </c>
      <c r="AA732" s="38">
        <v>20.539444444800001</v>
      </c>
      <c r="AB732" s="42" t="s">
        <v>916</v>
      </c>
      <c r="AC732" s="43" t="s">
        <v>916</v>
      </c>
      <c r="AD732" s="43" t="s">
        <v>916</v>
      </c>
      <c r="AE732" s="33" t="s">
        <v>916</v>
      </c>
      <c r="AF732" s="35" t="s">
        <v>916</v>
      </c>
      <c r="AG732" s="44">
        <v>0</v>
      </c>
      <c r="AH732" s="42" t="s">
        <v>916</v>
      </c>
      <c r="AI732" s="32" t="e">
        <f>VLOOKUP(A732,'4月明細'!B:B,1,0)</f>
        <v>#N/A</v>
      </c>
    </row>
    <row r="733" spans="1:35" ht="19.95" customHeight="1" x14ac:dyDescent="0.3">
      <c r="A733" s="33" t="s">
        <v>401</v>
      </c>
      <c r="B733" s="34">
        <v>46066.490115740744</v>
      </c>
      <c r="C733" s="34" t="str">
        <f t="shared" si="24"/>
        <v>202602</v>
      </c>
      <c r="D733" s="35" t="s">
        <v>951</v>
      </c>
      <c r="E733" s="36" t="s">
        <v>910</v>
      </c>
      <c r="F733" s="36" t="s">
        <v>1750</v>
      </c>
      <c r="G733" s="37" t="s">
        <v>2753</v>
      </c>
      <c r="H733" s="36" t="s">
        <v>954</v>
      </c>
      <c r="I733" s="35" t="s">
        <v>2754</v>
      </c>
      <c r="J733" s="36" t="s">
        <v>914</v>
      </c>
      <c r="K733" s="33" t="s">
        <v>916</v>
      </c>
      <c r="L733" s="35" t="s">
        <v>916</v>
      </c>
      <c r="M733" s="36" t="s">
        <v>916</v>
      </c>
      <c r="N733" s="45">
        <v>46068.570138888892</v>
      </c>
      <c r="O733" s="36" t="s">
        <v>25</v>
      </c>
      <c r="P733" s="38">
        <v>2.0800231481</v>
      </c>
      <c r="Q733" s="39" t="s">
        <v>2303</v>
      </c>
      <c r="R733" s="35" t="s">
        <v>916</v>
      </c>
      <c r="S733" s="35"/>
      <c r="T733" s="35" t="s">
        <v>1701</v>
      </c>
      <c r="U733" s="40">
        <v>46067</v>
      </c>
      <c r="V733" s="41">
        <v>46153.532777777778</v>
      </c>
      <c r="W733" s="40">
        <v>46066</v>
      </c>
      <c r="X733" s="35" t="s">
        <v>916</v>
      </c>
      <c r="Y733" s="35" t="s">
        <v>916</v>
      </c>
      <c r="Z733" s="35" t="s">
        <v>916</v>
      </c>
      <c r="AA733" s="38">
        <v>49.920555554400003</v>
      </c>
      <c r="AB733" s="42" t="s">
        <v>916</v>
      </c>
      <c r="AC733" s="43" t="s">
        <v>916</v>
      </c>
      <c r="AD733" s="43" t="s">
        <v>916</v>
      </c>
      <c r="AE733" s="33" t="s">
        <v>916</v>
      </c>
      <c r="AF733" s="35" t="s">
        <v>916</v>
      </c>
      <c r="AG733" s="44">
        <v>0</v>
      </c>
      <c r="AH733" s="42" t="s">
        <v>916</v>
      </c>
      <c r="AI733" s="32" t="e">
        <f>VLOOKUP(A733,'4月明細'!B:B,1,0)</f>
        <v>#N/A</v>
      </c>
    </row>
    <row r="734" spans="1:35" ht="19.95" customHeight="1" x14ac:dyDescent="0.3">
      <c r="A734" s="33" t="s">
        <v>400</v>
      </c>
      <c r="B734" s="34">
        <v>46066.484849537039</v>
      </c>
      <c r="C734" s="34" t="str">
        <f t="shared" si="24"/>
        <v>202602</v>
      </c>
      <c r="D734" s="35" t="s">
        <v>986</v>
      </c>
      <c r="E734" s="36" t="s">
        <v>910</v>
      </c>
      <c r="F734" s="36" t="s">
        <v>935</v>
      </c>
      <c r="G734" s="37" t="s">
        <v>2755</v>
      </c>
      <c r="H734" s="36" t="s">
        <v>954</v>
      </c>
      <c r="I734" s="35"/>
      <c r="J734" s="36" t="s">
        <v>938</v>
      </c>
      <c r="K734" s="33" t="s">
        <v>916</v>
      </c>
      <c r="L734" s="35" t="s">
        <v>916</v>
      </c>
      <c r="M734" s="36" t="s">
        <v>916</v>
      </c>
      <c r="N734" s="45">
        <v>46068.551388888889</v>
      </c>
      <c r="O734" s="36" t="s">
        <v>25</v>
      </c>
      <c r="P734" s="38">
        <v>2.0665393518999999</v>
      </c>
      <c r="Q734" s="39" t="s">
        <v>1174</v>
      </c>
      <c r="R734" s="35" t="s">
        <v>916</v>
      </c>
      <c r="S734" s="35"/>
      <c r="T734" s="35" t="s">
        <v>1701</v>
      </c>
      <c r="U734" s="40">
        <v>46067</v>
      </c>
      <c r="V734" s="41">
        <v>46153.532777777778</v>
      </c>
      <c r="W734" s="40">
        <v>46066</v>
      </c>
      <c r="X734" s="35" t="s">
        <v>916</v>
      </c>
      <c r="Y734" s="35" t="s">
        <v>916</v>
      </c>
      <c r="Z734" s="35" t="s">
        <v>916</v>
      </c>
      <c r="AA734" s="38">
        <v>49.596944445600002</v>
      </c>
      <c r="AB734" s="42" t="s">
        <v>916</v>
      </c>
      <c r="AC734" s="43" t="s">
        <v>916</v>
      </c>
      <c r="AD734" s="43" t="s">
        <v>916</v>
      </c>
      <c r="AE734" s="33" t="s">
        <v>916</v>
      </c>
      <c r="AF734" s="35" t="s">
        <v>916</v>
      </c>
      <c r="AG734" s="44">
        <v>0</v>
      </c>
      <c r="AH734" s="42" t="s">
        <v>916</v>
      </c>
      <c r="AI734" s="32" t="e">
        <f>VLOOKUP(A734,'4月明細'!B:B,1,0)</f>
        <v>#N/A</v>
      </c>
    </row>
    <row r="735" spans="1:35" ht="19.95" customHeight="1" x14ac:dyDescent="0.3">
      <c r="A735" s="33" t="s">
        <v>2756</v>
      </c>
      <c r="B735" s="34">
        <v>46066.468055555553</v>
      </c>
      <c r="C735" s="34" t="str">
        <f t="shared" si="24"/>
        <v>202602</v>
      </c>
      <c r="D735" s="35" t="s">
        <v>1653</v>
      </c>
      <c r="E735" s="36" t="s">
        <v>934</v>
      </c>
      <c r="F735" s="36" t="s">
        <v>1740</v>
      </c>
      <c r="G735" s="37" t="s">
        <v>2757</v>
      </c>
      <c r="H735" s="36" t="s">
        <v>928</v>
      </c>
      <c r="I735" s="35" t="s">
        <v>2758</v>
      </c>
      <c r="J735" s="36" t="s">
        <v>929</v>
      </c>
      <c r="K735" s="33" t="s">
        <v>916</v>
      </c>
      <c r="L735" s="35" t="s">
        <v>916</v>
      </c>
      <c r="M735" s="36" t="s">
        <v>957</v>
      </c>
      <c r="N735" s="45">
        <v>46085.838194444441</v>
      </c>
      <c r="O735" s="36" t="s">
        <v>939</v>
      </c>
      <c r="P735" s="38">
        <v>19.370138888900001</v>
      </c>
      <c r="Q735" s="39" t="s">
        <v>2369</v>
      </c>
      <c r="R735" s="35" t="s">
        <v>916</v>
      </c>
      <c r="S735" s="35"/>
      <c r="T735" s="35" t="s">
        <v>1624</v>
      </c>
      <c r="U735" s="40">
        <v>46067</v>
      </c>
      <c r="V735" s="41">
        <v>46153.532777777778</v>
      </c>
      <c r="W735" s="40">
        <v>46066</v>
      </c>
      <c r="X735" s="40">
        <v>46153</v>
      </c>
      <c r="Y735" s="35" t="s">
        <v>916</v>
      </c>
      <c r="Z735" s="35" t="s">
        <v>916</v>
      </c>
      <c r="AA735" s="38">
        <v>464.88333333359998</v>
      </c>
      <c r="AB735" s="42" t="s">
        <v>916</v>
      </c>
      <c r="AC735" s="43" t="s">
        <v>916</v>
      </c>
      <c r="AD735" s="43" t="s">
        <v>916</v>
      </c>
      <c r="AE735" s="33" t="s">
        <v>916</v>
      </c>
      <c r="AF735" s="35" t="s">
        <v>916</v>
      </c>
      <c r="AG735" s="44">
        <v>491975.4</v>
      </c>
      <c r="AH735" s="42" t="s">
        <v>916</v>
      </c>
      <c r="AI735" s="32" t="e">
        <f>VLOOKUP(A735,'4月明細'!B:B,1,0)</f>
        <v>#N/A</v>
      </c>
    </row>
    <row r="736" spans="1:35" ht="19.95" customHeight="1" x14ac:dyDescent="0.3">
      <c r="A736" s="33" t="s">
        <v>399</v>
      </c>
      <c r="B736" s="34">
        <v>46065.943055555559</v>
      </c>
      <c r="C736" s="34" t="str">
        <f t="shared" si="24"/>
        <v>202602</v>
      </c>
      <c r="D736" s="35" t="s">
        <v>1653</v>
      </c>
      <c r="E736" s="36" t="s">
        <v>934</v>
      </c>
      <c r="F736" s="36" t="s">
        <v>1743</v>
      </c>
      <c r="G736" s="37" t="s">
        <v>2759</v>
      </c>
      <c r="H736" s="36" t="s">
        <v>954</v>
      </c>
      <c r="I736" s="35" t="s">
        <v>2760</v>
      </c>
      <c r="J736" s="36" t="s">
        <v>929</v>
      </c>
      <c r="K736" s="33" t="s">
        <v>916</v>
      </c>
      <c r="L736" s="35" t="s">
        <v>916</v>
      </c>
      <c r="M736" s="36" t="s">
        <v>957</v>
      </c>
      <c r="N736" s="45">
        <v>46068.49722222222</v>
      </c>
      <c r="O736" s="36" t="s">
        <v>25</v>
      </c>
      <c r="P736" s="38">
        <v>2.5541666667</v>
      </c>
      <c r="Q736" s="39" t="s">
        <v>2761</v>
      </c>
      <c r="R736" s="35" t="s">
        <v>916</v>
      </c>
      <c r="S736" s="35"/>
      <c r="T736" s="35" t="s">
        <v>1701</v>
      </c>
      <c r="U736" s="40">
        <v>46066</v>
      </c>
      <c r="V736" s="41">
        <v>46153.532777777778</v>
      </c>
      <c r="W736" s="40">
        <v>46066</v>
      </c>
      <c r="X736" s="35" t="s">
        <v>916</v>
      </c>
      <c r="Y736" s="35" t="s">
        <v>916</v>
      </c>
      <c r="Z736" s="35" t="s">
        <v>916</v>
      </c>
      <c r="AA736" s="38">
        <v>61.300000000799997</v>
      </c>
      <c r="AB736" s="42" t="s">
        <v>916</v>
      </c>
      <c r="AC736" s="43" t="s">
        <v>916</v>
      </c>
      <c r="AD736" s="43" t="s">
        <v>916</v>
      </c>
      <c r="AE736" s="33" t="s">
        <v>916</v>
      </c>
      <c r="AF736" s="35" t="s">
        <v>916</v>
      </c>
      <c r="AG736" s="44">
        <v>0</v>
      </c>
      <c r="AH736" s="42" t="s">
        <v>916</v>
      </c>
      <c r="AI736" s="32" t="e">
        <f>VLOOKUP(A736,'4月明細'!B:B,1,0)</f>
        <v>#N/A</v>
      </c>
    </row>
    <row r="737" spans="1:35" ht="19.95" customHeight="1" x14ac:dyDescent="0.3">
      <c r="A737" s="33" t="s">
        <v>398</v>
      </c>
      <c r="B737" s="34">
        <v>46065.723969907405</v>
      </c>
      <c r="C737" s="34" t="str">
        <f t="shared" si="24"/>
        <v>202602</v>
      </c>
      <c r="D737" s="35" t="s">
        <v>996</v>
      </c>
      <c r="E737" s="36" t="s">
        <v>910</v>
      </c>
      <c r="F737" s="36" t="s">
        <v>1316</v>
      </c>
      <c r="G737" s="37" t="s">
        <v>1993</v>
      </c>
      <c r="H737" s="36" t="s">
        <v>928</v>
      </c>
      <c r="I737" s="35" t="s">
        <v>2762</v>
      </c>
      <c r="J737" s="36" t="s">
        <v>929</v>
      </c>
      <c r="K737" s="33" t="s">
        <v>916</v>
      </c>
      <c r="L737" s="35" t="s">
        <v>916</v>
      </c>
      <c r="M737" s="36" t="s">
        <v>916</v>
      </c>
      <c r="N737" s="45">
        <v>46068.476388888892</v>
      </c>
      <c r="O737" s="36" t="s">
        <v>25</v>
      </c>
      <c r="P737" s="38">
        <v>2.7524189815</v>
      </c>
      <c r="Q737" s="39" t="s">
        <v>2763</v>
      </c>
      <c r="R737" s="35" t="s">
        <v>916</v>
      </c>
      <c r="S737" s="35"/>
      <c r="T737" s="35" t="s">
        <v>1701</v>
      </c>
      <c r="U737" s="40">
        <v>46066</v>
      </c>
      <c r="V737" s="41">
        <v>46153.532777777778</v>
      </c>
      <c r="W737" s="40">
        <v>46065</v>
      </c>
      <c r="X737" s="35" t="s">
        <v>916</v>
      </c>
      <c r="Y737" s="35" t="s">
        <v>916</v>
      </c>
      <c r="Z737" s="35" t="s">
        <v>916</v>
      </c>
      <c r="AA737" s="38">
        <v>66.058055555999999</v>
      </c>
      <c r="AB737" s="42" t="s">
        <v>916</v>
      </c>
      <c r="AC737" s="43" t="s">
        <v>916</v>
      </c>
      <c r="AD737" s="43" t="s">
        <v>916</v>
      </c>
      <c r="AE737" s="33" t="s">
        <v>916</v>
      </c>
      <c r="AF737" s="35" t="s">
        <v>916</v>
      </c>
      <c r="AG737" s="44">
        <v>0</v>
      </c>
      <c r="AH737" s="42" t="s">
        <v>916</v>
      </c>
      <c r="AI737" s="32" t="e">
        <f>VLOOKUP(A737,'4月明細'!B:B,1,0)</f>
        <v>#N/A</v>
      </c>
    </row>
    <row r="738" spans="1:35" ht="19.95" customHeight="1" x14ac:dyDescent="0.3">
      <c r="A738" s="33" t="s">
        <v>397</v>
      </c>
      <c r="B738" s="34">
        <v>46065.657905092594</v>
      </c>
      <c r="C738" s="34" t="str">
        <f t="shared" si="24"/>
        <v>202602</v>
      </c>
      <c r="D738" s="35" t="s">
        <v>996</v>
      </c>
      <c r="E738" s="36" t="s">
        <v>910</v>
      </c>
      <c r="F738" s="36" t="s">
        <v>911</v>
      </c>
      <c r="G738" s="37" t="s">
        <v>2764</v>
      </c>
      <c r="H738" s="36" t="s">
        <v>928</v>
      </c>
      <c r="I738" s="35" t="s">
        <v>2765</v>
      </c>
      <c r="J738" s="36" t="s">
        <v>929</v>
      </c>
      <c r="K738" s="33" t="s">
        <v>916</v>
      </c>
      <c r="L738" s="35" t="s">
        <v>916</v>
      </c>
      <c r="M738" s="36" t="s">
        <v>916</v>
      </c>
      <c r="N738" s="45">
        <v>46068.493750000001</v>
      </c>
      <c r="O738" s="36" t="s">
        <v>25</v>
      </c>
      <c r="P738" s="38">
        <v>2.8358449073999998</v>
      </c>
      <c r="Q738" s="39" t="s">
        <v>2303</v>
      </c>
      <c r="R738" s="35" t="s">
        <v>916</v>
      </c>
      <c r="S738" s="35"/>
      <c r="T738" s="35" t="s">
        <v>1701</v>
      </c>
      <c r="U738" s="40">
        <v>46066</v>
      </c>
      <c r="V738" s="41">
        <v>46153.532777777778</v>
      </c>
      <c r="W738" s="40">
        <v>46065</v>
      </c>
      <c r="X738" s="35" t="s">
        <v>916</v>
      </c>
      <c r="Y738" s="35" t="s">
        <v>916</v>
      </c>
      <c r="Z738" s="35" t="s">
        <v>916</v>
      </c>
      <c r="AA738" s="38">
        <v>68.060277777600007</v>
      </c>
      <c r="AB738" s="42" t="s">
        <v>916</v>
      </c>
      <c r="AC738" s="43" t="s">
        <v>916</v>
      </c>
      <c r="AD738" s="43" t="s">
        <v>916</v>
      </c>
      <c r="AE738" s="33" t="s">
        <v>916</v>
      </c>
      <c r="AF738" s="35" t="s">
        <v>916</v>
      </c>
      <c r="AG738" s="44">
        <v>0</v>
      </c>
      <c r="AH738" s="42" t="s">
        <v>916</v>
      </c>
      <c r="AI738" s="32" t="e">
        <f>VLOOKUP(A738,'4月明細'!B:B,1,0)</f>
        <v>#N/A</v>
      </c>
    </row>
    <row r="739" spans="1:35" ht="19.95" customHeight="1" x14ac:dyDescent="0.3">
      <c r="A739" s="33" t="s">
        <v>396</v>
      </c>
      <c r="B739" s="34">
        <v>46065.656828703701</v>
      </c>
      <c r="C739" s="34" t="str">
        <f t="shared" si="24"/>
        <v>202602</v>
      </c>
      <c r="D739" s="35" t="s">
        <v>996</v>
      </c>
      <c r="E739" s="36" t="s">
        <v>910</v>
      </c>
      <c r="F739" s="36" t="s">
        <v>911</v>
      </c>
      <c r="G739" s="37" t="s">
        <v>1796</v>
      </c>
      <c r="H739" s="36" t="s">
        <v>928</v>
      </c>
      <c r="I739" s="35"/>
      <c r="J739" s="36" t="s">
        <v>929</v>
      </c>
      <c r="K739" s="33" t="s">
        <v>916</v>
      </c>
      <c r="L739" s="35" t="s">
        <v>916</v>
      </c>
      <c r="M739" s="36" t="s">
        <v>916</v>
      </c>
      <c r="N739" s="45">
        <v>46068.493055555555</v>
      </c>
      <c r="O739" s="36" t="s">
        <v>25</v>
      </c>
      <c r="P739" s="38">
        <v>2.8362268518999998</v>
      </c>
      <c r="Q739" s="39" t="s">
        <v>1328</v>
      </c>
      <c r="R739" s="35" t="s">
        <v>916</v>
      </c>
      <c r="S739" s="35"/>
      <c r="T739" s="35" t="s">
        <v>1701</v>
      </c>
      <c r="U739" s="40">
        <v>46066</v>
      </c>
      <c r="V739" s="41">
        <v>46153.532789351855</v>
      </c>
      <c r="W739" s="40">
        <v>46065</v>
      </c>
      <c r="X739" s="35" t="s">
        <v>916</v>
      </c>
      <c r="Y739" s="35" t="s">
        <v>916</v>
      </c>
      <c r="Z739" s="35" t="s">
        <v>916</v>
      </c>
      <c r="AA739" s="38">
        <v>68.069444445599999</v>
      </c>
      <c r="AB739" s="42" t="s">
        <v>916</v>
      </c>
      <c r="AC739" s="43" t="s">
        <v>916</v>
      </c>
      <c r="AD739" s="43" t="s">
        <v>916</v>
      </c>
      <c r="AE739" s="33" t="s">
        <v>916</v>
      </c>
      <c r="AF739" s="35" t="s">
        <v>916</v>
      </c>
      <c r="AG739" s="44">
        <v>0</v>
      </c>
      <c r="AH739" s="42" t="s">
        <v>916</v>
      </c>
      <c r="AI739" s="32" t="e">
        <f>VLOOKUP(A739,'4月明細'!B:B,1,0)</f>
        <v>#N/A</v>
      </c>
    </row>
    <row r="740" spans="1:35" ht="19.95" customHeight="1" x14ac:dyDescent="0.3">
      <c r="A740" s="33" t="s">
        <v>395</v>
      </c>
      <c r="B740" s="34">
        <v>46065.652314814812</v>
      </c>
      <c r="C740" s="34" t="str">
        <f t="shared" si="24"/>
        <v>202602</v>
      </c>
      <c r="D740" s="35" t="s">
        <v>996</v>
      </c>
      <c r="E740" s="36" t="s">
        <v>910</v>
      </c>
      <c r="F740" s="36" t="s">
        <v>1213</v>
      </c>
      <c r="G740" s="37" t="s">
        <v>1796</v>
      </c>
      <c r="H740" s="36" t="s">
        <v>928</v>
      </c>
      <c r="I740" s="35"/>
      <c r="J740" s="36" t="s">
        <v>929</v>
      </c>
      <c r="K740" s="33" t="s">
        <v>916</v>
      </c>
      <c r="L740" s="35" t="s">
        <v>916</v>
      </c>
      <c r="M740" s="36" t="s">
        <v>916</v>
      </c>
      <c r="N740" s="45">
        <v>46068.481249999997</v>
      </c>
      <c r="O740" s="36" t="s">
        <v>25</v>
      </c>
      <c r="P740" s="38">
        <v>2.8289351852000002</v>
      </c>
      <c r="Q740" s="39" t="s">
        <v>2766</v>
      </c>
      <c r="R740" s="35" t="s">
        <v>916</v>
      </c>
      <c r="S740" s="35"/>
      <c r="T740" s="35" t="s">
        <v>1701</v>
      </c>
      <c r="U740" s="40">
        <v>46066</v>
      </c>
      <c r="V740" s="41">
        <v>46153.532789351855</v>
      </c>
      <c r="W740" s="40">
        <v>46065</v>
      </c>
      <c r="X740" s="35" t="s">
        <v>916</v>
      </c>
      <c r="Y740" s="35" t="s">
        <v>916</v>
      </c>
      <c r="Z740" s="35" t="s">
        <v>916</v>
      </c>
      <c r="AA740" s="38">
        <v>67.894444444800001</v>
      </c>
      <c r="AB740" s="42" t="s">
        <v>916</v>
      </c>
      <c r="AC740" s="43" t="s">
        <v>916</v>
      </c>
      <c r="AD740" s="43" t="s">
        <v>916</v>
      </c>
      <c r="AE740" s="33" t="s">
        <v>916</v>
      </c>
      <c r="AF740" s="35" t="s">
        <v>916</v>
      </c>
      <c r="AG740" s="44">
        <v>0</v>
      </c>
      <c r="AH740" s="42" t="s">
        <v>916</v>
      </c>
      <c r="AI740" s="32" t="e">
        <f>VLOOKUP(A740,'4月明細'!B:B,1,0)</f>
        <v>#N/A</v>
      </c>
    </row>
    <row r="741" spans="1:35" ht="19.95" customHeight="1" x14ac:dyDescent="0.3">
      <c r="A741" s="33" t="s">
        <v>394</v>
      </c>
      <c r="B741" s="34">
        <v>46065.636782407404</v>
      </c>
      <c r="C741" s="34" t="str">
        <f t="shared" si="24"/>
        <v>202602</v>
      </c>
      <c r="D741" s="35" t="s">
        <v>996</v>
      </c>
      <c r="E741" s="36" t="s">
        <v>910</v>
      </c>
      <c r="F741" s="36" t="s">
        <v>1507</v>
      </c>
      <c r="G741" s="37" t="s">
        <v>2767</v>
      </c>
      <c r="H741" s="36" t="s">
        <v>954</v>
      </c>
      <c r="I741" s="35"/>
      <c r="J741" s="36" t="s">
        <v>929</v>
      </c>
      <c r="K741" s="33" t="s">
        <v>916</v>
      </c>
      <c r="L741" s="35" t="s">
        <v>916</v>
      </c>
      <c r="M741" s="36" t="s">
        <v>916</v>
      </c>
      <c r="N741" s="45">
        <v>46068.477777777778</v>
      </c>
      <c r="O741" s="36" t="s">
        <v>25</v>
      </c>
      <c r="P741" s="38">
        <v>2.8409953703999999</v>
      </c>
      <c r="Q741" s="39" t="s">
        <v>2768</v>
      </c>
      <c r="R741" s="35" t="s">
        <v>916</v>
      </c>
      <c r="S741" s="35"/>
      <c r="T741" s="35" t="s">
        <v>1701</v>
      </c>
      <c r="U741" s="40">
        <v>46066</v>
      </c>
      <c r="V741" s="41">
        <v>46153.532789351855</v>
      </c>
      <c r="W741" s="40">
        <v>46065</v>
      </c>
      <c r="X741" s="35" t="s">
        <v>916</v>
      </c>
      <c r="Y741" s="35" t="s">
        <v>916</v>
      </c>
      <c r="Z741" s="35" t="s">
        <v>916</v>
      </c>
      <c r="AA741" s="38">
        <v>68.183888889599999</v>
      </c>
      <c r="AB741" s="42" t="s">
        <v>916</v>
      </c>
      <c r="AC741" s="43" t="s">
        <v>916</v>
      </c>
      <c r="AD741" s="43" t="s">
        <v>916</v>
      </c>
      <c r="AE741" s="33" t="s">
        <v>916</v>
      </c>
      <c r="AF741" s="35" t="s">
        <v>916</v>
      </c>
      <c r="AG741" s="44">
        <v>0</v>
      </c>
      <c r="AH741" s="42" t="s">
        <v>916</v>
      </c>
      <c r="AI741" s="32" t="e">
        <f>VLOOKUP(A741,'4月明細'!B:B,1,0)</f>
        <v>#N/A</v>
      </c>
    </row>
    <row r="742" spans="1:35" ht="19.95" customHeight="1" x14ac:dyDescent="0.3">
      <c r="A742" s="33" t="s">
        <v>393</v>
      </c>
      <c r="B742" s="34">
        <v>46065.569548611114</v>
      </c>
      <c r="C742" s="34" t="str">
        <f t="shared" si="24"/>
        <v>202602</v>
      </c>
      <c r="D742" s="35" t="s">
        <v>951</v>
      </c>
      <c r="E742" s="36" t="s">
        <v>910</v>
      </c>
      <c r="F742" s="36" t="s">
        <v>1768</v>
      </c>
      <c r="G742" s="37" t="s">
        <v>2769</v>
      </c>
      <c r="H742" s="36" t="s">
        <v>954</v>
      </c>
      <c r="I742" s="35" t="s">
        <v>2770</v>
      </c>
      <c r="J742" s="36" t="s">
        <v>929</v>
      </c>
      <c r="K742" s="33" t="s">
        <v>916</v>
      </c>
      <c r="L742" s="35" t="s">
        <v>916</v>
      </c>
      <c r="M742" s="36" t="s">
        <v>916</v>
      </c>
      <c r="N742" s="45">
        <v>46065.618055555555</v>
      </c>
      <c r="O742" s="36" t="s">
        <v>25</v>
      </c>
      <c r="P742" s="38">
        <v>4.8506944400000002E-2</v>
      </c>
      <c r="Q742" s="39" t="s">
        <v>2771</v>
      </c>
      <c r="R742" s="35" t="s">
        <v>916</v>
      </c>
      <c r="S742" s="35" t="s">
        <v>2772</v>
      </c>
      <c r="T742" s="35" t="s">
        <v>1624</v>
      </c>
      <c r="U742" s="40">
        <v>46066</v>
      </c>
      <c r="V742" s="41">
        <v>46153.532789351855</v>
      </c>
      <c r="W742" s="40">
        <v>46065</v>
      </c>
      <c r="X742" s="35" t="s">
        <v>916</v>
      </c>
      <c r="Y742" s="35" t="s">
        <v>916</v>
      </c>
      <c r="Z742" s="35" t="s">
        <v>916</v>
      </c>
      <c r="AA742" s="38">
        <v>1.1641666656</v>
      </c>
      <c r="AB742" s="42" t="s">
        <v>916</v>
      </c>
      <c r="AC742" s="43" t="s">
        <v>916</v>
      </c>
      <c r="AD742" s="43" t="s">
        <v>916</v>
      </c>
      <c r="AE742" s="33" t="s">
        <v>916</v>
      </c>
      <c r="AF742" s="35" t="s">
        <v>916</v>
      </c>
      <c r="AG742" s="44">
        <v>491918.85</v>
      </c>
      <c r="AH742" s="42" t="s">
        <v>916</v>
      </c>
      <c r="AI742" s="32" t="e">
        <f>VLOOKUP(A742,'4月明細'!B:B,1,0)</f>
        <v>#N/A</v>
      </c>
    </row>
    <row r="743" spans="1:35" ht="19.95" customHeight="1" x14ac:dyDescent="0.3">
      <c r="A743" s="33" t="s">
        <v>392</v>
      </c>
      <c r="B743" s="34">
        <v>46065.524618055555</v>
      </c>
      <c r="C743" s="34" t="str">
        <f t="shared" si="24"/>
        <v>202602</v>
      </c>
      <c r="D743" s="35" t="s">
        <v>996</v>
      </c>
      <c r="E743" s="36" t="s">
        <v>910</v>
      </c>
      <c r="F743" s="36" t="s">
        <v>1534</v>
      </c>
      <c r="G743" s="37" t="s">
        <v>1444</v>
      </c>
      <c r="H743" s="36" t="s">
        <v>954</v>
      </c>
      <c r="I743" s="35"/>
      <c r="J743" s="36" t="s">
        <v>929</v>
      </c>
      <c r="K743" s="33" t="s">
        <v>916</v>
      </c>
      <c r="L743" s="35" t="s">
        <v>916</v>
      </c>
      <c r="M743" s="36" t="s">
        <v>957</v>
      </c>
      <c r="N743" s="45">
        <v>46065.619444444441</v>
      </c>
      <c r="O743" s="36" t="s">
        <v>25</v>
      </c>
      <c r="P743" s="38">
        <v>9.4826388900000003E-2</v>
      </c>
      <c r="Q743" s="39" t="s">
        <v>2773</v>
      </c>
      <c r="R743" s="35" t="s">
        <v>916</v>
      </c>
      <c r="S743" s="35"/>
      <c r="T743" s="35" t="s">
        <v>1624</v>
      </c>
      <c r="U743" s="40">
        <v>46066</v>
      </c>
      <c r="V743" s="41">
        <v>46153.532789351855</v>
      </c>
      <c r="W743" s="40">
        <v>46065</v>
      </c>
      <c r="X743" s="35" t="s">
        <v>916</v>
      </c>
      <c r="Y743" s="35" t="s">
        <v>916</v>
      </c>
      <c r="Z743" s="35" t="s">
        <v>916</v>
      </c>
      <c r="AA743" s="38">
        <v>2.2758333336000001</v>
      </c>
      <c r="AB743" s="42" t="s">
        <v>916</v>
      </c>
      <c r="AC743" s="43" t="s">
        <v>916</v>
      </c>
      <c r="AD743" s="43" t="s">
        <v>916</v>
      </c>
      <c r="AE743" s="33" t="s">
        <v>916</v>
      </c>
      <c r="AF743" s="35" t="s">
        <v>916</v>
      </c>
      <c r="AG743" s="44">
        <v>491918.8666666667</v>
      </c>
      <c r="AH743" s="42" t="s">
        <v>916</v>
      </c>
      <c r="AI743" s="32" t="e">
        <f>VLOOKUP(A743,'4月明細'!B:B,1,0)</f>
        <v>#N/A</v>
      </c>
    </row>
    <row r="744" spans="1:35" ht="19.95" customHeight="1" x14ac:dyDescent="0.3">
      <c r="A744" s="33" t="s">
        <v>391</v>
      </c>
      <c r="B744" s="34">
        <v>46065.486504629633</v>
      </c>
      <c r="C744" s="34" t="str">
        <f t="shared" si="24"/>
        <v>202602</v>
      </c>
      <c r="D744" s="35" t="s">
        <v>996</v>
      </c>
      <c r="E744" s="36" t="s">
        <v>910</v>
      </c>
      <c r="F744" s="36" t="s">
        <v>1316</v>
      </c>
      <c r="G744" s="37" t="s">
        <v>2774</v>
      </c>
      <c r="H744" s="36" t="s">
        <v>954</v>
      </c>
      <c r="I744" s="35"/>
      <c r="J744" s="36" t="s">
        <v>929</v>
      </c>
      <c r="K744" s="33" t="s">
        <v>916</v>
      </c>
      <c r="L744" s="35" t="s">
        <v>916</v>
      </c>
      <c r="M744" s="36" t="s">
        <v>957</v>
      </c>
      <c r="N744" s="45">
        <v>46065.618750000001</v>
      </c>
      <c r="O744" s="36" t="s">
        <v>25</v>
      </c>
      <c r="P744" s="38">
        <v>0.13224537040000001</v>
      </c>
      <c r="Q744" s="39" t="s">
        <v>2775</v>
      </c>
      <c r="R744" s="35" t="s">
        <v>916</v>
      </c>
      <c r="S744" s="35"/>
      <c r="T744" s="35" t="s">
        <v>1624</v>
      </c>
      <c r="U744" s="40">
        <v>46066</v>
      </c>
      <c r="V744" s="41">
        <v>46153.532789351855</v>
      </c>
      <c r="W744" s="40">
        <v>46065</v>
      </c>
      <c r="X744" s="35" t="s">
        <v>916</v>
      </c>
      <c r="Y744" s="35" t="s">
        <v>916</v>
      </c>
      <c r="Z744" s="35" t="s">
        <v>916</v>
      </c>
      <c r="AA744" s="38">
        <v>3.1738888896000002</v>
      </c>
      <c r="AB744" s="42" t="s">
        <v>916</v>
      </c>
      <c r="AC744" s="43" t="s">
        <v>916</v>
      </c>
      <c r="AD744" s="43" t="s">
        <v>916</v>
      </c>
      <c r="AE744" s="33" t="s">
        <v>916</v>
      </c>
      <c r="AF744" s="35" t="s">
        <v>916</v>
      </c>
      <c r="AG744" s="44">
        <v>491918.85</v>
      </c>
      <c r="AH744" s="42" t="s">
        <v>916</v>
      </c>
      <c r="AI744" s="32" t="e">
        <f>VLOOKUP(A744,'4月明細'!B:B,1,0)</f>
        <v>#N/A</v>
      </c>
    </row>
    <row r="745" spans="1:35" ht="19.95" customHeight="1" x14ac:dyDescent="0.3">
      <c r="A745" s="33" t="s">
        <v>390</v>
      </c>
      <c r="B745" s="34">
        <v>46065.48228009259</v>
      </c>
      <c r="C745" s="34" t="str">
        <f t="shared" si="24"/>
        <v>202602</v>
      </c>
      <c r="D745" s="35" t="s">
        <v>951</v>
      </c>
      <c r="E745" s="36" t="s">
        <v>910</v>
      </c>
      <c r="F745" s="36" t="s">
        <v>1870</v>
      </c>
      <c r="G745" s="37" t="s">
        <v>2776</v>
      </c>
      <c r="H745" s="36" t="s">
        <v>954</v>
      </c>
      <c r="I745" s="35" t="s">
        <v>2777</v>
      </c>
      <c r="J745" s="36" t="s">
        <v>929</v>
      </c>
      <c r="K745" s="33" t="s">
        <v>916</v>
      </c>
      <c r="L745" s="35" t="s">
        <v>916</v>
      </c>
      <c r="M745" s="36" t="s">
        <v>916</v>
      </c>
      <c r="N745" s="45">
        <v>46068.477777777778</v>
      </c>
      <c r="O745" s="36" t="s">
        <v>25</v>
      </c>
      <c r="P745" s="38">
        <v>2.9954976852000001</v>
      </c>
      <c r="Q745" s="39" t="s">
        <v>2778</v>
      </c>
      <c r="R745" s="35" t="s">
        <v>916</v>
      </c>
      <c r="S745" s="35"/>
      <c r="T745" s="35" t="s">
        <v>1701</v>
      </c>
      <c r="U745" s="40">
        <v>46066</v>
      </c>
      <c r="V745" s="41">
        <v>46153.532789351855</v>
      </c>
      <c r="W745" s="40">
        <v>46065</v>
      </c>
      <c r="X745" s="35" t="s">
        <v>916</v>
      </c>
      <c r="Y745" s="35" t="s">
        <v>916</v>
      </c>
      <c r="Z745" s="35" t="s">
        <v>916</v>
      </c>
      <c r="AA745" s="38">
        <v>71.891944444800004</v>
      </c>
      <c r="AB745" s="42" t="s">
        <v>916</v>
      </c>
      <c r="AC745" s="43" t="s">
        <v>916</v>
      </c>
      <c r="AD745" s="43" t="s">
        <v>916</v>
      </c>
      <c r="AE745" s="33" t="s">
        <v>916</v>
      </c>
      <c r="AF745" s="35" t="s">
        <v>916</v>
      </c>
      <c r="AG745" s="44">
        <v>0</v>
      </c>
      <c r="AH745" s="42" t="s">
        <v>916</v>
      </c>
      <c r="AI745" s="32" t="e">
        <f>VLOOKUP(A745,'4月明細'!B:B,1,0)</f>
        <v>#N/A</v>
      </c>
    </row>
    <row r="746" spans="1:35" ht="19.95" customHeight="1" x14ac:dyDescent="0.3">
      <c r="A746" s="33" t="s">
        <v>2779</v>
      </c>
      <c r="B746" s="34">
        <v>46065.472222222219</v>
      </c>
      <c r="C746" s="34" t="str">
        <f t="shared" si="24"/>
        <v>202602</v>
      </c>
      <c r="D746" s="35" t="s">
        <v>1653</v>
      </c>
      <c r="E746" s="36" t="s">
        <v>934</v>
      </c>
      <c r="F746" s="36" t="s">
        <v>1743</v>
      </c>
      <c r="G746" s="37" t="s">
        <v>2780</v>
      </c>
      <c r="H746" s="36" t="s">
        <v>928</v>
      </c>
      <c r="I746" s="35"/>
      <c r="J746" s="36" t="s">
        <v>929</v>
      </c>
      <c r="K746" s="33" t="s">
        <v>916</v>
      </c>
      <c r="L746" s="35" t="s">
        <v>916</v>
      </c>
      <c r="M746" s="36" t="s">
        <v>916</v>
      </c>
      <c r="N746" s="45">
        <v>46083.652083333334</v>
      </c>
      <c r="O746" s="36" t="s">
        <v>918</v>
      </c>
      <c r="P746" s="38">
        <v>18.179861111099999</v>
      </c>
      <c r="Q746" s="39" t="s">
        <v>1404</v>
      </c>
      <c r="R746" s="35" t="s">
        <v>916</v>
      </c>
      <c r="S746" s="35"/>
      <c r="T746" s="35" t="s">
        <v>1624</v>
      </c>
      <c r="U746" s="40">
        <v>46066</v>
      </c>
      <c r="V746" s="41">
        <v>46153.532789351855</v>
      </c>
      <c r="W746" s="40">
        <v>46065</v>
      </c>
      <c r="X746" s="35" t="s">
        <v>916</v>
      </c>
      <c r="Y746" s="35" t="s">
        <v>916</v>
      </c>
      <c r="Z746" s="35" t="s">
        <v>916</v>
      </c>
      <c r="AA746" s="38">
        <v>436.31666666640001</v>
      </c>
      <c r="AB746" s="42" t="s">
        <v>916</v>
      </c>
      <c r="AC746" s="43" t="s">
        <v>916</v>
      </c>
      <c r="AD746" s="43" t="s">
        <v>916</v>
      </c>
      <c r="AE746" s="33" t="s">
        <v>916</v>
      </c>
      <c r="AF746" s="35" t="s">
        <v>916</v>
      </c>
      <c r="AG746" s="44">
        <v>0</v>
      </c>
      <c r="AH746" s="42" t="s">
        <v>916</v>
      </c>
      <c r="AI746" s="32" t="e">
        <f>VLOOKUP(A746,'4月明細'!B:B,1,0)</f>
        <v>#N/A</v>
      </c>
    </row>
    <row r="747" spans="1:35" ht="19.95" customHeight="1" x14ac:dyDescent="0.3">
      <c r="A747" s="33" t="s">
        <v>389</v>
      </c>
      <c r="B747" s="34">
        <v>46065.471898148149</v>
      </c>
      <c r="C747" s="34" t="str">
        <f t="shared" si="24"/>
        <v>202602</v>
      </c>
      <c r="D747" s="35" t="s">
        <v>951</v>
      </c>
      <c r="E747" s="36" t="s">
        <v>910</v>
      </c>
      <c r="F747" s="36" t="s">
        <v>1121</v>
      </c>
      <c r="G747" s="37" t="s">
        <v>2781</v>
      </c>
      <c r="H747" s="36" t="s">
        <v>928</v>
      </c>
      <c r="I747" s="35"/>
      <c r="J747" s="36" t="s">
        <v>929</v>
      </c>
      <c r="K747" s="33" t="s">
        <v>916</v>
      </c>
      <c r="L747" s="35" t="s">
        <v>916</v>
      </c>
      <c r="M747" s="36" t="s">
        <v>957</v>
      </c>
      <c r="N747" s="45">
        <v>46065.495833333334</v>
      </c>
      <c r="O747" s="36" t="s">
        <v>25</v>
      </c>
      <c r="P747" s="38">
        <v>2.39351852E-2</v>
      </c>
      <c r="Q747" s="39" t="s">
        <v>2782</v>
      </c>
      <c r="R747" s="35" t="s">
        <v>916</v>
      </c>
      <c r="S747" s="35"/>
      <c r="T747" s="35" t="s">
        <v>1624</v>
      </c>
      <c r="U747" s="40">
        <v>46066</v>
      </c>
      <c r="V747" s="41">
        <v>46153.532789351855</v>
      </c>
      <c r="W747" s="40">
        <v>46065</v>
      </c>
      <c r="X747" s="35" t="s">
        <v>916</v>
      </c>
      <c r="Y747" s="35" t="s">
        <v>916</v>
      </c>
      <c r="Z747" s="35" t="s">
        <v>916</v>
      </c>
      <c r="AA747" s="38">
        <v>0.57444444480000001</v>
      </c>
      <c r="AB747" s="42" t="s">
        <v>916</v>
      </c>
      <c r="AC747" s="43" t="s">
        <v>916</v>
      </c>
      <c r="AD747" s="43" t="s">
        <v>916</v>
      </c>
      <c r="AE747" s="33" t="s">
        <v>916</v>
      </c>
      <c r="AF747" s="35" t="s">
        <v>916</v>
      </c>
      <c r="AG747" s="44">
        <v>491915.9</v>
      </c>
      <c r="AH747" s="42" t="s">
        <v>916</v>
      </c>
      <c r="AI747" s="32" t="e">
        <f>VLOOKUP(A747,'4月明細'!B:B,1,0)</f>
        <v>#N/A</v>
      </c>
    </row>
    <row r="748" spans="1:35" ht="19.95" customHeight="1" x14ac:dyDescent="0.3">
      <c r="A748" s="33" t="s">
        <v>388</v>
      </c>
      <c r="B748" s="34">
        <v>46065.466458333336</v>
      </c>
      <c r="C748" s="34" t="str">
        <f t="shared" si="24"/>
        <v>202602</v>
      </c>
      <c r="D748" s="35" t="s">
        <v>951</v>
      </c>
      <c r="E748" s="36" t="s">
        <v>910</v>
      </c>
      <c r="F748" s="36" t="s">
        <v>976</v>
      </c>
      <c r="G748" s="37" t="s">
        <v>2783</v>
      </c>
      <c r="H748" s="36" t="s">
        <v>928</v>
      </c>
      <c r="I748" s="35"/>
      <c r="J748" s="36" t="s">
        <v>914</v>
      </c>
      <c r="K748" s="33" t="s">
        <v>916</v>
      </c>
      <c r="L748" s="35" t="s">
        <v>916</v>
      </c>
      <c r="M748" s="36" t="s">
        <v>957</v>
      </c>
      <c r="N748" s="45">
        <v>46065.495833333334</v>
      </c>
      <c r="O748" s="36" t="s">
        <v>25</v>
      </c>
      <c r="P748" s="38">
        <v>2.9374999999999998E-2</v>
      </c>
      <c r="Q748" s="39" t="s">
        <v>2784</v>
      </c>
      <c r="R748" s="35" t="s">
        <v>916</v>
      </c>
      <c r="S748" s="35"/>
      <c r="T748" s="35" t="s">
        <v>1624</v>
      </c>
      <c r="U748" s="40">
        <v>46066</v>
      </c>
      <c r="V748" s="41">
        <v>46153.532789351855</v>
      </c>
      <c r="W748" s="40">
        <v>46065</v>
      </c>
      <c r="X748" s="35" t="s">
        <v>916</v>
      </c>
      <c r="Y748" s="35" t="s">
        <v>916</v>
      </c>
      <c r="Z748" s="35" t="s">
        <v>916</v>
      </c>
      <c r="AA748" s="38">
        <v>0.70499999999999996</v>
      </c>
      <c r="AB748" s="42" t="s">
        <v>916</v>
      </c>
      <c r="AC748" s="43" t="s">
        <v>916</v>
      </c>
      <c r="AD748" s="43" t="s">
        <v>916</v>
      </c>
      <c r="AE748" s="33" t="s">
        <v>916</v>
      </c>
      <c r="AF748" s="35" t="s">
        <v>916</v>
      </c>
      <c r="AG748" s="44">
        <v>491915.9</v>
      </c>
      <c r="AH748" s="42" t="s">
        <v>916</v>
      </c>
      <c r="AI748" s="32" t="e">
        <f>VLOOKUP(A748,'4月明細'!B:B,1,0)</f>
        <v>#N/A</v>
      </c>
    </row>
    <row r="749" spans="1:35" ht="19.95" customHeight="1" x14ac:dyDescent="0.3">
      <c r="A749" s="33" t="s">
        <v>387</v>
      </c>
      <c r="B749" s="34">
        <v>46064.74291666667</v>
      </c>
      <c r="C749" s="34" t="str">
        <f t="shared" si="24"/>
        <v>202602</v>
      </c>
      <c r="D749" s="35" t="s">
        <v>951</v>
      </c>
      <c r="E749" s="36" t="s">
        <v>910</v>
      </c>
      <c r="F749" s="36" t="s">
        <v>1093</v>
      </c>
      <c r="G749" s="37" t="s">
        <v>2785</v>
      </c>
      <c r="H749" s="36" t="s">
        <v>954</v>
      </c>
      <c r="I749" s="35" t="s">
        <v>2786</v>
      </c>
      <c r="J749" s="36" t="s">
        <v>929</v>
      </c>
      <c r="K749" s="33" t="s">
        <v>916</v>
      </c>
      <c r="L749" s="35" t="s">
        <v>916</v>
      </c>
      <c r="M749" s="36" t="s">
        <v>957</v>
      </c>
      <c r="N749" s="45">
        <v>46065.477777777778</v>
      </c>
      <c r="O749" s="36" t="s">
        <v>25</v>
      </c>
      <c r="P749" s="38">
        <v>0.73486111109999996</v>
      </c>
      <c r="Q749" s="39" t="s">
        <v>2787</v>
      </c>
      <c r="R749" s="35" t="s">
        <v>916</v>
      </c>
      <c r="S749" s="35" t="s">
        <v>2788</v>
      </c>
      <c r="T749" s="35" t="s">
        <v>1624</v>
      </c>
      <c r="U749" s="40">
        <v>46065</v>
      </c>
      <c r="V749" s="41">
        <v>46153.532789351855</v>
      </c>
      <c r="W749" s="40">
        <v>46064</v>
      </c>
      <c r="X749" s="35" t="s">
        <v>916</v>
      </c>
      <c r="Y749" s="35" t="s">
        <v>916</v>
      </c>
      <c r="Z749" s="35" t="s">
        <v>916</v>
      </c>
      <c r="AA749" s="38">
        <v>17.6366666664</v>
      </c>
      <c r="AB749" s="42" t="s">
        <v>916</v>
      </c>
      <c r="AC749" s="43" t="s">
        <v>916</v>
      </c>
      <c r="AD749" s="43" t="s">
        <v>916</v>
      </c>
      <c r="AE749" s="33" t="s">
        <v>916</v>
      </c>
      <c r="AF749" s="35" t="s">
        <v>916</v>
      </c>
      <c r="AG749" s="44">
        <v>491915.46666666667</v>
      </c>
      <c r="AH749" s="42" t="s">
        <v>916</v>
      </c>
      <c r="AI749" s="32" t="e">
        <f>VLOOKUP(A749,'4月明細'!B:B,1,0)</f>
        <v>#N/A</v>
      </c>
    </row>
    <row r="750" spans="1:35" ht="19.95" customHeight="1" x14ac:dyDescent="0.3">
      <c r="A750" s="33" t="s">
        <v>386</v>
      </c>
      <c r="B750" s="34">
        <v>46064.690729166665</v>
      </c>
      <c r="C750" s="34" t="str">
        <f t="shared" si="24"/>
        <v>202602</v>
      </c>
      <c r="D750" s="35" t="s">
        <v>2278</v>
      </c>
      <c r="E750" s="36" t="s">
        <v>910</v>
      </c>
      <c r="F750" s="36" t="s">
        <v>1621</v>
      </c>
      <c r="G750" s="37" t="s">
        <v>1096</v>
      </c>
      <c r="H750" s="36" t="s">
        <v>928</v>
      </c>
      <c r="I750" s="35"/>
      <c r="J750" s="36" t="s">
        <v>929</v>
      </c>
      <c r="K750" s="33" t="s">
        <v>916</v>
      </c>
      <c r="L750" s="35" t="s">
        <v>916</v>
      </c>
      <c r="M750" s="36" t="s">
        <v>916</v>
      </c>
      <c r="N750" s="45">
        <v>46065.496527777781</v>
      </c>
      <c r="O750" s="36" t="s">
        <v>25</v>
      </c>
      <c r="P750" s="38">
        <v>0.80579861109999995</v>
      </c>
      <c r="Q750" s="39" t="s">
        <v>2789</v>
      </c>
      <c r="R750" s="35" t="s">
        <v>916</v>
      </c>
      <c r="S750" s="35"/>
      <c r="T750" s="35" t="s">
        <v>1624</v>
      </c>
      <c r="U750" s="40">
        <v>46065</v>
      </c>
      <c r="V750" s="41">
        <v>46153.532789351855</v>
      </c>
      <c r="W750" s="40">
        <v>46064</v>
      </c>
      <c r="X750" s="35" t="s">
        <v>916</v>
      </c>
      <c r="Y750" s="35" t="s">
        <v>916</v>
      </c>
      <c r="Z750" s="35" t="s">
        <v>916</v>
      </c>
      <c r="AA750" s="38">
        <v>19.339166666400001</v>
      </c>
      <c r="AB750" s="42" t="s">
        <v>916</v>
      </c>
      <c r="AC750" s="43" t="s">
        <v>916</v>
      </c>
      <c r="AD750" s="43" t="s">
        <v>916</v>
      </c>
      <c r="AE750" s="33" t="s">
        <v>916</v>
      </c>
      <c r="AF750" s="35" t="s">
        <v>916</v>
      </c>
      <c r="AG750" s="44">
        <v>491915.91666666663</v>
      </c>
      <c r="AH750" s="42" t="s">
        <v>916</v>
      </c>
      <c r="AI750" s="32" t="e">
        <f>VLOOKUP(A750,'4月明細'!B:B,1,0)</f>
        <v>#N/A</v>
      </c>
    </row>
    <row r="751" spans="1:35" ht="19.95" customHeight="1" x14ac:dyDescent="0.3">
      <c r="A751" s="33" t="s">
        <v>385</v>
      </c>
      <c r="B751" s="34">
        <v>46064.592777777776</v>
      </c>
      <c r="C751" s="34" t="str">
        <f t="shared" si="24"/>
        <v>202602</v>
      </c>
      <c r="D751" s="35" t="s">
        <v>951</v>
      </c>
      <c r="E751" s="36" t="s">
        <v>910</v>
      </c>
      <c r="F751" s="36" t="s">
        <v>1898</v>
      </c>
      <c r="G751" s="37" t="s">
        <v>2790</v>
      </c>
      <c r="H751" s="36" t="s">
        <v>928</v>
      </c>
      <c r="I751" s="35"/>
      <c r="J751" s="36" t="s">
        <v>929</v>
      </c>
      <c r="K751" s="33" t="s">
        <v>916</v>
      </c>
      <c r="L751" s="35" t="s">
        <v>916</v>
      </c>
      <c r="M751" s="36" t="s">
        <v>916</v>
      </c>
      <c r="N751" s="45">
        <v>46065.496527777781</v>
      </c>
      <c r="O751" s="36" t="s">
        <v>25</v>
      </c>
      <c r="P751" s="38">
        <v>0.90375000000000005</v>
      </c>
      <c r="Q751" s="39" t="s">
        <v>2791</v>
      </c>
      <c r="R751" s="35" t="s">
        <v>916</v>
      </c>
      <c r="S751" s="35"/>
      <c r="T751" s="35" t="s">
        <v>1624</v>
      </c>
      <c r="U751" s="40">
        <v>46065</v>
      </c>
      <c r="V751" s="41">
        <v>46153.532789351855</v>
      </c>
      <c r="W751" s="40">
        <v>46064</v>
      </c>
      <c r="X751" s="35" t="s">
        <v>916</v>
      </c>
      <c r="Y751" s="35" t="s">
        <v>916</v>
      </c>
      <c r="Z751" s="35" t="s">
        <v>916</v>
      </c>
      <c r="AA751" s="38">
        <v>21.69</v>
      </c>
      <c r="AB751" s="42" t="s">
        <v>916</v>
      </c>
      <c r="AC751" s="43" t="s">
        <v>916</v>
      </c>
      <c r="AD751" s="43" t="s">
        <v>916</v>
      </c>
      <c r="AE751" s="33" t="s">
        <v>916</v>
      </c>
      <c r="AF751" s="35" t="s">
        <v>916</v>
      </c>
      <c r="AG751" s="44">
        <v>491915.91666666663</v>
      </c>
      <c r="AH751" s="42" t="s">
        <v>916</v>
      </c>
      <c r="AI751" s="32" t="e">
        <f>VLOOKUP(A751,'4月明細'!B:B,1,0)</f>
        <v>#N/A</v>
      </c>
    </row>
    <row r="752" spans="1:35" ht="19.95" customHeight="1" x14ac:dyDescent="0.3">
      <c r="A752" s="33" t="s">
        <v>384</v>
      </c>
      <c r="B752" s="34">
        <v>46064.522199074076</v>
      </c>
      <c r="C752" s="34" t="str">
        <f t="shared" si="24"/>
        <v>202602</v>
      </c>
      <c r="D752" s="35" t="s">
        <v>2278</v>
      </c>
      <c r="E752" s="36" t="s">
        <v>910</v>
      </c>
      <c r="F752" s="36" t="s">
        <v>1055</v>
      </c>
      <c r="G752" s="37" t="s">
        <v>2792</v>
      </c>
      <c r="H752" s="36" t="s">
        <v>954</v>
      </c>
      <c r="I752" s="35" t="s">
        <v>2793</v>
      </c>
      <c r="J752" s="36" t="s">
        <v>929</v>
      </c>
      <c r="K752" s="33" t="s">
        <v>916</v>
      </c>
      <c r="L752" s="35" t="s">
        <v>916</v>
      </c>
      <c r="M752" s="36" t="s">
        <v>916</v>
      </c>
      <c r="N752" s="45">
        <v>46065.49722222222</v>
      </c>
      <c r="O752" s="36" t="s">
        <v>25</v>
      </c>
      <c r="P752" s="38">
        <v>0.97502314810000001</v>
      </c>
      <c r="Q752" s="39" t="s">
        <v>2794</v>
      </c>
      <c r="R752" s="35" t="s">
        <v>916</v>
      </c>
      <c r="S752" s="35" t="s">
        <v>2795</v>
      </c>
      <c r="T752" s="35" t="s">
        <v>1624</v>
      </c>
      <c r="U752" s="40">
        <v>46065</v>
      </c>
      <c r="V752" s="41">
        <v>46153.532789351855</v>
      </c>
      <c r="W752" s="40">
        <v>46064</v>
      </c>
      <c r="X752" s="35" t="s">
        <v>916</v>
      </c>
      <c r="Y752" s="35" t="s">
        <v>916</v>
      </c>
      <c r="Z752" s="35" t="s">
        <v>916</v>
      </c>
      <c r="AA752" s="38">
        <v>23.4005555544</v>
      </c>
      <c r="AB752" s="42" t="s">
        <v>916</v>
      </c>
      <c r="AC752" s="43" t="s">
        <v>916</v>
      </c>
      <c r="AD752" s="43" t="s">
        <v>916</v>
      </c>
      <c r="AE752" s="33" t="s">
        <v>916</v>
      </c>
      <c r="AF752" s="35" t="s">
        <v>916</v>
      </c>
      <c r="AG752" s="44">
        <v>491915.93333333329</v>
      </c>
      <c r="AH752" s="42" t="s">
        <v>916</v>
      </c>
      <c r="AI752" s="32" t="e">
        <f>VLOOKUP(A752,'4月明細'!B:B,1,0)</f>
        <v>#N/A</v>
      </c>
    </row>
    <row r="753" spans="1:35" ht="19.95" customHeight="1" x14ac:dyDescent="0.3">
      <c r="A753" s="33" t="s">
        <v>383</v>
      </c>
      <c r="B753" s="34">
        <v>46064.500775462962</v>
      </c>
      <c r="C753" s="34" t="str">
        <f t="shared" si="24"/>
        <v>202602</v>
      </c>
      <c r="D753" s="35" t="s">
        <v>951</v>
      </c>
      <c r="E753" s="36" t="s">
        <v>910</v>
      </c>
      <c r="F753" s="36" t="s">
        <v>1021</v>
      </c>
      <c r="G753" s="37" t="s">
        <v>2796</v>
      </c>
      <c r="H753" s="36" t="s">
        <v>928</v>
      </c>
      <c r="I753" s="35" t="s">
        <v>2797</v>
      </c>
      <c r="J753" s="36" t="s">
        <v>929</v>
      </c>
      <c r="K753" s="33" t="s">
        <v>916</v>
      </c>
      <c r="L753" s="35" t="s">
        <v>916</v>
      </c>
      <c r="M753" s="36" t="s">
        <v>916</v>
      </c>
      <c r="N753" s="45">
        <v>46065.497916666667</v>
      </c>
      <c r="O753" s="36" t="s">
        <v>25</v>
      </c>
      <c r="P753" s="38">
        <v>0.99714120370000003</v>
      </c>
      <c r="Q753" s="39" t="s">
        <v>2798</v>
      </c>
      <c r="R753" s="35" t="s">
        <v>916</v>
      </c>
      <c r="S753" s="35"/>
      <c r="T753" s="35" t="s">
        <v>1624</v>
      </c>
      <c r="U753" s="40">
        <v>46065</v>
      </c>
      <c r="V753" s="41">
        <v>46153.532789351855</v>
      </c>
      <c r="W753" s="40">
        <v>46064</v>
      </c>
      <c r="X753" s="35" t="s">
        <v>916</v>
      </c>
      <c r="Y753" s="35" t="s">
        <v>916</v>
      </c>
      <c r="Z753" s="35" t="s">
        <v>916</v>
      </c>
      <c r="AA753" s="38">
        <v>23.931388888800001</v>
      </c>
      <c r="AB753" s="42" t="s">
        <v>916</v>
      </c>
      <c r="AC753" s="43" t="s">
        <v>916</v>
      </c>
      <c r="AD753" s="43" t="s">
        <v>916</v>
      </c>
      <c r="AE753" s="33" t="s">
        <v>916</v>
      </c>
      <c r="AF753" s="35" t="s">
        <v>916</v>
      </c>
      <c r="AG753" s="44">
        <v>491915.95</v>
      </c>
      <c r="AH753" s="42" t="s">
        <v>916</v>
      </c>
      <c r="AI753" s="32" t="e">
        <f>VLOOKUP(A753,'4月明細'!B:B,1,0)</f>
        <v>#N/A</v>
      </c>
    </row>
    <row r="754" spans="1:35" ht="19.95" customHeight="1" x14ac:dyDescent="0.3">
      <c r="A754" s="33" t="s">
        <v>382</v>
      </c>
      <c r="B754" s="34">
        <v>46064.498171296298</v>
      </c>
      <c r="C754" s="34" t="str">
        <f t="shared" si="24"/>
        <v>202602</v>
      </c>
      <c r="D754" s="35" t="s">
        <v>951</v>
      </c>
      <c r="E754" s="36" t="s">
        <v>910</v>
      </c>
      <c r="F754" s="36" t="s">
        <v>2017</v>
      </c>
      <c r="G754" s="37" t="s">
        <v>2799</v>
      </c>
      <c r="H754" s="36" t="s">
        <v>954</v>
      </c>
      <c r="I754" s="35" t="s">
        <v>2800</v>
      </c>
      <c r="J754" s="36" t="s">
        <v>929</v>
      </c>
      <c r="K754" s="33" t="s">
        <v>916</v>
      </c>
      <c r="L754" s="35" t="s">
        <v>916</v>
      </c>
      <c r="M754" s="36" t="s">
        <v>916</v>
      </c>
      <c r="N754" s="45">
        <v>46065.484027777777</v>
      </c>
      <c r="O754" s="36" t="s">
        <v>25</v>
      </c>
      <c r="P754" s="38">
        <v>0.98585648150000005</v>
      </c>
      <c r="Q754" s="39" t="s">
        <v>2801</v>
      </c>
      <c r="R754" s="35" t="s">
        <v>916</v>
      </c>
      <c r="S754" s="35" t="s">
        <v>2802</v>
      </c>
      <c r="T754" s="35" t="s">
        <v>1624</v>
      </c>
      <c r="U754" s="40">
        <v>46065</v>
      </c>
      <c r="V754" s="41">
        <v>46153.532789351855</v>
      </c>
      <c r="W754" s="40">
        <v>46064</v>
      </c>
      <c r="X754" s="35" t="s">
        <v>916</v>
      </c>
      <c r="Y754" s="35" t="s">
        <v>916</v>
      </c>
      <c r="Z754" s="35" t="s">
        <v>916</v>
      </c>
      <c r="AA754" s="38">
        <v>23.660555555999998</v>
      </c>
      <c r="AB754" s="42" t="s">
        <v>916</v>
      </c>
      <c r="AC754" s="43" t="s">
        <v>916</v>
      </c>
      <c r="AD754" s="43" t="s">
        <v>916</v>
      </c>
      <c r="AE754" s="33" t="s">
        <v>916</v>
      </c>
      <c r="AF754" s="35" t="s">
        <v>916</v>
      </c>
      <c r="AG754" s="44">
        <v>491915.63333333342</v>
      </c>
      <c r="AH754" s="42" t="s">
        <v>916</v>
      </c>
      <c r="AI754" s="32" t="e">
        <f>VLOOKUP(A754,'4月明細'!B:B,1,0)</f>
        <v>#N/A</v>
      </c>
    </row>
    <row r="755" spans="1:35" ht="19.95" customHeight="1" x14ac:dyDescent="0.3">
      <c r="A755" s="33" t="s">
        <v>2803</v>
      </c>
      <c r="B755" s="34">
        <v>46064.487442129626</v>
      </c>
      <c r="C755" s="34" t="str">
        <f t="shared" si="24"/>
        <v>202602</v>
      </c>
      <c r="D755" s="35" t="s">
        <v>951</v>
      </c>
      <c r="E755" s="36" t="s">
        <v>910</v>
      </c>
      <c r="F755" s="36" t="s">
        <v>2804</v>
      </c>
      <c r="G755" s="37" t="s">
        <v>2805</v>
      </c>
      <c r="H755" s="36" t="s">
        <v>928</v>
      </c>
      <c r="I755" s="35"/>
      <c r="J755" s="36" t="s">
        <v>929</v>
      </c>
      <c r="K755" s="33" t="s">
        <v>916</v>
      </c>
      <c r="L755" s="35" t="s">
        <v>916</v>
      </c>
      <c r="M755" s="36" t="s">
        <v>957</v>
      </c>
      <c r="N755" s="45">
        <v>46065.626388888886</v>
      </c>
      <c r="O755" s="36" t="s">
        <v>1384</v>
      </c>
      <c r="P755" s="38">
        <v>1.1389467593</v>
      </c>
      <c r="Q755" s="39" t="s">
        <v>1959</v>
      </c>
      <c r="R755" s="35" t="s">
        <v>916</v>
      </c>
      <c r="S755" s="35"/>
      <c r="T755" s="35" t="s">
        <v>1624</v>
      </c>
      <c r="U755" s="40">
        <v>46065</v>
      </c>
      <c r="V755" s="41">
        <v>46153.532789351855</v>
      </c>
      <c r="W755" s="40">
        <v>46064</v>
      </c>
      <c r="X755" s="35" t="s">
        <v>916</v>
      </c>
      <c r="Y755" s="35" t="s">
        <v>916</v>
      </c>
      <c r="Z755" s="35" t="s">
        <v>916</v>
      </c>
      <c r="AA755" s="38">
        <v>27.3347222232</v>
      </c>
      <c r="AB755" s="42" t="s">
        <v>916</v>
      </c>
      <c r="AC755" s="43" t="s">
        <v>916</v>
      </c>
      <c r="AD755" s="43" t="s">
        <v>916</v>
      </c>
      <c r="AE755" s="33" t="s">
        <v>916</v>
      </c>
      <c r="AF755" s="35" t="s">
        <v>916</v>
      </c>
      <c r="AG755" s="44">
        <v>491919.03333333333</v>
      </c>
      <c r="AH755" s="42" t="s">
        <v>916</v>
      </c>
      <c r="AI755" s="32" t="e">
        <f>VLOOKUP(A755,'4月明細'!B:B,1,0)</f>
        <v>#N/A</v>
      </c>
    </row>
    <row r="756" spans="1:35" ht="19.95" customHeight="1" x14ac:dyDescent="0.3">
      <c r="A756" s="33" t="s">
        <v>381</v>
      </c>
      <c r="B756" s="34">
        <v>46064.199456018519</v>
      </c>
      <c r="C756" s="34" t="str">
        <f t="shared" si="24"/>
        <v>202602</v>
      </c>
      <c r="D756" s="35" t="s">
        <v>1510</v>
      </c>
      <c r="E756" s="36" t="s">
        <v>1112</v>
      </c>
      <c r="F756" s="36" t="s">
        <v>1150</v>
      </c>
      <c r="G756" s="37" t="s">
        <v>2806</v>
      </c>
      <c r="H756" s="36" t="s">
        <v>1114</v>
      </c>
      <c r="I756" s="35"/>
      <c r="J756" s="36" t="s">
        <v>938</v>
      </c>
      <c r="K756" s="33" t="s">
        <v>916</v>
      </c>
      <c r="L756" s="35" t="s">
        <v>916</v>
      </c>
      <c r="M756" s="36" t="s">
        <v>1135</v>
      </c>
      <c r="N756" s="45">
        <v>46065.493055555555</v>
      </c>
      <c r="O756" s="36" t="s">
        <v>25</v>
      </c>
      <c r="P756" s="38">
        <v>1.293599537</v>
      </c>
      <c r="Q756" s="39" t="s">
        <v>2807</v>
      </c>
      <c r="R756" s="35" t="s">
        <v>916</v>
      </c>
      <c r="S756" s="35"/>
      <c r="T756" s="35" t="s">
        <v>1624</v>
      </c>
      <c r="U756" s="40">
        <v>46065</v>
      </c>
      <c r="V756" s="41">
        <v>46153.532789351855</v>
      </c>
      <c r="W756" s="40">
        <v>46064</v>
      </c>
      <c r="X756" s="35" t="s">
        <v>916</v>
      </c>
      <c r="Y756" s="35" t="s">
        <v>916</v>
      </c>
      <c r="Z756" s="35" t="s">
        <v>916</v>
      </c>
      <c r="AA756" s="38">
        <v>31.046388887999999</v>
      </c>
      <c r="AB756" s="42" t="s">
        <v>916</v>
      </c>
      <c r="AC756" s="43" t="s">
        <v>916</v>
      </c>
      <c r="AD756" s="43" t="s">
        <v>916</v>
      </c>
      <c r="AE756" s="33" t="s">
        <v>916</v>
      </c>
      <c r="AF756" s="35" t="s">
        <v>916</v>
      </c>
      <c r="AG756" s="44">
        <v>491915.83333333331</v>
      </c>
      <c r="AH756" s="42" t="s">
        <v>916</v>
      </c>
      <c r="AI756" s="32" t="e">
        <f>VLOOKUP(A756,'4月明細'!B:B,1,0)</f>
        <v>#N/A</v>
      </c>
    </row>
    <row r="757" spans="1:35" ht="19.95" customHeight="1" x14ac:dyDescent="0.3">
      <c r="A757" s="33" t="s">
        <v>2808</v>
      </c>
      <c r="B757" s="34">
        <v>46063.645011574074</v>
      </c>
      <c r="C757" s="34" t="str">
        <f t="shared" si="24"/>
        <v>202602</v>
      </c>
      <c r="D757" s="35" t="s">
        <v>986</v>
      </c>
      <c r="E757" s="36" t="s">
        <v>910</v>
      </c>
      <c r="F757" s="36" t="s">
        <v>1743</v>
      </c>
      <c r="G757" s="37" t="s">
        <v>2809</v>
      </c>
      <c r="H757" s="36" t="s">
        <v>928</v>
      </c>
      <c r="I757" s="35"/>
      <c r="J757" s="36" t="s">
        <v>929</v>
      </c>
      <c r="K757" s="33" t="s">
        <v>916</v>
      </c>
      <c r="L757" s="35" t="s">
        <v>916</v>
      </c>
      <c r="M757" s="36" t="s">
        <v>1039</v>
      </c>
      <c r="N757" s="45">
        <v>46065.498611111114</v>
      </c>
      <c r="O757" s="36" t="s">
        <v>1384</v>
      </c>
      <c r="P757" s="38">
        <v>1.853599537</v>
      </c>
      <c r="Q757" s="39" t="s">
        <v>1959</v>
      </c>
      <c r="R757" s="35" t="s">
        <v>916</v>
      </c>
      <c r="S757" s="35"/>
      <c r="T757" s="35" t="s">
        <v>1624</v>
      </c>
      <c r="U757" s="40">
        <v>46064</v>
      </c>
      <c r="V757" s="41">
        <v>46153.532789351855</v>
      </c>
      <c r="W757" s="40">
        <v>46063</v>
      </c>
      <c r="X757" s="35" t="s">
        <v>916</v>
      </c>
      <c r="Y757" s="35" t="s">
        <v>916</v>
      </c>
      <c r="Z757" s="35" t="s">
        <v>916</v>
      </c>
      <c r="AA757" s="38">
        <v>44.486388888</v>
      </c>
      <c r="AB757" s="42" t="s">
        <v>916</v>
      </c>
      <c r="AC757" s="43" t="s">
        <v>916</v>
      </c>
      <c r="AD757" s="43" t="s">
        <v>916</v>
      </c>
      <c r="AE757" s="33" t="s">
        <v>916</v>
      </c>
      <c r="AF757" s="35" t="s">
        <v>916</v>
      </c>
      <c r="AG757" s="44">
        <v>491915.96666666667</v>
      </c>
      <c r="AH757" s="42" t="s">
        <v>916</v>
      </c>
      <c r="AI757" s="32" t="e">
        <f>VLOOKUP(A757,'4月明細'!B:B,1,0)</f>
        <v>#N/A</v>
      </c>
    </row>
    <row r="758" spans="1:35" ht="19.95" customHeight="1" x14ac:dyDescent="0.3">
      <c r="A758" s="33" t="s">
        <v>380</v>
      </c>
      <c r="B758" s="34">
        <v>46063.561747685184</v>
      </c>
      <c r="C758" s="34" t="str">
        <f t="shared" si="24"/>
        <v>202602</v>
      </c>
      <c r="D758" s="35" t="s">
        <v>986</v>
      </c>
      <c r="E758" s="36" t="s">
        <v>910</v>
      </c>
      <c r="F758" s="36" t="s">
        <v>1010</v>
      </c>
      <c r="G758" s="37" t="s">
        <v>2810</v>
      </c>
      <c r="H758" s="36" t="s">
        <v>1114</v>
      </c>
      <c r="I758" s="35"/>
      <c r="J758" s="36" t="s">
        <v>929</v>
      </c>
      <c r="K758" s="33" t="s">
        <v>916</v>
      </c>
      <c r="L758" s="35" t="s">
        <v>916</v>
      </c>
      <c r="M758" s="36" t="s">
        <v>957</v>
      </c>
      <c r="N758" s="45">
        <v>46068.478472222225</v>
      </c>
      <c r="O758" s="36" t="s">
        <v>25</v>
      </c>
      <c r="P758" s="38">
        <v>4.9167245370000003</v>
      </c>
      <c r="Q758" s="39" t="s">
        <v>2811</v>
      </c>
      <c r="R758" s="35" t="s">
        <v>916</v>
      </c>
      <c r="S758" s="35"/>
      <c r="T758" s="35" t="s">
        <v>1701</v>
      </c>
      <c r="U758" s="40">
        <v>46064</v>
      </c>
      <c r="V758" s="41">
        <v>46153.532789351855</v>
      </c>
      <c r="W758" s="40">
        <v>46063</v>
      </c>
      <c r="X758" s="35" t="s">
        <v>916</v>
      </c>
      <c r="Y758" s="35" t="s">
        <v>916</v>
      </c>
      <c r="Z758" s="35" t="s">
        <v>916</v>
      </c>
      <c r="AA758" s="38">
        <v>118.00138888799999</v>
      </c>
      <c r="AB758" s="42" t="s">
        <v>916</v>
      </c>
      <c r="AC758" s="43" t="s">
        <v>916</v>
      </c>
      <c r="AD758" s="43" t="s">
        <v>916</v>
      </c>
      <c r="AE758" s="33" t="s">
        <v>916</v>
      </c>
      <c r="AF758" s="35" t="s">
        <v>916</v>
      </c>
      <c r="AG758" s="44">
        <v>0</v>
      </c>
      <c r="AH758" s="42" t="s">
        <v>916</v>
      </c>
      <c r="AI758" s="32" t="e">
        <f>VLOOKUP(A758,'4月明細'!B:B,1,0)</f>
        <v>#N/A</v>
      </c>
    </row>
    <row r="759" spans="1:35" ht="19.95" customHeight="1" x14ac:dyDescent="0.3">
      <c r="A759" s="33" t="s">
        <v>379</v>
      </c>
      <c r="B759" s="34">
        <v>46062.68241898148</v>
      </c>
      <c r="C759" s="34" t="str">
        <f t="shared" si="24"/>
        <v>202602</v>
      </c>
      <c r="D759" s="35" t="s">
        <v>986</v>
      </c>
      <c r="E759" s="36" t="s">
        <v>910</v>
      </c>
      <c r="F759" s="36" t="s">
        <v>1830</v>
      </c>
      <c r="G759" s="37" t="s">
        <v>2812</v>
      </c>
      <c r="H759" s="36" t="s">
        <v>928</v>
      </c>
      <c r="I759" s="35"/>
      <c r="J759" s="36" t="s">
        <v>929</v>
      </c>
      <c r="K759" s="33" t="s">
        <v>916</v>
      </c>
      <c r="L759" s="35" t="s">
        <v>916</v>
      </c>
      <c r="M759" s="36" t="s">
        <v>1039</v>
      </c>
      <c r="N759" s="45">
        <v>46065.484027777777</v>
      </c>
      <c r="O759" s="36" t="s">
        <v>25</v>
      </c>
      <c r="P759" s="38">
        <v>2.8016087963</v>
      </c>
      <c r="Q759" s="39" t="s">
        <v>2813</v>
      </c>
      <c r="R759" s="35" t="s">
        <v>916</v>
      </c>
      <c r="S759" s="35"/>
      <c r="T759" s="35" t="s">
        <v>1624</v>
      </c>
      <c r="U759" s="40">
        <v>46063</v>
      </c>
      <c r="V759" s="41">
        <v>46153.532789351855</v>
      </c>
      <c r="W759" s="40">
        <v>46062</v>
      </c>
      <c r="X759" s="35" t="s">
        <v>916</v>
      </c>
      <c r="Y759" s="35" t="s">
        <v>916</v>
      </c>
      <c r="Z759" s="35" t="s">
        <v>916</v>
      </c>
      <c r="AA759" s="38">
        <v>67.238611111200001</v>
      </c>
      <c r="AB759" s="42" t="s">
        <v>916</v>
      </c>
      <c r="AC759" s="43" t="s">
        <v>916</v>
      </c>
      <c r="AD759" s="43" t="s">
        <v>916</v>
      </c>
      <c r="AE759" s="33" t="s">
        <v>916</v>
      </c>
      <c r="AF759" s="35" t="s">
        <v>916</v>
      </c>
      <c r="AG759" s="44">
        <v>491915.61666666658</v>
      </c>
      <c r="AH759" s="42" t="s">
        <v>916</v>
      </c>
      <c r="AI759" s="32" t="e">
        <f>VLOOKUP(A759,'4月明細'!B:B,1,0)</f>
        <v>#N/A</v>
      </c>
    </row>
    <row r="760" spans="1:35" ht="19.95" customHeight="1" x14ac:dyDescent="0.3">
      <c r="A760" s="33" t="s">
        <v>2814</v>
      </c>
      <c r="B760" s="34">
        <v>46062.629861111112</v>
      </c>
      <c r="C760" s="34" t="str">
        <f t="shared" si="24"/>
        <v>202602</v>
      </c>
      <c r="D760" s="35" t="s">
        <v>1653</v>
      </c>
      <c r="E760" s="36" t="s">
        <v>934</v>
      </c>
      <c r="F760" s="36" t="s">
        <v>1546</v>
      </c>
      <c r="G760" s="37" t="s">
        <v>2815</v>
      </c>
      <c r="H760" s="36" t="s">
        <v>928</v>
      </c>
      <c r="I760" s="35" t="s">
        <v>2816</v>
      </c>
      <c r="J760" s="36" t="s">
        <v>929</v>
      </c>
      <c r="K760" s="33" t="s">
        <v>916</v>
      </c>
      <c r="L760" s="35" t="s">
        <v>916</v>
      </c>
      <c r="M760" s="36" t="s">
        <v>916</v>
      </c>
      <c r="N760" s="45">
        <v>46085.837500000001</v>
      </c>
      <c r="O760" s="36" t="s">
        <v>939</v>
      </c>
      <c r="P760" s="38">
        <v>23.2076388889</v>
      </c>
      <c r="Q760" s="39" t="s">
        <v>2369</v>
      </c>
      <c r="R760" s="35" t="s">
        <v>916</v>
      </c>
      <c r="S760" s="35"/>
      <c r="T760" s="35" t="s">
        <v>1624</v>
      </c>
      <c r="U760" s="40">
        <v>46063</v>
      </c>
      <c r="V760" s="41">
        <v>46153.532789351855</v>
      </c>
      <c r="W760" s="40">
        <v>46062</v>
      </c>
      <c r="X760" s="40">
        <v>46153</v>
      </c>
      <c r="Y760" s="35" t="s">
        <v>916</v>
      </c>
      <c r="Z760" s="35" t="s">
        <v>916</v>
      </c>
      <c r="AA760" s="38">
        <v>556.98333333359994</v>
      </c>
      <c r="AB760" s="42" t="s">
        <v>916</v>
      </c>
      <c r="AC760" s="43" t="s">
        <v>916</v>
      </c>
      <c r="AD760" s="43" t="s">
        <v>916</v>
      </c>
      <c r="AE760" s="33" t="s">
        <v>916</v>
      </c>
      <c r="AF760" s="35" t="s">
        <v>916</v>
      </c>
      <c r="AG760" s="44">
        <v>491918.93333333329</v>
      </c>
      <c r="AH760" s="42" t="s">
        <v>916</v>
      </c>
      <c r="AI760" s="32" t="e">
        <f>VLOOKUP(A760,'4月明細'!B:B,1,0)</f>
        <v>#N/A</v>
      </c>
    </row>
    <row r="761" spans="1:35" ht="19.95" customHeight="1" x14ac:dyDescent="0.3">
      <c r="A761" s="33" t="s">
        <v>2817</v>
      </c>
      <c r="B761" s="34">
        <v>46062.628472222219</v>
      </c>
      <c r="C761" s="34" t="str">
        <f t="shared" si="24"/>
        <v>202602</v>
      </c>
      <c r="D761" s="35" t="s">
        <v>1653</v>
      </c>
      <c r="E761" s="36" t="s">
        <v>934</v>
      </c>
      <c r="F761" s="36" t="s">
        <v>1344</v>
      </c>
      <c r="G761" s="37" t="s">
        <v>2815</v>
      </c>
      <c r="H761" s="36" t="s">
        <v>928</v>
      </c>
      <c r="I761" s="35" t="s">
        <v>2818</v>
      </c>
      <c r="J761" s="36" t="s">
        <v>929</v>
      </c>
      <c r="K761" s="33" t="s">
        <v>916</v>
      </c>
      <c r="L761" s="35" t="s">
        <v>916</v>
      </c>
      <c r="M761" s="36" t="s">
        <v>916</v>
      </c>
      <c r="N761" s="45">
        <v>46085.838194444441</v>
      </c>
      <c r="O761" s="36" t="s">
        <v>939</v>
      </c>
      <c r="P761" s="38">
        <v>23.2097222222</v>
      </c>
      <c r="Q761" s="39" t="s">
        <v>2369</v>
      </c>
      <c r="R761" s="35" t="s">
        <v>916</v>
      </c>
      <c r="S761" s="35"/>
      <c r="T761" s="35" t="s">
        <v>1624</v>
      </c>
      <c r="U761" s="40">
        <v>46063</v>
      </c>
      <c r="V761" s="41">
        <v>46153.532789351855</v>
      </c>
      <c r="W761" s="40">
        <v>46062</v>
      </c>
      <c r="X761" s="40">
        <v>46153</v>
      </c>
      <c r="Y761" s="35" t="s">
        <v>916</v>
      </c>
      <c r="Z761" s="35" t="s">
        <v>916</v>
      </c>
      <c r="AA761" s="38">
        <v>557.0333333328</v>
      </c>
      <c r="AB761" s="42" t="s">
        <v>916</v>
      </c>
      <c r="AC761" s="43" t="s">
        <v>916</v>
      </c>
      <c r="AD761" s="43" t="s">
        <v>916</v>
      </c>
      <c r="AE761" s="33" t="s">
        <v>916</v>
      </c>
      <c r="AF761" s="35" t="s">
        <v>916</v>
      </c>
      <c r="AG761" s="44">
        <v>491919.06666666671</v>
      </c>
      <c r="AH761" s="42" t="s">
        <v>916</v>
      </c>
      <c r="AI761" s="32" t="e">
        <f>VLOOKUP(A761,'4月明細'!B:B,1,0)</f>
        <v>#N/A</v>
      </c>
    </row>
    <row r="762" spans="1:35" ht="19.95" customHeight="1" x14ac:dyDescent="0.3">
      <c r="A762" s="33" t="s">
        <v>378</v>
      </c>
      <c r="B762" s="34">
        <v>46062.626388888886</v>
      </c>
      <c r="C762" s="34" t="str">
        <f t="shared" si="24"/>
        <v>202602</v>
      </c>
      <c r="D762" s="35" t="s">
        <v>1653</v>
      </c>
      <c r="E762" s="36" t="s">
        <v>934</v>
      </c>
      <c r="F762" s="36" t="s">
        <v>1344</v>
      </c>
      <c r="G762" s="37" t="s">
        <v>2819</v>
      </c>
      <c r="H762" s="36" t="s">
        <v>954</v>
      </c>
      <c r="I762" s="35"/>
      <c r="J762" s="36" t="s">
        <v>929</v>
      </c>
      <c r="K762" s="33" t="s">
        <v>916</v>
      </c>
      <c r="L762" s="35" t="s">
        <v>916</v>
      </c>
      <c r="M762" s="36" t="s">
        <v>916</v>
      </c>
      <c r="N762" s="45">
        <v>46068.552083333336</v>
      </c>
      <c r="O762" s="36" t="s">
        <v>25</v>
      </c>
      <c r="P762" s="38">
        <v>5.9256944444000004</v>
      </c>
      <c r="Q762" s="39" t="s">
        <v>2820</v>
      </c>
      <c r="R762" s="35" t="s">
        <v>916</v>
      </c>
      <c r="S762" s="35"/>
      <c r="T762" s="35" t="s">
        <v>1701</v>
      </c>
      <c r="U762" s="40">
        <v>46063</v>
      </c>
      <c r="V762" s="41">
        <v>46153.532789351855</v>
      </c>
      <c r="W762" s="40">
        <v>46062</v>
      </c>
      <c r="X762" s="35" t="s">
        <v>916</v>
      </c>
      <c r="Y762" s="35" t="s">
        <v>916</v>
      </c>
      <c r="Z762" s="35" t="s">
        <v>916</v>
      </c>
      <c r="AA762" s="38">
        <v>142.2166666656</v>
      </c>
      <c r="AB762" s="42" t="s">
        <v>916</v>
      </c>
      <c r="AC762" s="43" t="s">
        <v>916</v>
      </c>
      <c r="AD762" s="43" t="s">
        <v>916</v>
      </c>
      <c r="AE762" s="33" t="s">
        <v>916</v>
      </c>
      <c r="AF762" s="35" t="s">
        <v>916</v>
      </c>
      <c r="AG762" s="44">
        <v>0</v>
      </c>
      <c r="AH762" s="42" t="s">
        <v>916</v>
      </c>
      <c r="AI762" s="32" t="e">
        <f>VLOOKUP(A762,'4月明細'!B:B,1,0)</f>
        <v>#N/A</v>
      </c>
    </row>
    <row r="763" spans="1:35" ht="19.95" customHeight="1" x14ac:dyDescent="0.3">
      <c r="A763" s="33" t="s">
        <v>377</v>
      </c>
      <c r="B763" s="34">
        <v>46062.624305555553</v>
      </c>
      <c r="C763" s="34" t="str">
        <f t="shared" si="24"/>
        <v>202602</v>
      </c>
      <c r="D763" s="35" t="s">
        <v>1653</v>
      </c>
      <c r="E763" s="36" t="s">
        <v>934</v>
      </c>
      <c r="F763" s="36" t="s">
        <v>2300</v>
      </c>
      <c r="G763" s="37" t="s">
        <v>1679</v>
      </c>
      <c r="H763" s="36" t="s">
        <v>1114</v>
      </c>
      <c r="I763" s="35" t="s">
        <v>2821</v>
      </c>
      <c r="J763" s="36" t="s">
        <v>929</v>
      </c>
      <c r="K763" s="33" t="s">
        <v>916</v>
      </c>
      <c r="L763" s="35" t="s">
        <v>916</v>
      </c>
      <c r="M763" s="36" t="s">
        <v>916</v>
      </c>
      <c r="N763" s="45">
        <v>46068.499305555553</v>
      </c>
      <c r="O763" s="36" t="s">
        <v>25</v>
      </c>
      <c r="P763" s="38">
        <v>5.875</v>
      </c>
      <c r="Q763" s="39" t="s">
        <v>994</v>
      </c>
      <c r="R763" s="35" t="s">
        <v>916</v>
      </c>
      <c r="S763" s="35"/>
      <c r="T763" s="35" t="s">
        <v>1701</v>
      </c>
      <c r="U763" s="40">
        <v>46063</v>
      </c>
      <c r="V763" s="41">
        <v>46153.532789351855</v>
      </c>
      <c r="W763" s="40">
        <v>46062</v>
      </c>
      <c r="X763" s="35" t="s">
        <v>916</v>
      </c>
      <c r="Y763" s="35" t="s">
        <v>916</v>
      </c>
      <c r="Z763" s="35" t="s">
        <v>916</v>
      </c>
      <c r="AA763" s="38">
        <v>141</v>
      </c>
      <c r="AB763" s="42" t="s">
        <v>916</v>
      </c>
      <c r="AC763" s="43" t="s">
        <v>916</v>
      </c>
      <c r="AD763" s="43" t="s">
        <v>916</v>
      </c>
      <c r="AE763" s="33" t="s">
        <v>916</v>
      </c>
      <c r="AF763" s="35" t="s">
        <v>916</v>
      </c>
      <c r="AG763" s="44">
        <v>0</v>
      </c>
      <c r="AH763" s="42" t="s">
        <v>916</v>
      </c>
      <c r="AI763" s="32" t="e">
        <f>VLOOKUP(A763,'4月明細'!B:B,1,0)</f>
        <v>#N/A</v>
      </c>
    </row>
    <row r="764" spans="1:35" ht="19.95" customHeight="1" x14ac:dyDescent="0.3">
      <c r="A764" s="33" t="s">
        <v>376</v>
      </c>
      <c r="B764" s="34">
        <v>46062.528460648151</v>
      </c>
      <c r="C764" s="34" t="str">
        <f t="shared" si="24"/>
        <v>202602</v>
      </c>
      <c r="D764" s="35" t="s">
        <v>2278</v>
      </c>
      <c r="E764" s="36" t="s">
        <v>910</v>
      </c>
      <c r="F764" s="36" t="s">
        <v>1870</v>
      </c>
      <c r="G764" s="37" t="s">
        <v>2822</v>
      </c>
      <c r="H764" s="36" t="s">
        <v>928</v>
      </c>
      <c r="I764" s="35"/>
      <c r="J764" s="36" t="s">
        <v>914</v>
      </c>
      <c r="K764" s="33" t="s">
        <v>916</v>
      </c>
      <c r="L764" s="35" t="s">
        <v>916</v>
      </c>
      <c r="M764" s="36" t="s">
        <v>1039</v>
      </c>
      <c r="N764" s="45">
        <v>46062.548611111109</v>
      </c>
      <c r="O764" s="36" t="s">
        <v>25</v>
      </c>
      <c r="P764" s="38">
        <v>2.0150463E-2</v>
      </c>
      <c r="Q764" s="39" t="s">
        <v>1328</v>
      </c>
      <c r="R764" s="35" t="s">
        <v>916</v>
      </c>
      <c r="S764" s="35"/>
      <c r="T764" s="35" t="s">
        <v>1624</v>
      </c>
      <c r="U764" s="40">
        <v>46063</v>
      </c>
      <c r="V764" s="41">
        <v>46153.532789351855</v>
      </c>
      <c r="W764" s="40">
        <v>46062</v>
      </c>
      <c r="X764" s="35" t="s">
        <v>916</v>
      </c>
      <c r="Y764" s="35" t="s">
        <v>916</v>
      </c>
      <c r="Z764" s="35" t="s">
        <v>916</v>
      </c>
      <c r="AA764" s="38">
        <v>0.48361111200000001</v>
      </c>
      <c r="AB764" s="42" t="s">
        <v>916</v>
      </c>
      <c r="AC764" s="43" t="s">
        <v>916</v>
      </c>
      <c r="AD764" s="43" t="s">
        <v>916</v>
      </c>
      <c r="AE764" s="33" t="s">
        <v>916</v>
      </c>
      <c r="AF764" s="35" t="s">
        <v>916</v>
      </c>
      <c r="AG764" s="44">
        <v>0</v>
      </c>
      <c r="AH764" s="42" t="s">
        <v>916</v>
      </c>
      <c r="AI764" s="32" t="e">
        <f>VLOOKUP(A764,'4月明細'!B:B,1,0)</f>
        <v>#N/A</v>
      </c>
    </row>
    <row r="765" spans="1:35" ht="19.95" customHeight="1" x14ac:dyDescent="0.3">
      <c r="A765" s="33" t="s">
        <v>500</v>
      </c>
      <c r="B765" s="34">
        <v>46058.546678240738</v>
      </c>
      <c r="C765" s="34" t="str">
        <f t="shared" si="24"/>
        <v>202602</v>
      </c>
      <c r="D765" s="35" t="s">
        <v>2278</v>
      </c>
      <c r="E765" s="36" t="s">
        <v>910</v>
      </c>
      <c r="F765" s="36" t="s">
        <v>1947</v>
      </c>
      <c r="G765" s="37" t="s">
        <v>2823</v>
      </c>
      <c r="H765" s="36" t="s">
        <v>954</v>
      </c>
      <c r="I765" s="35" t="s">
        <v>2824</v>
      </c>
      <c r="J765" s="36" t="s">
        <v>929</v>
      </c>
      <c r="K765" s="33" t="s">
        <v>916</v>
      </c>
      <c r="L765" s="35" t="s">
        <v>916</v>
      </c>
      <c r="M765" s="36" t="s">
        <v>916</v>
      </c>
      <c r="N765" s="45">
        <v>46083.652777777781</v>
      </c>
      <c r="O765" s="36" t="s">
        <v>25</v>
      </c>
      <c r="P765" s="38">
        <v>25.106099536999999</v>
      </c>
      <c r="Q765" s="39" t="s">
        <v>1404</v>
      </c>
      <c r="R765" s="35" t="s">
        <v>916</v>
      </c>
      <c r="S765" s="35"/>
      <c r="T765" s="35" t="s">
        <v>1624</v>
      </c>
      <c r="U765" s="40">
        <v>46059</v>
      </c>
      <c r="V765" s="41">
        <v>46153.532789351855</v>
      </c>
      <c r="W765" s="40">
        <v>46058</v>
      </c>
      <c r="X765" s="35" t="s">
        <v>916</v>
      </c>
      <c r="Y765" s="35" t="s">
        <v>916</v>
      </c>
      <c r="Z765" s="35" t="s">
        <v>916</v>
      </c>
      <c r="AA765" s="38">
        <v>602.54638888800002</v>
      </c>
      <c r="AB765" s="42" t="s">
        <v>916</v>
      </c>
      <c r="AC765" s="43" t="s">
        <v>916</v>
      </c>
      <c r="AD765" s="43" t="s">
        <v>916</v>
      </c>
      <c r="AE765" s="33" t="s">
        <v>916</v>
      </c>
      <c r="AF765" s="35" t="s">
        <v>916</v>
      </c>
      <c r="AG765" s="44">
        <v>0</v>
      </c>
      <c r="AH765" s="42" t="s">
        <v>916</v>
      </c>
      <c r="AI765" s="32" t="e">
        <f>VLOOKUP(A765,'4月明細'!B:B,1,0)</f>
        <v>#N/A</v>
      </c>
    </row>
    <row r="766" spans="1:35" ht="19.95" customHeight="1" x14ac:dyDescent="0.3">
      <c r="A766" s="33" t="s">
        <v>375</v>
      </c>
      <c r="B766" s="34">
        <v>46062.460416666669</v>
      </c>
      <c r="C766" s="34" t="str">
        <f t="shared" si="24"/>
        <v>202602</v>
      </c>
      <c r="D766" s="35" t="s">
        <v>951</v>
      </c>
      <c r="E766" s="36" t="s">
        <v>910</v>
      </c>
      <c r="F766" s="36" t="s">
        <v>1285</v>
      </c>
      <c r="G766" s="37" t="s">
        <v>2825</v>
      </c>
      <c r="H766" s="36" t="s">
        <v>928</v>
      </c>
      <c r="I766" s="35"/>
      <c r="J766" s="36" t="s">
        <v>929</v>
      </c>
      <c r="K766" s="33" t="s">
        <v>916</v>
      </c>
      <c r="L766" s="35" t="s">
        <v>916</v>
      </c>
      <c r="M766" s="36" t="s">
        <v>957</v>
      </c>
      <c r="N766" s="45">
        <v>46065.645833333336</v>
      </c>
      <c r="O766" s="36" t="s">
        <v>25</v>
      </c>
      <c r="P766" s="38">
        <v>3.1854166667000001</v>
      </c>
      <c r="Q766" s="39" t="s">
        <v>2826</v>
      </c>
      <c r="R766" s="46" t="s">
        <v>2827</v>
      </c>
      <c r="S766" s="35"/>
      <c r="T766" s="35" t="s">
        <v>1624</v>
      </c>
      <c r="U766" s="40">
        <v>46063</v>
      </c>
      <c r="V766" s="41">
        <v>46153.532789351855</v>
      </c>
      <c r="W766" s="40">
        <v>46062</v>
      </c>
      <c r="X766" s="35" t="s">
        <v>916</v>
      </c>
      <c r="Y766" s="35" t="s">
        <v>916</v>
      </c>
      <c r="Z766" s="35" t="s">
        <v>916</v>
      </c>
      <c r="AA766" s="38">
        <v>76.450000000800003</v>
      </c>
      <c r="AB766" s="42" t="s">
        <v>916</v>
      </c>
      <c r="AC766" s="43" t="s">
        <v>916</v>
      </c>
      <c r="AD766" s="43" t="s">
        <v>916</v>
      </c>
      <c r="AE766" s="33" t="s">
        <v>916</v>
      </c>
      <c r="AF766" s="35" t="s">
        <v>916</v>
      </c>
      <c r="AG766" s="44">
        <v>491864.9</v>
      </c>
      <c r="AH766" s="42" t="s">
        <v>916</v>
      </c>
      <c r="AI766" s="32" t="e">
        <f>VLOOKUP(A766,'4月明細'!B:B,1,0)</f>
        <v>#N/A</v>
      </c>
    </row>
    <row r="767" spans="1:35" ht="19.95" customHeight="1" x14ac:dyDescent="0.3">
      <c r="A767" s="33" t="s">
        <v>374</v>
      </c>
      <c r="B767" s="34">
        <v>46062.394224537034</v>
      </c>
      <c r="C767" s="34" t="str">
        <f t="shared" si="24"/>
        <v>202602</v>
      </c>
      <c r="D767" s="35" t="s">
        <v>2310</v>
      </c>
      <c r="E767" s="36" t="s">
        <v>1149</v>
      </c>
      <c r="F767" s="36" t="s">
        <v>2501</v>
      </c>
      <c r="G767" s="37" t="s">
        <v>2828</v>
      </c>
      <c r="H767" s="36" t="s">
        <v>928</v>
      </c>
      <c r="I767" s="35" t="s">
        <v>2829</v>
      </c>
      <c r="J767" s="36" t="s">
        <v>938</v>
      </c>
      <c r="K767" s="33" t="s">
        <v>916</v>
      </c>
      <c r="L767" s="35" t="s">
        <v>916</v>
      </c>
      <c r="M767" s="36" t="s">
        <v>916</v>
      </c>
      <c r="N767" s="45">
        <v>46065.644444444442</v>
      </c>
      <c r="O767" s="36" t="s">
        <v>25</v>
      </c>
      <c r="P767" s="38">
        <v>3.2502199074</v>
      </c>
      <c r="Q767" s="39" t="s">
        <v>2830</v>
      </c>
      <c r="R767" s="46" t="s">
        <v>2831</v>
      </c>
      <c r="S767" s="35" t="s">
        <v>2832</v>
      </c>
      <c r="T767" s="35" t="s">
        <v>1624</v>
      </c>
      <c r="U767" s="40">
        <v>46063</v>
      </c>
      <c r="V767" s="41">
        <v>46153.532789351855</v>
      </c>
      <c r="W767" s="40">
        <v>46062</v>
      </c>
      <c r="X767" s="35" t="s">
        <v>916</v>
      </c>
      <c r="Y767" s="35" t="s">
        <v>916</v>
      </c>
      <c r="Z767" s="35" t="s">
        <v>916</v>
      </c>
      <c r="AA767" s="38">
        <v>78.0052777776</v>
      </c>
      <c r="AB767" s="42" t="s">
        <v>916</v>
      </c>
      <c r="AC767" s="43" t="s">
        <v>916</v>
      </c>
      <c r="AD767" s="43" t="s">
        <v>916</v>
      </c>
      <c r="AE767" s="33" t="s">
        <v>916</v>
      </c>
      <c r="AF767" s="35" t="s">
        <v>916</v>
      </c>
      <c r="AG767" s="44">
        <v>491919.46666666667</v>
      </c>
      <c r="AH767" s="42" t="s">
        <v>916</v>
      </c>
      <c r="AI767" s="32" t="e">
        <f>VLOOKUP(A767,'4月明細'!B:B,1,0)</f>
        <v>#N/A</v>
      </c>
    </row>
    <row r="768" spans="1:35" ht="19.95" customHeight="1" x14ac:dyDescent="0.3">
      <c r="A768" s="33" t="s">
        <v>373</v>
      </c>
      <c r="B768" s="34">
        <v>46062.393379629626</v>
      </c>
      <c r="C768" s="34" t="str">
        <f t="shared" si="24"/>
        <v>202602</v>
      </c>
      <c r="D768" s="35" t="s">
        <v>2310</v>
      </c>
      <c r="E768" s="36" t="s">
        <v>1149</v>
      </c>
      <c r="F768" s="36" t="s">
        <v>1179</v>
      </c>
      <c r="G768" s="37" t="s">
        <v>2833</v>
      </c>
      <c r="H768" s="36" t="s">
        <v>928</v>
      </c>
      <c r="I768" s="35" t="s">
        <v>2834</v>
      </c>
      <c r="J768" s="36" t="s">
        <v>938</v>
      </c>
      <c r="K768" s="33" t="s">
        <v>916</v>
      </c>
      <c r="L768" s="35" t="s">
        <v>916</v>
      </c>
      <c r="M768" s="36" t="s">
        <v>1039</v>
      </c>
      <c r="N768" s="45">
        <v>46076.711111111108</v>
      </c>
      <c r="O768" s="36" t="s">
        <v>25</v>
      </c>
      <c r="P768" s="38">
        <v>14.317731481499999</v>
      </c>
      <c r="Q768" s="39" t="s">
        <v>2835</v>
      </c>
      <c r="R768" s="35" t="s">
        <v>916</v>
      </c>
      <c r="S768" s="35"/>
      <c r="T768" s="35" t="s">
        <v>1624</v>
      </c>
      <c r="U768" s="40">
        <v>46063</v>
      </c>
      <c r="V768" s="41">
        <v>46153.532789351855</v>
      </c>
      <c r="W768" s="40">
        <v>46062</v>
      </c>
      <c r="X768" s="35" t="s">
        <v>916</v>
      </c>
      <c r="Y768" s="35" t="s">
        <v>916</v>
      </c>
      <c r="Z768" s="35" t="s">
        <v>916</v>
      </c>
      <c r="AA768" s="38">
        <v>343.62555555599999</v>
      </c>
      <c r="AB768" s="42" t="s">
        <v>916</v>
      </c>
      <c r="AC768" s="43" t="s">
        <v>916</v>
      </c>
      <c r="AD768" s="43" t="s">
        <v>916</v>
      </c>
      <c r="AE768" s="33" t="s">
        <v>916</v>
      </c>
      <c r="AF768" s="35" t="s">
        <v>916</v>
      </c>
      <c r="AG768" s="44">
        <v>491866.6</v>
      </c>
      <c r="AH768" s="42" t="s">
        <v>916</v>
      </c>
      <c r="AI768" s="32" t="e">
        <f>VLOOKUP(A768,'4月明細'!B:B,1,0)</f>
        <v>#N/A</v>
      </c>
    </row>
    <row r="769" spans="1:35" ht="19.95" customHeight="1" x14ac:dyDescent="0.3">
      <c r="A769" s="33" t="s">
        <v>2836</v>
      </c>
      <c r="B769" s="34">
        <v>46062.392430555556</v>
      </c>
      <c r="C769" s="34" t="str">
        <f t="shared" si="24"/>
        <v>202602</v>
      </c>
      <c r="D769" s="35" t="s">
        <v>2310</v>
      </c>
      <c r="E769" s="36" t="s">
        <v>1149</v>
      </c>
      <c r="F769" s="36" t="s">
        <v>2529</v>
      </c>
      <c r="G769" s="37" t="s">
        <v>2837</v>
      </c>
      <c r="H769" s="36" t="s">
        <v>928</v>
      </c>
      <c r="I769" s="35" t="s">
        <v>2838</v>
      </c>
      <c r="J769" s="36" t="s">
        <v>938</v>
      </c>
      <c r="K769" s="33" t="s">
        <v>916</v>
      </c>
      <c r="L769" s="35" t="s">
        <v>916</v>
      </c>
      <c r="M769" s="36" t="s">
        <v>1135</v>
      </c>
      <c r="N769" s="45">
        <v>46062.636111111111</v>
      </c>
      <c r="O769" s="36" t="s">
        <v>1920</v>
      </c>
      <c r="P769" s="38">
        <v>0.24368055559999999</v>
      </c>
      <c r="Q769" s="39" t="s">
        <v>2839</v>
      </c>
      <c r="R769" s="35" t="s">
        <v>916</v>
      </c>
      <c r="S769" s="35"/>
      <c r="T769" s="35" t="s">
        <v>1624</v>
      </c>
      <c r="U769" s="40">
        <v>46063</v>
      </c>
      <c r="V769" s="41">
        <v>46153.532789351855</v>
      </c>
      <c r="W769" s="40">
        <v>46062</v>
      </c>
      <c r="X769" s="35" t="s">
        <v>916</v>
      </c>
      <c r="Y769" s="35" t="s">
        <v>916</v>
      </c>
      <c r="Z769" s="35" t="s">
        <v>916</v>
      </c>
      <c r="AA769" s="38">
        <v>5.8483333344000004</v>
      </c>
      <c r="AB769" s="42" t="s">
        <v>916</v>
      </c>
      <c r="AC769" s="43" t="s">
        <v>916</v>
      </c>
      <c r="AD769" s="43" t="s">
        <v>916</v>
      </c>
      <c r="AE769" s="33" t="s">
        <v>916</v>
      </c>
      <c r="AF769" s="35" t="s">
        <v>916</v>
      </c>
      <c r="AG769" s="44">
        <v>491847.26666666672</v>
      </c>
      <c r="AH769" s="42" t="s">
        <v>916</v>
      </c>
      <c r="AI769" s="32" t="e">
        <f>VLOOKUP(A769,'4月明細'!B:B,1,0)</f>
        <v>#N/A</v>
      </c>
    </row>
    <row r="770" spans="1:35" ht="19.95" customHeight="1" x14ac:dyDescent="0.3">
      <c r="A770" s="33" t="s">
        <v>2840</v>
      </c>
      <c r="B770" s="34">
        <v>46062.391377314816</v>
      </c>
      <c r="C770" s="34" t="str">
        <f t="shared" si="24"/>
        <v>202602</v>
      </c>
      <c r="D770" s="35" t="s">
        <v>2310</v>
      </c>
      <c r="E770" s="36" t="s">
        <v>1149</v>
      </c>
      <c r="F770" s="36" t="s">
        <v>2841</v>
      </c>
      <c r="G770" s="37" t="s">
        <v>2842</v>
      </c>
      <c r="H770" s="36" t="s">
        <v>1023</v>
      </c>
      <c r="I770" s="35" t="s">
        <v>2843</v>
      </c>
      <c r="J770" s="36" t="s">
        <v>938</v>
      </c>
      <c r="K770" s="33" t="s">
        <v>916</v>
      </c>
      <c r="L770" s="35" t="s">
        <v>916</v>
      </c>
      <c r="M770" s="36" t="s">
        <v>916</v>
      </c>
      <c r="N770" s="45">
        <v>46063.59097222222</v>
      </c>
      <c r="O770" s="36" t="s">
        <v>918</v>
      </c>
      <c r="P770" s="38">
        <v>1.1995949074000001</v>
      </c>
      <c r="Q770" s="39" t="s">
        <v>2844</v>
      </c>
      <c r="R770" s="46" t="s">
        <v>2845</v>
      </c>
      <c r="S770" s="35"/>
      <c r="T770" s="35" t="s">
        <v>1624</v>
      </c>
      <c r="U770" s="40">
        <v>46063</v>
      </c>
      <c r="V770" s="41">
        <v>46153.532789351855</v>
      </c>
      <c r="W770" s="40">
        <v>46062</v>
      </c>
      <c r="X770" s="35" t="s">
        <v>916</v>
      </c>
      <c r="Y770" s="35" t="s">
        <v>916</v>
      </c>
      <c r="Z770" s="35" t="s">
        <v>916</v>
      </c>
      <c r="AA770" s="38">
        <v>28.7902777776</v>
      </c>
      <c r="AB770" s="42" t="s">
        <v>916</v>
      </c>
      <c r="AC770" s="43" t="s">
        <v>916</v>
      </c>
      <c r="AD770" s="43" t="s">
        <v>916</v>
      </c>
      <c r="AE770" s="33" t="s">
        <v>916</v>
      </c>
      <c r="AF770" s="35" t="s">
        <v>916</v>
      </c>
      <c r="AG770" s="44">
        <v>491848.43333333329</v>
      </c>
      <c r="AH770" s="42" t="s">
        <v>916</v>
      </c>
      <c r="AI770" s="32" t="e">
        <f>VLOOKUP(A770,'4月明細'!B:B,1,0)</f>
        <v>#N/A</v>
      </c>
    </row>
    <row r="771" spans="1:35" ht="19.95" customHeight="1" x14ac:dyDescent="0.3">
      <c r="A771" s="33" t="s">
        <v>2846</v>
      </c>
      <c r="B771" s="34">
        <v>46062.390717592592</v>
      </c>
      <c r="C771" s="34" t="str">
        <f t="shared" ref="C771:C834" si="25">TEXT(B771,"YYYYMM")</f>
        <v>202602</v>
      </c>
      <c r="D771" s="35" t="s">
        <v>2310</v>
      </c>
      <c r="E771" s="36" t="s">
        <v>1149</v>
      </c>
      <c r="F771" s="36" t="s">
        <v>1924</v>
      </c>
      <c r="G771" s="37" t="s">
        <v>2847</v>
      </c>
      <c r="H771" s="36" t="s">
        <v>954</v>
      </c>
      <c r="I771" s="35" t="s">
        <v>2848</v>
      </c>
      <c r="J771" s="36" t="s">
        <v>938</v>
      </c>
      <c r="K771" s="33" t="s">
        <v>916</v>
      </c>
      <c r="L771" s="35" t="s">
        <v>916</v>
      </c>
      <c r="M771" s="36" t="s">
        <v>916</v>
      </c>
      <c r="N771" s="45">
        <v>46083.65902777778</v>
      </c>
      <c r="O771" s="36" t="s">
        <v>918</v>
      </c>
      <c r="P771" s="38">
        <v>21.268310185200001</v>
      </c>
      <c r="Q771" s="36" t="s">
        <v>916</v>
      </c>
      <c r="R771" s="35" t="s">
        <v>916</v>
      </c>
      <c r="S771" s="35"/>
      <c r="T771" s="35" t="s">
        <v>1624</v>
      </c>
      <c r="U771" s="40">
        <v>46063</v>
      </c>
      <c r="V771" s="41">
        <v>46153.532789351855</v>
      </c>
      <c r="W771" s="40">
        <v>46062</v>
      </c>
      <c r="X771" s="35" t="s">
        <v>916</v>
      </c>
      <c r="Y771" s="35" t="s">
        <v>916</v>
      </c>
      <c r="Z771" s="35" t="s">
        <v>916</v>
      </c>
      <c r="AA771" s="38">
        <v>510.43944444480002</v>
      </c>
      <c r="AB771" s="42" t="s">
        <v>916</v>
      </c>
      <c r="AC771" s="43" t="s">
        <v>916</v>
      </c>
      <c r="AD771" s="43" t="s">
        <v>916</v>
      </c>
      <c r="AE771" s="33" t="s">
        <v>916</v>
      </c>
      <c r="AF771" s="35" t="s">
        <v>916</v>
      </c>
      <c r="AG771" s="44">
        <v>0</v>
      </c>
      <c r="AH771" s="42" t="s">
        <v>916</v>
      </c>
      <c r="AI771" s="32" t="e">
        <f>VLOOKUP(A771,'4月明細'!B:B,1,0)</f>
        <v>#N/A</v>
      </c>
    </row>
    <row r="772" spans="1:35" ht="19.95" customHeight="1" x14ac:dyDescent="0.3">
      <c r="A772" s="33" t="s">
        <v>372</v>
      </c>
      <c r="B772" s="34">
        <v>46062.390057870369</v>
      </c>
      <c r="C772" s="34" t="str">
        <f t="shared" si="25"/>
        <v>202602</v>
      </c>
      <c r="D772" s="35" t="s">
        <v>2310</v>
      </c>
      <c r="E772" s="36" t="s">
        <v>1149</v>
      </c>
      <c r="F772" s="36" t="s">
        <v>2017</v>
      </c>
      <c r="G772" s="37" t="s">
        <v>2849</v>
      </c>
      <c r="H772" s="36" t="s">
        <v>954</v>
      </c>
      <c r="I772" s="35" t="s">
        <v>2850</v>
      </c>
      <c r="J772" s="36" t="s">
        <v>938</v>
      </c>
      <c r="K772" s="33" t="s">
        <v>916</v>
      </c>
      <c r="L772" s="35" t="s">
        <v>916</v>
      </c>
      <c r="M772" s="36" t="s">
        <v>916</v>
      </c>
      <c r="N772" s="45">
        <v>46065.490972222222</v>
      </c>
      <c r="O772" s="36" t="s">
        <v>25</v>
      </c>
      <c r="P772" s="38">
        <v>3.1009143518000002</v>
      </c>
      <c r="Q772" s="39" t="s">
        <v>2851</v>
      </c>
      <c r="R772" s="35" t="s">
        <v>916</v>
      </c>
      <c r="S772" s="35" t="s">
        <v>2852</v>
      </c>
      <c r="T772" s="35" t="s">
        <v>1624</v>
      </c>
      <c r="U772" s="40">
        <v>46063</v>
      </c>
      <c r="V772" s="41">
        <v>46153.532789351855</v>
      </c>
      <c r="W772" s="40">
        <v>46062</v>
      </c>
      <c r="X772" s="35" t="s">
        <v>916</v>
      </c>
      <c r="Y772" s="35" t="s">
        <v>916</v>
      </c>
      <c r="Z772" s="35" t="s">
        <v>916</v>
      </c>
      <c r="AA772" s="38">
        <v>74.421944443200005</v>
      </c>
      <c r="AB772" s="42" t="s">
        <v>916</v>
      </c>
      <c r="AC772" s="43" t="s">
        <v>916</v>
      </c>
      <c r="AD772" s="43" t="s">
        <v>916</v>
      </c>
      <c r="AE772" s="33" t="s">
        <v>916</v>
      </c>
      <c r="AF772" s="35" t="s">
        <v>916</v>
      </c>
      <c r="AG772" s="44">
        <v>491915.8</v>
      </c>
      <c r="AH772" s="42" t="s">
        <v>916</v>
      </c>
      <c r="AI772" s="32" t="e">
        <f>VLOOKUP(A772,'4月明細'!B:B,1,0)</f>
        <v>#N/A</v>
      </c>
    </row>
    <row r="773" spans="1:35" ht="19.95" customHeight="1" x14ac:dyDescent="0.3">
      <c r="A773" s="33" t="s">
        <v>2853</v>
      </c>
      <c r="B773" s="34">
        <v>46062.389050925929</v>
      </c>
      <c r="C773" s="34" t="str">
        <f t="shared" si="25"/>
        <v>202602</v>
      </c>
      <c r="D773" s="35" t="s">
        <v>2310</v>
      </c>
      <c r="E773" s="36" t="s">
        <v>1149</v>
      </c>
      <c r="F773" s="36" t="s">
        <v>2017</v>
      </c>
      <c r="G773" s="37" t="s">
        <v>2854</v>
      </c>
      <c r="H773" s="36" t="s">
        <v>928</v>
      </c>
      <c r="I773" s="35" t="s">
        <v>2855</v>
      </c>
      <c r="J773" s="36" t="s">
        <v>938</v>
      </c>
      <c r="K773" s="33" t="s">
        <v>916</v>
      </c>
      <c r="L773" s="35" t="s">
        <v>916</v>
      </c>
      <c r="M773" s="36" t="s">
        <v>957</v>
      </c>
      <c r="N773" s="45">
        <v>46065.628472222219</v>
      </c>
      <c r="O773" s="36" t="s">
        <v>1384</v>
      </c>
      <c r="P773" s="38">
        <v>3.2394212963000002</v>
      </c>
      <c r="Q773" s="39" t="s">
        <v>2856</v>
      </c>
      <c r="R773" s="35" t="s">
        <v>916</v>
      </c>
      <c r="S773" s="35"/>
      <c r="T773" s="35" t="s">
        <v>1624</v>
      </c>
      <c r="U773" s="40">
        <v>46063</v>
      </c>
      <c r="V773" s="41">
        <v>46153.532789351855</v>
      </c>
      <c r="W773" s="40">
        <v>46062</v>
      </c>
      <c r="X773" s="35" t="s">
        <v>916</v>
      </c>
      <c r="Y773" s="35" t="s">
        <v>916</v>
      </c>
      <c r="Z773" s="35" t="s">
        <v>916</v>
      </c>
      <c r="AA773" s="38">
        <v>77.746111111199994</v>
      </c>
      <c r="AB773" s="42" t="s">
        <v>916</v>
      </c>
      <c r="AC773" s="43" t="s">
        <v>916</v>
      </c>
      <c r="AD773" s="43" t="s">
        <v>916</v>
      </c>
      <c r="AE773" s="33" t="s">
        <v>916</v>
      </c>
      <c r="AF773" s="35" t="s">
        <v>916</v>
      </c>
      <c r="AG773" s="44">
        <v>491919.08333333337</v>
      </c>
      <c r="AH773" s="42" t="s">
        <v>916</v>
      </c>
      <c r="AI773" s="32" t="e">
        <f>VLOOKUP(A773,'4月明細'!B:B,1,0)</f>
        <v>#N/A</v>
      </c>
    </row>
    <row r="774" spans="1:35" ht="19.95" customHeight="1" x14ac:dyDescent="0.3">
      <c r="A774" s="33" t="s">
        <v>2857</v>
      </c>
      <c r="B774" s="34">
        <v>46062.386782407404</v>
      </c>
      <c r="C774" s="34" t="str">
        <f t="shared" si="25"/>
        <v>202602</v>
      </c>
      <c r="D774" s="35" t="s">
        <v>2310</v>
      </c>
      <c r="E774" s="36" t="s">
        <v>1149</v>
      </c>
      <c r="F774" s="36" t="s">
        <v>1429</v>
      </c>
      <c r="G774" s="37" t="s">
        <v>2858</v>
      </c>
      <c r="H774" s="36" t="s">
        <v>928</v>
      </c>
      <c r="I774" s="35" t="s">
        <v>2859</v>
      </c>
      <c r="J774" s="36" t="s">
        <v>938</v>
      </c>
      <c r="K774" s="33" t="s">
        <v>916</v>
      </c>
      <c r="L774" s="35" t="s">
        <v>916</v>
      </c>
      <c r="M774" s="36" t="s">
        <v>916</v>
      </c>
      <c r="N774" s="45">
        <v>46083.654861111114</v>
      </c>
      <c r="O774" s="36" t="s">
        <v>918</v>
      </c>
      <c r="P774" s="38">
        <v>21.268078703699999</v>
      </c>
      <c r="Q774" s="39" t="s">
        <v>2860</v>
      </c>
      <c r="R774" s="35" t="s">
        <v>916</v>
      </c>
      <c r="S774" s="35"/>
      <c r="T774" s="35" t="s">
        <v>1624</v>
      </c>
      <c r="U774" s="40">
        <v>46063</v>
      </c>
      <c r="V774" s="41">
        <v>46153.532789351855</v>
      </c>
      <c r="W774" s="40">
        <v>46062</v>
      </c>
      <c r="X774" s="35" t="s">
        <v>916</v>
      </c>
      <c r="Y774" s="35" t="s">
        <v>916</v>
      </c>
      <c r="Z774" s="35" t="s">
        <v>916</v>
      </c>
      <c r="AA774" s="38">
        <v>510.43388888880003</v>
      </c>
      <c r="AB774" s="42" t="s">
        <v>916</v>
      </c>
      <c r="AC774" s="43" t="s">
        <v>916</v>
      </c>
      <c r="AD774" s="43" t="s">
        <v>916</v>
      </c>
      <c r="AE774" s="33" t="s">
        <v>916</v>
      </c>
      <c r="AF774" s="35" t="s">
        <v>916</v>
      </c>
      <c r="AG774" s="44">
        <v>0</v>
      </c>
      <c r="AH774" s="42" t="s">
        <v>916</v>
      </c>
      <c r="AI774" s="32" t="e">
        <f>VLOOKUP(A774,'4月明細'!B:B,1,0)</f>
        <v>#N/A</v>
      </c>
    </row>
    <row r="775" spans="1:35" ht="19.95" customHeight="1" x14ac:dyDescent="0.3">
      <c r="A775" s="33" t="s">
        <v>371</v>
      </c>
      <c r="B775" s="34">
        <v>46062.377962962964</v>
      </c>
      <c r="C775" s="34" t="str">
        <f t="shared" si="25"/>
        <v>202602</v>
      </c>
      <c r="D775" s="35" t="s">
        <v>1856</v>
      </c>
      <c r="E775" s="36" t="s">
        <v>942</v>
      </c>
      <c r="F775" s="36" t="s">
        <v>1537</v>
      </c>
      <c r="G775" s="37" t="s">
        <v>2861</v>
      </c>
      <c r="H775" s="36" t="s">
        <v>913</v>
      </c>
      <c r="I775" s="35"/>
      <c r="J775" s="36" t="s">
        <v>945</v>
      </c>
      <c r="K775" s="33" t="s">
        <v>916</v>
      </c>
      <c r="L775" s="35" t="s">
        <v>916</v>
      </c>
      <c r="M775" s="36" t="s">
        <v>1039</v>
      </c>
      <c r="N775" s="45">
        <v>46062.401388888888</v>
      </c>
      <c r="O775" s="36" t="s">
        <v>25</v>
      </c>
      <c r="P775" s="38">
        <v>2.3425925899999998E-2</v>
      </c>
      <c r="Q775" s="39" t="s">
        <v>2862</v>
      </c>
      <c r="R775" s="35" t="s">
        <v>916</v>
      </c>
      <c r="S775" s="35"/>
      <c r="T775" s="35" t="s">
        <v>1701</v>
      </c>
      <c r="U775" s="40">
        <v>46063</v>
      </c>
      <c r="V775" s="41">
        <v>46153.532789351855</v>
      </c>
      <c r="W775" s="40">
        <v>46062</v>
      </c>
      <c r="X775" s="35" t="s">
        <v>916</v>
      </c>
      <c r="Y775" s="35" t="s">
        <v>916</v>
      </c>
      <c r="Z775" s="35" t="s">
        <v>916</v>
      </c>
      <c r="AA775" s="38">
        <v>0.56222222160000002</v>
      </c>
      <c r="AB775" s="42" t="s">
        <v>916</v>
      </c>
      <c r="AC775" s="43" t="s">
        <v>916</v>
      </c>
      <c r="AD775" s="43" t="s">
        <v>916</v>
      </c>
      <c r="AE775" s="33" t="s">
        <v>916</v>
      </c>
      <c r="AF775" s="35" t="s">
        <v>916</v>
      </c>
      <c r="AG775" s="44">
        <v>0</v>
      </c>
      <c r="AH775" s="42" t="s">
        <v>916</v>
      </c>
      <c r="AI775" s="32" t="e">
        <f>VLOOKUP(A775,'4月明細'!B:B,1,0)</f>
        <v>#N/A</v>
      </c>
    </row>
    <row r="776" spans="1:35" ht="19.95" customHeight="1" x14ac:dyDescent="0.3">
      <c r="A776" s="33" t="s">
        <v>370</v>
      </c>
      <c r="B776" s="34">
        <v>46061.827928240738</v>
      </c>
      <c r="C776" s="34" t="str">
        <f t="shared" si="25"/>
        <v>202602</v>
      </c>
      <c r="D776" s="35" t="s">
        <v>1829</v>
      </c>
      <c r="E776" s="36" t="s">
        <v>1112</v>
      </c>
      <c r="F776" s="36" t="s">
        <v>2614</v>
      </c>
      <c r="G776" s="37" t="s">
        <v>2863</v>
      </c>
      <c r="H776" s="36" t="s">
        <v>928</v>
      </c>
      <c r="I776" s="35"/>
      <c r="J776" s="36" t="s">
        <v>945</v>
      </c>
      <c r="K776" s="33" t="s">
        <v>916</v>
      </c>
      <c r="L776" s="35" t="s">
        <v>916</v>
      </c>
      <c r="M776" s="36" t="s">
        <v>916</v>
      </c>
      <c r="N776" s="45">
        <v>46062.407638888886</v>
      </c>
      <c r="O776" s="36" t="s">
        <v>25</v>
      </c>
      <c r="P776" s="38">
        <v>0.57971064809999995</v>
      </c>
      <c r="Q776" s="39" t="s">
        <v>2303</v>
      </c>
      <c r="R776" s="35" t="s">
        <v>916</v>
      </c>
      <c r="S776" s="35"/>
      <c r="T776" s="35" t="s">
        <v>1701</v>
      </c>
      <c r="U776" s="40">
        <v>46062</v>
      </c>
      <c r="V776" s="41">
        <v>46153.532789351855</v>
      </c>
      <c r="W776" s="40">
        <v>46061</v>
      </c>
      <c r="X776" s="35" t="s">
        <v>916</v>
      </c>
      <c r="Y776" s="35" t="s">
        <v>916</v>
      </c>
      <c r="Z776" s="35" t="s">
        <v>916</v>
      </c>
      <c r="AA776" s="38">
        <v>13.9130555544</v>
      </c>
      <c r="AB776" s="42" t="s">
        <v>916</v>
      </c>
      <c r="AC776" s="43" t="s">
        <v>916</v>
      </c>
      <c r="AD776" s="43" t="s">
        <v>916</v>
      </c>
      <c r="AE776" s="33" t="s">
        <v>916</v>
      </c>
      <c r="AF776" s="35" t="s">
        <v>916</v>
      </c>
      <c r="AG776" s="44">
        <v>0</v>
      </c>
      <c r="AH776" s="42" t="s">
        <v>916</v>
      </c>
      <c r="AI776" s="32" t="e">
        <f>VLOOKUP(A776,'4月明細'!B:B,1,0)</f>
        <v>#N/A</v>
      </c>
    </row>
    <row r="777" spans="1:35" ht="19.95" customHeight="1" x14ac:dyDescent="0.3">
      <c r="A777" s="33" t="s">
        <v>369</v>
      </c>
      <c r="B777" s="34">
        <v>46061.539351851854</v>
      </c>
      <c r="C777" s="34" t="str">
        <f t="shared" si="25"/>
        <v>202602</v>
      </c>
      <c r="D777" s="35" t="s">
        <v>951</v>
      </c>
      <c r="E777" s="36" t="s">
        <v>910</v>
      </c>
      <c r="F777" s="36" t="s">
        <v>1240</v>
      </c>
      <c r="G777" s="37" t="s">
        <v>2864</v>
      </c>
      <c r="H777" s="36" t="s">
        <v>1078</v>
      </c>
      <c r="I777" s="35" t="s">
        <v>2865</v>
      </c>
      <c r="J777" s="36" t="s">
        <v>914</v>
      </c>
      <c r="K777" s="33" t="s">
        <v>916</v>
      </c>
      <c r="L777" s="35" t="s">
        <v>916</v>
      </c>
      <c r="M777" s="36" t="s">
        <v>1039</v>
      </c>
      <c r="N777" s="45">
        <v>46061.724305555559</v>
      </c>
      <c r="O777" s="36" t="s">
        <v>25</v>
      </c>
      <c r="P777" s="38">
        <v>0.1849537037</v>
      </c>
      <c r="Q777" s="39" t="s">
        <v>2866</v>
      </c>
      <c r="R777" s="35" t="s">
        <v>916</v>
      </c>
      <c r="S777" s="35"/>
      <c r="T777" s="35" t="s">
        <v>1701</v>
      </c>
      <c r="U777" s="40">
        <v>46062</v>
      </c>
      <c r="V777" s="41">
        <v>46153.532789351855</v>
      </c>
      <c r="W777" s="40">
        <v>46061</v>
      </c>
      <c r="X777" s="35" t="s">
        <v>916</v>
      </c>
      <c r="Y777" s="35" t="s">
        <v>916</v>
      </c>
      <c r="Z777" s="35" t="s">
        <v>916</v>
      </c>
      <c r="AA777" s="38">
        <v>4.4388888888000002</v>
      </c>
      <c r="AB777" s="42" t="s">
        <v>916</v>
      </c>
      <c r="AC777" s="43" t="s">
        <v>916</v>
      </c>
      <c r="AD777" s="43" t="s">
        <v>916</v>
      </c>
      <c r="AE777" s="33" t="s">
        <v>916</v>
      </c>
      <c r="AF777" s="35" t="s">
        <v>916</v>
      </c>
      <c r="AG777" s="44">
        <v>0</v>
      </c>
      <c r="AH777" s="42" t="s">
        <v>916</v>
      </c>
      <c r="AI777" s="32" t="e">
        <f>VLOOKUP(A777,'4月明細'!B:B,1,0)</f>
        <v>#N/A</v>
      </c>
    </row>
    <row r="778" spans="1:35" ht="19.95" customHeight="1" x14ac:dyDescent="0.3">
      <c r="A778" s="33" t="s">
        <v>368</v>
      </c>
      <c r="B778" s="34">
        <v>46061.513958333337</v>
      </c>
      <c r="C778" s="34" t="str">
        <f t="shared" si="25"/>
        <v>202602</v>
      </c>
      <c r="D778" s="35" t="s">
        <v>909</v>
      </c>
      <c r="E778" s="36" t="s">
        <v>910</v>
      </c>
      <c r="F778" s="36" t="s">
        <v>1130</v>
      </c>
      <c r="G778" s="37" t="s">
        <v>2867</v>
      </c>
      <c r="H778" s="36" t="s">
        <v>928</v>
      </c>
      <c r="I778" s="35"/>
      <c r="J778" s="36" t="s">
        <v>929</v>
      </c>
      <c r="K778" s="33" t="s">
        <v>916</v>
      </c>
      <c r="L778" s="35" t="s">
        <v>916</v>
      </c>
      <c r="M778" s="36" t="s">
        <v>916</v>
      </c>
      <c r="N778" s="45">
        <v>46062.409722222219</v>
      </c>
      <c r="O778" s="36" t="s">
        <v>25</v>
      </c>
      <c r="P778" s="38">
        <v>0.89576388890000003</v>
      </c>
      <c r="Q778" s="39" t="s">
        <v>2868</v>
      </c>
      <c r="R778" s="35" t="s">
        <v>916</v>
      </c>
      <c r="S778" s="35"/>
      <c r="T778" s="35" t="s">
        <v>1701</v>
      </c>
      <c r="U778" s="40">
        <v>46062</v>
      </c>
      <c r="V778" s="41">
        <v>46153.532789351855</v>
      </c>
      <c r="W778" s="40">
        <v>46061</v>
      </c>
      <c r="X778" s="35" t="s">
        <v>916</v>
      </c>
      <c r="Y778" s="35" t="s">
        <v>916</v>
      </c>
      <c r="Z778" s="35" t="s">
        <v>916</v>
      </c>
      <c r="AA778" s="38">
        <v>21.498333333600002</v>
      </c>
      <c r="AB778" s="42" t="s">
        <v>916</v>
      </c>
      <c r="AC778" s="43" t="s">
        <v>916</v>
      </c>
      <c r="AD778" s="43" t="s">
        <v>916</v>
      </c>
      <c r="AE778" s="33" t="s">
        <v>916</v>
      </c>
      <c r="AF778" s="35" t="s">
        <v>916</v>
      </c>
      <c r="AG778" s="44">
        <v>0</v>
      </c>
      <c r="AH778" s="42" t="s">
        <v>916</v>
      </c>
      <c r="AI778" s="32" t="e">
        <f>VLOOKUP(A778,'4月明細'!B:B,1,0)</f>
        <v>#N/A</v>
      </c>
    </row>
    <row r="779" spans="1:35" ht="19.95" customHeight="1" x14ac:dyDescent="0.3">
      <c r="A779" s="33" t="s">
        <v>367</v>
      </c>
      <c r="B779" s="34">
        <v>46061.509525462963</v>
      </c>
      <c r="C779" s="34" t="str">
        <f t="shared" si="25"/>
        <v>202602</v>
      </c>
      <c r="D779" s="35" t="s">
        <v>2869</v>
      </c>
      <c r="E779" s="36" t="s">
        <v>910</v>
      </c>
      <c r="F779" s="36" t="s">
        <v>943</v>
      </c>
      <c r="G779" s="37" t="s">
        <v>2870</v>
      </c>
      <c r="H779" s="36" t="s">
        <v>928</v>
      </c>
      <c r="I779" s="35" t="s">
        <v>2871</v>
      </c>
      <c r="J779" s="36" t="s">
        <v>929</v>
      </c>
      <c r="K779" s="33" t="s">
        <v>916</v>
      </c>
      <c r="L779" s="35" t="s">
        <v>916</v>
      </c>
      <c r="M779" s="36" t="s">
        <v>916</v>
      </c>
      <c r="N779" s="45">
        <v>46062.728472222225</v>
      </c>
      <c r="O779" s="36" t="s">
        <v>25</v>
      </c>
      <c r="P779" s="38">
        <v>1.2189467593000001</v>
      </c>
      <c r="Q779" s="39" t="s">
        <v>2872</v>
      </c>
      <c r="R779" s="35" t="s">
        <v>916</v>
      </c>
      <c r="S779" s="35"/>
      <c r="T779" s="35" t="s">
        <v>1624</v>
      </c>
      <c r="U779" s="40">
        <v>46062</v>
      </c>
      <c r="V779" s="41">
        <v>46153.532789351855</v>
      </c>
      <c r="W779" s="40">
        <v>46061</v>
      </c>
      <c r="X779" s="35" t="s">
        <v>916</v>
      </c>
      <c r="Y779" s="35" t="s">
        <v>916</v>
      </c>
      <c r="Z779" s="35" t="s">
        <v>916</v>
      </c>
      <c r="AA779" s="38">
        <v>29.254722223200002</v>
      </c>
      <c r="AB779" s="42" t="s">
        <v>916</v>
      </c>
      <c r="AC779" s="43" t="s">
        <v>916</v>
      </c>
      <c r="AD779" s="43" t="s">
        <v>916</v>
      </c>
      <c r="AE779" s="33" t="s">
        <v>916</v>
      </c>
      <c r="AF779" s="35" t="s">
        <v>916</v>
      </c>
      <c r="AG779" s="44">
        <v>491849.4833333334</v>
      </c>
      <c r="AH779" s="42" t="s">
        <v>916</v>
      </c>
      <c r="AI779" s="32" t="e">
        <f>VLOOKUP(A779,'4月明細'!B:B,1,0)</f>
        <v>#N/A</v>
      </c>
    </row>
    <row r="780" spans="1:35" ht="19.95" customHeight="1" x14ac:dyDescent="0.3">
      <c r="A780" s="33" t="s">
        <v>501</v>
      </c>
      <c r="B780" s="34">
        <v>46061.464641203704</v>
      </c>
      <c r="C780" s="34" t="str">
        <f t="shared" si="25"/>
        <v>202602</v>
      </c>
      <c r="D780" s="35" t="s">
        <v>951</v>
      </c>
      <c r="E780" s="36" t="s">
        <v>910</v>
      </c>
      <c r="F780" s="36" t="s">
        <v>1076</v>
      </c>
      <c r="G780" s="37" t="s">
        <v>2873</v>
      </c>
      <c r="H780" s="36" t="s">
        <v>1023</v>
      </c>
      <c r="I780" s="35" t="s">
        <v>2874</v>
      </c>
      <c r="J780" s="36" t="s">
        <v>914</v>
      </c>
      <c r="K780" s="33" t="s">
        <v>916</v>
      </c>
      <c r="L780" s="35" t="s">
        <v>916</v>
      </c>
      <c r="M780" s="36" t="s">
        <v>1039</v>
      </c>
      <c r="N780" s="45">
        <v>46098.472222222219</v>
      </c>
      <c r="O780" s="36" t="s">
        <v>25</v>
      </c>
      <c r="P780" s="38">
        <v>37.007581018499998</v>
      </c>
      <c r="Q780" s="39" t="s">
        <v>2875</v>
      </c>
      <c r="R780" s="35" t="s">
        <v>916</v>
      </c>
      <c r="S780" s="35" t="s">
        <v>2876</v>
      </c>
      <c r="T780" s="35" t="s">
        <v>1624</v>
      </c>
      <c r="U780" s="40">
        <v>46062</v>
      </c>
      <c r="V780" s="41">
        <v>46153.532789351855</v>
      </c>
      <c r="W780" s="40">
        <v>46061</v>
      </c>
      <c r="X780" s="35" t="s">
        <v>916</v>
      </c>
      <c r="Y780" s="35" t="s">
        <v>916</v>
      </c>
      <c r="Z780" s="35" t="s">
        <v>916</v>
      </c>
      <c r="AA780" s="38">
        <v>888.18194444400001</v>
      </c>
      <c r="AB780" s="42" t="s">
        <v>916</v>
      </c>
      <c r="AC780" s="43" t="s">
        <v>916</v>
      </c>
      <c r="AD780" s="43" t="s">
        <v>916</v>
      </c>
      <c r="AE780" s="33" t="s">
        <v>916</v>
      </c>
      <c r="AF780" s="35" t="s">
        <v>916</v>
      </c>
      <c r="AG780" s="44">
        <v>491849.51666666672</v>
      </c>
      <c r="AH780" s="42" t="s">
        <v>916</v>
      </c>
      <c r="AI780" s="32" t="e">
        <f>VLOOKUP(A780,'4月明細'!B:B,1,0)</f>
        <v>#N/A</v>
      </c>
    </row>
    <row r="781" spans="1:35" ht="19.95" customHeight="1" x14ac:dyDescent="0.3">
      <c r="A781" s="33" t="s">
        <v>366</v>
      </c>
      <c r="B781" s="34">
        <v>46061.44703703704</v>
      </c>
      <c r="C781" s="34" t="str">
        <f t="shared" si="25"/>
        <v>202602</v>
      </c>
      <c r="D781" s="35" t="s">
        <v>951</v>
      </c>
      <c r="E781" s="36" t="s">
        <v>910</v>
      </c>
      <c r="F781" s="36" t="s">
        <v>1537</v>
      </c>
      <c r="G781" s="37" t="s">
        <v>2877</v>
      </c>
      <c r="H781" s="36" t="s">
        <v>1078</v>
      </c>
      <c r="I781" s="35" t="s">
        <v>2878</v>
      </c>
      <c r="J781" s="36" t="s">
        <v>914</v>
      </c>
      <c r="K781" s="33" t="s">
        <v>916</v>
      </c>
      <c r="L781" s="35" t="s">
        <v>916</v>
      </c>
      <c r="M781" s="36" t="s">
        <v>1039</v>
      </c>
      <c r="N781" s="45">
        <v>46062.411111111112</v>
      </c>
      <c r="O781" s="36" t="s">
        <v>25</v>
      </c>
      <c r="P781" s="38">
        <v>0.96407407410000001</v>
      </c>
      <c r="Q781" s="39" t="s">
        <v>2879</v>
      </c>
      <c r="R781" s="35" t="s">
        <v>916</v>
      </c>
      <c r="S781" s="35"/>
      <c r="T781" s="35" t="s">
        <v>1624</v>
      </c>
      <c r="U781" s="40">
        <v>46062</v>
      </c>
      <c r="V781" s="41">
        <v>46153.532789351855</v>
      </c>
      <c r="W781" s="40">
        <v>46061</v>
      </c>
      <c r="X781" s="35" t="s">
        <v>916</v>
      </c>
      <c r="Y781" s="35" t="s">
        <v>916</v>
      </c>
      <c r="Z781" s="35" t="s">
        <v>916</v>
      </c>
      <c r="AA781" s="38">
        <v>23.1377777784</v>
      </c>
      <c r="AB781" s="42" t="s">
        <v>916</v>
      </c>
      <c r="AC781" s="43" t="s">
        <v>916</v>
      </c>
      <c r="AD781" s="43" t="s">
        <v>916</v>
      </c>
      <c r="AE781" s="33" t="s">
        <v>916</v>
      </c>
      <c r="AF781" s="35" t="s">
        <v>916</v>
      </c>
      <c r="AG781" s="44">
        <v>0</v>
      </c>
      <c r="AH781" s="42" t="s">
        <v>916</v>
      </c>
      <c r="AI781" s="32" t="e">
        <f>VLOOKUP(A781,'4月明細'!B:B,1,0)</f>
        <v>#N/A</v>
      </c>
    </row>
    <row r="782" spans="1:35" ht="19.95" customHeight="1" x14ac:dyDescent="0.3">
      <c r="A782" s="33" t="s">
        <v>365</v>
      </c>
      <c r="B782" s="34">
        <v>46061.425196759257</v>
      </c>
      <c r="C782" s="34" t="str">
        <f t="shared" si="25"/>
        <v>202602</v>
      </c>
      <c r="D782" s="35" t="s">
        <v>909</v>
      </c>
      <c r="E782" s="36" t="s">
        <v>910</v>
      </c>
      <c r="F782" s="36" t="s">
        <v>1123</v>
      </c>
      <c r="G782" s="37" t="s">
        <v>1499</v>
      </c>
      <c r="H782" s="36" t="s">
        <v>928</v>
      </c>
      <c r="I782" s="35" t="s">
        <v>2880</v>
      </c>
      <c r="J782" s="36" t="s">
        <v>929</v>
      </c>
      <c r="K782" s="33" t="s">
        <v>916</v>
      </c>
      <c r="L782" s="35" t="s">
        <v>916</v>
      </c>
      <c r="M782" s="36" t="s">
        <v>916</v>
      </c>
      <c r="N782" s="45">
        <v>46062.410416666666</v>
      </c>
      <c r="O782" s="36" t="s">
        <v>25</v>
      </c>
      <c r="P782" s="38">
        <v>0.98521990739999998</v>
      </c>
      <c r="Q782" s="39" t="s">
        <v>2881</v>
      </c>
      <c r="R782" s="35" t="s">
        <v>916</v>
      </c>
      <c r="S782" s="35"/>
      <c r="T782" s="35" t="s">
        <v>1701</v>
      </c>
      <c r="U782" s="40">
        <v>46062</v>
      </c>
      <c r="V782" s="41">
        <v>46153.532789351855</v>
      </c>
      <c r="W782" s="40">
        <v>46061</v>
      </c>
      <c r="X782" s="35" t="s">
        <v>916</v>
      </c>
      <c r="Y782" s="35" t="s">
        <v>916</v>
      </c>
      <c r="Z782" s="35" t="s">
        <v>916</v>
      </c>
      <c r="AA782" s="38">
        <v>23.6452777776</v>
      </c>
      <c r="AB782" s="42" t="s">
        <v>916</v>
      </c>
      <c r="AC782" s="43" t="s">
        <v>916</v>
      </c>
      <c r="AD782" s="43" t="s">
        <v>916</v>
      </c>
      <c r="AE782" s="33" t="s">
        <v>916</v>
      </c>
      <c r="AF782" s="35" t="s">
        <v>916</v>
      </c>
      <c r="AG782" s="44">
        <v>0</v>
      </c>
      <c r="AH782" s="42" t="s">
        <v>916</v>
      </c>
      <c r="AI782" s="32" t="e">
        <f>VLOOKUP(A782,'4月明細'!B:B,1,0)</f>
        <v>#N/A</v>
      </c>
    </row>
    <row r="783" spans="1:35" ht="19.95" customHeight="1" x14ac:dyDescent="0.3">
      <c r="A783" s="33" t="s">
        <v>364</v>
      </c>
      <c r="B783" s="34">
        <v>46060.636377314811</v>
      </c>
      <c r="C783" s="34" t="str">
        <f t="shared" si="25"/>
        <v>202602</v>
      </c>
      <c r="D783" s="35" t="s">
        <v>951</v>
      </c>
      <c r="E783" s="36" t="s">
        <v>910</v>
      </c>
      <c r="F783" s="36" t="s">
        <v>2882</v>
      </c>
      <c r="G783" s="37" t="s">
        <v>2883</v>
      </c>
      <c r="H783" s="36" t="s">
        <v>954</v>
      </c>
      <c r="I783" s="35" t="s">
        <v>2884</v>
      </c>
      <c r="J783" s="36" t="s">
        <v>929</v>
      </c>
      <c r="K783" s="33" t="s">
        <v>916</v>
      </c>
      <c r="L783" s="35" t="s">
        <v>916</v>
      </c>
      <c r="M783" s="36" t="s">
        <v>1039</v>
      </c>
      <c r="N783" s="45">
        <v>46062.411805555559</v>
      </c>
      <c r="O783" s="36" t="s">
        <v>25</v>
      </c>
      <c r="P783" s="38">
        <v>1.7754282406999999</v>
      </c>
      <c r="Q783" s="39" t="s">
        <v>2885</v>
      </c>
      <c r="R783" s="35" t="s">
        <v>916</v>
      </c>
      <c r="S783" s="35"/>
      <c r="T783" s="35" t="s">
        <v>1701</v>
      </c>
      <c r="U783" s="40">
        <v>46061</v>
      </c>
      <c r="V783" s="41">
        <v>46153.532789351855</v>
      </c>
      <c r="W783" s="40">
        <v>46060</v>
      </c>
      <c r="X783" s="35" t="s">
        <v>916</v>
      </c>
      <c r="Y783" s="35" t="s">
        <v>916</v>
      </c>
      <c r="Z783" s="35" t="s">
        <v>916</v>
      </c>
      <c r="AA783" s="38">
        <v>42.610277776799997</v>
      </c>
      <c r="AB783" s="42" t="s">
        <v>916</v>
      </c>
      <c r="AC783" s="43" t="s">
        <v>916</v>
      </c>
      <c r="AD783" s="43" t="s">
        <v>916</v>
      </c>
      <c r="AE783" s="33" t="s">
        <v>916</v>
      </c>
      <c r="AF783" s="35" t="s">
        <v>916</v>
      </c>
      <c r="AG783" s="44">
        <v>0</v>
      </c>
      <c r="AH783" s="42" t="s">
        <v>916</v>
      </c>
      <c r="AI783" s="32" t="e">
        <f>VLOOKUP(A783,'4月明細'!B:B,1,0)</f>
        <v>#N/A</v>
      </c>
    </row>
    <row r="784" spans="1:35" ht="19.95" customHeight="1" x14ac:dyDescent="0.3">
      <c r="A784" s="33" t="s">
        <v>363</v>
      </c>
      <c r="B784" s="34">
        <v>46060.622106481482</v>
      </c>
      <c r="C784" s="34" t="str">
        <f t="shared" si="25"/>
        <v>202602</v>
      </c>
      <c r="D784" s="35" t="s">
        <v>909</v>
      </c>
      <c r="E784" s="36" t="s">
        <v>910</v>
      </c>
      <c r="F784" s="36" t="s">
        <v>1050</v>
      </c>
      <c r="G784" s="37" t="s">
        <v>1725</v>
      </c>
      <c r="H784" s="36" t="s">
        <v>1023</v>
      </c>
      <c r="I784" s="35" t="s">
        <v>2886</v>
      </c>
      <c r="J784" s="36" t="s">
        <v>929</v>
      </c>
      <c r="K784" s="33" t="s">
        <v>916</v>
      </c>
      <c r="L784" s="35" t="s">
        <v>916</v>
      </c>
      <c r="M784" s="36" t="s">
        <v>957</v>
      </c>
      <c r="N784" s="45">
        <v>46062.404861111114</v>
      </c>
      <c r="O784" s="36" t="s">
        <v>25</v>
      </c>
      <c r="P784" s="38">
        <v>1.7827546296000001</v>
      </c>
      <c r="Q784" s="39" t="s">
        <v>2217</v>
      </c>
      <c r="R784" s="35" t="s">
        <v>916</v>
      </c>
      <c r="S784" s="35"/>
      <c r="T784" s="35" t="s">
        <v>1701</v>
      </c>
      <c r="U784" s="40">
        <v>46061</v>
      </c>
      <c r="V784" s="41">
        <v>46153.532789351855</v>
      </c>
      <c r="W784" s="40">
        <v>46060</v>
      </c>
      <c r="X784" s="35" t="s">
        <v>916</v>
      </c>
      <c r="Y784" s="35" t="s">
        <v>916</v>
      </c>
      <c r="Z784" s="35" t="s">
        <v>916</v>
      </c>
      <c r="AA784" s="38">
        <v>42.7861111104</v>
      </c>
      <c r="AB784" s="42" t="s">
        <v>916</v>
      </c>
      <c r="AC784" s="43" t="s">
        <v>916</v>
      </c>
      <c r="AD784" s="43" t="s">
        <v>916</v>
      </c>
      <c r="AE784" s="33" t="s">
        <v>916</v>
      </c>
      <c r="AF784" s="35" t="s">
        <v>916</v>
      </c>
      <c r="AG784" s="44">
        <v>0</v>
      </c>
      <c r="AH784" s="42" t="s">
        <v>916</v>
      </c>
      <c r="AI784" s="32" t="e">
        <f>VLOOKUP(A784,'4月明細'!B:B,1,0)</f>
        <v>#N/A</v>
      </c>
    </row>
    <row r="785" spans="1:35" ht="19.95" customHeight="1" x14ac:dyDescent="0.3">
      <c r="A785" s="33" t="s">
        <v>362</v>
      </c>
      <c r="B785" s="34">
        <v>46060.58766203704</v>
      </c>
      <c r="C785" s="34" t="str">
        <f t="shared" si="25"/>
        <v>202602</v>
      </c>
      <c r="D785" s="35" t="s">
        <v>909</v>
      </c>
      <c r="E785" s="36" t="s">
        <v>910</v>
      </c>
      <c r="F785" s="36" t="s">
        <v>976</v>
      </c>
      <c r="G785" s="37" t="s">
        <v>2887</v>
      </c>
      <c r="H785" s="36" t="s">
        <v>928</v>
      </c>
      <c r="I785" s="35" t="s">
        <v>2888</v>
      </c>
      <c r="J785" s="36" t="s">
        <v>929</v>
      </c>
      <c r="K785" s="33" t="s">
        <v>916</v>
      </c>
      <c r="L785" s="35" t="s">
        <v>916</v>
      </c>
      <c r="M785" s="36" t="s">
        <v>957</v>
      </c>
      <c r="N785" s="45">
        <v>46061.731249999997</v>
      </c>
      <c r="O785" s="36" t="s">
        <v>25</v>
      </c>
      <c r="P785" s="38">
        <v>1.1435879630000001</v>
      </c>
      <c r="Q785" s="39" t="s">
        <v>1391</v>
      </c>
      <c r="R785" s="35" t="s">
        <v>916</v>
      </c>
      <c r="S785" s="35"/>
      <c r="T785" s="35" t="s">
        <v>1701</v>
      </c>
      <c r="U785" s="40">
        <v>46061</v>
      </c>
      <c r="V785" s="41">
        <v>46153.532789351855</v>
      </c>
      <c r="W785" s="40">
        <v>46060</v>
      </c>
      <c r="X785" s="35" t="s">
        <v>916</v>
      </c>
      <c r="Y785" s="35" t="s">
        <v>916</v>
      </c>
      <c r="Z785" s="35" t="s">
        <v>916</v>
      </c>
      <c r="AA785" s="38">
        <v>27.446111112000001</v>
      </c>
      <c r="AB785" s="42" t="s">
        <v>916</v>
      </c>
      <c r="AC785" s="43" t="s">
        <v>916</v>
      </c>
      <c r="AD785" s="43" t="s">
        <v>916</v>
      </c>
      <c r="AE785" s="33" t="s">
        <v>916</v>
      </c>
      <c r="AF785" s="35" t="s">
        <v>916</v>
      </c>
      <c r="AG785" s="44">
        <v>0</v>
      </c>
      <c r="AH785" s="42" t="s">
        <v>916</v>
      </c>
      <c r="AI785" s="32" t="e">
        <f>VLOOKUP(A785,'4月明細'!B:B,1,0)</f>
        <v>#N/A</v>
      </c>
    </row>
    <row r="786" spans="1:35" ht="19.95" customHeight="1" x14ac:dyDescent="0.3">
      <c r="A786" s="33" t="s">
        <v>361</v>
      </c>
      <c r="B786" s="34">
        <v>46060.578692129631</v>
      </c>
      <c r="C786" s="34" t="str">
        <f t="shared" si="25"/>
        <v>202602</v>
      </c>
      <c r="D786" s="35" t="s">
        <v>951</v>
      </c>
      <c r="E786" s="36" t="s">
        <v>910</v>
      </c>
      <c r="F786" s="36" t="s">
        <v>1768</v>
      </c>
      <c r="G786" s="37" t="s">
        <v>2889</v>
      </c>
      <c r="H786" s="36" t="s">
        <v>928</v>
      </c>
      <c r="I786" s="35" t="s">
        <v>2890</v>
      </c>
      <c r="J786" s="36" t="s">
        <v>914</v>
      </c>
      <c r="K786" s="33" t="s">
        <v>916</v>
      </c>
      <c r="L786" s="35" t="s">
        <v>916</v>
      </c>
      <c r="M786" s="36" t="s">
        <v>957</v>
      </c>
      <c r="N786" s="45">
        <v>46062.669444444444</v>
      </c>
      <c r="O786" s="36" t="s">
        <v>25</v>
      </c>
      <c r="P786" s="38">
        <v>2.0907523148</v>
      </c>
      <c r="Q786" s="39" t="s">
        <v>2891</v>
      </c>
      <c r="R786" s="35" t="s">
        <v>916</v>
      </c>
      <c r="S786" s="35" t="s">
        <v>2892</v>
      </c>
      <c r="T786" s="35" t="s">
        <v>1624</v>
      </c>
      <c r="U786" s="40">
        <v>46061</v>
      </c>
      <c r="V786" s="41">
        <v>46153.532789351855</v>
      </c>
      <c r="W786" s="40">
        <v>46060</v>
      </c>
      <c r="X786" s="35" t="s">
        <v>916</v>
      </c>
      <c r="Y786" s="35" t="s">
        <v>916</v>
      </c>
      <c r="Z786" s="35" t="s">
        <v>916</v>
      </c>
      <c r="AA786" s="38">
        <v>50.178055555199997</v>
      </c>
      <c r="AB786" s="42" t="s">
        <v>916</v>
      </c>
      <c r="AC786" s="43" t="s">
        <v>916</v>
      </c>
      <c r="AD786" s="43" t="s">
        <v>916</v>
      </c>
      <c r="AE786" s="33" t="s">
        <v>916</v>
      </c>
      <c r="AF786" s="35" t="s">
        <v>916</v>
      </c>
      <c r="AG786" s="44">
        <v>491848.06666666671</v>
      </c>
      <c r="AH786" s="42" t="s">
        <v>916</v>
      </c>
      <c r="AI786" s="32" t="e">
        <f>VLOOKUP(A786,'4月明細'!B:B,1,0)</f>
        <v>#N/A</v>
      </c>
    </row>
    <row r="787" spans="1:35" ht="19.95" customHeight="1" x14ac:dyDescent="0.3">
      <c r="A787" s="33" t="s">
        <v>360</v>
      </c>
      <c r="B787" s="34">
        <v>46060.53502314815</v>
      </c>
      <c r="C787" s="34" t="str">
        <f t="shared" si="25"/>
        <v>202602</v>
      </c>
      <c r="D787" s="35" t="s">
        <v>951</v>
      </c>
      <c r="E787" s="36" t="s">
        <v>910</v>
      </c>
      <c r="F787" s="36" t="s">
        <v>2080</v>
      </c>
      <c r="G787" s="37" t="s">
        <v>2893</v>
      </c>
      <c r="H787" s="36" t="s">
        <v>913</v>
      </c>
      <c r="I787" s="35" t="s">
        <v>2894</v>
      </c>
      <c r="J787" s="36" t="s">
        <v>929</v>
      </c>
      <c r="K787" s="33" t="s">
        <v>916</v>
      </c>
      <c r="L787" s="35" t="s">
        <v>916</v>
      </c>
      <c r="M787" s="36" t="s">
        <v>957</v>
      </c>
      <c r="N787" s="45">
        <v>46062.40902777778</v>
      </c>
      <c r="O787" s="36" t="s">
        <v>25</v>
      </c>
      <c r="P787" s="38">
        <v>1.8740046295999999</v>
      </c>
      <c r="Q787" s="39" t="s">
        <v>2895</v>
      </c>
      <c r="R787" s="35" t="s">
        <v>916</v>
      </c>
      <c r="S787" s="35"/>
      <c r="T787" s="35" t="s">
        <v>1701</v>
      </c>
      <c r="U787" s="40">
        <v>46061</v>
      </c>
      <c r="V787" s="41">
        <v>46153.532789351855</v>
      </c>
      <c r="W787" s="40">
        <v>46060</v>
      </c>
      <c r="X787" s="35" t="s">
        <v>916</v>
      </c>
      <c r="Y787" s="35" t="s">
        <v>916</v>
      </c>
      <c r="Z787" s="35" t="s">
        <v>916</v>
      </c>
      <c r="AA787" s="38">
        <v>44.976111110399998</v>
      </c>
      <c r="AB787" s="42" t="s">
        <v>916</v>
      </c>
      <c r="AC787" s="43" t="s">
        <v>916</v>
      </c>
      <c r="AD787" s="43" t="s">
        <v>916</v>
      </c>
      <c r="AE787" s="33" t="s">
        <v>916</v>
      </c>
      <c r="AF787" s="35" t="s">
        <v>916</v>
      </c>
      <c r="AG787" s="44">
        <v>0</v>
      </c>
      <c r="AH787" s="42" t="s">
        <v>916</v>
      </c>
      <c r="AI787" s="32" t="e">
        <f>VLOOKUP(A787,'4月明細'!B:B,1,0)</f>
        <v>#N/A</v>
      </c>
    </row>
    <row r="788" spans="1:35" ht="19.95" customHeight="1" x14ac:dyDescent="0.3">
      <c r="A788" s="33" t="s">
        <v>359</v>
      </c>
      <c r="B788" s="34">
        <v>46060.516469907408</v>
      </c>
      <c r="C788" s="34" t="str">
        <f t="shared" si="25"/>
        <v>202602</v>
      </c>
      <c r="D788" s="35" t="s">
        <v>951</v>
      </c>
      <c r="E788" s="36" t="s">
        <v>910</v>
      </c>
      <c r="F788" s="36" t="s">
        <v>2080</v>
      </c>
      <c r="G788" s="37" t="s">
        <v>2896</v>
      </c>
      <c r="H788" s="36" t="s">
        <v>928</v>
      </c>
      <c r="I788" s="35"/>
      <c r="J788" s="36" t="s">
        <v>929</v>
      </c>
      <c r="K788" s="33" t="s">
        <v>916</v>
      </c>
      <c r="L788" s="35" t="s">
        <v>916</v>
      </c>
      <c r="M788" s="36" t="s">
        <v>1039</v>
      </c>
      <c r="N788" s="45">
        <v>46061.726388888892</v>
      </c>
      <c r="O788" s="36" t="s">
        <v>25</v>
      </c>
      <c r="P788" s="38">
        <v>1.2099189815</v>
      </c>
      <c r="Q788" s="39" t="s">
        <v>2897</v>
      </c>
      <c r="R788" s="35" t="s">
        <v>916</v>
      </c>
      <c r="S788" s="35"/>
      <c r="T788" s="35" t="s">
        <v>1701</v>
      </c>
      <c r="U788" s="40">
        <v>46061</v>
      </c>
      <c r="V788" s="41">
        <v>46153.532789351855</v>
      </c>
      <c r="W788" s="40">
        <v>46060</v>
      </c>
      <c r="X788" s="35" t="s">
        <v>916</v>
      </c>
      <c r="Y788" s="35" t="s">
        <v>916</v>
      </c>
      <c r="Z788" s="35" t="s">
        <v>916</v>
      </c>
      <c r="AA788" s="38">
        <v>29.038055556</v>
      </c>
      <c r="AB788" s="42" t="s">
        <v>916</v>
      </c>
      <c r="AC788" s="43" t="s">
        <v>916</v>
      </c>
      <c r="AD788" s="43" t="s">
        <v>916</v>
      </c>
      <c r="AE788" s="33" t="s">
        <v>916</v>
      </c>
      <c r="AF788" s="35" t="s">
        <v>916</v>
      </c>
      <c r="AG788" s="44">
        <v>0</v>
      </c>
      <c r="AH788" s="42" t="s">
        <v>916</v>
      </c>
      <c r="AI788" s="32" t="e">
        <f>VLOOKUP(A788,'4月明細'!B:B,1,0)</f>
        <v>#N/A</v>
      </c>
    </row>
    <row r="789" spans="1:35" ht="19.95" customHeight="1" x14ac:dyDescent="0.3">
      <c r="A789" s="33" t="s">
        <v>358</v>
      </c>
      <c r="B789" s="34">
        <v>46060.487812500003</v>
      </c>
      <c r="C789" s="34" t="str">
        <f t="shared" si="25"/>
        <v>202602</v>
      </c>
      <c r="D789" s="35" t="s">
        <v>951</v>
      </c>
      <c r="E789" s="36" t="s">
        <v>910</v>
      </c>
      <c r="F789" s="36" t="s">
        <v>1475</v>
      </c>
      <c r="G789" s="37" t="s">
        <v>2898</v>
      </c>
      <c r="H789" s="36" t="s">
        <v>928</v>
      </c>
      <c r="I789" s="35"/>
      <c r="J789" s="36" t="s">
        <v>914</v>
      </c>
      <c r="K789" s="33" t="s">
        <v>916</v>
      </c>
      <c r="L789" s="35" t="s">
        <v>916</v>
      </c>
      <c r="M789" s="36" t="s">
        <v>1039</v>
      </c>
      <c r="N789" s="45">
        <v>46061.727083333331</v>
      </c>
      <c r="O789" s="36" t="s">
        <v>25</v>
      </c>
      <c r="P789" s="38">
        <v>1.2392708333</v>
      </c>
      <c r="Q789" s="39" t="s">
        <v>1328</v>
      </c>
      <c r="R789" s="35" t="s">
        <v>916</v>
      </c>
      <c r="S789" s="35"/>
      <c r="T789" s="35" t="s">
        <v>1701</v>
      </c>
      <c r="U789" s="40">
        <v>46061</v>
      </c>
      <c r="V789" s="41">
        <v>46153.532789351855</v>
      </c>
      <c r="W789" s="40">
        <v>46060</v>
      </c>
      <c r="X789" s="35" t="s">
        <v>916</v>
      </c>
      <c r="Y789" s="35" t="s">
        <v>916</v>
      </c>
      <c r="Z789" s="35" t="s">
        <v>916</v>
      </c>
      <c r="AA789" s="38">
        <v>29.7424999992</v>
      </c>
      <c r="AB789" s="42" t="s">
        <v>916</v>
      </c>
      <c r="AC789" s="43" t="s">
        <v>916</v>
      </c>
      <c r="AD789" s="43" t="s">
        <v>916</v>
      </c>
      <c r="AE789" s="33" t="s">
        <v>916</v>
      </c>
      <c r="AF789" s="35" t="s">
        <v>916</v>
      </c>
      <c r="AG789" s="44">
        <v>0</v>
      </c>
      <c r="AH789" s="42" t="s">
        <v>916</v>
      </c>
      <c r="AI789" s="32" t="e">
        <f>VLOOKUP(A789,'4月明細'!B:B,1,0)</f>
        <v>#N/A</v>
      </c>
    </row>
    <row r="790" spans="1:35" ht="19.95" customHeight="1" x14ac:dyDescent="0.3">
      <c r="A790" s="33" t="s">
        <v>2899</v>
      </c>
      <c r="B790" s="34">
        <v>46060.483078703706</v>
      </c>
      <c r="C790" s="34" t="str">
        <f t="shared" si="25"/>
        <v>202602</v>
      </c>
      <c r="D790" s="35" t="s">
        <v>909</v>
      </c>
      <c r="E790" s="36" t="s">
        <v>910</v>
      </c>
      <c r="F790" s="36" t="s">
        <v>1924</v>
      </c>
      <c r="G790" s="37" t="s">
        <v>2900</v>
      </c>
      <c r="H790" s="36" t="s">
        <v>928</v>
      </c>
      <c r="I790" s="35" t="s">
        <v>2901</v>
      </c>
      <c r="J790" s="36" t="s">
        <v>929</v>
      </c>
      <c r="K790" s="33" t="s">
        <v>916</v>
      </c>
      <c r="L790" s="35" t="s">
        <v>916</v>
      </c>
      <c r="M790" s="36" t="s">
        <v>916</v>
      </c>
      <c r="N790" s="45">
        <v>46085.884027777778</v>
      </c>
      <c r="O790" s="36" t="s">
        <v>939</v>
      </c>
      <c r="P790" s="38">
        <v>25.400949074100001</v>
      </c>
      <c r="Q790" s="39" t="s">
        <v>2369</v>
      </c>
      <c r="R790" s="35" t="s">
        <v>916</v>
      </c>
      <c r="S790" s="35"/>
      <c r="T790" s="35" t="s">
        <v>1624</v>
      </c>
      <c r="U790" s="40">
        <v>46061</v>
      </c>
      <c r="V790" s="41">
        <v>46153.532789351855</v>
      </c>
      <c r="W790" s="40">
        <v>46060</v>
      </c>
      <c r="X790" s="40">
        <v>46153</v>
      </c>
      <c r="Y790" s="35" t="s">
        <v>916</v>
      </c>
      <c r="Z790" s="35" t="s">
        <v>916</v>
      </c>
      <c r="AA790" s="38">
        <v>609.62277777839995</v>
      </c>
      <c r="AB790" s="42" t="s">
        <v>916</v>
      </c>
      <c r="AC790" s="43" t="s">
        <v>916</v>
      </c>
      <c r="AD790" s="43" t="s">
        <v>916</v>
      </c>
      <c r="AE790" s="33" t="s">
        <v>916</v>
      </c>
      <c r="AF790" s="35" t="s">
        <v>916</v>
      </c>
      <c r="AG790" s="44">
        <v>491975.41666666669</v>
      </c>
      <c r="AH790" s="42" t="s">
        <v>916</v>
      </c>
      <c r="AI790" s="32" t="e">
        <f>VLOOKUP(A790,'4月明細'!B:B,1,0)</f>
        <v>#N/A</v>
      </c>
    </row>
    <row r="791" spans="1:35" ht="19.95" customHeight="1" x14ac:dyDescent="0.3">
      <c r="A791" s="33" t="s">
        <v>2902</v>
      </c>
      <c r="B791" s="34">
        <v>46060.464189814818</v>
      </c>
      <c r="C791" s="34" t="str">
        <f t="shared" si="25"/>
        <v>202602</v>
      </c>
      <c r="D791" s="35" t="s">
        <v>909</v>
      </c>
      <c r="E791" s="36" t="s">
        <v>910</v>
      </c>
      <c r="F791" s="36" t="s">
        <v>1237</v>
      </c>
      <c r="G791" s="37" t="s">
        <v>2900</v>
      </c>
      <c r="H791" s="36" t="s">
        <v>928</v>
      </c>
      <c r="I791" s="35" t="s">
        <v>2903</v>
      </c>
      <c r="J791" s="36" t="s">
        <v>929</v>
      </c>
      <c r="K791" s="33" t="s">
        <v>916</v>
      </c>
      <c r="L791" s="35" t="s">
        <v>916</v>
      </c>
      <c r="M791" s="36" t="s">
        <v>916</v>
      </c>
      <c r="N791" s="45">
        <v>46085.884027777778</v>
      </c>
      <c r="O791" s="36" t="s">
        <v>939</v>
      </c>
      <c r="P791" s="38">
        <v>25.419837962999999</v>
      </c>
      <c r="Q791" s="39" t="s">
        <v>2369</v>
      </c>
      <c r="R791" s="35" t="s">
        <v>916</v>
      </c>
      <c r="S791" s="35"/>
      <c r="T791" s="35" t="s">
        <v>1624</v>
      </c>
      <c r="U791" s="40">
        <v>46061</v>
      </c>
      <c r="V791" s="41">
        <v>46153.532789351855</v>
      </c>
      <c r="W791" s="40">
        <v>46060</v>
      </c>
      <c r="X791" s="40">
        <v>46153</v>
      </c>
      <c r="Y791" s="35" t="s">
        <v>916</v>
      </c>
      <c r="Z791" s="35" t="s">
        <v>916</v>
      </c>
      <c r="AA791" s="38">
        <v>610.07611111200004</v>
      </c>
      <c r="AB791" s="42" t="s">
        <v>916</v>
      </c>
      <c r="AC791" s="43" t="s">
        <v>916</v>
      </c>
      <c r="AD791" s="43" t="s">
        <v>916</v>
      </c>
      <c r="AE791" s="33" t="s">
        <v>916</v>
      </c>
      <c r="AF791" s="35" t="s">
        <v>916</v>
      </c>
      <c r="AG791" s="44">
        <v>0</v>
      </c>
      <c r="AH791" s="42" t="s">
        <v>916</v>
      </c>
      <c r="AI791" s="32" t="e">
        <f>VLOOKUP(A791,'4月明細'!B:B,1,0)</f>
        <v>#N/A</v>
      </c>
    </row>
    <row r="792" spans="1:35" ht="19.95" customHeight="1" x14ac:dyDescent="0.3">
      <c r="A792" s="33" t="s">
        <v>2904</v>
      </c>
      <c r="B792" s="34">
        <v>46060.459282407406</v>
      </c>
      <c r="C792" s="34" t="str">
        <f t="shared" si="25"/>
        <v>202602</v>
      </c>
      <c r="D792" s="35" t="s">
        <v>909</v>
      </c>
      <c r="E792" s="36" t="s">
        <v>910</v>
      </c>
      <c r="F792" s="36" t="s">
        <v>1004</v>
      </c>
      <c r="G792" s="37" t="s">
        <v>2900</v>
      </c>
      <c r="H792" s="36" t="s">
        <v>928</v>
      </c>
      <c r="I792" s="35" t="s">
        <v>2905</v>
      </c>
      <c r="J792" s="36" t="s">
        <v>929</v>
      </c>
      <c r="K792" s="33" t="s">
        <v>916</v>
      </c>
      <c r="L792" s="35" t="s">
        <v>916</v>
      </c>
      <c r="M792" s="36" t="s">
        <v>916</v>
      </c>
      <c r="N792" s="45">
        <v>46085.884027777778</v>
      </c>
      <c r="O792" s="36" t="s">
        <v>939</v>
      </c>
      <c r="P792" s="38">
        <v>25.4247453704</v>
      </c>
      <c r="Q792" s="39" t="s">
        <v>2369</v>
      </c>
      <c r="R792" s="35" t="s">
        <v>916</v>
      </c>
      <c r="S792" s="35"/>
      <c r="T792" s="35" t="s">
        <v>1624</v>
      </c>
      <c r="U792" s="40">
        <v>46061</v>
      </c>
      <c r="V792" s="41">
        <v>46153.532789351855</v>
      </c>
      <c r="W792" s="40">
        <v>46060</v>
      </c>
      <c r="X792" s="40">
        <v>46153</v>
      </c>
      <c r="Y792" s="35" t="s">
        <v>916</v>
      </c>
      <c r="Z792" s="35" t="s">
        <v>916</v>
      </c>
      <c r="AA792" s="38">
        <v>610.19388888959998</v>
      </c>
      <c r="AB792" s="42" t="s">
        <v>916</v>
      </c>
      <c r="AC792" s="43" t="s">
        <v>916</v>
      </c>
      <c r="AD792" s="43" t="s">
        <v>916</v>
      </c>
      <c r="AE792" s="33" t="s">
        <v>916</v>
      </c>
      <c r="AF792" s="35" t="s">
        <v>916</v>
      </c>
      <c r="AG792" s="44">
        <v>491975.45000000013</v>
      </c>
      <c r="AH792" s="42" t="s">
        <v>916</v>
      </c>
      <c r="AI792" s="32" t="e">
        <f>VLOOKUP(A792,'4月明細'!B:B,1,0)</f>
        <v>#N/A</v>
      </c>
    </row>
    <row r="793" spans="1:35" ht="19.95" customHeight="1" x14ac:dyDescent="0.3">
      <c r="A793" s="33" t="s">
        <v>2906</v>
      </c>
      <c r="B793" s="34">
        <v>46060.45590277778</v>
      </c>
      <c r="C793" s="34" t="str">
        <f t="shared" si="25"/>
        <v>202602</v>
      </c>
      <c r="D793" s="35" t="s">
        <v>909</v>
      </c>
      <c r="E793" s="36" t="s">
        <v>910</v>
      </c>
      <c r="F793" s="36" t="s">
        <v>1225</v>
      </c>
      <c r="G793" s="37" t="s">
        <v>2900</v>
      </c>
      <c r="H793" s="36" t="s">
        <v>928</v>
      </c>
      <c r="I793" s="35" t="s">
        <v>2907</v>
      </c>
      <c r="J793" s="36" t="s">
        <v>929</v>
      </c>
      <c r="K793" s="33" t="s">
        <v>916</v>
      </c>
      <c r="L793" s="35" t="s">
        <v>916</v>
      </c>
      <c r="M793" s="36" t="s">
        <v>916</v>
      </c>
      <c r="N793" s="45">
        <v>46085.884027777778</v>
      </c>
      <c r="O793" s="36" t="s">
        <v>939</v>
      </c>
      <c r="P793" s="38">
        <v>25.428125000000001</v>
      </c>
      <c r="Q793" s="39" t="s">
        <v>2369</v>
      </c>
      <c r="R793" s="35" t="s">
        <v>916</v>
      </c>
      <c r="S793" s="35"/>
      <c r="T793" s="35" t="s">
        <v>1624</v>
      </c>
      <c r="U793" s="40">
        <v>46061</v>
      </c>
      <c r="V793" s="41">
        <v>46153.532789351855</v>
      </c>
      <c r="W793" s="40">
        <v>46060</v>
      </c>
      <c r="X793" s="40">
        <v>46153</v>
      </c>
      <c r="Y793" s="35" t="s">
        <v>916</v>
      </c>
      <c r="Z793" s="35" t="s">
        <v>916</v>
      </c>
      <c r="AA793" s="38">
        <v>610.27499999999998</v>
      </c>
      <c r="AB793" s="42" t="s">
        <v>916</v>
      </c>
      <c r="AC793" s="43" t="s">
        <v>916</v>
      </c>
      <c r="AD793" s="43" t="s">
        <v>916</v>
      </c>
      <c r="AE793" s="33" t="s">
        <v>916</v>
      </c>
      <c r="AF793" s="35" t="s">
        <v>916</v>
      </c>
      <c r="AG793" s="44">
        <v>491975.45000000013</v>
      </c>
      <c r="AH793" s="42" t="s">
        <v>916</v>
      </c>
      <c r="AI793" s="32" t="e">
        <f>VLOOKUP(A793,'4月明細'!B:B,1,0)</f>
        <v>#N/A</v>
      </c>
    </row>
    <row r="794" spans="1:35" ht="19.95" customHeight="1" x14ac:dyDescent="0.3">
      <c r="A794" s="33" t="s">
        <v>2908</v>
      </c>
      <c r="B794" s="34">
        <v>46060.444456018522</v>
      </c>
      <c r="C794" s="34" t="str">
        <f t="shared" si="25"/>
        <v>202602</v>
      </c>
      <c r="D794" s="35" t="s">
        <v>909</v>
      </c>
      <c r="E794" s="36" t="s">
        <v>910</v>
      </c>
      <c r="F794" s="36" t="s">
        <v>1546</v>
      </c>
      <c r="G794" s="37" t="s">
        <v>2900</v>
      </c>
      <c r="H794" s="36" t="s">
        <v>928</v>
      </c>
      <c r="I794" s="35" t="s">
        <v>2909</v>
      </c>
      <c r="J794" s="36" t="s">
        <v>929</v>
      </c>
      <c r="K794" s="33" t="s">
        <v>916</v>
      </c>
      <c r="L794" s="35" t="s">
        <v>916</v>
      </c>
      <c r="M794" s="36" t="s">
        <v>916</v>
      </c>
      <c r="N794" s="45">
        <v>46085.884722222225</v>
      </c>
      <c r="O794" s="36" t="s">
        <v>939</v>
      </c>
      <c r="P794" s="38">
        <v>25.440266203699998</v>
      </c>
      <c r="Q794" s="39" t="s">
        <v>2369</v>
      </c>
      <c r="R794" s="35" t="s">
        <v>916</v>
      </c>
      <c r="S794" s="35"/>
      <c r="T794" s="35" t="s">
        <v>1624</v>
      </c>
      <c r="U794" s="40">
        <v>46061</v>
      </c>
      <c r="V794" s="41">
        <v>46153.532789351855</v>
      </c>
      <c r="W794" s="40">
        <v>46060</v>
      </c>
      <c r="X794" s="40">
        <v>46153</v>
      </c>
      <c r="Y794" s="35" t="s">
        <v>916</v>
      </c>
      <c r="Z794" s="35" t="s">
        <v>916</v>
      </c>
      <c r="AA794" s="38">
        <v>610.56638888880002</v>
      </c>
      <c r="AB794" s="42" t="s">
        <v>916</v>
      </c>
      <c r="AC794" s="43" t="s">
        <v>916</v>
      </c>
      <c r="AD794" s="43" t="s">
        <v>916</v>
      </c>
      <c r="AE794" s="33" t="s">
        <v>916</v>
      </c>
      <c r="AF794" s="35" t="s">
        <v>916</v>
      </c>
      <c r="AG794" s="44">
        <v>491975.46666666667</v>
      </c>
      <c r="AH794" s="42" t="s">
        <v>916</v>
      </c>
      <c r="AI794" s="32" t="e">
        <f>VLOOKUP(A794,'4月明細'!B:B,1,0)</f>
        <v>#N/A</v>
      </c>
    </row>
    <row r="795" spans="1:35" ht="19.95" customHeight="1" x14ac:dyDescent="0.3">
      <c r="A795" s="33" t="s">
        <v>357</v>
      </c>
      <c r="B795" s="34">
        <v>46060.412511574075</v>
      </c>
      <c r="C795" s="34" t="str">
        <f t="shared" si="25"/>
        <v>202602</v>
      </c>
      <c r="D795" s="35" t="s">
        <v>1178</v>
      </c>
      <c r="E795" s="36" t="s">
        <v>910</v>
      </c>
      <c r="F795" s="36" t="s">
        <v>2090</v>
      </c>
      <c r="G795" s="37" t="s">
        <v>2910</v>
      </c>
      <c r="H795" s="36" t="s">
        <v>928</v>
      </c>
      <c r="I795" s="35" t="s">
        <v>2911</v>
      </c>
      <c r="J795" s="36" t="s">
        <v>938</v>
      </c>
      <c r="K795" s="33" t="s">
        <v>916</v>
      </c>
      <c r="L795" s="35" t="s">
        <v>916</v>
      </c>
      <c r="M795" s="36" t="s">
        <v>1039</v>
      </c>
      <c r="N795" s="45">
        <v>46061.725694444445</v>
      </c>
      <c r="O795" s="36" t="s">
        <v>25</v>
      </c>
      <c r="P795" s="38">
        <v>1.3131828703999999</v>
      </c>
      <c r="Q795" s="39" t="s">
        <v>2912</v>
      </c>
      <c r="R795" s="35" t="s">
        <v>916</v>
      </c>
      <c r="S795" s="35"/>
      <c r="T795" s="35" t="s">
        <v>1701</v>
      </c>
      <c r="U795" s="40">
        <v>46061</v>
      </c>
      <c r="V795" s="41">
        <v>46153.532789351855</v>
      </c>
      <c r="W795" s="40">
        <v>46060</v>
      </c>
      <c r="X795" s="35" t="s">
        <v>916</v>
      </c>
      <c r="Y795" s="35" t="s">
        <v>916</v>
      </c>
      <c r="Z795" s="35" t="s">
        <v>916</v>
      </c>
      <c r="AA795" s="38">
        <v>31.516388889600002</v>
      </c>
      <c r="AB795" s="42" t="s">
        <v>916</v>
      </c>
      <c r="AC795" s="43" t="s">
        <v>916</v>
      </c>
      <c r="AD795" s="43" t="s">
        <v>916</v>
      </c>
      <c r="AE795" s="33" t="s">
        <v>916</v>
      </c>
      <c r="AF795" s="35" t="s">
        <v>916</v>
      </c>
      <c r="AG795" s="44">
        <v>0</v>
      </c>
      <c r="AH795" s="42" t="s">
        <v>916</v>
      </c>
      <c r="AI795" s="32" t="e">
        <f>VLOOKUP(A795,'4月明細'!B:B,1,0)</f>
        <v>#N/A</v>
      </c>
    </row>
    <row r="796" spans="1:35" ht="19.95" customHeight="1" x14ac:dyDescent="0.3">
      <c r="A796" s="33" t="s">
        <v>356</v>
      </c>
      <c r="B796" s="34">
        <v>46059.7187037037</v>
      </c>
      <c r="C796" s="34" t="str">
        <f t="shared" si="25"/>
        <v>202602</v>
      </c>
      <c r="D796" s="35" t="s">
        <v>996</v>
      </c>
      <c r="E796" s="36" t="s">
        <v>910</v>
      </c>
      <c r="F796" s="36" t="s">
        <v>1010</v>
      </c>
      <c r="G796" s="37" t="s">
        <v>2913</v>
      </c>
      <c r="H796" s="36" t="s">
        <v>1078</v>
      </c>
      <c r="I796" s="35"/>
      <c r="J796" s="36" t="s">
        <v>929</v>
      </c>
      <c r="K796" s="33" t="s">
        <v>916</v>
      </c>
      <c r="L796" s="35" t="s">
        <v>916</v>
      </c>
      <c r="M796" s="36" t="s">
        <v>916</v>
      </c>
      <c r="N796" s="45">
        <v>46063.504166666666</v>
      </c>
      <c r="O796" s="36" t="s">
        <v>25</v>
      </c>
      <c r="P796" s="38">
        <v>3.7854629630000001</v>
      </c>
      <c r="Q796" s="39" t="s">
        <v>2914</v>
      </c>
      <c r="R796" s="35" t="s">
        <v>916</v>
      </c>
      <c r="S796" s="35"/>
      <c r="T796" s="35" t="s">
        <v>1624</v>
      </c>
      <c r="U796" s="40">
        <v>46060</v>
      </c>
      <c r="V796" s="41">
        <v>46153.532789351855</v>
      </c>
      <c r="W796" s="40">
        <v>46059</v>
      </c>
      <c r="X796" s="35" t="s">
        <v>916</v>
      </c>
      <c r="Y796" s="35" t="s">
        <v>916</v>
      </c>
      <c r="Z796" s="35" t="s">
        <v>916</v>
      </c>
      <c r="AA796" s="38">
        <v>90.851111111999998</v>
      </c>
      <c r="AB796" s="42" t="s">
        <v>916</v>
      </c>
      <c r="AC796" s="43" t="s">
        <v>916</v>
      </c>
      <c r="AD796" s="43" t="s">
        <v>916</v>
      </c>
      <c r="AE796" s="33" t="s">
        <v>916</v>
      </c>
      <c r="AF796" s="35" t="s">
        <v>916</v>
      </c>
      <c r="AG796" s="44">
        <v>491868.1</v>
      </c>
      <c r="AH796" s="42" t="s">
        <v>916</v>
      </c>
      <c r="AI796" s="32" t="e">
        <f>VLOOKUP(A796,'4月明細'!B:B,1,0)</f>
        <v>#N/A</v>
      </c>
    </row>
    <row r="797" spans="1:35" ht="19.95" customHeight="1" x14ac:dyDescent="0.3">
      <c r="A797" s="33" t="s">
        <v>355</v>
      </c>
      <c r="B797" s="34">
        <v>46059.647905092592</v>
      </c>
      <c r="C797" s="34" t="str">
        <f t="shared" si="25"/>
        <v>202602</v>
      </c>
      <c r="D797" s="35" t="s">
        <v>960</v>
      </c>
      <c r="E797" s="36" t="s">
        <v>942</v>
      </c>
      <c r="F797" s="36" t="s">
        <v>1377</v>
      </c>
      <c r="G797" s="37" t="s">
        <v>2915</v>
      </c>
      <c r="H797" s="36" t="s">
        <v>913</v>
      </c>
      <c r="I797" s="35"/>
      <c r="J797" s="36" t="s">
        <v>945</v>
      </c>
      <c r="K797" s="33" t="s">
        <v>916</v>
      </c>
      <c r="L797" s="35" t="s">
        <v>916</v>
      </c>
      <c r="M797" s="36" t="s">
        <v>957</v>
      </c>
      <c r="N797" s="45">
        <v>46062.671527777777</v>
      </c>
      <c r="O797" s="36" t="s">
        <v>25</v>
      </c>
      <c r="P797" s="38">
        <v>3.0236226851999999</v>
      </c>
      <c r="Q797" s="39" t="s">
        <v>2916</v>
      </c>
      <c r="R797" s="35" t="s">
        <v>916</v>
      </c>
      <c r="S797" s="35"/>
      <c r="T797" s="35" t="s">
        <v>1624</v>
      </c>
      <c r="U797" s="40">
        <v>46060</v>
      </c>
      <c r="V797" s="41">
        <v>46153.532789351855</v>
      </c>
      <c r="W797" s="40">
        <v>46059</v>
      </c>
      <c r="X797" s="35" t="s">
        <v>916</v>
      </c>
      <c r="Y797" s="35" t="s">
        <v>916</v>
      </c>
      <c r="Z797" s="35" t="s">
        <v>916</v>
      </c>
      <c r="AA797" s="38">
        <v>72.566944444800001</v>
      </c>
      <c r="AB797" s="42" t="s">
        <v>916</v>
      </c>
      <c r="AC797" s="43" t="s">
        <v>916</v>
      </c>
      <c r="AD797" s="43" t="s">
        <v>916</v>
      </c>
      <c r="AE797" s="33" t="s">
        <v>916</v>
      </c>
      <c r="AF797" s="35" t="s">
        <v>916</v>
      </c>
      <c r="AG797" s="44">
        <v>491848.11666666658</v>
      </c>
      <c r="AH797" s="42" t="s">
        <v>916</v>
      </c>
      <c r="AI797" s="32" t="e">
        <f>VLOOKUP(A797,'4月明細'!B:B,1,0)</f>
        <v>#N/A</v>
      </c>
    </row>
    <row r="798" spans="1:35" ht="19.95" customHeight="1" x14ac:dyDescent="0.3">
      <c r="A798" s="33" t="s">
        <v>354</v>
      </c>
      <c r="B798" s="34">
        <v>46059.641192129631</v>
      </c>
      <c r="C798" s="34" t="str">
        <f t="shared" si="25"/>
        <v>202602</v>
      </c>
      <c r="D798" s="35" t="s">
        <v>996</v>
      </c>
      <c r="E798" s="36" t="s">
        <v>910</v>
      </c>
      <c r="F798" s="36" t="s">
        <v>1021</v>
      </c>
      <c r="G798" s="37" t="s">
        <v>2917</v>
      </c>
      <c r="H798" s="36" t="s">
        <v>954</v>
      </c>
      <c r="I798" s="35"/>
      <c r="J798" s="36" t="s">
        <v>929</v>
      </c>
      <c r="K798" s="33" t="s">
        <v>916</v>
      </c>
      <c r="L798" s="35" t="s">
        <v>916</v>
      </c>
      <c r="M798" s="36" t="s">
        <v>957</v>
      </c>
      <c r="N798" s="45">
        <v>46062.40625</v>
      </c>
      <c r="O798" s="36" t="s">
        <v>25</v>
      </c>
      <c r="P798" s="38">
        <v>2.7650578704000002</v>
      </c>
      <c r="Q798" s="39" t="s">
        <v>2918</v>
      </c>
      <c r="R798" s="35" t="s">
        <v>916</v>
      </c>
      <c r="S798" s="35"/>
      <c r="T798" s="35" t="s">
        <v>1701</v>
      </c>
      <c r="U798" s="40">
        <v>46060</v>
      </c>
      <c r="V798" s="41">
        <v>46153.532789351855</v>
      </c>
      <c r="W798" s="40">
        <v>46059</v>
      </c>
      <c r="X798" s="35" t="s">
        <v>916</v>
      </c>
      <c r="Y798" s="35" t="s">
        <v>916</v>
      </c>
      <c r="Z798" s="35" t="s">
        <v>916</v>
      </c>
      <c r="AA798" s="38">
        <v>66.361388889599993</v>
      </c>
      <c r="AB798" s="42" t="s">
        <v>916</v>
      </c>
      <c r="AC798" s="43" t="s">
        <v>916</v>
      </c>
      <c r="AD798" s="43" t="s">
        <v>916</v>
      </c>
      <c r="AE798" s="33" t="s">
        <v>916</v>
      </c>
      <c r="AF798" s="35" t="s">
        <v>916</v>
      </c>
      <c r="AG798" s="44">
        <v>0</v>
      </c>
      <c r="AH798" s="42" t="s">
        <v>916</v>
      </c>
      <c r="AI798" s="32" t="e">
        <f>VLOOKUP(A798,'4月明細'!B:B,1,0)</f>
        <v>#N/A</v>
      </c>
    </row>
    <row r="799" spans="1:35" ht="19.95" customHeight="1" x14ac:dyDescent="0.3">
      <c r="A799" s="33" t="s">
        <v>353</v>
      </c>
      <c r="B799" s="34">
        <v>46058.825972222221</v>
      </c>
      <c r="C799" s="34" t="str">
        <f t="shared" si="25"/>
        <v>202602</v>
      </c>
      <c r="D799" s="35" t="s">
        <v>1829</v>
      </c>
      <c r="E799" s="36" t="s">
        <v>1112</v>
      </c>
      <c r="F799" s="36" t="s">
        <v>1672</v>
      </c>
      <c r="G799" s="37" t="s">
        <v>2919</v>
      </c>
      <c r="H799" s="36" t="s">
        <v>954</v>
      </c>
      <c r="I799" s="35"/>
      <c r="J799" s="36" t="s">
        <v>945</v>
      </c>
      <c r="K799" s="33" t="s">
        <v>916</v>
      </c>
      <c r="L799" s="35" t="s">
        <v>916</v>
      </c>
      <c r="M799" s="36" t="s">
        <v>916</v>
      </c>
      <c r="N799" s="45">
        <v>46062.637499999997</v>
      </c>
      <c r="O799" s="36" t="s">
        <v>25</v>
      </c>
      <c r="P799" s="38">
        <v>3.8115277777999998</v>
      </c>
      <c r="Q799" s="39" t="s">
        <v>2920</v>
      </c>
      <c r="R799" s="46" t="s">
        <v>2921</v>
      </c>
      <c r="S799" s="35"/>
      <c r="T799" s="35" t="s">
        <v>1701</v>
      </c>
      <c r="U799" s="40">
        <v>46059</v>
      </c>
      <c r="V799" s="41">
        <v>46153.532789351855</v>
      </c>
      <c r="W799" s="40">
        <v>46058</v>
      </c>
      <c r="X799" s="35" t="s">
        <v>916</v>
      </c>
      <c r="Y799" s="35" t="s">
        <v>916</v>
      </c>
      <c r="Z799" s="35" t="s">
        <v>916</v>
      </c>
      <c r="AA799" s="38">
        <v>91.476666667200007</v>
      </c>
      <c r="AB799" s="42" t="s">
        <v>916</v>
      </c>
      <c r="AC799" s="43" t="s">
        <v>916</v>
      </c>
      <c r="AD799" s="43" t="s">
        <v>916</v>
      </c>
      <c r="AE799" s="33" t="s">
        <v>916</v>
      </c>
      <c r="AF799" s="35" t="s">
        <v>916</v>
      </c>
      <c r="AG799" s="44">
        <v>491769.43333333329</v>
      </c>
      <c r="AH799" s="42" t="s">
        <v>916</v>
      </c>
      <c r="AI799" s="32" t="e">
        <f>VLOOKUP(A799,'4月明細'!B:B,1,0)</f>
        <v>#N/A</v>
      </c>
    </row>
    <row r="800" spans="1:35" ht="19.95" customHeight="1" x14ac:dyDescent="0.3">
      <c r="A800" s="33" t="s">
        <v>352</v>
      </c>
      <c r="B800" s="34">
        <v>46058.713194444441</v>
      </c>
      <c r="C800" s="34" t="str">
        <f t="shared" si="25"/>
        <v>202602</v>
      </c>
      <c r="D800" s="35" t="s">
        <v>1653</v>
      </c>
      <c r="E800" s="36" t="s">
        <v>934</v>
      </c>
      <c r="F800" s="36" t="s">
        <v>2501</v>
      </c>
      <c r="G800" s="37" t="s">
        <v>2922</v>
      </c>
      <c r="H800" s="36" t="s">
        <v>928</v>
      </c>
      <c r="I800" s="35" t="s">
        <v>2923</v>
      </c>
      <c r="J800" s="36" t="s">
        <v>929</v>
      </c>
      <c r="K800" s="33" t="s">
        <v>916</v>
      </c>
      <c r="L800" s="35" t="s">
        <v>916</v>
      </c>
      <c r="M800" s="36" t="s">
        <v>957</v>
      </c>
      <c r="N800" s="45">
        <v>46062.405555555553</v>
      </c>
      <c r="O800" s="36" t="s">
        <v>25</v>
      </c>
      <c r="P800" s="38">
        <v>3.6923611110999999</v>
      </c>
      <c r="Q800" s="39" t="s">
        <v>1328</v>
      </c>
      <c r="R800" s="35" t="s">
        <v>916</v>
      </c>
      <c r="S800" s="35"/>
      <c r="T800" s="35" t="s">
        <v>1701</v>
      </c>
      <c r="U800" s="40">
        <v>46059</v>
      </c>
      <c r="V800" s="41">
        <v>46153.532789351855</v>
      </c>
      <c r="W800" s="40">
        <v>46058</v>
      </c>
      <c r="X800" s="35" t="s">
        <v>916</v>
      </c>
      <c r="Y800" s="35" t="s">
        <v>916</v>
      </c>
      <c r="Z800" s="35" t="s">
        <v>916</v>
      </c>
      <c r="AA800" s="38">
        <v>88.616666666399993</v>
      </c>
      <c r="AB800" s="42" t="s">
        <v>916</v>
      </c>
      <c r="AC800" s="43" t="s">
        <v>916</v>
      </c>
      <c r="AD800" s="43" t="s">
        <v>916</v>
      </c>
      <c r="AE800" s="33" t="s">
        <v>916</v>
      </c>
      <c r="AF800" s="35" t="s">
        <v>916</v>
      </c>
      <c r="AG800" s="44">
        <v>0</v>
      </c>
      <c r="AH800" s="42" t="s">
        <v>916</v>
      </c>
      <c r="AI800" s="32" t="e">
        <f>VLOOKUP(A800,'4月明細'!B:B,1,0)</f>
        <v>#N/A</v>
      </c>
    </row>
    <row r="801" spans="1:35" ht="19.95" customHeight="1" x14ac:dyDescent="0.3">
      <c r="A801" s="33" t="s">
        <v>2924</v>
      </c>
      <c r="B801" s="34">
        <v>46058.711805555555</v>
      </c>
      <c r="C801" s="34" t="str">
        <f t="shared" si="25"/>
        <v>202602</v>
      </c>
      <c r="D801" s="35" t="s">
        <v>1653</v>
      </c>
      <c r="E801" s="36" t="s">
        <v>934</v>
      </c>
      <c r="F801" s="36" t="s">
        <v>2501</v>
      </c>
      <c r="G801" s="37" t="s">
        <v>2925</v>
      </c>
      <c r="H801" s="36" t="s">
        <v>928</v>
      </c>
      <c r="I801" s="35"/>
      <c r="J801" s="36" t="s">
        <v>929</v>
      </c>
      <c r="K801" s="33" t="s">
        <v>916</v>
      </c>
      <c r="L801" s="35" t="s">
        <v>916</v>
      </c>
      <c r="M801" s="36" t="s">
        <v>916</v>
      </c>
      <c r="N801" s="45">
        <v>46083.654861111114</v>
      </c>
      <c r="O801" s="36" t="s">
        <v>918</v>
      </c>
      <c r="P801" s="38">
        <v>24.943055555600001</v>
      </c>
      <c r="Q801" s="39" t="s">
        <v>1404</v>
      </c>
      <c r="R801" s="35" t="s">
        <v>916</v>
      </c>
      <c r="S801" s="35"/>
      <c r="T801" s="35" t="s">
        <v>1624</v>
      </c>
      <c r="U801" s="40">
        <v>46059</v>
      </c>
      <c r="V801" s="41">
        <v>46153.532789351855</v>
      </c>
      <c r="W801" s="40">
        <v>46058</v>
      </c>
      <c r="X801" s="35" t="s">
        <v>916</v>
      </c>
      <c r="Y801" s="35" t="s">
        <v>916</v>
      </c>
      <c r="Z801" s="35" t="s">
        <v>916</v>
      </c>
      <c r="AA801" s="38">
        <v>598.63333333440005</v>
      </c>
      <c r="AB801" s="42" t="s">
        <v>916</v>
      </c>
      <c r="AC801" s="43" t="s">
        <v>916</v>
      </c>
      <c r="AD801" s="43" t="s">
        <v>916</v>
      </c>
      <c r="AE801" s="33" t="s">
        <v>916</v>
      </c>
      <c r="AF801" s="35" t="s">
        <v>916</v>
      </c>
      <c r="AG801" s="44">
        <v>0</v>
      </c>
      <c r="AH801" s="42" t="s">
        <v>916</v>
      </c>
      <c r="AI801" s="32" t="e">
        <f>VLOOKUP(A801,'4月明細'!B:B,1,0)</f>
        <v>#N/A</v>
      </c>
    </row>
    <row r="802" spans="1:35" ht="19.95" customHeight="1" x14ac:dyDescent="0.3">
      <c r="A802" s="33" t="s">
        <v>2926</v>
      </c>
      <c r="B802" s="34">
        <v>46058.711111111108</v>
      </c>
      <c r="C802" s="34" t="str">
        <f t="shared" si="25"/>
        <v>202602</v>
      </c>
      <c r="D802" s="35" t="s">
        <v>1653</v>
      </c>
      <c r="E802" s="36" t="s">
        <v>934</v>
      </c>
      <c r="F802" s="36" t="s">
        <v>1045</v>
      </c>
      <c r="G802" s="37" t="s">
        <v>2922</v>
      </c>
      <c r="H802" s="36" t="s">
        <v>928</v>
      </c>
      <c r="I802" s="35" t="s">
        <v>2927</v>
      </c>
      <c r="J802" s="36" t="s">
        <v>929</v>
      </c>
      <c r="K802" s="33" t="s">
        <v>916</v>
      </c>
      <c r="L802" s="35" t="s">
        <v>916</v>
      </c>
      <c r="M802" s="36" t="s">
        <v>916</v>
      </c>
      <c r="N802" s="45">
        <v>46085.884722222225</v>
      </c>
      <c r="O802" s="36" t="s">
        <v>939</v>
      </c>
      <c r="P802" s="38">
        <v>27.173611111100001</v>
      </c>
      <c r="Q802" s="39" t="s">
        <v>2369</v>
      </c>
      <c r="R802" s="35" t="s">
        <v>916</v>
      </c>
      <c r="S802" s="35"/>
      <c r="T802" s="35" t="s">
        <v>1624</v>
      </c>
      <c r="U802" s="40">
        <v>46059</v>
      </c>
      <c r="V802" s="41">
        <v>46153.532789351855</v>
      </c>
      <c r="W802" s="40">
        <v>46058</v>
      </c>
      <c r="X802" s="40">
        <v>46153</v>
      </c>
      <c r="Y802" s="35" t="s">
        <v>916</v>
      </c>
      <c r="Z802" s="35" t="s">
        <v>916</v>
      </c>
      <c r="AA802" s="38">
        <v>652.16666666640003</v>
      </c>
      <c r="AB802" s="42" t="s">
        <v>916</v>
      </c>
      <c r="AC802" s="43" t="s">
        <v>916</v>
      </c>
      <c r="AD802" s="43" t="s">
        <v>916</v>
      </c>
      <c r="AE802" s="33" t="s">
        <v>916</v>
      </c>
      <c r="AF802" s="35" t="s">
        <v>916</v>
      </c>
      <c r="AG802" s="44">
        <v>491918.95</v>
      </c>
      <c r="AH802" s="42" t="s">
        <v>916</v>
      </c>
      <c r="AI802" s="32" t="e">
        <f>VLOOKUP(A802,'4月明細'!B:B,1,0)</f>
        <v>#N/A</v>
      </c>
    </row>
    <row r="803" spans="1:35" ht="19.95" customHeight="1" x14ac:dyDescent="0.3">
      <c r="A803" s="33" t="s">
        <v>2928</v>
      </c>
      <c r="B803" s="34">
        <v>46058.709027777775</v>
      </c>
      <c r="C803" s="34" t="str">
        <f t="shared" si="25"/>
        <v>202602</v>
      </c>
      <c r="D803" s="35" t="s">
        <v>1653</v>
      </c>
      <c r="E803" s="36" t="s">
        <v>934</v>
      </c>
      <c r="F803" s="36" t="s">
        <v>2169</v>
      </c>
      <c r="G803" s="37" t="s">
        <v>2929</v>
      </c>
      <c r="H803" s="36" t="s">
        <v>928</v>
      </c>
      <c r="I803" s="35" t="s">
        <v>2930</v>
      </c>
      <c r="J803" s="36" t="s">
        <v>929</v>
      </c>
      <c r="K803" s="33" t="s">
        <v>916</v>
      </c>
      <c r="L803" s="35" t="s">
        <v>916</v>
      </c>
      <c r="M803" s="36" t="s">
        <v>1135</v>
      </c>
      <c r="N803" s="45">
        <v>46077.90347222222</v>
      </c>
      <c r="O803" s="36" t="s">
        <v>1384</v>
      </c>
      <c r="P803" s="38">
        <v>19.194444444399998</v>
      </c>
      <c r="Q803" s="39" t="s">
        <v>2931</v>
      </c>
      <c r="R803" s="35" t="s">
        <v>916</v>
      </c>
      <c r="S803" s="35"/>
      <c r="T803" s="35" t="s">
        <v>1624</v>
      </c>
      <c r="U803" s="40">
        <v>46059</v>
      </c>
      <c r="V803" s="41">
        <v>46153.532789351855</v>
      </c>
      <c r="W803" s="40">
        <v>46058</v>
      </c>
      <c r="X803" s="35" t="s">
        <v>916</v>
      </c>
      <c r="Y803" s="35" t="s">
        <v>916</v>
      </c>
      <c r="Z803" s="35" t="s">
        <v>916</v>
      </c>
      <c r="AA803" s="38">
        <v>460.66666666560002</v>
      </c>
      <c r="AB803" s="42" t="s">
        <v>916</v>
      </c>
      <c r="AC803" s="43" t="s">
        <v>916</v>
      </c>
      <c r="AD803" s="43" t="s">
        <v>916</v>
      </c>
      <c r="AE803" s="33" t="s">
        <v>916</v>
      </c>
      <c r="AF803" s="35" t="s">
        <v>916</v>
      </c>
      <c r="AG803" s="44">
        <v>0</v>
      </c>
      <c r="AH803" s="42" t="s">
        <v>916</v>
      </c>
      <c r="AI803" s="32" t="e">
        <f>VLOOKUP(A803,'4月明細'!B:B,1,0)</f>
        <v>#N/A</v>
      </c>
    </row>
    <row r="804" spans="1:35" ht="19.95" customHeight="1" x14ac:dyDescent="0.3">
      <c r="A804" s="33" t="s">
        <v>2932</v>
      </c>
      <c r="B804" s="34">
        <v>46058.634375000001</v>
      </c>
      <c r="C804" s="34" t="str">
        <f t="shared" si="25"/>
        <v>202602</v>
      </c>
      <c r="D804" s="35" t="s">
        <v>986</v>
      </c>
      <c r="E804" s="36" t="s">
        <v>910</v>
      </c>
      <c r="F804" s="36" t="s">
        <v>1021</v>
      </c>
      <c r="G804" s="37" t="s">
        <v>2933</v>
      </c>
      <c r="H804" s="36" t="s">
        <v>954</v>
      </c>
      <c r="I804" s="35" t="s">
        <v>2934</v>
      </c>
      <c r="J804" s="36" t="s">
        <v>914</v>
      </c>
      <c r="K804" s="33" t="s">
        <v>916</v>
      </c>
      <c r="L804" s="35" t="s">
        <v>916</v>
      </c>
      <c r="M804" s="36" t="s">
        <v>1039</v>
      </c>
      <c r="N804" s="45">
        <v>46090.435416666667</v>
      </c>
      <c r="O804" s="36" t="s">
        <v>1384</v>
      </c>
      <c r="P804" s="38">
        <v>31.801041666700002</v>
      </c>
      <c r="Q804" s="39" t="s">
        <v>2935</v>
      </c>
      <c r="R804" s="35" t="s">
        <v>916</v>
      </c>
      <c r="S804" s="35"/>
      <c r="T804" s="35" t="s">
        <v>1624</v>
      </c>
      <c r="U804" s="40">
        <v>46059</v>
      </c>
      <c r="V804" s="41">
        <v>46153.532789351855</v>
      </c>
      <c r="W804" s="40">
        <v>46058</v>
      </c>
      <c r="X804" s="35" t="s">
        <v>916</v>
      </c>
      <c r="Y804" s="35" t="s">
        <v>916</v>
      </c>
      <c r="Z804" s="35" t="s">
        <v>916</v>
      </c>
      <c r="AA804" s="38">
        <v>763.22500000080004</v>
      </c>
      <c r="AB804" s="42" t="s">
        <v>916</v>
      </c>
      <c r="AC804" s="43" t="s">
        <v>916</v>
      </c>
      <c r="AD804" s="43" t="s">
        <v>916</v>
      </c>
      <c r="AE804" s="33" t="s">
        <v>916</v>
      </c>
      <c r="AF804" s="35" t="s">
        <v>916</v>
      </c>
      <c r="AG804" s="44">
        <v>491769.46666666667</v>
      </c>
      <c r="AH804" s="42" t="s">
        <v>916</v>
      </c>
      <c r="AI804" s="32" t="e">
        <f>VLOOKUP(A804,'4月明細'!B:B,1,0)</f>
        <v>#N/A</v>
      </c>
    </row>
    <row r="805" spans="1:35" ht="19.95" customHeight="1" x14ac:dyDescent="0.3">
      <c r="A805" s="33" t="s">
        <v>351</v>
      </c>
      <c r="B805" s="34">
        <v>46058.612766203703</v>
      </c>
      <c r="C805" s="34" t="str">
        <f t="shared" si="25"/>
        <v>202602</v>
      </c>
      <c r="D805" s="35" t="s">
        <v>996</v>
      </c>
      <c r="E805" s="36" t="s">
        <v>910</v>
      </c>
      <c r="F805" s="36" t="s">
        <v>1285</v>
      </c>
      <c r="G805" s="37" t="s">
        <v>2936</v>
      </c>
      <c r="H805" s="36" t="s">
        <v>954</v>
      </c>
      <c r="I805" s="35"/>
      <c r="J805" s="36" t="s">
        <v>929</v>
      </c>
      <c r="K805" s="33" t="s">
        <v>916</v>
      </c>
      <c r="L805" s="35" t="s">
        <v>916</v>
      </c>
      <c r="M805" s="36" t="s">
        <v>957</v>
      </c>
      <c r="N805" s="45">
        <v>46059.394444444442</v>
      </c>
      <c r="O805" s="36" t="s">
        <v>25</v>
      </c>
      <c r="P805" s="38">
        <v>0.78167824070000003</v>
      </c>
      <c r="Q805" s="39" t="s">
        <v>2937</v>
      </c>
      <c r="R805" s="35" t="s">
        <v>916</v>
      </c>
      <c r="S805" s="35" t="s">
        <v>2938</v>
      </c>
      <c r="T805" s="35" t="s">
        <v>1624</v>
      </c>
      <c r="U805" s="40">
        <v>46059</v>
      </c>
      <c r="V805" s="41">
        <v>46153.532789351855</v>
      </c>
      <c r="W805" s="40">
        <v>46058</v>
      </c>
      <c r="X805" s="35" t="s">
        <v>916</v>
      </c>
      <c r="Y805" s="35" t="s">
        <v>916</v>
      </c>
      <c r="Z805" s="35" t="s">
        <v>916</v>
      </c>
      <c r="AA805" s="38">
        <v>18.760277776799999</v>
      </c>
      <c r="AB805" s="42" t="s">
        <v>916</v>
      </c>
      <c r="AC805" s="43" t="s">
        <v>916</v>
      </c>
      <c r="AD805" s="43" t="s">
        <v>916</v>
      </c>
      <c r="AE805" s="33" t="s">
        <v>916</v>
      </c>
      <c r="AF805" s="35" t="s">
        <v>916</v>
      </c>
      <c r="AG805" s="44">
        <v>491769.46666666667</v>
      </c>
      <c r="AH805" s="42" t="s">
        <v>916</v>
      </c>
      <c r="AI805" s="32" t="e">
        <f>VLOOKUP(A805,'4月明細'!B:B,1,0)</f>
        <v>#N/A</v>
      </c>
    </row>
    <row r="806" spans="1:35" ht="19.95" customHeight="1" x14ac:dyDescent="0.3">
      <c r="A806" s="33" t="s">
        <v>350</v>
      </c>
      <c r="B806" s="34">
        <v>46058.59269675926</v>
      </c>
      <c r="C806" s="34" t="str">
        <f t="shared" si="25"/>
        <v>202602</v>
      </c>
      <c r="D806" s="35" t="s">
        <v>996</v>
      </c>
      <c r="E806" s="36" t="s">
        <v>910</v>
      </c>
      <c r="F806" s="36" t="s">
        <v>1419</v>
      </c>
      <c r="G806" s="37" t="s">
        <v>1930</v>
      </c>
      <c r="H806" s="36" t="s">
        <v>928</v>
      </c>
      <c r="I806" s="35"/>
      <c r="J806" s="36" t="s">
        <v>929</v>
      </c>
      <c r="K806" s="33" t="s">
        <v>916</v>
      </c>
      <c r="L806" s="35" t="s">
        <v>916</v>
      </c>
      <c r="M806" s="36" t="s">
        <v>957</v>
      </c>
      <c r="N806" s="45">
        <v>46059.395138888889</v>
      </c>
      <c r="O806" s="36" t="s">
        <v>25</v>
      </c>
      <c r="P806" s="38">
        <v>0.80244212960000005</v>
      </c>
      <c r="Q806" s="39" t="s">
        <v>2939</v>
      </c>
      <c r="R806" s="35" t="s">
        <v>916</v>
      </c>
      <c r="S806" s="35" t="s">
        <v>2940</v>
      </c>
      <c r="T806" s="35" t="s">
        <v>1624</v>
      </c>
      <c r="U806" s="40">
        <v>46059</v>
      </c>
      <c r="V806" s="41">
        <v>46153.532789351855</v>
      </c>
      <c r="W806" s="40">
        <v>46058</v>
      </c>
      <c r="X806" s="35" t="s">
        <v>916</v>
      </c>
      <c r="Y806" s="35" t="s">
        <v>916</v>
      </c>
      <c r="Z806" s="35" t="s">
        <v>916</v>
      </c>
      <c r="AA806" s="38">
        <v>19.2586111104</v>
      </c>
      <c r="AB806" s="42" t="s">
        <v>916</v>
      </c>
      <c r="AC806" s="43" t="s">
        <v>916</v>
      </c>
      <c r="AD806" s="43" t="s">
        <v>916</v>
      </c>
      <c r="AE806" s="33" t="s">
        <v>916</v>
      </c>
      <c r="AF806" s="35" t="s">
        <v>916</v>
      </c>
      <c r="AG806" s="44">
        <v>491769.48333333328</v>
      </c>
      <c r="AH806" s="42" t="s">
        <v>916</v>
      </c>
      <c r="AI806" s="32" t="e">
        <f>VLOOKUP(A806,'4月明細'!B:B,1,0)</f>
        <v>#N/A</v>
      </c>
    </row>
    <row r="807" spans="1:35" ht="19.95" customHeight="1" x14ac:dyDescent="0.3">
      <c r="A807" s="33" t="s">
        <v>349</v>
      </c>
      <c r="B807" s="34">
        <v>46058.571631944447</v>
      </c>
      <c r="C807" s="34" t="str">
        <f t="shared" si="25"/>
        <v>202602</v>
      </c>
      <c r="D807" s="35" t="s">
        <v>986</v>
      </c>
      <c r="E807" s="36" t="s">
        <v>942</v>
      </c>
      <c r="F807" s="36" t="s">
        <v>1010</v>
      </c>
      <c r="G807" s="37" t="s">
        <v>2941</v>
      </c>
      <c r="H807" s="36" t="s">
        <v>989</v>
      </c>
      <c r="I807" s="35"/>
      <c r="J807" s="36" t="s">
        <v>945</v>
      </c>
      <c r="K807" s="33" t="s">
        <v>916</v>
      </c>
      <c r="L807" s="35" t="s">
        <v>916</v>
      </c>
      <c r="M807" s="36" t="s">
        <v>916</v>
      </c>
      <c r="N807" s="45">
        <v>46065.624305555553</v>
      </c>
      <c r="O807" s="36" t="s">
        <v>25</v>
      </c>
      <c r="P807" s="38">
        <v>7.0526736111000004</v>
      </c>
      <c r="Q807" s="39" t="s">
        <v>2942</v>
      </c>
      <c r="R807" s="35" t="s">
        <v>916</v>
      </c>
      <c r="S807" s="35"/>
      <c r="T807" s="35" t="s">
        <v>1624</v>
      </c>
      <c r="U807" s="40">
        <v>46059</v>
      </c>
      <c r="V807" s="41">
        <v>46153.532800925925</v>
      </c>
      <c r="W807" s="40">
        <v>46058</v>
      </c>
      <c r="X807" s="35" t="s">
        <v>916</v>
      </c>
      <c r="Y807" s="35" t="s">
        <v>916</v>
      </c>
      <c r="Z807" s="35" t="s">
        <v>916</v>
      </c>
      <c r="AA807" s="38">
        <v>169.2641666664</v>
      </c>
      <c r="AB807" s="42" t="s">
        <v>916</v>
      </c>
      <c r="AC807" s="43" t="s">
        <v>916</v>
      </c>
      <c r="AD807" s="43" t="s">
        <v>916</v>
      </c>
      <c r="AE807" s="33" t="s">
        <v>916</v>
      </c>
      <c r="AF807" s="35" t="s">
        <v>916</v>
      </c>
      <c r="AG807" s="44">
        <v>491918.9833333334</v>
      </c>
      <c r="AH807" s="42" t="s">
        <v>916</v>
      </c>
      <c r="AI807" s="32" t="e">
        <f>VLOOKUP(A807,'4月明細'!B:B,1,0)</f>
        <v>#N/A</v>
      </c>
    </row>
    <row r="808" spans="1:35" ht="19.95" customHeight="1" x14ac:dyDescent="0.3">
      <c r="A808" s="33" t="s">
        <v>348</v>
      </c>
      <c r="B808" s="34">
        <v>46058.570567129631</v>
      </c>
      <c r="C808" s="34" t="str">
        <f t="shared" si="25"/>
        <v>202602</v>
      </c>
      <c r="D808" s="35" t="s">
        <v>996</v>
      </c>
      <c r="E808" s="36" t="s">
        <v>910</v>
      </c>
      <c r="F808" s="36" t="s">
        <v>1370</v>
      </c>
      <c r="G808" s="37" t="s">
        <v>1905</v>
      </c>
      <c r="H808" s="36" t="s">
        <v>928</v>
      </c>
      <c r="I808" s="35"/>
      <c r="J808" s="36" t="s">
        <v>929</v>
      </c>
      <c r="K808" s="33" t="s">
        <v>916</v>
      </c>
      <c r="L808" s="35" t="s">
        <v>916</v>
      </c>
      <c r="M808" s="36" t="s">
        <v>957</v>
      </c>
      <c r="N808" s="45">
        <v>46059.395833333336</v>
      </c>
      <c r="O808" s="36" t="s">
        <v>25</v>
      </c>
      <c r="P808" s="38">
        <v>0.82526620370000003</v>
      </c>
      <c r="Q808" s="39" t="s">
        <v>2943</v>
      </c>
      <c r="R808" s="35" t="s">
        <v>916</v>
      </c>
      <c r="S808" s="35" t="s">
        <v>2944</v>
      </c>
      <c r="T808" s="35" t="s">
        <v>1624</v>
      </c>
      <c r="U808" s="40">
        <v>46059</v>
      </c>
      <c r="V808" s="41">
        <v>46153.532800925925</v>
      </c>
      <c r="W808" s="40">
        <v>46058</v>
      </c>
      <c r="X808" s="35" t="s">
        <v>916</v>
      </c>
      <c r="Y808" s="35" t="s">
        <v>916</v>
      </c>
      <c r="Z808" s="35" t="s">
        <v>916</v>
      </c>
      <c r="AA808" s="38">
        <v>19.806388888800001</v>
      </c>
      <c r="AB808" s="42" t="s">
        <v>916</v>
      </c>
      <c r="AC808" s="43" t="s">
        <v>916</v>
      </c>
      <c r="AD808" s="43" t="s">
        <v>916</v>
      </c>
      <c r="AE808" s="33" t="s">
        <v>916</v>
      </c>
      <c r="AF808" s="35" t="s">
        <v>916</v>
      </c>
      <c r="AG808" s="44">
        <v>491769.50000000012</v>
      </c>
      <c r="AH808" s="42" t="s">
        <v>916</v>
      </c>
      <c r="AI808" s="32" t="e">
        <f>VLOOKUP(A808,'4月明細'!B:B,1,0)</f>
        <v>#N/A</v>
      </c>
    </row>
    <row r="809" spans="1:35" ht="19.95" customHeight="1" x14ac:dyDescent="0.3">
      <c r="A809" s="33" t="s">
        <v>347</v>
      </c>
      <c r="B809" s="34">
        <v>46058.549317129633</v>
      </c>
      <c r="C809" s="34" t="str">
        <f t="shared" si="25"/>
        <v>202602</v>
      </c>
      <c r="D809" s="35" t="s">
        <v>996</v>
      </c>
      <c r="E809" s="36" t="s">
        <v>910</v>
      </c>
      <c r="F809" s="36" t="s">
        <v>1285</v>
      </c>
      <c r="G809" s="37" t="s">
        <v>2945</v>
      </c>
      <c r="H809" s="36" t="s">
        <v>928</v>
      </c>
      <c r="I809" s="35"/>
      <c r="J809" s="36" t="s">
        <v>914</v>
      </c>
      <c r="K809" s="33" t="s">
        <v>916</v>
      </c>
      <c r="L809" s="35" t="s">
        <v>916</v>
      </c>
      <c r="M809" s="36" t="s">
        <v>957</v>
      </c>
      <c r="N809" s="45">
        <v>46059.396527777775</v>
      </c>
      <c r="O809" s="36" t="s">
        <v>25</v>
      </c>
      <c r="P809" s="38">
        <v>0.84721064810000002</v>
      </c>
      <c r="Q809" s="39" t="s">
        <v>2946</v>
      </c>
      <c r="R809" s="35" t="s">
        <v>916</v>
      </c>
      <c r="S809" s="35"/>
      <c r="T809" s="35" t="s">
        <v>1624</v>
      </c>
      <c r="U809" s="40">
        <v>46059</v>
      </c>
      <c r="V809" s="41">
        <v>46153.532800925925</v>
      </c>
      <c r="W809" s="40">
        <v>46058</v>
      </c>
      <c r="X809" s="35" t="s">
        <v>916</v>
      </c>
      <c r="Y809" s="35" t="s">
        <v>916</v>
      </c>
      <c r="Z809" s="35" t="s">
        <v>916</v>
      </c>
      <c r="AA809" s="38">
        <v>20.333055554400001</v>
      </c>
      <c r="AB809" s="42" t="s">
        <v>916</v>
      </c>
      <c r="AC809" s="43" t="s">
        <v>916</v>
      </c>
      <c r="AD809" s="43" t="s">
        <v>916</v>
      </c>
      <c r="AE809" s="33" t="s">
        <v>916</v>
      </c>
      <c r="AF809" s="35" t="s">
        <v>916</v>
      </c>
      <c r="AG809" s="44">
        <v>491769.51666666672</v>
      </c>
      <c r="AH809" s="42" t="s">
        <v>916</v>
      </c>
      <c r="AI809" s="32" t="e">
        <f>VLOOKUP(A809,'4月明細'!B:B,1,0)</f>
        <v>#N/A</v>
      </c>
    </row>
    <row r="810" spans="1:35" ht="19.95" customHeight="1" x14ac:dyDescent="0.3">
      <c r="A810" s="33" t="s">
        <v>345</v>
      </c>
      <c r="B810" s="34">
        <v>46057.696643518517</v>
      </c>
      <c r="C810" s="34" t="str">
        <f t="shared" si="25"/>
        <v>202602</v>
      </c>
      <c r="D810" s="35" t="s">
        <v>2278</v>
      </c>
      <c r="E810" s="36" t="s">
        <v>910</v>
      </c>
      <c r="F810" s="36" t="s">
        <v>2043</v>
      </c>
      <c r="G810" s="37" t="s">
        <v>2947</v>
      </c>
      <c r="H810" s="36" t="s">
        <v>1078</v>
      </c>
      <c r="I810" s="35"/>
      <c r="J810" s="36" t="s">
        <v>929</v>
      </c>
      <c r="K810" s="33" t="s">
        <v>916</v>
      </c>
      <c r="L810" s="35" t="s">
        <v>916</v>
      </c>
      <c r="M810" s="36" t="s">
        <v>1135</v>
      </c>
      <c r="N810" s="45">
        <v>46058.715277777781</v>
      </c>
      <c r="O810" s="36" t="s">
        <v>25</v>
      </c>
      <c r="P810" s="38">
        <v>1.0186342593</v>
      </c>
      <c r="Q810" s="36" t="s">
        <v>916</v>
      </c>
      <c r="R810" s="35" t="s">
        <v>916</v>
      </c>
      <c r="S810" s="35"/>
      <c r="T810" s="35" t="s">
        <v>1624</v>
      </c>
      <c r="U810" s="40">
        <v>46058</v>
      </c>
      <c r="V810" s="41">
        <v>46153.532800925925</v>
      </c>
      <c r="W810" s="40">
        <v>46057</v>
      </c>
      <c r="X810" s="35" t="s">
        <v>916</v>
      </c>
      <c r="Y810" s="35" t="s">
        <v>916</v>
      </c>
      <c r="Z810" s="35" t="s">
        <v>916</v>
      </c>
      <c r="AA810" s="38">
        <v>24.447222223200001</v>
      </c>
      <c r="AB810" s="42" t="s">
        <v>916</v>
      </c>
      <c r="AC810" s="43" t="s">
        <v>916</v>
      </c>
      <c r="AD810" s="43" t="s">
        <v>916</v>
      </c>
      <c r="AE810" s="33" t="s">
        <v>916</v>
      </c>
      <c r="AF810" s="35" t="s">
        <v>916</v>
      </c>
      <c r="AG810" s="44">
        <v>0</v>
      </c>
      <c r="AH810" s="42" t="s">
        <v>916</v>
      </c>
      <c r="AI810" s="32" t="e">
        <f>VLOOKUP(A810,'4月明細'!B:B,1,0)</f>
        <v>#N/A</v>
      </c>
    </row>
    <row r="811" spans="1:35" ht="19.95" customHeight="1" x14ac:dyDescent="0.3">
      <c r="A811" s="33" t="s">
        <v>2948</v>
      </c>
      <c r="B811" s="34">
        <v>46058.51525462963</v>
      </c>
      <c r="C811" s="34" t="str">
        <f t="shared" si="25"/>
        <v>202602</v>
      </c>
      <c r="D811" s="35" t="s">
        <v>1755</v>
      </c>
      <c r="E811" s="36" t="s">
        <v>910</v>
      </c>
      <c r="F811" s="36" t="s">
        <v>1718</v>
      </c>
      <c r="G811" s="37" t="s">
        <v>2949</v>
      </c>
      <c r="H811" s="36" t="s">
        <v>954</v>
      </c>
      <c r="I811" s="35"/>
      <c r="J811" s="36" t="s">
        <v>914</v>
      </c>
      <c r="K811" s="33" t="s">
        <v>916</v>
      </c>
      <c r="L811" s="35" t="s">
        <v>916</v>
      </c>
      <c r="M811" s="36" t="s">
        <v>957</v>
      </c>
      <c r="N811" s="45">
        <v>46090.436111111114</v>
      </c>
      <c r="O811" s="36" t="s">
        <v>1384</v>
      </c>
      <c r="P811" s="38">
        <v>31.9208564815</v>
      </c>
      <c r="Q811" s="39" t="s">
        <v>2950</v>
      </c>
      <c r="R811" s="35" t="s">
        <v>916</v>
      </c>
      <c r="S811" s="35"/>
      <c r="T811" s="35" t="s">
        <v>1624</v>
      </c>
      <c r="U811" s="40">
        <v>46059</v>
      </c>
      <c r="V811" s="41">
        <v>46153.532800925925</v>
      </c>
      <c r="W811" s="40">
        <v>46058</v>
      </c>
      <c r="X811" s="35" t="s">
        <v>916</v>
      </c>
      <c r="Y811" s="35" t="s">
        <v>916</v>
      </c>
      <c r="Z811" s="35" t="s">
        <v>916</v>
      </c>
      <c r="AA811" s="38">
        <v>766.10055555600002</v>
      </c>
      <c r="AB811" s="42" t="s">
        <v>916</v>
      </c>
      <c r="AC811" s="43" t="s">
        <v>916</v>
      </c>
      <c r="AD811" s="43" t="s">
        <v>916</v>
      </c>
      <c r="AE811" s="33" t="s">
        <v>916</v>
      </c>
      <c r="AF811" s="35" t="s">
        <v>916</v>
      </c>
      <c r="AG811" s="44">
        <v>491769.51666666672</v>
      </c>
      <c r="AH811" s="42" t="s">
        <v>916</v>
      </c>
      <c r="AI811" s="32" t="e">
        <f>VLOOKUP(A811,'4月明細'!B:B,1,0)</f>
        <v>#N/A</v>
      </c>
    </row>
    <row r="812" spans="1:35" ht="19.95" customHeight="1" x14ac:dyDescent="0.3">
      <c r="A812" s="33" t="s">
        <v>346</v>
      </c>
      <c r="B812" s="34">
        <v>46057.859143518515</v>
      </c>
      <c r="C812" s="34" t="str">
        <f t="shared" si="25"/>
        <v>202602</v>
      </c>
      <c r="D812" s="35" t="s">
        <v>1829</v>
      </c>
      <c r="E812" s="36" t="s">
        <v>1112</v>
      </c>
      <c r="F812" s="36" t="s">
        <v>1004</v>
      </c>
      <c r="G812" s="37" t="s">
        <v>2951</v>
      </c>
      <c r="H812" s="36" t="s">
        <v>913</v>
      </c>
      <c r="I812" s="35"/>
      <c r="J812" s="36" t="s">
        <v>945</v>
      </c>
      <c r="K812" s="33" t="s">
        <v>916</v>
      </c>
      <c r="L812" s="35" t="s">
        <v>916</v>
      </c>
      <c r="M812" s="36" t="s">
        <v>1135</v>
      </c>
      <c r="N812" s="45">
        <v>46063.409722222219</v>
      </c>
      <c r="O812" s="36" t="s">
        <v>25</v>
      </c>
      <c r="P812" s="38">
        <v>5.5505787037000003</v>
      </c>
      <c r="Q812" s="39" t="s">
        <v>2952</v>
      </c>
      <c r="R812" s="35" t="s">
        <v>916</v>
      </c>
      <c r="S812" s="35"/>
      <c r="T812" s="35" t="s">
        <v>1701</v>
      </c>
      <c r="U812" s="40">
        <v>46058</v>
      </c>
      <c r="V812" s="41">
        <v>46153.532800925925</v>
      </c>
      <c r="W812" s="40">
        <v>46058</v>
      </c>
      <c r="X812" s="35" t="s">
        <v>916</v>
      </c>
      <c r="Y812" s="35" t="s">
        <v>916</v>
      </c>
      <c r="Z812" s="35" t="s">
        <v>916</v>
      </c>
      <c r="AA812" s="38">
        <v>133.2138888888</v>
      </c>
      <c r="AB812" s="42" t="s">
        <v>916</v>
      </c>
      <c r="AC812" s="43" t="s">
        <v>916</v>
      </c>
      <c r="AD812" s="43" t="s">
        <v>916</v>
      </c>
      <c r="AE812" s="33" t="s">
        <v>916</v>
      </c>
      <c r="AF812" s="35" t="s">
        <v>916</v>
      </c>
      <c r="AG812" s="44">
        <v>491865.83333333337</v>
      </c>
      <c r="AH812" s="42" t="s">
        <v>916</v>
      </c>
      <c r="AI812" s="32" t="e">
        <f>VLOOKUP(A812,'4月明細'!B:B,1,0)</f>
        <v>#N/A</v>
      </c>
    </row>
    <row r="813" spans="1:35" ht="19.95" customHeight="1" x14ac:dyDescent="0.3">
      <c r="A813" s="33" t="s">
        <v>344</v>
      </c>
      <c r="B813" s="34">
        <v>46057.696469907409</v>
      </c>
      <c r="C813" s="34" t="str">
        <f t="shared" si="25"/>
        <v>202602</v>
      </c>
      <c r="D813" s="35" t="s">
        <v>2953</v>
      </c>
      <c r="E813" s="36" t="s">
        <v>910</v>
      </c>
      <c r="F813" s="36" t="s">
        <v>1723</v>
      </c>
      <c r="G813" s="37" t="s">
        <v>2947</v>
      </c>
      <c r="H813" s="36" t="s">
        <v>1078</v>
      </c>
      <c r="I813" s="35"/>
      <c r="J813" s="36" t="s">
        <v>929</v>
      </c>
      <c r="K813" s="33" t="s">
        <v>916</v>
      </c>
      <c r="L813" s="35" t="s">
        <v>916</v>
      </c>
      <c r="M813" s="36" t="s">
        <v>1135</v>
      </c>
      <c r="N813" s="45">
        <v>46059.379166666666</v>
      </c>
      <c r="O813" s="36" t="s">
        <v>25</v>
      </c>
      <c r="P813" s="38">
        <v>1.6826967593</v>
      </c>
      <c r="Q813" s="39" t="s">
        <v>2954</v>
      </c>
      <c r="R813" s="35" t="s">
        <v>916</v>
      </c>
      <c r="S813" s="35"/>
      <c r="T813" s="35" t="s">
        <v>1624</v>
      </c>
      <c r="U813" s="40">
        <v>46058</v>
      </c>
      <c r="V813" s="41">
        <v>46153.532800925925</v>
      </c>
      <c r="W813" s="40">
        <v>46057</v>
      </c>
      <c r="X813" s="35" t="s">
        <v>916</v>
      </c>
      <c r="Y813" s="35" t="s">
        <v>916</v>
      </c>
      <c r="Z813" s="35" t="s">
        <v>916</v>
      </c>
      <c r="AA813" s="38">
        <v>40.384722223200001</v>
      </c>
      <c r="AB813" s="42" t="s">
        <v>916</v>
      </c>
      <c r="AC813" s="43" t="s">
        <v>916</v>
      </c>
      <c r="AD813" s="43" t="s">
        <v>916</v>
      </c>
      <c r="AE813" s="33" t="s">
        <v>916</v>
      </c>
      <c r="AF813" s="35" t="s">
        <v>916</v>
      </c>
      <c r="AG813" s="44">
        <v>491729.35</v>
      </c>
      <c r="AH813" s="42" t="s">
        <v>916</v>
      </c>
      <c r="AI813" s="32" t="e">
        <f>VLOOKUP(A813,'4月明細'!B:B,1,0)</f>
        <v>#N/A</v>
      </c>
    </row>
    <row r="814" spans="1:35" ht="19.95" customHeight="1" x14ac:dyDescent="0.3">
      <c r="A814" s="33" t="s">
        <v>343</v>
      </c>
      <c r="B814" s="34">
        <v>46057.696261574078</v>
      </c>
      <c r="C814" s="34" t="str">
        <f t="shared" si="25"/>
        <v>202602</v>
      </c>
      <c r="D814" s="35" t="s">
        <v>2278</v>
      </c>
      <c r="E814" s="36" t="s">
        <v>910</v>
      </c>
      <c r="F814" s="36" t="s">
        <v>1768</v>
      </c>
      <c r="G814" s="37" t="s">
        <v>2947</v>
      </c>
      <c r="H814" s="36" t="s">
        <v>1078</v>
      </c>
      <c r="I814" s="35"/>
      <c r="J814" s="36" t="s">
        <v>929</v>
      </c>
      <c r="K814" s="33" t="s">
        <v>916</v>
      </c>
      <c r="L814" s="35" t="s">
        <v>916</v>
      </c>
      <c r="M814" s="36" t="s">
        <v>1135</v>
      </c>
      <c r="N814" s="45">
        <v>46059.379861111112</v>
      </c>
      <c r="O814" s="36" t="s">
        <v>25</v>
      </c>
      <c r="P814" s="38">
        <v>1.6835995370000001</v>
      </c>
      <c r="Q814" s="39" t="s">
        <v>2954</v>
      </c>
      <c r="R814" s="35" t="s">
        <v>916</v>
      </c>
      <c r="S814" s="35"/>
      <c r="T814" s="35" t="s">
        <v>1624</v>
      </c>
      <c r="U814" s="40">
        <v>46058</v>
      </c>
      <c r="V814" s="41">
        <v>46153.532800925925</v>
      </c>
      <c r="W814" s="40">
        <v>46057</v>
      </c>
      <c r="X814" s="35" t="s">
        <v>916</v>
      </c>
      <c r="Y814" s="35" t="s">
        <v>916</v>
      </c>
      <c r="Z814" s="35" t="s">
        <v>916</v>
      </c>
      <c r="AA814" s="38">
        <v>40.406388888000002</v>
      </c>
      <c r="AB814" s="42" t="s">
        <v>916</v>
      </c>
      <c r="AC814" s="43" t="s">
        <v>916</v>
      </c>
      <c r="AD814" s="43" t="s">
        <v>916</v>
      </c>
      <c r="AE814" s="33" t="s">
        <v>916</v>
      </c>
      <c r="AF814" s="35" t="s">
        <v>916</v>
      </c>
      <c r="AG814" s="44">
        <v>491729.35</v>
      </c>
      <c r="AH814" s="42" t="s">
        <v>916</v>
      </c>
      <c r="AI814" s="32" t="e">
        <f>VLOOKUP(A814,'4月明細'!B:B,1,0)</f>
        <v>#N/A</v>
      </c>
    </row>
    <row r="815" spans="1:35" ht="19.95" customHeight="1" x14ac:dyDescent="0.3">
      <c r="A815" s="33" t="s">
        <v>342</v>
      </c>
      <c r="B815" s="34">
        <v>46057.695381944446</v>
      </c>
      <c r="C815" s="34" t="str">
        <f t="shared" si="25"/>
        <v>202602</v>
      </c>
      <c r="D815" s="35" t="s">
        <v>2278</v>
      </c>
      <c r="E815" s="36" t="s">
        <v>910</v>
      </c>
      <c r="F815" s="36" t="s">
        <v>1240</v>
      </c>
      <c r="G815" s="37" t="s">
        <v>2947</v>
      </c>
      <c r="H815" s="36" t="s">
        <v>1078</v>
      </c>
      <c r="I815" s="35"/>
      <c r="J815" s="36" t="s">
        <v>1058</v>
      </c>
      <c r="K815" s="33" t="s">
        <v>916</v>
      </c>
      <c r="L815" s="35" t="s">
        <v>916</v>
      </c>
      <c r="M815" s="36" t="s">
        <v>1135</v>
      </c>
      <c r="N815" s="45">
        <v>46059.379861111112</v>
      </c>
      <c r="O815" s="36" t="s">
        <v>25</v>
      </c>
      <c r="P815" s="38">
        <v>1.6844791667000001</v>
      </c>
      <c r="Q815" s="39" t="s">
        <v>2954</v>
      </c>
      <c r="R815" s="35" t="s">
        <v>916</v>
      </c>
      <c r="S815" s="35"/>
      <c r="T815" s="35" t="s">
        <v>1624</v>
      </c>
      <c r="U815" s="40">
        <v>46058</v>
      </c>
      <c r="V815" s="41">
        <v>46153.532800925925</v>
      </c>
      <c r="W815" s="40">
        <v>46057</v>
      </c>
      <c r="X815" s="35" t="s">
        <v>916</v>
      </c>
      <c r="Y815" s="35" t="s">
        <v>916</v>
      </c>
      <c r="Z815" s="35" t="s">
        <v>916</v>
      </c>
      <c r="AA815" s="38">
        <v>40.427500000800002</v>
      </c>
      <c r="AB815" s="42" t="s">
        <v>916</v>
      </c>
      <c r="AC815" s="43" t="s">
        <v>916</v>
      </c>
      <c r="AD815" s="43" t="s">
        <v>916</v>
      </c>
      <c r="AE815" s="33" t="s">
        <v>916</v>
      </c>
      <c r="AF815" s="35" t="s">
        <v>916</v>
      </c>
      <c r="AG815" s="44">
        <v>491729.35</v>
      </c>
      <c r="AH815" s="42" t="s">
        <v>916</v>
      </c>
      <c r="AI815" s="32" t="e">
        <f>VLOOKUP(A815,'4月明細'!B:B,1,0)</f>
        <v>#N/A</v>
      </c>
    </row>
    <row r="816" spans="1:35" ht="19.95" customHeight="1" x14ac:dyDescent="0.3">
      <c r="A816" s="33" t="s">
        <v>341</v>
      </c>
      <c r="B816" s="34">
        <v>46057.694618055553</v>
      </c>
      <c r="C816" s="34" t="str">
        <f t="shared" si="25"/>
        <v>202602</v>
      </c>
      <c r="D816" s="35" t="s">
        <v>2278</v>
      </c>
      <c r="E816" s="36" t="s">
        <v>910</v>
      </c>
      <c r="F816" s="36" t="s">
        <v>1568</v>
      </c>
      <c r="G816" s="37" t="s">
        <v>2947</v>
      </c>
      <c r="H816" s="36" t="s">
        <v>1078</v>
      </c>
      <c r="I816" s="35"/>
      <c r="J816" s="36" t="s">
        <v>929</v>
      </c>
      <c r="K816" s="33" t="s">
        <v>916</v>
      </c>
      <c r="L816" s="35" t="s">
        <v>916</v>
      </c>
      <c r="M816" s="36" t="s">
        <v>1135</v>
      </c>
      <c r="N816" s="45">
        <v>46059.379861111112</v>
      </c>
      <c r="O816" s="36" t="s">
        <v>25</v>
      </c>
      <c r="P816" s="38">
        <v>1.6852430556</v>
      </c>
      <c r="Q816" s="39" t="s">
        <v>2954</v>
      </c>
      <c r="R816" s="35" t="s">
        <v>916</v>
      </c>
      <c r="S816" s="35"/>
      <c r="T816" s="35" t="s">
        <v>1624</v>
      </c>
      <c r="U816" s="40">
        <v>46058</v>
      </c>
      <c r="V816" s="41">
        <v>46153.532800925925</v>
      </c>
      <c r="W816" s="40">
        <v>46057</v>
      </c>
      <c r="X816" s="35" t="s">
        <v>916</v>
      </c>
      <c r="Y816" s="35" t="s">
        <v>916</v>
      </c>
      <c r="Z816" s="35" t="s">
        <v>916</v>
      </c>
      <c r="AA816" s="38">
        <v>40.4458333344</v>
      </c>
      <c r="AB816" s="42" t="s">
        <v>916</v>
      </c>
      <c r="AC816" s="43" t="s">
        <v>916</v>
      </c>
      <c r="AD816" s="43" t="s">
        <v>916</v>
      </c>
      <c r="AE816" s="33" t="s">
        <v>916</v>
      </c>
      <c r="AF816" s="35" t="s">
        <v>916</v>
      </c>
      <c r="AG816" s="44">
        <v>491729.3666666667</v>
      </c>
      <c r="AH816" s="42" t="s">
        <v>916</v>
      </c>
      <c r="AI816" s="32" t="e">
        <f>VLOOKUP(A816,'4月明細'!B:B,1,0)</f>
        <v>#N/A</v>
      </c>
    </row>
    <row r="817" spans="1:35" ht="19.95" customHeight="1" x14ac:dyDescent="0.3">
      <c r="A817" s="33" t="s">
        <v>340</v>
      </c>
      <c r="B817" s="34">
        <v>46057.694340277776</v>
      </c>
      <c r="C817" s="34" t="str">
        <f t="shared" si="25"/>
        <v>202602</v>
      </c>
      <c r="D817" s="35" t="s">
        <v>2278</v>
      </c>
      <c r="E817" s="36" t="s">
        <v>910</v>
      </c>
      <c r="F817" s="36" t="s">
        <v>1479</v>
      </c>
      <c r="G817" s="37" t="s">
        <v>2947</v>
      </c>
      <c r="H817" s="36" t="s">
        <v>1078</v>
      </c>
      <c r="I817" s="35"/>
      <c r="J817" s="36" t="s">
        <v>929</v>
      </c>
      <c r="K817" s="33" t="s">
        <v>916</v>
      </c>
      <c r="L817" s="35" t="s">
        <v>916</v>
      </c>
      <c r="M817" s="36" t="s">
        <v>1135</v>
      </c>
      <c r="N817" s="45">
        <v>46059.379861111112</v>
      </c>
      <c r="O817" s="36" t="s">
        <v>25</v>
      </c>
      <c r="P817" s="38">
        <v>1.6855208333</v>
      </c>
      <c r="Q817" s="39" t="s">
        <v>2954</v>
      </c>
      <c r="R817" s="35" t="s">
        <v>916</v>
      </c>
      <c r="S817" s="35"/>
      <c r="T817" s="35" t="s">
        <v>1624</v>
      </c>
      <c r="U817" s="40">
        <v>46058</v>
      </c>
      <c r="V817" s="41">
        <v>46153.532800925925</v>
      </c>
      <c r="W817" s="40">
        <v>46057</v>
      </c>
      <c r="X817" s="35" t="s">
        <v>916</v>
      </c>
      <c r="Y817" s="35" t="s">
        <v>916</v>
      </c>
      <c r="Z817" s="35" t="s">
        <v>916</v>
      </c>
      <c r="AA817" s="38">
        <v>40.452499999200001</v>
      </c>
      <c r="AB817" s="42" t="s">
        <v>916</v>
      </c>
      <c r="AC817" s="43" t="s">
        <v>916</v>
      </c>
      <c r="AD817" s="43" t="s">
        <v>916</v>
      </c>
      <c r="AE817" s="33" t="s">
        <v>916</v>
      </c>
      <c r="AF817" s="35" t="s">
        <v>916</v>
      </c>
      <c r="AG817" s="44">
        <v>491729.3666666667</v>
      </c>
      <c r="AH817" s="42" t="s">
        <v>916</v>
      </c>
      <c r="AI817" s="32" t="e">
        <f>VLOOKUP(A817,'4月明細'!B:B,1,0)</f>
        <v>#N/A</v>
      </c>
    </row>
    <row r="818" spans="1:35" ht="19.95" customHeight="1" x14ac:dyDescent="0.3">
      <c r="A818" s="33" t="s">
        <v>339</v>
      </c>
      <c r="B818" s="34">
        <v>46057.693715277775</v>
      </c>
      <c r="C818" s="34" t="str">
        <f t="shared" si="25"/>
        <v>202602</v>
      </c>
      <c r="D818" s="35" t="s">
        <v>2278</v>
      </c>
      <c r="E818" s="36" t="s">
        <v>910</v>
      </c>
      <c r="F818" s="36" t="s">
        <v>1161</v>
      </c>
      <c r="G818" s="37" t="s">
        <v>2947</v>
      </c>
      <c r="H818" s="36" t="s">
        <v>1078</v>
      </c>
      <c r="I818" s="35"/>
      <c r="J818" s="36" t="s">
        <v>929</v>
      </c>
      <c r="K818" s="33" t="s">
        <v>916</v>
      </c>
      <c r="L818" s="35" t="s">
        <v>916</v>
      </c>
      <c r="M818" s="36" t="s">
        <v>1135</v>
      </c>
      <c r="N818" s="45">
        <v>46059.380555555559</v>
      </c>
      <c r="O818" s="36" t="s">
        <v>25</v>
      </c>
      <c r="P818" s="38">
        <v>1.6868402778</v>
      </c>
      <c r="Q818" s="39" t="s">
        <v>2954</v>
      </c>
      <c r="R818" s="35" t="s">
        <v>916</v>
      </c>
      <c r="S818" s="35"/>
      <c r="T818" s="35" t="s">
        <v>1624</v>
      </c>
      <c r="U818" s="40">
        <v>46058</v>
      </c>
      <c r="V818" s="41">
        <v>46153.532800925925</v>
      </c>
      <c r="W818" s="40">
        <v>46057</v>
      </c>
      <c r="X818" s="35" t="s">
        <v>916</v>
      </c>
      <c r="Y818" s="35" t="s">
        <v>916</v>
      </c>
      <c r="Z818" s="35" t="s">
        <v>916</v>
      </c>
      <c r="AA818" s="38">
        <v>40.4841666672</v>
      </c>
      <c r="AB818" s="42" t="s">
        <v>916</v>
      </c>
      <c r="AC818" s="43" t="s">
        <v>916</v>
      </c>
      <c r="AD818" s="43" t="s">
        <v>916</v>
      </c>
      <c r="AE818" s="33" t="s">
        <v>916</v>
      </c>
      <c r="AF818" s="35" t="s">
        <v>916</v>
      </c>
      <c r="AG818" s="44">
        <v>491729.3666666667</v>
      </c>
      <c r="AH818" s="42" t="s">
        <v>916</v>
      </c>
      <c r="AI818" s="32" t="e">
        <f>VLOOKUP(A818,'4月明細'!B:B,1,0)</f>
        <v>#N/A</v>
      </c>
    </row>
    <row r="819" spans="1:35" ht="19.95" customHeight="1" x14ac:dyDescent="0.3">
      <c r="A819" s="33" t="s">
        <v>338</v>
      </c>
      <c r="B819" s="34">
        <v>46057.646203703705</v>
      </c>
      <c r="C819" s="34" t="str">
        <f t="shared" si="25"/>
        <v>202602</v>
      </c>
      <c r="D819" s="35" t="s">
        <v>951</v>
      </c>
      <c r="E819" s="36" t="s">
        <v>910</v>
      </c>
      <c r="F819" s="36" t="s">
        <v>1748</v>
      </c>
      <c r="G819" s="37" t="s">
        <v>2955</v>
      </c>
      <c r="H819" s="36" t="s">
        <v>928</v>
      </c>
      <c r="I819" s="35" t="s">
        <v>2956</v>
      </c>
      <c r="J819" s="36" t="s">
        <v>929</v>
      </c>
      <c r="K819" s="33" t="s">
        <v>916</v>
      </c>
      <c r="L819" s="35" t="s">
        <v>916</v>
      </c>
      <c r="M819" s="36" t="s">
        <v>957</v>
      </c>
      <c r="N819" s="45">
        <v>46058.380555555559</v>
      </c>
      <c r="O819" s="36" t="s">
        <v>25</v>
      </c>
      <c r="P819" s="38">
        <v>0.73435185189999996</v>
      </c>
      <c r="Q819" s="39" t="s">
        <v>2957</v>
      </c>
      <c r="R819" s="46" t="s">
        <v>2958</v>
      </c>
      <c r="S819" s="35" t="s">
        <v>2959</v>
      </c>
      <c r="T819" s="35" t="s">
        <v>1624</v>
      </c>
      <c r="U819" s="40">
        <v>46058</v>
      </c>
      <c r="V819" s="41">
        <v>46153.532800925925</v>
      </c>
      <c r="W819" s="40">
        <v>46057</v>
      </c>
      <c r="X819" s="35" t="s">
        <v>916</v>
      </c>
      <c r="Y819" s="35" t="s">
        <v>916</v>
      </c>
      <c r="Z819" s="35" t="s">
        <v>916</v>
      </c>
      <c r="AA819" s="38">
        <v>17.624444445599998</v>
      </c>
      <c r="AB819" s="42" t="s">
        <v>916</v>
      </c>
      <c r="AC819" s="43" t="s">
        <v>916</v>
      </c>
      <c r="AD819" s="43" t="s">
        <v>916</v>
      </c>
      <c r="AE819" s="33" t="s">
        <v>916</v>
      </c>
      <c r="AF819" s="35" t="s">
        <v>916</v>
      </c>
      <c r="AG819" s="44">
        <v>491745.1333333333</v>
      </c>
      <c r="AH819" s="42" t="s">
        <v>916</v>
      </c>
      <c r="AI819" s="32" t="e">
        <f>VLOOKUP(A819,'4月明細'!B:B,1,0)</f>
        <v>#N/A</v>
      </c>
    </row>
    <row r="820" spans="1:35" ht="19.95" customHeight="1" x14ac:dyDescent="0.3">
      <c r="A820" s="33" t="s">
        <v>337</v>
      </c>
      <c r="B820" s="34">
        <v>46057.640324074076</v>
      </c>
      <c r="C820" s="34" t="str">
        <f t="shared" si="25"/>
        <v>202602</v>
      </c>
      <c r="D820" s="35" t="s">
        <v>951</v>
      </c>
      <c r="E820" s="36" t="s">
        <v>910</v>
      </c>
      <c r="F820" s="36" t="s">
        <v>1748</v>
      </c>
      <c r="G820" s="37" t="s">
        <v>2960</v>
      </c>
      <c r="H820" s="36" t="s">
        <v>928</v>
      </c>
      <c r="I820" s="35" t="s">
        <v>2961</v>
      </c>
      <c r="J820" s="36" t="s">
        <v>929</v>
      </c>
      <c r="K820" s="33" t="s">
        <v>916</v>
      </c>
      <c r="L820" s="35" t="s">
        <v>916</v>
      </c>
      <c r="M820" s="36" t="s">
        <v>957</v>
      </c>
      <c r="N820" s="45">
        <v>46058.381249999999</v>
      </c>
      <c r="O820" s="36" t="s">
        <v>25</v>
      </c>
      <c r="P820" s="38">
        <v>0.74092592589999995</v>
      </c>
      <c r="Q820" s="39" t="s">
        <v>2962</v>
      </c>
      <c r="R820" s="35" t="s">
        <v>916</v>
      </c>
      <c r="S820" s="35" t="s">
        <v>2963</v>
      </c>
      <c r="T820" s="35" t="s">
        <v>1624</v>
      </c>
      <c r="U820" s="40">
        <v>46058</v>
      </c>
      <c r="V820" s="41">
        <v>46153.532800925925</v>
      </c>
      <c r="W820" s="40">
        <v>46057</v>
      </c>
      <c r="X820" s="35" t="s">
        <v>916</v>
      </c>
      <c r="Y820" s="35" t="s">
        <v>916</v>
      </c>
      <c r="Z820" s="35" t="s">
        <v>916</v>
      </c>
      <c r="AA820" s="38">
        <v>17.782222221600001</v>
      </c>
      <c r="AB820" s="42" t="s">
        <v>916</v>
      </c>
      <c r="AC820" s="43" t="s">
        <v>916</v>
      </c>
      <c r="AD820" s="43" t="s">
        <v>916</v>
      </c>
      <c r="AE820" s="33" t="s">
        <v>916</v>
      </c>
      <c r="AF820" s="35" t="s">
        <v>916</v>
      </c>
      <c r="AG820" s="44">
        <v>491745.15</v>
      </c>
      <c r="AH820" s="42" t="s">
        <v>916</v>
      </c>
      <c r="AI820" s="32" t="e">
        <f>VLOOKUP(A820,'4月明細'!B:B,1,0)</f>
        <v>#N/A</v>
      </c>
    </row>
    <row r="821" spans="1:35" ht="19.95" customHeight="1" x14ac:dyDescent="0.3">
      <c r="A821" s="33" t="s">
        <v>336</v>
      </c>
      <c r="B821" s="34">
        <v>46057.63989583333</v>
      </c>
      <c r="C821" s="34" t="str">
        <f t="shared" si="25"/>
        <v>202602</v>
      </c>
      <c r="D821" s="35" t="s">
        <v>951</v>
      </c>
      <c r="E821" s="36" t="s">
        <v>910</v>
      </c>
      <c r="F821" s="36" t="s">
        <v>1748</v>
      </c>
      <c r="G821" s="37" t="s">
        <v>2964</v>
      </c>
      <c r="H821" s="36" t="s">
        <v>928</v>
      </c>
      <c r="I821" s="35" t="s">
        <v>2965</v>
      </c>
      <c r="J821" s="36" t="s">
        <v>929</v>
      </c>
      <c r="K821" s="33" t="s">
        <v>916</v>
      </c>
      <c r="L821" s="35" t="s">
        <v>916</v>
      </c>
      <c r="M821" s="36" t="s">
        <v>957</v>
      </c>
      <c r="N821" s="45">
        <v>46058.381944444445</v>
      </c>
      <c r="O821" s="36" t="s">
        <v>25</v>
      </c>
      <c r="P821" s="38">
        <v>0.74204861109999998</v>
      </c>
      <c r="Q821" s="39" t="s">
        <v>2966</v>
      </c>
      <c r="R821" s="35" t="s">
        <v>916</v>
      </c>
      <c r="S821" s="35" t="s">
        <v>2967</v>
      </c>
      <c r="T821" s="35" t="s">
        <v>1624</v>
      </c>
      <c r="U821" s="40">
        <v>46058</v>
      </c>
      <c r="V821" s="41">
        <v>46153.532800925925</v>
      </c>
      <c r="W821" s="40">
        <v>46057</v>
      </c>
      <c r="X821" s="35" t="s">
        <v>916</v>
      </c>
      <c r="Y821" s="35" t="s">
        <v>916</v>
      </c>
      <c r="Z821" s="35" t="s">
        <v>916</v>
      </c>
      <c r="AA821" s="38">
        <v>17.809166666399999</v>
      </c>
      <c r="AB821" s="42" t="s">
        <v>916</v>
      </c>
      <c r="AC821" s="43" t="s">
        <v>916</v>
      </c>
      <c r="AD821" s="43" t="s">
        <v>916</v>
      </c>
      <c r="AE821" s="33" t="s">
        <v>916</v>
      </c>
      <c r="AF821" s="35" t="s">
        <v>916</v>
      </c>
      <c r="AG821" s="44">
        <v>491745.16666666669</v>
      </c>
      <c r="AH821" s="42" t="s">
        <v>916</v>
      </c>
      <c r="AI821" s="32" t="e">
        <f>VLOOKUP(A821,'4月明細'!B:B,1,0)</f>
        <v>#N/A</v>
      </c>
    </row>
    <row r="822" spans="1:35" ht="19.95" customHeight="1" x14ac:dyDescent="0.3">
      <c r="A822" s="33" t="s">
        <v>335</v>
      </c>
      <c r="B822" s="34">
        <v>46057.620486111111</v>
      </c>
      <c r="C822" s="34" t="str">
        <f t="shared" si="25"/>
        <v>202602</v>
      </c>
      <c r="D822" s="35" t="s">
        <v>996</v>
      </c>
      <c r="E822" s="36" t="s">
        <v>910</v>
      </c>
      <c r="F822" s="36" t="s">
        <v>1919</v>
      </c>
      <c r="G822" s="37" t="s">
        <v>2968</v>
      </c>
      <c r="H822" s="36" t="s">
        <v>1078</v>
      </c>
      <c r="I822" s="35" t="s">
        <v>2969</v>
      </c>
      <c r="J822" s="36" t="s">
        <v>929</v>
      </c>
      <c r="K822" s="33" t="s">
        <v>916</v>
      </c>
      <c r="L822" s="35" t="s">
        <v>916</v>
      </c>
      <c r="M822" s="36" t="s">
        <v>916</v>
      </c>
      <c r="N822" s="45">
        <v>46059.380555555559</v>
      </c>
      <c r="O822" s="36" t="s">
        <v>25</v>
      </c>
      <c r="P822" s="38">
        <v>1.7600694444</v>
      </c>
      <c r="Q822" s="39" t="s">
        <v>2970</v>
      </c>
      <c r="R822" s="35" t="s">
        <v>916</v>
      </c>
      <c r="S822" s="35" t="s">
        <v>2971</v>
      </c>
      <c r="T822" s="35" t="s">
        <v>1624</v>
      </c>
      <c r="U822" s="40">
        <v>46058</v>
      </c>
      <c r="V822" s="41">
        <v>46153.532800925925</v>
      </c>
      <c r="W822" s="40">
        <v>46057</v>
      </c>
      <c r="X822" s="35" t="s">
        <v>916</v>
      </c>
      <c r="Y822" s="35" t="s">
        <v>916</v>
      </c>
      <c r="Z822" s="35" t="s">
        <v>916</v>
      </c>
      <c r="AA822" s="38">
        <v>42.2416666656</v>
      </c>
      <c r="AB822" s="42" t="s">
        <v>916</v>
      </c>
      <c r="AC822" s="43" t="s">
        <v>916</v>
      </c>
      <c r="AD822" s="43" t="s">
        <v>916</v>
      </c>
      <c r="AE822" s="33" t="s">
        <v>916</v>
      </c>
      <c r="AF822" s="35" t="s">
        <v>916</v>
      </c>
      <c r="AG822" s="44">
        <v>491769.1333333333</v>
      </c>
      <c r="AH822" s="42" t="s">
        <v>916</v>
      </c>
      <c r="AI822" s="32" t="e">
        <f>VLOOKUP(A822,'4月明細'!B:B,1,0)</f>
        <v>#N/A</v>
      </c>
    </row>
    <row r="823" spans="1:35" ht="19.95" customHeight="1" x14ac:dyDescent="0.3">
      <c r="A823" s="33" t="s">
        <v>334</v>
      </c>
      <c r="B823" s="34">
        <v>46057.60297453704</v>
      </c>
      <c r="C823" s="34" t="str">
        <f t="shared" si="25"/>
        <v>202602</v>
      </c>
      <c r="D823" s="35" t="s">
        <v>951</v>
      </c>
      <c r="E823" s="36" t="s">
        <v>910</v>
      </c>
      <c r="F823" s="36" t="s">
        <v>2600</v>
      </c>
      <c r="G823" s="37" t="s">
        <v>2972</v>
      </c>
      <c r="H823" s="36" t="s">
        <v>954</v>
      </c>
      <c r="I823" s="35"/>
      <c r="J823" s="36" t="s">
        <v>1058</v>
      </c>
      <c r="K823" s="33" t="s">
        <v>916</v>
      </c>
      <c r="L823" s="35" t="s">
        <v>916</v>
      </c>
      <c r="M823" s="36" t="s">
        <v>957</v>
      </c>
      <c r="N823" s="45">
        <v>46057.81527777778</v>
      </c>
      <c r="O823" s="36" t="s">
        <v>25</v>
      </c>
      <c r="P823" s="38">
        <v>0.21230324070000001</v>
      </c>
      <c r="Q823" s="39" t="s">
        <v>2973</v>
      </c>
      <c r="R823" s="35" t="s">
        <v>916</v>
      </c>
      <c r="S823" s="35"/>
      <c r="T823" s="35" t="s">
        <v>1624</v>
      </c>
      <c r="U823" s="40">
        <v>46058</v>
      </c>
      <c r="V823" s="41">
        <v>46153.532800925925</v>
      </c>
      <c r="W823" s="40">
        <v>46057</v>
      </c>
      <c r="X823" s="35" t="s">
        <v>916</v>
      </c>
      <c r="Y823" s="35" t="s">
        <v>916</v>
      </c>
      <c r="Z823" s="35" t="s">
        <v>916</v>
      </c>
      <c r="AA823" s="38">
        <v>5.0952777767999997</v>
      </c>
      <c r="AB823" s="42" t="s">
        <v>916</v>
      </c>
      <c r="AC823" s="43" t="s">
        <v>916</v>
      </c>
      <c r="AD823" s="43" t="s">
        <v>916</v>
      </c>
      <c r="AE823" s="33" t="s">
        <v>916</v>
      </c>
      <c r="AF823" s="35" t="s">
        <v>916</v>
      </c>
      <c r="AG823" s="44">
        <v>491731.56666666671</v>
      </c>
      <c r="AH823" s="42" t="s">
        <v>916</v>
      </c>
      <c r="AI823" s="32" t="e">
        <f>VLOOKUP(A823,'4月明細'!B:B,1,0)</f>
        <v>#N/A</v>
      </c>
    </row>
    <row r="824" spans="1:35" ht="19.95" customHeight="1" x14ac:dyDescent="0.3">
      <c r="A824" s="33" t="s">
        <v>333</v>
      </c>
      <c r="B824" s="34">
        <v>46057.598356481481</v>
      </c>
      <c r="C824" s="34" t="str">
        <f t="shared" si="25"/>
        <v>202602</v>
      </c>
      <c r="D824" s="35" t="s">
        <v>2278</v>
      </c>
      <c r="E824" s="36" t="s">
        <v>910</v>
      </c>
      <c r="F824" s="36" t="s">
        <v>1076</v>
      </c>
      <c r="G824" s="37" t="s">
        <v>2947</v>
      </c>
      <c r="H824" s="36" t="s">
        <v>1078</v>
      </c>
      <c r="I824" s="35"/>
      <c r="J824" s="36" t="s">
        <v>929</v>
      </c>
      <c r="K824" s="33" t="s">
        <v>916</v>
      </c>
      <c r="L824" s="35" t="s">
        <v>916</v>
      </c>
      <c r="M824" s="36" t="s">
        <v>1135</v>
      </c>
      <c r="N824" s="45">
        <v>46059.381944444445</v>
      </c>
      <c r="O824" s="36" t="s">
        <v>25</v>
      </c>
      <c r="P824" s="38">
        <v>1.783587963</v>
      </c>
      <c r="Q824" s="39" t="s">
        <v>2954</v>
      </c>
      <c r="R824" s="35" t="s">
        <v>916</v>
      </c>
      <c r="S824" s="35"/>
      <c r="T824" s="35" t="s">
        <v>1624</v>
      </c>
      <c r="U824" s="40">
        <v>46058</v>
      </c>
      <c r="V824" s="41">
        <v>46153.532800925925</v>
      </c>
      <c r="W824" s="40">
        <v>46057</v>
      </c>
      <c r="X824" s="35" t="s">
        <v>916</v>
      </c>
      <c r="Y824" s="35" t="s">
        <v>916</v>
      </c>
      <c r="Z824" s="35" t="s">
        <v>916</v>
      </c>
      <c r="AA824" s="38">
        <v>42.806111112000004</v>
      </c>
      <c r="AB824" s="42" t="s">
        <v>916</v>
      </c>
      <c r="AC824" s="43" t="s">
        <v>916</v>
      </c>
      <c r="AD824" s="43" t="s">
        <v>916</v>
      </c>
      <c r="AE824" s="33" t="s">
        <v>916</v>
      </c>
      <c r="AF824" s="35" t="s">
        <v>916</v>
      </c>
      <c r="AG824" s="44">
        <v>491729.3666666667</v>
      </c>
      <c r="AH824" s="42" t="s">
        <v>916</v>
      </c>
      <c r="AI824" s="32" t="e">
        <f>VLOOKUP(A824,'4月明細'!B:B,1,0)</f>
        <v>#N/A</v>
      </c>
    </row>
    <row r="825" spans="1:35" ht="19.95" customHeight="1" x14ac:dyDescent="0.3">
      <c r="A825" s="33" t="s">
        <v>332</v>
      </c>
      <c r="B825" s="34">
        <v>46057.598182870373</v>
      </c>
      <c r="C825" s="34" t="str">
        <f t="shared" si="25"/>
        <v>202602</v>
      </c>
      <c r="D825" s="35" t="s">
        <v>2278</v>
      </c>
      <c r="E825" s="36" t="s">
        <v>910</v>
      </c>
      <c r="F825" s="36" t="s">
        <v>2080</v>
      </c>
      <c r="G825" s="37" t="s">
        <v>2947</v>
      </c>
      <c r="H825" s="36" t="s">
        <v>1078</v>
      </c>
      <c r="I825" s="35"/>
      <c r="J825" s="36" t="s">
        <v>929</v>
      </c>
      <c r="K825" s="33" t="s">
        <v>916</v>
      </c>
      <c r="L825" s="35" t="s">
        <v>916</v>
      </c>
      <c r="M825" s="36" t="s">
        <v>1135</v>
      </c>
      <c r="N825" s="45">
        <v>46059.381944444445</v>
      </c>
      <c r="O825" s="36" t="s">
        <v>25</v>
      </c>
      <c r="P825" s="38">
        <v>1.7837615740999999</v>
      </c>
      <c r="Q825" s="39" t="s">
        <v>2954</v>
      </c>
      <c r="R825" s="35" t="s">
        <v>916</v>
      </c>
      <c r="S825" s="35"/>
      <c r="T825" s="35" t="s">
        <v>1624</v>
      </c>
      <c r="U825" s="40">
        <v>46058</v>
      </c>
      <c r="V825" s="41">
        <v>46153.532800925925</v>
      </c>
      <c r="W825" s="40">
        <v>46057</v>
      </c>
      <c r="X825" s="35" t="s">
        <v>916</v>
      </c>
      <c r="Y825" s="35" t="s">
        <v>916</v>
      </c>
      <c r="Z825" s="35" t="s">
        <v>916</v>
      </c>
      <c r="AA825" s="38">
        <v>42.8102777784</v>
      </c>
      <c r="AB825" s="42" t="s">
        <v>916</v>
      </c>
      <c r="AC825" s="43" t="s">
        <v>916</v>
      </c>
      <c r="AD825" s="43" t="s">
        <v>916</v>
      </c>
      <c r="AE825" s="33" t="s">
        <v>916</v>
      </c>
      <c r="AF825" s="35" t="s">
        <v>916</v>
      </c>
      <c r="AG825" s="44">
        <v>491729.3833333333</v>
      </c>
      <c r="AH825" s="42" t="s">
        <v>916</v>
      </c>
      <c r="AI825" s="32" t="e">
        <f>VLOOKUP(A825,'4月明細'!B:B,1,0)</f>
        <v>#N/A</v>
      </c>
    </row>
    <row r="826" spans="1:35" ht="19.95" customHeight="1" x14ac:dyDescent="0.3">
      <c r="A826" s="33" t="s">
        <v>331</v>
      </c>
      <c r="B826" s="34">
        <v>46057.597696759258</v>
      </c>
      <c r="C826" s="34" t="str">
        <f t="shared" si="25"/>
        <v>202602</v>
      </c>
      <c r="D826" s="35" t="s">
        <v>2278</v>
      </c>
      <c r="E826" s="36" t="s">
        <v>910</v>
      </c>
      <c r="F826" s="36" t="s">
        <v>1521</v>
      </c>
      <c r="G826" s="37" t="s">
        <v>2947</v>
      </c>
      <c r="H826" s="36" t="s">
        <v>1078</v>
      </c>
      <c r="I826" s="35"/>
      <c r="J826" s="36" t="s">
        <v>929</v>
      </c>
      <c r="K826" s="33" t="s">
        <v>916</v>
      </c>
      <c r="L826" s="35" t="s">
        <v>916</v>
      </c>
      <c r="M826" s="36" t="s">
        <v>1135</v>
      </c>
      <c r="N826" s="45">
        <v>46059.381944444445</v>
      </c>
      <c r="O826" s="36" t="s">
        <v>25</v>
      </c>
      <c r="P826" s="38">
        <v>1.7842476852</v>
      </c>
      <c r="Q826" s="39" t="s">
        <v>2954</v>
      </c>
      <c r="R826" s="35" t="s">
        <v>916</v>
      </c>
      <c r="S826" s="35"/>
      <c r="T826" s="35" t="s">
        <v>1624</v>
      </c>
      <c r="U826" s="40">
        <v>46058</v>
      </c>
      <c r="V826" s="41">
        <v>46153.532800925925</v>
      </c>
      <c r="W826" s="40">
        <v>46057</v>
      </c>
      <c r="X826" s="35" t="s">
        <v>916</v>
      </c>
      <c r="Y826" s="35" t="s">
        <v>916</v>
      </c>
      <c r="Z826" s="35" t="s">
        <v>916</v>
      </c>
      <c r="AA826" s="38">
        <v>42.821944444800003</v>
      </c>
      <c r="AB826" s="42" t="s">
        <v>916</v>
      </c>
      <c r="AC826" s="43" t="s">
        <v>916</v>
      </c>
      <c r="AD826" s="43" t="s">
        <v>916</v>
      </c>
      <c r="AE826" s="33" t="s">
        <v>916</v>
      </c>
      <c r="AF826" s="35" t="s">
        <v>916</v>
      </c>
      <c r="AG826" s="44">
        <v>491729.3833333333</v>
      </c>
      <c r="AH826" s="42" t="s">
        <v>916</v>
      </c>
      <c r="AI826" s="32" t="e">
        <f>VLOOKUP(A826,'4月明細'!B:B,1,0)</f>
        <v>#N/A</v>
      </c>
    </row>
    <row r="827" spans="1:35" ht="19.95" customHeight="1" x14ac:dyDescent="0.3">
      <c r="A827" s="33" t="s">
        <v>330</v>
      </c>
      <c r="B827" s="34">
        <v>46057.597349537034</v>
      </c>
      <c r="C827" s="34" t="str">
        <f t="shared" si="25"/>
        <v>202602</v>
      </c>
      <c r="D827" s="35" t="s">
        <v>2278</v>
      </c>
      <c r="E827" s="36" t="s">
        <v>910</v>
      </c>
      <c r="F827" s="36" t="s">
        <v>1475</v>
      </c>
      <c r="G827" s="37" t="s">
        <v>2947</v>
      </c>
      <c r="H827" s="36" t="s">
        <v>1078</v>
      </c>
      <c r="I827" s="35"/>
      <c r="J827" s="36" t="s">
        <v>929</v>
      </c>
      <c r="K827" s="33" t="s">
        <v>916</v>
      </c>
      <c r="L827" s="35" t="s">
        <v>916</v>
      </c>
      <c r="M827" s="36" t="s">
        <v>1135</v>
      </c>
      <c r="N827" s="45">
        <v>46059.381944444445</v>
      </c>
      <c r="O827" s="36" t="s">
        <v>25</v>
      </c>
      <c r="P827" s="38">
        <v>1.7845949074</v>
      </c>
      <c r="Q827" s="39" t="s">
        <v>2954</v>
      </c>
      <c r="R827" s="35" t="s">
        <v>916</v>
      </c>
      <c r="S827" s="35"/>
      <c r="T827" s="35" t="s">
        <v>1624</v>
      </c>
      <c r="U827" s="40">
        <v>46058</v>
      </c>
      <c r="V827" s="41">
        <v>46153.532800925925</v>
      </c>
      <c r="W827" s="40">
        <v>46057</v>
      </c>
      <c r="X827" s="35" t="s">
        <v>916</v>
      </c>
      <c r="Y827" s="35" t="s">
        <v>916</v>
      </c>
      <c r="Z827" s="35" t="s">
        <v>916</v>
      </c>
      <c r="AA827" s="38">
        <v>42.830277777600003</v>
      </c>
      <c r="AB827" s="42" t="s">
        <v>916</v>
      </c>
      <c r="AC827" s="43" t="s">
        <v>916</v>
      </c>
      <c r="AD827" s="43" t="s">
        <v>916</v>
      </c>
      <c r="AE827" s="33" t="s">
        <v>916</v>
      </c>
      <c r="AF827" s="35" t="s">
        <v>916</v>
      </c>
      <c r="AG827" s="44">
        <v>491729.45000000013</v>
      </c>
      <c r="AH827" s="42" t="s">
        <v>916</v>
      </c>
      <c r="AI827" s="32" t="e">
        <f>VLOOKUP(A827,'4月明細'!B:B,1,0)</f>
        <v>#N/A</v>
      </c>
    </row>
    <row r="828" spans="1:35" ht="19.95" customHeight="1" x14ac:dyDescent="0.3">
      <c r="A828" s="33" t="s">
        <v>296</v>
      </c>
      <c r="B828" s="34">
        <v>46054.374976851854</v>
      </c>
      <c r="C828" s="34" t="str">
        <f t="shared" si="25"/>
        <v>202602</v>
      </c>
      <c r="D828" s="35" t="s">
        <v>2278</v>
      </c>
      <c r="E828" s="36" t="s">
        <v>910</v>
      </c>
      <c r="F828" s="36" t="s">
        <v>1335</v>
      </c>
      <c r="G828" s="37" t="s">
        <v>2947</v>
      </c>
      <c r="H828" s="36" t="s">
        <v>1078</v>
      </c>
      <c r="I828" s="35"/>
      <c r="J828" s="36" t="s">
        <v>929</v>
      </c>
      <c r="K828" s="33" t="s">
        <v>916</v>
      </c>
      <c r="L828" s="35" t="s">
        <v>916</v>
      </c>
      <c r="M828" s="36" t="s">
        <v>1135</v>
      </c>
      <c r="N828" s="45">
        <v>46059.382638888892</v>
      </c>
      <c r="O828" s="36" t="s">
        <v>25</v>
      </c>
      <c r="P828" s="38">
        <v>5.0076620370000002</v>
      </c>
      <c r="Q828" s="39" t="s">
        <v>2954</v>
      </c>
      <c r="R828" s="35" t="s">
        <v>916</v>
      </c>
      <c r="S828" s="35"/>
      <c r="T828" s="35" t="s">
        <v>1624</v>
      </c>
      <c r="U828" s="40">
        <v>46055</v>
      </c>
      <c r="V828" s="41">
        <v>46153.532800925925</v>
      </c>
      <c r="W828" s="40">
        <v>46054</v>
      </c>
      <c r="X828" s="35" t="s">
        <v>916</v>
      </c>
      <c r="Y828" s="35" t="s">
        <v>916</v>
      </c>
      <c r="Z828" s="35" t="s">
        <v>916</v>
      </c>
      <c r="AA828" s="38">
        <v>120.183888888</v>
      </c>
      <c r="AB828" s="42" t="s">
        <v>916</v>
      </c>
      <c r="AC828" s="43" t="s">
        <v>916</v>
      </c>
      <c r="AD828" s="43" t="s">
        <v>916</v>
      </c>
      <c r="AE828" s="33" t="s">
        <v>916</v>
      </c>
      <c r="AF828" s="35" t="s">
        <v>916</v>
      </c>
      <c r="AG828" s="44">
        <v>491648.99972222222</v>
      </c>
      <c r="AH828" s="42" t="s">
        <v>916</v>
      </c>
      <c r="AI828" s="32" t="e">
        <f>VLOOKUP(A828,'4月明細'!B:B,1,0)</f>
        <v>#N/A</v>
      </c>
    </row>
    <row r="829" spans="1:35" ht="19.95" customHeight="1" x14ac:dyDescent="0.3">
      <c r="A829" s="33" t="s">
        <v>2974</v>
      </c>
      <c r="B829" s="34">
        <v>46057.591226851851</v>
      </c>
      <c r="C829" s="34" t="str">
        <f t="shared" si="25"/>
        <v>202602</v>
      </c>
      <c r="D829" s="35" t="s">
        <v>996</v>
      </c>
      <c r="E829" s="36" t="s">
        <v>910</v>
      </c>
      <c r="F829" s="36" t="s">
        <v>1919</v>
      </c>
      <c r="G829" s="37" t="s">
        <v>2975</v>
      </c>
      <c r="H829" s="36" t="s">
        <v>954</v>
      </c>
      <c r="I829" s="35" t="s">
        <v>2976</v>
      </c>
      <c r="J829" s="36" t="s">
        <v>929</v>
      </c>
      <c r="K829" s="33" t="s">
        <v>916</v>
      </c>
      <c r="L829" s="35" t="s">
        <v>916</v>
      </c>
      <c r="M829" s="36" t="s">
        <v>957</v>
      </c>
      <c r="N829" s="45">
        <v>46085.884722222225</v>
      </c>
      <c r="O829" s="36" t="s">
        <v>939</v>
      </c>
      <c r="P829" s="38">
        <v>28.293495370399999</v>
      </c>
      <c r="Q829" s="39" t="s">
        <v>2369</v>
      </c>
      <c r="R829" s="35" t="s">
        <v>916</v>
      </c>
      <c r="S829" s="35" t="s">
        <v>2977</v>
      </c>
      <c r="T829" s="35" t="s">
        <v>1624</v>
      </c>
      <c r="U829" s="40">
        <v>46058</v>
      </c>
      <c r="V829" s="41">
        <v>46153.532800925925</v>
      </c>
      <c r="W829" s="40">
        <v>46057</v>
      </c>
      <c r="X829" s="40">
        <v>46153</v>
      </c>
      <c r="Y829" s="35" t="s">
        <v>916</v>
      </c>
      <c r="Z829" s="35" t="s">
        <v>916</v>
      </c>
      <c r="AA829" s="38">
        <v>679.0438888896</v>
      </c>
      <c r="AB829" s="42" t="s">
        <v>916</v>
      </c>
      <c r="AC829" s="43" t="s">
        <v>916</v>
      </c>
      <c r="AD829" s="43" t="s">
        <v>916</v>
      </c>
      <c r="AE829" s="33" t="s">
        <v>916</v>
      </c>
      <c r="AF829" s="35" t="s">
        <v>916</v>
      </c>
      <c r="AG829" s="44">
        <v>491745.18333333329</v>
      </c>
      <c r="AH829" s="42" t="s">
        <v>916</v>
      </c>
      <c r="AI829" s="32" t="e">
        <f>VLOOKUP(A829,'4月明細'!B:B,1,0)</f>
        <v>#N/A</v>
      </c>
    </row>
    <row r="830" spans="1:35" ht="19.95" customHeight="1" x14ac:dyDescent="0.3">
      <c r="A830" s="33" t="s">
        <v>329</v>
      </c>
      <c r="B830" s="34">
        <v>46057.524467592593</v>
      </c>
      <c r="C830" s="34" t="str">
        <f t="shared" si="25"/>
        <v>202602</v>
      </c>
      <c r="D830" s="35" t="s">
        <v>996</v>
      </c>
      <c r="E830" s="36" t="s">
        <v>910</v>
      </c>
      <c r="F830" s="36" t="s">
        <v>1919</v>
      </c>
      <c r="G830" s="37" t="s">
        <v>2978</v>
      </c>
      <c r="H830" s="36" t="s">
        <v>1078</v>
      </c>
      <c r="I830" s="35"/>
      <c r="J830" s="36" t="s">
        <v>929</v>
      </c>
      <c r="K830" s="33" t="s">
        <v>916</v>
      </c>
      <c r="L830" s="35" t="s">
        <v>916</v>
      </c>
      <c r="M830" s="36" t="s">
        <v>1135</v>
      </c>
      <c r="N830" s="45">
        <v>46059.382638888892</v>
      </c>
      <c r="O830" s="36" t="s">
        <v>25</v>
      </c>
      <c r="P830" s="38">
        <v>1.8581712963000001</v>
      </c>
      <c r="Q830" s="39" t="s">
        <v>2954</v>
      </c>
      <c r="R830" s="35" t="s">
        <v>916</v>
      </c>
      <c r="S830" s="35"/>
      <c r="T830" s="35" t="s">
        <v>1624</v>
      </c>
      <c r="U830" s="40">
        <v>46058</v>
      </c>
      <c r="V830" s="41">
        <v>46153.532800925925</v>
      </c>
      <c r="W830" s="40">
        <v>46057</v>
      </c>
      <c r="X830" s="35" t="s">
        <v>916</v>
      </c>
      <c r="Y830" s="35" t="s">
        <v>916</v>
      </c>
      <c r="Z830" s="35" t="s">
        <v>916</v>
      </c>
      <c r="AA830" s="38">
        <v>44.596111111200003</v>
      </c>
      <c r="AB830" s="42" t="s">
        <v>916</v>
      </c>
      <c r="AC830" s="43" t="s">
        <v>916</v>
      </c>
      <c r="AD830" s="43" t="s">
        <v>916</v>
      </c>
      <c r="AE830" s="33" t="s">
        <v>916</v>
      </c>
      <c r="AF830" s="35" t="s">
        <v>916</v>
      </c>
      <c r="AG830" s="44">
        <v>491729.46666666667</v>
      </c>
      <c r="AH830" s="42" t="s">
        <v>916</v>
      </c>
      <c r="AI830" s="32" t="e">
        <f>VLOOKUP(A830,'4月明細'!B:B,1,0)</f>
        <v>#N/A</v>
      </c>
    </row>
    <row r="831" spans="1:35" ht="19.95" customHeight="1" x14ac:dyDescent="0.3">
      <c r="A831" s="33" t="s">
        <v>328</v>
      </c>
      <c r="B831" s="34">
        <v>46057.51321759259</v>
      </c>
      <c r="C831" s="34" t="str">
        <f t="shared" si="25"/>
        <v>202602</v>
      </c>
      <c r="D831" s="35" t="s">
        <v>1178</v>
      </c>
      <c r="E831" s="36" t="s">
        <v>910</v>
      </c>
      <c r="F831" s="36" t="s">
        <v>1068</v>
      </c>
      <c r="G831" s="37" t="s">
        <v>2979</v>
      </c>
      <c r="H831" s="36" t="s">
        <v>1078</v>
      </c>
      <c r="I831" s="35" t="s">
        <v>2980</v>
      </c>
      <c r="J831" s="36" t="s">
        <v>929</v>
      </c>
      <c r="K831" s="33" t="s">
        <v>916</v>
      </c>
      <c r="L831" s="35" t="s">
        <v>916</v>
      </c>
      <c r="M831" s="36" t="s">
        <v>1135</v>
      </c>
      <c r="N831" s="45">
        <v>46059.383333333331</v>
      </c>
      <c r="O831" s="36" t="s">
        <v>25</v>
      </c>
      <c r="P831" s="38">
        <v>1.8701157407</v>
      </c>
      <c r="Q831" s="39" t="s">
        <v>2954</v>
      </c>
      <c r="R831" s="35" t="s">
        <v>916</v>
      </c>
      <c r="S831" s="35"/>
      <c r="T831" s="35" t="s">
        <v>1624</v>
      </c>
      <c r="U831" s="40">
        <v>46058</v>
      </c>
      <c r="V831" s="41">
        <v>46153.532800925925</v>
      </c>
      <c r="W831" s="40">
        <v>46057</v>
      </c>
      <c r="X831" s="35" t="s">
        <v>916</v>
      </c>
      <c r="Y831" s="35" t="s">
        <v>916</v>
      </c>
      <c r="Z831" s="35" t="s">
        <v>916</v>
      </c>
      <c r="AA831" s="38">
        <v>44.882777776799998</v>
      </c>
      <c r="AB831" s="42" t="s">
        <v>916</v>
      </c>
      <c r="AC831" s="43" t="s">
        <v>916</v>
      </c>
      <c r="AD831" s="43" t="s">
        <v>916</v>
      </c>
      <c r="AE831" s="33" t="s">
        <v>916</v>
      </c>
      <c r="AF831" s="35" t="s">
        <v>916</v>
      </c>
      <c r="AG831" s="44">
        <v>491729.46666666667</v>
      </c>
      <c r="AH831" s="42" t="s">
        <v>916</v>
      </c>
      <c r="AI831" s="32" t="e">
        <f>VLOOKUP(A831,'4月明細'!B:B,1,0)</f>
        <v>#N/A</v>
      </c>
    </row>
    <row r="832" spans="1:35" ht="19.95" customHeight="1" x14ac:dyDescent="0.3">
      <c r="A832" s="33" t="s">
        <v>327</v>
      </c>
      <c r="B832" s="34">
        <v>46057.497164351851</v>
      </c>
      <c r="C832" s="34" t="str">
        <f t="shared" si="25"/>
        <v>202602</v>
      </c>
      <c r="D832" s="35" t="s">
        <v>996</v>
      </c>
      <c r="E832" s="36" t="s">
        <v>910</v>
      </c>
      <c r="F832" s="36" t="s">
        <v>1093</v>
      </c>
      <c r="G832" s="37" t="s">
        <v>2981</v>
      </c>
      <c r="H832" s="36" t="s">
        <v>1078</v>
      </c>
      <c r="I832" s="35"/>
      <c r="J832" s="36" t="s">
        <v>1058</v>
      </c>
      <c r="K832" s="33" t="s">
        <v>916</v>
      </c>
      <c r="L832" s="35" t="s">
        <v>916</v>
      </c>
      <c r="M832" s="36" t="s">
        <v>1135</v>
      </c>
      <c r="N832" s="45">
        <v>46059.383333333331</v>
      </c>
      <c r="O832" s="36" t="s">
        <v>25</v>
      </c>
      <c r="P832" s="38">
        <v>1.8861689815</v>
      </c>
      <c r="Q832" s="39" t="s">
        <v>2954</v>
      </c>
      <c r="R832" s="35" t="s">
        <v>916</v>
      </c>
      <c r="S832" s="35"/>
      <c r="T832" s="35" t="s">
        <v>1624</v>
      </c>
      <c r="U832" s="40">
        <v>46058</v>
      </c>
      <c r="V832" s="41">
        <v>46153.532800925925</v>
      </c>
      <c r="W832" s="40">
        <v>46057</v>
      </c>
      <c r="X832" s="35" t="s">
        <v>916</v>
      </c>
      <c r="Y832" s="35" t="s">
        <v>916</v>
      </c>
      <c r="Z832" s="35" t="s">
        <v>916</v>
      </c>
      <c r="AA832" s="38">
        <v>45.268055556</v>
      </c>
      <c r="AB832" s="42" t="s">
        <v>916</v>
      </c>
      <c r="AC832" s="43" t="s">
        <v>916</v>
      </c>
      <c r="AD832" s="43" t="s">
        <v>916</v>
      </c>
      <c r="AE832" s="33" t="s">
        <v>916</v>
      </c>
      <c r="AF832" s="35" t="s">
        <v>916</v>
      </c>
      <c r="AG832" s="44">
        <v>491729.4833333334</v>
      </c>
      <c r="AH832" s="42" t="s">
        <v>916</v>
      </c>
      <c r="AI832" s="32" t="e">
        <f>VLOOKUP(A832,'4月明細'!B:B,1,0)</f>
        <v>#N/A</v>
      </c>
    </row>
    <row r="833" spans="1:35" ht="19.95" customHeight="1" x14ac:dyDescent="0.3">
      <c r="A833" s="33" t="s">
        <v>2982</v>
      </c>
      <c r="B833" s="34">
        <v>46057.489942129629</v>
      </c>
      <c r="C833" s="34" t="str">
        <f t="shared" si="25"/>
        <v>202602</v>
      </c>
      <c r="D833" s="35" t="s">
        <v>996</v>
      </c>
      <c r="E833" s="36" t="s">
        <v>910</v>
      </c>
      <c r="F833" s="36" t="s">
        <v>1282</v>
      </c>
      <c r="G833" s="37" t="s">
        <v>2983</v>
      </c>
      <c r="H833" s="36" t="s">
        <v>1078</v>
      </c>
      <c r="I833" s="35" t="s">
        <v>2984</v>
      </c>
      <c r="J833" s="36" t="s">
        <v>929</v>
      </c>
      <c r="K833" s="33" t="s">
        <v>916</v>
      </c>
      <c r="L833" s="35" t="s">
        <v>916</v>
      </c>
      <c r="M833" s="36" t="s">
        <v>916</v>
      </c>
      <c r="N833" s="45">
        <v>46057.814583333333</v>
      </c>
      <c r="O833" s="36" t="s">
        <v>1920</v>
      </c>
      <c r="P833" s="38">
        <v>0.32464120369999999</v>
      </c>
      <c r="Q833" s="39" t="s">
        <v>2985</v>
      </c>
      <c r="R833" s="35" t="s">
        <v>916</v>
      </c>
      <c r="S833" s="35"/>
      <c r="T833" s="35" t="s">
        <v>1624</v>
      </c>
      <c r="U833" s="40">
        <v>46058</v>
      </c>
      <c r="V833" s="41">
        <v>46153.532800925925</v>
      </c>
      <c r="W833" s="40">
        <v>46057</v>
      </c>
      <c r="X833" s="35" t="s">
        <v>916</v>
      </c>
      <c r="Y833" s="35" t="s">
        <v>916</v>
      </c>
      <c r="Z833" s="35" t="s">
        <v>916</v>
      </c>
      <c r="AA833" s="38">
        <v>7.7913888888000002</v>
      </c>
      <c r="AB833" s="42" t="s">
        <v>916</v>
      </c>
      <c r="AC833" s="43" t="s">
        <v>916</v>
      </c>
      <c r="AD833" s="43" t="s">
        <v>916</v>
      </c>
      <c r="AE833" s="33" t="s">
        <v>916</v>
      </c>
      <c r="AF833" s="35" t="s">
        <v>916</v>
      </c>
      <c r="AG833" s="44">
        <v>491731.55</v>
      </c>
      <c r="AH833" s="42" t="s">
        <v>916</v>
      </c>
      <c r="AI833" s="32" t="e">
        <f>VLOOKUP(A833,'4月明細'!B:B,1,0)</f>
        <v>#N/A</v>
      </c>
    </row>
    <row r="834" spans="1:35" ht="19.95" customHeight="1" x14ac:dyDescent="0.3">
      <c r="A834" s="33" t="s">
        <v>326</v>
      </c>
      <c r="B834" s="34">
        <v>46057.468958333331</v>
      </c>
      <c r="C834" s="34" t="str">
        <f t="shared" si="25"/>
        <v>202602</v>
      </c>
      <c r="D834" s="35" t="s">
        <v>951</v>
      </c>
      <c r="E834" s="36" t="s">
        <v>910</v>
      </c>
      <c r="F834" s="36" t="s">
        <v>1183</v>
      </c>
      <c r="G834" s="37" t="s">
        <v>2986</v>
      </c>
      <c r="H834" s="36" t="s">
        <v>928</v>
      </c>
      <c r="I834" s="35" t="s">
        <v>2987</v>
      </c>
      <c r="J834" s="36" t="s">
        <v>929</v>
      </c>
      <c r="K834" s="33" t="s">
        <v>916</v>
      </c>
      <c r="L834" s="35" t="s">
        <v>916</v>
      </c>
      <c r="M834" s="36" t="s">
        <v>957</v>
      </c>
      <c r="N834" s="45">
        <v>46057.813194444447</v>
      </c>
      <c r="O834" s="36" t="s">
        <v>25</v>
      </c>
      <c r="P834" s="38">
        <v>0.34423611110000002</v>
      </c>
      <c r="Q834" s="39" t="s">
        <v>2988</v>
      </c>
      <c r="R834" s="35" t="s">
        <v>916</v>
      </c>
      <c r="S834" s="35" t="s">
        <v>2989</v>
      </c>
      <c r="T834" s="35" t="s">
        <v>1624</v>
      </c>
      <c r="U834" s="40">
        <v>46058</v>
      </c>
      <c r="V834" s="41">
        <v>46153.532800925925</v>
      </c>
      <c r="W834" s="40">
        <v>46057</v>
      </c>
      <c r="X834" s="35" t="s">
        <v>916</v>
      </c>
      <c r="Y834" s="35" t="s">
        <v>916</v>
      </c>
      <c r="Z834" s="35" t="s">
        <v>916</v>
      </c>
      <c r="AA834" s="38">
        <v>8.2616666664</v>
      </c>
      <c r="AB834" s="42" t="s">
        <v>916</v>
      </c>
      <c r="AC834" s="43" t="s">
        <v>916</v>
      </c>
      <c r="AD834" s="43" t="s">
        <v>916</v>
      </c>
      <c r="AE834" s="33" t="s">
        <v>916</v>
      </c>
      <c r="AF834" s="35" t="s">
        <v>916</v>
      </c>
      <c r="AG834" s="44">
        <v>491731.51666666672</v>
      </c>
      <c r="AH834" s="42" t="s">
        <v>916</v>
      </c>
      <c r="AI834" s="32" t="e">
        <f>VLOOKUP(A834,'4月明細'!B:B,1,0)</f>
        <v>#N/A</v>
      </c>
    </row>
    <row r="835" spans="1:35" ht="19.95" customHeight="1" x14ac:dyDescent="0.3">
      <c r="A835" s="33" t="s">
        <v>325</v>
      </c>
      <c r="B835" s="34">
        <v>46057.464884259258</v>
      </c>
      <c r="C835" s="34" t="str">
        <f t="shared" ref="C835:C898" si="26">TEXT(B835,"YYYYMM")</f>
        <v>202602</v>
      </c>
      <c r="D835" s="35" t="s">
        <v>996</v>
      </c>
      <c r="E835" s="36" t="s">
        <v>910</v>
      </c>
      <c r="F835" s="36" t="s">
        <v>961</v>
      </c>
      <c r="G835" s="37" t="s">
        <v>2990</v>
      </c>
      <c r="H835" s="36" t="s">
        <v>1078</v>
      </c>
      <c r="I835" s="35"/>
      <c r="J835" s="36" t="s">
        <v>1058</v>
      </c>
      <c r="K835" s="33" t="s">
        <v>916</v>
      </c>
      <c r="L835" s="35" t="s">
        <v>916</v>
      </c>
      <c r="M835" s="36" t="s">
        <v>1039</v>
      </c>
      <c r="N835" s="45">
        <v>46065.398611111108</v>
      </c>
      <c r="O835" s="36" t="s">
        <v>25</v>
      </c>
      <c r="P835" s="38">
        <v>7.9337268519000004</v>
      </c>
      <c r="Q835" s="39" t="s">
        <v>2954</v>
      </c>
      <c r="R835" s="35" t="s">
        <v>916</v>
      </c>
      <c r="S835" s="35"/>
      <c r="T835" s="35" t="s">
        <v>1624</v>
      </c>
      <c r="U835" s="40">
        <v>46058</v>
      </c>
      <c r="V835" s="41">
        <v>46153.532800925925</v>
      </c>
      <c r="W835" s="40">
        <v>46057</v>
      </c>
      <c r="X835" s="35" t="s">
        <v>916</v>
      </c>
      <c r="Y835" s="35" t="s">
        <v>916</v>
      </c>
      <c r="Z835" s="35" t="s">
        <v>916</v>
      </c>
      <c r="AA835" s="38">
        <v>190.4094444456</v>
      </c>
      <c r="AB835" s="42" t="s">
        <v>916</v>
      </c>
      <c r="AC835" s="43" t="s">
        <v>916</v>
      </c>
      <c r="AD835" s="43" t="s">
        <v>916</v>
      </c>
      <c r="AE835" s="33" t="s">
        <v>916</v>
      </c>
      <c r="AF835" s="35" t="s">
        <v>916</v>
      </c>
      <c r="AG835" s="44">
        <v>491729.4833333334</v>
      </c>
      <c r="AH835" s="42" t="s">
        <v>916</v>
      </c>
      <c r="AI835" s="32" t="e">
        <f>VLOOKUP(A835,'4月明細'!B:B,1,0)</f>
        <v>#N/A</v>
      </c>
    </row>
    <row r="836" spans="1:35" ht="19.95" customHeight="1" x14ac:dyDescent="0.3">
      <c r="A836" s="33" t="s">
        <v>324</v>
      </c>
      <c r="B836" s="34">
        <v>46057.450046296297</v>
      </c>
      <c r="C836" s="34" t="str">
        <f t="shared" si="26"/>
        <v>202602</v>
      </c>
      <c r="D836" s="35" t="s">
        <v>996</v>
      </c>
      <c r="E836" s="36" t="s">
        <v>910</v>
      </c>
      <c r="F836" s="36" t="s">
        <v>997</v>
      </c>
      <c r="G836" s="37" t="s">
        <v>2991</v>
      </c>
      <c r="H836" s="36" t="s">
        <v>1078</v>
      </c>
      <c r="I836" s="35"/>
      <c r="J836" s="36" t="s">
        <v>1058</v>
      </c>
      <c r="K836" s="33" t="s">
        <v>916</v>
      </c>
      <c r="L836" s="35" t="s">
        <v>916</v>
      </c>
      <c r="M836" s="36" t="s">
        <v>1039</v>
      </c>
      <c r="N836" s="45">
        <v>46065.398611111108</v>
      </c>
      <c r="O836" s="36" t="s">
        <v>25</v>
      </c>
      <c r="P836" s="38">
        <v>7.9485648148000001</v>
      </c>
      <c r="Q836" s="39" t="s">
        <v>2954</v>
      </c>
      <c r="R836" s="35" t="s">
        <v>916</v>
      </c>
      <c r="S836" s="35"/>
      <c r="T836" s="35" t="s">
        <v>1624</v>
      </c>
      <c r="U836" s="40">
        <v>46058</v>
      </c>
      <c r="V836" s="41">
        <v>46153.532800925925</v>
      </c>
      <c r="W836" s="40">
        <v>46057</v>
      </c>
      <c r="X836" s="35" t="s">
        <v>916</v>
      </c>
      <c r="Y836" s="35" t="s">
        <v>916</v>
      </c>
      <c r="Z836" s="35" t="s">
        <v>916</v>
      </c>
      <c r="AA836" s="38">
        <v>190.7655555552</v>
      </c>
      <c r="AB836" s="42" t="s">
        <v>916</v>
      </c>
      <c r="AC836" s="43" t="s">
        <v>916</v>
      </c>
      <c r="AD836" s="43" t="s">
        <v>916</v>
      </c>
      <c r="AE836" s="33" t="s">
        <v>916</v>
      </c>
      <c r="AF836" s="35" t="s">
        <v>916</v>
      </c>
      <c r="AG836" s="44">
        <v>491729.5</v>
      </c>
      <c r="AH836" s="42" t="s">
        <v>916</v>
      </c>
      <c r="AI836" s="32" t="e">
        <f>VLOOKUP(A836,'4月明細'!B:B,1,0)</f>
        <v>#N/A</v>
      </c>
    </row>
    <row r="837" spans="1:35" ht="19.95" customHeight="1" x14ac:dyDescent="0.3">
      <c r="A837" s="33" t="s">
        <v>323</v>
      </c>
      <c r="B837" s="34">
        <v>46056.681435185186</v>
      </c>
      <c r="C837" s="34" t="str">
        <f t="shared" si="26"/>
        <v>202602</v>
      </c>
      <c r="D837" s="35" t="s">
        <v>1587</v>
      </c>
      <c r="E837" s="36" t="s">
        <v>942</v>
      </c>
      <c r="F837" s="36" t="s">
        <v>1411</v>
      </c>
      <c r="G837" s="37" t="s">
        <v>2992</v>
      </c>
      <c r="H837" s="36" t="s">
        <v>1023</v>
      </c>
      <c r="I837" s="35"/>
      <c r="J837" s="36" t="s">
        <v>938</v>
      </c>
      <c r="K837" s="33" t="s">
        <v>916</v>
      </c>
      <c r="L837" s="35" t="s">
        <v>916</v>
      </c>
      <c r="M837" s="36" t="s">
        <v>916</v>
      </c>
      <c r="N837" s="45">
        <v>46056.728472222225</v>
      </c>
      <c r="O837" s="36" t="s">
        <v>25</v>
      </c>
      <c r="P837" s="38">
        <v>4.7037036999999997E-2</v>
      </c>
      <c r="Q837" s="39" t="s">
        <v>2993</v>
      </c>
      <c r="R837" s="35" t="s">
        <v>916</v>
      </c>
      <c r="S837" s="35" t="s">
        <v>2994</v>
      </c>
      <c r="T837" s="35" t="s">
        <v>1624</v>
      </c>
      <c r="U837" s="40">
        <v>46057</v>
      </c>
      <c r="V837" s="41">
        <v>46153.532800925925</v>
      </c>
      <c r="W837" s="40">
        <v>46056</v>
      </c>
      <c r="X837" s="35" t="s">
        <v>916</v>
      </c>
      <c r="Y837" s="35" t="s">
        <v>916</v>
      </c>
      <c r="Z837" s="35" t="s">
        <v>916</v>
      </c>
      <c r="AA837" s="38">
        <v>1.1288888880000001</v>
      </c>
      <c r="AB837" s="42" t="s">
        <v>916</v>
      </c>
      <c r="AC837" s="43" t="s">
        <v>916</v>
      </c>
      <c r="AD837" s="43" t="s">
        <v>916</v>
      </c>
      <c r="AE837" s="33" t="s">
        <v>916</v>
      </c>
      <c r="AF837" s="35" t="s">
        <v>916</v>
      </c>
      <c r="AG837" s="44">
        <v>491704.35444444453</v>
      </c>
      <c r="AH837" s="42" t="s">
        <v>916</v>
      </c>
      <c r="AI837" s="32" t="e">
        <f>VLOOKUP(A837,'4月明細'!B:B,1,0)</f>
        <v>#N/A</v>
      </c>
    </row>
    <row r="838" spans="1:35" ht="19.95" customHeight="1" x14ac:dyDescent="0.3">
      <c r="A838" s="33" t="s">
        <v>2995</v>
      </c>
      <c r="B838" s="34">
        <v>46056.499259259261</v>
      </c>
      <c r="C838" s="34" t="str">
        <f t="shared" si="26"/>
        <v>202602</v>
      </c>
      <c r="D838" s="35" t="s">
        <v>1856</v>
      </c>
      <c r="E838" s="36" t="s">
        <v>942</v>
      </c>
      <c r="F838" s="36" t="s">
        <v>1748</v>
      </c>
      <c r="G838" s="37" t="s">
        <v>2996</v>
      </c>
      <c r="H838" s="36" t="s">
        <v>913</v>
      </c>
      <c r="I838" s="35"/>
      <c r="J838" s="36" t="s">
        <v>929</v>
      </c>
      <c r="K838" s="33" t="s">
        <v>916</v>
      </c>
      <c r="L838" s="35" t="s">
        <v>916</v>
      </c>
      <c r="M838" s="36" t="s">
        <v>1135</v>
      </c>
      <c r="N838" s="45">
        <v>46098.482638888891</v>
      </c>
      <c r="O838" s="36" t="s">
        <v>1384</v>
      </c>
      <c r="P838" s="38">
        <v>41.983379629600002</v>
      </c>
      <c r="Q838" s="39" t="s">
        <v>2997</v>
      </c>
      <c r="R838" s="46" t="s">
        <v>2998</v>
      </c>
      <c r="S838" s="35" t="s">
        <v>2999</v>
      </c>
      <c r="T838" s="35" t="s">
        <v>1624</v>
      </c>
      <c r="U838" s="40">
        <v>46057</v>
      </c>
      <c r="V838" s="41">
        <v>46153.532800925925</v>
      </c>
      <c r="W838" s="40">
        <v>46056</v>
      </c>
      <c r="X838" s="35" t="s">
        <v>916</v>
      </c>
      <c r="Y838" s="35" t="s">
        <v>916</v>
      </c>
      <c r="Z838" s="35" t="s">
        <v>916</v>
      </c>
      <c r="AA838" s="38">
        <v>1007.6011111104</v>
      </c>
      <c r="AB838" s="42" t="s">
        <v>916</v>
      </c>
      <c r="AC838" s="43" t="s">
        <v>916</v>
      </c>
      <c r="AD838" s="43" t="s">
        <v>916</v>
      </c>
      <c r="AE838" s="33" t="s">
        <v>916</v>
      </c>
      <c r="AF838" s="35" t="s">
        <v>916</v>
      </c>
      <c r="AG838" s="44">
        <v>983565.83222222223</v>
      </c>
      <c r="AH838" s="42" t="s">
        <v>916</v>
      </c>
      <c r="AI838" s="32" t="e">
        <f>VLOOKUP(A838,'4月明細'!B:B,1,0)</f>
        <v>#N/A</v>
      </c>
    </row>
    <row r="839" spans="1:35" ht="19.95" customHeight="1" x14ac:dyDescent="0.3">
      <c r="A839" s="33" t="s">
        <v>322</v>
      </c>
      <c r="B839" s="34">
        <v>46055.695636574077</v>
      </c>
      <c r="C839" s="34" t="str">
        <f t="shared" si="26"/>
        <v>202602</v>
      </c>
      <c r="D839" s="35" t="s">
        <v>1587</v>
      </c>
      <c r="E839" s="36" t="s">
        <v>942</v>
      </c>
      <c r="F839" s="36" t="s">
        <v>1108</v>
      </c>
      <c r="G839" s="37" t="s">
        <v>3000</v>
      </c>
      <c r="H839" s="36" t="s">
        <v>954</v>
      </c>
      <c r="I839" s="35"/>
      <c r="J839" s="36" t="s">
        <v>945</v>
      </c>
      <c r="K839" s="33" t="s">
        <v>916</v>
      </c>
      <c r="L839" s="35" t="s">
        <v>916</v>
      </c>
      <c r="M839" s="36" t="s">
        <v>916</v>
      </c>
      <c r="N839" s="45">
        <v>46056.481249999997</v>
      </c>
      <c r="O839" s="36" t="s">
        <v>25</v>
      </c>
      <c r="P839" s="38">
        <v>0.78561342590000005</v>
      </c>
      <c r="Q839" s="39" t="s">
        <v>3001</v>
      </c>
      <c r="R839" s="35" t="s">
        <v>916</v>
      </c>
      <c r="S839" s="35"/>
      <c r="T839" s="35" t="s">
        <v>1624</v>
      </c>
      <c r="U839" s="40">
        <v>46056</v>
      </c>
      <c r="V839" s="41">
        <v>46153.532800925925</v>
      </c>
      <c r="W839" s="40">
        <v>46055</v>
      </c>
      <c r="X839" s="35" t="s">
        <v>916</v>
      </c>
      <c r="Y839" s="35" t="s">
        <v>916</v>
      </c>
      <c r="Z839" s="35" t="s">
        <v>916</v>
      </c>
      <c r="AA839" s="38">
        <v>18.854722221599999</v>
      </c>
      <c r="AB839" s="42" t="s">
        <v>916</v>
      </c>
      <c r="AC839" s="43" t="s">
        <v>916</v>
      </c>
      <c r="AD839" s="43" t="s">
        <v>916</v>
      </c>
      <c r="AE839" s="33" t="s">
        <v>916</v>
      </c>
      <c r="AF839" s="35" t="s">
        <v>916</v>
      </c>
      <c r="AG839" s="44">
        <v>491680.69527777768</v>
      </c>
      <c r="AH839" s="42" t="s">
        <v>916</v>
      </c>
      <c r="AI839" s="32" t="e">
        <f>VLOOKUP(A839,'4月明細'!B:B,1,0)</f>
        <v>#N/A</v>
      </c>
    </row>
    <row r="840" spans="1:35" ht="19.95" customHeight="1" x14ac:dyDescent="0.3">
      <c r="A840" s="33" t="s">
        <v>321</v>
      </c>
      <c r="B840" s="34">
        <v>46055.623912037037</v>
      </c>
      <c r="C840" s="34" t="str">
        <f t="shared" si="26"/>
        <v>202602</v>
      </c>
      <c r="D840" s="35" t="s">
        <v>1178</v>
      </c>
      <c r="E840" s="36" t="s">
        <v>910</v>
      </c>
      <c r="F840" s="36" t="s">
        <v>1423</v>
      </c>
      <c r="G840" s="37" t="s">
        <v>3002</v>
      </c>
      <c r="H840" s="36" t="s">
        <v>928</v>
      </c>
      <c r="I840" s="35"/>
      <c r="J840" s="36" t="s">
        <v>929</v>
      </c>
      <c r="K840" s="33" t="s">
        <v>916</v>
      </c>
      <c r="L840" s="35" t="s">
        <v>916</v>
      </c>
      <c r="M840" s="36" t="s">
        <v>1039</v>
      </c>
      <c r="N840" s="45">
        <v>46056.643750000003</v>
      </c>
      <c r="O840" s="36" t="s">
        <v>25</v>
      </c>
      <c r="P840" s="38">
        <v>1.0198379630000001</v>
      </c>
      <c r="Q840" s="39" t="s">
        <v>3003</v>
      </c>
      <c r="R840" s="35" t="s">
        <v>916</v>
      </c>
      <c r="S840" s="35"/>
      <c r="T840" s="35" t="s">
        <v>1624</v>
      </c>
      <c r="U840" s="40">
        <v>46056</v>
      </c>
      <c r="V840" s="41">
        <v>46153.532800925925</v>
      </c>
      <c r="W840" s="40">
        <v>46055</v>
      </c>
      <c r="X840" s="35" t="s">
        <v>916</v>
      </c>
      <c r="Y840" s="35" t="s">
        <v>916</v>
      </c>
      <c r="Z840" s="35" t="s">
        <v>916</v>
      </c>
      <c r="AA840" s="38">
        <v>24.476111112000002</v>
      </c>
      <c r="AB840" s="42" t="s">
        <v>916</v>
      </c>
      <c r="AC840" s="43" t="s">
        <v>916</v>
      </c>
      <c r="AD840" s="43" t="s">
        <v>916</v>
      </c>
      <c r="AE840" s="33" t="s">
        <v>916</v>
      </c>
      <c r="AF840" s="35" t="s">
        <v>916</v>
      </c>
      <c r="AG840" s="44">
        <v>491678.9738888889</v>
      </c>
      <c r="AH840" s="42" t="s">
        <v>916</v>
      </c>
      <c r="AI840" s="32" t="e">
        <f>VLOOKUP(A840,'4月明細'!B:B,1,0)</f>
        <v>#N/A</v>
      </c>
    </row>
    <row r="841" spans="1:35" ht="19.95" customHeight="1" x14ac:dyDescent="0.3">
      <c r="A841" s="33" t="s">
        <v>320</v>
      </c>
      <c r="B841" s="34">
        <v>46055.600949074076</v>
      </c>
      <c r="C841" s="34" t="str">
        <f t="shared" si="26"/>
        <v>202602</v>
      </c>
      <c r="D841" s="35" t="s">
        <v>3004</v>
      </c>
      <c r="E841" s="36" t="s">
        <v>942</v>
      </c>
      <c r="F841" s="36" t="s">
        <v>1429</v>
      </c>
      <c r="G841" s="37" t="s">
        <v>3005</v>
      </c>
      <c r="H841" s="36" t="s">
        <v>954</v>
      </c>
      <c r="I841" s="35"/>
      <c r="J841" s="36" t="s">
        <v>938</v>
      </c>
      <c r="K841" s="33" t="s">
        <v>916</v>
      </c>
      <c r="L841" s="35" t="s">
        <v>916</v>
      </c>
      <c r="M841" s="36" t="s">
        <v>916</v>
      </c>
      <c r="N841" s="45">
        <v>46057.561111111114</v>
      </c>
      <c r="O841" s="36" t="s">
        <v>25</v>
      </c>
      <c r="P841" s="38">
        <v>1.9601620369999999</v>
      </c>
      <c r="Q841" s="39" t="s">
        <v>2171</v>
      </c>
      <c r="R841" s="35" t="s">
        <v>916</v>
      </c>
      <c r="S841" s="35"/>
      <c r="T841" s="35" t="s">
        <v>1624</v>
      </c>
      <c r="U841" s="40">
        <v>46056</v>
      </c>
      <c r="V841" s="41">
        <v>46153.532800925925</v>
      </c>
      <c r="W841" s="40">
        <v>46055</v>
      </c>
      <c r="X841" s="35" t="s">
        <v>916</v>
      </c>
      <c r="Y841" s="35" t="s">
        <v>916</v>
      </c>
      <c r="Z841" s="35" t="s">
        <v>916</v>
      </c>
      <c r="AA841" s="38">
        <v>47.043888887999998</v>
      </c>
      <c r="AB841" s="42" t="s">
        <v>916</v>
      </c>
      <c r="AC841" s="43" t="s">
        <v>916</v>
      </c>
      <c r="AD841" s="43" t="s">
        <v>916</v>
      </c>
      <c r="AE841" s="33" t="s">
        <v>916</v>
      </c>
      <c r="AF841" s="35" t="s">
        <v>916</v>
      </c>
      <c r="AG841" s="44">
        <v>491678.42277777783</v>
      </c>
      <c r="AH841" s="42" t="s">
        <v>916</v>
      </c>
      <c r="AI841" s="32" t="e">
        <f>VLOOKUP(A841,'4月明細'!B:B,1,0)</f>
        <v>#N/A</v>
      </c>
    </row>
    <row r="842" spans="1:35" ht="19.95" customHeight="1" x14ac:dyDescent="0.3">
      <c r="A842" s="33" t="s">
        <v>319</v>
      </c>
      <c r="B842" s="34">
        <v>46055.600474537037</v>
      </c>
      <c r="C842" s="34" t="str">
        <f t="shared" si="26"/>
        <v>202602</v>
      </c>
      <c r="D842" s="35" t="s">
        <v>909</v>
      </c>
      <c r="E842" s="36" t="s">
        <v>910</v>
      </c>
      <c r="F842" s="36" t="s">
        <v>1229</v>
      </c>
      <c r="G842" s="37" t="s">
        <v>1525</v>
      </c>
      <c r="H842" s="36" t="s">
        <v>1114</v>
      </c>
      <c r="I842" s="35"/>
      <c r="J842" s="36" t="s">
        <v>929</v>
      </c>
      <c r="K842" s="33" t="s">
        <v>916</v>
      </c>
      <c r="L842" s="35" t="s">
        <v>916</v>
      </c>
      <c r="M842" s="36" t="s">
        <v>1039</v>
      </c>
      <c r="N842" s="45">
        <v>46056.481249999997</v>
      </c>
      <c r="O842" s="36" t="s">
        <v>25</v>
      </c>
      <c r="P842" s="38">
        <v>0.88077546299999998</v>
      </c>
      <c r="Q842" s="39" t="s">
        <v>3006</v>
      </c>
      <c r="R842" s="35" t="s">
        <v>916</v>
      </c>
      <c r="S842" s="35" t="s">
        <v>3007</v>
      </c>
      <c r="T842" s="35" t="s">
        <v>1624</v>
      </c>
      <c r="U842" s="40">
        <v>46056</v>
      </c>
      <c r="V842" s="41">
        <v>46153.532800925925</v>
      </c>
      <c r="W842" s="40">
        <v>46055</v>
      </c>
      <c r="X842" s="35" t="s">
        <v>916</v>
      </c>
      <c r="Y842" s="35" t="s">
        <v>916</v>
      </c>
      <c r="Z842" s="35" t="s">
        <v>916</v>
      </c>
      <c r="AA842" s="38">
        <v>21.138611112</v>
      </c>
      <c r="AB842" s="42" t="s">
        <v>916</v>
      </c>
      <c r="AC842" s="43" t="s">
        <v>916</v>
      </c>
      <c r="AD842" s="43" t="s">
        <v>916</v>
      </c>
      <c r="AE842" s="33" t="s">
        <v>916</v>
      </c>
      <c r="AF842" s="35" t="s">
        <v>916</v>
      </c>
      <c r="AG842" s="44">
        <v>491678.4113888889</v>
      </c>
      <c r="AH842" s="42" t="s">
        <v>916</v>
      </c>
      <c r="AI842" s="32" t="e">
        <f>VLOOKUP(A842,'4月明細'!B:B,1,0)</f>
        <v>#N/A</v>
      </c>
    </row>
    <row r="843" spans="1:35" ht="19.95" customHeight="1" x14ac:dyDescent="0.3">
      <c r="A843" s="33" t="s">
        <v>318</v>
      </c>
      <c r="B843" s="34">
        <v>46055.517916666664</v>
      </c>
      <c r="C843" s="34" t="str">
        <f t="shared" si="26"/>
        <v>202602</v>
      </c>
      <c r="D843" s="35" t="s">
        <v>986</v>
      </c>
      <c r="E843" s="36" t="s">
        <v>910</v>
      </c>
      <c r="F843" s="36" t="s">
        <v>1316</v>
      </c>
      <c r="G843" s="37" t="s">
        <v>3008</v>
      </c>
      <c r="H843" s="36" t="s">
        <v>954</v>
      </c>
      <c r="I843" s="35"/>
      <c r="J843" s="36" t="s">
        <v>914</v>
      </c>
      <c r="K843" s="33" t="s">
        <v>916</v>
      </c>
      <c r="L843" s="35" t="s">
        <v>916</v>
      </c>
      <c r="M843" s="36" t="s">
        <v>1039</v>
      </c>
      <c r="N843" s="45">
        <v>46055.557638888888</v>
      </c>
      <c r="O843" s="36" t="s">
        <v>25</v>
      </c>
      <c r="P843" s="38">
        <v>3.9722222199999997E-2</v>
      </c>
      <c r="Q843" s="39" t="s">
        <v>3009</v>
      </c>
      <c r="R843" s="35" t="s">
        <v>916</v>
      </c>
      <c r="S843" s="35" t="s">
        <v>3010</v>
      </c>
      <c r="T843" s="35" t="s">
        <v>1624</v>
      </c>
      <c r="U843" s="40">
        <v>46056</v>
      </c>
      <c r="V843" s="41">
        <v>46153.532800925925</v>
      </c>
      <c r="W843" s="40">
        <v>46055</v>
      </c>
      <c r="X843" s="35" t="s">
        <v>916</v>
      </c>
      <c r="Y843" s="35" t="s">
        <v>916</v>
      </c>
      <c r="Z843" s="35" t="s">
        <v>916</v>
      </c>
      <c r="AA843" s="38">
        <v>0.95333333279999999</v>
      </c>
      <c r="AB843" s="42" t="s">
        <v>916</v>
      </c>
      <c r="AC843" s="43" t="s">
        <v>916</v>
      </c>
      <c r="AD843" s="43" t="s">
        <v>916</v>
      </c>
      <c r="AE843" s="33" t="s">
        <v>916</v>
      </c>
      <c r="AF843" s="35" t="s">
        <v>916</v>
      </c>
      <c r="AG843" s="44">
        <v>491676.43000000011</v>
      </c>
      <c r="AH843" s="42" t="s">
        <v>916</v>
      </c>
      <c r="AI843" s="32" t="e">
        <f>VLOOKUP(A843,'4月明細'!B:B,1,0)</f>
        <v>#N/A</v>
      </c>
    </row>
    <row r="844" spans="1:35" ht="19.95" customHeight="1" x14ac:dyDescent="0.3">
      <c r="A844" s="33" t="s">
        <v>317</v>
      </c>
      <c r="B844" s="34">
        <v>46055.508333333331</v>
      </c>
      <c r="C844" s="34" t="str">
        <f t="shared" si="26"/>
        <v>202602</v>
      </c>
      <c r="D844" s="35" t="s">
        <v>1653</v>
      </c>
      <c r="E844" s="36" t="s">
        <v>934</v>
      </c>
      <c r="F844" s="36" t="s">
        <v>2300</v>
      </c>
      <c r="G844" s="37" t="s">
        <v>3011</v>
      </c>
      <c r="H844" s="36" t="s">
        <v>928</v>
      </c>
      <c r="I844" s="35"/>
      <c r="J844" s="36" t="s">
        <v>929</v>
      </c>
      <c r="K844" s="33" t="s">
        <v>916</v>
      </c>
      <c r="L844" s="35" t="s">
        <v>916</v>
      </c>
      <c r="M844" s="36" t="s">
        <v>916</v>
      </c>
      <c r="N844" s="45">
        <v>46056.623611111114</v>
      </c>
      <c r="O844" s="36" t="s">
        <v>25</v>
      </c>
      <c r="P844" s="38">
        <v>1.1152777778</v>
      </c>
      <c r="Q844" s="39" t="s">
        <v>3012</v>
      </c>
      <c r="R844" s="35" t="s">
        <v>916</v>
      </c>
      <c r="S844" s="35"/>
      <c r="T844" s="35" t="s">
        <v>1701</v>
      </c>
      <c r="U844" s="40">
        <v>46056</v>
      </c>
      <c r="V844" s="41">
        <v>46153.532800925925</v>
      </c>
      <c r="W844" s="40">
        <v>46055</v>
      </c>
      <c r="X844" s="35" t="s">
        <v>916</v>
      </c>
      <c r="Y844" s="35" t="s">
        <v>916</v>
      </c>
      <c r="Z844" s="35" t="s">
        <v>916</v>
      </c>
      <c r="AA844" s="38">
        <v>26.766666667199999</v>
      </c>
      <c r="AB844" s="42" t="s">
        <v>916</v>
      </c>
      <c r="AC844" s="43" t="s">
        <v>916</v>
      </c>
      <c r="AD844" s="43" t="s">
        <v>916</v>
      </c>
      <c r="AE844" s="33" t="s">
        <v>916</v>
      </c>
      <c r="AF844" s="35" t="s">
        <v>916</v>
      </c>
      <c r="AG844" s="44">
        <v>491702.96666666667</v>
      </c>
      <c r="AH844" s="42" t="s">
        <v>916</v>
      </c>
      <c r="AI844" s="32" t="e">
        <f>VLOOKUP(A844,'4月明細'!B:B,1,0)</f>
        <v>#N/A</v>
      </c>
    </row>
    <row r="845" spans="1:35" ht="19.95" customHeight="1" x14ac:dyDescent="0.3">
      <c r="A845" s="33" t="s">
        <v>316</v>
      </c>
      <c r="B845" s="34">
        <v>46055.484942129631</v>
      </c>
      <c r="C845" s="34" t="str">
        <f t="shared" si="26"/>
        <v>202602</v>
      </c>
      <c r="D845" s="35" t="s">
        <v>909</v>
      </c>
      <c r="E845" s="36" t="s">
        <v>910</v>
      </c>
      <c r="F845" s="36" t="s">
        <v>976</v>
      </c>
      <c r="G845" s="37" t="s">
        <v>3013</v>
      </c>
      <c r="H845" s="36" t="s">
        <v>954</v>
      </c>
      <c r="I845" s="35" t="s">
        <v>3014</v>
      </c>
      <c r="J845" s="36" t="s">
        <v>929</v>
      </c>
      <c r="K845" s="33" t="s">
        <v>916</v>
      </c>
      <c r="L845" s="35" t="s">
        <v>916</v>
      </c>
      <c r="M845" s="36" t="s">
        <v>916</v>
      </c>
      <c r="N845" s="45">
        <v>46055.654861111114</v>
      </c>
      <c r="O845" s="36" t="s">
        <v>25</v>
      </c>
      <c r="P845" s="38">
        <v>0.16991898150000001</v>
      </c>
      <c r="Q845" s="39" t="s">
        <v>3015</v>
      </c>
      <c r="R845" s="35" t="s">
        <v>916</v>
      </c>
      <c r="S845" s="35"/>
      <c r="T845" s="35" t="s">
        <v>1624</v>
      </c>
      <c r="U845" s="40">
        <v>46056</v>
      </c>
      <c r="V845" s="41">
        <v>46153.532800925925</v>
      </c>
      <c r="W845" s="40">
        <v>46055</v>
      </c>
      <c r="X845" s="35" t="s">
        <v>916</v>
      </c>
      <c r="Y845" s="35" t="s">
        <v>916</v>
      </c>
      <c r="Z845" s="35" t="s">
        <v>916</v>
      </c>
      <c r="AA845" s="38">
        <v>4.0780555559999998</v>
      </c>
      <c r="AB845" s="42" t="s">
        <v>916</v>
      </c>
      <c r="AC845" s="43" t="s">
        <v>916</v>
      </c>
      <c r="AD845" s="43" t="s">
        <v>916</v>
      </c>
      <c r="AE845" s="33" t="s">
        <v>916</v>
      </c>
      <c r="AF845" s="35" t="s">
        <v>916</v>
      </c>
      <c r="AG845" s="44">
        <v>491675.63861111109</v>
      </c>
      <c r="AH845" s="42" t="s">
        <v>916</v>
      </c>
      <c r="AI845" s="32" t="e">
        <f>VLOOKUP(A845,'4月明細'!B:B,1,0)</f>
        <v>#N/A</v>
      </c>
    </row>
    <row r="846" spans="1:35" ht="19.95" customHeight="1" x14ac:dyDescent="0.3">
      <c r="A846" s="33" t="s">
        <v>315</v>
      </c>
      <c r="B846" s="34">
        <v>46055.464826388888</v>
      </c>
      <c r="C846" s="34" t="str">
        <f t="shared" si="26"/>
        <v>202602</v>
      </c>
      <c r="D846" s="35" t="s">
        <v>3004</v>
      </c>
      <c r="E846" s="36" t="s">
        <v>942</v>
      </c>
      <c r="F846" s="36" t="s">
        <v>1229</v>
      </c>
      <c r="G846" s="37" t="s">
        <v>3016</v>
      </c>
      <c r="H846" s="36" t="s">
        <v>1023</v>
      </c>
      <c r="I846" s="35"/>
      <c r="J846" s="36" t="s">
        <v>938</v>
      </c>
      <c r="K846" s="33" t="s">
        <v>916</v>
      </c>
      <c r="L846" s="35" t="s">
        <v>916</v>
      </c>
      <c r="M846" s="36" t="s">
        <v>916</v>
      </c>
      <c r="N846" s="45">
        <v>46056.625</v>
      </c>
      <c r="O846" s="36" t="s">
        <v>25</v>
      </c>
      <c r="P846" s="38">
        <v>1.1601736111000001</v>
      </c>
      <c r="Q846" s="39" t="s">
        <v>3017</v>
      </c>
      <c r="R846" s="35" t="s">
        <v>916</v>
      </c>
      <c r="S846" s="35"/>
      <c r="T846" s="35" t="s">
        <v>1624</v>
      </c>
      <c r="U846" s="40">
        <v>46056</v>
      </c>
      <c r="V846" s="41">
        <v>46153.532800925925</v>
      </c>
      <c r="W846" s="40">
        <v>46055</v>
      </c>
      <c r="X846" s="35" t="s">
        <v>916</v>
      </c>
      <c r="Y846" s="35" t="s">
        <v>916</v>
      </c>
      <c r="Z846" s="35" t="s">
        <v>916</v>
      </c>
      <c r="AA846" s="38">
        <v>27.8441666664</v>
      </c>
      <c r="AB846" s="42" t="s">
        <v>916</v>
      </c>
      <c r="AC846" s="43" t="s">
        <v>916</v>
      </c>
      <c r="AD846" s="43" t="s">
        <v>916</v>
      </c>
      <c r="AE846" s="33" t="s">
        <v>916</v>
      </c>
      <c r="AF846" s="35" t="s">
        <v>916</v>
      </c>
      <c r="AG846" s="44">
        <v>491675.15583333332</v>
      </c>
      <c r="AH846" s="42" t="s">
        <v>916</v>
      </c>
      <c r="AI846" s="32" t="e">
        <f>VLOOKUP(A846,'4月明細'!B:B,1,0)</f>
        <v>#N/A</v>
      </c>
    </row>
    <row r="847" spans="1:35" ht="19.95" customHeight="1" x14ac:dyDescent="0.3">
      <c r="A847" s="33" t="s">
        <v>314</v>
      </c>
      <c r="B847" s="34">
        <v>46055.464583333334</v>
      </c>
      <c r="C847" s="34" t="str">
        <f t="shared" si="26"/>
        <v>202602</v>
      </c>
      <c r="D847" s="35" t="s">
        <v>1856</v>
      </c>
      <c r="E847" s="36" t="s">
        <v>942</v>
      </c>
      <c r="F847" s="36" t="s">
        <v>1748</v>
      </c>
      <c r="G847" s="37" t="s">
        <v>3018</v>
      </c>
      <c r="H847" s="36" t="s">
        <v>913</v>
      </c>
      <c r="I847" s="35"/>
      <c r="J847" s="36" t="s">
        <v>945</v>
      </c>
      <c r="K847" s="33" t="s">
        <v>916</v>
      </c>
      <c r="L847" s="35" t="s">
        <v>916</v>
      </c>
      <c r="M847" s="36" t="s">
        <v>916</v>
      </c>
      <c r="N847" s="45">
        <v>46055.489583333336</v>
      </c>
      <c r="O847" s="36" t="s">
        <v>25</v>
      </c>
      <c r="P847" s="38">
        <v>2.5000000000000001E-2</v>
      </c>
      <c r="Q847" s="39" t="s">
        <v>3019</v>
      </c>
      <c r="R847" s="35" t="s">
        <v>916</v>
      </c>
      <c r="S847" s="35" t="s">
        <v>3020</v>
      </c>
      <c r="T847" s="35" t="s">
        <v>1624</v>
      </c>
      <c r="U847" s="40">
        <v>46056</v>
      </c>
      <c r="V847" s="41">
        <v>46153.532800925925</v>
      </c>
      <c r="W847" s="40">
        <v>46055</v>
      </c>
      <c r="X847" s="35" t="s">
        <v>916</v>
      </c>
      <c r="Y847" s="35" t="s">
        <v>916</v>
      </c>
      <c r="Z847" s="35" t="s">
        <v>916</v>
      </c>
      <c r="AA847" s="38">
        <v>0.6</v>
      </c>
      <c r="AB847" s="42" t="s">
        <v>916</v>
      </c>
      <c r="AC847" s="43" t="s">
        <v>916</v>
      </c>
      <c r="AD847" s="43" t="s">
        <v>916</v>
      </c>
      <c r="AE847" s="33" t="s">
        <v>916</v>
      </c>
      <c r="AF847" s="35" t="s">
        <v>916</v>
      </c>
      <c r="AG847" s="44">
        <v>491675.15</v>
      </c>
      <c r="AH847" s="42" t="s">
        <v>916</v>
      </c>
      <c r="AI847" s="32" t="e">
        <f>VLOOKUP(A847,'4月明細'!B:B,1,0)</f>
        <v>#N/A</v>
      </c>
    </row>
    <row r="848" spans="1:35" ht="19.95" customHeight="1" x14ac:dyDescent="0.3">
      <c r="A848" s="33" t="s">
        <v>313</v>
      </c>
      <c r="B848" s="34">
        <v>46055.396689814814</v>
      </c>
      <c r="C848" s="34" t="str">
        <f t="shared" si="26"/>
        <v>202602</v>
      </c>
      <c r="D848" s="35" t="s">
        <v>2310</v>
      </c>
      <c r="E848" s="36" t="s">
        <v>1149</v>
      </c>
      <c r="F848" s="36" t="s">
        <v>1183</v>
      </c>
      <c r="G848" s="37" t="s">
        <v>3021</v>
      </c>
      <c r="H848" s="36" t="s">
        <v>928</v>
      </c>
      <c r="I848" s="35" t="s">
        <v>3022</v>
      </c>
      <c r="J848" s="36" t="s">
        <v>938</v>
      </c>
      <c r="K848" s="33" t="s">
        <v>916</v>
      </c>
      <c r="L848" s="35" t="s">
        <v>916</v>
      </c>
      <c r="M848" s="36" t="s">
        <v>916</v>
      </c>
      <c r="N848" s="45">
        <v>46057.366666666669</v>
      </c>
      <c r="O848" s="36" t="s">
        <v>25</v>
      </c>
      <c r="P848" s="38">
        <v>1.9699768519</v>
      </c>
      <c r="Q848" s="39" t="s">
        <v>3023</v>
      </c>
      <c r="R848" s="35" t="s">
        <v>916</v>
      </c>
      <c r="S848" s="35" t="s">
        <v>3024</v>
      </c>
      <c r="T848" s="35" t="s">
        <v>1624</v>
      </c>
      <c r="U848" s="40">
        <v>46056</v>
      </c>
      <c r="V848" s="41">
        <v>46153.532800925925</v>
      </c>
      <c r="W848" s="40">
        <v>46055</v>
      </c>
      <c r="X848" s="35" t="s">
        <v>916</v>
      </c>
      <c r="Y848" s="35" t="s">
        <v>916</v>
      </c>
      <c r="Z848" s="35" t="s">
        <v>916</v>
      </c>
      <c r="AA848" s="38">
        <v>47.279444445599999</v>
      </c>
      <c r="AB848" s="42" t="s">
        <v>916</v>
      </c>
      <c r="AC848" s="43" t="s">
        <v>916</v>
      </c>
      <c r="AD848" s="43" t="s">
        <v>916</v>
      </c>
      <c r="AE848" s="33" t="s">
        <v>916</v>
      </c>
      <c r="AF848" s="35" t="s">
        <v>916</v>
      </c>
      <c r="AG848" s="44">
        <v>491673.52055555547</v>
      </c>
      <c r="AH848" s="42" t="s">
        <v>916</v>
      </c>
      <c r="AI848" s="32" t="e">
        <f>VLOOKUP(A848,'4月明細'!B:B,1,0)</f>
        <v>#N/A</v>
      </c>
    </row>
    <row r="849" spans="1:35" ht="19.95" customHeight="1" x14ac:dyDescent="0.3">
      <c r="A849" s="33" t="s">
        <v>312</v>
      </c>
      <c r="B849" s="34">
        <v>46055.395243055558</v>
      </c>
      <c r="C849" s="34" t="str">
        <f t="shared" si="26"/>
        <v>202602</v>
      </c>
      <c r="D849" s="35" t="s">
        <v>2310</v>
      </c>
      <c r="E849" s="36" t="s">
        <v>1149</v>
      </c>
      <c r="F849" s="36" t="s">
        <v>2218</v>
      </c>
      <c r="G849" s="37" t="s">
        <v>3025</v>
      </c>
      <c r="H849" s="36" t="s">
        <v>913</v>
      </c>
      <c r="I849" s="35"/>
      <c r="J849" s="36" t="s">
        <v>938</v>
      </c>
      <c r="K849" s="33" t="s">
        <v>916</v>
      </c>
      <c r="L849" s="35" t="s">
        <v>916</v>
      </c>
      <c r="M849" s="36" t="s">
        <v>1039</v>
      </c>
      <c r="N849" s="45">
        <v>46056.727777777778</v>
      </c>
      <c r="O849" s="36" t="s">
        <v>25</v>
      </c>
      <c r="P849" s="38">
        <v>1.3325347221999999</v>
      </c>
      <c r="Q849" s="39" t="s">
        <v>3026</v>
      </c>
      <c r="R849" s="35" t="s">
        <v>916</v>
      </c>
      <c r="S849" s="35"/>
      <c r="T849" s="35" t="s">
        <v>1701</v>
      </c>
      <c r="U849" s="40">
        <v>46056</v>
      </c>
      <c r="V849" s="41">
        <v>46153.532800925925</v>
      </c>
      <c r="W849" s="40">
        <v>46055</v>
      </c>
      <c r="X849" s="35" t="s">
        <v>916</v>
      </c>
      <c r="Y849" s="35" t="s">
        <v>916</v>
      </c>
      <c r="Z849" s="35" t="s">
        <v>916</v>
      </c>
      <c r="AA849" s="38">
        <v>31.9808333328</v>
      </c>
      <c r="AB849" s="42" t="s">
        <v>916</v>
      </c>
      <c r="AC849" s="43" t="s">
        <v>916</v>
      </c>
      <c r="AD849" s="43" t="s">
        <v>916</v>
      </c>
      <c r="AE849" s="33" t="s">
        <v>916</v>
      </c>
      <c r="AF849" s="35" t="s">
        <v>916</v>
      </c>
      <c r="AG849" s="44">
        <v>491673.48583333328</v>
      </c>
      <c r="AH849" s="42" t="s">
        <v>916</v>
      </c>
      <c r="AI849" s="32" t="e">
        <f>VLOOKUP(A849,'4月明細'!B:B,1,0)</f>
        <v>#N/A</v>
      </c>
    </row>
    <row r="850" spans="1:35" ht="19.95" customHeight="1" x14ac:dyDescent="0.3">
      <c r="A850" s="33" t="s">
        <v>311</v>
      </c>
      <c r="B850" s="34">
        <v>46055.394560185188</v>
      </c>
      <c r="C850" s="34" t="str">
        <f t="shared" si="26"/>
        <v>202602</v>
      </c>
      <c r="D850" s="35" t="s">
        <v>2310</v>
      </c>
      <c r="E850" s="36" t="s">
        <v>1149</v>
      </c>
      <c r="F850" s="36" t="s">
        <v>1799</v>
      </c>
      <c r="G850" s="37" t="s">
        <v>3027</v>
      </c>
      <c r="H850" s="36" t="s">
        <v>954</v>
      </c>
      <c r="I850" s="35" t="s">
        <v>3028</v>
      </c>
      <c r="J850" s="36" t="s">
        <v>938</v>
      </c>
      <c r="K850" s="33" t="s">
        <v>916</v>
      </c>
      <c r="L850" s="35" t="s">
        <v>916</v>
      </c>
      <c r="M850" s="36" t="s">
        <v>916</v>
      </c>
      <c r="N850" s="45">
        <v>46056.433333333334</v>
      </c>
      <c r="O850" s="36" t="s">
        <v>25</v>
      </c>
      <c r="P850" s="38">
        <v>1.0387731481</v>
      </c>
      <c r="Q850" s="39" t="s">
        <v>3029</v>
      </c>
      <c r="R850" s="35" t="s">
        <v>916</v>
      </c>
      <c r="S850" s="35" t="s">
        <v>3030</v>
      </c>
      <c r="T850" s="35" t="s">
        <v>1624</v>
      </c>
      <c r="U850" s="40">
        <v>46056</v>
      </c>
      <c r="V850" s="41">
        <v>46153.532800925925</v>
      </c>
      <c r="W850" s="40">
        <v>46055</v>
      </c>
      <c r="X850" s="35" t="s">
        <v>916</v>
      </c>
      <c r="Y850" s="35" t="s">
        <v>916</v>
      </c>
      <c r="Z850" s="35" t="s">
        <v>916</v>
      </c>
      <c r="AA850" s="38">
        <v>24.930555554400001</v>
      </c>
      <c r="AB850" s="42" t="s">
        <v>916</v>
      </c>
      <c r="AC850" s="43" t="s">
        <v>916</v>
      </c>
      <c r="AD850" s="43" t="s">
        <v>916</v>
      </c>
      <c r="AE850" s="33" t="s">
        <v>916</v>
      </c>
      <c r="AF850" s="35" t="s">
        <v>916</v>
      </c>
      <c r="AG850" s="44">
        <v>491673.4694444444</v>
      </c>
      <c r="AH850" s="42" t="s">
        <v>916</v>
      </c>
      <c r="AI850" s="32" t="e">
        <f>VLOOKUP(A850,'4月明細'!B:B,1,0)</f>
        <v>#N/A</v>
      </c>
    </row>
    <row r="851" spans="1:35" ht="19.95" customHeight="1" x14ac:dyDescent="0.3">
      <c r="A851" s="33" t="s">
        <v>310</v>
      </c>
      <c r="B851" s="34">
        <v>46055.393900462965</v>
      </c>
      <c r="C851" s="34" t="str">
        <f t="shared" si="26"/>
        <v>202602</v>
      </c>
      <c r="D851" s="35" t="s">
        <v>2310</v>
      </c>
      <c r="E851" s="36" t="s">
        <v>1149</v>
      </c>
      <c r="F851" s="36" t="s">
        <v>1799</v>
      </c>
      <c r="G851" s="37" t="s">
        <v>2452</v>
      </c>
      <c r="H851" s="36" t="s">
        <v>928</v>
      </c>
      <c r="I851" s="35" t="s">
        <v>3031</v>
      </c>
      <c r="J851" s="36" t="s">
        <v>938</v>
      </c>
      <c r="K851" s="33" t="s">
        <v>916</v>
      </c>
      <c r="L851" s="35" t="s">
        <v>916</v>
      </c>
      <c r="M851" s="36" t="s">
        <v>916</v>
      </c>
      <c r="N851" s="45">
        <v>46056.436805555553</v>
      </c>
      <c r="O851" s="36" t="s">
        <v>25</v>
      </c>
      <c r="P851" s="38">
        <v>1.0429050926000001</v>
      </c>
      <c r="Q851" s="39" t="s">
        <v>3029</v>
      </c>
      <c r="R851" s="35" t="s">
        <v>916</v>
      </c>
      <c r="S851" s="35" t="s">
        <v>3032</v>
      </c>
      <c r="T851" s="35" t="s">
        <v>1624</v>
      </c>
      <c r="U851" s="40">
        <v>46056</v>
      </c>
      <c r="V851" s="41">
        <v>46153.532800925925</v>
      </c>
      <c r="W851" s="40">
        <v>46055</v>
      </c>
      <c r="X851" s="35" t="s">
        <v>916</v>
      </c>
      <c r="Y851" s="35" t="s">
        <v>916</v>
      </c>
      <c r="Z851" s="35" t="s">
        <v>916</v>
      </c>
      <c r="AA851" s="38">
        <v>25.0297222224</v>
      </c>
      <c r="AB851" s="42" t="s">
        <v>916</v>
      </c>
      <c r="AC851" s="43" t="s">
        <v>916</v>
      </c>
      <c r="AD851" s="43" t="s">
        <v>916</v>
      </c>
      <c r="AE851" s="33" t="s">
        <v>916</v>
      </c>
      <c r="AF851" s="35" t="s">
        <v>916</v>
      </c>
      <c r="AG851" s="44">
        <v>491673.45361111121</v>
      </c>
      <c r="AH851" s="42" t="s">
        <v>916</v>
      </c>
      <c r="AI851" s="32" t="e">
        <f>VLOOKUP(A851,'4月明細'!B:B,1,0)</f>
        <v>#N/A</v>
      </c>
    </row>
    <row r="852" spans="1:35" ht="19.95" customHeight="1" x14ac:dyDescent="0.3">
      <c r="A852" s="33" t="s">
        <v>309</v>
      </c>
      <c r="B852" s="34">
        <v>46055.392743055556</v>
      </c>
      <c r="C852" s="34" t="str">
        <f t="shared" si="26"/>
        <v>202602</v>
      </c>
      <c r="D852" s="35" t="s">
        <v>2310</v>
      </c>
      <c r="E852" s="36" t="s">
        <v>1149</v>
      </c>
      <c r="F852" s="36" t="s">
        <v>1799</v>
      </c>
      <c r="G852" s="37" t="s">
        <v>3033</v>
      </c>
      <c r="H852" s="36" t="s">
        <v>928</v>
      </c>
      <c r="I852" s="35" t="s">
        <v>3034</v>
      </c>
      <c r="J852" s="36" t="s">
        <v>938</v>
      </c>
      <c r="K852" s="33" t="s">
        <v>916</v>
      </c>
      <c r="L852" s="35" t="s">
        <v>916</v>
      </c>
      <c r="M852" s="36" t="s">
        <v>916</v>
      </c>
      <c r="N852" s="45">
        <v>46077.380555555559</v>
      </c>
      <c r="O852" s="36" t="s">
        <v>25</v>
      </c>
      <c r="P852" s="38">
        <v>21.9878125</v>
      </c>
      <c r="Q852" s="39" t="s">
        <v>3035</v>
      </c>
      <c r="R852" s="35" t="s">
        <v>916</v>
      </c>
      <c r="S852" s="35" t="s">
        <v>3036</v>
      </c>
      <c r="T852" s="35" t="s">
        <v>1624</v>
      </c>
      <c r="U852" s="40">
        <v>46056</v>
      </c>
      <c r="V852" s="41">
        <v>46153.532800925925</v>
      </c>
      <c r="W852" s="40">
        <v>46055</v>
      </c>
      <c r="X852" s="35" t="s">
        <v>916</v>
      </c>
      <c r="Y852" s="35" t="s">
        <v>916</v>
      </c>
      <c r="Z852" s="35" t="s">
        <v>916</v>
      </c>
      <c r="AA852" s="38">
        <v>527.70749999999998</v>
      </c>
      <c r="AB852" s="42" t="s">
        <v>916</v>
      </c>
      <c r="AC852" s="43" t="s">
        <v>916</v>
      </c>
      <c r="AD852" s="43" t="s">
        <v>916</v>
      </c>
      <c r="AE852" s="33" t="s">
        <v>916</v>
      </c>
      <c r="AF852" s="35" t="s">
        <v>916</v>
      </c>
      <c r="AG852" s="44">
        <v>491848.25000000012</v>
      </c>
      <c r="AH852" s="42" t="s">
        <v>916</v>
      </c>
      <c r="AI852" s="32" t="e">
        <f>VLOOKUP(A852,'4月明細'!B:B,1,0)</f>
        <v>#N/A</v>
      </c>
    </row>
    <row r="853" spans="1:35" ht="19.95" customHeight="1" x14ac:dyDescent="0.3">
      <c r="A853" s="33" t="s">
        <v>308</v>
      </c>
      <c r="B853" s="34">
        <v>46055.391273148147</v>
      </c>
      <c r="C853" s="34" t="str">
        <f t="shared" si="26"/>
        <v>202602</v>
      </c>
      <c r="D853" s="35" t="s">
        <v>2310</v>
      </c>
      <c r="E853" s="36" t="s">
        <v>1149</v>
      </c>
      <c r="F853" s="36" t="s">
        <v>1093</v>
      </c>
      <c r="G853" s="37" t="s">
        <v>3037</v>
      </c>
      <c r="H853" s="36" t="s">
        <v>989</v>
      </c>
      <c r="I853" s="35" t="s">
        <v>3038</v>
      </c>
      <c r="J853" s="36" t="s">
        <v>938</v>
      </c>
      <c r="K853" s="33" t="s">
        <v>916</v>
      </c>
      <c r="L853" s="35" t="s">
        <v>916</v>
      </c>
      <c r="M853" s="36" t="s">
        <v>916</v>
      </c>
      <c r="N853" s="45">
        <v>46063.51458333333</v>
      </c>
      <c r="O853" s="36" t="s">
        <v>25</v>
      </c>
      <c r="P853" s="38">
        <v>8.1233101851999994</v>
      </c>
      <c r="Q853" s="39" t="s">
        <v>3039</v>
      </c>
      <c r="R853" s="35" t="s">
        <v>916</v>
      </c>
      <c r="S853" s="35" t="s">
        <v>3040</v>
      </c>
      <c r="T853" s="35" t="s">
        <v>1624</v>
      </c>
      <c r="U853" s="40">
        <v>46056</v>
      </c>
      <c r="V853" s="41">
        <v>46153.532800925925</v>
      </c>
      <c r="W853" s="40">
        <v>46055</v>
      </c>
      <c r="X853" s="35" t="s">
        <v>916</v>
      </c>
      <c r="Y853" s="35" t="s">
        <v>916</v>
      </c>
      <c r="Z853" s="35" t="s">
        <v>916</v>
      </c>
      <c r="AA853" s="38">
        <v>194.9594444448</v>
      </c>
      <c r="AB853" s="42" t="s">
        <v>916</v>
      </c>
      <c r="AC853" s="43" t="s">
        <v>916</v>
      </c>
      <c r="AD853" s="43" t="s">
        <v>916</v>
      </c>
      <c r="AE853" s="33" t="s">
        <v>916</v>
      </c>
      <c r="AF853" s="35" t="s">
        <v>916</v>
      </c>
      <c r="AG853" s="44">
        <v>491673.39055555558</v>
      </c>
      <c r="AH853" s="42" t="s">
        <v>916</v>
      </c>
      <c r="AI853" s="32" t="e">
        <f>VLOOKUP(A853,'4月明細'!B:B,1,0)</f>
        <v>#N/A</v>
      </c>
    </row>
    <row r="854" spans="1:35" ht="19.95" customHeight="1" x14ac:dyDescent="0.3">
      <c r="A854" s="33" t="s">
        <v>3041</v>
      </c>
      <c r="B854" s="34">
        <v>46055.3903587963</v>
      </c>
      <c r="C854" s="34" t="str">
        <f t="shared" si="26"/>
        <v>202602</v>
      </c>
      <c r="D854" s="35" t="s">
        <v>2310</v>
      </c>
      <c r="E854" s="36" t="s">
        <v>1149</v>
      </c>
      <c r="F854" s="36" t="s">
        <v>1093</v>
      </c>
      <c r="G854" s="37" t="s">
        <v>3042</v>
      </c>
      <c r="H854" s="36" t="s">
        <v>928</v>
      </c>
      <c r="I854" s="35" t="s">
        <v>3043</v>
      </c>
      <c r="J854" s="36" t="s">
        <v>938</v>
      </c>
      <c r="K854" s="33" t="s">
        <v>916</v>
      </c>
      <c r="L854" s="35" t="s">
        <v>916</v>
      </c>
      <c r="M854" s="36" t="s">
        <v>1135</v>
      </c>
      <c r="N854" s="45">
        <v>46063.513888888891</v>
      </c>
      <c r="O854" s="36" t="s">
        <v>1384</v>
      </c>
      <c r="P854" s="38">
        <v>8.1235300925999994</v>
      </c>
      <c r="Q854" s="39" t="s">
        <v>3044</v>
      </c>
      <c r="R854" s="35" t="s">
        <v>916</v>
      </c>
      <c r="S854" s="35"/>
      <c r="T854" s="35" t="s">
        <v>1624</v>
      </c>
      <c r="U854" s="40">
        <v>46056</v>
      </c>
      <c r="V854" s="41">
        <v>46153.532800925925</v>
      </c>
      <c r="W854" s="40">
        <v>46055</v>
      </c>
      <c r="X854" s="35" t="s">
        <v>916</v>
      </c>
      <c r="Y854" s="35" t="s">
        <v>916</v>
      </c>
      <c r="Z854" s="35" t="s">
        <v>916</v>
      </c>
      <c r="AA854" s="38">
        <v>194.96472222240001</v>
      </c>
      <c r="AB854" s="42" t="s">
        <v>916</v>
      </c>
      <c r="AC854" s="43" t="s">
        <v>916</v>
      </c>
      <c r="AD854" s="43" t="s">
        <v>916</v>
      </c>
      <c r="AE854" s="33" t="s">
        <v>916</v>
      </c>
      <c r="AF854" s="35" t="s">
        <v>916</v>
      </c>
      <c r="AG854" s="44">
        <v>491673.36861111107</v>
      </c>
      <c r="AH854" s="42" t="s">
        <v>916</v>
      </c>
      <c r="AI854" s="32" t="e">
        <f>VLOOKUP(A854,'4月明細'!B:B,1,0)</f>
        <v>#N/A</v>
      </c>
    </row>
    <row r="855" spans="1:35" ht="19.95" customHeight="1" x14ac:dyDescent="0.3">
      <c r="A855" s="33" t="s">
        <v>307</v>
      </c>
      <c r="B855" s="34">
        <v>46055.389780092592</v>
      </c>
      <c r="C855" s="34" t="str">
        <f t="shared" si="26"/>
        <v>202602</v>
      </c>
      <c r="D855" s="35" t="s">
        <v>2310</v>
      </c>
      <c r="E855" s="36" t="s">
        <v>1149</v>
      </c>
      <c r="F855" s="36" t="s">
        <v>1561</v>
      </c>
      <c r="G855" s="37" t="s">
        <v>3045</v>
      </c>
      <c r="H855" s="36" t="s">
        <v>928</v>
      </c>
      <c r="I855" s="35" t="s">
        <v>3046</v>
      </c>
      <c r="J855" s="36" t="s">
        <v>938</v>
      </c>
      <c r="K855" s="33" t="s">
        <v>916</v>
      </c>
      <c r="L855" s="35" t="s">
        <v>916</v>
      </c>
      <c r="M855" s="36" t="s">
        <v>916</v>
      </c>
      <c r="N855" s="45">
        <v>46056.431944444441</v>
      </c>
      <c r="O855" s="36" t="s">
        <v>25</v>
      </c>
      <c r="P855" s="38">
        <v>1.0421643518999999</v>
      </c>
      <c r="Q855" s="39" t="s">
        <v>3047</v>
      </c>
      <c r="R855" s="35" t="s">
        <v>916</v>
      </c>
      <c r="S855" s="35" t="s">
        <v>3048</v>
      </c>
      <c r="T855" s="35" t="s">
        <v>1624</v>
      </c>
      <c r="U855" s="40">
        <v>46056</v>
      </c>
      <c r="V855" s="41">
        <v>46153.532800925925</v>
      </c>
      <c r="W855" s="40">
        <v>46055</v>
      </c>
      <c r="X855" s="35" t="s">
        <v>916</v>
      </c>
      <c r="Y855" s="35" t="s">
        <v>916</v>
      </c>
      <c r="Z855" s="35" t="s">
        <v>916</v>
      </c>
      <c r="AA855" s="38">
        <v>25.011944445600001</v>
      </c>
      <c r="AB855" s="42" t="s">
        <v>916</v>
      </c>
      <c r="AC855" s="43" t="s">
        <v>916</v>
      </c>
      <c r="AD855" s="43" t="s">
        <v>916</v>
      </c>
      <c r="AE855" s="33" t="s">
        <v>916</v>
      </c>
      <c r="AF855" s="35" t="s">
        <v>916</v>
      </c>
      <c r="AG855" s="44">
        <v>491673.3547222222</v>
      </c>
      <c r="AH855" s="42" t="s">
        <v>916</v>
      </c>
      <c r="AI855" s="32" t="e">
        <f>VLOOKUP(A855,'4月明細'!B:B,1,0)</f>
        <v>#N/A</v>
      </c>
    </row>
    <row r="856" spans="1:35" ht="19.95" customHeight="1" x14ac:dyDescent="0.3">
      <c r="A856" s="33" t="s">
        <v>306</v>
      </c>
      <c r="B856" s="34">
        <v>46055.387974537036</v>
      </c>
      <c r="C856" s="34" t="str">
        <f t="shared" si="26"/>
        <v>202602</v>
      </c>
      <c r="D856" s="35" t="s">
        <v>2310</v>
      </c>
      <c r="E856" s="36" t="s">
        <v>1149</v>
      </c>
      <c r="F856" s="36" t="s">
        <v>2441</v>
      </c>
      <c r="G856" s="37" t="s">
        <v>3049</v>
      </c>
      <c r="H856" s="36" t="s">
        <v>928</v>
      </c>
      <c r="I856" s="35" t="s">
        <v>3050</v>
      </c>
      <c r="J856" s="36" t="s">
        <v>938</v>
      </c>
      <c r="K856" s="33" t="s">
        <v>916</v>
      </c>
      <c r="L856" s="35" t="s">
        <v>916</v>
      </c>
      <c r="M856" s="36" t="s">
        <v>916</v>
      </c>
      <c r="N856" s="45">
        <v>46056.432638888888</v>
      </c>
      <c r="O856" s="36" t="s">
        <v>25</v>
      </c>
      <c r="P856" s="38">
        <v>1.0446643518000001</v>
      </c>
      <c r="Q856" s="39" t="s">
        <v>3051</v>
      </c>
      <c r="R856" s="35" t="s">
        <v>916</v>
      </c>
      <c r="S856" s="35" t="s">
        <v>3052</v>
      </c>
      <c r="T856" s="35" t="s">
        <v>1624</v>
      </c>
      <c r="U856" s="40">
        <v>46056</v>
      </c>
      <c r="V856" s="41">
        <v>46153.532800925925</v>
      </c>
      <c r="W856" s="40">
        <v>46055</v>
      </c>
      <c r="X856" s="35" t="s">
        <v>916</v>
      </c>
      <c r="Y856" s="35" t="s">
        <v>916</v>
      </c>
      <c r="Z856" s="35" t="s">
        <v>916</v>
      </c>
      <c r="AA856" s="38">
        <v>25.0719444432</v>
      </c>
      <c r="AB856" s="42" t="s">
        <v>916</v>
      </c>
      <c r="AC856" s="43" t="s">
        <v>916</v>
      </c>
      <c r="AD856" s="43" t="s">
        <v>916</v>
      </c>
      <c r="AE856" s="33" t="s">
        <v>916</v>
      </c>
      <c r="AF856" s="35" t="s">
        <v>916</v>
      </c>
      <c r="AG856" s="44">
        <v>491673.31138888898</v>
      </c>
      <c r="AH856" s="42" t="s">
        <v>916</v>
      </c>
      <c r="AI856" s="32" t="e">
        <f>VLOOKUP(A856,'4月明細'!B:B,1,0)</f>
        <v>#N/A</v>
      </c>
    </row>
    <row r="857" spans="1:35" ht="19.95" customHeight="1" x14ac:dyDescent="0.3">
      <c r="A857" s="33" t="s">
        <v>3053</v>
      </c>
      <c r="B857" s="34">
        <v>46055.386979166666</v>
      </c>
      <c r="C857" s="34" t="str">
        <f t="shared" si="26"/>
        <v>202602</v>
      </c>
      <c r="D857" s="35" t="s">
        <v>2310</v>
      </c>
      <c r="E857" s="36" t="s">
        <v>1149</v>
      </c>
      <c r="F857" s="36" t="s">
        <v>2841</v>
      </c>
      <c r="G857" s="37" t="s">
        <v>3054</v>
      </c>
      <c r="H857" s="36" t="s">
        <v>928</v>
      </c>
      <c r="I857" s="35" t="s">
        <v>3055</v>
      </c>
      <c r="J857" s="36" t="s">
        <v>938</v>
      </c>
      <c r="K857" s="33" t="s">
        <v>916</v>
      </c>
      <c r="L857" s="35" t="s">
        <v>916</v>
      </c>
      <c r="M857" s="36" t="s">
        <v>1039</v>
      </c>
      <c r="N857" s="45">
        <v>46055.429166666669</v>
      </c>
      <c r="O857" s="36" t="s">
        <v>1920</v>
      </c>
      <c r="P857" s="38">
        <v>4.2187500000000003E-2</v>
      </c>
      <c r="Q857" s="39" t="s">
        <v>3056</v>
      </c>
      <c r="R857" s="35" t="s">
        <v>916</v>
      </c>
      <c r="S857" s="35"/>
      <c r="T857" s="35" t="s">
        <v>1624</v>
      </c>
      <c r="U857" s="40">
        <v>46056</v>
      </c>
      <c r="V857" s="41">
        <v>46153.532800925925</v>
      </c>
      <c r="W857" s="40">
        <v>46055</v>
      </c>
      <c r="X857" s="35" t="s">
        <v>916</v>
      </c>
      <c r="Y857" s="35" t="s">
        <v>916</v>
      </c>
      <c r="Z857" s="35" t="s">
        <v>916</v>
      </c>
      <c r="AA857" s="38">
        <v>1.0125</v>
      </c>
      <c r="AB857" s="42" t="s">
        <v>916</v>
      </c>
      <c r="AC857" s="43" t="s">
        <v>916</v>
      </c>
      <c r="AD857" s="43" t="s">
        <v>916</v>
      </c>
      <c r="AE857" s="33" t="s">
        <v>916</v>
      </c>
      <c r="AF857" s="35" t="s">
        <v>916</v>
      </c>
      <c r="AG857" s="44">
        <v>491673.28749999998</v>
      </c>
      <c r="AH857" s="42" t="s">
        <v>916</v>
      </c>
      <c r="AI857" s="32" t="e">
        <f>VLOOKUP(A857,'4月明細'!B:B,1,0)</f>
        <v>#N/A</v>
      </c>
    </row>
    <row r="858" spans="1:35" ht="19.95" customHeight="1" x14ac:dyDescent="0.3">
      <c r="A858" s="33" t="s">
        <v>3057</v>
      </c>
      <c r="B858" s="34">
        <v>46055.386111111111</v>
      </c>
      <c r="C858" s="34" t="str">
        <f t="shared" si="26"/>
        <v>202602</v>
      </c>
      <c r="D858" s="35" t="s">
        <v>2310</v>
      </c>
      <c r="E858" s="36" t="s">
        <v>1149</v>
      </c>
      <c r="F858" s="36" t="s">
        <v>1309</v>
      </c>
      <c r="G858" s="37" t="s">
        <v>3058</v>
      </c>
      <c r="H858" s="36" t="s">
        <v>1023</v>
      </c>
      <c r="I858" s="35" t="s">
        <v>3059</v>
      </c>
      <c r="J858" s="36" t="s">
        <v>938</v>
      </c>
      <c r="K858" s="33" t="s">
        <v>916</v>
      </c>
      <c r="L858" s="35" t="s">
        <v>916</v>
      </c>
      <c r="M858" s="36" t="s">
        <v>916</v>
      </c>
      <c r="N858" s="45">
        <v>46063.51458333333</v>
      </c>
      <c r="O858" s="36" t="s">
        <v>918</v>
      </c>
      <c r="P858" s="38">
        <v>8.1284722221999992</v>
      </c>
      <c r="Q858" s="36" t="s">
        <v>916</v>
      </c>
      <c r="R858" s="46" t="s">
        <v>3060</v>
      </c>
      <c r="S858" s="35" t="s">
        <v>3061</v>
      </c>
      <c r="T858" s="35" t="s">
        <v>1624</v>
      </c>
      <c r="U858" s="40">
        <v>46056</v>
      </c>
      <c r="V858" s="41">
        <v>46153.532800925925</v>
      </c>
      <c r="W858" s="40">
        <v>46055</v>
      </c>
      <c r="X858" s="35" t="s">
        <v>916</v>
      </c>
      <c r="Y858" s="35" t="s">
        <v>916</v>
      </c>
      <c r="Z858" s="35" t="s">
        <v>916</v>
      </c>
      <c r="AA858" s="38">
        <v>195.08333333280001</v>
      </c>
      <c r="AB858" s="42" t="s">
        <v>916</v>
      </c>
      <c r="AC858" s="43" t="s">
        <v>916</v>
      </c>
      <c r="AD858" s="43" t="s">
        <v>916</v>
      </c>
      <c r="AE858" s="33" t="s">
        <v>916</v>
      </c>
      <c r="AF858" s="35" t="s">
        <v>916</v>
      </c>
      <c r="AG858" s="44">
        <v>491673.26666666672</v>
      </c>
      <c r="AH858" s="42" t="s">
        <v>916</v>
      </c>
      <c r="AI858" s="32" t="e">
        <f>VLOOKUP(A858,'4月明細'!B:B,1,0)</f>
        <v>#N/A</v>
      </c>
    </row>
    <row r="859" spans="1:35" ht="19.95" customHeight="1" x14ac:dyDescent="0.3">
      <c r="A859" s="33" t="s">
        <v>3062</v>
      </c>
      <c r="B859" s="34">
        <v>46055.384363425925</v>
      </c>
      <c r="C859" s="34" t="str">
        <f t="shared" si="26"/>
        <v>202602</v>
      </c>
      <c r="D859" s="35" t="s">
        <v>2310</v>
      </c>
      <c r="E859" s="36" t="s">
        <v>1149</v>
      </c>
      <c r="F859" s="36" t="s">
        <v>2841</v>
      </c>
      <c r="G859" s="37" t="s">
        <v>3063</v>
      </c>
      <c r="H859" s="36" t="s">
        <v>1023</v>
      </c>
      <c r="I859" s="35" t="s">
        <v>3064</v>
      </c>
      <c r="J859" s="36" t="s">
        <v>938</v>
      </c>
      <c r="K859" s="33" t="s">
        <v>916</v>
      </c>
      <c r="L859" s="35" t="s">
        <v>916</v>
      </c>
      <c r="M859" s="36" t="s">
        <v>916</v>
      </c>
      <c r="N859" s="45">
        <v>46063.385416666664</v>
      </c>
      <c r="O859" s="36" t="s">
        <v>918</v>
      </c>
      <c r="P859" s="38">
        <v>8.0010532406999992</v>
      </c>
      <c r="Q859" s="39" t="s">
        <v>3065</v>
      </c>
      <c r="R859" s="46" t="s">
        <v>2845</v>
      </c>
      <c r="S859" s="35"/>
      <c r="T859" s="35" t="s">
        <v>1624</v>
      </c>
      <c r="U859" s="40">
        <v>46056</v>
      </c>
      <c r="V859" s="41">
        <v>46153.532800925925</v>
      </c>
      <c r="W859" s="40">
        <v>46055</v>
      </c>
      <c r="X859" s="35" t="s">
        <v>916</v>
      </c>
      <c r="Y859" s="35" t="s">
        <v>916</v>
      </c>
      <c r="Z859" s="35" t="s">
        <v>916</v>
      </c>
      <c r="AA859" s="38">
        <v>192.02527777680001</v>
      </c>
      <c r="AB859" s="42" t="s">
        <v>916</v>
      </c>
      <c r="AC859" s="43" t="s">
        <v>916</v>
      </c>
      <c r="AD859" s="43" t="s">
        <v>916</v>
      </c>
      <c r="AE859" s="33" t="s">
        <v>916</v>
      </c>
      <c r="AF859" s="35" t="s">
        <v>916</v>
      </c>
      <c r="AG859" s="44">
        <v>491673.22472222219</v>
      </c>
      <c r="AH859" s="42" t="s">
        <v>916</v>
      </c>
      <c r="AI859" s="32" t="e">
        <f>VLOOKUP(A859,'4月明細'!B:B,1,0)</f>
        <v>#N/A</v>
      </c>
    </row>
    <row r="860" spans="1:35" ht="19.95" customHeight="1" x14ac:dyDescent="0.3">
      <c r="A860" s="33" t="s">
        <v>305</v>
      </c>
      <c r="B860" s="34">
        <v>46055.381712962961</v>
      </c>
      <c r="C860" s="34" t="str">
        <f t="shared" si="26"/>
        <v>202602</v>
      </c>
      <c r="D860" s="35" t="s">
        <v>2310</v>
      </c>
      <c r="E860" s="36" t="s">
        <v>1149</v>
      </c>
      <c r="F860" s="36" t="s">
        <v>3066</v>
      </c>
      <c r="G860" s="37" t="s">
        <v>3067</v>
      </c>
      <c r="H860" s="36" t="s">
        <v>928</v>
      </c>
      <c r="I860" s="35" t="s">
        <v>3068</v>
      </c>
      <c r="J860" s="36" t="s">
        <v>938</v>
      </c>
      <c r="K860" s="33" t="s">
        <v>916</v>
      </c>
      <c r="L860" s="35" t="s">
        <v>916</v>
      </c>
      <c r="M860" s="36" t="s">
        <v>916</v>
      </c>
      <c r="N860" s="45">
        <v>46063.515277777777</v>
      </c>
      <c r="O860" s="36" t="s">
        <v>25</v>
      </c>
      <c r="P860" s="38">
        <v>8.1335648147999997</v>
      </c>
      <c r="Q860" s="39" t="s">
        <v>3069</v>
      </c>
      <c r="R860" s="46" t="s">
        <v>3070</v>
      </c>
      <c r="S860" s="35" t="s">
        <v>3071</v>
      </c>
      <c r="T860" s="35" t="s">
        <v>1624</v>
      </c>
      <c r="U860" s="40">
        <v>46056</v>
      </c>
      <c r="V860" s="41">
        <v>46153.532800925925</v>
      </c>
      <c r="W860" s="40">
        <v>46055</v>
      </c>
      <c r="X860" s="35" t="s">
        <v>916</v>
      </c>
      <c r="Y860" s="35" t="s">
        <v>916</v>
      </c>
      <c r="Z860" s="35" t="s">
        <v>916</v>
      </c>
      <c r="AA860" s="38">
        <v>195.20555555519999</v>
      </c>
      <c r="AB860" s="42" t="s">
        <v>916</v>
      </c>
      <c r="AC860" s="43" t="s">
        <v>916</v>
      </c>
      <c r="AD860" s="43" t="s">
        <v>916</v>
      </c>
      <c r="AE860" s="33" t="s">
        <v>916</v>
      </c>
      <c r="AF860" s="35" t="s">
        <v>916</v>
      </c>
      <c r="AG860" s="44">
        <v>491673.16111111123</v>
      </c>
      <c r="AH860" s="42" t="s">
        <v>916</v>
      </c>
      <c r="AI860" s="32" t="e">
        <f>VLOOKUP(A860,'4月明細'!B:B,1,0)</f>
        <v>#N/A</v>
      </c>
    </row>
    <row r="861" spans="1:35" ht="19.95" customHeight="1" x14ac:dyDescent="0.3">
      <c r="A861" s="33" t="s">
        <v>3072</v>
      </c>
      <c r="B861" s="34">
        <v>46054.722511574073</v>
      </c>
      <c r="C861" s="34" t="str">
        <f t="shared" si="26"/>
        <v>202602</v>
      </c>
      <c r="D861" s="35" t="s">
        <v>1587</v>
      </c>
      <c r="E861" s="36" t="s">
        <v>942</v>
      </c>
      <c r="F861" s="36" t="s">
        <v>1010</v>
      </c>
      <c r="G861" s="37" t="s">
        <v>3073</v>
      </c>
      <c r="H861" s="36" t="s">
        <v>913</v>
      </c>
      <c r="I861" s="35"/>
      <c r="J861" s="36" t="s">
        <v>945</v>
      </c>
      <c r="K861" s="33" t="s">
        <v>916</v>
      </c>
      <c r="L861" s="35" t="s">
        <v>916</v>
      </c>
      <c r="M861" s="36" t="s">
        <v>1039</v>
      </c>
      <c r="N861" s="45">
        <v>46098.482638888891</v>
      </c>
      <c r="O861" s="36" t="s">
        <v>1384</v>
      </c>
      <c r="P861" s="38">
        <v>43.760127314800002</v>
      </c>
      <c r="Q861" s="39" t="s">
        <v>3074</v>
      </c>
      <c r="R861" s="35" t="s">
        <v>916</v>
      </c>
      <c r="S861" s="35"/>
      <c r="T861" s="35" t="s">
        <v>1624</v>
      </c>
      <c r="U861" s="40">
        <v>46055</v>
      </c>
      <c r="V861" s="41">
        <v>46153.532800925925</v>
      </c>
      <c r="W861" s="40">
        <v>46054</v>
      </c>
      <c r="X861" s="35" t="s">
        <v>916</v>
      </c>
      <c r="Y861" s="35" t="s">
        <v>916</v>
      </c>
      <c r="Z861" s="35" t="s">
        <v>916</v>
      </c>
      <c r="AA861" s="38">
        <v>1050.2430555552</v>
      </c>
      <c r="AB861" s="42" t="s">
        <v>916</v>
      </c>
      <c r="AC861" s="43" t="s">
        <v>916</v>
      </c>
      <c r="AD861" s="43" t="s">
        <v>916</v>
      </c>
      <c r="AE861" s="33" t="s">
        <v>916</v>
      </c>
      <c r="AF861" s="35" t="s">
        <v>916</v>
      </c>
      <c r="AG861" s="44">
        <v>491657.34027777793</v>
      </c>
      <c r="AH861" s="42" t="s">
        <v>916</v>
      </c>
      <c r="AI861" s="32" t="e">
        <f>VLOOKUP(A861,'4月明細'!B:B,1,0)</f>
        <v>#N/A</v>
      </c>
    </row>
    <row r="862" spans="1:35" ht="19.95" customHeight="1" x14ac:dyDescent="0.3">
      <c r="A862" s="33" t="s">
        <v>3075</v>
      </c>
      <c r="B862" s="34">
        <v>46054.720289351855</v>
      </c>
      <c r="C862" s="34" t="str">
        <f t="shared" si="26"/>
        <v>202602</v>
      </c>
      <c r="D862" s="35" t="s">
        <v>1178</v>
      </c>
      <c r="E862" s="36" t="s">
        <v>910</v>
      </c>
      <c r="F862" s="36" t="s">
        <v>972</v>
      </c>
      <c r="G862" s="37" t="s">
        <v>3076</v>
      </c>
      <c r="H862" s="36" t="s">
        <v>928</v>
      </c>
      <c r="I862" s="35" t="s">
        <v>3077</v>
      </c>
      <c r="J862" s="36" t="s">
        <v>929</v>
      </c>
      <c r="K862" s="33" t="s">
        <v>916</v>
      </c>
      <c r="L862" s="35" t="s">
        <v>916</v>
      </c>
      <c r="M862" s="36" t="s">
        <v>1135</v>
      </c>
      <c r="N862" s="45">
        <v>46098.706944444442</v>
      </c>
      <c r="O862" s="36" t="s">
        <v>1797</v>
      </c>
      <c r="P862" s="38">
        <v>43.986655092600003</v>
      </c>
      <c r="Q862" s="39" t="s">
        <v>3078</v>
      </c>
      <c r="R862" s="46" t="s">
        <v>3079</v>
      </c>
      <c r="S862" s="35"/>
      <c r="T862" s="35" t="s">
        <v>1624</v>
      </c>
      <c r="U862" s="40">
        <v>46055</v>
      </c>
      <c r="V862" s="41">
        <v>46153.532800925925</v>
      </c>
      <c r="W862" s="40">
        <v>46054</v>
      </c>
      <c r="X862" s="35" t="s">
        <v>916</v>
      </c>
      <c r="Y862" s="35" t="s">
        <v>916</v>
      </c>
      <c r="Z862" s="35" t="s">
        <v>916</v>
      </c>
      <c r="AA862" s="38">
        <v>1055.6797222224</v>
      </c>
      <c r="AB862" s="42" t="s">
        <v>916</v>
      </c>
      <c r="AC862" s="43" t="s">
        <v>916</v>
      </c>
      <c r="AD862" s="43" t="s">
        <v>916</v>
      </c>
      <c r="AE862" s="33" t="s">
        <v>916</v>
      </c>
      <c r="AF862" s="35" t="s">
        <v>916</v>
      </c>
      <c r="AG862" s="44">
        <v>491657.28694444441</v>
      </c>
      <c r="AH862" s="42" t="s">
        <v>916</v>
      </c>
      <c r="AI862" s="32" t="e">
        <f>VLOOKUP(A862,'4月明細'!B:B,1,0)</f>
        <v>#N/A</v>
      </c>
    </row>
    <row r="863" spans="1:35" ht="19.95" customHeight="1" x14ac:dyDescent="0.3">
      <c r="A863" s="33" t="s">
        <v>304</v>
      </c>
      <c r="B863" s="34">
        <v>46054.705543981479</v>
      </c>
      <c r="C863" s="34" t="str">
        <f t="shared" si="26"/>
        <v>202602</v>
      </c>
      <c r="D863" s="35" t="s">
        <v>996</v>
      </c>
      <c r="E863" s="36" t="s">
        <v>910</v>
      </c>
      <c r="F863" s="36" t="s">
        <v>1068</v>
      </c>
      <c r="G863" s="37" t="s">
        <v>3080</v>
      </c>
      <c r="H863" s="36" t="s">
        <v>928</v>
      </c>
      <c r="I863" s="35" t="s">
        <v>3081</v>
      </c>
      <c r="J863" s="36" t="s">
        <v>929</v>
      </c>
      <c r="K863" s="33" t="s">
        <v>916</v>
      </c>
      <c r="L863" s="35" t="s">
        <v>916</v>
      </c>
      <c r="M863" s="36" t="s">
        <v>1039</v>
      </c>
      <c r="N863" s="45">
        <v>46055.685416666667</v>
      </c>
      <c r="O863" s="36" t="s">
        <v>25</v>
      </c>
      <c r="P863" s="38">
        <v>0.97987268520000004</v>
      </c>
      <c r="Q863" s="39" t="s">
        <v>3082</v>
      </c>
      <c r="R863" s="35" t="s">
        <v>916</v>
      </c>
      <c r="S863" s="35" t="s">
        <v>3083</v>
      </c>
      <c r="T863" s="35" t="s">
        <v>1624</v>
      </c>
      <c r="U863" s="40">
        <v>46055</v>
      </c>
      <c r="V863" s="41">
        <v>46153.532800925925</v>
      </c>
      <c r="W863" s="40">
        <v>46054</v>
      </c>
      <c r="X863" s="35" t="s">
        <v>916</v>
      </c>
      <c r="Y863" s="35" t="s">
        <v>916</v>
      </c>
      <c r="Z863" s="35" t="s">
        <v>916</v>
      </c>
      <c r="AA863" s="38">
        <v>23.5169444448</v>
      </c>
      <c r="AB863" s="42" t="s">
        <v>916</v>
      </c>
      <c r="AC863" s="43" t="s">
        <v>916</v>
      </c>
      <c r="AD863" s="43" t="s">
        <v>916</v>
      </c>
      <c r="AE863" s="33" t="s">
        <v>916</v>
      </c>
      <c r="AF863" s="35" t="s">
        <v>916</v>
      </c>
      <c r="AG863" s="44">
        <v>491656.93305555562</v>
      </c>
      <c r="AH863" s="42" t="s">
        <v>916</v>
      </c>
      <c r="AI863" s="32" t="e">
        <f>VLOOKUP(A863,'4月明細'!B:B,1,0)</f>
        <v>#N/A</v>
      </c>
    </row>
    <row r="864" spans="1:35" ht="19.95" customHeight="1" x14ac:dyDescent="0.3">
      <c r="A864" s="33" t="s">
        <v>303</v>
      </c>
      <c r="B864" s="34">
        <v>46054.688842592594</v>
      </c>
      <c r="C864" s="34" t="str">
        <f t="shared" si="26"/>
        <v>202602</v>
      </c>
      <c r="D864" s="35" t="s">
        <v>1178</v>
      </c>
      <c r="E864" s="36" t="s">
        <v>910</v>
      </c>
      <c r="F864" s="36" t="s">
        <v>972</v>
      </c>
      <c r="G864" s="37" t="s">
        <v>3084</v>
      </c>
      <c r="H864" s="36" t="s">
        <v>928</v>
      </c>
      <c r="I864" s="35" t="s">
        <v>3085</v>
      </c>
      <c r="J864" s="36" t="s">
        <v>929</v>
      </c>
      <c r="K864" s="33" t="s">
        <v>916</v>
      </c>
      <c r="L864" s="35" t="s">
        <v>916</v>
      </c>
      <c r="M864" s="36" t="s">
        <v>916</v>
      </c>
      <c r="N864" s="45">
        <v>46055.463194444441</v>
      </c>
      <c r="O864" s="36" t="s">
        <v>25</v>
      </c>
      <c r="P864" s="38">
        <v>0.7743518519</v>
      </c>
      <c r="Q864" s="39" t="s">
        <v>3086</v>
      </c>
      <c r="R864" s="35" t="s">
        <v>916</v>
      </c>
      <c r="S864" s="35" t="s">
        <v>3087</v>
      </c>
      <c r="T864" s="35" t="s">
        <v>1701</v>
      </c>
      <c r="U864" s="40">
        <v>46055</v>
      </c>
      <c r="V864" s="41">
        <v>46153.532800925925</v>
      </c>
      <c r="W864" s="40">
        <v>46054</v>
      </c>
      <c r="X864" s="35" t="s">
        <v>916</v>
      </c>
      <c r="Y864" s="35" t="s">
        <v>916</v>
      </c>
      <c r="Z864" s="35" t="s">
        <v>916</v>
      </c>
      <c r="AA864" s="38">
        <v>18.584444445599999</v>
      </c>
      <c r="AB864" s="42" t="s">
        <v>916</v>
      </c>
      <c r="AC864" s="43" t="s">
        <v>916</v>
      </c>
      <c r="AD864" s="43" t="s">
        <v>916</v>
      </c>
      <c r="AE864" s="33" t="s">
        <v>916</v>
      </c>
      <c r="AF864" s="35" t="s">
        <v>916</v>
      </c>
      <c r="AG864" s="44">
        <v>491656.53222222219</v>
      </c>
      <c r="AH864" s="42" t="s">
        <v>916</v>
      </c>
      <c r="AI864" s="32" t="e">
        <f>VLOOKUP(A864,'4月明細'!B:B,1,0)</f>
        <v>#N/A</v>
      </c>
    </row>
    <row r="865" spans="1:35" ht="19.95" customHeight="1" x14ac:dyDescent="0.3">
      <c r="A865" s="33" t="s">
        <v>302</v>
      </c>
      <c r="B865" s="34">
        <v>46054.655034722222</v>
      </c>
      <c r="C865" s="34" t="str">
        <f t="shared" si="26"/>
        <v>202602</v>
      </c>
      <c r="D865" s="35" t="s">
        <v>996</v>
      </c>
      <c r="E865" s="36" t="s">
        <v>910</v>
      </c>
      <c r="F865" s="36" t="s">
        <v>1370</v>
      </c>
      <c r="G865" s="37" t="s">
        <v>3088</v>
      </c>
      <c r="H865" s="36" t="s">
        <v>1023</v>
      </c>
      <c r="I865" s="35" t="s">
        <v>3089</v>
      </c>
      <c r="J865" s="36" t="s">
        <v>929</v>
      </c>
      <c r="K865" s="33" t="s">
        <v>916</v>
      </c>
      <c r="L865" s="35" t="s">
        <v>916</v>
      </c>
      <c r="M865" s="36" t="s">
        <v>916</v>
      </c>
      <c r="N865" s="45">
        <v>46055.477083333331</v>
      </c>
      <c r="O865" s="36" t="s">
        <v>25</v>
      </c>
      <c r="P865" s="38">
        <v>0.82204861110000005</v>
      </c>
      <c r="Q865" s="39" t="s">
        <v>3090</v>
      </c>
      <c r="R865" s="35" t="s">
        <v>916</v>
      </c>
      <c r="S865" s="35" t="s">
        <v>3091</v>
      </c>
      <c r="T865" s="35" t="s">
        <v>1624</v>
      </c>
      <c r="U865" s="40">
        <v>46055</v>
      </c>
      <c r="V865" s="41">
        <v>46153.532800925925</v>
      </c>
      <c r="W865" s="40">
        <v>46054</v>
      </c>
      <c r="X865" s="35" t="s">
        <v>916</v>
      </c>
      <c r="Y865" s="35" t="s">
        <v>916</v>
      </c>
      <c r="Z865" s="35" t="s">
        <v>916</v>
      </c>
      <c r="AA865" s="38">
        <v>19.729166666400001</v>
      </c>
      <c r="AB865" s="42" t="s">
        <v>916</v>
      </c>
      <c r="AC865" s="43" t="s">
        <v>916</v>
      </c>
      <c r="AD865" s="43" t="s">
        <v>916</v>
      </c>
      <c r="AE865" s="33" t="s">
        <v>916</v>
      </c>
      <c r="AF865" s="35" t="s">
        <v>916</v>
      </c>
      <c r="AG865" s="44">
        <v>491655.72083333333</v>
      </c>
      <c r="AH865" s="42" t="s">
        <v>916</v>
      </c>
      <c r="AI865" s="32" t="e">
        <f>VLOOKUP(A865,'4月明細'!B:B,1,0)</f>
        <v>#N/A</v>
      </c>
    </row>
    <row r="866" spans="1:35" ht="19.95" customHeight="1" x14ac:dyDescent="0.3">
      <c r="A866" s="33" t="s">
        <v>301</v>
      </c>
      <c r="B866" s="34">
        <v>46054.629016203704</v>
      </c>
      <c r="C866" s="34" t="str">
        <f t="shared" si="26"/>
        <v>202602</v>
      </c>
      <c r="D866" s="35" t="s">
        <v>996</v>
      </c>
      <c r="E866" s="36" t="s">
        <v>910</v>
      </c>
      <c r="F866" s="36" t="s">
        <v>1461</v>
      </c>
      <c r="G866" s="37" t="s">
        <v>1976</v>
      </c>
      <c r="H866" s="36" t="s">
        <v>954</v>
      </c>
      <c r="I866" s="35"/>
      <c r="J866" s="36" t="s">
        <v>929</v>
      </c>
      <c r="K866" s="33" t="s">
        <v>916</v>
      </c>
      <c r="L866" s="35" t="s">
        <v>916</v>
      </c>
      <c r="M866" s="36" t="s">
        <v>916</v>
      </c>
      <c r="N866" s="45">
        <v>46055.477777777778</v>
      </c>
      <c r="O866" s="36" t="s">
        <v>25</v>
      </c>
      <c r="P866" s="38">
        <v>0.84876157409999997</v>
      </c>
      <c r="Q866" s="39" t="s">
        <v>3092</v>
      </c>
      <c r="R866" s="35" t="s">
        <v>916</v>
      </c>
      <c r="S866" s="35" t="s">
        <v>3093</v>
      </c>
      <c r="T866" s="35" t="s">
        <v>1624</v>
      </c>
      <c r="U866" s="40">
        <v>46055</v>
      </c>
      <c r="V866" s="41">
        <v>46153.532800925925</v>
      </c>
      <c r="W866" s="40">
        <v>46054</v>
      </c>
      <c r="X866" s="35" t="s">
        <v>916</v>
      </c>
      <c r="Y866" s="35" t="s">
        <v>916</v>
      </c>
      <c r="Z866" s="35" t="s">
        <v>916</v>
      </c>
      <c r="AA866" s="38">
        <v>20.370277778399998</v>
      </c>
      <c r="AB866" s="42" t="s">
        <v>916</v>
      </c>
      <c r="AC866" s="43" t="s">
        <v>916</v>
      </c>
      <c r="AD866" s="43" t="s">
        <v>916</v>
      </c>
      <c r="AE866" s="33" t="s">
        <v>916</v>
      </c>
      <c r="AF866" s="35" t="s">
        <v>916</v>
      </c>
      <c r="AG866" s="44">
        <v>491655.09638888889</v>
      </c>
      <c r="AH866" s="42" t="s">
        <v>916</v>
      </c>
      <c r="AI866" s="32" t="e">
        <f>VLOOKUP(A866,'4月明細'!B:B,1,0)</f>
        <v>#N/A</v>
      </c>
    </row>
    <row r="867" spans="1:35" ht="19.95" customHeight="1" x14ac:dyDescent="0.3">
      <c r="A867" s="33" t="s">
        <v>300</v>
      </c>
      <c r="B867" s="34">
        <v>46054.615729166668</v>
      </c>
      <c r="C867" s="34" t="str">
        <f t="shared" si="26"/>
        <v>202602</v>
      </c>
      <c r="D867" s="35" t="s">
        <v>986</v>
      </c>
      <c r="E867" s="36" t="s">
        <v>910</v>
      </c>
      <c r="F867" s="36" t="s">
        <v>1919</v>
      </c>
      <c r="G867" s="37" t="s">
        <v>1041</v>
      </c>
      <c r="H867" s="36" t="s">
        <v>954</v>
      </c>
      <c r="I867" s="35"/>
      <c r="J867" s="36" t="s">
        <v>929</v>
      </c>
      <c r="K867" s="33" t="s">
        <v>916</v>
      </c>
      <c r="L867" s="35" t="s">
        <v>916</v>
      </c>
      <c r="M867" s="36" t="s">
        <v>916</v>
      </c>
      <c r="N867" s="45">
        <v>46055.478472222225</v>
      </c>
      <c r="O867" s="36" t="s">
        <v>25</v>
      </c>
      <c r="P867" s="38">
        <v>0.86274305559999998</v>
      </c>
      <c r="Q867" s="39" t="s">
        <v>3094</v>
      </c>
      <c r="R867" s="35" t="s">
        <v>916</v>
      </c>
      <c r="S867" s="35" t="s">
        <v>3095</v>
      </c>
      <c r="T867" s="35" t="s">
        <v>1624</v>
      </c>
      <c r="U867" s="40">
        <v>46055</v>
      </c>
      <c r="V867" s="41">
        <v>46153.532800925925</v>
      </c>
      <c r="W867" s="40">
        <v>46054</v>
      </c>
      <c r="X867" s="35" t="s">
        <v>916</v>
      </c>
      <c r="Y867" s="35" t="s">
        <v>916</v>
      </c>
      <c r="Z867" s="35" t="s">
        <v>916</v>
      </c>
      <c r="AA867" s="38">
        <v>20.705833334400001</v>
      </c>
      <c r="AB867" s="42" t="s">
        <v>916</v>
      </c>
      <c r="AC867" s="43" t="s">
        <v>916</v>
      </c>
      <c r="AD867" s="43" t="s">
        <v>916</v>
      </c>
      <c r="AE867" s="33" t="s">
        <v>916</v>
      </c>
      <c r="AF867" s="35" t="s">
        <v>916</v>
      </c>
      <c r="AG867" s="44">
        <v>491654.77750000003</v>
      </c>
      <c r="AH867" s="42" t="s">
        <v>916</v>
      </c>
      <c r="AI867" s="32" t="e">
        <f>VLOOKUP(A867,'4月明細'!B:B,1,0)</f>
        <v>#N/A</v>
      </c>
    </row>
    <row r="868" spans="1:35" ht="19.95" customHeight="1" x14ac:dyDescent="0.3">
      <c r="A868" s="33" t="s">
        <v>299</v>
      </c>
      <c r="B868" s="34">
        <v>46054.605312500003</v>
      </c>
      <c r="C868" s="34" t="str">
        <f t="shared" si="26"/>
        <v>202602</v>
      </c>
      <c r="D868" s="35" t="s">
        <v>986</v>
      </c>
      <c r="E868" s="36" t="s">
        <v>910</v>
      </c>
      <c r="F868" s="36" t="s">
        <v>1833</v>
      </c>
      <c r="G868" s="37" t="s">
        <v>3096</v>
      </c>
      <c r="H868" s="36" t="s">
        <v>928</v>
      </c>
      <c r="I868" s="35"/>
      <c r="J868" s="36" t="s">
        <v>929</v>
      </c>
      <c r="K868" s="33" t="s">
        <v>916</v>
      </c>
      <c r="L868" s="35" t="s">
        <v>916</v>
      </c>
      <c r="M868" s="36" t="s">
        <v>916</v>
      </c>
      <c r="N868" s="45">
        <v>46055.48333333333</v>
      </c>
      <c r="O868" s="36" t="s">
        <v>25</v>
      </c>
      <c r="P868" s="38">
        <v>0.87802083330000003</v>
      </c>
      <c r="Q868" s="39" t="s">
        <v>3097</v>
      </c>
      <c r="R868" s="35" t="s">
        <v>916</v>
      </c>
      <c r="S868" s="35" t="s">
        <v>3098</v>
      </c>
      <c r="T868" s="35" t="s">
        <v>1624</v>
      </c>
      <c r="U868" s="40">
        <v>46055</v>
      </c>
      <c r="V868" s="41">
        <v>46153.532800925925</v>
      </c>
      <c r="W868" s="40">
        <v>46054</v>
      </c>
      <c r="X868" s="35" t="s">
        <v>916</v>
      </c>
      <c r="Y868" s="35" t="s">
        <v>916</v>
      </c>
      <c r="Z868" s="35" t="s">
        <v>916</v>
      </c>
      <c r="AA868" s="38">
        <v>21.072499999200001</v>
      </c>
      <c r="AB868" s="42" t="s">
        <v>916</v>
      </c>
      <c r="AC868" s="43" t="s">
        <v>916</v>
      </c>
      <c r="AD868" s="43" t="s">
        <v>916</v>
      </c>
      <c r="AE868" s="33" t="s">
        <v>916</v>
      </c>
      <c r="AF868" s="35" t="s">
        <v>916</v>
      </c>
      <c r="AG868" s="44">
        <v>491654.52750000003</v>
      </c>
      <c r="AH868" s="42" t="s">
        <v>916</v>
      </c>
      <c r="AI868" s="32" t="e">
        <f>VLOOKUP(A868,'4月明細'!B:B,1,0)</f>
        <v>#N/A</v>
      </c>
    </row>
    <row r="869" spans="1:35" ht="19.95" customHeight="1" x14ac:dyDescent="0.3">
      <c r="A869" s="33" t="s">
        <v>298</v>
      </c>
      <c r="B869" s="34">
        <v>46054.585162037038</v>
      </c>
      <c r="C869" s="34" t="str">
        <f t="shared" si="26"/>
        <v>202602</v>
      </c>
      <c r="D869" s="35" t="s">
        <v>996</v>
      </c>
      <c r="E869" s="36" t="s">
        <v>910</v>
      </c>
      <c r="F869" s="36" t="s">
        <v>1591</v>
      </c>
      <c r="G869" s="37" t="s">
        <v>3099</v>
      </c>
      <c r="H869" s="36" t="s">
        <v>928</v>
      </c>
      <c r="I869" s="35"/>
      <c r="J869" s="36" t="s">
        <v>914</v>
      </c>
      <c r="K869" s="33" t="s">
        <v>916</v>
      </c>
      <c r="L869" s="35" t="s">
        <v>916</v>
      </c>
      <c r="M869" s="36" t="s">
        <v>957</v>
      </c>
      <c r="N869" s="45">
        <v>46055.486805555556</v>
      </c>
      <c r="O869" s="36" t="s">
        <v>25</v>
      </c>
      <c r="P869" s="38">
        <v>0.90164351850000002</v>
      </c>
      <c r="Q869" s="39" t="s">
        <v>3100</v>
      </c>
      <c r="R869" s="35" t="s">
        <v>916</v>
      </c>
      <c r="S869" s="35" t="s">
        <v>3101</v>
      </c>
      <c r="T869" s="35" t="s">
        <v>1624</v>
      </c>
      <c r="U869" s="40">
        <v>46055</v>
      </c>
      <c r="V869" s="41">
        <v>46153.532800925925</v>
      </c>
      <c r="W869" s="40">
        <v>46054</v>
      </c>
      <c r="X869" s="35" t="s">
        <v>916</v>
      </c>
      <c r="Y869" s="35" t="s">
        <v>916</v>
      </c>
      <c r="Z869" s="35" t="s">
        <v>916</v>
      </c>
      <c r="AA869" s="38">
        <v>21.639444443999999</v>
      </c>
      <c r="AB869" s="42" t="s">
        <v>916</v>
      </c>
      <c r="AC869" s="43" t="s">
        <v>916</v>
      </c>
      <c r="AD869" s="43" t="s">
        <v>916</v>
      </c>
      <c r="AE869" s="33" t="s">
        <v>916</v>
      </c>
      <c r="AF869" s="35" t="s">
        <v>916</v>
      </c>
      <c r="AG869" s="44">
        <v>491654.0438888889</v>
      </c>
      <c r="AH869" s="42" t="s">
        <v>916</v>
      </c>
      <c r="AI869" s="32" t="e">
        <f>VLOOKUP(A869,'4月明細'!B:B,1,0)</f>
        <v>#N/A</v>
      </c>
    </row>
    <row r="870" spans="1:35" ht="19.95" customHeight="1" x14ac:dyDescent="0.3">
      <c r="A870" s="33" t="s">
        <v>297</v>
      </c>
      <c r="B870" s="34">
        <v>46054.482048611113</v>
      </c>
      <c r="C870" s="34" t="str">
        <f t="shared" si="26"/>
        <v>202602</v>
      </c>
      <c r="D870" s="35" t="s">
        <v>996</v>
      </c>
      <c r="E870" s="36" t="s">
        <v>910</v>
      </c>
      <c r="F870" s="36" t="s">
        <v>1227</v>
      </c>
      <c r="G870" s="37" t="s">
        <v>3013</v>
      </c>
      <c r="H870" s="36" t="s">
        <v>989</v>
      </c>
      <c r="I870" s="35" t="s">
        <v>3102</v>
      </c>
      <c r="J870" s="36" t="s">
        <v>929</v>
      </c>
      <c r="K870" s="33" t="s">
        <v>916</v>
      </c>
      <c r="L870" s="35" t="s">
        <v>916</v>
      </c>
      <c r="M870" s="36" t="s">
        <v>1039</v>
      </c>
      <c r="N870" s="45">
        <v>46055.487500000003</v>
      </c>
      <c r="O870" s="36" t="s">
        <v>25</v>
      </c>
      <c r="P870" s="38">
        <v>1.0054513889000001</v>
      </c>
      <c r="Q870" s="39" t="s">
        <v>3103</v>
      </c>
      <c r="R870" s="35" t="s">
        <v>916</v>
      </c>
      <c r="S870" s="35" t="s">
        <v>3104</v>
      </c>
      <c r="T870" s="35" t="s">
        <v>1624</v>
      </c>
      <c r="U870" s="40">
        <v>46055</v>
      </c>
      <c r="V870" s="41">
        <v>46153.532800925925</v>
      </c>
      <c r="W870" s="40">
        <v>46054</v>
      </c>
      <c r="X870" s="35" t="s">
        <v>916</v>
      </c>
      <c r="Y870" s="35" t="s">
        <v>916</v>
      </c>
      <c r="Z870" s="35" t="s">
        <v>916</v>
      </c>
      <c r="AA870" s="38">
        <v>24.130833333599998</v>
      </c>
      <c r="AB870" s="42" t="s">
        <v>916</v>
      </c>
      <c r="AC870" s="43" t="s">
        <v>916</v>
      </c>
      <c r="AD870" s="43" t="s">
        <v>916</v>
      </c>
      <c r="AE870" s="33" t="s">
        <v>916</v>
      </c>
      <c r="AF870" s="35" t="s">
        <v>916</v>
      </c>
      <c r="AG870" s="44">
        <v>491651.56916666671</v>
      </c>
      <c r="AH870" s="42" t="s">
        <v>916</v>
      </c>
      <c r="AI870" s="32" t="e">
        <f>VLOOKUP(A870,'4月明細'!B:B,1,0)</f>
        <v>#N/A</v>
      </c>
    </row>
    <row r="871" spans="1:35" ht="19.95" customHeight="1" x14ac:dyDescent="0.3">
      <c r="A871" s="33" t="s">
        <v>295</v>
      </c>
      <c r="B871" s="34">
        <v>46053.725601851853</v>
      </c>
      <c r="C871" s="34" t="str">
        <f t="shared" si="26"/>
        <v>202601</v>
      </c>
      <c r="D871" s="35" t="s">
        <v>996</v>
      </c>
      <c r="E871" s="36" t="s">
        <v>910</v>
      </c>
      <c r="F871" s="36" t="s">
        <v>2017</v>
      </c>
      <c r="G871" s="37" t="s">
        <v>3105</v>
      </c>
      <c r="H871" s="36" t="s">
        <v>1078</v>
      </c>
      <c r="I871" s="35"/>
      <c r="J871" s="36" t="s">
        <v>929</v>
      </c>
      <c r="K871" s="33" t="s">
        <v>916</v>
      </c>
      <c r="L871" s="35" t="s">
        <v>916</v>
      </c>
      <c r="M871" s="36" t="s">
        <v>916</v>
      </c>
      <c r="N871" s="45">
        <v>46055.488194444442</v>
      </c>
      <c r="O871" s="36" t="s">
        <v>25</v>
      </c>
      <c r="P871" s="38">
        <v>1.7625925925999999</v>
      </c>
      <c r="Q871" s="39" t="s">
        <v>3106</v>
      </c>
      <c r="R871" s="35" t="s">
        <v>916</v>
      </c>
      <c r="S871" s="35"/>
      <c r="T871" s="35" t="s">
        <v>1624</v>
      </c>
      <c r="U871" s="40">
        <v>46054</v>
      </c>
      <c r="V871" s="41">
        <v>46153.532800925925</v>
      </c>
      <c r="W871" s="40">
        <v>46053</v>
      </c>
      <c r="X871" s="35" t="s">
        <v>916</v>
      </c>
      <c r="Y871" s="35" t="s">
        <v>916</v>
      </c>
      <c r="Z871" s="35" t="s">
        <v>916</v>
      </c>
      <c r="AA871" s="38">
        <v>42.302222222399998</v>
      </c>
      <c r="AB871" s="42" t="s">
        <v>916</v>
      </c>
      <c r="AC871" s="43" t="s">
        <v>916</v>
      </c>
      <c r="AD871" s="43" t="s">
        <v>916</v>
      </c>
      <c r="AE871" s="33" t="s">
        <v>916</v>
      </c>
      <c r="AF871" s="35" t="s">
        <v>916</v>
      </c>
      <c r="AG871" s="44">
        <v>491633.41444444453</v>
      </c>
      <c r="AH871" s="42" t="s">
        <v>916</v>
      </c>
      <c r="AI871" s="32" t="e">
        <f>VLOOKUP(A871,'4月明細'!B:B,1,0)</f>
        <v>#N/A</v>
      </c>
    </row>
    <row r="872" spans="1:35" ht="19.95" customHeight="1" x14ac:dyDescent="0.3">
      <c r="A872" s="33" t="s">
        <v>3107</v>
      </c>
      <c r="B872" s="34">
        <v>46053.666805555556</v>
      </c>
      <c r="C872" s="34" t="str">
        <f t="shared" si="26"/>
        <v>202601</v>
      </c>
      <c r="D872" s="35" t="s">
        <v>1198</v>
      </c>
      <c r="E872" s="36" t="s">
        <v>942</v>
      </c>
      <c r="F872" s="36" t="s">
        <v>1200</v>
      </c>
      <c r="G872" s="37" t="s">
        <v>3108</v>
      </c>
      <c r="H872" s="36" t="s">
        <v>1114</v>
      </c>
      <c r="I872" s="35"/>
      <c r="J872" s="36" t="s">
        <v>1058</v>
      </c>
      <c r="K872" s="33" t="s">
        <v>916</v>
      </c>
      <c r="L872" s="35" t="s">
        <v>916</v>
      </c>
      <c r="M872" s="36" t="s">
        <v>1039</v>
      </c>
      <c r="N872" s="45">
        <v>46055.484722222223</v>
      </c>
      <c r="O872" s="36" t="s">
        <v>1797</v>
      </c>
      <c r="P872" s="38">
        <v>1.8179166667</v>
      </c>
      <c r="Q872" s="39" t="s">
        <v>3109</v>
      </c>
      <c r="R872" s="35" t="s">
        <v>916</v>
      </c>
      <c r="S872" s="35"/>
      <c r="T872" s="35" t="s">
        <v>1624</v>
      </c>
      <c r="U872" s="40">
        <v>46054</v>
      </c>
      <c r="V872" s="41">
        <v>46153.532800925925</v>
      </c>
      <c r="W872" s="40">
        <v>46053</v>
      </c>
      <c r="X872" s="35" t="s">
        <v>916</v>
      </c>
      <c r="Y872" s="35" t="s">
        <v>916</v>
      </c>
      <c r="Z872" s="35" t="s">
        <v>916</v>
      </c>
      <c r="AA872" s="38">
        <v>43.630000000800003</v>
      </c>
      <c r="AB872" s="42" t="s">
        <v>916</v>
      </c>
      <c r="AC872" s="43" t="s">
        <v>916</v>
      </c>
      <c r="AD872" s="43" t="s">
        <v>916</v>
      </c>
      <c r="AE872" s="33" t="s">
        <v>916</v>
      </c>
      <c r="AF872" s="35" t="s">
        <v>916</v>
      </c>
      <c r="AG872" s="44">
        <v>491632.00333333341</v>
      </c>
      <c r="AH872" s="42" t="s">
        <v>916</v>
      </c>
      <c r="AI872" s="32" t="e">
        <f>VLOOKUP(A872,'4月明細'!B:B,1,0)</f>
        <v>#N/A</v>
      </c>
    </row>
    <row r="873" spans="1:35" ht="19.95" customHeight="1" x14ac:dyDescent="0.3">
      <c r="A873" s="33" t="s">
        <v>294</v>
      </c>
      <c r="B873" s="34">
        <v>46053.642604166664</v>
      </c>
      <c r="C873" s="34" t="str">
        <f t="shared" si="26"/>
        <v>202601</v>
      </c>
      <c r="D873" s="35" t="s">
        <v>996</v>
      </c>
      <c r="E873" s="36" t="s">
        <v>910</v>
      </c>
      <c r="F873" s="36" t="s">
        <v>1740</v>
      </c>
      <c r="G873" s="37" t="s">
        <v>2706</v>
      </c>
      <c r="H873" s="36" t="s">
        <v>928</v>
      </c>
      <c r="I873" s="35" t="s">
        <v>3110</v>
      </c>
      <c r="J873" s="36" t="s">
        <v>929</v>
      </c>
      <c r="K873" s="33" t="s">
        <v>916</v>
      </c>
      <c r="L873" s="35" t="s">
        <v>916</v>
      </c>
      <c r="M873" s="36" t="s">
        <v>957</v>
      </c>
      <c r="N873" s="45">
        <v>46055.467361111114</v>
      </c>
      <c r="O873" s="36" t="s">
        <v>25</v>
      </c>
      <c r="P873" s="38">
        <v>1.8247569444</v>
      </c>
      <c r="Q873" s="39" t="s">
        <v>3111</v>
      </c>
      <c r="R873" s="35" t="s">
        <v>916</v>
      </c>
      <c r="S873" s="35" t="s">
        <v>3112</v>
      </c>
      <c r="T873" s="35" t="s">
        <v>1624</v>
      </c>
      <c r="U873" s="40">
        <v>46054</v>
      </c>
      <c r="V873" s="41">
        <v>46153.532800925925</v>
      </c>
      <c r="W873" s="40">
        <v>46053</v>
      </c>
      <c r="X873" s="35" t="s">
        <v>916</v>
      </c>
      <c r="Y873" s="35" t="s">
        <v>916</v>
      </c>
      <c r="Z873" s="35" t="s">
        <v>916</v>
      </c>
      <c r="AA873" s="38">
        <v>43.794166665600002</v>
      </c>
      <c r="AB873" s="42" t="s">
        <v>916</v>
      </c>
      <c r="AC873" s="43" t="s">
        <v>916</v>
      </c>
      <c r="AD873" s="43" t="s">
        <v>916</v>
      </c>
      <c r="AE873" s="33" t="s">
        <v>916</v>
      </c>
      <c r="AF873" s="35" t="s">
        <v>916</v>
      </c>
      <c r="AG873" s="44">
        <v>491631.42249999999</v>
      </c>
      <c r="AH873" s="42" t="s">
        <v>916</v>
      </c>
      <c r="AI873" s="32" t="e">
        <f>VLOOKUP(A873,'4月明細'!B:B,1,0)</f>
        <v>#N/A</v>
      </c>
    </row>
    <row r="874" spans="1:35" ht="19.95" customHeight="1" x14ac:dyDescent="0.3">
      <c r="A874" s="33" t="s">
        <v>293</v>
      </c>
      <c r="B874" s="34">
        <v>46053.615057870367</v>
      </c>
      <c r="C874" s="34" t="str">
        <f t="shared" si="26"/>
        <v>202601</v>
      </c>
      <c r="D874" s="35" t="s">
        <v>2278</v>
      </c>
      <c r="E874" s="36" t="s">
        <v>910</v>
      </c>
      <c r="F874" s="36" t="s">
        <v>1021</v>
      </c>
      <c r="G874" s="37" t="s">
        <v>3113</v>
      </c>
      <c r="H874" s="36" t="s">
        <v>928</v>
      </c>
      <c r="I874" s="35"/>
      <c r="J874" s="36" t="s">
        <v>914</v>
      </c>
      <c r="K874" s="33" t="s">
        <v>916</v>
      </c>
      <c r="L874" s="35" t="s">
        <v>916</v>
      </c>
      <c r="M874" s="36" t="s">
        <v>916</v>
      </c>
      <c r="N874" s="45">
        <v>46055.466666666667</v>
      </c>
      <c r="O874" s="36" t="s">
        <v>25</v>
      </c>
      <c r="P874" s="38">
        <v>1.8516087963000001</v>
      </c>
      <c r="Q874" s="39" t="s">
        <v>3114</v>
      </c>
      <c r="R874" s="35" t="s">
        <v>916</v>
      </c>
      <c r="S874" s="35"/>
      <c r="T874" s="35" t="s">
        <v>1624</v>
      </c>
      <c r="U874" s="40">
        <v>46054</v>
      </c>
      <c r="V874" s="41">
        <v>46153.532800925925</v>
      </c>
      <c r="W874" s="40">
        <v>46053</v>
      </c>
      <c r="X874" s="35" t="s">
        <v>916</v>
      </c>
      <c r="Y874" s="35" t="s">
        <v>916</v>
      </c>
      <c r="Z874" s="35" t="s">
        <v>916</v>
      </c>
      <c r="AA874" s="38">
        <v>44.438611111199997</v>
      </c>
      <c r="AB874" s="42" t="s">
        <v>916</v>
      </c>
      <c r="AC874" s="43" t="s">
        <v>916</v>
      </c>
      <c r="AD874" s="43" t="s">
        <v>916</v>
      </c>
      <c r="AE874" s="33" t="s">
        <v>916</v>
      </c>
      <c r="AF874" s="35" t="s">
        <v>916</v>
      </c>
      <c r="AG874" s="44">
        <v>491630.76138888887</v>
      </c>
      <c r="AH874" s="42" t="s">
        <v>916</v>
      </c>
      <c r="AI874" s="32" t="e">
        <f>VLOOKUP(A874,'4月明細'!B:B,1,0)</f>
        <v>#N/A</v>
      </c>
    </row>
    <row r="875" spans="1:35" ht="19.95" customHeight="1" x14ac:dyDescent="0.3">
      <c r="A875" s="33" t="s">
        <v>292</v>
      </c>
      <c r="B875" s="34">
        <v>46053.573750000003</v>
      </c>
      <c r="C875" s="34" t="str">
        <f t="shared" si="26"/>
        <v>202601</v>
      </c>
      <c r="D875" s="35" t="s">
        <v>996</v>
      </c>
      <c r="E875" s="36" t="s">
        <v>910</v>
      </c>
      <c r="F875" s="36" t="s">
        <v>1010</v>
      </c>
      <c r="G875" s="37" t="s">
        <v>3115</v>
      </c>
      <c r="H875" s="36" t="s">
        <v>1114</v>
      </c>
      <c r="I875" s="35"/>
      <c r="J875" s="36" t="s">
        <v>914</v>
      </c>
      <c r="K875" s="33" t="s">
        <v>916</v>
      </c>
      <c r="L875" s="35" t="s">
        <v>916</v>
      </c>
      <c r="M875" s="36" t="s">
        <v>916</v>
      </c>
      <c r="N875" s="45">
        <v>46055.463888888888</v>
      </c>
      <c r="O875" s="36" t="s">
        <v>25</v>
      </c>
      <c r="P875" s="38">
        <v>1.8901388888999999</v>
      </c>
      <c r="Q875" s="39" t="s">
        <v>3116</v>
      </c>
      <c r="R875" s="35" t="s">
        <v>916</v>
      </c>
      <c r="S875" s="35"/>
      <c r="T875" s="35" t="s">
        <v>1624</v>
      </c>
      <c r="U875" s="40">
        <v>46054</v>
      </c>
      <c r="V875" s="41">
        <v>46153.532800925925</v>
      </c>
      <c r="W875" s="40">
        <v>46053</v>
      </c>
      <c r="X875" s="35" t="s">
        <v>916</v>
      </c>
      <c r="Y875" s="35" t="s">
        <v>916</v>
      </c>
      <c r="Z875" s="35" t="s">
        <v>916</v>
      </c>
      <c r="AA875" s="38">
        <v>45.363333333600004</v>
      </c>
      <c r="AB875" s="42" t="s">
        <v>916</v>
      </c>
      <c r="AC875" s="43" t="s">
        <v>916</v>
      </c>
      <c r="AD875" s="43" t="s">
        <v>916</v>
      </c>
      <c r="AE875" s="33" t="s">
        <v>916</v>
      </c>
      <c r="AF875" s="35" t="s">
        <v>916</v>
      </c>
      <c r="AG875" s="44">
        <v>491629.77</v>
      </c>
      <c r="AH875" s="42" t="s">
        <v>916</v>
      </c>
      <c r="AI875" s="32" t="e">
        <f>VLOOKUP(A875,'4月明細'!B:B,1,0)</f>
        <v>#N/A</v>
      </c>
    </row>
    <row r="876" spans="1:35" ht="19.95" customHeight="1" x14ac:dyDescent="0.3">
      <c r="A876" s="33" t="s">
        <v>291</v>
      </c>
      <c r="B876" s="34">
        <v>46053.572824074072</v>
      </c>
      <c r="C876" s="34" t="str">
        <f t="shared" si="26"/>
        <v>202601</v>
      </c>
      <c r="D876" s="35" t="s">
        <v>996</v>
      </c>
      <c r="E876" s="36" t="s">
        <v>910</v>
      </c>
      <c r="F876" s="36" t="s">
        <v>1010</v>
      </c>
      <c r="G876" s="37" t="s">
        <v>3117</v>
      </c>
      <c r="H876" s="36" t="s">
        <v>1078</v>
      </c>
      <c r="I876" s="35"/>
      <c r="J876" s="36" t="s">
        <v>914</v>
      </c>
      <c r="K876" s="33" t="s">
        <v>916</v>
      </c>
      <c r="L876" s="35" t="s">
        <v>916</v>
      </c>
      <c r="M876" s="36" t="s">
        <v>916</v>
      </c>
      <c r="N876" s="45">
        <v>46055.467361111114</v>
      </c>
      <c r="O876" s="36" t="s">
        <v>25</v>
      </c>
      <c r="P876" s="38">
        <v>1.8945370370000001</v>
      </c>
      <c r="Q876" s="39" t="s">
        <v>3118</v>
      </c>
      <c r="R876" s="35" t="s">
        <v>916</v>
      </c>
      <c r="S876" s="35"/>
      <c r="T876" s="35" t="s">
        <v>1624</v>
      </c>
      <c r="U876" s="40">
        <v>46054</v>
      </c>
      <c r="V876" s="41">
        <v>46153.532800925925</v>
      </c>
      <c r="W876" s="40">
        <v>46053</v>
      </c>
      <c r="X876" s="35" t="s">
        <v>916</v>
      </c>
      <c r="Y876" s="35" t="s">
        <v>916</v>
      </c>
      <c r="Z876" s="35" t="s">
        <v>916</v>
      </c>
      <c r="AA876" s="38">
        <v>45.468888888000002</v>
      </c>
      <c r="AB876" s="42" t="s">
        <v>916</v>
      </c>
      <c r="AC876" s="43" t="s">
        <v>916</v>
      </c>
      <c r="AD876" s="43" t="s">
        <v>916</v>
      </c>
      <c r="AE876" s="33" t="s">
        <v>916</v>
      </c>
      <c r="AF876" s="35" t="s">
        <v>916</v>
      </c>
      <c r="AG876" s="44">
        <v>491629.74777777778</v>
      </c>
      <c r="AH876" s="42" t="s">
        <v>916</v>
      </c>
      <c r="AI876" s="32" t="e">
        <f>VLOOKUP(A876,'4月明細'!B:B,1,0)</f>
        <v>#N/A</v>
      </c>
    </row>
    <row r="877" spans="1:35" ht="19.95" customHeight="1" x14ac:dyDescent="0.3">
      <c r="A877" s="33" t="s">
        <v>290</v>
      </c>
      <c r="B877" s="34">
        <v>46053.564189814817</v>
      </c>
      <c r="C877" s="34" t="str">
        <f t="shared" si="26"/>
        <v>202601</v>
      </c>
      <c r="D877" s="35" t="s">
        <v>951</v>
      </c>
      <c r="E877" s="36" t="s">
        <v>910</v>
      </c>
      <c r="F877" s="36" t="s">
        <v>1612</v>
      </c>
      <c r="G877" s="37" t="s">
        <v>3119</v>
      </c>
      <c r="H877" s="36" t="s">
        <v>928</v>
      </c>
      <c r="I877" s="35" t="s">
        <v>3120</v>
      </c>
      <c r="J877" s="36" t="s">
        <v>929</v>
      </c>
      <c r="K877" s="33" t="s">
        <v>916</v>
      </c>
      <c r="L877" s="35" t="s">
        <v>916</v>
      </c>
      <c r="M877" s="36" t="s">
        <v>916</v>
      </c>
      <c r="N877" s="45">
        <v>46055.468055555553</v>
      </c>
      <c r="O877" s="36" t="s">
        <v>25</v>
      </c>
      <c r="P877" s="38">
        <v>1.9038657406999999</v>
      </c>
      <c r="Q877" s="39" t="s">
        <v>3121</v>
      </c>
      <c r="R877" s="35" t="s">
        <v>916</v>
      </c>
      <c r="S877" s="35" t="s">
        <v>3122</v>
      </c>
      <c r="T877" s="35" t="s">
        <v>1624</v>
      </c>
      <c r="U877" s="40">
        <v>46054</v>
      </c>
      <c r="V877" s="41">
        <v>46153.532800925925</v>
      </c>
      <c r="W877" s="40">
        <v>46053</v>
      </c>
      <c r="X877" s="35" t="s">
        <v>916</v>
      </c>
      <c r="Y877" s="35" t="s">
        <v>916</v>
      </c>
      <c r="Z877" s="35" t="s">
        <v>916</v>
      </c>
      <c r="AA877" s="38">
        <v>45.6927777768</v>
      </c>
      <c r="AB877" s="42" t="s">
        <v>916</v>
      </c>
      <c r="AC877" s="43" t="s">
        <v>916</v>
      </c>
      <c r="AD877" s="43" t="s">
        <v>916</v>
      </c>
      <c r="AE877" s="33" t="s">
        <v>916</v>
      </c>
      <c r="AF877" s="35" t="s">
        <v>916</v>
      </c>
      <c r="AG877" s="44">
        <v>491629.54055555549</v>
      </c>
      <c r="AH877" s="42" t="s">
        <v>916</v>
      </c>
      <c r="AI877" s="32" t="e">
        <f>VLOOKUP(A877,'4月明細'!B:B,1,0)</f>
        <v>#N/A</v>
      </c>
    </row>
    <row r="878" spans="1:35" ht="19.95" customHeight="1" x14ac:dyDescent="0.3">
      <c r="A878" s="33" t="s">
        <v>289</v>
      </c>
      <c r="B878" s="34">
        <v>46053.523043981484</v>
      </c>
      <c r="C878" s="34" t="str">
        <f t="shared" si="26"/>
        <v>202601</v>
      </c>
      <c r="D878" s="35" t="s">
        <v>996</v>
      </c>
      <c r="E878" s="36" t="s">
        <v>910</v>
      </c>
      <c r="F878" s="36" t="s">
        <v>1572</v>
      </c>
      <c r="G878" s="37" t="s">
        <v>1096</v>
      </c>
      <c r="H878" s="36" t="s">
        <v>928</v>
      </c>
      <c r="I878" s="35"/>
      <c r="J878" s="36" t="s">
        <v>914</v>
      </c>
      <c r="K878" s="33" t="s">
        <v>916</v>
      </c>
      <c r="L878" s="35" t="s">
        <v>916</v>
      </c>
      <c r="M878" s="36" t="s">
        <v>916</v>
      </c>
      <c r="N878" s="45">
        <v>46055.466666666667</v>
      </c>
      <c r="O878" s="36" t="s">
        <v>25</v>
      </c>
      <c r="P878" s="38">
        <v>1.9436226852</v>
      </c>
      <c r="Q878" s="39" t="s">
        <v>3123</v>
      </c>
      <c r="R878" s="35" t="s">
        <v>916</v>
      </c>
      <c r="S878" s="35"/>
      <c r="T878" s="35" t="s">
        <v>1624</v>
      </c>
      <c r="U878" s="40">
        <v>46054</v>
      </c>
      <c r="V878" s="41">
        <v>46153.532800925925</v>
      </c>
      <c r="W878" s="40">
        <v>46053</v>
      </c>
      <c r="X878" s="35" t="s">
        <v>916</v>
      </c>
      <c r="Y878" s="35" t="s">
        <v>916</v>
      </c>
      <c r="Z878" s="35" t="s">
        <v>916</v>
      </c>
      <c r="AA878" s="38">
        <v>46.646944444799999</v>
      </c>
      <c r="AB878" s="42" t="s">
        <v>916</v>
      </c>
      <c r="AC878" s="43" t="s">
        <v>916</v>
      </c>
      <c r="AD878" s="43" t="s">
        <v>916</v>
      </c>
      <c r="AE878" s="33" t="s">
        <v>916</v>
      </c>
      <c r="AF878" s="35" t="s">
        <v>916</v>
      </c>
      <c r="AG878" s="44">
        <v>491628.55305555562</v>
      </c>
      <c r="AH878" s="42" t="s">
        <v>916</v>
      </c>
      <c r="AI878" s="32" t="e">
        <f>VLOOKUP(A878,'4月明細'!B:B,1,0)</f>
        <v>#N/A</v>
      </c>
    </row>
    <row r="879" spans="1:35" ht="19.95" customHeight="1" x14ac:dyDescent="0.3">
      <c r="A879" s="33" t="s">
        <v>288</v>
      </c>
      <c r="B879" s="34">
        <v>46053.480451388888</v>
      </c>
      <c r="C879" s="34" t="str">
        <f t="shared" si="26"/>
        <v>202601</v>
      </c>
      <c r="D879" s="35" t="s">
        <v>951</v>
      </c>
      <c r="E879" s="36" t="s">
        <v>910</v>
      </c>
      <c r="F879" s="36" t="s">
        <v>1093</v>
      </c>
      <c r="G879" s="37" t="s">
        <v>3124</v>
      </c>
      <c r="H879" s="36" t="s">
        <v>928</v>
      </c>
      <c r="I879" s="35"/>
      <c r="J879" s="36" t="s">
        <v>929</v>
      </c>
      <c r="K879" s="33" t="s">
        <v>916</v>
      </c>
      <c r="L879" s="35" t="s">
        <v>916</v>
      </c>
      <c r="M879" s="36" t="s">
        <v>916</v>
      </c>
      <c r="N879" s="45">
        <v>46055.463888888888</v>
      </c>
      <c r="O879" s="36" t="s">
        <v>25</v>
      </c>
      <c r="P879" s="38">
        <v>1.9834375</v>
      </c>
      <c r="Q879" s="39" t="s">
        <v>3125</v>
      </c>
      <c r="R879" s="35" t="s">
        <v>916</v>
      </c>
      <c r="S879" s="35"/>
      <c r="T879" s="35" t="s">
        <v>1624</v>
      </c>
      <c r="U879" s="40">
        <v>46054</v>
      </c>
      <c r="V879" s="41">
        <v>46153.532800925925</v>
      </c>
      <c r="W879" s="40">
        <v>46053</v>
      </c>
      <c r="X879" s="35" t="s">
        <v>916</v>
      </c>
      <c r="Y879" s="35" t="s">
        <v>916</v>
      </c>
      <c r="Z879" s="35" t="s">
        <v>916</v>
      </c>
      <c r="AA879" s="38">
        <v>47.602499999999999</v>
      </c>
      <c r="AB879" s="42" t="s">
        <v>916</v>
      </c>
      <c r="AC879" s="43" t="s">
        <v>916</v>
      </c>
      <c r="AD879" s="43" t="s">
        <v>916</v>
      </c>
      <c r="AE879" s="33" t="s">
        <v>916</v>
      </c>
      <c r="AF879" s="35" t="s">
        <v>916</v>
      </c>
      <c r="AG879" s="44">
        <v>491627.53083333332</v>
      </c>
      <c r="AH879" s="42" t="s">
        <v>916</v>
      </c>
      <c r="AI879" s="32" t="e">
        <f>VLOOKUP(A879,'4月明細'!B:B,1,0)</f>
        <v>#N/A</v>
      </c>
    </row>
    <row r="880" spans="1:35" ht="19.95" customHeight="1" x14ac:dyDescent="0.3">
      <c r="A880" s="33" t="s">
        <v>287</v>
      </c>
      <c r="B880" s="34">
        <v>46053.469189814816</v>
      </c>
      <c r="C880" s="34" t="str">
        <f t="shared" si="26"/>
        <v>202601</v>
      </c>
      <c r="D880" s="35" t="s">
        <v>996</v>
      </c>
      <c r="E880" s="36" t="s">
        <v>910</v>
      </c>
      <c r="F880" s="36" t="s">
        <v>1060</v>
      </c>
      <c r="G880" s="37" t="s">
        <v>1976</v>
      </c>
      <c r="H880" s="36" t="s">
        <v>954</v>
      </c>
      <c r="I880" s="35"/>
      <c r="J880" s="36" t="s">
        <v>929</v>
      </c>
      <c r="K880" s="33" t="s">
        <v>916</v>
      </c>
      <c r="L880" s="35" t="s">
        <v>916</v>
      </c>
      <c r="M880" s="36" t="s">
        <v>957</v>
      </c>
      <c r="N880" s="45">
        <v>46055.469444444447</v>
      </c>
      <c r="O880" s="36" t="s">
        <v>25</v>
      </c>
      <c r="P880" s="38">
        <v>2.0002546296000001</v>
      </c>
      <c r="Q880" s="39" t="s">
        <v>3126</v>
      </c>
      <c r="R880" s="35" t="s">
        <v>916</v>
      </c>
      <c r="S880" s="35" t="s">
        <v>3127</v>
      </c>
      <c r="T880" s="35" t="s">
        <v>1624</v>
      </c>
      <c r="U880" s="40">
        <v>46054</v>
      </c>
      <c r="V880" s="41">
        <v>46153.532800925925</v>
      </c>
      <c r="W880" s="40">
        <v>46053</v>
      </c>
      <c r="X880" s="35" t="s">
        <v>916</v>
      </c>
      <c r="Y880" s="35" t="s">
        <v>916</v>
      </c>
      <c r="Z880" s="35" t="s">
        <v>916</v>
      </c>
      <c r="AA880" s="38">
        <v>48.006111110399999</v>
      </c>
      <c r="AB880" s="42" t="s">
        <v>916</v>
      </c>
      <c r="AC880" s="43" t="s">
        <v>916</v>
      </c>
      <c r="AD880" s="43" t="s">
        <v>916</v>
      </c>
      <c r="AE880" s="33" t="s">
        <v>916</v>
      </c>
      <c r="AF880" s="35" t="s">
        <v>916</v>
      </c>
      <c r="AG880" s="44">
        <v>491627.26055555558</v>
      </c>
      <c r="AH880" s="42" t="s">
        <v>916</v>
      </c>
      <c r="AI880" s="32" t="e">
        <f>VLOOKUP(A880,'4月明細'!B:B,1,0)</f>
        <v>#N/A</v>
      </c>
    </row>
    <row r="881" spans="1:35" ht="19.95" customHeight="1" x14ac:dyDescent="0.3">
      <c r="A881" s="33" t="s">
        <v>286</v>
      </c>
      <c r="B881" s="34">
        <v>46053.452719907407</v>
      </c>
      <c r="C881" s="34" t="str">
        <f t="shared" si="26"/>
        <v>202601</v>
      </c>
      <c r="D881" s="35" t="s">
        <v>996</v>
      </c>
      <c r="E881" s="36" t="s">
        <v>910</v>
      </c>
      <c r="F881" s="36" t="s">
        <v>1237</v>
      </c>
      <c r="G881" s="37" t="s">
        <v>3128</v>
      </c>
      <c r="H881" s="36" t="s">
        <v>954</v>
      </c>
      <c r="I881" s="35"/>
      <c r="J881" s="36" t="s">
        <v>929</v>
      </c>
      <c r="K881" s="33" t="s">
        <v>916</v>
      </c>
      <c r="L881" s="35" t="s">
        <v>916</v>
      </c>
      <c r="M881" s="36" t="s">
        <v>957</v>
      </c>
      <c r="N881" s="45">
        <v>46055.470138888886</v>
      </c>
      <c r="O881" s="36" t="s">
        <v>25</v>
      </c>
      <c r="P881" s="38">
        <v>2.0174189815000001</v>
      </c>
      <c r="Q881" s="39" t="s">
        <v>3129</v>
      </c>
      <c r="R881" s="35" t="s">
        <v>916</v>
      </c>
      <c r="S881" s="35"/>
      <c r="T881" s="35" t="s">
        <v>1624</v>
      </c>
      <c r="U881" s="40">
        <v>46054</v>
      </c>
      <c r="V881" s="41">
        <v>46153.532800925925</v>
      </c>
      <c r="W881" s="40">
        <v>46053</v>
      </c>
      <c r="X881" s="35" t="s">
        <v>916</v>
      </c>
      <c r="Y881" s="35" t="s">
        <v>916</v>
      </c>
      <c r="Z881" s="35" t="s">
        <v>916</v>
      </c>
      <c r="AA881" s="38">
        <v>48.418055555999999</v>
      </c>
      <c r="AB881" s="42" t="s">
        <v>916</v>
      </c>
      <c r="AC881" s="43" t="s">
        <v>916</v>
      </c>
      <c r="AD881" s="43" t="s">
        <v>916</v>
      </c>
      <c r="AE881" s="33" t="s">
        <v>916</v>
      </c>
      <c r="AF881" s="35" t="s">
        <v>916</v>
      </c>
      <c r="AG881" s="44">
        <v>491626.86527777778</v>
      </c>
      <c r="AH881" s="42" t="s">
        <v>916</v>
      </c>
      <c r="AI881" s="32" t="e">
        <f>VLOOKUP(A881,'4月明細'!B:B,1,0)</f>
        <v>#N/A</v>
      </c>
    </row>
    <row r="882" spans="1:35" ht="19.95" customHeight="1" x14ac:dyDescent="0.3">
      <c r="A882" s="33" t="s">
        <v>285</v>
      </c>
      <c r="B882" s="34">
        <v>46052.881631944445</v>
      </c>
      <c r="C882" s="34" t="str">
        <f t="shared" si="26"/>
        <v>202601</v>
      </c>
      <c r="D882" s="35" t="s">
        <v>1829</v>
      </c>
      <c r="E882" s="36" t="s">
        <v>1112</v>
      </c>
      <c r="F882" s="36" t="s">
        <v>1260</v>
      </c>
      <c r="G882" s="37" t="s">
        <v>3130</v>
      </c>
      <c r="H882" s="36" t="s">
        <v>954</v>
      </c>
      <c r="I882" s="35"/>
      <c r="J882" s="36" t="s">
        <v>945</v>
      </c>
      <c r="K882" s="33" t="s">
        <v>916</v>
      </c>
      <c r="L882" s="35" t="s">
        <v>916</v>
      </c>
      <c r="M882" s="36" t="s">
        <v>916</v>
      </c>
      <c r="N882" s="45">
        <v>46057.561805555553</v>
      </c>
      <c r="O882" s="36" t="s">
        <v>25</v>
      </c>
      <c r="P882" s="38">
        <v>4.6801736110999999</v>
      </c>
      <c r="Q882" s="39" t="s">
        <v>3131</v>
      </c>
      <c r="R882" s="35" t="s">
        <v>916</v>
      </c>
      <c r="S882" s="35"/>
      <c r="T882" s="35" t="s">
        <v>1624</v>
      </c>
      <c r="U882" s="40">
        <v>46053</v>
      </c>
      <c r="V882" s="41">
        <v>46153.532800925925</v>
      </c>
      <c r="W882" s="40">
        <v>46053</v>
      </c>
      <c r="X882" s="35" t="s">
        <v>916</v>
      </c>
      <c r="Y882" s="35" t="s">
        <v>916</v>
      </c>
      <c r="Z882" s="35" t="s">
        <v>916</v>
      </c>
      <c r="AA882" s="38">
        <v>112.3241666664</v>
      </c>
      <c r="AB882" s="42" t="s">
        <v>916</v>
      </c>
      <c r="AC882" s="43" t="s">
        <v>916</v>
      </c>
      <c r="AD882" s="43" t="s">
        <v>916</v>
      </c>
      <c r="AE882" s="33" t="s">
        <v>916</v>
      </c>
      <c r="AF882" s="35" t="s">
        <v>916</v>
      </c>
      <c r="AG882" s="44">
        <v>491613.15916666668</v>
      </c>
      <c r="AH882" s="42" t="s">
        <v>916</v>
      </c>
      <c r="AI882" s="32" t="e">
        <f>VLOOKUP(A882,'4月明細'!B:B,1,0)</f>
        <v>#N/A</v>
      </c>
    </row>
    <row r="883" spans="1:35" ht="19.95" customHeight="1" x14ac:dyDescent="0.3">
      <c r="A883" s="33" t="s">
        <v>284</v>
      </c>
      <c r="B883" s="34">
        <v>46052.86173611111</v>
      </c>
      <c r="C883" s="34" t="str">
        <f t="shared" si="26"/>
        <v>202601</v>
      </c>
      <c r="D883" s="35" t="s">
        <v>1747</v>
      </c>
      <c r="E883" s="36" t="s">
        <v>942</v>
      </c>
      <c r="F883" s="36" t="s">
        <v>1229</v>
      </c>
      <c r="G883" s="37" t="s">
        <v>3132</v>
      </c>
      <c r="H883" s="36" t="s">
        <v>1023</v>
      </c>
      <c r="I883" s="35"/>
      <c r="J883" s="36" t="s">
        <v>945</v>
      </c>
      <c r="K883" s="33" t="s">
        <v>916</v>
      </c>
      <c r="L883" s="35" t="s">
        <v>916</v>
      </c>
      <c r="M883" s="36" t="s">
        <v>916</v>
      </c>
      <c r="N883" s="45">
        <v>46055.464583333334</v>
      </c>
      <c r="O883" s="36" t="s">
        <v>25</v>
      </c>
      <c r="P883" s="38">
        <v>2.6028472221999999</v>
      </c>
      <c r="Q883" s="39" t="s">
        <v>3133</v>
      </c>
      <c r="R883" s="35" t="s">
        <v>916</v>
      </c>
      <c r="S883" s="35" t="s">
        <v>3134</v>
      </c>
      <c r="T883" s="35" t="s">
        <v>1624</v>
      </c>
      <c r="U883" s="40">
        <v>46053</v>
      </c>
      <c r="V883" s="41">
        <v>46153.532800925925</v>
      </c>
      <c r="W883" s="40">
        <v>46053</v>
      </c>
      <c r="X883" s="35" t="s">
        <v>916</v>
      </c>
      <c r="Y883" s="35" t="s">
        <v>916</v>
      </c>
      <c r="Z883" s="35" t="s">
        <v>916</v>
      </c>
      <c r="AA883" s="38">
        <v>62.4683333328</v>
      </c>
      <c r="AB883" s="42" t="s">
        <v>916</v>
      </c>
      <c r="AC883" s="43" t="s">
        <v>916</v>
      </c>
      <c r="AD883" s="43" t="s">
        <v>916</v>
      </c>
      <c r="AE883" s="33" t="s">
        <v>916</v>
      </c>
      <c r="AF883" s="35" t="s">
        <v>916</v>
      </c>
      <c r="AG883" s="44">
        <v>491612.68166666682</v>
      </c>
      <c r="AH883" s="42" t="s">
        <v>916</v>
      </c>
      <c r="AI883" s="32" t="e">
        <f>VLOOKUP(A883,'4月明細'!B:B,1,0)</f>
        <v>#N/A</v>
      </c>
    </row>
    <row r="884" spans="1:35" ht="19.95" customHeight="1" x14ac:dyDescent="0.3">
      <c r="A884" s="33" t="s">
        <v>499</v>
      </c>
      <c r="B884" s="34">
        <v>46052.763506944444</v>
      </c>
      <c r="C884" s="34" t="str">
        <f t="shared" si="26"/>
        <v>202601</v>
      </c>
      <c r="D884" s="35" t="s">
        <v>2278</v>
      </c>
      <c r="E884" s="36" t="s">
        <v>910</v>
      </c>
      <c r="F884" s="36" t="s">
        <v>1938</v>
      </c>
      <c r="G884" s="37" t="s">
        <v>3135</v>
      </c>
      <c r="H884" s="36" t="s">
        <v>928</v>
      </c>
      <c r="I884" s="35"/>
      <c r="J884" s="36" t="s">
        <v>929</v>
      </c>
      <c r="K884" s="33" t="s">
        <v>916</v>
      </c>
      <c r="L884" s="35" t="s">
        <v>916</v>
      </c>
      <c r="M884" s="36" t="s">
        <v>1135</v>
      </c>
      <c r="N884" s="45">
        <v>46098.674305555556</v>
      </c>
      <c r="O884" s="36" t="s">
        <v>25</v>
      </c>
      <c r="P884" s="38">
        <v>45.910798611099999</v>
      </c>
      <c r="Q884" s="39" t="s">
        <v>2171</v>
      </c>
      <c r="R884" s="35" t="s">
        <v>916</v>
      </c>
      <c r="S884" s="35"/>
      <c r="T884" s="35" t="s">
        <v>1624</v>
      </c>
      <c r="U884" s="40">
        <v>46053</v>
      </c>
      <c r="V884" s="41">
        <v>46153.532800925925</v>
      </c>
      <c r="W884" s="40">
        <v>46052</v>
      </c>
      <c r="X884" s="35" t="s">
        <v>916</v>
      </c>
      <c r="Y884" s="35" t="s">
        <v>916</v>
      </c>
      <c r="Z884" s="35" t="s">
        <v>916</v>
      </c>
      <c r="AA884" s="38">
        <v>1101.8591666663999</v>
      </c>
      <c r="AB884" s="42" t="s">
        <v>916</v>
      </c>
      <c r="AC884" s="43" t="s">
        <v>916</v>
      </c>
      <c r="AD884" s="43" t="s">
        <v>916</v>
      </c>
      <c r="AE884" s="33" t="s">
        <v>916</v>
      </c>
      <c r="AF884" s="35" t="s">
        <v>916</v>
      </c>
      <c r="AG884" s="44">
        <v>491610.32416666672</v>
      </c>
      <c r="AH884" s="42" t="s">
        <v>916</v>
      </c>
      <c r="AI884" s="32" t="e">
        <f>VLOOKUP(A884,'4月明細'!B:B,1,0)</f>
        <v>#N/A</v>
      </c>
    </row>
    <row r="885" spans="1:35" ht="19.95" customHeight="1" x14ac:dyDescent="0.3">
      <c r="A885" s="33" t="s">
        <v>283</v>
      </c>
      <c r="B885" s="34">
        <v>46052.762303240743</v>
      </c>
      <c r="C885" s="34" t="str">
        <f t="shared" si="26"/>
        <v>202601</v>
      </c>
      <c r="D885" s="35" t="s">
        <v>2278</v>
      </c>
      <c r="E885" s="36" t="s">
        <v>910</v>
      </c>
      <c r="F885" s="36" t="s">
        <v>1546</v>
      </c>
      <c r="G885" s="37" t="s">
        <v>3136</v>
      </c>
      <c r="H885" s="36" t="s">
        <v>913</v>
      </c>
      <c r="I885" s="35"/>
      <c r="J885" s="36" t="s">
        <v>929</v>
      </c>
      <c r="K885" s="33" t="s">
        <v>916</v>
      </c>
      <c r="L885" s="35" t="s">
        <v>916</v>
      </c>
      <c r="M885" s="36" t="s">
        <v>916</v>
      </c>
      <c r="N885" s="45">
        <v>46055.459722222222</v>
      </c>
      <c r="O885" s="36" t="s">
        <v>25</v>
      </c>
      <c r="P885" s="38">
        <v>2.6974189814999998</v>
      </c>
      <c r="Q885" s="39" t="s">
        <v>3137</v>
      </c>
      <c r="R885" s="35" t="s">
        <v>916</v>
      </c>
      <c r="S885" s="35"/>
      <c r="T885" s="35" t="s">
        <v>1624</v>
      </c>
      <c r="U885" s="40">
        <v>46053</v>
      </c>
      <c r="V885" s="41">
        <v>46153.532800925925</v>
      </c>
      <c r="W885" s="40">
        <v>46052</v>
      </c>
      <c r="X885" s="35" t="s">
        <v>916</v>
      </c>
      <c r="Y885" s="35" t="s">
        <v>916</v>
      </c>
      <c r="Z885" s="35" t="s">
        <v>916</v>
      </c>
      <c r="AA885" s="38">
        <v>64.738055556000006</v>
      </c>
      <c r="AB885" s="42" t="s">
        <v>916</v>
      </c>
      <c r="AC885" s="43" t="s">
        <v>916</v>
      </c>
      <c r="AD885" s="43" t="s">
        <v>916</v>
      </c>
      <c r="AE885" s="33" t="s">
        <v>916</v>
      </c>
      <c r="AF885" s="35" t="s">
        <v>916</v>
      </c>
      <c r="AG885" s="44">
        <v>491610.29527777783</v>
      </c>
      <c r="AH885" s="42" t="s">
        <v>916</v>
      </c>
      <c r="AI885" s="32" t="e">
        <f>VLOOKUP(A885,'4月明細'!B:B,1,0)</f>
        <v>#N/A</v>
      </c>
    </row>
    <row r="886" spans="1:35" ht="19.95" customHeight="1" x14ac:dyDescent="0.3">
      <c r="A886" s="33" t="s">
        <v>282</v>
      </c>
      <c r="B886" s="34">
        <v>46052.761134259257</v>
      </c>
      <c r="C886" s="34" t="str">
        <f t="shared" si="26"/>
        <v>202601</v>
      </c>
      <c r="D886" s="35" t="s">
        <v>2278</v>
      </c>
      <c r="E886" s="36" t="s">
        <v>910</v>
      </c>
      <c r="F886" s="36" t="s">
        <v>1203</v>
      </c>
      <c r="G886" s="37" t="s">
        <v>3136</v>
      </c>
      <c r="H886" s="36" t="s">
        <v>913</v>
      </c>
      <c r="I886" s="35"/>
      <c r="J886" s="36" t="s">
        <v>929</v>
      </c>
      <c r="K886" s="33" t="s">
        <v>916</v>
      </c>
      <c r="L886" s="35" t="s">
        <v>916</v>
      </c>
      <c r="M886" s="36" t="s">
        <v>916</v>
      </c>
      <c r="N886" s="45">
        <v>46055.459722222222</v>
      </c>
      <c r="O886" s="36" t="s">
        <v>25</v>
      </c>
      <c r="P886" s="38">
        <v>2.698587963</v>
      </c>
      <c r="Q886" s="39" t="s">
        <v>3137</v>
      </c>
      <c r="R886" s="35" t="s">
        <v>916</v>
      </c>
      <c r="S886" s="35"/>
      <c r="T886" s="35" t="s">
        <v>1624</v>
      </c>
      <c r="U886" s="40">
        <v>46053</v>
      </c>
      <c r="V886" s="41">
        <v>46153.532800925925</v>
      </c>
      <c r="W886" s="40">
        <v>46052</v>
      </c>
      <c r="X886" s="35" t="s">
        <v>916</v>
      </c>
      <c r="Y886" s="35" t="s">
        <v>916</v>
      </c>
      <c r="Z886" s="35" t="s">
        <v>916</v>
      </c>
      <c r="AA886" s="38">
        <v>64.766111112000004</v>
      </c>
      <c r="AB886" s="42" t="s">
        <v>916</v>
      </c>
      <c r="AC886" s="43" t="s">
        <v>916</v>
      </c>
      <c r="AD886" s="43" t="s">
        <v>916</v>
      </c>
      <c r="AE886" s="33" t="s">
        <v>916</v>
      </c>
      <c r="AF886" s="35" t="s">
        <v>916</v>
      </c>
      <c r="AG886" s="44">
        <v>491610.26722222229</v>
      </c>
      <c r="AH886" s="42" t="s">
        <v>916</v>
      </c>
      <c r="AI886" s="32" t="e">
        <f>VLOOKUP(A886,'4月明細'!B:B,1,0)</f>
        <v>#N/A</v>
      </c>
    </row>
    <row r="887" spans="1:35" ht="19.95" customHeight="1" x14ac:dyDescent="0.3">
      <c r="A887" s="33" t="s">
        <v>281</v>
      </c>
      <c r="B887" s="34">
        <v>46052.76053240741</v>
      </c>
      <c r="C887" s="34" t="str">
        <f t="shared" si="26"/>
        <v>202601</v>
      </c>
      <c r="D887" s="35" t="s">
        <v>2278</v>
      </c>
      <c r="E887" s="36" t="s">
        <v>910</v>
      </c>
      <c r="F887" s="36" t="s">
        <v>1748</v>
      </c>
      <c r="G887" s="37" t="s">
        <v>3138</v>
      </c>
      <c r="H887" s="36" t="s">
        <v>913</v>
      </c>
      <c r="I887" s="35"/>
      <c r="J887" s="36" t="s">
        <v>929</v>
      </c>
      <c r="K887" s="33" t="s">
        <v>916</v>
      </c>
      <c r="L887" s="35" t="s">
        <v>916</v>
      </c>
      <c r="M887" s="36" t="s">
        <v>1039</v>
      </c>
      <c r="N887" s="45">
        <v>46055.456250000003</v>
      </c>
      <c r="O887" s="36" t="s">
        <v>25</v>
      </c>
      <c r="P887" s="38">
        <v>2.6957175925999999</v>
      </c>
      <c r="Q887" s="39" t="s">
        <v>3139</v>
      </c>
      <c r="R887" s="35" t="s">
        <v>916</v>
      </c>
      <c r="S887" s="35" t="s">
        <v>3140</v>
      </c>
      <c r="T887" s="35" t="s">
        <v>1624</v>
      </c>
      <c r="U887" s="40">
        <v>46053</v>
      </c>
      <c r="V887" s="41">
        <v>46153.532812500001</v>
      </c>
      <c r="W887" s="40">
        <v>46052</v>
      </c>
      <c r="X887" s="35" t="s">
        <v>916</v>
      </c>
      <c r="Y887" s="35" t="s">
        <v>916</v>
      </c>
      <c r="Z887" s="35" t="s">
        <v>916</v>
      </c>
      <c r="AA887" s="38">
        <v>64.697222222400001</v>
      </c>
      <c r="AB887" s="42" t="s">
        <v>916</v>
      </c>
      <c r="AC887" s="43" t="s">
        <v>916</v>
      </c>
      <c r="AD887" s="43" t="s">
        <v>916</v>
      </c>
      <c r="AE887" s="33" t="s">
        <v>916</v>
      </c>
      <c r="AF887" s="35" t="s">
        <v>916</v>
      </c>
      <c r="AG887" s="44">
        <v>491610.25277777773</v>
      </c>
      <c r="AH887" s="42" t="s">
        <v>916</v>
      </c>
      <c r="AI887" s="32" t="e">
        <f>VLOOKUP(A887,'4月明細'!B:B,1,0)</f>
        <v>#N/A</v>
      </c>
    </row>
    <row r="888" spans="1:35" ht="19.95" customHeight="1" x14ac:dyDescent="0.3">
      <c r="A888" s="33" t="s">
        <v>264</v>
      </c>
      <c r="B888" s="34">
        <v>46052.709618055553</v>
      </c>
      <c r="C888" s="34" t="str">
        <f t="shared" si="26"/>
        <v>202601</v>
      </c>
      <c r="D888" s="35" t="s">
        <v>1747</v>
      </c>
      <c r="E888" s="36" t="s">
        <v>942</v>
      </c>
      <c r="F888" s="36" t="s">
        <v>1572</v>
      </c>
      <c r="G888" s="37" t="s">
        <v>3141</v>
      </c>
      <c r="H888" s="36" t="s">
        <v>954</v>
      </c>
      <c r="I888" s="35"/>
      <c r="J888" s="36" t="s">
        <v>945</v>
      </c>
      <c r="K888" s="33" t="s">
        <v>916</v>
      </c>
      <c r="L888" s="35" t="s">
        <v>916</v>
      </c>
      <c r="M888" s="36" t="s">
        <v>916</v>
      </c>
      <c r="N888" s="45">
        <v>46052.852083333331</v>
      </c>
      <c r="O888" s="36" t="s">
        <v>25</v>
      </c>
      <c r="P888" s="38">
        <v>0.14246527780000001</v>
      </c>
      <c r="Q888" s="39" t="s">
        <v>3142</v>
      </c>
      <c r="R888" s="35" t="s">
        <v>916</v>
      </c>
      <c r="S888" s="35"/>
      <c r="T888" s="35" t="s">
        <v>1701</v>
      </c>
      <c r="U888" s="40">
        <v>46053</v>
      </c>
      <c r="V888" s="41">
        <v>46153.532812500001</v>
      </c>
      <c r="W888" s="40">
        <v>46052</v>
      </c>
      <c r="X888" s="35" t="s">
        <v>916</v>
      </c>
      <c r="Y888" s="35" t="s">
        <v>916</v>
      </c>
      <c r="Z888" s="35" t="s">
        <v>916</v>
      </c>
      <c r="AA888" s="38">
        <v>3.4191666671999998</v>
      </c>
      <c r="AB888" s="42" t="s">
        <v>916</v>
      </c>
      <c r="AC888" s="43" t="s">
        <v>916</v>
      </c>
      <c r="AD888" s="43" t="s">
        <v>916</v>
      </c>
      <c r="AE888" s="33" t="s">
        <v>916</v>
      </c>
      <c r="AF888" s="35" t="s">
        <v>916</v>
      </c>
      <c r="AG888" s="44">
        <v>491609.03083333338</v>
      </c>
      <c r="AH888" s="42" t="s">
        <v>916</v>
      </c>
      <c r="AI888" s="32" t="e">
        <f>VLOOKUP(A888,'4月明細'!B:B,1,0)</f>
        <v>#N/A</v>
      </c>
    </row>
    <row r="889" spans="1:35" ht="19.95" customHeight="1" x14ac:dyDescent="0.3">
      <c r="A889" s="33" t="s">
        <v>263</v>
      </c>
      <c r="B889" s="34">
        <v>46052.703611111108</v>
      </c>
      <c r="C889" s="34" t="str">
        <f t="shared" si="26"/>
        <v>202601</v>
      </c>
      <c r="D889" s="35" t="s">
        <v>951</v>
      </c>
      <c r="E889" s="36" t="s">
        <v>910</v>
      </c>
      <c r="F889" s="36" t="s">
        <v>1975</v>
      </c>
      <c r="G889" s="37" t="s">
        <v>3143</v>
      </c>
      <c r="H889" s="36" t="s">
        <v>1023</v>
      </c>
      <c r="I889" s="35" t="s">
        <v>3144</v>
      </c>
      <c r="J889" s="36" t="s">
        <v>929</v>
      </c>
      <c r="K889" s="33" t="s">
        <v>916</v>
      </c>
      <c r="L889" s="35" t="s">
        <v>916</v>
      </c>
      <c r="M889" s="36" t="s">
        <v>916</v>
      </c>
      <c r="N889" s="45">
        <v>46052.830555555556</v>
      </c>
      <c r="O889" s="36" t="s">
        <v>25</v>
      </c>
      <c r="P889" s="38">
        <v>0.12694444439999999</v>
      </c>
      <c r="Q889" s="39" t="s">
        <v>3145</v>
      </c>
      <c r="R889" s="35" t="s">
        <v>916</v>
      </c>
      <c r="S889" s="35" t="s">
        <v>3146</v>
      </c>
      <c r="T889" s="35" t="s">
        <v>1701</v>
      </c>
      <c r="U889" s="40">
        <v>46053</v>
      </c>
      <c r="V889" s="41">
        <v>46153.532812500001</v>
      </c>
      <c r="W889" s="40">
        <v>46052</v>
      </c>
      <c r="X889" s="35" t="s">
        <v>916</v>
      </c>
      <c r="Y889" s="35" t="s">
        <v>916</v>
      </c>
      <c r="Z889" s="35" t="s">
        <v>916</v>
      </c>
      <c r="AA889" s="38">
        <v>3.0466666656000001</v>
      </c>
      <c r="AB889" s="42" t="s">
        <v>916</v>
      </c>
      <c r="AC889" s="43" t="s">
        <v>916</v>
      </c>
      <c r="AD889" s="43" t="s">
        <v>916</v>
      </c>
      <c r="AE889" s="33" t="s">
        <v>916</v>
      </c>
      <c r="AF889" s="35" t="s">
        <v>916</v>
      </c>
      <c r="AG889" s="44">
        <v>491608.88666666672</v>
      </c>
      <c r="AH889" s="42" t="s">
        <v>916</v>
      </c>
      <c r="AI889" s="32" t="e">
        <f>VLOOKUP(A889,'4月明細'!B:B,1,0)</f>
        <v>#N/A</v>
      </c>
    </row>
    <row r="890" spans="1:35" ht="19.95" customHeight="1" x14ac:dyDescent="0.3">
      <c r="A890" s="33" t="s">
        <v>262</v>
      </c>
      <c r="B890" s="34">
        <v>46052.685914351852</v>
      </c>
      <c r="C890" s="34" t="str">
        <f t="shared" si="26"/>
        <v>202601</v>
      </c>
      <c r="D890" s="35" t="s">
        <v>2278</v>
      </c>
      <c r="E890" s="36" t="s">
        <v>910</v>
      </c>
      <c r="F890" s="36" t="s">
        <v>1010</v>
      </c>
      <c r="G890" s="37" t="s">
        <v>3147</v>
      </c>
      <c r="H890" s="36" t="s">
        <v>1078</v>
      </c>
      <c r="I890" s="35"/>
      <c r="J890" s="36" t="s">
        <v>929</v>
      </c>
      <c r="K890" s="33" t="s">
        <v>916</v>
      </c>
      <c r="L890" s="35" t="s">
        <v>916</v>
      </c>
      <c r="M890" s="36" t="s">
        <v>916</v>
      </c>
      <c r="N890" s="45">
        <v>46052.852083333331</v>
      </c>
      <c r="O890" s="36" t="s">
        <v>25</v>
      </c>
      <c r="P890" s="38">
        <v>0.16616898150000001</v>
      </c>
      <c r="Q890" s="39" t="s">
        <v>3148</v>
      </c>
      <c r="R890" s="35" t="s">
        <v>916</v>
      </c>
      <c r="S890" s="35"/>
      <c r="T890" s="35" t="s">
        <v>1701</v>
      </c>
      <c r="U890" s="40">
        <v>46053</v>
      </c>
      <c r="V890" s="41">
        <v>46153.532812500001</v>
      </c>
      <c r="W890" s="40">
        <v>46052</v>
      </c>
      <c r="X890" s="35" t="s">
        <v>916</v>
      </c>
      <c r="Y890" s="35" t="s">
        <v>916</v>
      </c>
      <c r="Z890" s="35" t="s">
        <v>916</v>
      </c>
      <c r="AA890" s="38">
        <v>3.9880555559999999</v>
      </c>
      <c r="AB890" s="42" t="s">
        <v>916</v>
      </c>
      <c r="AC890" s="43" t="s">
        <v>916</v>
      </c>
      <c r="AD890" s="43" t="s">
        <v>916</v>
      </c>
      <c r="AE890" s="33" t="s">
        <v>916</v>
      </c>
      <c r="AF890" s="35" t="s">
        <v>916</v>
      </c>
      <c r="AG890" s="44">
        <v>491608.46194444451</v>
      </c>
      <c r="AH890" s="42" t="s">
        <v>916</v>
      </c>
      <c r="AI890" s="32" t="e">
        <f>VLOOKUP(A890,'4月明細'!B:B,1,0)</f>
        <v>#N/A</v>
      </c>
    </row>
    <row r="891" spans="1:35" ht="19.95" customHeight="1" x14ac:dyDescent="0.3">
      <c r="A891" s="33" t="s">
        <v>277</v>
      </c>
      <c r="B891" s="34">
        <v>46044.756018518521</v>
      </c>
      <c r="C891" s="34" t="str">
        <f t="shared" si="26"/>
        <v>202601</v>
      </c>
      <c r="D891" s="35" t="s">
        <v>2278</v>
      </c>
      <c r="E891" s="36" t="s">
        <v>910</v>
      </c>
      <c r="F891" s="36" t="s">
        <v>3149</v>
      </c>
      <c r="G891" s="37" t="s">
        <v>3150</v>
      </c>
      <c r="H891" s="36" t="s">
        <v>954</v>
      </c>
      <c r="I891" s="35"/>
      <c r="J891" s="36" t="s">
        <v>929</v>
      </c>
      <c r="K891" s="33" t="s">
        <v>916</v>
      </c>
      <c r="L891" s="35" t="s">
        <v>916</v>
      </c>
      <c r="M891" s="36" t="s">
        <v>957</v>
      </c>
      <c r="N891" s="45">
        <v>46057.72152777778</v>
      </c>
      <c r="O891" s="36" t="s">
        <v>25</v>
      </c>
      <c r="P891" s="38">
        <v>12.965509259299999</v>
      </c>
      <c r="Q891" s="39" t="s">
        <v>3151</v>
      </c>
      <c r="R891" s="35" t="s">
        <v>916</v>
      </c>
      <c r="S891" s="35"/>
      <c r="T891" s="35" t="s">
        <v>1624</v>
      </c>
      <c r="U891" s="40">
        <v>46045</v>
      </c>
      <c r="V891" s="41">
        <v>46153.532812500001</v>
      </c>
      <c r="W891" s="40">
        <v>46044</v>
      </c>
      <c r="X891" s="35" t="s">
        <v>916</v>
      </c>
      <c r="Y891" s="35" t="s">
        <v>916</v>
      </c>
      <c r="Z891" s="35" t="s">
        <v>916</v>
      </c>
      <c r="AA891" s="38">
        <v>311.17222222319998</v>
      </c>
      <c r="AB891" s="42" t="s">
        <v>916</v>
      </c>
      <c r="AC891" s="43" t="s">
        <v>916</v>
      </c>
      <c r="AD891" s="43" t="s">
        <v>916</v>
      </c>
      <c r="AE891" s="33" t="s">
        <v>916</v>
      </c>
      <c r="AF891" s="35" t="s">
        <v>916</v>
      </c>
      <c r="AG891" s="44">
        <v>491418.14444444439</v>
      </c>
      <c r="AH891" s="42" t="s">
        <v>916</v>
      </c>
      <c r="AI891" s="32" t="e">
        <f>VLOOKUP(A891,'4月明細'!B:B,1,0)</f>
        <v>#N/A</v>
      </c>
    </row>
    <row r="892" spans="1:35" ht="19.95" customHeight="1" x14ac:dyDescent="0.3">
      <c r="A892" s="33" t="s">
        <v>280</v>
      </c>
      <c r="B892" s="34">
        <v>46052.574999999997</v>
      </c>
      <c r="C892" s="34" t="str">
        <f t="shared" si="26"/>
        <v>202601</v>
      </c>
      <c r="D892" s="35" t="s">
        <v>1653</v>
      </c>
      <c r="E892" s="36" t="s">
        <v>934</v>
      </c>
      <c r="F892" s="36" t="s">
        <v>1183</v>
      </c>
      <c r="G892" s="37" t="s">
        <v>3152</v>
      </c>
      <c r="H892" s="36" t="s">
        <v>954</v>
      </c>
      <c r="I892" s="35" t="s">
        <v>3153</v>
      </c>
      <c r="J892" s="36" t="s">
        <v>938</v>
      </c>
      <c r="K892" s="33" t="s">
        <v>916</v>
      </c>
      <c r="L892" s="35" t="s">
        <v>916</v>
      </c>
      <c r="M892" s="36" t="s">
        <v>916</v>
      </c>
      <c r="N892" s="45">
        <v>46055.431944444441</v>
      </c>
      <c r="O892" s="36" t="s">
        <v>25</v>
      </c>
      <c r="P892" s="38">
        <v>2.8569444443999998</v>
      </c>
      <c r="Q892" s="39" t="s">
        <v>3154</v>
      </c>
      <c r="R892" s="35" t="s">
        <v>916</v>
      </c>
      <c r="S892" s="35" t="s">
        <v>3155</v>
      </c>
      <c r="T892" s="35" t="s">
        <v>1624</v>
      </c>
      <c r="U892" s="40">
        <v>46053</v>
      </c>
      <c r="V892" s="41">
        <v>46153.532812500001</v>
      </c>
      <c r="W892" s="40">
        <v>46052</v>
      </c>
      <c r="X892" s="35" t="s">
        <v>916</v>
      </c>
      <c r="Y892" s="35" t="s">
        <v>916</v>
      </c>
      <c r="Z892" s="35" t="s">
        <v>916</v>
      </c>
      <c r="AA892" s="38">
        <v>68.566666665599996</v>
      </c>
      <c r="AB892" s="42" t="s">
        <v>916</v>
      </c>
      <c r="AC892" s="43" t="s">
        <v>916</v>
      </c>
      <c r="AD892" s="43" t="s">
        <v>916</v>
      </c>
      <c r="AE892" s="33" t="s">
        <v>916</v>
      </c>
      <c r="AF892" s="35" t="s">
        <v>916</v>
      </c>
      <c r="AG892" s="44">
        <v>491674.3666666667</v>
      </c>
      <c r="AH892" s="42" t="s">
        <v>916</v>
      </c>
      <c r="AI892" s="32" t="e">
        <f>VLOOKUP(A892,'4月明細'!B:B,1,0)</f>
        <v>#N/A</v>
      </c>
    </row>
    <row r="893" spans="1:35" ht="19.95" customHeight="1" x14ac:dyDescent="0.3">
      <c r="A893" s="33" t="s">
        <v>279</v>
      </c>
      <c r="B893" s="34">
        <v>46052.572222222225</v>
      </c>
      <c r="C893" s="34" t="str">
        <f t="shared" si="26"/>
        <v>202601</v>
      </c>
      <c r="D893" s="35" t="s">
        <v>1653</v>
      </c>
      <c r="E893" s="36" t="s">
        <v>934</v>
      </c>
      <c r="F893" s="36" t="s">
        <v>1183</v>
      </c>
      <c r="G893" s="37" t="s">
        <v>3156</v>
      </c>
      <c r="H893" s="36" t="s">
        <v>928</v>
      </c>
      <c r="I893" s="35" t="s">
        <v>3157</v>
      </c>
      <c r="J893" s="36" t="s">
        <v>929</v>
      </c>
      <c r="K893" s="33" t="s">
        <v>916</v>
      </c>
      <c r="L893" s="35" t="s">
        <v>916</v>
      </c>
      <c r="M893" s="36" t="s">
        <v>916</v>
      </c>
      <c r="N893" s="45">
        <v>46055.668055555558</v>
      </c>
      <c r="O893" s="36" t="s">
        <v>25</v>
      </c>
      <c r="P893" s="38">
        <v>3.0958333332999999</v>
      </c>
      <c r="Q893" s="39" t="s">
        <v>3158</v>
      </c>
      <c r="R893" s="35" t="s">
        <v>916</v>
      </c>
      <c r="S893" s="35" t="s">
        <v>3159</v>
      </c>
      <c r="T893" s="35" t="s">
        <v>1624</v>
      </c>
      <c r="U893" s="40">
        <v>46053</v>
      </c>
      <c r="V893" s="41">
        <v>46153.532812500001</v>
      </c>
      <c r="W893" s="40">
        <v>46052</v>
      </c>
      <c r="X893" s="35" t="s">
        <v>916</v>
      </c>
      <c r="Y893" s="35" t="s">
        <v>916</v>
      </c>
      <c r="Z893" s="35" t="s">
        <v>916</v>
      </c>
      <c r="AA893" s="38">
        <v>74.299999999199997</v>
      </c>
      <c r="AB893" s="42" t="s">
        <v>916</v>
      </c>
      <c r="AC893" s="43" t="s">
        <v>916</v>
      </c>
      <c r="AD893" s="43" t="s">
        <v>916</v>
      </c>
      <c r="AE893" s="33" t="s">
        <v>916</v>
      </c>
      <c r="AF893" s="35" t="s">
        <v>916</v>
      </c>
      <c r="AG893" s="44">
        <v>491680.05</v>
      </c>
      <c r="AH893" s="42" t="s">
        <v>916</v>
      </c>
      <c r="AI893" s="32" t="e">
        <f>VLOOKUP(A893,'4月明細'!B:B,1,0)</f>
        <v>#N/A</v>
      </c>
    </row>
    <row r="894" spans="1:35" ht="19.95" customHeight="1" x14ac:dyDescent="0.3">
      <c r="A894" s="33" t="s">
        <v>261</v>
      </c>
      <c r="B894" s="34">
        <v>46052.554861111108</v>
      </c>
      <c r="C894" s="34" t="str">
        <f t="shared" si="26"/>
        <v>202601</v>
      </c>
      <c r="D894" s="35" t="s">
        <v>1653</v>
      </c>
      <c r="E894" s="36" t="s">
        <v>934</v>
      </c>
      <c r="F894" s="36" t="s">
        <v>2327</v>
      </c>
      <c r="G894" s="37" t="s">
        <v>3160</v>
      </c>
      <c r="H894" s="36" t="s">
        <v>928</v>
      </c>
      <c r="I894" s="35" t="s">
        <v>3161</v>
      </c>
      <c r="J894" s="36" t="s">
        <v>929</v>
      </c>
      <c r="K894" s="33" t="s">
        <v>916</v>
      </c>
      <c r="L894" s="35" t="s">
        <v>916</v>
      </c>
      <c r="M894" s="36" t="s">
        <v>957</v>
      </c>
      <c r="N894" s="45">
        <v>46052.854861111111</v>
      </c>
      <c r="O894" s="36" t="s">
        <v>25</v>
      </c>
      <c r="P894" s="38">
        <v>0.3</v>
      </c>
      <c r="Q894" s="39" t="s">
        <v>3162</v>
      </c>
      <c r="R894" s="35" t="s">
        <v>916</v>
      </c>
      <c r="S894" s="35" t="s">
        <v>3163</v>
      </c>
      <c r="T894" s="35" t="s">
        <v>1701</v>
      </c>
      <c r="U894" s="40">
        <v>46053</v>
      </c>
      <c r="V894" s="41">
        <v>46153.532812500001</v>
      </c>
      <c r="W894" s="40">
        <v>46052</v>
      </c>
      <c r="X894" s="35" t="s">
        <v>916</v>
      </c>
      <c r="Y894" s="35" t="s">
        <v>916</v>
      </c>
      <c r="Z894" s="35" t="s">
        <v>916</v>
      </c>
      <c r="AA894" s="38">
        <v>7.2</v>
      </c>
      <c r="AB894" s="42" t="s">
        <v>916</v>
      </c>
      <c r="AC894" s="43" t="s">
        <v>916</v>
      </c>
      <c r="AD894" s="43" t="s">
        <v>916</v>
      </c>
      <c r="AE894" s="33" t="s">
        <v>916</v>
      </c>
      <c r="AF894" s="35" t="s">
        <v>916</v>
      </c>
      <c r="AG894" s="44">
        <v>491612.51666666672</v>
      </c>
      <c r="AH894" s="42" t="s">
        <v>916</v>
      </c>
      <c r="AI894" s="32" t="e">
        <f>VLOOKUP(A894,'4月明細'!B:B,1,0)</f>
        <v>#N/A</v>
      </c>
    </row>
    <row r="895" spans="1:35" ht="19.95" customHeight="1" x14ac:dyDescent="0.3">
      <c r="A895" s="33" t="s">
        <v>278</v>
      </c>
      <c r="B895" s="34">
        <v>46052.553472222222</v>
      </c>
      <c r="C895" s="34" t="str">
        <f t="shared" si="26"/>
        <v>202601</v>
      </c>
      <c r="D895" s="35" t="s">
        <v>1653</v>
      </c>
      <c r="E895" s="36" t="s">
        <v>934</v>
      </c>
      <c r="F895" s="36" t="s">
        <v>2327</v>
      </c>
      <c r="G895" s="37" t="s">
        <v>3164</v>
      </c>
      <c r="H895" s="36" t="s">
        <v>928</v>
      </c>
      <c r="I895" s="35" t="s">
        <v>3165</v>
      </c>
      <c r="J895" s="36" t="s">
        <v>929</v>
      </c>
      <c r="K895" s="33" t="s">
        <v>916</v>
      </c>
      <c r="L895" s="35" t="s">
        <v>916</v>
      </c>
      <c r="M895" s="36" t="s">
        <v>916</v>
      </c>
      <c r="N895" s="45">
        <v>46055.668749999997</v>
      </c>
      <c r="O895" s="36" t="s">
        <v>25</v>
      </c>
      <c r="P895" s="38">
        <v>3.1152777777999998</v>
      </c>
      <c r="Q895" s="39" t="s">
        <v>3166</v>
      </c>
      <c r="R895" s="35" t="s">
        <v>916</v>
      </c>
      <c r="S895" s="35" t="s">
        <v>3167</v>
      </c>
      <c r="T895" s="35" t="s">
        <v>1624</v>
      </c>
      <c r="U895" s="40">
        <v>46053</v>
      </c>
      <c r="V895" s="41">
        <v>46153.532812500001</v>
      </c>
      <c r="W895" s="40">
        <v>46052</v>
      </c>
      <c r="X895" s="35" t="s">
        <v>916</v>
      </c>
      <c r="Y895" s="35" t="s">
        <v>916</v>
      </c>
      <c r="Z895" s="35" t="s">
        <v>916</v>
      </c>
      <c r="AA895" s="38">
        <v>74.766666667199999</v>
      </c>
      <c r="AB895" s="42" t="s">
        <v>916</v>
      </c>
      <c r="AC895" s="43" t="s">
        <v>916</v>
      </c>
      <c r="AD895" s="43" t="s">
        <v>916</v>
      </c>
      <c r="AE895" s="33" t="s">
        <v>916</v>
      </c>
      <c r="AF895" s="35" t="s">
        <v>916</v>
      </c>
      <c r="AG895" s="44">
        <v>491680.06666666671</v>
      </c>
      <c r="AH895" s="42" t="s">
        <v>916</v>
      </c>
      <c r="AI895" s="32" t="e">
        <f>VLOOKUP(A895,'4月明細'!B:B,1,0)</f>
        <v>#N/A</v>
      </c>
    </row>
    <row r="896" spans="1:35" ht="19.95" customHeight="1" x14ac:dyDescent="0.3">
      <c r="A896" s="33" t="s">
        <v>260</v>
      </c>
      <c r="B896" s="34">
        <v>46052.552777777775</v>
      </c>
      <c r="C896" s="34" t="str">
        <f t="shared" si="26"/>
        <v>202601</v>
      </c>
      <c r="D896" s="35" t="s">
        <v>1653</v>
      </c>
      <c r="E896" s="36" t="s">
        <v>934</v>
      </c>
      <c r="F896" s="36" t="s">
        <v>2327</v>
      </c>
      <c r="G896" s="37" t="s">
        <v>3168</v>
      </c>
      <c r="H896" s="36" t="s">
        <v>928</v>
      </c>
      <c r="I896" s="35" t="s">
        <v>3169</v>
      </c>
      <c r="J896" s="36" t="s">
        <v>929</v>
      </c>
      <c r="K896" s="33" t="s">
        <v>916</v>
      </c>
      <c r="L896" s="35" t="s">
        <v>916</v>
      </c>
      <c r="M896" s="36" t="s">
        <v>957</v>
      </c>
      <c r="N896" s="45">
        <v>46052.854166666664</v>
      </c>
      <c r="O896" s="36" t="s">
        <v>25</v>
      </c>
      <c r="P896" s="38">
        <v>0.30138888889999998</v>
      </c>
      <c r="Q896" s="39" t="s">
        <v>3162</v>
      </c>
      <c r="R896" s="35" t="s">
        <v>916</v>
      </c>
      <c r="S896" s="35" t="s">
        <v>3170</v>
      </c>
      <c r="T896" s="35" t="s">
        <v>1701</v>
      </c>
      <c r="U896" s="40">
        <v>46053</v>
      </c>
      <c r="V896" s="41">
        <v>46153.532812500001</v>
      </c>
      <c r="W896" s="40">
        <v>46052</v>
      </c>
      <c r="X896" s="35" t="s">
        <v>916</v>
      </c>
      <c r="Y896" s="35" t="s">
        <v>916</v>
      </c>
      <c r="Z896" s="35" t="s">
        <v>916</v>
      </c>
      <c r="AA896" s="38">
        <v>7.2333333336000001</v>
      </c>
      <c r="AB896" s="42" t="s">
        <v>916</v>
      </c>
      <c r="AC896" s="43" t="s">
        <v>916</v>
      </c>
      <c r="AD896" s="43" t="s">
        <v>916</v>
      </c>
      <c r="AE896" s="33" t="s">
        <v>916</v>
      </c>
      <c r="AF896" s="35" t="s">
        <v>916</v>
      </c>
      <c r="AG896" s="44">
        <v>491612.5</v>
      </c>
      <c r="AH896" s="42" t="s">
        <v>916</v>
      </c>
      <c r="AI896" s="32" t="e">
        <f>VLOOKUP(A896,'4月明細'!B:B,1,0)</f>
        <v>#N/A</v>
      </c>
    </row>
    <row r="897" spans="1:35" ht="19.95" customHeight="1" x14ac:dyDescent="0.3">
      <c r="A897" s="33" t="s">
        <v>259</v>
      </c>
      <c r="B897" s="34">
        <v>46052.550694444442</v>
      </c>
      <c r="C897" s="34" t="str">
        <f t="shared" si="26"/>
        <v>202601</v>
      </c>
      <c r="D897" s="35" t="s">
        <v>1653</v>
      </c>
      <c r="E897" s="36" t="s">
        <v>934</v>
      </c>
      <c r="F897" s="36" t="s">
        <v>976</v>
      </c>
      <c r="G897" s="37" t="s">
        <v>3171</v>
      </c>
      <c r="H897" s="36" t="s">
        <v>954</v>
      </c>
      <c r="I897" s="35" t="s">
        <v>3172</v>
      </c>
      <c r="J897" s="36" t="s">
        <v>929</v>
      </c>
      <c r="K897" s="33" t="s">
        <v>916</v>
      </c>
      <c r="L897" s="35" t="s">
        <v>916</v>
      </c>
      <c r="M897" s="36" t="s">
        <v>957</v>
      </c>
      <c r="N897" s="45">
        <v>46052.827777777777</v>
      </c>
      <c r="O897" s="36" t="s">
        <v>25</v>
      </c>
      <c r="P897" s="38">
        <v>0.27708333330000001</v>
      </c>
      <c r="Q897" s="39" t="s">
        <v>3173</v>
      </c>
      <c r="R897" s="35" t="s">
        <v>916</v>
      </c>
      <c r="S897" s="35" t="s">
        <v>3174</v>
      </c>
      <c r="T897" s="35" t="s">
        <v>1701</v>
      </c>
      <c r="U897" s="40">
        <v>46053</v>
      </c>
      <c r="V897" s="41">
        <v>46153.532812500001</v>
      </c>
      <c r="W897" s="40">
        <v>46052</v>
      </c>
      <c r="X897" s="35" t="s">
        <v>916</v>
      </c>
      <c r="Y897" s="35" t="s">
        <v>916</v>
      </c>
      <c r="Z897" s="35" t="s">
        <v>916</v>
      </c>
      <c r="AA897" s="38">
        <v>6.6499999992000003</v>
      </c>
      <c r="AB897" s="42" t="s">
        <v>916</v>
      </c>
      <c r="AC897" s="43" t="s">
        <v>916</v>
      </c>
      <c r="AD897" s="43" t="s">
        <v>916</v>
      </c>
      <c r="AE897" s="33" t="s">
        <v>916</v>
      </c>
      <c r="AF897" s="35" t="s">
        <v>916</v>
      </c>
      <c r="AG897" s="44">
        <v>0</v>
      </c>
      <c r="AH897" s="42" t="s">
        <v>916</v>
      </c>
      <c r="AI897" s="32" t="e">
        <f>VLOOKUP(A897,'4月明細'!B:B,1,0)</f>
        <v>#N/A</v>
      </c>
    </row>
    <row r="898" spans="1:35" ht="19.95" customHeight="1" x14ac:dyDescent="0.3">
      <c r="A898" s="33" t="s">
        <v>258</v>
      </c>
      <c r="B898" s="34">
        <v>46052.546527777777</v>
      </c>
      <c r="C898" s="34" t="str">
        <f t="shared" si="26"/>
        <v>202601</v>
      </c>
      <c r="D898" s="35" t="s">
        <v>1653</v>
      </c>
      <c r="E898" s="36" t="s">
        <v>934</v>
      </c>
      <c r="F898" s="36" t="s">
        <v>976</v>
      </c>
      <c r="G898" s="37" t="s">
        <v>3160</v>
      </c>
      <c r="H898" s="36" t="s">
        <v>928</v>
      </c>
      <c r="I898" s="35" t="s">
        <v>3175</v>
      </c>
      <c r="J898" s="36" t="s">
        <v>929</v>
      </c>
      <c r="K898" s="33" t="s">
        <v>916</v>
      </c>
      <c r="L898" s="35" t="s">
        <v>916</v>
      </c>
      <c r="M898" s="36" t="s">
        <v>916</v>
      </c>
      <c r="N898" s="45">
        <v>46052.82708333333</v>
      </c>
      <c r="O898" s="36" t="s">
        <v>25</v>
      </c>
      <c r="P898" s="38">
        <v>0.28055555560000001</v>
      </c>
      <c r="Q898" s="39" t="s">
        <v>3173</v>
      </c>
      <c r="R898" s="35" t="s">
        <v>916</v>
      </c>
      <c r="S898" s="35" t="s">
        <v>3176</v>
      </c>
      <c r="T898" s="35" t="s">
        <v>1701</v>
      </c>
      <c r="U898" s="40">
        <v>46053</v>
      </c>
      <c r="V898" s="41">
        <v>46153.532812500001</v>
      </c>
      <c r="W898" s="40">
        <v>46052</v>
      </c>
      <c r="X898" s="35" t="s">
        <v>916</v>
      </c>
      <c r="Y898" s="35" t="s">
        <v>916</v>
      </c>
      <c r="Z898" s="35" t="s">
        <v>916</v>
      </c>
      <c r="AA898" s="38">
        <v>6.7333333344000001</v>
      </c>
      <c r="AB898" s="42" t="s">
        <v>916</v>
      </c>
      <c r="AC898" s="43" t="s">
        <v>916</v>
      </c>
      <c r="AD898" s="43" t="s">
        <v>916</v>
      </c>
      <c r="AE898" s="33" t="s">
        <v>916</v>
      </c>
      <c r="AF898" s="35" t="s">
        <v>916</v>
      </c>
      <c r="AG898" s="44">
        <v>491612.81666666671</v>
      </c>
      <c r="AH898" s="42" t="s">
        <v>916</v>
      </c>
      <c r="AI898" s="32" t="e">
        <f>VLOOKUP(A898,'4月明細'!B:B,1,0)</f>
        <v>#N/A</v>
      </c>
    </row>
    <row r="899" spans="1:35" ht="19.95" customHeight="1" x14ac:dyDescent="0.3">
      <c r="A899" s="33" t="s">
        <v>257</v>
      </c>
      <c r="B899" s="34">
        <v>46052.545069444444</v>
      </c>
      <c r="C899" s="34" t="str">
        <f t="shared" ref="C899:C962" si="27">TEXT(B899,"YYYYMM")</f>
        <v>202601</v>
      </c>
      <c r="D899" s="35" t="s">
        <v>951</v>
      </c>
      <c r="E899" s="36" t="s">
        <v>910</v>
      </c>
      <c r="F899" s="36" t="s">
        <v>1222</v>
      </c>
      <c r="G899" s="37" t="s">
        <v>3177</v>
      </c>
      <c r="H899" s="36" t="s">
        <v>954</v>
      </c>
      <c r="I899" s="35"/>
      <c r="J899" s="36" t="s">
        <v>929</v>
      </c>
      <c r="K899" s="33" t="s">
        <v>916</v>
      </c>
      <c r="L899" s="35" t="s">
        <v>916</v>
      </c>
      <c r="M899" s="36" t="s">
        <v>957</v>
      </c>
      <c r="N899" s="45">
        <v>46052.561111111114</v>
      </c>
      <c r="O899" s="36" t="s">
        <v>25</v>
      </c>
      <c r="P899" s="38">
        <v>1.6041666699999999E-2</v>
      </c>
      <c r="Q899" s="39" t="s">
        <v>3178</v>
      </c>
      <c r="R899" s="35" t="s">
        <v>916</v>
      </c>
      <c r="S899" s="35" t="s">
        <v>3179</v>
      </c>
      <c r="T899" s="35" t="s">
        <v>1701</v>
      </c>
      <c r="U899" s="40">
        <v>46053</v>
      </c>
      <c r="V899" s="41">
        <v>46153.532812500001</v>
      </c>
      <c r="W899" s="40">
        <v>46052</v>
      </c>
      <c r="X899" s="35" t="s">
        <v>916</v>
      </c>
      <c r="Y899" s="35" t="s">
        <v>916</v>
      </c>
      <c r="Z899" s="35" t="s">
        <v>916</v>
      </c>
      <c r="AA899" s="38">
        <v>0.38500000080000002</v>
      </c>
      <c r="AB899" s="42" t="s">
        <v>916</v>
      </c>
      <c r="AC899" s="43" t="s">
        <v>916</v>
      </c>
      <c r="AD899" s="43" t="s">
        <v>916</v>
      </c>
      <c r="AE899" s="33" t="s">
        <v>916</v>
      </c>
      <c r="AF899" s="35" t="s">
        <v>916</v>
      </c>
      <c r="AG899" s="44">
        <v>491605.08166666672</v>
      </c>
      <c r="AH899" s="42" t="s">
        <v>916</v>
      </c>
      <c r="AI899" s="32" t="e">
        <f>VLOOKUP(A899,'4月明細'!B:B,1,0)</f>
        <v>#N/A</v>
      </c>
    </row>
    <row r="900" spans="1:35" ht="19.95" customHeight="1" x14ac:dyDescent="0.3">
      <c r="A900" s="33" t="s">
        <v>256</v>
      </c>
      <c r="B900" s="34">
        <v>46052.500520833331</v>
      </c>
      <c r="C900" s="34" t="str">
        <f t="shared" si="27"/>
        <v>202601</v>
      </c>
      <c r="D900" s="35" t="s">
        <v>909</v>
      </c>
      <c r="E900" s="36" t="s">
        <v>910</v>
      </c>
      <c r="F900" s="36" t="s">
        <v>1060</v>
      </c>
      <c r="G900" s="37" t="s">
        <v>2900</v>
      </c>
      <c r="H900" s="36" t="s">
        <v>928</v>
      </c>
      <c r="I900" s="35" t="s">
        <v>3180</v>
      </c>
      <c r="J900" s="36" t="s">
        <v>929</v>
      </c>
      <c r="K900" s="33" t="s">
        <v>916</v>
      </c>
      <c r="L900" s="35" t="s">
        <v>916</v>
      </c>
      <c r="M900" s="36" t="s">
        <v>916</v>
      </c>
      <c r="N900" s="45">
        <v>46052.828472222223</v>
      </c>
      <c r="O900" s="36" t="s">
        <v>25</v>
      </c>
      <c r="P900" s="38">
        <v>0.32795138889999997</v>
      </c>
      <c r="Q900" s="39" t="s">
        <v>3181</v>
      </c>
      <c r="R900" s="35" t="s">
        <v>916</v>
      </c>
      <c r="S900" s="35" t="s">
        <v>3182</v>
      </c>
      <c r="T900" s="35" t="s">
        <v>1701</v>
      </c>
      <c r="U900" s="40">
        <v>46053</v>
      </c>
      <c r="V900" s="41">
        <v>46153.532812500001</v>
      </c>
      <c r="W900" s="40">
        <v>46052</v>
      </c>
      <c r="X900" s="35" t="s">
        <v>916</v>
      </c>
      <c r="Y900" s="35" t="s">
        <v>916</v>
      </c>
      <c r="Z900" s="35" t="s">
        <v>916</v>
      </c>
      <c r="AA900" s="38">
        <v>7.8708333336000003</v>
      </c>
      <c r="AB900" s="42" t="s">
        <v>916</v>
      </c>
      <c r="AC900" s="43" t="s">
        <v>916</v>
      </c>
      <c r="AD900" s="43" t="s">
        <v>916</v>
      </c>
      <c r="AE900" s="33" t="s">
        <v>916</v>
      </c>
      <c r="AF900" s="35" t="s">
        <v>916</v>
      </c>
      <c r="AG900" s="44">
        <v>491604.01250000013</v>
      </c>
      <c r="AH900" s="42" t="s">
        <v>916</v>
      </c>
      <c r="AI900" s="32" t="e">
        <f>VLOOKUP(A900,'4月明細'!B:B,1,0)</f>
        <v>#N/A</v>
      </c>
    </row>
    <row r="901" spans="1:35" ht="19.95" customHeight="1" x14ac:dyDescent="0.3">
      <c r="A901" s="33" t="s">
        <v>255</v>
      </c>
      <c r="B901" s="34">
        <v>46051.70890046296</v>
      </c>
      <c r="C901" s="34" t="str">
        <f t="shared" si="27"/>
        <v>202601</v>
      </c>
      <c r="D901" s="35" t="s">
        <v>1856</v>
      </c>
      <c r="E901" s="36" t="s">
        <v>1112</v>
      </c>
      <c r="F901" s="36" t="s">
        <v>1010</v>
      </c>
      <c r="G901" s="37" t="s">
        <v>3183</v>
      </c>
      <c r="H901" s="36" t="s">
        <v>928</v>
      </c>
      <c r="I901" s="35" t="s">
        <v>3184</v>
      </c>
      <c r="J901" s="36" t="s">
        <v>929</v>
      </c>
      <c r="K901" s="33" t="s">
        <v>916</v>
      </c>
      <c r="L901" s="35" t="s">
        <v>916</v>
      </c>
      <c r="M901" s="36" t="s">
        <v>916</v>
      </c>
      <c r="N901" s="45">
        <v>46052.372916666667</v>
      </c>
      <c r="O901" s="36" t="s">
        <v>25</v>
      </c>
      <c r="P901" s="38">
        <v>0.66401620370000003</v>
      </c>
      <c r="Q901" s="39" t="s">
        <v>3185</v>
      </c>
      <c r="R901" s="35" t="s">
        <v>916</v>
      </c>
      <c r="S901" s="35"/>
      <c r="T901" s="35" t="s">
        <v>1701</v>
      </c>
      <c r="U901" s="40">
        <v>46052</v>
      </c>
      <c r="V901" s="41">
        <v>46153.532812500001</v>
      </c>
      <c r="W901" s="40">
        <v>46051</v>
      </c>
      <c r="X901" s="35" t="s">
        <v>916</v>
      </c>
      <c r="Y901" s="35" t="s">
        <v>916</v>
      </c>
      <c r="Z901" s="35" t="s">
        <v>916</v>
      </c>
      <c r="AA901" s="38">
        <v>15.9363888888</v>
      </c>
      <c r="AB901" s="42" t="s">
        <v>916</v>
      </c>
      <c r="AC901" s="43" t="s">
        <v>916</v>
      </c>
      <c r="AD901" s="43" t="s">
        <v>916</v>
      </c>
      <c r="AE901" s="33" t="s">
        <v>916</v>
      </c>
      <c r="AF901" s="35" t="s">
        <v>916</v>
      </c>
      <c r="AG901" s="44">
        <v>491585.01361111109</v>
      </c>
      <c r="AH901" s="42" t="s">
        <v>916</v>
      </c>
      <c r="AI901" s="32" t="e">
        <f>VLOOKUP(A901,'4月明細'!B:B,1,0)</f>
        <v>#N/A</v>
      </c>
    </row>
    <row r="902" spans="1:35" ht="19.95" customHeight="1" x14ac:dyDescent="0.3">
      <c r="A902" s="33" t="s">
        <v>3186</v>
      </c>
      <c r="B902" s="34">
        <v>46051.654108796298</v>
      </c>
      <c r="C902" s="34" t="str">
        <f t="shared" si="27"/>
        <v>202601</v>
      </c>
      <c r="D902" s="35" t="s">
        <v>909</v>
      </c>
      <c r="E902" s="36" t="s">
        <v>910</v>
      </c>
      <c r="F902" s="36" t="s">
        <v>1282</v>
      </c>
      <c r="G902" s="37" t="s">
        <v>3187</v>
      </c>
      <c r="H902" s="36" t="s">
        <v>1023</v>
      </c>
      <c r="I902" s="35" t="s">
        <v>3188</v>
      </c>
      <c r="J902" s="36" t="s">
        <v>914</v>
      </c>
      <c r="K902" s="33" t="s">
        <v>916</v>
      </c>
      <c r="L902" s="35" t="s">
        <v>916</v>
      </c>
      <c r="M902" s="36" t="s">
        <v>916</v>
      </c>
      <c r="N902" s="45">
        <v>46051.811111111114</v>
      </c>
      <c r="O902" s="36" t="s">
        <v>1920</v>
      </c>
      <c r="P902" s="38">
        <v>0.15700231479999999</v>
      </c>
      <c r="Q902" s="39" t="s">
        <v>3189</v>
      </c>
      <c r="R902" s="35" t="s">
        <v>916</v>
      </c>
      <c r="S902" s="35"/>
      <c r="T902" s="35" t="s">
        <v>1624</v>
      </c>
      <c r="U902" s="40">
        <v>46052</v>
      </c>
      <c r="V902" s="41">
        <v>46153.532812500001</v>
      </c>
      <c r="W902" s="40">
        <v>46051</v>
      </c>
      <c r="X902" s="35" t="s">
        <v>916</v>
      </c>
      <c r="Y902" s="35" t="s">
        <v>916</v>
      </c>
      <c r="Z902" s="35" t="s">
        <v>916</v>
      </c>
      <c r="AA902" s="38">
        <v>3.7680555552000001</v>
      </c>
      <c r="AB902" s="42" t="s">
        <v>916</v>
      </c>
      <c r="AC902" s="43" t="s">
        <v>916</v>
      </c>
      <c r="AD902" s="43" t="s">
        <v>916</v>
      </c>
      <c r="AE902" s="33" t="s">
        <v>916</v>
      </c>
      <c r="AF902" s="35" t="s">
        <v>916</v>
      </c>
      <c r="AG902" s="44">
        <v>491583.69861111109</v>
      </c>
      <c r="AH902" s="42" t="s">
        <v>916</v>
      </c>
      <c r="AI902" s="32" t="e">
        <f>VLOOKUP(A902,'4月明細'!B:B,1,0)</f>
        <v>#N/A</v>
      </c>
    </row>
    <row r="903" spans="1:35" ht="19.95" customHeight="1" x14ac:dyDescent="0.3">
      <c r="A903" s="33" t="s">
        <v>254</v>
      </c>
      <c r="B903" s="34">
        <v>46051.642453703702</v>
      </c>
      <c r="C903" s="34" t="str">
        <f t="shared" si="27"/>
        <v>202601</v>
      </c>
      <c r="D903" s="35" t="s">
        <v>909</v>
      </c>
      <c r="E903" s="36" t="s">
        <v>910</v>
      </c>
      <c r="F903" s="36" t="s">
        <v>1537</v>
      </c>
      <c r="G903" s="37" t="s">
        <v>3190</v>
      </c>
      <c r="H903" s="36" t="s">
        <v>1078</v>
      </c>
      <c r="I903" s="35" t="s">
        <v>3191</v>
      </c>
      <c r="J903" s="36" t="s">
        <v>929</v>
      </c>
      <c r="K903" s="33" t="s">
        <v>916</v>
      </c>
      <c r="L903" s="35" t="s">
        <v>916</v>
      </c>
      <c r="M903" s="36" t="s">
        <v>916</v>
      </c>
      <c r="N903" s="45">
        <v>46051.696527777778</v>
      </c>
      <c r="O903" s="36" t="s">
        <v>25</v>
      </c>
      <c r="P903" s="38">
        <v>5.4074074100000001E-2</v>
      </c>
      <c r="Q903" s="39" t="s">
        <v>3192</v>
      </c>
      <c r="R903" s="35" t="s">
        <v>916</v>
      </c>
      <c r="S903" s="35"/>
      <c r="T903" s="35" t="s">
        <v>1701</v>
      </c>
      <c r="U903" s="40">
        <v>46052</v>
      </c>
      <c r="V903" s="41">
        <v>46153.532812500001</v>
      </c>
      <c r="W903" s="40">
        <v>46051</v>
      </c>
      <c r="X903" s="35" t="s">
        <v>916</v>
      </c>
      <c r="Y903" s="35" t="s">
        <v>916</v>
      </c>
      <c r="Z903" s="35" t="s">
        <v>916</v>
      </c>
      <c r="AA903" s="38">
        <v>1.2977777784</v>
      </c>
      <c r="AB903" s="42" t="s">
        <v>916</v>
      </c>
      <c r="AC903" s="43" t="s">
        <v>916</v>
      </c>
      <c r="AD903" s="43" t="s">
        <v>916</v>
      </c>
      <c r="AE903" s="33" t="s">
        <v>916</v>
      </c>
      <c r="AF903" s="35" t="s">
        <v>916</v>
      </c>
      <c r="AG903" s="44">
        <v>491583.4188888889</v>
      </c>
      <c r="AH903" s="42" t="s">
        <v>916</v>
      </c>
      <c r="AI903" s="32" t="e">
        <f>VLOOKUP(A903,'4月明細'!B:B,1,0)</f>
        <v>#N/A</v>
      </c>
    </row>
    <row r="904" spans="1:35" ht="19.95" customHeight="1" x14ac:dyDescent="0.3">
      <c r="A904" s="33" t="s">
        <v>253</v>
      </c>
      <c r="B904" s="34">
        <v>46051.629664351851</v>
      </c>
      <c r="C904" s="34" t="str">
        <f t="shared" si="27"/>
        <v>202601</v>
      </c>
      <c r="D904" s="35" t="s">
        <v>909</v>
      </c>
      <c r="E904" s="36" t="s">
        <v>910</v>
      </c>
      <c r="F904" s="36" t="s">
        <v>1537</v>
      </c>
      <c r="G904" s="37" t="s">
        <v>1096</v>
      </c>
      <c r="H904" s="36" t="s">
        <v>928</v>
      </c>
      <c r="I904" s="35" t="s">
        <v>3193</v>
      </c>
      <c r="J904" s="36" t="s">
        <v>929</v>
      </c>
      <c r="K904" s="33" t="s">
        <v>916</v>
      </c>
      <c r="L904" s="35" t="s">
        <v>916</v>
      </c>
      <c r="M904" s="36" t="s">
        <v>916</v>
      </c>
      <c r="N904" s="45">
        <v>46051.695833333331</v>
      </c>
      <c r="O904" s="36" t="s">
        <v>25</v>
      </c>
      <c r="P904" s="38">
        <v>6.6168981500000001E-2</v>
      </c>
      <c r="Q904" s="39" t="s">
        <v>3194</v>
      </c>
      <c r="R904" s="35" t="s">
        <v>916</v>
      </c>
      <c r="S904" s="35"/>
      <c r="T904" s="35" t="s">
        <v>1701</v>
      </c>
      <c r="U904" s="40">
        <v>46052</v>
      </c>
      <c r="V904" s="41">
        <v>46153.532812500001</v>
      </c>
      <c r="W904" s="40">
        <v>46051</v>
      </c>
      <c r="X904" s="35" t="s">
        <v>916</v>
      </c>
      <c r="Y904" s="35" t="s">
        <v>916</v>
      </c>
      <c r="Z904" s="35" t="s">
        <v>916</v>
      </c>
      <c r="AA904" s="38">
        <v>1.588055556</v>
      </c>
      <c r="AB904" s="42" t="s">
        <v>916</v>
      </c>
      <c r="AC904" s="43" t="s">
        <v>916</v>
      </c>
      <c r="AD904" s="43" t="s">
        <v>916</v>
      </c>
      <c r="AE904" s="33" t="s">
        <v>916</v>
      </c>
      <c r="AF904" s="35" t="s">
        <v>916</v>
      </c>
      <c r="AG904" s="44">
        <v>491583.11194444442</v>
      </c>
      <c r="AH904" s="42" t="s">
        <v>916</v>
      </c>
      <c r="AI904" s="32" t="e">
        <f>VLOOKUP(A904,'4月明細'!B:B,1,0)</f>
        <v>#N/A</v>
      </c>
    </row>
    <row r="905" spans="1:35" ht="19.95" customHeight="1" x14ac:dyDescent="0.3">
      <c r="A905" s="33" t="s">
        <v>252</v>
      </c>
      <c r="B905" s="34">
        <v>46051.610798611109</v>
      </c>
      <c r="C905" s="34" t="str">
        <f t="shared" si="27"/>
        <v>202601</v>
      </c>
      <c r="D905" s="35" t="s">
        <v>996</v>
      </c>
      <c r="E905" s="36" t="s">
        <v>910</v>
      </c>
      <c r="F905" s="36" t="s">
        <v>1237</v>
      </c>
      <c r="G905" s="37" t="s">
        <v>3195</v>
      </c>
      <c r="H905" s="36" t="s">
        <v>928</v>
      </c>
      <c r="I905" s="35"/>
      <c r="J905" s="36" t="s">
        <v>929</v>
      </c>
      <c r="K905" s="33" t="s">
        <v>916</v>
      </c>
      <c r="L905" s="35" t="s">
        <v>916</v>
      </c>
      <c r="M905" s="36" t="s">
        <v>916</v>
      </c>
      <c r="N905" s="45">
        <v>46051.81527777778</v>
      </c>
      <c r="O905" s="36" t="s">
        <v>25</v>
      </c>
      <c r="P905" s="38">
        <v>0.20447916669999999</v>
      </c>
      <c r="Q905" s="39" t="s">
        <v>3196</v>
      </c>
      <c r="R905" s="35" t="s">
        <v>916</v>
      </c>
      <c r="S905" s="35" t="s">
        <v>3197</v>
      </c>
      <c r="T905" s="35" t="s">
        <v>1701</v>
      </c>
      <c r="U905" s="40">
        <v>46052</v>
      </c>
      <c r="V905" s="41">
        <v>46153.532812500001</v>
      </c>
      <c r="W905" s="40">
        <v>46051</v>
      </c>
      <c r="X905" s="35" t="s">
        <v>916</v>
      </c>
      <c r="Y905" s="35" t="s">
        <v>916</v>
      </c>
      <c r="Z905" s="35" t="s">
        <v>916</v>
      </c>
      <c r="AA905" s="38">
        <v>4.9075000007999998</v>
      </c>
      <c r="AB905" s="42" t="s">
        <v>916</v>
      </c>
      <c r="AC905" s="43" t="s">
        <v>916</v>
      </c>
      <c r="AD905" s="43" t="s">
        <v>916</v>
      </c>
      <c r="AE905" s="33" t="s">
        <v>916</v>
      </c>
      <c r="AF905" s="35" t="s">
        <v>916</v>
      </c>
      <c r="AG905" s="44">
        <v>491582.65916666668</v>
      </c>
      <c r="AH905" s="42" t="s">
        <v>916</v>
      </c>
      <c r="AI905" s="32" t="e">
        <f>VLOOKUP(A905,'4月明細'!B:B,1,0)</f>
        <v>#N/A</v>
      </c>
    </row>
    <row r="906" spans="1:35" ht="19.95" customHeight="1" x14ac:dyDescent="0.3">
      <c r="A906" s="33" t="s">
        <v>251</v>
      </c>
      <c r="B906" s="34">
        <v>46051.59783564815</v>
      </c>
      <c r="C906" s="34" t="str">
        <f t="shared" si="27"/>
        <v>202601</v>
      </c>
      <c r="D906" s="35" t="s">
        <v>996</v>
      </c>
      <c r="E906" s="36" t="s">
        <v>910</v>
      </c>
      <c r="F906" s="36" t="s">
        <v>1253</v>
      </c>
      <c r="G906" s="37" t="s">
        <v>3198</v>
      </c>
      <c r="H906" s="36" t="s">
        <v>954</v>
      </c>
      <c r="I906" s="35" t="s">
        <v>3199</v>
      </c>
      <c r="J906" s="36" t="s">
        <v>929</v>
      </c>
      <c r="K906" s="33" t="s">
        <v>916</v>
      </c>
      <c r="L906" s="35" t="s">
        <v>916</v>
      </c>
      <c r="M906" s="36" t="s">
        <v>916</v>
      </c>
      <c r="N906" s="45">
        <v>46051.693749999999</v>
      </c>
      <c r="O906" s="36" t="s">
        <v>25</v>
      </c>
      <c r="P906" s="38">
        <v>9.5914351800000006E-2</v>
      </c>
      <c r="Q906" s="39" t="s">
        <v>3200</v>
      </c>
      <c r="R906" s="35" t="s">
        <v>916</v>
      </c>
      <c r="S906" s="35" t="s">
        <v>3201</v>
      </c>
      <c r="T906" s="35" t="s">
        <v>1701</v>
      </c>
      <c r="U906" s="40">
        <v>46052</v>
      </c>
      <c r="V906" s="41">
        <v>46153.532812500001</v>
      </c>
      <c r="W906" s="40">
        <v>46051</v>
      </c>
      <c r="X906" s="35" t="s">
        <v>916</v>
      </c>
      <c r="Y906" s="35" t="s">
        <v>916</v>
      </c>
      <c r="Z906" s="35" t="s">
        <v>916</v>
      </c>
      <c r="AA906" s="38">
        <v>2.3019444432</v>
      </c>
      <c r="AB906" s="42" t="s">
        <v>916</v>
      </c>
      <c r="AC906" s="43" t="s">
        <v>916</v>
      </c>
      <c r="AD906" s="43" t="s">
        <v>916</v>
      </c>
      <c r="AE906" s="33" t="s">
        <v>916</v>
      </c>
      <c r="AF906" s="35" t="s">
        <v>916</v>
      </c>
      <c r="AG906" s="44">
        <v>491582.3480555556</v>
      </c>
      <c r="AH906" s="42" t="s">
        <v>916</v>
      </c>
      <c r="AI906" s="32" t="e">
        <f>VLOOKUP(A906,'4月明細'!B:B,1,0)</f>
        <v>#N/A</v>
      </c>
    </row>
    <row r="907" spans="1:35" ht="19.95" customHeight="1" x14ac:dyDescent="0.3">
      <c r="A907" s="33" t="s">
        <v>250</v>
      </c>
      <c r="B907" s="34">
        <v>46051.594641203701</v>
      </c>
      <c r="C907" s="34" t="str">
        <f t="shared" si="27"/>
        <v>202601</v>
      </c>
      <c r="D907" s="35" t="s">
        <v>996</v>
      </c>
      <c r="E907" s="36" t="s">
        <v>910</v>
      </c>
      <c r="F907" s="36" t="s">
        <v>1253</v>
      </c>
      <c r="G907" s="37" t="s">
        <v>3202</v>
      </c>
      <c r="H907" s="36" t="s">
        <v>954</v>
      </c>
      <c r="I907" s="35"/>
      <c r="J907" s="36" t="s">
        <v>929</v>
      </c>
      <c r="K907" s="33" t="s">
        <v>916</v>
      </c>
      <c r="L907" s="35" t="s">
        <v>916</v>
      </c>
      <c r="M907" s="36" t="s">
        <v>916</v>
      </c>
      <c r="N907" s="45">
        <v>46051.813888888886</v>
      </c>
      <c r="O907" s="36" t="s">
        <v>25</v>
      </c>
      <c r="P907" s="38">
        <v>0.21924768519999999</v>
      </c>
      <c r="Q907" s="39" t="s">
        <v>3203</v>
      </c>
      <c r="R907" s="35" t="s">
        <v>916</v>
      </c>
      <c r="S907" s="35" t="s">
        <v>3204</v>
      </c>
      <c r="T907" s="35" t="s">
        <v>1701</v>
      </c>
      <c r="U907" s="40">
        <v>46052</v>
      </c>
      <c r="V907" s="41">
        <v>46153.532812500001</v>
      </c>
      <c r="W907" s="40">
        <v>46051</v>
      </c>
      <c r="X907" s="35" t="s">
        <v>916</v>
      </c>
      <c r="Y907" s="35" t="s">
        <v>916</v>
      </c>
      <c r="Z907" s="35" t="s">
        <v>916</v>
      </c>
      <c r="AA907" s="38">
        <v>5.2619444448000001</v>
      </c>
      <c r="AB907" s="42" t="s">
        <v>916</v>
      </c>
      <c r="AC907" s="43" t="s">
        <v>916</v>
      </c>
      <c r="AD907" s="43" t="s">
        <v>916</v>
      </c>
      <c r="AE907" s="33" t="s">
        <v>916</v>
      </c>
      <c r="AF907" s="35" t="s">
        <v>916</v>
      </c>
      <c r="AG907" s="44">
        <v>491582.27138888888</v>
      </c>
      <c r="AH907" s="42" t="s">
        <v>916</v>
      </c>
      <c r="AI907" s="32" t="e">
        <f>VLOOKUP(A907,'4月明細'!B:B,1,0)</f>
        <v>#N/A</v>
      </c>
    </row>
    <row r="908" spans="1:35" ht="19.95" customHeight="1" x14ac:dyDescent="0.3">
      <c r="A908" s="33" t="s">
        <v>249</v>
      </c>
      <c r="B908" s="34">
        <v>46051.508252314816</v>
      </c>
      <c r="C908" s="34" t="str">
        <f t="shared" si="27"/>
        <v>202601</v>
      </c>
      <c r="D908" s="35" t="s">
        <v>909</v>
      </c>
      <c r="E908" s="36" t="s">
        <v>910</v>
      </c>
      <c r="F908" s="36" t="s">
        <v>2882</v>
      </c>
      <c r="G908" s="37" t="s">
        <v>3205</v>
      </c>
      <c r="H908" s="36" t="s">
        <v>954</v>
      </c>
      <c r="I908" s="35" t="s">
        <v>3206</v>
      </c>
      <c r="J908" s="36" t="s">
        <v>914</v>
      </c>
      <c r="K908" s="33" t="s">
        <v>916</v>
      </c>
      <c r="L908" s="35" t="s">
        <v>916</v>
      </c>
      <c r="M908" s="36" t="s">
        <v>916</v>
      </c>
      <c r="N908" s="45">
        <v>46051.595833333333</v>
      </c>
      <c r="O908" s="36" t="s">
        <v>25</v>
      </c>
      <c r="P908" s="38">
        <v>8.7581018499999996E-2</v>
      </c>
      <c r="Q908" s="39" t="s">
        <v>3207</v>
      </c>
      <c r="R908" s="35" t="s">
        <v>916</v>
      </c>
      <c r="S908" s="35" t="s">
        <v>3208</v>
      </c>
      <c r="T908" s="35" t="s">
        <v>1701</v>
      </c>
      <c r="U908" s="40">
        <v>46052</v>
      </c>
      <c r="V908" s="41">
        <v>46153.532812500001</v>
      </c>
      <c r="W908" s="40">
        <v>46051</v>
      </c>
      <c r="X908" s="35" t="s">
        <v>916</v>
      </c>
      <c r="Y908" s="35" t="s">
        <v>916</v>
      </c>
      <c r="Z908" s="35" t="s">
        <v>916</v>
      </c>
      <c r="AA908" s="38">
        <v>2.1019444439999999</v>
      </c>
      <c r="AB908" s="42" t="s">
        <v>916</v>
      </c>
      <c r="AC908" s="43" t="s">
        <v>916</v>
      </c>
      <c r="AD908" s="43" t="s">
        <v>916</v>
      </c>
      <c r="AE908" s="33" t="s">
        <v>916</v>
      </c>
      <c r="AF908" s="35" t="s">
        <v>916</v>
      </c>
      <c r="AG908" s="44">
        <v>491580.19805555558</v>
      </c>
      <c r="AH908" s="42" t="s">
        <v>916</v>
      </c>
      <c r="AI908" s="32" t="e">
        <f>VLOOKUP(A908,'4月明細'!B:B,1,0)</f>
        <v>#N/A</v>
      </c>
    </row>
    <row r="909" spans="1:35" ht="19.95" customHeight="1" x14ac:dyDescent="0.3">
      <c r="A909" s="33" t="s">
        <v>248</v>
      </c>
      <c r="B909" s="34">
        <v>46051.415092592593</v>
      </c>
      <c r="C909" s="34" t="str">
        <f t="shared" si="27"/>
        <v>202601</v>
      </c>
      <c r="D909" s="35" t="s">
        <v>996</v>
      </c>
      <c r="E909" s="36" t="s">
        <v>910</v>
      </c>
      <c r="F909" s="36" t="s">
        <v>1213</v>
      </c>
      <c r="G909" s="37" t="s">
        <v>3209</v>
      </c>
      <c r="H909" s="36" t="s">
        <v>928</v>
      </c>
      <c r="I909" s="35"/>
      <c r="J909" s="36" t="s">
        <v>929</v>
      </c>
      <c r="K909" s="33" t="s">
        <v>916</v>
      </c>
      <c r="L909" s="35" t="s">
        <v>916</v>
      </c>
      <c r="M909" s="36" t="s">
        <v>916</v>
      </c>
      <c r="N909" s="45">
        <v>46052.592361111114</v>
      </c>
      <c r="O909" s="36" t="s">
        <v>25</v>
      </c>
      <c r="P909" s="38">
        <v>1.1772685185</v>
      </c>
      <c r="Q909" s="39" t="s">
        <v>3210</v>
      </c>
      <c r="R909" s="35" t="s">
        <v>916</v>
      </c>
      <c r="S909" s="35"/>
      <c r="T909" s="35" t="s">
        <v>1624</v>
      </c>
      <c r="U909" s="40">
        <v>46052</v>
      </c>
      <c r="V909" s="41">
        <v>46153.532812500001</v>
      </c>
      <c r="W909" s="40">
        <v>46051</v>
      </c>
      <c r="X909" s="35" t="s">
        <v>916</v>
      </c>
      <c r="Y909" s="35" t="s">
        <v>916</v>
      </c>
      <c r="Z909" s="35" t="s">
        <v>916</v>
      </c>
      <c r="AA909" s="38">
        <v>28.254444444000001</v>
      </c>
      <c r="AB909" s="42" t="s">
        <v>916</v>
      </c>
      <c r="AC909" s="43" t="s">
        <v>916</v>
      </c>
      <c r="AD909" s="43" t="s">
        <v>916</v>
      </c>
      <c r="AE909" s="33" t="s">
        <v>916</v>
      </c>
      <c r="AF909" s="35" t="s">
        <v>916</v>
      </c>
      <c r="AG909" s="44">
        <v>491577.96222222218</v>
      </c>
      <c r="AH909" s="42" t="s">
        <v>916</v>
      </c>
      <c r="AI909" s="32" t="e">
        <f>VLOOKUP(A909,'4月明細'!B:B,1,0)</f>
        <v>#N/A</v>
      </c>
    </row>
    <row r="910" spans="1:35" ht="19.95" customHeight="1" x14ac:dyDescent="0.3">
      <c r="A910" s="33" t="s">
        <v>247</v>
      </c>
      <c r="B910" s="34">
        <v>46050.968333333331</v>
      </c>
      <c r="C910" s="34" t="str">
        <f t="shared" si="27"/>
        <v>202601</v>
      </c>
      <c r="D910" s="35" t="s">
        <v>2278</v>
      </c>
      <c r="E910" s="36" t="s">
        <v>910</v>
      </c>
      <c r="F910" s="36" t="s">
        <v>1068</v>
      </c>
      <c r="G910" s="37" t="s">
        <v>3211</v>
      </c>
      <c r="H910" s="36" t="s">
        <v>928</v>
      </c>
      <c r="I910" s="35" t="s">
        <v>3212</v>
      </c>
      <c r="J910" s="36" t="s">
        <v>914</v>
      </c>
      <c r="K910" s="33" t="s">
        <v>916</v>
      </c>
      <c r="L910" s="35" t="s">
        <v>916</v>
      </c>
      <c r="M910" s="36" t="s">
        <v>1135</v>
      </c>
      <c r="N910" s="45">
        <v>46052.5</v>
      </c>
      <c r="O910" s="36" t="s">
        <v>25</v>
      </c>
      <c r="P910" s="38">
        <v>1.5316666667000001</v>
      </c>
      <c r="Q910" s="39" t="s">
        <v>3213</v>
      </c>
      <c r="R910" s="46" t="s">
        <v>3214</v>
      </c>
      <c r="S910" s="35" t="s">
        <v>3215</v>
      </c>
      <c r="T910" s="35" t="s">
        <v>1624</v>
      </c>
      <c r="U910" s="40">
        <v>46051</v>
      </c>
      <c r="V910" s="41">
        <v>46153.532812500001</v>
      </c>
      <c r="W910" s="40">
        <v>46051</v>
      </c>
      <c r="X910" s="35" t="s">
        <v>916</v>
      </c>
      <c r="Y910" s="35" t="s">
        <v>916</v>
      </c>
      <c r="Z910" s="35" t="s">
        <v>916</v>
      </c>
      <c r="AA910" s="38">
        <v>36.760000000799998</v>
      </c>
      <c r="AB910" s="42" t="s">
        <v>916</v>
      </c>
      <c r="AC910" s="43" t="s">
        <v>916</v>
      </c>
      <c r="AD910" s="43" t="s">
        <v>916</v>
      </c>
      <c r="AE910" s="33" t="s">
        <v>916</v>
      </c>
      <c r="AF910" s="35" t="s">
        <v>916</v>
      </c>
      <c r="AG910" s="44">
        <v>491567.24</v>
      </c>
      <c r="AH910" s="42" t="s">
        <v>916</v>
      </c>
      <c r="AI910" s="32" t="e">
        <f>VLOOKUP(A910,'4月明細'!B:B,1,0)</f>
        <v>#N/A</v>
      </c>
    </row>
    <row r="911" spans="1:35" ht="19.95" customHeight="1" x14ac:dyDescent="0.3">
      <c r="A911" s="33" t="s">
        <v>246</v>
      </c>
      <c r="B911" s="34">
        <v>46050.962708333333</v>
      </c>
      <c r="C911" s="34" t="str">
        <f t="shared" si="27"/>
        <v>202601</v>
      </c>
      <c r="D911" s="35" t="s">
        <v>2278</v>
      </c>
      <c r="E911" s="36" t="s">
        <v>910</v>
      </c>
      <c r="F911" s="36" t="s">
        <v>1282</v>
      </c>
      <c r="G911" s="37" t="s">
        <v>3216</v>
      </c>
      <c r="H911" s="36" t="s">
        <v>954</v>
      </c>
      <c r="I911" s="35" t="s">
        <v>3217</v>
      </c>
      <c r="J911" s="36" t="s">
        <v>914</v>
      </c>
      <c r="K911" s="33" t="s">
        <v>916</v>
      </c>
      <c r="L911" s="35" t="s">
        <v>916</v>
      </c>
      <c r="M911" s="36" t="s">
        <v>1135</v>
      </c>
      <c r="N911" s="45">
        <v>46052.5</v>
      </c>
      <c r="O911" s="36" t="s">
        <v>25</v>
      </c>
      <c r="P911" s="38">
        <v>1.5372916667000001</v>
      </c>
      <c r="Q911" s="39" t="s">
        <v>3213</v>
      </c>
      <c r="R911" s="46" t="s">
        <v>3218</v>
      </c>
      <c r="S911" s="35" t="s">
        <v>3219</v>
      </c>
      <c r="T911" s="35" t="s">
        <v>1624</v>
      </c>
      <c r="U911" s="40">
        <v>46051</v>
      </c>
      <c r="V911" s="41">
        <v>46153.532812500001</v>
      </c>
      <c r="W911" s="40">
        <v>46051</v>
      </c>
      <c r="X911" s="35" t="s">
        <v>916</v>
      </c>
      <c r="Y911" s="35" t="s">
        <v>916</v>
      </c>
      <c r="Z911" s="35" t="s">
        <v>916</v>
      </c>
      <c r="AA911" s="38">
        <v>36.895000000800003</v>
      </c>
      <c r="AB911" s="42" t="s">
        <v>916</v>
      </c>
      <c r="AC911" s="43" t="s">
        <v>916</v>
      </c>
      <c r="AD911" s="43" t="s">
        <v>916</v>
      </c>
      <c r="AE911" s="33" t="s">
        <v>916</v>
      </c>
      <c r="AF911" s="35" t="s">
        <v>916</v>
      </c>
      <c r="AG911" s="44">
        <v>491567.10499999998</v>
      </c>
      <c r="AH911" s="42" t="s">
        <v>916</v>
      </c>
      <c r="AI911" s="32" t="e">
        <f>VLOOKUP(A911,'4月明細'!B:B,1,0)</f>
        <v>#N/A</v>
      </c>
    </row>
    <row r="912" spans="1:35" ht="19.95" customHeight="1" x14ac:dyDescent="0.3">
      <c r="A912" s="33" t="s">
        <v>245</v>
      </c>
      <c r="B912" s="34">
        <v>46050.93167824074</v>
      </c>
      <c r="C912" s="34" t="str">
        <f t="shared" si="27"/>
        <v>202601</v>
      </c>
      <c r="D912" s="35" t="s">
        <v>1510</v>
      </c>
      <c r="E912" s="36" t="s">
        <v>1112</v>
      </c>
      <c r="F912" s="36" t="s">
        <v>3220</v>
      </c>
      <c r="G912" s="37" t="s">
        <v>3221</v>
      </c>
      <c r="H912" s="36" t="s">
        <v>1023</v>
      </c>
      <c r="I912" s="35"/>
      <c r="J912" s="36" t="s">
        <v>938</v>
      </c>
      <c r="K912" s="33" t="s">
        <v>916</v>
      </c>
      <c r="L912" s="35" t="s">
        <v>916</v>
      </c>
      <c r="M912" s="36" t="s">
        <v>916</v>
      </c>
      <c r="N912" s="45">
        <v>46051.413194444445</v>
      </c>
      <c r="O912" s="36" t="s">
        <v>25</v>
      </c>
      <c r="P912" s="38">
        <v>0.48151620369999998</v>
      </c>
      <c r="Q912" s="39" t="s">
        <v>3222</v>
      </c>
      <c r="R912" s="35" t="s">
        <v>916</v>
      </c>
      <c r="S912" s="35" t="s">
        <v>3223</v>
      </c>
      <c r="T912" s="35" t="s">
        <v>1701</v>
      </c>
      <c r="U912" s="40">
        <v>46051</v>
      </c>
      <c r="V912" s="41">
        <v>46153.532812500001</v>
      </c>
      <c r="W912" s="40">
        <v>46051</v>
      </c>
      <c r="X912" s="35" t="s">
        <v>916</v>
      </c>
      <c r="Y912" s="35" t="s">
        <v>916</v>
      </c>
      <c r="Z912" s="35" t="s">
        <v>916</v>
      </c>
      <c r="AA912" s="38">
        <v>11.556388888800001</v>
      </c>
      <c r="AB912" s="42" t="s">
        <v>916</v>
      </c>
      <c r="AC912" s="43" t="s">
        <v>916</v>
      </c>
      <c r="AD912" s="43" t="s">
        <v>916</v>
      </c>
      <c r="AE912" s="33" t="s">
        <v>916</v>
      </c>
      <c r="AF912" s="35" t="s">
        <v>916</v>
      </c>
      <c r="AG912" s="44">
        <v>491566.36027777783</v>
      </c>
      <c r="AH912" s="42" t="s">
        <v>916</v>
      </c>
      <c r="AI912" s="32" t="e">
        <f>VLOOKUP(A912,'4月明細'!B:B,1,0)</f>
        <v>#N/A</v>
      </c>
    </row>
    <row r="913" spans="1:35" ht="19.95" customHeight="1" x14ac:dyDescent="0.3">
      <c r="A913" s="33" t="s">
        <v>3224</v>
      </c>
      <c r="B913" s="34">
        <v>46050.738888888889</v>
      </c>
      <c r="C913" s="34" t="str">
        <f t="shared" si="27"/>
        <v>202601</v>
      </c>
      <c r="D913" s="35" t="s">
        <v>1653</v>
      </c>
      <c r="E913" s="36" t="s">
        <v>934</v>
      </c>
      <c r="F913" s="36" t="s">
        <v>1193</v>
      </c>
      <c r="G913" s="37" t="s">
        <v>3225</v>
      </c>
      <c r="H913" s="36" t="s">
        <v>1023</v>
      </c>
      <c r="I913" s="35"/>
      <c r="J913" s="36" t="s">
        <v>938</v>
      </c>
      <c r="K913" s="33" t="s">
        <v>916</v>
      </c>
      <c r="L913" s="35" t="s">
        <v>916</v>
      </c>
      <c r="M913" s="36" t="s">
        <v>916</v>
      </c>
      <c r="N913" s="45">
        <v>46050.772916666669</v>
      </c>
      <c r="O913" s="36" t="s">
        <v>1920</v>
      </c>
      <c r="P913" s="38">
        <v>3.4027777799999999E-2</v>
      </c>
      <c r="Q913" s="36" t="s">
        <v>916</v>
      </c>
      <c r="R913" s="35" t="s">
        <v>916</v>
      </c>
      <c r="S913" s="35"/>
      <c r="T913" s="35" t="s">
        <v>1624</v>
      </c>
      <c r="U913" s="40">
        <v>46051</v>
      </c>
      <c r="V913" s="41">
        <v>46153.532812500001</v>
      </c>
      <c r="W913" s="40">
        <v>46050</v>
      </c>
      <c r="X913" s="35" t="s">
        <v>916</v>
      </c>
      <c r="Y913" s="35" t="s">
        <v>916</v>
      </c>
      <c r="Z913" s="35" t="s">
        <v>916</v>
      </c>
      <c r="AA913" s="38">
        <v>0.81666666720000003</v>
      </c>
      <c r="AB913" s="42" t="s">
        <v>916</v>
      </c>
      <c r="AC913" s="43" t="s">
        <v>916</v>
      </c>
      <c r="AD913" s="43" t="s">
        <v>916</v>
      </c>
      <c r="AE913" s="33" t="s">
        <v>916</v>
      </c>
      <c r="AF913" s="35" t="s">
        <v>916</v>
      </c>
      <c r="AG913" s="44">
        <v>491562.55</v>
      </c>
      <c r="AH913" s="42" t="s">
        <v>916</v>
      </c>
      <c r="AI913" s="32" t="e">
        <f>VLOOKUP(A913,'4月明細'!B:B,1,0)</f>
        <v>#N/A</v>
      </c>
    </row>
    <row r="914" spans="1:35" ht="19.95" customHeight="1" x14ac:dyDescent="0.3">
      <c r="A914" s="33" t="s">
        <v>244</v>
      </c>
      <c r="B914" s="34">
        <v>46050.684212962966</v>
      </c>
      <c r="C914" s="34" t="str">
        <f t="shared" si="27"/>
        <v>202601</v>
      </c>
      <c r="D914" s="35" t="s">
        <v>951</v>
      </c>
      <c r="E914" s="36" t="s">
        <v>910</v>
      </c>
      <c r="F914" s="36" t="s">
        <v>1748</v>
      </c>
      <c r="G914" s="37" t="s">
        <v>3226</v>
      </c>
      <c r="H914" s="36" t="s">
        <v>913</v>
      </c>
      <c r="I914" s="35" t="s">
        <v>3227</v>
      </c>
      <c r="J914" s="36" t="s">
        <v>929</v>
      </c>
      <c r="K914" s="33" t="s">
        <v>916</v>
      </c>
      <c r="L914" s="35" t="s">
        <v>916</v>
      </c>
      <c r="M914" s="36" t="s">
        <v>916</v>
      </c>
      <c r="N914" s="45">
        <v>46051.692361111112</v>
      </c>
      <c r="O914" s="36" t="s">
        <v>25</v>
      </c>
      <c r="P914" s="38">
        <v>1.0081481482000001</v>
      </c>
      <c r="Q914" s="39" t="s">
        <v>3228</v>
      </c>
      <c r="R914" s="35" t="s">
        <v>916</v>
      </c>
      <c r="S914" s="35"/>
      <c r="T914" s="35" t="s">
        <v>1701</v>
      </c>
      <c r="U914" s="40">
        <v>46051</v>
      </c>
      <c r="V914" s="41">
        <v>46153.532812500001</v>
      </c>
      <c r="W914" s="40">
        <v>46050</v>
      </c>
      <c r="X914" s="35" t="s">
        <v>916</v>
      </c>
      <c r="Y914" s="35" t="s">
        <v>916</v>
      </c>
      <c r="Z914" s="35" t="s">
        <v>916</v>
      </c>
      <c r="AA914" s="38">
        <v>24.195555556799999</v>
      </c>
      <c r="AB914" s="42" t="s">
        <v>916</v>
      </c>
      <c r="AC914" s="43" t="s">
        <v>916</v>
      </c>
      <c r="AD914" s="43" t="s">
        <v>916</v>
      </c>
      <c r="AE914" s="33" t="s">
        <v>916</v>
      </c>
      <c r="AF914" s="35" t="s">
        <v>916</v>
      </c>
      <c r="AG914" s="44">
        <v>491560.42111111112</v>
      </c>
      <c r="AH914" s="42" t="s">
        <v>916</v>
      </c>
      <c r="AI914" s="32" t="e">
        <f>VLOOKUP(A914,'4月明細'!B:B,1,0)</f>
        <v>#N/A</v>
      </c>
    </row>
    <row r="915" spans="1:35" ht="19.95" customHeight="1" x14ac:dyDescent="0.3">
      <c r="A915" s="33" t="s">
        <v>243</v>
      </c>
      <c r="B915" s="34">
        <v>46050.648125</v>
      </c>
      <c r="C915" s="34" t="str">
        <f t="shared" si="27"/>
        <v>202601</v>
      </c>
      <c r="D915" s="35" t="s">
        <v>996</v>
      </c>
      <c r="E915" s="36" t="s">
        <v>910</v>
      </c>
      <c r="F915" s="36" t="s">
        <v>1423</v>
      </c>
      <c r="G915" s="37" t="s">
        <v>3229</v>
      </c>
      <c r="H915" s="36" t="s">
        <v>928</v>
      </c>
      <c r="I915" s="35" t="s">
        <v>3230</v>
      </c>
      <c r="J915" s="36" t="s">
        <v>929</v>
      </c>
      <c r="K915" s="33" t="s">
        <v>916</v>
      </c>
      <c r="L915" s="35" t="s">
        <v>916</v>
      </c>
      <c r="M915" s="36" t="s">
        <v>1039</v>
      </c>
      <c r="N915" s="45">
        <v>46050.664583333331</v>
      </c>
      <c r="O915" s="36" t="s">
        <v>25</v>
      </c>
      <c r="P915" s="38">
        <v>1.6458333299999999E-2</v>
      </c>
      <c r="Q915" s="39" t="s">
        <v>3231</v>
      </c>
      <c r="R915" s="35" t="s">
        <v>916</v>
      </c>
      <c r="S915" s="35" t="s">
        <v>3232</v>
      </c>
      <c r="T915" s="35" t="s">
        <v>1701</v>
      </c>
      <c r="U915" s="40">
        <v>46051</v>
      </c>
      <c r="V915" s="41">
        <v>46153.532812500001</v>
      </c>
      <c r="W915" s="40">
        <v>46050</v>
      </c>
      <c r="X915" s="35" t="s">
        <v>916</v>
      </c>
      <c r="Y915" s="35" t="s">
        <v>916</v>
      </c>
      <c r="Z915" s="35" t="s">
        <v>916</v>
      </c>
      <c r="AA915" s="38">
        <v>0.39499999920000001</v>
      </c>
      <c r="AB915" s="42" t="s">
        <v>916</v>
      </c>
      <c r="AC915" s="43" t="s">
        <v>916</v>
      </c>
      <c r="AD915" s="43" t="s">
        <v>916</v>
      </c>
      <c r="AE915" s="33" t="s">
        <v>916</v>
      </c>
      <c r="AF915" s="35" t="s">
        <v>916</v>
      </c>
      <c r="AG915" s="44">
        <v>491559.55499999999</v>
      </c>
      <c r="AH915" s="42" t="s">
        <v>916</v>
      </c>
      <c r="AI915" s="32" t="e">
        <f>VLOOKUP(A915,'4月明細'!B:B,1,0)</f>
        <v>#N/A</v>
      </c>
    </row>
    <row r="916" spans="1:35" ht="19.95" customHeight="1" x14ac:dyDescent="0.3">
      <c r="A916" s="33" t="s">
        <v>242</v>
      </c>
      <c r="B916" s="34">
        <v>46050.63385416667</v>
      </c>
      <c r="C916" s="34" t="str">
        <f t="shared" si="27"/>
        <v>202601</v>
      </c>
      <c r="D916" s="35" t="s">
        <v>951</v>
      </c>
      <c r="E916" s="36" t="s">
        <v>910</v>
      </c>
      <c r="F916" s="36" t="s">
        <v>1475</v>
      </c>
      <c r="G916" s="37" t="s">
        <v>3233</v>
      </c>
      <c r="H916" s="36" t="s">
        <v>954</v>
      </c>
      <c r="I916" s="35" t="s">
        <v>3234</v>
      </c>
      <c r="J916" s="36" t="s">
        <v>929</v>
      </c>
      <c r="K916" s="33" t="s">
        <v>916</v>
      </c>
      <c r="L916" s="35" t="s">
        <v>916</v>
      </c>
      <c r="M916" s="36" t="s">
        <v>1039</v>
      </c>
      <c r="N916" s="45">
        <v>46050.665972222225</v>
      </c>
      <c r="O916" s="36" t="s">
        <v>25</v>
      </c>
      <c r="P916" s="38">
        <v>3.2118055600000001E-2</v>
      </c>
      <c r="Q916" s="39" t="s">
        <v>3235</v>
      </c>
      <c r="R916" s="35" t="s">
        <v>916</v>
      </c>
      <c r="S916" s="35"/>
      <c r="T916" s="35" t="s">
        <v>1701</v>
      </c>
      <c r="U916" s="40">
        <v>46051</v>
      </c>
      <c r="V916" s="41">
        <v>46153.532812500001</v>
      </c>
      <c r="W916" s="40">
        <v>46050</v>
      </c>
      <c r="X916" s="35" t="s">
        <v>916</v>
      </c>
      <c r="Y916" s="35" t="s">
        <v>916</v>
      </c>
      <c r="Z916" s="35" t="s">
        <v>916</v>
      </c>
      <c r="AA916" s="38">
        <v>0.77083333440000001</v>
      </c>
      <c r="AB916" s="42" t="s">
        <v>916</v>
      </c>
      <c r="AC916" s="43" t="s">
        <v>916</v>
      </c>
      <c r="AD916" s="43" t="s">
        <v>916</v>
      </c>
      <c r="AE916" s="33" t="s">
        <v>916</v>
      </c>
      <c r="AF916" s="35" t="s">
        <v>916</v>
      </c>
      <c r="AG916" s="44">
        <v>491559.21250000002</v>
      </c>
      <c r="AH916" s="42" t="s">
        <v>916</v>
      </c>
      <c r="AI916" s="32" t="e">
        <f>VLOOKUP(A916,'4月明細'!B:B,1,0)</f>
        <v>#N/A</v>
      </c>
    </row>
    <row r="917" spans="1:35" ht="19.95" customHeight="1" x14ac:dyDescent="0.3">
      <c r="A917" s="33" t="s">
        <v>241</v>
      </c>
      <c r="B917" s="34">
        <v>46050.603182870371</v>
      </c>
      <c r="C917" s="34" t="str">
        <f t="shared" si="27"/>
        <v>202601</v>
      </c>
      <c r="D917" s="35" t="s">
        <v>996</v>
      </c>
      <c r="E917" s="36" t="s">
        <v>910</v>
      </c>
      <c r="F917" s="36" t="s">
        <v>972</v>
      </c>
      <c r="G917" s="37" t="s">
        <v>3236</v>
      </c>
      <c r="H917" s="36" t="s">
        <v>928</v>
      </c>
      <c r="I917" s="35" t="s">
        <v>3237</v>
      </c>
      <c r="J917" s="36" t="s">
        <v>929</v>
      </c>
      <c r="K917" s="33" t="s">
        <v>916</v>
      </c>
      <c r="L917" s="35" t="s">
        <v>916</v>
      </c>
      <c r="M917" s="36" t="s">
        <v>916</v>
      </c>
      <c r="N917" s="45">
        <v>46050.665972222225</v>
      </c>
      <c r="O917" s="36" t="s">
        <v>25</v>
      </c>
      <c r="P917" s="38">
        <v>6.2789351899999998E-2</v>
      </c>
      <c r="Q917" s="39" t="s">
        <v>3238</v>
      </c>
      <c r="R917" s="35" t="s">
        <v>916</v>
      </c>
      <c r="S917" s="35" t="s">
        <v>3239</v>
      </c>
      <c r="T917" s="35" t="s">
        <v>1701</v>
      </c>
      <c r="U917" s="40">
        <v>46051</v>
      </c>
      <c r="V917" s="41">
        <v>46153.532812500001</v>
      </c>
      <c r="W917" s="40">
        <v>46050</v>
      </c>
      <c r="X917" s="35" t="s">
        <v>916</v>
      </c>
      <c r="Y917" s="35" t="s">
        <v>916</v>
      </c>
      <c r="Z917" s="35" t="s">
        <v>916</v>
      </c>
      <c r="AA917" s="38">
        <v>1.5069444456000001</v>
      </c>
      <c r="AB917" s="42" t="s">
        <v>916</v>
      </c>
      <c r="AC917" s="43" t="s">
        <v>916</v>
      </c>
      <c r="AD917" s="43" t="s">
        <v>916</v>
      </c>
      <c r="AE917" s="33" t="s">
        <v>916</v>
      </c>
      <c r="AF917" s="35" t="s">
        <v>916</v>
      </c>
      <c r="AG917" s="44">
        <v>491558.4763888889</v>
      </c>
      <c r="AH917" s="42" t="s">
        <v>916</v>
      </c>
      <c r="AI917" s="32" t="e">
        <f>VLOOKUP(A917,'4月明細'!B:B,1,0)</f>
        <v>#N/A</v>
      </c>
    </row>
    <row r="918" spans="1:35" ht="19.95" customHeight="1" x14ac:dyDescent="0.3">
      <c r="A918" s="33" t="s">
        <v>3240</v>
      </c>
      <c r="B918" s="34">
        <v>46050.59443287037</v>
      </c>
      <c r="C918" s="34" t="str">
        <f t="shared" si="27"/>
        <v>202601</v>
      </c>
      <c r="D918" s="35" t="s">
        <v>996</v>
      </c>
      <c r="E918" s="36" t="s">
        <v>910</v>
      </c>
      <c r="F918" s="36" t="s">
        <v>1693</v>
      </c>
      <c r="G918" s="37" t="s">
        <v>3241</v>
      </c>
      <c r="H918" s="36" t="s">
        <v>928</v>
      </c>
      <c r="I918" s="35" t="s">
        <v>3242</v>
      </c>
      <c r="J918" s="36" t="s">
        <v>929</v>
      </c>
      <c r="K918" s="33" t="s">
        <v>916</v>
      </c>
      <c r="L918" s="35" t="s">
        <v>916</v>
      </c>
      <c r="M918" s="36" t="s">
        <v>1039</v>
      </c>
      <c r="N918" s="45">
        <v>46050.666666666664</v>
      </c>
      <c r="O918" s="36" t="s">
        <v>1384</v>
      </c>
      <c r="P918" s="38">
        <v>7.22337963E-2</v>
      </c>
      <c r="Q918" s="39" t="s">
        <v>3243</v>
      </c>
      <c r="R918" s="35" t="s">
        <v>916</v>
      </c>
      <c r="S918" s="35" t="s">
        <v>3244</v>
      </c>
      <c r="T918" s="35" t="s">
        <v>1624</v>
      </c>
      <c r="U918" s="40">
        <v>46051</v>
      </c>
      <c r="V918" s="41">
        <v>46153.532812500001</v>
      </c>
      <c r="W918" s="40">
        <v>46050</v>
      </c>
      <c r="X918" s="35" t="s">
        <v>916</v>
      </c>
      <c r="Y918" s="35" t="s">
        <v>916</v>
      </c>
      <c r="Z918" s="35" t="s">
        <v>916</v>
      </c>
      <c r="AA918" s="38">
        <v>1.7336111112000001</v>
      </c>
      <c r="AB918" s="42" t="s">
        <v>916</v>
      </c>
      <c r="AC918" s="43" t="s">
        <v>916</v>
      </c>
      <c r="AD918" s="43" t="s">
        <v>916</v>
      </c>
      <c r="AE918" s="33" t="s">
        <v>916</v>
      </c>
      <c r="AF918" s="35" t="s">
        <v>916</v>
      </c>
      <c r="AG918" s="44">
        <v>491558.26638888888</v>
      </c>
      <c r="AH918" s="42" t="s">
        <v>916</v>
      </c>
      <c r="AI918" s="32" t="e">
        <f>VLOOKUP(A918,'4月明細'!B:B,1,0)</f>
        <v>#N/A</v>
      </c>
    </row>
    <row r="919" spans="1:35" ht="19.95" customHeight="1" x14ac:dyDescent="0.3">
      <c r="A919" s="33" t="s">
        <v>240</v>
      </c>
      <c r="B919" s="34">
        <v>46050.51840277778</v>
      </c>
      <c r="C919" s="34" t="str">
        <f t="shared" si="27"/>
        <v>202601</v>
      </c>
      <c r="D919" s="35" t="s">
        <v>951</v>
      </c>
      <c r="E919" s="36" t="s">
        <v>910</v>
      </c>
      <c r="F919" s="36" t="s">
        <v>2300</v>
      </c>
      <c r="G919" s="37" t="s">
        <v>3245</v>
      </c>
      <c r="H919" s="36" t="s">
        <v>954</v>
      </c>
      <c r="I919" s="35" t="s">
        <v>3246</v>
      </c>
      <c r="J919" s="36" t="s">
        <v>914</v>
      </c>
      <c r="K919" s="33" t="s">
        <v>916</v>
      </c>
      <c r="L919" s="35" t="s">
        <v>916</v>
      </c>
      <c r="M919" s="36" t="s">
        <v>916</v>
      </c>
      <c r="N919" s="45">
        <v>46050.65625</v>
      </c>
      <c r="O919" s="36" t="s">
        <v>25</v>
      </c>
      <c r="P919" s="38">
        <v>0.13784722220000001</v>
      </c>
      <c r="Q919" s="39" t="s">
        <v>3247</v>
      </c>
      <c r="R919" s="35" t="s">
        <v>916</v>
      </c>
      <c r="S919" s="35"/>
      <c r="T919" s="35" t="s">
        <v>1701</v>
      </c>
      <c r="U919" s="40">
        <v>46051</v>
      </c>
      <c r="V919" s="41">
        <v>46153.532812500001</v>
      </c>
      <c r="W919" s="40">
        <v>46050</v>
      </c>
      <c r="X919" s="35" t="s">
        <v>916</v>
      </c>
      <c r="Y919" s="35" t="s">
        <v>916</v>
      </c>
      <c r="Z919" s="35" t="s">
        <v>916</v>
      </c>
      <c r="AA919" s="38">
        <v>3.3083333328000002</v>
      </c>
      <c r="AB919" s="42" t="s">
        <v>916</v>
      </c>
      <c r="AC919" s="43" t="s">
        <v>916</v>
      </c>
      <c r="AD919" s="43" t="s">
        <v>916</v>
      </c>
      <c r="AE919" s="33" t="s">
        <v>916</v>
      </c>
      <c r="AF919" s="35" t="s">
        <v>916</v>
      </c>
      <c r="AG919" s="44">
        <v>491556.44166666671</v>
      </c>
      <c r="AH919" s="42" t="s">
        <v>916</v>
      </c>
      <c r="AI919" s="32" t="e">
        <f>VLOOKUP(A919,'4月明細'!B:B,1,0)</f>
        <v>#N/A</v>
      </c>
    </row>
    <row r="920" spans="1:35" ht="19.95" customHeight="1" x14ac:dyDescent="0.3">
      <c r="A920" s="33" t="s">
        <v>239</v>
      </c>
      <c r="B920" s="34">
        <v>46050.459317129629</v>
      </c>
      <c r="C920" s="34" t="str">
        <f t="shared" si="27"/>
        <v>202601</v>
      </c>
      <c r="D920" s="35" t="s">
        <v>951</v>
      </c>
      <c r="E920" s="36" t="s">
        <v>910</v>
      </c>
      <c r="F920" s="36" t="s">
        <v>1260</v>
      </c>
      <c r="G920" s="37" t="s">
        <v>3248</v>
      </c>
      <c r="H920" s="36" t="s">
        <v>954</v>
      </c>
      <c r="I920" s="35" t="s">
        <v>3249</v>
      </c>
      <c r="J920" s="36" t="s">
        <v>929</v>
      </c>
      <c r="K920" s="33" t="s">
        <v>916</v>
      </c>
      <c r="L920" s="35" t="s">
        <v>916</v>
      </c>
      <c r="M920" s="36" t="s">
        <v>916</v>
      </c>
      <c r="N920" s="45">
        <v>46050.65625</v>
      </c>
      <c r="O920" s="36" t="s">
        <v>25</v>
      </c>
      <c r="P920" s="38">
        <v>0.19693287039999999</v>
      </c>
      <c r="Q920" s="39" t="s">
        <v>3250</v>
      </c>
      <c r="R920" s="35" t="s">
        <v>916</v>
      </c>
      <c r="S920" s="35" t="s">
        <v>3251</v>
      </c>
      <c r="T920" s="35" t="s">
        <v>1701</v>
      </c>
      <c r="U920" s="40">
        <v>46051</v>
      </c>
      <c r="V920" s="41">
        <v>46153.532812500001</v>
      </c>
      <c r="W920" s="40">
        <v>46050</v>
      </c>
      <c r="X920" s="35" t="s">
        <v>916</v>
      </c>
      <c r="Y920" s="35" t="s">
        <v>916</v>
      </c>
      <c r="Z920" s="35" t="s">
        <v>916</v>
      </c>
      <c r="AA920" s="38">
        <v>4.7263888895999999</v>
      </c>
      <c r="AB920" s="42" t="s">
        <v>916</v>
      </c>
      <c r="AC920" s="43" t="s">
        <v>916</v>
      </c>
      <c r="AD920" s="43" t="s">
        <v>916</v>
      </c>
      <c r="AE920" s="33" t="s">
        <v>916</v>
      </c>
      <c r="AF920" s="35" t="s">
        <v>916</v>
      </c>
      <c r="AG920" s="44">
        <v>491555.0236111111</v>
      </c>
      <c r="AH920" s="42" t="s">
        <v>916</v>
      </c>
      <c r="AI920" s="32" t="e">
        <f>VLOOKUP(A920,'4月明細'!B:B,1,0)</f>
        <v>#N/A</v>
      </c>
    </row>
    <row r="921" spans="1:35" ht="19.95" customHeight="1" x14ac:dyDescent="0.3">
      <c r="A921" s="33" t="s">
        <v>238</v>
      </c>
      <c r="B921" s="34">
        <v>46050.458773148152</v>
      </c>
      <c r="C921" s="34" t="str">
        <f t="shared" si="27"/>
        <v>202601</v>
      </c>
      <c r="D921" s="35" t="s">
        <v>951</v>
      </c>
      <c r="E921" s="36" t="s">
        <v>910</v>
      </c>
      <c r="F921" s="36" t="s">
        <v>1004</v>
      </c>
      <c r="G921" s="37" t="s">
        <v>3252</v>
      </c>
      <c r="H921" s="36" t="s">
        <v>1023</v>
      </c>
      <c r="I921" s="35" t="s">
        <v>3253</v>
      </c>
      <c r="J921" s="36" t="s">
        <v>929</v>
      </c>
      <c r="K921" s="33" t="s">
        <v>916</v>
      </c>
      <c r="L921" s="35" t="s">
        <v>916</v>
      </c>
      <c r="M921" s="36" t="s">
        <v>916</v>
      </c>
      <c r="N921" s="45">
        <v>46050.668749999997</v>
      </c>
      <c r="O921" s="36" t="s">
        <v>25</v>
      </c>
      <c r="P921" s="38">
        <v>0.20997685190000001</v>
      </c>
      <c r="Q921" s="39" t="s">
        <v>3254</v>
      </c>
      <c r="R921" s="35" t="s">
        <v>916</v>
      </c>
      <c r="S921" s="35" t="s">
        <v>3255</v>
      </c>
      <c r="T921" s="35" t="s">
        <v>1701</v>
      </c>
      <c r="U921" s="40">
        <v>46051</v>
      </c>
      <c r="V921" s="41">
        <v>46153.532812500001</v>
      </c>
      <c r="W921" s="40">
        <v>46050</v>
      </c>
      <c r="X921" s="35" t="s">
        <v>916</v>
      </c>
      <c r="Y921" s="35" t="s">
        <v>916</v>
      </c>
      <c r="Z921" s="35" t="s">
        <v>916</v>
      </c>
      <c r="AA921" s="38">
        <v>5.0394444456</v>
      </c>
      <c r="AB921" s="42" t="s">
        <v>916</v>
      </c>
      <c r="AC921" s="43" t="s">
        <v>916</v>
      </c>
      <c r="AD921" s="43" t="s">
        <v>916</v>
      </c>
      <c r="AE921" s="33" t="s">
        <v>916</v>
      </c>
      <c r="AF921" s="35" t="s">
        <v>916</v>
      </c>
      <c r="AG921" s="44">
        <v>491555.01055555558</v>
      </c>
      <c r="AH921" s="42" t="s">
        <v>916</v>
      </c>
      <c r="AI921" s="32" t="e">
        <f>VLOOKUP(A921,'4月明細'!B:B,1,0)</f>
        <v>#N/A</v>
      </c>
    </row>
    <row r="922" spans="1:35" ht="19.95" customHeight="1" x14ac:dyDescent="0.3">
      <c r="A922" s="33" t="s">
        <v>237</v>
      </c>
      <c r="B922" s="34">
        <v>46050.430648148147</v>
      </c>
      <c r="C922" s="34" t="str">
        <f t="shared" si="27"/>
        <v>202601</v>
      </c>
      <c r="D922" s="35" t="s">
        <v>951</v>
      </c>
      <c r="E922" s="36" t="s">
        <v>910</v>
      </c>
      <c r="F922" s="36" t="s">
        <v>1568</v>
      </c>
      <c r="G922" s="37" t="s">
        <v>3256</v>
      </c>
      <c r="H922" s="36" t="s">
        <v>954</v>
      </c>
      <c r="I922" s="35" t="s">
        <v>3257</v>
      </c>
      <c r="J922" s="36" t="s">
        <v>929</v>
      </c>
      <c r="K922" s="33" t="s">
        <v>916</v>
      </c>
      <c r="L922" s="35" t="s">
        <v>916</v>
      </c>
      <c r="M922" s="36" t="s">
        <v>916</v>
      </c>
      <c r="N922" s="45">
        <v>46050.670138888891</v>
      </c>
      <c r="O922" s="36" t="s">
        <v>25</v>
      </c>
      <c r="P922" s="38">
        <v>0.23949074070000001</v>
      </c>
      <c r="Q922" s="39" t="s">
        <v>3258</v>
      </c>
      <c r="R922" s="35" t="s">
        <v>916</v>
      </c>
      <c r="S922" s="35" t="s">
        <v>3259</v>
      </c>
      <c r="T922" s="35" t="s">
        <v>1701</v>
      </c>
      <c r="U922" s="40">
        <v>46051</v>
      </c>
      <c r="V922" s="41">
        <v>46153.532812500001</v>
      </c>
      <c r="W922" s="40">
        <v>46050</v>
      </c>
      <c r="X922" s="35" t="s">
        <v>916</v>
      </c>
      <c r="Y922" s="35" t="s">
        <v>916</v>
      </c>
      <c r="Z922" s="35" t="s">
        <v>916</v>
      </c>
      <c r="AA922" s="38">
        <v>5.7477777767999996</v>
      </c>
      <c r="AB922" s="42" t="s">
        <v>916</v>
      </c>
      <c r="AC922" s="43" t="s">
        <v>916</v>
      </c>
      <c r="AD922" s="43" t="s">
        <v>916</v>
      </c>
      <c r="AE922" s="33" t="s">
        <v>916</v>
      </c>
      <c r="AF922" s="35" t="s">
        <v>916</v>
      </c>
      <c r="AG922" s="44">
        <v>491554.33555555559</v>
      </c>
      <c r="AH922" s="42" t="s">
        <v>916</v>
      </c>
      <c r="AI922" s="32" t="e">
        <f>VLOOKUP(A922,'4月明細'!B:B,1,0)</f>
        <v>#N/A</v>
      </c>
    </row>
    <row r="923" spans="1:35" ht="19.95" customHeight="1" x14ac:dyDescent="0.3">
      <c r="A923" s="33" t="s">
        <v>236</v>
      </c>
      <c r="B923" s="34">
        <v>46050.358553240738</v>
      </c>
      <c r="C923" s="34" t="str">
        <f t="shared" si="27"/>
        <v>202601</v>
      </c>
      <c r="D923" s="35" t="s">
        <v>1014</v>
      </c>
      <c r="E923" s="36" t="s">
        <v>942</v>
      </c>
      <c r="F923" s="36" t="s">
        <v>1304</v>
      </c>
      <c r="G923" s="37" t="s">
        <v>3260</v>
      </c>
      <c r="H923" s="36" t="s">
        <v>913</v>
      </c>
      <c r="I923" s="35"/>
      <c r="J923" s="36" t="s">
        <v>945</v>
      </c>
      <c r="K923" s="33" t="s">
        <v>916</v>
      </c>
      <c r="L923" s="35" t="s">
        <v>916</v>
      </c>
      <c r="M923" s="36" t="s">
        <v>1039</v>
      </c>
      <c r="N923" s="45">
        <v>46050.59375</v>
      </c>
      <c r="O923" s="36" t="s">
        <v>25</v>
      </c>
      <c r="P923" s="38">
        <v>0.2351967593</v>
      </c>
      <c r="Q923" s="39" t="s">
        <v>3261</v>
      </c>
      <c r="R923" s="35" t="s">
        <v>916</v>
      </c>
      <c r="S923" s="35" t="s">
        <v>3262</v>
      </c>
      <c r="T923" s="35" t="s">
        <v>1701</v>
      </c>
      <c r="U923" s="40">
        <v>46051</v>
      </c>
      <c r="V923" s="41">
        <v>46153.532812500001</v>
      </c>
      <c r="W923" s="40">
        <v>46050</v>
      </c>
      <c r="X923" s="35" t="s">
        <v>916</v>
      </c>
      <c r="Y923" s="35" t="s">
        <v>916</v>
      </c>
      <c r="Z923" s="35" t="s">
        <v>916</v>
      </c>
      <c r="AA923" s="38">
        <v>5.6447222231999996</v>
      </c>
      <c r="AB923" s="42" t="s">
        <v>916</v>
      </c>
      <c r="AC923" s="43" t="s">
        <v>916</v>
      </c>
      <c r="AD923" s="43" t="s">
        <v>916</v>
      </c>
      <c r="AE923" s="33" t="s">
        <v>916</v>
      </c>
      <c r="AF923" s="35" t="s">
        <v>916</v>
      </c>
      <c r="AG923" s="44">
        <v>491552.60527777782</v>
      </c>
      <c r="AH923" s="42" t="s">
        <v>916</v>
      </c>
      <c r="AI923" s="32" t="e">
        <f>VLOOKUP(A923,'4月明細'!B:B,1,0)</f>
        <v>#N/A</v>
      </c>
    </row>
    <row r="924" spans="1:35" ht="19.95" customHeight="1" x14ac:dyDescent="0.3">
      <c r="A924" s="33" t="s">
        <v>235</v>
      </c>
      <c r="B924" s="34">
        <v>46049.628310185188</v>
      </c>
      <c r="C924" s="34" t="str">
        <f t="shared" si="27"/>
        <v>202601</v>
      </c>
      <c r="D924" s="35" t="s">
        <v>3263</v>
      </c>
      <c r="E924" s="36" t="s">
        <v>1149</v>
      </c>
      <c r="F924" s="36" t="s">
        <v>1433</v>
      </c>
      <c r="G924" s="37" t="s">
        <v>3264</v>
      </c>
      <c r="H924" s="36" t="s">
        <v>928</v>
      </c>
      <c r="I924" s="35" t="s">
        <v>3265</v>
      </c>
      <c r="J924" s="36" t="s">
        <v>1058</v>
      </c>
      <c r="K924" s="33" t="s">
        <v>916</v>
      </c>
      <c r="L924" s="35" t="s">
        <v>916</v>
      </c>
      <c r="M924" s="36" t="s">
        <v>916</v>
      </c>
      <c r="N924" s="45">
        <v>46049.647916666669</v>
      </c>
      <c r="O924" s="36" t="s">
        <v>25</v>
      </c>
      <c r="P924" s="38">
        <v>1.9606481500000002E-2</v>
      </c>
      <c r="Q924" s="39" t="s">
        <v>3266</v>
      </c>
      <c r="R924" s="35" t="s">
        <v>916</v>
      </c>
      <c r="S924" s="35" t="s">
        <v>3267</v>
      </c>
      <c r="T924" s="35" t="s">
        <v>1701</v>
      </c>
      <c r="U924" s="40">
        <v>46050</v>
      </c>
      <c r="V924" s="41">
        <v>46153.532812500001</v>
      </c>
      <c r="W924" s="40">
        <v>46049</v>
      </c>
      <c r="X924" s="35" t="s">
        <v>916</v>
      </c>
      <c r="Y924" s="35" t="s">
        <v>916</v>
      </c>
      <c r="Z924" s="35" t="s">
        <v>916</v>
      </c>
      <c r="AA924" s="38">
        <v>0.47055555599999999</v>
      </c>
      <c r="AB924" s="42" t="s">
        <v>916</v>
      </c>
      <c r="AC924" s="43" t="s">
        <v>916</v>
      </c>
      <c r="AD924" s="43" t="s">
        <v>916</v>
      </c>
      <c r="AE924" s="33" t="s">
        <v>916</v>
      </c>
      <c r="AF924" s="35" t="s">
        <v>916</v>
      </c>
      <c r="AG924" s="44">
        <v>491535.07944444451</v>
      </c>
      <c r="AH924" s="42" t="s">
        <v>916</v>
      </c>
      <c r="AI924" s="32" t="e">
        <f>VLOOKUP(A924,'4月明細'!B:B,1,0)</f>
        <v>#N/A</v>
      </c>
    </row>
    <row r="925" spans="1:35" ht="19.95" customHeight="1" x14ac:dyDescent="0.3">
      <c r="A925" s="33" t="s">
        <v>234</v>
      </c>
      <c r="B925" s="34">
        <v>46049.543495370373</v>
      </c>
      <c r="C925" s="34" t="str">
        <f t="shared" si="27"/>
        <v>202601</v>
      </c>
      <c r="D925" s="35" t="s">
        <v>986</v>
      </c>
      <c r="E925" s="36" t="s">
        <v>910</v>
      </c>
      <c r="F925" s="36" t="s">
        <v>2804</v>
      </c>
      <c r="G925" s="37" t="s">
        <v>3268</v>
      </c>
      <c r="H925" s="36" t="s">
        <v>1078</v>
      </c>
      <c r="I925" s="35"/>
      <c r="J925" s="36" t="s">
        <v>914</v>
      </c>
      <c r="K925" s="33" t="s">
        <v>916</v>
      </c>
      <c r="L925" s="35" t="s">
        <v>916</v>
      </c>
      <c r="M925" s="36" t="s">
        <v>923</v>
      </c>
      <c r="N925" s="45">
        <v>46049.647222222222</v>
      </c>
      <c r="O925" s="36" t="s">
        <v>25</v>
      </c>
      <c r="P925" s="38">
        <v>0.1037268519</v>
      </c>
      <c r="Q925" s="39" t="s">
        <v>3269</v>
      </c>
      <c r="R925" s="35" t="s">
        <v>916</v>
      </c>
      <c r="S925" s="35" t="s">
        <v>3270</v>
      </c>
      <c r="T925" s="35" t="s">
        <v>1701</v>
      </c>
      <c r="U925" s="40">
        <v>46050</v>
      </c>
      <c r="V925" s="41">
        <v>46153.532812500001</v>
      </c>
      <c r="W925" s="40">
        <v>46049</v>
      </c>
      <c r="X925" s="35" t="s">
        <v>916</v>
      </c>
      <c r="Y925" s="35" t="s">
        <v>916</v>
      </c>
      <c r="Z925" s="35" t="s">
        <v>916</v>
      </c>
      <c r="AA925" s="38">
        <v>2.4894444456000002</v>
      </c>
      <c r="AB925" s="42" t="s">
        <v>916</v>
      </c>
      <c r="AC925" s="43" t="s">
        <v>916</v>
      </c>
      <c r="AD925" s="43" t="s">
        <v>916</v>
      </c>
      <c r="AE925" s="33" t="s">
        <v>916</v>
      </c>
      <c r="AF925" s="35" t="s">
        <v>916</v>
      </c>
      <c r="AG925" s="44">
        <v>491533.0438888889</v>
      </c>
      <c r="AH925" s="42" t="s">
        <v>916</v>
      </c>
      <c r="AI925" s="32" t="e">
        <f>VLOOKUP(A925,'4月明細'!B:B,1,0)</f>
        <v>#N/A</v>
      </c>
    </row>
    <row r="926" spans="1:35" ht="19.95" customHeight="1" x14ac:dyDescent="0.3">
      <c r="A926" s="33" t="s">
        <v>233</v>
      </c>
      <c r="B926" s="34">
        <v>46049.542442129627</v>
      </c>
      <c r="C926" s="34" t="str">
        <f t="shared" si="27"/>
        <v>202601</v>
      </c>
      <c r="D926" s="35" t="s">
        <v>986</v>
      </c>
      <c r="E926" s="36" t="s">
        <v>910</v>
      </c>
      <c r="F926" s="36" t="s">
        <v>1276</v>
      </c>
      <c r="G926" s="37" t="s">
        <v>3271</v>
      </c>
      <c r="H926" s="36" t="s">
        <v>913</v>
      </c>
      <c r="I926" s="35"/>
      <c r="J926" s="36" t="s">
        <v>938</v>
      </c>
      <c r="K926" s="33" t="s">
        <v>916</v>
      </c>
      <c r="L926" s="35" t="s">
        <v>916</v>
      </c>
      <c r="M926" s="36" t="s">
        <v>957</v>
      </c>
      <c r="N926" s="45">
        <v>46049.585416666669</v>
      </c>
      <c r="O926" s="36" t="s">
        <v>25</v>
      </c>
      <c r="P926" s="38">
        <v>4.2974537E-2</v>
      </c>
      <c r="Q926" s="39" t="s">
        <v>3272</v>
      </c>
      <c r="R926" s="35" t="s">
        <v>916</v>
      </c>
      <c r="S926" s="35"/>
      <c r="T926" s="35" t="s">
        <v>1701</v>
      </c>
      <c r="U926" s="40">
        <v>46050</v>
      </c>
      <c r="V926" s="41">
        <v>46153.532812500001</v>
      </c>
      <c r="W926" s="40">
        <v>46049</v>
      </c>
      <c r="X926" s="35" t="s">
        <v>916</v>
      </c>
      <c r="Y926" s="35" t="s">
        <v>916</v>
      </c>
      <c r="Z926" s="35" t="s">
        <v>916</v>
      </c>
      <c r="AA926" s="38">
        <v>1.0313888879999999</v>
      </c>
      <c r="AB926" s="42" t="s">
        <v>916</v>
      </c>
      <c r="AC926" s="43" t="s">
        <v>916</v>
      </c>
      <c r="AD926" s="43" t="s">
        <v>916</v>
      </c>
      <c r="AE926" s="33" t="s">
        <v>916</v>
      </c>
      <c r="AF926" s="35" t="s">
        <v>916</v>
      </c>
      <c r="AG926" s="44">
        <v>491533.0186111111</v>
      </c>
      <c r="AH926" s="42" t="s">
        <v>916</v>
      </c>
      <c r="AI926" s="32" t="e">
        <f>VLOOKUP(A926,'4月明細'!B:B,1,0)</f>
        <v>#N/A</v>
      </c>
    </row>
    <row r="927" spans="1:35" ht="19.95" customHeight="1" x14ac:dyDescent="0.3">
      <c r="A927" s="33" t="s">
        <v>232</v>
      </c>
      <c r="B927" s="34">
        <v>46049.499756944446</v>
      </c>
      <c r="C927" s="34" t="str">
        <f t="shared" si="27"/>
        <v>202601</v>
      </c>
      <c r="D927" s="35" t="s">
        <v>951</v>
      </c>
      <c r="E927" s="36" t="s">
        <v>910</v>
      </c>
      <c r="F927" s="36" t="s">
        <v>1381</v>
      </c>
      <c r="G927" s="37" t="s">
        <v>3273</v>
      </c>
      <c r="H927" s="36" t="s">
        <v>954</v>
      </c>
      <c r="I927" s="35"/>
      <c r="J927" s="36" t="s">
        <v>929</v>
      </c>
      <c r="K927" s="33" t="s">
        <v>916</v>
      </c>
      <c r="L927" s="35" t="s">
        <v>916</v>
      </c>
      <c r="M927" s="36" t="s">
        <v>916</v>
      </c>
      <c r="N927" s="45">
        <v>46049.582638888889</v>
      </c>
      <c r="O927" s="36" t="s">
        <v>25</v>
      </c>
      <c r="P927" s="38">
        <v>8.2881944400000004E-2</v>
      </c>
      <c r="Q927" s="39" t="s">
        <v>3274</v>
      </c>
      <c r="R927" s="35" t="s">
        <v>916</v>
      </c>
      <c r="S927" s="35"/>
      <c r="T927" s="35" t="s">
        <v>1701</v>
      </c>
      <c r="U927" s="40">
        <v>46050</v>
      </c>
      <c r="V927" s="41">
        <v>46153.532812500001</v>
      </c>
      <c r="W927" s="40">
        <v>46049</v>
      </c>
      <c r="X927" s="35" t="s">
        <v>916</v>
      </c>
      <c r="Y927" s="35" t="s">
        <v>916</v>
      </c>
      <c r="Z927" s="35" t="s">
        <v>916</v>
      </c>
      <c r="AA927" s="38">
        <v>1.9891666656</v>
      </c>
      <c r="AB927" s="42" t="s">
        <v>916</v>
      </c>
      <c r="AC927" s="43" t="s">
        <v>916</v>
      </c>
      <c r="AD927" s="43" t="s">
        <v>916</v>
      </c>
      <c r="AE927" s="33" t="s">
        <v>916</v>
      </c>
      <c r="AF927" s="35" t="s">
        <v>916</v>
      </c>
      <c r="AG927" s="44">
        <v>491531.9941666667</v>
      </c>
      <c r="AH927" s="42" t="s">
        <v>916</v>
      </c>
      <c r="AI927" s="32" t="e">
        <f>VLOOKUP(A927,'4月明細'!B:B,1,0)</f>
        <v>#N/A</v>
      </c>
    </row>
    <row r="928" spans="1:35" ht="19.95" customHeight="1" x14ac:dyDescent="0.3">
      <c r="A928" s="33" t="s">
        <v>231</v>
      </c>
      <c r="B928" s="34">
        <v>46049.387997685182</v>
      </c>
      <c r="C928" s="34" t="str">
        <f t="shared" si="27"/>
        <v>202601</v>
      </c>
      <c r="D928" s="35" t="s">
        <v>986</v>
      </c>
      <c r="E928" s="36" t="s">
        <v>1149</v>
      </c>
      <c r="F928" s="36" t="s">
        <v>935</v>
      </c>
      <c r="G928" s="37" t="s">
        <v>3275</v>
      </c>
      <c r="H928" s="36" t="s">
        <v>1023</v>
      </c>
      <c r="I928" s="35"/>
      <c r="J928" s="36" t="s">
        <v>1058</v>
      </c>
      <c r="K928" s="33" t="s">
        <v>916</v>
      </c>
      <c r="L928" s="35" t="s">
        <v>916</v>
      </c>
      <c r="M928" s="36" t="s">
        <v>916</v>
      </c>
      <c r="N928" s="45">
        <v>46049.584722222222</v>
      </c>
      <c r="O928" s="36" t="s">
        <v>25</v>
      </c>
      <c r="P928" s="38">
        <v>0.196724537</v>
      </c>
      <c r="Q928" s="39" t="s">
        <v>3276</v>
      </c>
      <c r="R928" s="35" t="s">
        <v>916</v>
      </c>
      <c r="S928" s="35"/>
      <c r="T928" s="35" t="s">
        <v>1701</v>
      </c>
      <c r="U928" s="40">
        <v>46050</v>
      </c>
      <c r="V928" s="41">
        <v>46153.532812500001</v>
      </c>
      <c r="W928" s="40">
        <v>46049</v>
      </c>
      <c r="X928" s="35" t="s">
        <v>916</v>
      </c>
      <c r="Y928" s="35" t="s">
        <v>916</v>
      </c>
      <c r="Z928" s="35" t="s">
        <v>916</v>
      </c>
      <c r="AA928" s="38">
        <v>4.7213888879999999</v>
      </c>
      <c r="AB928" s="42" t="s">
        <v>916</v>
      </c>
      <c r="AC928" s="43" t="s">
        <v>916</v>
      </c>
      <c r="AD928" s="43" t="s">
        <v>916</v>
      </c>
      <c r="AE928" s="33" t="s">
        <v>916</v>
      </c>
      <c r="AF928" s="35" t="s">
        <v>916</v>
      </c>
      <c r="AG928" s="44">
        <v>491529.31194444437</v>
      </c>
      <c r="AH928" s="42" t="s">
        <v>916</v>
      </c>
      <c r="AI928" s="32" t="e">
        <f>VLOOKUP(A928,'4月明細'!B:B,1,0)</f>
        <v>#N/A</v>
      </c>
    </row>
    <row r="929" spans="1:35" ht="19.95" customHeight="1" x14ac:dyDescent="0.3">
      <c r="A929" s="33" t="s">
        <v>230</v>
      </c>
      <c r="B929" s="34">
        <v>46048.817650462966</v>
      </c>
      <c r="C929" s="34" t="str">
        <f t="shared" si="27"/>
        <v>202601</v>
      </c>
      <c r="D929" s="35" t="s">
        <v>2308</v>
      </c>
      <c r="E929" s="36" t="s">
        <v>1199</v>
      </c>
      <c r="F929" s="36" t="s">
        <v>1860</v>
      </c>
      <c r="G929" s="37" t="s">
        <v>3277</v>
      </c>
      <c r="H929" s="36" t="s">
        <v>954</v>
      </c>
      <c r="I929" s="35" t="s">
        <v>3278</v>
      </c>
      <c r="J929" s="36" t="s">
        <v>938</v>
      </c>
      <c r="K929" s="33" t="s">
        <v>916</v>
      </c>
      <c r="L929" s="35" t="s">
        <v>916</v>
      </c>
      <c r="M929" s="36" t="s">
        <v>916</v>
      </c>
      <c r="N929" s="45">
        <v>46049.584027777775</v>
      </c>
      <c r="O929" s="36" t="s">
        <v>25</v>
      </c>
      <c r="P929" s="38">
        <v>0.76637731480000004</v>
      </c>
      <c r="Q929" s="39" t="s">
        <v>3279</v>
      </c>
      <c r="R929" s="35" t="s">
        <v>916</v>
      </c>
      <c r="S929" s="35"/>
      <c r="T929" s="35" t="s">
        <v>1701</v>
      </c>
      <c r="U929" s="40">
        <v>46049</v>
      </c>
      <c r="V929" s="41">
        <v>46153.532812500001</v>
      </c>
      <c r="W929" s="40">
        <v>46048</v>
      </c>
      <c r="X929" s="35" t="s">
        <v>916</v>
      </c>
      <c r="Y929" s="35" t="s">
        <v>916</v>
      </c>
      <c r="Z929" s="35" t="s">
        <v>916</v>
      </c>
      <c r="AA929" s="38">
        <v>18.3930555552</v>
      </c>
      <c r="AB929" s="42" t="s">
        <v>916</v>
      </c>
      <c r="AC929" s="43" t="s">
        <v>916</v>
      </c>
      <c r="AD929" s="43" t="s">
        <v>916</v>
      </c>
      <c r="AE929" s="33" t="s">
        <v>916</v>
      </c>
      <c r="AF929" s="35" t="s">
        <v>916</v>
      </c>
      <c r="AG929" s="44">
        <v>491515.62361111108</v>
      </c>
      <c r="AH929" s="42" t="s">
        <v>916</v>
      </c>
      <c r="AI929" s="32" t="e">
        <f>VLOOKUP(A929,'4月明細'!B:B,1,0)</f>
        <v>#N/A</v>
      </c>
    </row>
    <row r="930" spans="1:35" ht="19.95" customHeight="1" x14ac:dyDescent="0.3">
      <c r="A930" s="33" t="s">
        <v>229</v>
      </c>
      <c r="B930" s="34">
        <v>46048.664305555554</v>
      </c>
      <c r="C930" s="34" t="str">
        <f t="shared" si="27"/>
        <v>202601</v>
      </c>
      <c r="D930" s="35" t="s">
        <v>1952</v>
      </c>
      <c r="E930" s="36" t="s">
        <v>910</v>
      </c>
      <c r="F930" s="36" t="s">
        <v>1479</v>
      </c>
      <c r="G930" s="37" t="s">
        <v>3280</v>
      </c>
      <c r="H930" s="36" t="s">
        <v>928</v>
      </c>
      <c r="I930" s="35"/>
      <c r="J930" s="36" t="s">
        <v>929</v>
      </c>
      <c r="K930" s="33" t="s">
        <v>916</v>
      </c>
      <c r="L930" s="35" t="s">
        <v>916</v>
      </c>
      <c r="M930" s="36" t="s">
        <v>916</v>
      </c>
      <c r="N930" s="45">
        <v>46049.581250000003</v>
      </c>
      <c r="O930" s="36" t="s">
        <v>25</v>
      </c>
      <c r="P930" s="38">
        <v>0.9169444444</v>
      </c>
      <c r="Q930" s="39" t="s">
        <v>3281</v>
      </c>
      <c r="R930" s="35" t="s">
        <v>916</v>
      </c>
      <c r="S930" s="35" t="s">
        <v>3282</v>
      </c>
      <c r="T930" s="35" t="s">
        <v>1701</v>
      </c>
      <c r="U930" s="40">
        <v>46049</v>
      </c>
      <c r="V930" s="41">
        <v>46153.532812500001</v>
      </c>
      <c r="W930" s="40">
        <v>46048</v>
      </c>
      <c r="X930" s="35" t="s">
        <v>916</v>
      </c>
      <c r="Y930" s="35" t="s">
        <v>916</v>
      </c>
      <c r="Z930" s="35" t="s">
        <v>916</v>
      </c>
      <c r="AA930" s="38">
        <v>22.006666665600001</v>
      </c>
      <c r="AB930" s="42" t="s">
        <v>916</v>
      </c>
      <c r="AC930" s="43" t="s">
        <v>916</v>
      </c>
      <c r="AD930" s="43" t="s">
        <v>916</v>
      </c>
      <c r="AE930" s="33" t="s">
        <v>916</v>
      </c>
      <c r="AF930" s="35" t="s">
        <v>916</v>
      </c>
      <c r="AG930" s="44">
        <v>491511.94333333342</v>
      </c>
      <c r="AH930" s="42" t="s">
        <v>916</v>
      </c>
      <c r="AI930" s="32" t="e">
        <f>VLOOKUP(A930,'4月明細'!B:B,1,0)</f>
        <v>#N/A</v>
      </c>
    </row>
    <row r="931" spans="1:35" ht="19.95" customHeight="1" x14ac:dyDescent="0.3">
      <c r="A931" s="33" t="s">
        <v>3283</v>
      </c>
      <c r="B931" s="34">
        <v>46048.427256944444</v>
      </c>
      <c r="C931" s="34" t="str">
        <f t="shared" si="27"/>
        <v>202601</v>
      </c>
      <c r="D931" s="35" t="s">
        <v>2310</v>
      </c>
      <c r="E931" s="36" t="s">
        <v>1149</v>
      </c>
      <c r="F931" s="36" t="s">
        <v>1429</v>
      </c>
      <c r="G931" s="37" t="s">
        <v>3284</v>
      </c>
      <c r="H931" s="36" t="s">
        <v>928</v>
      </c>
      <c r="I931" s="35" t="s">
        <v>3285</v>
      </c>
      <c r="J931" s="36" t="s">
        <v>938</v>
      </c>
      <c r="K931" s="33" t="s">
        <v>916</v>
      </c>
      <c r="L931" s="35" t="s">
        <v>916</v>
      </c>
      <c r="M931" s="36" t="s">
        <v>1135</v>
      </c>
      <c r="N931" s="45">
        <v>46055.619444444441</v>
      </c>
      <c r="O931" s="36" t="s">
        <v>1384</v>
      </c>
      <c r="P931" s="38">
        <v>7.1921875000000002</v>
      </c>
      <c r="Q931" s="39" t="s">
        <v>3286</v>
      </c>
      <c r="R931" s="35" t="s">
        <v>916</v>
      </c>
      <c r="S931" s="35"/>
      <c r="T931" s="35" t="s">
        <v>1624</v>
      </c>
      <c r="U931" s="40">
        <v>46049</v>
      </c>
      <c r="V931" s="41">
        <v>46153.532812500001</v>
      </c>
      <c r="W931" s="40">
        <v>46048</v>
      </c>
      <c r="X931" s="35" t="s">
        <v>916</v>
      </c>
      <c r="Y931" s="35" t="s">
        <v>916</v>
      </c>
      <c r="Z931" s="35" t="s">
        <v>916</v>
      </c>
      <c r="AA931" s="38">
        <v>172.61250000000001</v>
      </c>
      <c r="AB931" s="42" t="s">
        <v>916</v>
      </c>
      <c r="AC931" s="43" t="s">
        <v>916</v>
      </c>
      <c r="AD931" s="43" t="s">
        <v>916</v>
      </c>
      <c r="AE931" s="33" t="s">
        <v>916</v>
      </c>
      <c r="AF931" s="35" t="s">
        <v>916</v>
      </c>
      <c r="AG931" s="44">
        <v>491506.25416666671</v>
      </c>
      <c r="AH931" s="42" t="s">
        <v>916</v>
      </c>
      <c r="AI931" s="32" t="e">
        <f>VLOOKUP(A931,'4月明細'!B:B,1,0)</f>
        <v>#N/A</v>
      </c>
    </row>
    <row r="932" spans="1:35" ht="19.95" customHeight="1" x14ac:dyDescent="0.3">
      <c r="A932" s="33" t="s">
        <v>228</v>
      </c>
      <c r="B932" s="34">
        <v>46048.421643518515</v>
      </c>
      <c r="C932" s="34" t="str">
        <f t="shared" si="27"/>
        <v>202601</v>
      </c>
      <c r="D932" s="35" t="s">
        <v>2310</v>
      </c>
      <c r="E932" s="36" t="s">
        <v>1149</v>
      </c>
      <c r="F932" s="36" t="s">
        <v>2841</v>
      </c>
      <c r="G932" s="37" t="s">
        <v>3287</v>
      </c>
      <c r="H932" s="36" t="s">
        <v>1023</v>
      </c>
      <c r="I932" s="35" t="s">
        <v>3288</v>
      </c>
      <c r="J932" s="36" t="s">
        <v>938</v>
      </c>
      <c r="K932" s="33" t="s">
        <v>916</v>
      </c>
      <c r="L932" s="35" t="s">
        <v>916</v>
      </c>
      <c r="M932" s="36" t="s">
        <v>916</v>
      </c>
      <c r="N932" s="45">
        <v>46052.513888888891</v>
      </c>
      <c r="O932" s="36" t="s">
        <v>25</v>
      </c>
      <c r="P932" s="38">
        <v>4.0922453703999997</v>
      </c>
      <c r="Q932" s="39" t="s">
        <v>3289</v>
      </c>
      <c r="R932" s="35" t="s">
        <v>916</v>
      </c>
      <c r="S932" s="35"/>
      <c r="T932" s="35" t="s">
        <v>1701</v>
      </c>
      <c r="U932" s="40">
        <v>46049</v>
      </c>
      <c r="V932" s="41">
        <v>46153.532812500001</v>
      </c>
      <c r="W932" s="40">
        <v>46048</v>
      </c>
      <c r="X932" s="35" t="s">
        <v>916</v>
      </c>
      <c r="Y932" s="35" t="s">
        <v>916</v>
      </c>
      <c r="Z932" s="35" t="s">
        <v>916</v>
      </c>
      <c r="AA932" s="38">
        <v>98.2138888896</v>
      </c>
      <c r="AB932" s="42" t="s">
        <v>916</v>
      </c>
      <c r="AC932" s="43" t="s">
        <v>916</v>
      </c>
      <c r="AD932" s="43" t="s">
        <v>916</v>
      </c>
      <c r="AE932" s="33" t="s">
        <v>916</v>
      </c>
      <c r="AF932" s="35" t="s">
        <v>916</v>
      </c>
      <c r="AG932" s="44">
        <v>491506.11944444443</v>
      </c>
      <c r="AH932" s="42" t="s">
        <v>916</v>
      </c>
      <c r="AI932" s="32" t="e">
        <f>VLOOKUP(A932,'4月明細'!B:B,1,0)</f>
        <v>#N/A</v>
      </c>
    </row>
    <row r="933" spans="1:35" ht="19.95" customHeight="1" x14ac:dyDescent="0.3">
      <c r="A933" s="33" t="s">
        <v>227</v>
      </c>
      <c r="B933" s="34">
        <v>46047.673703703702</v>
      </c>
      <c r="C933" s="34" t="str">
        <f t="shared" si="27"/>
        <v>202601</v>
      </c>
      <c r="D933" s="35" t="s">
        <v>951</v>
      </c>
      <c r="E933" s="36" t="s">
        <v>910</v>
      </c>
      <c r="F933" s="36" t="s">
        <v>1304</v>
      </c>
      <c r="G933" s="37" t="s">
        <v>3290</v>
      </c>
      <c r="H933" s="36" t="s">
        <v>954</v>
      </c>
      <c r="I933" s="35" t="s">
        <v>3291</v>
      </c>
      <c r="J933" s="36" t="s">
        <v>929</v>
      </c>
      <c r="K933" s="33" t="s">
        <v>916</v>
      </c>
      <c r="L933" s="35" t="s">
        <v>916</v>
      </c>
      <c r="M933" s="36" t="s">
        <v>957</v>
      </c>
      <c r="N933" s="45">
        <v>46048.447222222225</v>
      </c>
      <c r="O933" s="36" t="s">
        <v>25</v>
      </c>
      <c r="P933" s="38">
        <v>0.77351851849999997</v>
      </c>
      <c r="Q933" s="39" t="s">
        <v>3292</v>
      </c>
      <c r="R933" s="35" t="s">
        <v>916</v>
      </c>
      <c r="S933" s="35" t="s">
        <v>3293</v>
      </c>
      <c r="T933" s="35" t="s">
        <v>1624</v>
      </c>
      <c r="U933" s="40">
        <v>46048</v>
      </c>
      <c r="V933" s="41">
        <v>46153.532812500001</v>
      </c>
      <c r="W933" s="40">
        <v>46047</v>
      </c>
      <c r="X933" s="35" t="s">
        <v>916</v>
      </c>
      <c r="Y933" s="35" t="s">
        <v>916</v>
      </c>
      <c r="Z933" s="35" t="s">
        <v>916</v>
      </c>
      <c r="AA933" s="38">
        <v>18.564444443999999</v>
      </c>
      <c r="AB933" s="42" t="s">
        <v>916</v>
      </c>
      <c r="AC933" s="43" t="s">
        <v>916</v>
      </c>
      <c r="AD933" s="43" t="s">
        <v>916</v>
      </c>
      <c r="AE933" s="33" t="s">
        <v>916</v>
      </c>
      <c r="AF933" s="35" t="s">
        <v>916</v>
      </c>
      <c r="AG933" s="44">
        <v>491488.1688888889</v>
      </c>
      <c r="AH933" s="42" t="s">
        <v>916</v>
      </c>
      <c r="AI933" s="32" t="e">
        <f>VLOOKUP(A933,'4月明細'!B:B,1,0)</f>
        <v>#N/A</v>
      </c>
    </row>
    <row r="934" spans="1:35" ht="19.95" customHeight="1" x14ac:dyDescent="0.3">
      <c r="A934" s="33" t="s">
        <v>226</v>
      </c>
      <c r="B934" s="34">
        <v>46047.615856481483</v>
      </c>
      <c r="C934" s="34" t="str">
        <f t="shared" si="27"/>
        <v>202601</v>
      </c>
      <c r="D934" s="35" t="s">
        <v>1952</v>
      </c>
      <c r="E934" s="36" t="s">
        <v>910</v>
      </c>
      <c r="F934" s="36" t="s">
        <v>1133</v>
      </c>
      <c r="G934" s="37" t="s">
        <v>3294</v>
      </c>
      <c r="H934" s="36" t="s">
        <v>1078</v>
      </c>
      <c r="I934" s="35" t="s">
        <v>3295</v>
      </c>
      <c r="J934" s="36" t="s">
        <v>914</v>
      </c>
      <c r="K934" s="33" t="s">
        <v>916</v>
      </c>
      <c r="L934" s="35" t="s">
        <v>916</v>
      </c>
      <c r="M934" s="36" t="s">
        <v>916</v>
      </c>
      <c r="N934" s="45">
        <v>46048.448611111111</v>
      </c>
      <c r="O934" s="36" t="s">
        <v>25</v>
      </c>
      <c r="P934" s="38">
        <v>0.83275462960000002</v>
      </c>
      <c r="Q934" s="39" t="s">
        <v>3296</v>
      </c>
      <c r="R934" s="35" t="s">
        <v>916</v>
      </c>
      <c r="S934" s="35" t="s">
        <v>3297</v>
      </c>
      <c r="T934" s="35" t="s">
        <v>1624</v>
      </c>
      <c r="U934" s="40">
        <v>46048</v>
      </c>
      <c r="V934" s="41">
        <v>46153.532812500001</v>
      </c>
      <c r="W934" s="40">
        <v>46047</v>
      </c>
      <c r="X934" s="35" t="s">
        <v>916</v>
      </c>
      <c r="Y934" s="35" t="s">
        <v>916</v>
      </c>
      <c r="Z934" s="35" t="s">
        <v>916</v>
      </c>
      <c r="AA934" s="38">
        <v>19.9861111104</v>
      </c>
      <c r="AB934" s="42" t="s">
        <v>916</v>
      </c>
      <c r="AC934" s="43" t="s">
        <v>916</v>
      </c>
      <c r="AD934" s="43" t="s">
        <v>916</v>
      </c>
      <c r="AE934" s="33" t="s">
        <v>916</v>
      </c>
      <c r="AF934" s="35" t="s">
        <v>916</v>
      </c>
      <c r="AG934" s="44">
        <v>491486.7805555556</v>
      </c>
      <c r="AH934" s="42" t="s">
        <v>916</v>
      </c>
      <c r="AI934" s="32" t="e">
        <f>VLOOKUP(A934,'4月明細'!B:B,1,0)</f>
        <v>#N/A</v>
      </c>
    </row>
    <row r="935" spans="1:35" ht="19.95" customHeight="1" x14ac:dyDescent="0.3">
      <c r="A935" s="33" t="s">
        <v>225</v>
      </c>
      <c r="B935" s="34">
        <v>46047.476805555554</v>
      </c>
      <c r="C935" s="34" t="str">
        <f t="shared" si="27"/>
        <v>202601</v>
      </c>
      <c r="D935" s="35" t="s">
        <v>909</v>
      </c>
      <c r="E935" s="36" t="s">
        <v>910</v>
      </c>
      <c r="F935" s="36" t="s">
        <v>1672</v>
      </c>
      <c r="G935" s="37" t="s">
        <v>3298</v>
      </c>
      <c r="H935" s="36" t="s">
        <v>1023</v>
      </c>
      <c r="I935" s="35"/>
      <c r="J935" s="36" t="s">
        <v>929</v>
      </c>
      <c r="K935" s="33" t="s">
        <v>916</v>
      </c>
      <c r="L935" s="35" t="s">
        <v>916</v>
      </c>
      <c r="M935" s="36" t="s">
        <v>957</v>
      </c>
      <c r="N935" s="45">
        <v>46048.448611111111</v>
      </c>
      <c r="O935" s="36" t="s">
        <v>25</v>
      </c>
      <c r="P935" s="38">
        <v>0.97180555560000004</v>
      </c>
      <c r="Q935" s="39" t="s">
        <v>3299</v>
      </c>
      <c r="R935" s="35" t="s">
        <v>916</v>
      </c>
      <c r="S935" s="35" t="s">
        <v>3300</v>
      </c>
      <c r="T935" s="35" t="s">
        <v>1624</v>
      </c>
      <c r="U935" s="40">
        <v>46048</v>
      </c>
      <c r="V935" s="41">
        <v>46153.532812500001</v>
      </c>
      <c r="W935" s="40">
        <v>46047</v>
      </c>
      <c r="X935" s="35" t="s">
        <v>916</v>
      </c>
      <c r="Y935" s="35" t="s">
        <v>916</v>
      </c>
      <c r="Z935" s="35" t="s">
        <v>916</v>
      </c>
      <c r="AA935" s="38">
        <v>23.323333334400001</v>
      </c>
      <c r="AB935" s="42" t="s">
        <v>916</v>
      </c>
      <c r="AC935" s="43" t="s">
        <v>916</v>
      </c>
      <c r="AD935" s="43" t="s">
        <v>916</v>
      </c>
      <c r="AE935" s="33" t="s">
        <v>916</v>
      </c>
      <c r="AF935" s="35" t="s">
        <v>916</v>
      </c>
      <c r="AG935" s="44">
        <v>491483.44333333342</v>
      </c>
      <c r="AH935" s="42" t="s">
        <v>916</v>
      </c>
      <c r="AI935" s="32" t="e">
        <f>VLOOKUP(A935,'4月明細'!B:B,1,0)</f>
        <v>#N/A</v>
      </c>
    </row>
    <row r="936" spans="1:35" ht="19.95" customHeight="1" x14ac:dyDescent="0.3">
      <c r="A936" s="33" t="s">
        <v>224</v>
      </c>
      <c r="B936" s="34">
        <v>46047.472569444442</v>
      </c>
      <c r="C936" s="34" t="str">
        <f t="shared" si="27"/>
        <v>202601</v>
      </c>
      <c r="D936" s="35" t="s">
        <v>951</v>
      </c>
      <c r="E936" s="36" t="s">
        <v>910</v>
      </c>
      <c r="F936" s="36" t="s">
        <v>1141</v>
      </c>
      <c r="G936" s="37" t="s">
        <v>3301</v>
      </c>
      <c r="H936" s="36" t="s">
        <v>928</v>
      </c>
      <c r="I936" s="35"/>
      <c r="J936" s="36" t="s">
        <v>1058</v>
      </c>
      <c r="K936" s="33" t="s">
        <v>916</v>
      </c>
      <c r="L936" s="35" t="s">
        <v>916</v>
      </c>
      <c r="M936" s="36" t="s">
        <v>957</v>
      </c>
      <c r="N936" s="45">
        <v>46048.459722222222</v>
      </c>
      <c r="O936" s="36" t="s">
        <v>25</v>
      </c>
      <c r="P936" s="38">
        <v>0.98715277779999999</v>
      </c>
      <c r="Q936" s="39" t="s">
        <v>3302</v>
      </c>
      <c r="R936" s="35" t="s">
        <v>916</v>
      </c>
      <c r="S936" s="35"/>
      <c r="T936" s="35" t="s">
        <v>1624</v>
      </c>
      <c r="U936" s="40">
        <v>46048</v>
      </c>
      <c r="V936" s="41">
        <v>46153.532812500001</v>
      </c>
      <c r="W936" s="40">
        <v>46047</v>
      </c>
      <c r="X936" s="35" t="s">
        <v>916</v>
      </c>
      <c r="Y936" s="35" t="s">
        <v>916</v>
      </c>
      <c r="Z936" s="35" t="s">
        <v>916</v>
      </c>
      <c r="AA936" s="38">
        <v>23.6916666672</v>
      </c>
      <c r="AB936" s="42" t="s">
        <v>916</v>
      </c>
      <c r="AC936" s="43" t="s">
        <v>916</v>
      </c>
      <c r="AD936" s="43" t="s">
        <v>916</v>
      </c>
      <c r="AE936" s="33" t="s">
        <v>916</v>
      </c>
      <c r="AF936" s="35" t="s">
        <v>916</v>
      </c>
      <c r="AG936" s="44">
        <v>491483.34166666667</v>
      </c>
      <c r="AH936" s="42" t="s">
        <v>916</v>
      </c>
      <c r="AI936" s="32" t="e">
        <f>VLOOKUP(A936,'4月明細'!B:B,1,0)</f>
        <v>#N/A</v>
      </c>
    </row>
    <row r="937" spans="1:35" ht="19.95" customHeight="1" x14ac:dyDescent="0.3">
      <c r="A937" s="33" t="s">
        <v>223</v>
      </c>
      <c r="B937" s="34">
        <v>46047.462453703702</v>
      </c>
      <c r="C937" s="34" t="str">
        <f t="shared" si="27"/>
        <v>202601</v>
      </c>
      <c r="D937" s="35" t="s">
        <v>909</v>
      </c>
      <c r="E937" s="36" t="s">
        <v>910</v>
      </c>
      <c r="F937" s="36" t="s">
        <v>1672</v>
      </c>
      <c r="G937" s="37" t="s">
        <v>3303</v>
      </c>
      <c r="H937" s="36" t="s">
        <v>928</v>
      </c>
      <c r="I937" s="35"/>
      <c r="J937" s="36" t="s">
        <v>929</v>
      </c>
      <c r="K937" s="33" t="s">
        <v>916</v>
      </c>
      <c r="L937" s="35" t="s">
        <v>916</v>
      </c>
      <c r="M937" s="36" t="s">
        <v>957</v>
      </c>
      <c r="N937" s="45">
        <v>46048.461111111108</v>
      </c>
      <c r="O937" s="36" t="s">
        <v>25</v>
      </c>
      <c r="P937" s="38">
        <v>0.99865740739999997</v>
      </c>
      <c r="Q937" s="39" t="s">
        <v>3304</v>
      </c>
      <c r="R937" s="35" t="s">
        <v>916</v>
      </c>
      <c r="S937" s="35"/>
      <c r="T937" s="35" t="s">
        <v>1624</v>
      </c>
      <c r="U937" s="40">
        <v>46048</v>
      </c>
      <c r="V937" s="41">
        <v>46153.532812500001</v>
      </c>
      <c r="W937" s="40">
        <v>46047</v>
      </c>
      <c r="X937" s="35" t="s">
        <v>916</v>
      </c>
      <c r="Y937" s="35" t="s">
        <v>916</v>
      </c>
      <c r="Z937" s="35" t="s">
        <v>916</v>
      </c>
      <c r="AA937" s="38">
        <v>23.967777777599999</v>
      </c>
      <c r="AB937" s="42" t="s">
        <v>916</v>
      </c>
      <c r="AC937" s="43" t="s">
        <v>916</v>
      </c>
      <c r="AD937" s="43" t="s">
        <v>916</v>
      </c>
      <c r="AE937" s="33" t="s">
        <v>916</v>
      </c>
      <c r="AF937" s="35" t="s">
        <v>916</v>
      </c>
      <c r="AG937" s="44">
        <v>491483.09888888901</v>
      </c>
      <c r="AH937" s="42" t="s">
        <v>916</v>
      </c>
      <c r="AI937" s="32" t="e">
        <f>VLOOKUP(A937,'4月明細'!B:B,1,0)</f>
        <v>#N/A</v>
      </c>
    </row>
    <row r="938" spans="1:35" ht="19.95" customHeight="1" x14ac:dyDescent="0.3">
      <c r="A938" s="33" t="s">
        <v>222</v>
      </c>
      <c r="B938" s="34">
        <v>46046.651782407411</v>
      </c>
      <c r="C938" s="34" t="str">
        <f t="shared" si="27"/>
        <v>202601</v>
      </c>
      <c r="D938" s="35" t="s">
        <v>951</v>
      </c>
      <c r="E938" s="36" t="s">
        <v>910</v>
      </c>
      <c r="F938" s="36" t="s">
        <v>1546</v>
      </c>
      <c r="G938" s="37" t="s">
        <v>3305</v>
      </c>
      <c r="H938" s="36" t="s">
        <v>1114</v>
      </c>
      <c r="I938" s="35"/>
      <c r="J938" s="36" t="s">
        <v>929</v>
      </c>
      <c r="K938" s="33" t="s">
        <v>916</v>
      </c>
      <c r="L938" s="35" t="s">
        <v>916</v>
      </c>
      <c r="M938" s="36" t="s">
        <v>916</v>
      </c>
      <c r="N938" s="45">
        <v>46050.411805555559</v>
      </c>
      <c r="O938" s="36" t="s">
        <v>25</v>
      </c>
      <c r="P938" s="38">
        <v>3.7600231481000002</v>
      </c>
      <c r="Q938" s="39" t="s">
        <v>3306</v>
      </c>
      <c r="R938" s="35" t="s">
        <v>916</v>
      </c>
      <c r="S938" s="35"/>
      <c r="T938" s="35" t="s">
        <v>1701</v>
      </c>
      <c r="U938" s="40">
        <v>46047</v>
      </c>
      <c r="V938" s="41">
        <v>46153.532812500001</v>
      </c>
      <c r="W938" s="40">
        <v>46046</v>
      </c>
      <c r="X938" s="35" t="s">
        <v>916</v>
      </c>
      <c r="Y938" s="35" t="s">
        <v>916</v>
      </c>
      <c r="Z938" s="35" t="s">
        <v>916</v>
      </c>
      <c r="AA938" s="38">
        <v>90.240555554400004</v>
      </c>
      <c r="AB938" s="42" t="s">
        <v>916</v>
      </c>
      <c r="AC938" s="43" t="s">
        <v>916</v>
      </c>
      <c r="AD938" s="43" t="s">
        <v>916</v>
      </c>
      <c r="AE938" s="33" t="s">
        <v>916</v>
      </c>
      <c r="AF938" s="35" t="s">
        <v>916</v>
      </c>
      <c r="AG938" s="44">
        <v>491463.64277777768</v>
      </c>
      <c r="AH938" s="42" t="s">
        <v>916</v>
      </c>
      <c r="AI938" s="32" t="e">
        <f>VLOOKUP(A938,'4月明細'!B:B,1,0)</f>
        <v>#N/A</v>
      </c>
    </row>
    <row r="939" spans="1:35" ht="19.95" customHeight="1" x14ac:dyDescent="0.3">
      <c r="A939" s="33" t="s">
        <v>221</v>
      </c>
      <c r="B939" s="34">
        <v>46046.593240740738</v>
      </c>
      <c r="C939" s="34" t="str">
        <f t="shared" si="27"/>
        <v>202601</v>
      </c>
      <c r="D939" s="35" t="s">
        <v>909</v>
      </c>
      <c r="E939" s="36" t="s">
        <v>910</v>
      </c>
      <c r="F939" s="36" t="s">
        <v>1282</v>
      </c>
      <c r="G939" s="37" t="s">
        <v>3307</v>
      </c>
      <c r="H939" s="36" t="s">
        <v>928</v>
      </c>
      <c r="I939" s="35" t="s">
        <v>3308</v>
      </c>
      <c r="J939" s="36" t="s">
        <v>929</v>
      </c>
      <c r="K939" s="33" t="s">
        <v>916</v>
      </c>
      <c r="L939" s="35" t="s">
        <v>916</v>
      </c>
      <c r="M939" s="36" t="s">
        <v>923</v>
      </c>
      <c r="N939" s="45">
        <v>46048.461805555555</v>
      </c>
      <c r="O939" s="36" t="s">
        <v>25</v>
      </c>
      <c r="P939" s="38">
        <v>1.8685648148</v>
      </c>
      <c r="Q939" s="39" t="s">
        <v>3309</v>
      </c>
      <c r="R939" s="35" t="s">
        <v>916</v>
      </c>
      <c r="S939" s="35" t="s">
        <v>3310</v>
      </c>
      <c r="T939" s="35" t="s">
        <v>1624</v>
      </c>
      <c r="U939" s="40">
        <v>46047</v>
      </c>
      <c r="V939" s="41">
        <v>46153.532812500001</v>
      </c>
      <c r="W939" s="40">
        <v>46046</v>
      </c>
      <c r="X939" s="35" t="s">
        <v>916</v>
      </c>
      <c r="Y939" s="35" t="s">
        <v>916</v>
      </c>
      <c r="Z939" s="35" t="s">
        <v>916</v>
      </c>
      <c r="AA939" s="38">
        <v>44.845555555200001</v>
      </c>
      <c r="AB939" s="42" t="s">
        <v>916</v>
      </c>
      <c r="AC939" s="43" t="s">
        <v>916</v>
      </c>
      <c r="AD939" s="43" t="s">
        <v>916</v>
      </c>
      <c r="AE939" s="33" t="s">
        <v>916</v>
      </c>
      <c r="AF939" s="35" t="s">
        <v>916</v>
      </c>
      <c r="AG939" s="44">
        <v>491462.23777777777</v>
      </c>
      <c r="AH939" s="42" t="s">
        <v>916</v>
      </c>
      <c r="AI939" s="32" t="e">
        <f>VLOOKUP(A939,'4月明細'!B:B,1,0)</f>
        <v>#N/A</v>
      </c>
    </row>
    <row r="940" spans="1:35" ht="19.95" customHeight="1" x14ac:dyDescent="0.3">
      <c r="A940" s="33" t="s">
        <v>220</v>
      </c>
      <c r="B940" s="34">
        <v>46046.585243055553</v>
      </c>
      <c r="C940" s="34" t="str">
        <f t="shared" si="27"/>
        <v>202601</v>
      </c>
      <c r="D940" s="35" t="s">
        <v>996</v>
      </c>
      <c r="E940" s="36" t="s">
        <v>910</v>
      </c>
      <c r="F940" s="36" t="s">
        <v>1461</v>
      </c>
      <c r="G940" s="37" t="s">
        <v>3311</v>
      </c>
      <c r="H940" s="36" t="s">
        <v>1078</v>
      </c>
      <c r="I940" s="35"/>
      <c r="J940" s="36" t="s">
        <v>914</v>
      </c>
      <c r="K940" s="33" t="s">
        <v>916</v>
      </c>
      <c r="L940" s="35" t="s">
        <v>916</v>
      </c>
      <c r="M940" s="36" t="s">
        <v>957</v>
      </c>
      <c r="N940" s="45">
        <v>46048.463194444441</v>
      </c>
      <c r="O940" s="36" t="s">
        <v>25</v>
      </c>
      <c r="P940" s="38">
        <v>1.8779513888999999</v>
      </c>
      <c r="Q940" s="39" t="s">
        <v>3312</v>
      </c>
      <c r="R940" s="35" t="s">
        <v>916</v>
      </c>
      <c r="S940" s="35"/>
      <c r="T940" s="35" t="s">
        <v>1624</v>
      </c>
      <c r="U940" s="40">
        <v>46047</v>
      </c>
      <c r="V940" s="41">
        <v>46153.532812500001</v>
      </c>
      <c r="W940" s="40">
        <v>46046</v>
      </c>
      <c r="X940" s="35" t="s">
        <v>916</v>
      </c>
      <c r="Y940" s="35" t="s">
        <v>916</v>
      </c>
      <c r="Z940" s="35" t="s">
        <v>916</v>
      </c>
      <c r="AA940" s="38">
        <v>45.0708333336</v>
      </c>
      <c r="AB940" s="42" t="s">
        <v>916</v>
      </c>
      <c r="AC940" s="43" t="s">
        <v>916</v>
      </c>
      <c r="AD940" s="43" t="s">
        <v>916</v>
      </c>
      <c r="AE940" s="33" t="s">
        <v>916</v>
      </c>
      <c r="AF940" s="35" t="s">
        <v>916</v>
      </c>
      <c r="AG940" s="44">
        <v>491462.0458333334</v>
      </c>
      <c r="AH940" s="42" t="s">
        <v>916</v>
      </c>
      <c r="AI940" s="32" t="e">
        <f>VLOOKUP(A940,'4月明細'!B:B,1,0)</f>
        <v>#N/A</v>
      </c>
    </row>
    <row r="941" spans="1:35" ht="19.95" customHeight="1" x14ac:dyDescent="0.3">
      <c r="A941" s="33" t="s">
        <v>219</v>
      </c>
      <c r="B941" s="34">
        <v>46046.557442129626</v>
      </c>
      <c r="C941" s="34" t="str">
        <f t="shared" si="27"/>
        <v>202601</v>
      </c>
      <c r="D941" s="35" t="s">
        <v>1597</v>
      </c>
      <c r="E941" s="36" t="s">
        <v>942</v>
      </c>
      <c r="F941" s="36" t="s">
        <v>2080</v>
      </c>
      <c r="G941" s="37" t="s">
        <v>1036</v>
      </c>
      <c r="H941" s="36" t="s">
        <v>913</v>
      </c>
      <c r="I941" s="35"/>
      <c r="J941" s="36" t="s">
        <v>938</v>
      </c>
      <c r="K941" s="33" t="s">
        <v>916</v>
      </c>
      <c r="L941" s="35" t="s">
        <v>916</v>
      </c>
      <c r="M941" s="36" t="s">
        <v>957</v>
      </c>
      <c r="N941" s="45">
        <v>46048.477777777778</v>
      </c>
      <c r="O941" s="36" t="s">
        <v>25</v>
      </c>
      <c r="P941" s="38">
        <v>1.9203356481</v>
      </c>
      <c r="Q941" s="39" t="s">
        <v>3313</v>
      </c>
      <c r="R941" s="35" t="s">
        <v>916</v>
      </c>
      <c r="S941" s="35"/>
      <c r="T941" s="35" t="s">
        <v>1624</v>
      </c>
      <c r="U941" s="40">
        <v>46047</v>
      </c>
      <c r="V941" s="41">
        <v>46153.532812500001</v>
      </c>
      <c r="W941" s="40">
        <v>46046</v>
      </c>
      <c r="X941" s="35" t="s">
        <v>916</v>
      </c>
      <c r="Y941" s="35" t="s">
        <v>916</v>
      </c>
      <c r="Z941" s="35" t="s">
        <v>916</v>
      </c>
      <c r="AA941" s="38">
        <v>46.0880555544</v>
      </c>
      <c r="AB941" s="42" t="s">
        <v>916</v>
      </c>
      <c r="AC941" s="43" t="s">
        <v>916</v>
      </c>
      <c r="AD941" s="43" t="s">
        <v>916</v>
      </c>
      <c r="AE941" s="33" t="s">
        <v>916</v>
      </c>
      <c r="AF941" s="35" t="s">
        <v>916</v>
      </c>
      <c r="AG941" s="44">
        <v>491461.37861111108</v>
      </c>
      <c r="AH941" s="42" t="s">
        <v>916</v>
      </c>
      <c r="AI941" s="32" t="e">
        <f>VLOOKUP(A941,'4月明細'!B:B,1,0)</f>
        <v>#N/A</v>
      </c>
    </row>
    <row r="942" spans="1:35" ht="19.95" customHeight="1" x14ac:dyDescent="0.3">
      <c r="A942" s="33" t="s">
        <v>218</v>
      </c>
      <c r="B942" s="34">
        <v>46046.504270833335</v>
      </c>
      <c r="C942" s="34" t="str">
        <f t="shared" si="27"/>
        <v>202601</v>
      </c>
      <c r="D942" s="35" t="s">
        <v>996</v>
      </c>
      <c r="E942" s="36" t="s">
        <v>910</v>
      </c>
      <c r="F942" s="36" t="s">
        <v>2614</v>
      </c>
      <c r="G942" s="37" t="s">
        <v>3229</v>
      </c>
      <c r="H942" s="36" t="s">
        <v>928</v>
      </c>
      <c r="I942" s="35" t="s">
        <v>3314</v>
      </c>
      <c r="J942" s="36" t="s">
        <v>1058</v>
      </c>
      <c r="K942" s="33" t="s">
        <v>916</v>
      </c>
      <c r="L942" s="35" t="s">
        <v>916</v>
      </c>
      <c r="M942" s="36" t="s">
        <v>957</v>
      </c>
      <c r="N942" s="45">
        <v>46048.465277777781</v>
      </c>
      <c r="O942" s="36" t="s">
        <v>25</v>
      </c>
      <c r="P942" s="38">
        <v>1.9610069444</v>
      </c>
      <c r="Q942" s="39" t="s">
        <v>3315</v>
      </c>
      <c r="R942" s="35" t="s">
        <v>916</v>
      </c>
      <c r="S942" s="35" t="s">
        <v>3316</v>
      </c>
      <c r="T942" s="35" t="s">
        <v>1624</v>
      </c>
      <c r="U942" s="40">
        <v>46047</v>
      </c>
      <c r="V942" s="41">
        <v>46153.532812500001</v>
      </c>
      <c r="W942" s="40">
        <v>46046</v>
      </c>
      <c r="X942" s="35" t="s">
        <v>916</v>
      </c>
      <c r="Y942" s="35" t="s">
        <v>916</v>
      </c>
      <c r="Z942" s="35" t="s">
        <v>916</v>
      </c>
      <c r="AA942" s="38">
        <v>47.064166665599998</v>
      </c>
      <c r="AB942" s="42" t="s">
        <v>916</v>
      </c>
      <c r="AC942" s="43" t="s">
        <v>916</v>
      </c>
      <c r="AD942" s="43" t="s">
        <v>916</v>
      </c>
      <c r="AE942" s="33" t="s">
        <v>916</v>
      </c>
      <c r="AF942" s="35" t="s">
        <v>916</v>
      </c>
      <c r="AG942" s="44">
        <v>491460.10249999998</v>
      </c>
      <c r="AH942" s="42" t="s">
        <v>916</v>
      </c>
      <c r="AI942" s="32" t="e">
        <f>VLOOKUP(A942,'4月明細'!B:B,1,0)</f>
        <v>#N/A</v>
      </c>
    </row>
    <row r="943" spans="1:35" ht="19.95" customHeight="1" x14ac:dyDescent="0.3">
      <c r="A943" s="33" t="s">
        <v>217</v>
      </c>
      <c r="B943" s="34">
        <v>46046.503379629627</v>
      </c>
      <c r="C943" s="34" t="str">
        <f t="shared" si="27"/>
        <v>202601</v>
      </c>
      <c r="D943" s="35" t="s">
        <v>996</v>
      </c>
      <c r="E943" s="36" t="s">
        <v>910</v>
      </c>
      <c r="F943" s="36" t="s">
        <v>2600</v>
      </c>
      <c r="G943" s="37" t="s">
        <v>3229</v>
      </c>
      <c r="H943" s="36" t="s">
        <v>928</v>
      </c>
      <c r="I943" s="35" t="s">
        <v>3317</v>
      </c>
      <c r="J943" s="36" t="s">
        <v>929</v>
      </c>
      <c r="K943" s="33" t="s">
        <v>916</v>
      </c>
      <c r="L943" s="35" t="s">
        <v>916</v>
      </c>
      <c r="M943" s="36" t="s">
        <v>957</v>
      </c>
      <c r="N943" s="45">
        <v>46048.463888888888</v>
      </c>
      <c r="O943" s="36" t="s">
        <v>25</v>
      </c>
      <c r="P943" s="38">
        <v>1.9605092593</v>
      </c>
      <c r="Q943" s="39" t="s">
        <v>3318</v>
      </c>
      <c r="R943" s="35" t="s">
        <v>916</v>
      </c>
      <c r="S943" s="35" t="s">
        <v>3319</v>
      </c>
      <c r="T943" s="35" t="s">
        <v>1624</v>
      </c>
      <c r="U943" s="40">
        <v>46047</v>
      </c>
      <c r="V943" s="41">
        <v>46153.532812500001</v>
      </c>
      <c r="W943" s="40">
        <v>46046</v>
      </c>
      <c r="X943" s="35" t="s">
        <v>916</v>
      </c>
      <c r="Y943" s="35" t="s">
        <v>916</v>
      </c>
      <c r="Z943" s="35" t="s">
        <v>916</v>
      </c>
      <c r="AA943" s="38">
        <v>47.052222223199998</v>
      </c>
      <c r="AB943" s="42" t="s">
        <v>916</v>
      </c>
      <c r="AC943" s="43" t="s">
        <v>916</v>
      </c>
      <c r="AD943" s="43" t="s">
        <v>916</v>
      </c>
      <c r="AE943" s="33" t="s">
        <v>916</v>
      </c>
      <c r="AF943" s="35" t="s">
        <v>916</v>
      </c>
      <c r="AG943" s="44">
        <v>491460.08138888888</v>
      </c>
      <c r="AH943" s="42" t="s">
        <v>916</v>
      </c>
      <c r="AI943" s="32" t="e">
        <f>VLOOKUP(A943,'4月明細'!B:B,1,0)</f>
        <v>#N/A</v>
      </c>
    </row>
    <row r="944" spans="1:35" ht="19.95" customHeight="1" x14ac:dyDescent="0.3">
      <c r="A944" s="33" t="s">
        <v>216</v>
      </c>
      <c r="B944" s="34">
        <v>46046.46912037037</v>
      </c>
      <c r="C944" s="34" t="str">
        <f t="shared" si="27"/>
        <v>202601</v>
      </c>
      <c r="D944" s="35" t="s">
        <v>996</v>
      </c>
      <c r="E944" s="36" t="s">
        <v>910</v>
      </c>
      <c r="F944" s="36" t="s">
        <v>1338</v>
      </c>
      <c r="G944" s="37" t="s">
        <v>1073</v>
      </c>
      <c r="H944" s="36" t="s">
        <v>954</v>
      </c>
      <c r="I944" s="35"/>
      <c r="J944" s="36" t="s">
        <v>929</v>
      </c>
      <c r="K944" s="33" t="s">
        <v>916</v>
      </c>
      <c r="L944" s="35" t="s">
        <v>916</v>
      </c>
      <c r="M944" s="36" t="s">
        <v>957</v>
      </c>
      <c r="N944" s="45">
        <v>46048.465277777781</v>
      </c>
      <c r="O944" s="36" t="s">
        <v>25</v>
      </c>
      <c r="P944" s="38">
        <v>1.9961574073999999</v>
      </c>
      <c r="Q944" s="39" t="s">
        <v>3320</v>
      </c>
      <c r="R944" s="35" t="s">
        <v>916</v>
      </c>
      <c r="S944" s="35" t="s">
        <v>3321</v>
      </c>
      <c r="T944" s="35" t="s">
        <v>1624</v>
      </c>
      <c r="U944" s="40">
        <v>46047</v>
      </c>
      <c r="V944" s="41">
        <v>46153.532812500001</v>
      </c>
      <c r="W944" s="40">
        <v>46046</v>
      </c>
      <c r="X944" s="35" t="s">
        <v>916</v>
      </c>
      <c r="Y944" s="35" t="s">
        <v>916</v>
      </c>
      <c r="Z944" s="35" t="s">
        <v>916</v>
      </c>
      <c r="AA944" s="38">
        <v>47.907777777600003</v>
      </c>
      <c r="AB944" s="42" t="s">
        <v>916</v>
      </c>
      <c r="AC944" s="43" t="s">
        <v>916</v>
      </c>
      <c r="AD944" s="43" t="s">
        <v>916</v>
      </c>
      <c r="AE944" s="33" t="s">
        <v>916</v>
      </c>
      <c r="AF944" s="35" t="s">
        <v>916</v>
      </c>
      <c r="AG944" s="44">
        <v>491459.25888888887</v>
      </c>
      <c r="AH944" s="42" t="s">
        <v>916</v>
      </c>
      <c r="AI944" s="32" t="e">
        <f>VLOOKUP(A944,'4月明細'!B:B,1,0)</f>
        <v>#N/A</v>
      </c>
    </row>
    <row r="945" spans="1:35" ht="19.95" customHeight="1" x14ac:dyDescent="0.3">
      <c r="A945" s="33" t="s">
        <v>215</v>
      </c>
      <c r="B945" s="34">
        <v>46046.466446759259</v>
      </c>
      <c r="C945" s="34" t="str">
        <f t="shared" si="27"/>
        <v>202601</v>
      </c>
      <c r="D945" s="35" t="s">
        <v>996</v>
      </c>
      <c r="E945" s="36" t="s">
        <v>910</v>
      </c>
      <c r="F945" s="36" t="s">
        <v>1898</v>
      </c>
      <c r="G945" s="37" t="s">
        <v>1073</v>
      </c>
      <c r="H945" s="36" t="s">
        <v>954</v>
      </c>
      <c r="I945" s="35" t="s">
        <v>3322</v>
      </c>
      <c r="J945" s="36" t="s">
        <v>914</v>
      </c>
      <c r="K945" s="33" t="s">
        <v>916</v>
      </c>
      <c r="L945" s="35" t="s">
        <v>916</v>
      </c>
      <c r="M945" s="36" t="s">
        <v>957</v>
      </c>
      <c r="N945" s="45">
        <v>46048.46597222222</v>
      </c>
      <c r="O945" s="36" t="s">
        <v>25</v>
      </c>
      <c r="P945" s="38">
        <v>1.9995254629999999</v>
      </c>
      <c r="Q945" s="39" t="s">
        <v>3323</v>
      </c>
      <c r="R945" s="35" t="s">
        <v>916</v>
      </c>
      <c r="S945" s="35" t="s">
        <v>3324</v>
      </c>
      <c r="T945" s="35" t="s">
        <v>1624</v>
      </c>
      <c r="U945" s="40">
        <v>46047</v>
      </c>
      <c r="V945" s="41">
        <v>46153.532812500001</v>
      </c>
      <c r="W945" s="40">
        <v>46046</v>
      </c>
      <c r="X945" s="35" t="s">
        <v>916</v>
      </c>
      <c r="Y945" s="35" t="s">
        <v>916</v>
      </c>
      <c r="Z945" s="35" t="s">
        <v>916</v>
      </c>
      <c r="AA945" s="38">
        <v>47.988611112000001</v>
      </c>
      <c r="AB945" s="42" t="s">
        <v>916</v>
      </c>
      <c r="AC945" s="43" t="s">
        <v>916</v>
      </c>
      <c r="AD945" s="43" t="s">
        <v>916</v>
      </c>
      <c r="AE945" s="33" t="s">
        <v>916</v>
      </c>
      <c r="AF945" s="35" t="s">
        <v>916</v>
      </c>
      <c r="AG945" s="44">
        <v>491459.19472222222</v>
      </c>
      <c r="AH945" s="42" t="s">
        <v>916</v>
      </c>
      <c r="AI945" s="32" t="e">
        <f>VLOOKUP(A945,'4月明細'!B:B,1,0)</f>
        <v>#N/A</v>
      </c>
    </row>
    <row r="946" spans="1:35" ht="19.95" customHeight="1" x14ac:dyDescent="0.3">
      <c r="A946" s="33" t="s">
        <v>214</v>
      </c>
      <c r="B946" s="34">
        <v>46046.462442129632</v>
      </c>
      <c r="C946" s="34" t="str">
        <f t="shared" si="27"/>
        <v>202601</v>
      </c>
      <c r="D946" s="35" t="s">
        <v>951</v>
      </c>
      <c r="E946" s="36" t="s">
        <v>910</v>
      </c>
      <c r="F946" s="36" t="s">
        <v>2550</v>
      </c>
      <c r="G946" s="37" t="s">
        <v>3325</v>
      </c>
      <c r="H946" s="36" t="s">
        <v>928</v>
      </c>
      <c r="I946" s="35"/>
      <c r="J946" s="36" t="s">
        <v>929</v>
      </c>
      <c r="K946" s="33" t="s">
        <v>916</v>
      </c>
      <c r="L946" s="35" t="s">
        <v>916</v>
      </c>
      <c r="M946" s="36" t="s">
        <v>957</v>
      </c>
      <c r="N946" s="45">
        <v>46048.466666666667</v>
      </c>
      <c r="O946" s="36" t="s">
        <v>25</v>
      </c>
      <c r="P946" s="38">
        <v>2.0042245369999998</v>
      </c>
      <c r="Q946" s="39" t="s">
        <v>3326</v>
      </c>
      <c r="R946" s="35" t="s">
        <v>916</v>
      </c>
      <c r="S946" s="35"/>
      <c r="T946" s="35" t="s">
        <v>1624</v>
      </c>
      <c r="U946" s="40">
        <v>46047</v>
      </c>
      <c r="V946" s="41">
        <v>46153.532812500001</v>
      </c>
      <c r="W946" s="40">
        <v>46046</v>
      </c>
      <c r="X946" s="35" t="s">
        <v>916</v>
      </c>
      <c r="Y946" s="35" t="s">
        <v>916</v>
      </c>
      <c r="Z946" s="35" t="s">
        <v>916</v>
      </c>
      <c r="AA946" s="38">
        <v>48.101388888000002</v>
      </c>
      <c r="AB946" s="42" t="s">
        <v>916</v>
      </c>
      <c r="AC946" s="43" t="s">
        <v>916</v>
      </c>
      <c r="AD946" s="43" t="s">
        <v>916</v>
      </c>
      <c r="AE946" s="33" t="s">
        <v>916</v>
      </c>
      <c r="AF946" s="35" t="s">
        <v>916</v>
      </c>
      <c r="AG946" s="44">
        <v>491459.09861111111</v>
      </c>
      <c r="AH946" s="42" t="s">
        <v>916</v>
      </c>
      <c r="AI946" s="32" t="e">
        <f>VLOOKUP(A946,'4月明細'!B:B,1,0)</f>
        <v>#N/A</v>
      </c>
    </row>
    <row r="947" spans="1:35" ht="19.95" customHeight="1" x14ac:dyDescent="0.3">
      <c r="A947" s="33" t="s">
        <v>213</v>
      </c>
      <c r="B947" s="34">
        <v>46046.457361111112</v>
      </c>
      <c r="C947" s="34" t="str">
        <f t="shared" si="27"/>
        <v>202601</v>
      </c>
      <c r="D947" s="35" t="s">
        <v>1587</v>
      </c>
      <c r="E947" s="36" t="s">
        <v>942</v>
      </c>
      <c r="F947" s="36" t="s">
        <v>1150</v>
      </c>
      <c r="G947" s="37" t="s">
        <v>3327</v>
      </c>
      <c r="H947" s="36" t="s">
        <v>913</v>
      </c>
      <c r="I947" s="35"/>
      <c r="J947" s="36" t="s">
        <v>938</v>
      </c>
      <c r="K947" s="33" t="s">
        <v>916</v>
      </c>
      <c r="L947" s="35" t="s">
        <v>916</v>
      </c>
      <c r="M947" s="36" t="s">
        <v>957</v>
      </c>
      <c r="N947" s="45">
        <v>46049.727083333331</v>
      </c>
      <c r="O947" s="36" t="s">
        <v>25</v>
      </c>
      <c r="P947" s="38">
        <v>3.2697222222</v>
      </c>
      <c r="Q947" s="39" t="s">
        <v>3328</v>
      </c>
      <c r="R947" s="35" t="s">
        <v>916</v>
      </c>
      <c r="S947" s="35"/>
      <c r="T947" s="35" t="s">
        <v>1701</v>
      </c>
      <c r="U947" s="40">
        <v>46047</v>
      </c>
      <c r="V947" s="41">
        <v>46153.532812500001</v>
      </c>
      <c r="W947" s="40">
        <v>46046</v>
      </c>
      <c r="X947" s="35" t="s">
        <v>916</v>
      </c>
      <c r="Y947" s="35" t="s">
        <v>916</v>
      </c>
      <c r="Z947" s="35" t="s">
        <v>916</v>
      </c>
      <c r="AA947" s="38">
        <v>78.473333332799996</v>
      </c>
      <c r="AB947" s="42" t="s">
        <v>916</v>
      </c>
      <c r="AC947" s="43" t="s">
        <v>916</v>
      </c>
      <c r="AD947" s="43" t="s">
        <v>916</v>
      </c>
      <c r="AE947" s="33" t="s">
        <v>916</v>
      </c>
      <c r="AF947" s="35" t="s">
        <v>916</v>
      </c>
      <c r="AG947" s="44">
        <v>491458.97666666668</v>
      </c>
      <c r="AH947" s="42" t="s">
        <v>916</v>
      </c>
      <c r="AI947" s="32" t="e">
        <f>VLOOKUP(A947,'4月明細'!B:B,1,0)</f>
        <v>#N/A</v>
      </c>
    </row>
    <row r="948" spans="1:35" ht="19.95" customHeight="1" x14ac:dyDescent="0.3">
      <c r="A948" s="33" t="s">
        <v>212</v>
      </c>
      <c r="B948" s="34">
        <v>46046.444780092592</v>
      </c>
      <c r="C948" s="34" t="str">
        <f t="shared" si="27"/>
        <v>202601</v>
      </c>
      <c r="D948" s="35" t="s">
        <v>996</v>
      </c>
      <c r="E948" s="36" t="s">
        <v>910</v>
      </c>
      <c r="F948" s="36" t="s">
        <v>1338</v>
      </c>
      <c r="G948" s="37" t="s">
        <v>3229</v>
      </c>
      <c r="H948" s="36" t="s">
        <v>928</v>
      </c>
      <c r="I948" s="35" t="s">
        <v>3329</v>
      </c>
      <c r="J948" s="36" t="s">
        <v>914</v>
      </c>
      <c r="K948" s="33" t="s">
        <v>916</v>
      </c>
      <c r="L948" s="35" t="s">
        <v>916</v>
      </c>
      <c r="M948" s="36" t="s">
        <v>957</v>
      </c>
      <c r="N948" s="45">
        <v>46048.467361111114</v>
      </c>
      <c r="O948" s="36" t="s">
        <v>25</v>
      </c>
      <c r="P948" s="38">
        <v>2.0225810184999999</v>
      </c>
      <c r="Q948" s="39" t="s">
        <v>3330</v>
      </c>
      <c r="R948" s="35" t="s">
        <v>916</v>
      </c>
      <c r="S948" s="35" t="s">
        <v>3331</v>
      </c>
      <c r="T948" s="35" t="s">
        <v>1624</v>
      </c>
      <c r="U948" s="40">
        <v>46047</v>
      </c>
      <c r="V948" s="41">
        <v>46153.532812500001</v>
      </c>
      <c r="W948" s="40">
        <v>46046</v>
      </c>
      <c r="X948" s="35" t="s">
        <v>916</v>
      </c>
      <c r="Y948" s="35" t="s">
        <v>916</v>
      </c>
      <c r="Z948" s="35" t="s">
        <v>916</v>
      </c>
      <c r="AA948" s="38">
        <v>48.541944444000002</v>
      </c>
      <c r="AB948" s="42" t="s">
        <v>916</v>
      </c>
      <c r="AC948" s="43" t="s">
        <v>916</v>
      </c>
      <c r="AD948" s="43" t="s">
        <v>916</v>
      </c>
      <c r="AE948" s="33" t="s">
        <v>916</v>
      </c>
      <c r="AF948" s="35" t="s">
        <v>916</v>
      </c>
      <c r="AG948" s="44">
        <v>491458.6747222222</v>
      </c>
      <c r="AH948" s="42" t="s">
        <v>916</v>
      </c>
      <c r="AI948" s="32" t="e">
        <f>VLOOKUP(A948,'4月明細'!B:B,1,0)</f>
        <v>#N/A</v>
      </c>
    </row>
    <row r="949" spans="1:35" ht="19.95" customHeight="1" x14ac:dyDescent="0.3">
      <c r="A949" s="33" t="s">
        <v>211</v>
      </c>
      <c r="B949" s="34">
        <v>46045.669386574074</v>
      </c>
      <c r="C949" s="34" t="str">
        <f t="shared" si="27"/>
        <v>202601</v>
      </c>
      <c r="D949" s="35" t="s">
        <v>996</v>
      </c>
      <c r="E949" s="36" t="s">
        <v>910</v>
      </c>
      <c r="F949" s="36" t="s">
        <v>1752</v>
      </c>
      <c r="G949" s="37" t="s">
        <v>3332</v>
      </c>
      <c r="H949" s="36" t="s">
        <v>928</v>
      </c>
      <c r="I949" s="35"/>
      <c r="J949" s="36" t="s">
        <v>929</v>
      </c>
      <c r="K949" s="33" t="s">
        <v>916</v>
      </c>
      <c r="L949" s="35" t="s">
        <v>916</v>
      </c>
      <c r="M949" s="36" t="s">
        <v>916</v>
      </c>
      <c r="N949" s="45">
        <v>46048.469444444447</v>
      </c>
      <c r="O949" s="36" t="s">
        <v>25</v>
      </c>
      <c r="P949" s="38">
        <v>2.8000578703999999</v>
      </c>
      <c r="Q949" s="39" t="s">
        <v>3333</v>
      </c>
      <c r="R949" s="35" t="s">
        <v>916</v>
      </c>
      <c r="S949" s="35"/>
      <c r="T949" s="35" t="s">
        <v>1701</v>
      </c>
      <c r="U949" s="40">
        <v>46046</v>
      </c>
      <c r="V949" s="41">
        <v>46153.532812500001</v>
      </c>
      <c r="W949" s="40">
        <v>46045</v>
      </c>
      <c r="X949" s="35" t="s">
        <v>916</v>
      </c>
      <c r="Y949" s="35" t="s">
        <v>916</v>
      </c>
      <c r="Z949" s="35" t="s">
        <v>916</v>
      </c>
      <c r="AA949" s="38">
        <v>67.201388889599997</v>
      </c>
      <c r="AB949" s="42" t="s">
        <v>916</v>
      </c>
      <c r="AC949" s="43" t="s">
        <v>916</v>
      </c>
      <c r="AD949" s="43" t="s">
        <v>916</v>
      </c>
      <c r="AE949" s="33" t="s">
        <v>916</v>
      </c>
      <c r="AF949" s="35" t="s">
        <v>916</v>
      </c>
      <c r="AG949" s="44">
        <v>491440.06527777779</v>
      </c>
      <c r="AH949" s="42" t="s">
        <v>916</v>
      </c>
      <c r="AI949" s="32" t="e">
        <f>VLOOKUP(A949,'4月明細'!B:B,1,0)</f>
        <v>#N/A</v>
      </c>
    </row>
    <row r="950" spans="1:35" ht="19.95" customHeight="1" x14ac:dyDescent="0.3">
      <c r="A950" s="33" t="s">
        <v>210</v>
      </c>
      <c r="B950" s="34">
        <v>46045.522349537037</v>
      </c>
      <c r="C950" s="34" t="str">
        <f t="shared" si="27"/>
        <v>202601</v>
      </c>
      <c r="D950" s="35" t="s">
        <v>986</v>
      </c>
      <c r="E950" s="36" t="s">
        <v>910</v>
      </c>
      <c r="F950" s="36" t="s">
        <v>1419</v>
      </c>
      <c r="G950" s="37" t="s">
        <v>3334</v>
      </c>
      <c r="H950" s="36" t="s">
        <v>954</v>
      </c>
      <c r="I950" s="35"/>
      <c r="J950" s="36" t="s">
        <v>914</v>
      </c>
      <c r="K950" s="33" t="s">
        <v>916</v>
      </c>
      <c r="L950" s="35" t="s">
        <v>916</v>
      </c>
      <c r="M950" s="36" t="s">
        <v>1039</v>
      </c>
      <c r="N950" s="45">
        <v>46045.613888888889</v>
      </c>
      <c r="O950" s="36" t="s">
        <v>25</v>
      </c>
      <c r="P950" s="38">
        <v>9.1539351899999996E-2</v>
      </c>
      <c r="Q950" s="39" t="s">
        <v>3335</v>
      </c>
      <c r="R950" s="35" t="s">
        <v>916</v>
      </c>
      <c r="S950" s="35"/>
      <c r="T950" s="35" t="s">
        <v>1624</v>
      </c>
      <c r="U950" s="40">
        <v>46046</v>
      </c>
      <c r="V950" s="41">
        <v>46153.532812500001</v>
      </c>
      <c r="W950" s="40">
        <v>46045</v>
      </c>
      <c r="X950" s="35" t="s">
        <v>916</v>
      </c>
      <c r="Y950" s="35" t="s">
        <v>916</v>
      </c>
      <c r="Z950" s="35" t="s">
        <v>916</v>
      </c>
      <c r="AA950" s="38">
        <v>2.1969444455999998</v>
      </c>
      <c r="AB950" s="42" t="s">
        <v>916</v>
      </c>
      <c r="AC950" s="43" t="s">
        <v>916</v>
      </c>
      <c r="AD950" s="43" t="s">
        <v>916</v>
      </c>
      <c r="AE950" s="33" t="s">
        <v>916</v>
      </c>
      <c r="AF950" s="35" t="s">
        <v>916</v>
      </c>
      <c r="AG950" s="44">
        <v>491436.5363888889</v>
      </c>
      <c r="AH950" s="42" t="s">
        <v>916</v>
      </c>
      <c r="AI950" s="32" t="e">
        <f>VLOOKUP(A950,'4月明細'!B:B,1,0)</f>
        <v>#N/A</v>
      </c>
    </row>
    <row r="951" spans="1:35" ht="19.95" customHeight="1" x14ac:dyDescent="0.3">
      <c r="A951" s="33" t="s">
        <v>209</v>
      </c>
      <c r="B951" s="34">
        <v>46045.490370370368</v>
      </c>
      <c r="C951" s="34" t="str">
        <f t="shared" si="27"/>
        <v>202601</v>
      </c>
      <c r="D951" s="35" t="s">
        <v>996</v>
      </c>
      <c r="E951" s="36" t="s">
        <v>910</v>
      </c>
      <c r="F951" s="36" t="s">
        <v>1138</v>
      </c>
      <c r="G951" s="37" t="s">
        <v>1979</v>
      </c>
      <c r="H951" s="36" t="s">
        <v>954</v>
      </c>
      <c r="I951" s="35" t="s">
        <v>3336</v>
      </c>
      <c r="J951" s="36" t="s">
        <v>914</v>
      </c>
      <c r="K951" s="33" t="s">
        <v>916</v>
      </c>
      <c r="L951" s="35" t="s">
        <v>916</v>
      </c>
      <c r="M951" s="36" t="s">
        <v>1039</v>
      </c>
      <c r="N951" s="45">
        <v>46045.574305555558</v>
      </c>
      <c r="O951" s="36" t="s">
        <v>25</v>
      </c>
      <c r="P951" s="38">
        <v>8.3935185199999998E-2</v>
      </c>
      <c r="Q951" s="39" t="s">
        <v>3337</v>
      </c>
      <c r="R951" s="35" t="s">
        <v>916</v>
      </c>
      <c r="S951" s="35" t="s">
        <v>3338</v>
      </c>
      <c r="T951" s="35" t="s">
        <v>1624</v>
      </c>
      <c r="U951" s="40">
        <v>46046</v>
      </c>
      <c r="V951" s="41">
        <v>46153.532812500001</v>
      </c>
      <c r="W951" s="40">
        <v>46045</v>
      </c>
      <c r="X951" s="35" t="s">
        <v>916</v>
      </c>
      <c r="Y951" s="35" t="s">
        <v>916</v>
      </c>
      <c r="Z951" s="35" t="s">
        <v>916</v>
      </c>
      <c r="AA951" s="38">
        <v>2.0144444448000001</v>
      </c>
      <c r="AB951" s="42" t="s">
        <v>916</v>
      </c>
      <c r="AC951" s="43" t="s">
        <v>916</v>
      </c>
      <c r="AD951" s="43" t="s">
        <v>916</v>
      </c>
      <c r="AE951" s="33" t="s">
        <v>916</v>
      </c>
      <c r="AF951" s="35" t="s">
        <v>916</v>
      </c>
      <c r="AG951" s="44">
        <v>491435.76888888888</v>
      </c>
      <c r="AH951" s="42" t="s">
        <v>916</v>
      </c>
      <c r="AI951" s="32" t="e">
        <f>VLOOKUP(A951,'4月明細'!B:B,1,0)</f>
        <v>#N/A</v>
      </c>
    </row>
    <row r="952" spans="1:35" ht="19.95" customHeight="1" x14ac:dyDescent="0.3">
      <c r="A952" s="33" t="s">
        <v>208</v>
      </c>
      <c r="B952" s="34">
        <v>46045.452673611115</v>
      </c>
      <c r="C952" s="34" t="str">
        <f t="shared" si="27"/>
        <v>202601</v>
      </c>
      <c r="D952" s="35" t="s">
        <v>941</v>
      </c>
      <c r="E952" s="36" t="s">
        <v>942</v>
      </c>
      <c r="F952" s="36" t="s">
        <v>1634</v>
      </c>
      <c r="G952" s="37" t="s">
        <v>3339</v>
      </c>
      <c r="H952" s="36" t="s">
        <v>954</v>
      </c>
      <c r="I952" s="35"/>
      <c r="J952" s="36" t="s">
        <v>938</v>
      </c>
      <c r="K952" s="33" t="s">
        <v>916</v>
      </c>
      <c r="L952" s="35" t="s">
        <v>916</v>
      </c>
      <c r="M952" s="36" t="s">
        <v>916</v>
      </c>
      <c r="N952" s="45">
        <v>46045.706944444442</v>
      </c>
      <c r="O952" s="36" t="s">
        <v>25</v>
      </c>
      <c r="P952" s="38">
        <v>0.2542708333</v>
      </c>
      <c r="Q952" s="39" t="s">
        <v>3340</v>
      </c>
      <c r="R952" s="35" t="s">
        <v>916</v>
      </c>
      <c r="S952" s="35"/>
      <c r="T952" s="35" t="s">
        <v>1624</v>
      </c>
      <c r="U952" s="40">
        <v>46046</v>
      </c>
      <c r="V952" s="41">
        <v>46153.532812500001</v>
      </c>
      <c r="W952" s="40">
        <v>46045</v>
      </c>
      <c r="X952" s="35" t="s">
        <v>916</v>
      </c>
      <c r="Y952" s="35" t="s">
        <v>916</v>
      </c>
      <c r="Z952" s="35" t="s">
        <v>916</v>
      </c>
      <c r="AA952" s="38">
        <v>6.1024999992</v>
      </c>
      <c r="AB952" s="42" t="s">
        <v>916</v>
      </c>
      <c r="AC952" s="43" t="s">
        <v>916</v>
      </c>
      <c r="AD952" s="43" t="s">
        <v>916</v>
      </c>
      <c r="AE952" s="33" t="s">
        <v>916</v>
      </c>
      <c r="AF952" s="35" t="s">
        <v>916</v>
      </c>
      <c r="AG952" s="44">
        <v>491434.86416666658</v>
      </c>
      <c r="AH952" s="42" t="s">
        <v>916</v>
      </c>
      <c r="AI952" s="32" t="e">
        <f>VLOOKUP(A952,'4月明細'!B:B,1,0)</f>
        <v>#N/A</v>
      </c>
    </row>
    <row r="953" spans="1:35" ht="19.95" customHeight="1" x14ac:dyDescent="0.3">
      <c r="A953" s="33" t="s">
        <v>207</v>
      </c>
      <c r="B953" s="34">
        <v>46044.861550925925</v>
      </c>
      <c r="C953" s="34" t="str">
        <f t="shared" si="27"/>
        <v>202601</v>
      </c>
      <c r="D953" s="35" t="s">
        <v>986</v>
      </c>
      <c r="E953" s="36" t="s">
        <v>910</v>
      </c>
      <c r="F953" s="36" t="s">
        <v>1429</v>
      </c>
      <c r="G953" s="37" t="s">
        <v>3341</v>
      </c>
      <c r="H953" s="36" t="s">
        <v>954</v>
      </c>
      <c r="I953" s="35"/>
      <c r="J953" s="36" t="s">
        <v>938</v>
      </c>
      <c r="K953" s="33" t="s">
        <v>916</v>
      </c>
      <c r="L953" s="35" t="s">
        <v>916</v>
      </c>
      <c r="M953" s="36" t="s">
        <v>916</v>
      </c>
      <c r="N953" s="45">
        <v>46045.572222222225</v>
      </c>
      <c r="O953" s="36" t="s">
        <v>25</v>
      </c>
      <c r="P953" s="38">
        <v>0.71067129630000003</v>
      </c>
      <c r="Q953" s="39" t="s">
        <v>3342</v>
      </c>
      <c r="R953" s="35" t="s">
        <v>916</v>
      </c>
      <c r="S953" s="35"/>
      <c r="T953" s="35" t="s">
        <v>1624</v>
      </c>
      <c r="U953" s="40">
        <v>46045</v>
      </c>
      <c r="V953" s="41">
        <v>46153.532812500001</v>
      </c>
      <c r="W953" s="40">
        <v>46045</v>
      </c>
      <c r="X953" s="35" t="s">
        <v>916</v>
      </c>
      <c r="Y953" s="35" t="s">
        <v>916</v>
      </c>
      <c r="Z953" s="35" t="s">
        <v>916</v>
      </c>
      <c r="AA953" s="38">
        <v>17.0561111112</v>
      </c>
      <c r="AB953" s="42" t="s">
        <v>916</v>
      </c>
      <c r="AC953" s="43" t="s">
        <v>916</v>
      </c>
      <c r="AD953" s="43" t="s">
        <v>916</v>
      </c>
      <c r="AE953" s="33" t="s">
        <v>916</v>
      </c>
      <c r="AF953" s="35" t="s">
        <v>916</v>
      </c>
      <c r="AG953" s="44">
        <v>491420.67722222221</v>
      </c>
      <c r="AH953" s="42" t="s">
        <v>916</v>
      </c>
      <c r="AI953" s="32" t="e">
        <f>VLOOKUP(A953,'4月明細'!B:B,1,0)</f>
        <v>#N/A</v>
      </c>
    </row>
    <row r="954" spans="1:35" ht="19.95" customHeight="1" x14ac:dyDescent="0.3">
      <c r="A954" s="33" t="s">
        <v>206</v>
      </c>
      <c r="B954" s="34">
        <v>46044.859814814816</v>
      </c>
      <c r="C954" s="34" t="str">
        <f t="shared" si="27"/>
        <v>202601</v>
      </c>
      <c r="D954" s="35" t="s">
        <v>986</v>
      </c>
      <c r="E954" s="36" t="s">
        <v>910</v>
      </c>
      <c r="F954" s="36" t="s">
        <v>1429</v>
      </c>
      <c r="G954" s="37" t="s">
        <v>3343</v>
      </c>
      <c r="H954" s="36" t="s">
        <v>1023</v>
      </c>
      <c r="I954" s="35"/>
      <c r="J954" s="36" t="s">
        <v>938</v>
      </c>
      <c r="K954" s="33" t="s">
        <v>916</v>
      </c>
      <c r="L954" s="35" t="s">
        <v>916</v>
      </c>
      <c r="M954" s="36" t="s">
        <v>916</v>
      </c>
      <c r="N954" s="45">
        <v>46045.570138888892</v>
      </c>
      <c r="O954" s="36" t="s">
        <v>25</v>
      </c>
      <c r="P954" s="38">
        <v>0.71032407409999998</v>
      </c>
      <c r="Q954" s="39" t="s">
        <v>3344</v>
      </c>
      <c r="R954" s="35" t="s">
        <v>916</v>
      </c>
      <c r="S954" s="35" t="s">
        <v>3345</v>
      </c>
      <c r="T954" s="35" t="s">
        <v>1624</v>
      </c>
      <c r="U954" s="40">
        <v>46045</v>
      </c>
      <c r="V954" s="41">
        <v>46153.532812500001</v>
      </c>
      <c r="W954" s="40">
        <v>46045</v>
      </c>
      <c r="X954" s="35" t="s">
        <v>916</v>
      </c>
      <c r="Y954" s="35" t="s">
        <v>916</v>
      </c>
      <c r="Z954" s="35" t="s">
        <v>916</v>
      </c>
      <c r="AA954" s="38">
        <v>17.0477777784</v>
      </c>
      <c r="AB954" s="42" t="s">
        <v>916</v>
      </c>
      <c r="AC954" s="43" t="s">
        <v>916</v>
      </c>
      <c r="AD954" s="43" t="s">
        <v>916</v>
      </c>
      <c r="AE954" s="33" t="s">
        <v>916</v>
      </c>
      <c r="AF954" s="35" t="s">
        <v>916</v>
      </c>
      <c r="AG954" s="44">
        <v>491420.63555555558</v>
      </c>
      <c r="AH954" s="42" t="s">
        <v>916</v>
      </c>
      <c r="AI954" s="32" t="e">
        <f>VLOOKUP(A954,'4月明細'!B:B,1,0)</f>
        <v>#N/A</v>
      </c>
    </row>
    <row r="955" spans="1:35" ht="19.95" customHeight="1" x14ac:dyDescent="0.3">
      <c r="A955" s="33" t="s">
        <v>3346</v>
      </c>
      <c r="B955" s="34">
        <v>46044.677858796298</v>
      </c>
      <c r="C955" s="34" t="str">
        <f t="shared" si="27"/>
        <v>202601</v>
      </c>
      <c r="D955" s="35" t="s">
        <v>2278</v>
      </c>
      <c r="E955" s="36" t="s">
        <v>910</v>
      </c>
      <c r="F955" s="36" t="s">
        <v>2550</v>
      </c>
      <c r="G955" s="37" t="s">
        <v>3347</v>
      </c>
      <c r="H955" s="36" t="s">
        <v>1114</v>
      </c>
      <c r="I955" s="35"/>
      <c r="J955" s="36" t="s">
        <v>929</v>
      </c>
      <c r="K955" s="33" t="s">
        <v>916</v>
      </c>
      <c r="L955" s="35" t="s">
        <v>916</v>
      </c>
      <c r="M955" s="36" t="s">
        <v>1039</v>
      </c>
      <c r="N955" s="45">
        <v>46045.556250000001</v>
      </c>
      <c r="O955" s="36" t="s">
        <v>1797</v>
      </c>
      <c r="P955" s="38">
        <v>0.87839120370000001</v>
      </c>
      <c r="Q955" s="39" t="s">
        <v>3348</v>
      </c>
      <c r="R955" s="35" t="s">
        <v>916</v>
      </c>
      <c r="S955" s="35"/>
      <c r="T955" s="35" t="s">
        <v>1624</v>
      </c>
      <c r="U955" s="40">
        <v>46045</v>
      </c>
      <c r="V955" s="41">
        <v>46153.532812500001</v>
      </c>
      <c r="W955" s="40">
        <v>46044</v>
      </c>
      <c r="X955" s="35" t="s">
        <v>916</v>
      </c>
      <c r="Y955" s="35" t="s">
        <v>916</v>
      </c>
      <c r="Z955" s="35" t="s">
        <v>916</v>
      </c>
      <c r="AA955" s="38">
        <v>21.081388888799999</v>
      </c>
      <c r="AB955" s="42" t="s">
        <v>916</v>
      </c>
      <c r="AC955" s="43" t="s">
        <v>916</v>
      </c>
      <c r="AD955" s="43" t="s">
        <v>916</v>
      </c>
      <c r="AE955" s="33" t="s">
        <v>916</v>
      </c>
      <c r="AF955" s="35" t="s">
        <v>916</v>
      </c>
      <c r="AG955" s="44">
        <v>491416.26861111121</v>
      </c>
      <c r="AH955" s="42" t="s">
        <v>916</v>
      </c>
      <c r="AI955" s="32" t="e">
        <f>VLOOKUP(A955,'4月明細'!B:B,1,0)</f>
        <v>#N/A</v>
      </c>
    </row>
    <row r="956" spans="1:35" ht="19.95" customHeight="1" x14ac:dyDescent="0.3">
      <c r="A956" s="33" t="s">
        <v>205</v>
      </c>
      <c r="B956" s="34">
        <v>46044.471724537034</v>
      </c>
      <c r="C956" s="34" t="str">
        <f t="shared" si="27"/>
        <v>202601</v>
      </c>
      <c r="D956" s="35" t="s">
        <v>1952</v>
      </c>
      <c r="E956" s="36" t="s">
        <v>910</v>
      </c>
      <c r="F956" s="36" t="s">
        <v>1537</v>
      </c>
      <c r="G956" s="37" t="s">
        <v>3349</v>
      </c>
      <c r="H956" s="36" t="s">
        <v>928</v>
      </c>
      <c r="I956" s="35" t="s">
        <v>3350</v>
      </c>
      <c r="J956" s="36" t="s">
        <v>1058</v>
      </c>
      <c r="K956" s="33" t="s">
        <v>916</v>
      </c>
      <c r="L956" s="35" t="s">
        <v>916</v>
      </c>
      <c r="M956" s="36" t="s">
        <v>957</v>
      </c>
      <c r="N956" s="45">
        <v>46044.583333333336</v>
      </c>
      <c r="O956" s="36" t="s">
        <v>25</v>
      </c>
      <c r="P956" s="38">
        <v>0.11160879629999999</v>
      </c>
      <c r="Q956" s="39" t="s">
        <v>3351</v>
      </c>
      <c r="R956" s="35" t="s">
        <v>916</v>
      </c>
      <c r="S956" s="35"/>
      <c r="T956" s="35" t="s">
        <v>1624</v>
      </c>
      <c r="U956" s="40">
        <v>46045</v>
      </c>
      <c r="V956" s="41">
        <v>46153.532812500001</v>
      </c>
      <c r="W956" s="40">
        <v>46044</v>
      </c>
      <c r="X956" s="35" t="s">
        <v>916</v>
      </c>
      <c r="Y956" s="35" t="s">
        <v>916</v>
      </c>
      <c r="Z956" s="35" t="s">
        <v>916</v>
      </c>
      <c r="AA956" s="38">
        <v>2.6786111112</v>
      </c>
      <c r="AB956" s="42" t="s">
        <v>916</v>
      </c>
      <c r="AC956" s="43" t="s">
        <v>916</v>
      </c>
      <c r="AD956" s="43" t="s">
        <v>916</v>
      </c>
      <c r="AE956" s="33" t="s">
        <v>916</v>
      </c>
      <c r="AF956" s="35" t="s">
        <v>916</v>
      </c>
      <c r="AG956" s="44">
        <v>491411.32138888887</v>
      </c>
      <c r="AH956" s="42" t="s">
        <v>916</v>
      </c>
      <c r="AI956" s="32" t="e">
        <f>VLOOKUP(A956,'4月明細'!B:B,1,0)</f>
        <v>#N/A</v>
      </c>
    </row>
    <row r="957" spans="1:35" ht="19.95" customHeight="1" x14ac:dyDescent="0.3">
      <c r="A957" s="33" t="s">
        <v>204</v>
      </c>
      <c r="B957" s="34">
        <v>46044.448900462965</v>
      </c>
      <c r="C957" s="34" t="str">
        <f t="shared" si="27"/>
        <v>202601</v>
      </c>
      <c r="D957" s="35" t="s">
        <v>909</v>
      </c>
      <c r="E957" s="36" t="s">
        <v>910</v>
      </c>
      <c r="F957" s="36" t="s">
        <v>926</v>
      </c>
      <c r="G957" s="37" t="s">
        <v>3352</v>
      </c>
      <c r="H957" s="36" t="s">
        <v>928</v>
      </c>
      <c r="I957" s="35"/>
      <c r="J957" s="36" t="s">
        <v>929</v>
      </c>
      <c r="K957" s="33" t="s">
        <v>916</v>
      </c>
      <c r="L957" s="35" t="s">
        <v>916</v>
      </c>
      <c r="M957" s="36" t="s">
        <v>957</v>
      </c>
      <c r="N957" s="45">
        <v>46044.584027777775</v>
      </c>
      <c r="O957" s="36" t="s">
        <v>25</v>
      </c>
      <c r="P957" s="38">
        <v>0.13512731480000001</v>
      </c>
      <c r="Q957" s="39" t="s">
        <v>2654</v>
      </c>
      <c r="R957" s="35" t="s">
        <v>916</v>
      </c>
      <c r="S957" s="35"/>
      <c r="T957" s="35" t="s">
        <v>1624</v>
      </c>
      <c r="U957" s="40">
        <v>46045</v>
      </c>
      <c r="V957" s="41">
        <v>46153.532824074071</v>
      </c>
      <c r="W957" s="40">
        <v>46044</v>
      </c>
      <c r="X957" s="35" t="s">
        <v>916</v>
      </c>
      <c r="Y957" s="35" t="s">
        <v>916</v>
      </c>
      <c r="Z957" s="35" t="s">
        <v>916</v>
      </c>
      <c r="AA957" s="38">
        <v>3.2430555552000002</v>
      </c>
      <c r="AB957" s="42" t="s">
        <v>916</v>
      </c>
      <c r="AC957" s="43" t="s">
        <v>916</v>
      </c>
      <c r="AD957" s="43" t="s">
        <v>916</v>
      </c>
      <c r="AE957" s="33" t="s">
        <v>916</v>
      </c>
      <c r="AF957" s="35" t="s">
        <v>916</v>
      </c>
      <c r="AG957" s="44">
        <v>491410.7736111111</v>
      </c>
      <c r="AH957" s="42" t="s">
        <v>916</v>
      </c>
      <c r="AI957" s="32" t="e">
        <f>VLOOKUP(A957,'4月明細'!B:B,1,0)</f>
        <v>#N/A</v>
      </c>
    </row>
    <row r="958" spans="1:35" ht="19.95" customHeight="1" x14ac:dyDescent="0.3">
      <c r="A958" s="33" t="s">
        <v>203</v>
      </c>
      <c r="B958" s="34">
        <v>46044.44127314815</v>
      </c>
      <c r="C958" s="34" t="str">
        <f t="shared" si="27"/>
        <v>202601</v>
      </c>
      <c r="D958" s="35" t="s">
        <v>1952</v>
      </c>
      <c r="E958" s="36" t="s">
        <v>910</v>
      </c>
      <c r="F958" s="36" t="s">
        <v>1748</v>
      </c>
      <c r="G958" s="37" t="s">
        <v>3353</v>
      </c>
      <c r="H958" s="36" t="s">
        <v>913</v>
      </c>
      <c r="I958" s="35"/>
      <c r="J958" s="36" t="s">
        <v>914</v>
      </c>
      <c r="K958" s="33" t="s">
        <v>916</v>
      </c>
      <c r="L958" s="35" t="s">
        <v>916</v>
      </c>
      <c r="M958" s="36" t="s">
        <v>957</v>
      </c>
      <c r="N958" s="45">
        <v>46044.584722222222</v>
      </c>
      <c r="O958" s="36" t="s">
        <v>25</v>
      </c>
      <c r="P958" s="38">
        <v>0.14344907409999999</v>
      </c>
      <c r="Q958" s="39" t="s">
        <v>3354</v>
      </c>
      <c r="R958" s="35" t="s">
        <v>916</v>
      </c>
      <c r="S958" s="35"/>
      <c r="T958" s="35" t="s">
        <v>1624</v>
      </c>
      <c r="U958" s="40">
        <v>46045</v>
      </c>
      <c r="V958" s="41">
        <v>46153.532824074071</v>
      </c>
      <c r="W958" s="40">
        <v>46044</v>
      </c>
      <c r="X958" s="35" t="s">
        <v>916</v>
      </c>
      <c r="Y958" s="35" t="s">
        <v>916</v>
      </c>
      <c r="Z958" s="35" t="s">
        <v>916</v>
      </c>
      <c r="AA958" s="38">
        <v>3.4427777784</v>
      </c>
      <c r="AB958" s="42" t="s">
        <v>916</v>
      </c>
      <c r="AC958" s="43" t="s">
        <v>916</v>
      </c>
      <c r="AD958" s="43" t="s">
        <v>916</v>
      </c>
      <c r="AE958" s="33" t="s">
        <v>916</v>
      </c>
      <c r="AF958" s="35" t="s">
        <v>916</v>
      </c>
      <c r="AG958" s="44">
        <v>491410.59055555559</v>
      </c>
      <c r="AH958" s="42" t="s">
        <v>916</v>
      </c>
      <c r="AI958" s="32" t="e">
        <f>VLOOKUP(A958,'4月明細'!B:B,1,0)</f>
        <v>#N/A</v>
      </c>
    </row>
    <row r="959" spans="1:35" ht="19.95" customHeight="1" x14ac:dyDescent="0.3">
      <c r="A959" s="33" t="s">
        <v>3355</v>
      </c>
      <c r="B959" s="34">
        <v>46044.436759259261</v>
      </c>
      <c r="C959" s="34" t="str">
        <f t="shared" si="27"/>
        <v>202601</v>
      </c>
      <c r="D959" s="35" t="s">
        <v>1597</v>
      </c>
      <c r="E959" s="36" t="s">
        <v>942</v>
      </c>
      <c r="F959" s="36" t="s">
        <v>1736</v>
      </c>
      <c r="G959" s="37" t="s">
        <v>3356</v>
      </c>
      <c r="H959" s="36" t="s">
        <v>1114</v>
      </c>
      <c r="I959" s="35"/>
      <c r="J959" s="36" t="s">
        <v>945</v>
      </c>
      <c r="K959" s="33" t="s">
        <v>916</v>
      </c>
      <c r="L959" s="35" t="s">
        <v>916</v>
      </c>
      <c r="M959" s="36" t="s">
        <v>1039</v>
      </c>
      <c r="N959" s="45">
        <v>46052.502083333333</v>
      </c>
      <c r="O959" s="36" t="s">
        <v>1797</v>
      </c>
      <c r="P959" s="38">
        <v>8.0653240740999994</v>
      </c>
      <c r="Q959" s="39" t="s">
        <v>3357</v>
      </c>
      <c r="R959" s="35" t="s">
        <v>916</v>
      </c>
      <c r="S959" s="35"/>
      <c r="T959" s="35" t="s">
        <v>1624</v>
      </c>
      <c r="U959" s="40">
        <v>46045</v>
      </c>
      <c r="V959" s="41">
        <v>46153.532824074071</v>
      </c>
      <c r="W959" s="40">
        <v>46044</v>
      </c>
      <c r="X959" s="35" t="s">
        <v>916</v>
      </c>
      <c r="Y959" s="35" t="s">
        <v>916</v>
      </c>
      <c r="Z959" s="35" t="s">
        <v>916</v>
      </c>
      <c r="AA959" s="38">
        <v>193.5677777784</v>
      </c>
      <c r="AB959" s="42" t="s">
        <v>916</v>
      </c>
      <c r="AC959" s="43" t="s">
        <v>916</v>
      </c>
      <c r="AD959" s="43" t="s">
        <v>916</v>
      </c>
      <c r="AE959" s="33" t="s">
        <v>916</v>
      </c>
      <c r="AF959" s="35" t="s">
        <v>916</v>
      </c>
      <c r="AG959" s="44">
        <v>491410.48222222232</v>
      </c>
      <c r="AH959" s="42" t="s">
        <v>916</v>
      </c>
      <c r="AI959" s="32" t="e">
        <f>VLOOKUP(A959,'4月明細'!B:B,1,0)</f>
        <v>#N/A</v>
      </c>
    </row>
    <row r="960" spans="1:35" ht="19.95" customHeight="1" x14ac:dyDescent="0.3">
      <c r="A960" s="33" t="s">
        <v>202</v>
      </c>
      <c r="B960" s="34">
        <v>46044.420740740738</v>
      </c>
      <c r="C960" s="34" t="str">
        <f t="shared" si="27"/>
        <v>202601</v>
      </c>
      <c r="D960" s="35" t="s">
        <v>941</v>
      </c>
      <c r="E960" s="36" t="s">
        <v>942</v>
      </c>
      <c r="F960" s="36" t="s">
        <v>1155</v>
      </c>
      <c r="G960" s="37" t="s">
        <v>3358</v>
      </c>
      <c r="H960" s="36" t="s">
        <v>928</v>
      </c>
      <c r="I960" s="35"/>
      <c r="J960" s="36" t="s">
        <v>938</v>
      </c>
      <c r="K960" s="33" t="s">
        <v>916</v>
      </c>
      <c r="L960" s="35" t="s">
        <v>916</v>
      </c>
      <c r="M960" s="36" t="s">
        <v>916</v>
      </c>
      <c r="N960" s="45">
        <v>46045.71875</v>
      </c>
      <c r="O960" s="36" t="s">
        <v>25</v>
      </c>
      <c r="P960" s="38">
        <v>1.2980092593000001</v>
      </c>
      <c r="Q960" s="39" t="s">
        <v>3359</v>
      </c>
      <c r="R960" s="35" t="s">
        <v>916</v>
      </c>
      <c r="S960" s="35"/>
      <c r="T960" s="35" t="s">
        <v>1624</v>
      </c>
      <c r="U960" s="40">
        <v>46045</v>
      </c>
      <c r="V960" s="41">
        <v>46153.532824074071</v>
      </c>
      <c r="W960" s="40">
        <v>46044</v>
      </c>
      <c r="X960" s="35" t="s">
        <v>916</v>
      </c>
      <c r="Y960" s="35" t="s">
        <v>916</v>
      </c>
      <c r="Z960" s="35" t="s">
        <v>916</v>
      </c>
      <c r="AA960" s="38">
        <v>31.152222223199999</v>
      </c>
      <c r="AB960" s="42" t="s">
        <v>916</v>
      </c>
      <c r="AC960" s="43" t="s">
        <v>916</v>
      </c>
      <c r="AD960" s="43" t="s">
        <v>916</v>
      </c>
      <c r="AE960" s="33" t="s">
        <v>916</v>
      </c>
      <c r="AF960" s="35" t="s">
        <v>916</v>
      </c>
      <c r="AG960" s="44">
        <v>491410.09777777782</v>
      </c>
      <c r="AH960" s="42" t="s">
        <v>916</v>
      </c>
      <c r="AI960" s="32" t="e">
        <f>VLOOKUP(A960,'4月明細'!B:B,1,0)</f>
        <v>#N/A</v>
      </c>
    </row>
    <row r="961" spans="1:35" ht="19.95" customHeight="1" x14ac:dyDescent="0.3">
      <c r="A961" s="33" t="s">
        <v>201</v>
      </c>
      <c r="B961" s="34">
        <v>46043.79173611111</v>
      </c>
      <c r="C961" s="34" t="str">
        <f t="shared" si="27"/>
        <v>202601</v>
      </c>
      <c r="D961" s="35" t="s">
        <v>1510</v>
      </c>
      <c r="E961" s="36" t="s">
        <v>942</v>
      </c>
      <c r="F961" s="36" t="s">
        <v>1276</v>
      </c>
      <c r="G961" s="37" t="s">
        <v>3360</v>
      </c>
      <c r="H961" s="36" t="s">
        <v>913</v>
      </c>
      <c r="I961" s="35"/>
      <c r="J961" s="36" t="s">
        <v>938</v>
      </c>
      <c r="K961" s="33" t="s">
        <v>916</v>
      </c>
      <c r="L961" s="35" t="s">
        <v>916</v>
      </c>
      <c r="M961" s="36" t="s">
        <v>1039</v>
      </c>
      <c r="N961" s="45">
        <v>46044.441666666666</v>
      </c>
      <c r="O961" s="36" t="s">
        <v>25</v>
      </c>
      <c r="P961" s="38">
        <v>0.64993055560000002</v>
      </c>
      <c r="Q961" s="39" t="s">
        <v>3361</v>
      </c>
      <c r="R961" s="35" t="s">
        <v>916</v>
      </c>
      <c r="S961" s="35"/>
      <c r="T961" s="35" t="s">
        <v>1701</v>
      </c>
      <c r="U961" s="40">
        <v>46044</v>
      </c>
      <c r="V961" s="41">
        <v>46153.532824074071</v>
      </c>
      <c r="W961" s="40">
        <v>46043</v>
      </c>
      <c r="X961" s="35" t="s">
        <v>916</v>
      </c>
      <c r="Y961" s="35" t="s">
        <v>916</v>
      </c>
      <c r="Z961" s="35" t="s">
        <v>916</v>
      </c>
      <c r="AA961" s="38">
        <v>15.598333334399999</v>
      </c>
      <c r="AB961" s="42" t="s">
        <v>916</v>
      </c>
      <c r="AC961" s="43" t="s">
        <v>916</v>
      </c>
      <c r="AD961" s="43" t="s">
        <v>916</v>
      </c>
      <c r="AE961" s="33" t="s">
        <v>916</v>
      </c>
      <c r="AF961" s="35" t="s">
        <v>916</v>
      </c>
      <c r="AG961" s="44">
        <v>491395.00166666659</v>
      </c>
      <c r="AH961" s="42" t="s">
        <v>916</v>
      </c>
      <c r="AI961" s="32" t="e">
        <f>VLOOKUP(A961,'4月明細'!B:B,1,0)</f>
        <v>#N/A</v>
      </c>
    </row>
    <row r="962" spans="1:35" ht="19.95" customHeight="1" x14ac:dyDescent="0.3">
      <c r="A962" s="33" t="s">
        <v>200</v>
      </c>
      <c r="B962" s="34">
        <v>46043.68472222222</v>
      </c>
      <c r="C962" s="34" t="str">
        <f t="shared" si="27"/>
        <v>202601</v>
      </c>
      <c r="D962" s="35" t="s">
        <v>951</v>
      </c>
      <c r="E962" s="36" t="s">
        <v>910</v>
      </c>
      <c r="F962" s="36" t="s">
        <v>1783</v>
      </c>
      <c r="G962" s="37" t="s">
        <v>3362</v>
      </c>
      <c r="H962" s="36" t="s">
        <v>928</v>
      </c>
      <c r="I962" s="35"/>
      <c r="J962" s="36" t="s">
        <v>929</v>
      </c>
      <c r="K962" s="33" t="s">
        <v>916</v>
      </c>
      <c r="L962" s="35" t="s">
        <v>916</v>
      </c>
      <c r="M962" s="36" t="s">
        <v>916</v>
      </c>
      <c r="N962" s="45">
        <v>46044.412499999999</v>
      </c>
      <c r="O962" s="36" t="s">
        <v>25</v>
      </c>
      <c r="P962" s="38">
        <v>0.72777777779999997</v>
      </c>
      <c r="Q962" s="39" t="s">
        <v>919</v>
      </c>
      <c r="R962" s="35" t="s">
        <v>916</v>
      </c>
      <c r="S962" s="35"/>
      <c r="T962" s="35" t="s">
        <v>1624</v>
      </c>
      <c r="U962" s="40">
        <v>46044</v>
      </c>
      <c r="V962" s="41">
        <v>46153.532824074071</v>
      </c>
      <c r="W962" s="40">
        <v>46043</v>
      </c>
      <c r="X962" s="35" t="s">
        <v>916</v>
      </c>
      <c r="Y962" s="35" t="s">
        <v>916</v>
      </c>
      <c r="Z962" s="35" t="s">
        <v>916</v>
      </c>
      <c r="AA962" s="38">
        <v>17.466666667199998</v>
      </c>
      <c r="AB962" s="42" t="s">
        <v>916</v>
      </c>
      <c r="AC962" s="43" t="s">
        <v>916</v>
      </c>
      <c r="AD962" s="43" t="s">
        <v>916</v>
      </c>
      <c r="AE962" s="33" t="s">
        <v>916</v>
      </c>
      <c r="AF962" s="35" t="s">
        <v>916</v>
      </c>
      <c r="AG962" s="44">
        <v>491392.43333333329</v>
      </c>
      <c r="AH962" s="42" t="s">
        <v>916</v>
      </c>
      <c r="AI962" s="32" t="e">
        <f>VLOOKUP(A962,'4月明細'!B:B,1,0)</f>
        <v>#N/A</v>
      </c>
    </row>
    <row r="963" spans="1:35" ht="19.95" customHeight="1" x14ac:dyDescent="0.3">
      <c r="A963" s="33" t="s">
        <v>199</v>
      </c>
      <c r="B963" s="34">
        <v>46043.60056712963</v>
      </c>
      <c r="C963" s="34" t="str">
        <f t="shared" ref="C963:C1026" si="28">TEXT(B963,"YYYYMM")</f>
        <v>202601</v>
      </c>
      <c r="D963" s="35" t="s">
        <v>909</v>
      </c>
      <c r="E963" s="36" t="s">
        <v>910</v>
      </c>
      <c r="F963" s="36" t="s">
        <v>1534</v>
      </c>
      <c r="G963" s="37" t="s">
        <v>3363</v>
      </c>
      <c r="H963" s="36" t="s">
        <v>954</v>
      </c>
      <c r="I963" s="35"/>
      <c r="J963" s="36" t="s">
        <v>945</v>
      </c>
      <c r="K963" s="33" t="s">
        <v>916</v>
      </c>
      <c r="L963" s="35" t="s">
        <v>916</v>
      </c>
      <c r="M963" s="36" t="s">
        <v>916</v>
      </c>
      <c r="N963" s="45">
        <v>46044.414583333331</v>
      </c>
      <c r="O963" s="36" t="s">
        <v>25</v>
      </c>
      <c r="P963" s="38">
        <v>0.81401620370000005</v>
      </c>
      <c r="Q963" s="39" t="s">
        <v>3364</v>
      </c>
      <c r="R963" s="35" t="s">
        <v>916</v>
      </c>
      <c r="S963" s="35" t="s">
        <v>3365</v>
      </c>
      <c r="T963" s="35" t="s">
        <v>1624</v>
      </c>
      <c r="U963" s="40">
        <v>46044</v>
      </c>
      <c r="V963" s="41">
        <v>46153.532824074071</v>
      </c>
      <c r="W963" s="40">
        <v>46043</v>
      </c>
      <c r="X963" s="35" t="s">
        <v>916</v>
      </c>
      <c r="Y963" s="35" t="s">
        <v>916</v>
      </c>
      <c r="Z963" s="35" t="s">
        <v>916</v>
      </c>
      <c r="AA963" s="38">
        <v>19.536388888800001</v>
      </c>
      <c r="AB963" s="42" t="s">
        <v>916</v>
      </c>
      <c r="AC963" s="43" t="s">
        <v>916</v>
      </c>
      <c r="AD963" s="43" t="s">
        <v>916</v>
      </c>
      <c r="AE963" s="33" t="s">
        <v>916</v>
      </c>
      <c r="AF963" s="35" t="s">
        <v>916</v>
      </c>
      <c r="AG963" s="44">
        <v>491390.41361111111</v>
      </c>
      <c r="AH963" s="42" t="s">
        <v>916</v>
      </c>
      <c r="AI963" s="32" t="e">
        <f>VLOOKUP(A963,'4月明細'!B:B,1,0)</f>
        <v>#N/A</v>
      </c>
    </row>
    <row r="964" spans="1:35" ht="19.95" customHeight="1" x14ac:dyDescent="0.3">
      <c r="A964" s="33" t="s">
        <v>198</v>
      </c>
      <c r="B964" s="34">
        <v>46043.575787037036</v>
      </c>
      <c r="C964" s="34" t="str">
        <f t="shared" si="28"/>
        <v>202601</v>
      </c>
      <c r="D964" s="35" t="s">
        <v>909</v>
      </c>
      <c r="E964" s="36" t="s">
        <v>910</v>
      </c>
      <c r="F964" s="36" t="s">
        <v>1316</v>
      </c>
      <c r="G964" s="37" t="s">
        <v>3366</v>
      </c>
      <c r="H964" s="36" t="s">
        <v>1078</v>
      </c>
      <c r="I964" s="35" t="s">
        <v>3367</v>
      </c>
      <c r="J964" s="36" t="s">
        <v>929</v>
      </c>
      <c r="K964" s="33" t="s">
        <v>916</v>
      </c>
      <c r="L964" s="35" t="s">
        <v>916</v>
      </c>
      <c r="M964" s="36" t="s">
        <v>957</v>
      </c>
      <c r="N964" s="45">
        <v>46044.415277777778</v>
      </c>
      <c r="O964" s="36" t="s">
        <v>25</v>
      </c>
      <c r="P964" s="38">
        <v>0.83949074069999996</v>
      </c>
      <c r="Q964" s="39" t="s">
        <v>3368</v>
      </c>
      <c r="R964" s="35" t="s">
        <v>916</v>
      </c>
      <c r="S964" s="35"/>
      <c r="T964" s="35" t="s">
        <v>1624</v>
      </c>
      <c r="U964" s="40">
        <v>46044</v>
      </c>
      <c r="V964" s="41">
        <v>46153.532824074071</v>
      </c>
      <c r="W964" s="40">
        <v>46043</v>
      </c>
      <c r="X964" s="35" t="s">
        <v>916</v>
      </c>
      <c r="Y964" s="35" t="s">
        <v>916</v>
      </c>
      <c r="Z964" s="35" t="s">
        <v>916</v>
      </c>
      <c r="AA964" s="38">
        <v>20.147777776800002</v>
      </c>
      <c r="AB964" s="42" t="s">
        <v>916</v>
      </c>
      <c r="AC964" s="43" t="s">
        <v>916</v>
      </c>
      <c r="AD964" s="43" t="s">
        <v>916</v>
      </c>
      <c r="AE964" s="33" t="s">
        <v>916</v>
      </c>
      <c r="AF964" s="35" t="s">
        <v>916</v>
      </c>
      <c r="AG964" s="44">
        <v>491389.81888888893</v>
      </c>
      <c r="AH964" s="42" t="s">
        <v>916</v>
      </c>
      <c r="AI964" s="32" t="e">
        <f>VLOOKUP(A964,'4月明細'!B:B,1,0)</f>
        <v>#N/A</v>
      </c>
    </row>
    <row r="965" spans="1:35" ht="19.95" customHeight="1" x14ac:dyDescent="0.3">
      <c r="A965" s="33" t="s">
        <v>197</v>
      </c>
      <c r="B965" s="34">
        <v>46043.570324074077</v>
      </c>
      <c r="C965" s="34" t="str">
        <f t="shared" si="28"/>
        <v>202601</v>
      </c>
      <c r="D965" s="35" t="s">
        <v>951</v>
      </c>
      <c r="E965" s="36" t="s">
        <v>910</v>
      </c>
      <c r="F965" s="36" t="s">
        <v>1870</v>
      </c>
      <c r="G965" s="37" t="s">
        <v>3369</v>
      </c>
      <c r="H965" s="36" t="s">
        <v>928</v>
      </c>
      <c r="I965" s="35" t="s">
        <v>3370</v>
      </c>
      <c r="J965" s="36" t="s">
        <v>914</v>
      </c>
      <c r="K965" s="33" t="s">
        <v>916</v>
      </c>
      <c r="L965" s="35" t="s">
        <v>916</v>
      </c>
      <c r="M965" s="36" t="s">
        <v>957</v>
      </c>
      <c r="N965" s="45">
        <v>46044.415972222225</v>
      </c>
      <c r="O965" s="36" t="s">
        <v>25</v>
      </c>
      <c r="P965" s="38">
        <v>0.8456481481</v>
      </c>
      <c r="Q965" s="39" t="s">
        <v>3371</v>
      </c>
      <c r="R965" s="35" t="s">
        <v>916</v>
      </c>
      <c r="S965" s="35"/>
      <c r="T965" s="35" t="s">
        <v>1624</v>
      </c>
      <c r="U965" s="40">
        <v>46044</v>
      </c>
      <c r="V965" s="41">
        <v>46153.532824074071</v>
      </c>
      <c r="W965" s="40">
        <v>46043</v>
      </c>
      <c r="X965" s="35" t="s">
        <v>916</v>
      </c>
      <c r="Y965" s="35" t="s">
        <v>916</v>
      </c>
      <c r="Z965" s="35" t="s">
        <v>916</v>
      </c>
      <c r="AA965" s="38">
        <v>20.2955555544</v>
      </c>
      <c r="AB965" s="42" t="s">
        <v>916</v>
      </c>
      <c r="AC965" s="43" t="s">
        <v>916</v>
      </c>
      <c r="AD965" s="43" t="s">
        <v>916</v>
      </c>
      <c r="AE965" s="33" t="s">
        <v>916</v>
      </c>
      <c r="AF965" s="35" t="s">
        <v>916</v>
      </c>
      <c r="AG965" s="44">
        <v>491389.68777777778</v>
      </c>
      <c r="AH965" s="42" t="s">
        <v>916</v>
      </c>
      <c r="AI965" s="32" t="e">
        <f>VLOOKUP(A965,'4月明細'!B:B,1,0)</f>
        <v>#N/A</v>
      </c>
    </row>
    <row r="966" spans="1:35" ht="19.95" customHeight="1" x14ac:dyDescent="0.3">
      <c r="A966" s="33" t="s">
        <v>3372</v>
      </c>
      <c r="B966" s="34">
        <v>46043.494490740741</v>
      </c>
      <c r="C966" s="34" t="str">
        <f t="shared" si="28"/>
        <v>202601</v>
      </c>
      <c r="D966" s="35" t="s">
        <v>909</v>
      </c>
      <c r="E966" s="36" t="s">
        <v>910</v>
      </c>
      <c r="F966" s="36" t="s">
        <v>1720</v>
      </c>
      <c r="G966" s="37" t="s">
        <v>3373</v>
      </c>
      <c r="H966" s="36" t="s">
        <v>1023</v>
      </c>
      <c r="I966" s="35" t="s">
        <v>3374</v>
      </c>
      <c r="J966" s="36" t="s">
        <v>929</v>
      </c>
      <c r="K966" s="33" t="s">
        <v>916</v>
      </c>
      <c r="L966" s="35" t="s">
        <v>916</v>
      </c>
      <c r="M966" s="36" t="s">
        <v>957</v>
      </c>
      <c r="N966" s="45">
        <v>46044.417361111111</v>
      </c>
      <c r="O966" s="36" t="s">
        <v>1920</v>
      </c>
      <c r="P966" s="38">
        <v>0.92287037039999997</v>
      </c>
      <c r="Q966" s="39" t="s">
        <v>3375</v>
      </c>
      <c r="R966" s="35" t="s">
        <v>916</v>
      </c>
      <c r="S966" s="35"/>
      <c r="T966" s="35" t="s">
        <v>1624</v>
      </c>
      <c r="U966" s="40">
        <v>46044</v>
      </c>
      <c r="V966" s="41">
        <v>46153.532824074071</v>
      </c>
      <c r="W966" s="40">
        <v>46043</v>
      </c>
      <c r="X966" s="35" t="s">
        <v>916</v>
      </c>
      <c r="Y966" s="35" t="s">
        <v>916</v>
      </c>
      <c r="Z966" s="35" t="s">
        <v>916</v>
      </c>
      <c r="AA966" s="38">
        <v>22.148888889599998</v>
      </c>
      <c r="AB966" s="42" t="s">
        <v>916</v>
      </c>
      <c r="AC966" s="43" t="s">
        <v>916</v>
      </c>
      <c r="AD966" s="43" t="s">
        <v>916</v>
      </c>
      <c r="AE966" s="33" t="s">
        <v>916</v>
      </c>
      <c r="AF966" s="35" t="s">
        <v>916</v>
      </c>
      <c r="AG966" s="44">
        <v>491387.86777777778</v>
      </c>
      <c r="AH966" s="42" t="s">
        <v>916</v>
      </c>
      <c r="AI966" s="32" t="e">
        <f>VLOOKUP(A966,'4月明細'!B:B,1,0)</f>
        <v>#N/A</v>
      </c>
    </row>
    <row r="967" spans="1:35" ht="19.95" customHeight="1" x14ac:dyDescent="0.3">
      <c r="A967" s="33" t="s">
        <v>196</v>
      </c>
      <c r="B967" s="34">
        <v>46043.449560185189</v>
      </c>
      <c r="C967" s="34" t="str">
        <f t="shared" si="28"/>
        <v>202601</v>
      </c>
      <c r="D967" s="35" t="s">
        <v>951</v>
      </c>
      <c r="E967" s="36" t="s">
        <v>910</v>
      </c>
      <c r="F967" s="36" t="s">
        <v>1227</v>
      </c>
      <c r="G967" s="37" t="s">
        <v>3376</v>
      </c>
      <c r="H967" s="36" t="s">
        <v>954</v>
      </c>
      <c r="I967" s="35" t="s">
        <v>3377</v>
      </c>
      <c r="J967" s="36" t="s">
        <v>929</v>
      </c>
      <c r="K967" s="33" t="s">
        <v>916</v>
      </c>
      <c r="L967" s="35" t="s">
        <v>916</v>
      </c>
      <c r="M967" s="36" t="s">
        <v>916</v>
      </c>
      <c r="N967" s="45">
        <v>46044.417361111111</v>
      </c>
      <c r="O967" s="36" t="s">
        <v>25</v>
      </c>
      <c r="P967" s="38">
        <v>0.9678009259</v>
      </c>
      <c r="Q967" s="39" t="s">
        <v>3378</v>
      </c>
      <c r="R967" s="35" t="s">
        <v>916</v>
      </c>
      <c r="S967" s="35" t="s">
        <v>3379</v>
      </c>
      <c r="T967" s="35" t="s">
        <v>1624</v>
      </c>
      <c r="U967" s="40">
        <v>46044</v>
      </c>
      <c r="V967" s="41">
        <v>46153.532824074071</v>
      </c>
      <c r="W967" s="40">
        <v>46043</v>
      </c>
      <c r="X967" s="35" t="s">
        <v>916</v>
      </c>
      <c r="Y967" s="35" t="s">
        <v>916</v>
      </c>
      <c r="Z967" s="35" t="s">
        <v>916</v>
      </c>
      <c r="AA967" s="38">
        <v>23.227222221600002</v>
      </c>
      <c r="AB967" s="42" t="s">
        <v>916</v>
      </c>
      <c r="AC967" s="43" t="s">
        <v>916</v>
      </c>
      <c r="AD967" s="43" t="s">
        <v>916</v>
      </c>
      <c r="AE967" s="33" t="s">
        <v>916</v>
      </c>
      <c r="AF967" s="35" t="s">
        <v>916</v>
      </c>
      <c r="AG967" s="44">
        <v>491386.78944444453</v>
      </c>
      <c r="AH967" s="42" t="s">
        <v>916</v>
      </c>
      <c r="AI967" s="32" t="e">
        <f>VLOOKUP(A967,'4月明細'!B:B,1,0)</f>
        <v>#N/A</v>
      </c>
    </row>
    <row r="968" spans="1:35" ht="19.95" customHeight="1" x14ac:dyDescent="0.3">
      <c r="A968" s="33" t="s">
        <v>195</v>
      </c>
      <c r="B968" s="34">
        <v>46043.401550925926</v>
      </c>
      <c r="C968" s="34" t="str">
        <f t="shared" si="28"/>
        <v>202601</v>
      </c>
      <c r="D968" s="35" t="s">
        <v>909</v>
      </c>
      <c r="E968" s="36" t="s">
        <v>910</v>
      </c>
      <c r="F968" s="36" t="s">
        <v>2059</v>
      </c>
      <c r="G968" s="37" t="s">
        <v>1499</v>
      </c>
      <c r="H968" s="36" t="s">
        <v>928</v>
      </c>
      <c r="I968" s="35" t="s">
        <v>3380</v>
      </c>
      <c r="J968" s="36" t="s">
        <v>929</v>
      </c>
      <c r="K968" s="33" t="s">
        <v>916</v>
      </c>
      <c r="L968" s="35" t="s">
        <v>916</v>
      </c>
      <c r="M968" s="36" t="s">
        <v>957</v>
      </c>
      <c r="N968" s="45">
        <v>46044.418749999997</v>
      </c>
      <c r="O968" s="36" t="s">
        <v>25</v>
      </c>
      <c r="P968" s="38">
        <v>1.0171990741000001</v>
      </c>
      <c r="Q968" s="39" t="s">
        <v>3381</v>
      </c>
      <c r="R968" s="35" t="s">
        <v>916</v>
      </c>
      <c r="S968" s="35"/>
      <c r="T968" s="35" t="s">
        <v>1624</v>
      </c>
      <c r="U968" s="40">
        <v>46044</v>
      </c>
      <c r="V968" s="41">
        <v>46153.532824074071</v>
      </c>
      <c r="W968" s="40">
        <v>46043</v>
      </c>
      <c r="X968" s="35" t="s">
        <v>916</v>
      </c>
      <c r="Y968" s="35" t="s">
        <v>916</v>
      </c>
      <c r="Z968" s="35" t="s">
        <v>916</v>
      </c>
      <c r="AA968" s="38">
        <v>24.412777778399999</v>
      </c>
      <c r="AB968" s="42" t="s">
        <v>916</v>
      </c>
      <c r="AC968" s="43" t="s">
        <v>916</v>
      </c>
      <c r="AD968" s="43" t="s">
        <v>916</v>
      </c>
      <c r="AE968" s="33" t="s">
        <v>916</v>
      </c>
      <c r="AF968" s="35" t="s">
        <v>916</v>
      </c>
      <c r="AG968" s="44">
        <v>491385.63722222223</v>
      </c>
      <c r="AH968" s="42" t="s">
        <v>916</v>
      </c>
      <c r="AI968" s="32" t="e">
        <f>VLOOKUP(A968,'4月明細'!B:B,1,0)</f>
        <v>#N/A</v>
      </c>
    </row>
    <row r="969" spans="1:35" ht="19.95" customHeight="1" x14ac:dyDescent="0.3">
      <c r="A969" s="33" t="s">
        <v>194</v>
      </c>
      <c r="B969" s="34">
        <v>46042.733576388891</v>
      </c>
      <c r="C969" s="34" t="str">
        <f t="shared" si="28"/>
        <v>202601</v>
      </c>
      <c r="D969" s="35" t="s">
        <v>2278</v>
      </c>
      <c r="E969" s="36" t="s">
        <v>910</v>
      </c>
      <c r="F969" s="36" t="s">
        <v>1227</v>
      </c>
      <c r="G969" s="37" t="s">
        <v>3382</v>
      </c>
      <c r="H969" s="36" t="s">
        <v>954</v>
      </c>
      <c r="I969" s="35" t="s">
        <v>3383</v>
      </c>
      <c r="J969" s="36" t="s">
        <v>929</v>
      </c>
      <c r="K969" s="33" t="s">
        <v>916</v>
      </c>
      <c r="L969" s="35" t="s">
        <v>916</v>
      </c>
      <c r="M969" s="36" t="s">
        <v>916</v>
      </c>
      <c r="N969" s="45">
        <v>46043.512499999997</v>
      </c>
      <c r="O969" s="36" t="s">
        <v>25</v>
      </c>
      <c r="P969" s="38">
        <v>0.77892361109999997</v>
      </c>
      <c r="Q969" s="39" t="s">
        <v>3384</v>
      </c>
      <c r="R969" s="35" t="s">
        <v>916</v>
      </c>
      <c r="S969" s="35" t="s">
        <v>3385</v>
      </c>
      <c r="T969" s="35" t="s">
        <v>1701</v>
      </c>
      <c r="U969" s="40">
        <v>46043</v>
      </c>
      <c r="V969" s="41">
        <v>46153.532824074071</v>
      </c>
      <c r="W969" s="40">
        <v>46042</v>
      </c>
      <c r="X969" s="35" t="s">
        <v>916</v>
      </c>
      <c r="Y969" s="35" t="s">
        <v>916</v>
      </c>
      <c r="Z969" s="35" t="s">
        <v>916</v>
      </c>
      <c r="AA969" s="38">
        <v>18.694166666400001</v>
      </c>
      <c r="AB969" s="42" t="s">
        <v>916</v>
      </c>
      <c r="AC969" s="43" t="s">
        <v>916</v>
      </c>
      <c r="AD969" s="43" t="s">
        <v>916</v>
      </c>
      <c r="AE969" s="33" t="s">
        <v>916</v>
      </c>
      <c r="AF969" s="35" t="s">
        <v>916</v>
      </c>
      <c r="AG969" s="44">
        <v>491369.60583333328</v>
      </c>
      <c r="AH969" s="42" t="s">
        <v>916</v>
      </c>
      <c r="AI969" s="32" t="e">
        <f>VLOOKUP(A969,'4月明細'!B:B,1,0)</f>
        <v>#N/A</v>
      </c>
    </row>
    <row r="970" spans="1:35" ht="19.95" customHeight="1" x14ac:dyDescent="0.3">
      <c r="A970" s="33" t="s">
        <v>193</v>
      </c>
      <c r="B970" s="34">
        <v>46042.681331018517</v>
      </c>
      <c r="C970" s="34" t="str">
        <f t="shared" si="28"/>
        <v>202601</v>
      </c>
      <c r="D970" s="35" t="s">
        <v>2278</v>
      </c>
      <c r="E970" s="36" t="s">
        <v>910</v>
      </c>
      <c r="F970" s="36" t="s">
        <v>1227</v>
      </c>
      <c r="G970" s="37" t="s">
        <v>1096</v>
      </c>
      <c r="H970" s="36" t="s">
        <v>928</v>
      </c>
      <c r="I970" s="35"/>
      <c r="J970" s="36" t="s">
        <v>929</v>
      </c>
      <c r="K970" s="33" t="s">
        <v>916</v>
      </c>
      <c r="L970" s="35" t="s">
        <v>916</v>
      </c>
      <c r="M970" s="36" t="s">
        <v>957</v>
      </c>
      <c r="N970" s="45">
        <v>46042.821527777778</v>
      </c>
      <c r="O970" s="36" t="s">
        <v>25</v>
      </c>
      <c r="P970" s="38">
        <v>0.1401967593</v>
      </c>
      <c r="Q970" s="39" t="s">
        <v>3386</v>
      </c>
      <c r="R970" s="35" t="s">
        <v>916</v>
      </c>
      <c r="S970" s="35"/>
      <c r="T970" s="35" t="s">
        <v>1701</v>
      </c>
      <c r="U970" s="40">
        <v>46043</v>
      </c>
      <c r="V970" s="41">
        <v>46153.532824074071</v>
      </c>
      <c r="W970" s="40">
        <v>46042</v>
      </c>
      <c r="X970" s="35" t="s">
        <v>916</v>
      </c>
      <c r="Y970" s="35" t="s">
        <v>916</v>
      </c>
      <c r="Z970" s="35" t="s">
        <v>916</v>
      </c>
      <c r="AA970" s="38">
        <v>3.3647222231999998</v>
      </c>
      <c r="AB970" s="42" t="s">
        <v>916</v>
      </c>
      <c r="AC970" s="43" t="s">
        <v>916</v>
      </c>
      <c r="AD970" s="43" t="s">
        <v>916</v>
      </c>
      <c r="AE970" s="33" t="s">
        <v>916</v>
      </c>
      <c r="AF970" s="35" t="s">
        <v>916</v>
      </c>
      <c r="AG970" s="44">
        <v>491368.35194444453</v>
      </c>
      <c r="AH970" s="42" t="s">
        <v>916</v>
      </c>
      <c r="AI970" s="32" t="e">
        <f>VLOOKUP(A970,'4月明細'!B:B,1,0)</f>
        <v>#N/A</v>
      </c>
    </row>
    <row r="971" spans="1:35" ht="19.95" customHeight="1" x14ac:dyDescent="0.3">
      <c r="A971" s="33" t="s">
        <v>192</v>
      </c>
      <c r="B971" s="34">
        <v>46042.639351851853</v>
      </c>
      <c r="C971" s="34" t="str">
        <f t="shared" si="28"/>
        <v>202601</v>
      </c>
      <c r="D971" s="35" t="s">
        <v>2278</v>
      </c>
      <c r="E971" s="36" t="s">
        <v>910</v>
      </c>
      <c r="F971" s="36" t="s">
        <v>926</v>
      </c>
      <c r="G971" s="37" t="s">
        <v>1096</v>
      </c>
      <c r="H971" s="36" t="s">
        <v>928</v>
      </c>
      <c r="I971" s="35"/>
      <c r="J971" s="36" t="s">
        <v>929</v>
      </c>
      <c r="K971" s="33" t="s">
        <v>916</v>
      </c>
      <c r="L971" s="35" t="s">
        <v>916</v>
      </c>
      <c r="M971" s="36" t="s">
        <v>957</v>
      </c>
      <c r="N971" s="45">
        <v>46042.820138888892</v>
      </c>
      <c r="O971" s="36" t="s">
        <v>25</v>
      </c>
      <c r="P971" s="38">
        <v>0.18078703700000001</v>
      </c>
      <c r="Q971" s="39" t="s">
        <v>3387</v>
      </c>
      <c r="R971" s="35" t="s">
        <v>916</v>
      </c>
      <c r="S971" s="35"/>
      <c r="T971" s="35" t="s">
        <v>1701</v>
      </c>
      <c r="U971" s="40">
        <v>46043</v>
      </c>
      <c r="V971" s="41">
        <v>46153.532824074071</v>
      </c>
      <c r="W971" s="40">
        <v>46042</v>
      </c>
      <c r="X971" s="35" t="s">
        <v>916</v>
      </c>
      <c r="Y971" s="35" t="s">
        <v>916</v>
      </c>
      <c r="Z971" s="35" t="s">
        <v>916</v>
      </c>
      <c r="AA971" s="38">
        <v>4.3388888879999996</v>
      </c>
      <c r="AB971" s="42" t="s">
        <v>916</v>
      </c>
      <c r="AC971" s="43" t="s">
        <v>916</v>
      </c>
      <c r="AD971" s="43" t="s">
        <v>916</v>
      </c>
      <c r="AE971" s="33" t="s">
        <v>916</v>
      </c>
      <c r="AF971" s="35" t="s">
        <v>916</v>
      </c>
      <c r="AG971" s="44">
        <v>491367.34444444452</v>
      </c>
      <c r="AH971" s="42" t="s">
        <v>916</v>
      </c>
      <c r="AI971" s="32" t="e">
        <f>VLOOKUP(A971,'4月明細'!B:B,1,0)</f>
        <v>#N/A</v>
      </c>
    </row>
    <row r="972" spans="1:35" ht="19.95" customHeight="1" x14ac:dyDescent="0.3">
      <c r="A972" s="33" t="s">
        <v>191</v>
      </c>
      <c r="B972" s="34">
        <v>46042.600428240738</v>
      </c>
      <c r="C972" s="34" t="str">
        <f t="shared" si="28"/>
        <v>202601</v>
      </c>
      <c r="D972" s="35" t="s">
        <v>951</v>
      </c>
      <c r="E972" s="36" t="s">
        <v>910</v>
      </c>
      <c r="F972" s="36" t="s">
        <v>1354</v>
      </c>
      <c r="G972" s="37" t="s">
        <v>3388</v>
      </c>
      <c r="H972" s="36" t="s">
        <v>928</v>
      </c>
      <c r="I972" s="35" t="s">
        <v>3389</v>
      </c>
      <c r="J972" s="36" t="s">
        <v>929</v>
      </c>
      <c r="K972" s="33" t="s">
        <v>916</v>
      </c>
      <c r="L972" s="35" t="s">
        <v>916</v>
      </c>
      <c r="M972" s="36" t="s">
        <v>957</v>
      </c>
      <c r="N972" s="45">
        <v>46044.415972222225</v>
      </c>
      <c r="O972" s="36" t="s">
        <v>25</v>
      </c>
      <c r="P972" s="38">
        <v>1.8155439815000001</v>
      </c>
      <c r="Q972" s="39" t="s">
        <v>3390</v>
      </c>
      <c r="R972" s="35" t="s">
        <v>916</v>
      </c>
      <c r="S972" s="35" t="s">
        <v>3391</v>
      </c>
      <c r="T972" s="35" t="s">
        <v>1624</v>
      </c>
      <c r="U972" s="40">
        <v>46043</v>
      </c>
      <c r="V972" s="41">
        <v>46153.532824074071</v>
      </c>
      <c r="W972" s="40">
        <v>46042</v>
      </c>
      <c r="X972" s="35" t="s">
        <v>916</v>
      </c>
      <c r="Y972" s="35" t="s">
        <v>916</v>
      </c>
      <c r="Z972" s="35" t="s">
        <v>916</v>
      </c>
      <c r="AA972" s="38">
        <v>43.573055556</v>
      </c>
      <c r="AB972" s="42" t="s">
        <v>916</v>
      </c>
      <c r="AC972" s="43" t="s">
        <v>916</v>
      </c>
      <c r="AD972" s="43" t="s">
        <v>916</v>
      </c>
      <c r="AE972" s="33" t="s">
        <v>916</v>
      </c>
      <c r="AF972" s="35" t="s">
        <v>916</v>
      </c>
      <c r="AG972" s="44">
        <v>491366.41027777782</v>
      </c>
      <c r="AH972" s="42" t="s">
        <v>916</v>
      </c>
      <c r="AI972" s="32" t="e">
        <f>VLOOKUP(A972,'4月明細'!B:B,1,0)</f>
        <v>#N/A</v>
      </c>
    </row>
    <row r="973" spans="1:35" ht="19.95" customHeight="1" x14ac:dyDescent="0.3">
      <c r="A973" s="33" t="s">
        <v>190</v>
      </c>
      <c r="B973" s="34">
        <v>46042.600034722222</v>
      </c>
      <c r="C973" s="34" t="str">
        <f t="shared" si="28"/>
        <v>202601</v>
      </c>
      <c r="D973" s="35" t="s">
        <v>951</v>
      </c>
      <c r="E973" s="36" t="s">
        <v>910</v>
      </c>
      <c r="F973" s="36" t="s">
        <v>2017</v>
      </c>
      <c r="G973" s="37" t="s">
        <v>3392</v>
      </c>
      <c r="H973" s="36" t="s">
        <v>928</v>
      </c>
      <c r="I973" s="35" t="s">
        <v>3393</v>
      </c>
      <c r="J973" s="36" t="s">
        <v>929</v>
      </c>
      <c r="K973" s="33" t="s">
        <v>916</v>
      </c>
      <c r="L973" s="35" t="s">
        <v>916</v>
      </c>
      <c r="M973" s="36" t="s">
        <v>957</v>
      </c>
      <c r="N973" s="45">
        <v>46044.45</v>
      </c>
      <c r="O973" s="36" t="s">
        <v>25</v>
      </c>
      <c r="P973" s="38">
        <v>1.8499652778</v>
      </c>
      <c r="Q973" s="39" t="s">
        <v>3394</v>
      </c>
      <c r="R973" s="35" t="s">
        <v>916</v>
      </c>
      <c r="S973" s="35" t="s">
        <v>3395</v>
      </c>
      <c r="T973" s="35" t="s">
        <v>1624</v>
      </c>
      <c r="U973" s="40">
        <v>46043</v>
      </c>
      <c r="V973" s="41">
        <v>46153.532824074071</v>
      </c>
      <c r="W973" s="40">
        <v>46042</v>
      </c>
      <c r="X973" s="35" t="s">
        <v>916</v>
      </c>
      <c r="Y973" s="35" t="s">
        <v>916</v>
      </c>
      <c r="Z973" s="35" t="s">
        <v>916</v>
      </c>
      <c r="AA973" s="38">
        <v>44.399166667199999</v>
      </c>
      <c r="AB973" s="42" t="s">
        <v>916</v>
      </c>
      <c r="AC973" s="43" t="s">
        <v>916</v>
      </c>
      <c r="AD973" s="43" t="s">
        <v>916</v>
      </c>
      <c r="AE973" s="33" t="s">
        <v>916</v>
      </c>
      <c r="AF973" s="35" t="s">
        <v>916</v>
      </c>
      <c r="AG973" s="44">
        <v>491366.40083333332</v>
      </c>
      <c r="AH973" s="42" t="s">
        <v>916</v>
      </c>
      <c r="AI973" s="32" t="e">
        <f>VLOOKUP(A973,'4月明細'!B:B,1,0)</f>
        <v>#N/A</v>
      </c>
    </row>
    <row r="974" spans="1:35" ht="19.95" customHeight="1" x14ac:dyDescent="0.3">
      <c r="A974" s="33" t="s">
        <v>189</v>
      </c>
      <c r="B974" s="34">
        <v>46042.599456018521</v>
      </c>
      <c r="C974" s="34" t="str">
        <f t="shared" si="28"/>
        <v>202601</v>
      </c>
      <c r="D974" s="35" t="s">
        <v>951</v>
      </c>
      <c r="E974" s="36" t="s">
        <v>910</v>
      </c>
      <c r="F974" s="36" t="s">
        <v>1183</v>
      </c>
      <c r="G974" s="37" t="s">
        <v>3396</v>
      </c>
      <c r="H974" s="36" t="s">
        <v>928</v>
      </c>
      <c r="I974" s="35" t="s">
        <v>3397</v>
      </c>
      <c r="J974" s="36" t="s">
        <v>929</v>
      </c>
      <c r="K974" s="33" t="s">
        <v>916</v>
      </c>
      <c r="L974" s="35" t="s">
        <v>916</v>
      </c>
      <c r="M974" s="36" t="s">
        <v>957</v>
      </c>
      <c r="N974" s="45">
        <v>46044.448611111111</v>
      </c>
      <c r="O974" s="36" t="s">
        <v>25</v>
      </c>
      <c r="P974" s="38">
        <v>1.8491550926</v>
      </c>
      <c r="Q974" s="39" t="s">
        <v>3398</v>
      </c>
      <c r="R974" s="35" t="s">
        <v>916</v>
      </c>
      <c r="S974" s="35" t="s">
        <v>3399</v>
      </c>
      <c r="T974" s="35" t="s">
        <v>1624</v>
      </c>
      <c r="U974" s="40">
        <v>46043</v>
      </c>
      <c r="V974" s="41">
        <v>46153.532824074071</v>
      </c>
      <c r="W974" s="40">
        <v>46042</v>
      </c>
      <c r="X974" s="35" t="s">
        <v>916</v>
      </c>
      <c r="Y974" s="35" t="s">
        <v>916</v>
      </c>
      <c r="Z974" s="35" t="s">
        <v>916</v>
      </c>
      <c r="AA974" s="38">
        <v>44.379722222399998</v>
      </c>
      <c r="AB974" s="42" t="s">
        <v>916</v>
      </c>
      <c r="AC974" s="43" t="s">
        <v>916</v>
      </c>
      <c r="AD974" s="43" t="s">
        <v>916</v>
      </c>
      <c r="AE974" s="33" t="s">
        <v>916</v>
      </c>
      <c r="AF974" s="35" t="s">
        <v>916</v>
      </c>
      <c r="AG974" s="44">
        <v>491366.38694444438</v>
      </c>
      <c r="AH974" s="42" t="s">
        <v>916</v>
      </c>
      <c r="AI974" s="32" t="e">
        <f>VLOOKUP(A974,'4月明細'!B:B,1,0)</f>
        <v>#N/A</v>
      </c>
    </row>
    <row r="975" spans="1:35" ht="19.95" customHeight="1" x14ac:dyDescent="0.3">
      <c r="A975" s="33" t="s">
        <v>188</v>
      </c>
      <c r="B975" s="34">
        <v>46042.598877314813</v>
      </c>
      <c r="C975" s="34" t="str">
        <f t="shared" si="28"/>
        <v>202601</v>
      </c>
      <c r="D975" s="35" t="s">
        <v>951</v>
      </c>
      <c r="E975" s="36" t="s">
        <v>910</v>
      </c>
      <c r="F975" s="36" t="s">
        <v>1924</v>
      </c>
      <c r="G975" s="37" t="s">
        <v>3400</v>
      </c>
      <c r="H975" s="36" t="s">
        <v>928</v>
      </c>
      <c r="I975" s="35" t="s">
        <v>3401</v>
      </c>
      <c r="J975" s="36" t="s">
        <v>929</v>
      </c>
      <c r="K975" s="33" t="s">
        <v>916</v>
      </c>
      <c r="L975" s="35" t="s">
        <v>916</v>
      </c>
      <c r="M975" s="36" t="s">
        <v>957</v>
      </c>
      <c r="N975" s="45">
        <v>46044.418749999997</v>
      </c>
      <c r="O975" s="36" t="s">
        <v>25</v>
      </c>
      <c r="P975" s="38">
        <v>1.8198726852</v>
      </c>
      <c r="Q975" s="39" t="s">
        <v>3402</v>
      </c>
      <c r="R975" s="35" t="s">
        <v>916</v>
      </c>
      <c r="S975" s="35" t="s">
        <v>3403</v>
      </c>
      <c r="T975" s="35" t="s">
        <v>1624</v>
      </c>
      <c r="U975" s="40">
        <v>46043</v>
      </c>
      <c r="V975" s="41">
        <v>46153.532824074071</v>
      </c>
      <c r="W975" s="40">
        <v>46042</v>
      </c>
      <c r="X975" s="35" t="s">
        <v>916</v>
      </c>
      <c r="Y975" s="35" t="s">
        <v>916</v>
      </c>
      <c r="Z975" s="35" t="s">
        <v>916</v>
      </c>
      <c r="AA975" s="38">
        <v>43.6769444448</v>
      </c>
      <c r="AB975" s="42" t="s">
        <v>916</v>
      </c>
      <c r="AC975" s="43" t="s">
        <v>916</v>
      </c>
      <c r="AD975" s="43" t="s">
        <v>916</v>
      </c>
      <c r="AE975" s="33" t="s">
        <v>916</v>
      </c>
      <c r="AF975" s="35" t="s">
        <v>916</v>
      </c>
      <c r="AG975" s="44">
        <v>491366.37305555562</v>
      </c>
      <c r="AH975" s="42" t="s">
        <v>916</v>
      </c>
      <c r="AI975" s="32" t="e">
        <f>VLOOKUP(A975,'4月明細'!B:B,1,0)</f>
        <v>#N/A</v>
      </c>
    </row>
    <row r="976" spans="1:35" ht="19.95" customHeight="1" x14ac:dyDescent="0.3">
      <c r="A976" s="33" t="s">
        <v>187</v>
      </c>
      <c r="B976" s="34">
        <v>46042.534872685188</v>
      </c>
      <c r="C976" s="34" t="str">
        <f t="shared" si="28"/>
        <v>202601</v>
      </c>
      <c r="D976" s="35" t="s">
        <v>2278</v>
      </c>
      <c r="E976" s="36" t="s">
        <v>910</v>
      </c>
      <c r="F976" s="36" t="s">
        <v>1568</v>
      </c>
      <c r="G976" s="37" t="s">
        <v>2349</v>
      </c>
      <c r="H976" s="36" t="s">
        <v>928</v>
      </c>
      <c r="I976" s="35" t="s">
        <v>3404</v>
      </c>
      <c r="J976" s="36" t="s">
        <v>929</v>
      </c>
      <c r="K976" s="33" t="s">
        <v>916</v>
      </c>
      <c r="L976" s="35" t="s">
        <v>916</v>
      </c>
      <c r="M976" s="36" t="s">
        <v>957</v>
      </c>
      <c r="N976" s="45">
        <v>46042.824305555558</v>
      </c>
      <c r="O976" s="36" t="s">
        <v>25</v>
      </c>
      <c r="P976" s="38">
        <v>0.28943287039999999</v>
      </c>
      <c r="Q976" s="39" t="s">
        <v>3405</v>
      </c>
      <c r="R976" s="35" t="s">
        <v>916</v>
      </c>
      <c r="S976" s="35" t="s">
        <v>3406</v>
      </c>
      <c r="T976" s="35" t="s">
        <v>1701</v>
      </c>
      <c r="U976" s="40">
        <v>46043</v>
      </c>
      <c r="V976" s="41">
        <v>46153.532824074071</v>
      </c>
      <c r="W976" s="40">
        <v>46042</v>
      </c>
      <c r="X976" s="35" t="s">
        <v>916</v>
      </c>
      <c r="Y976" s="35" t="s">
        <v>916</v>
      </c>
      <c r="Z976" s="35" t="s">
        <v>916</v>
      </c>
      <c r="AA976" s="38">
        <v>6.9463888895999997</v>
      </c>
      <c r="AB976" s="42" t="s">
        <v>916</v>
      </c>
      <c r="AC976" s="43" t="s">
        <v>916</v>
      </c>
      <c r="AD976" s="43" t="s">
        <v>916</v>
      </c>
      <c r="AE976" s="33" t="s">
        <v>916</v>
      </c>
      <c r="AF976" s="35" t="s">
        <v>916</v>
      </c>
      <c r="AG976" s="44">
        <v>491364.83694444451</v>
      </c>
      <c r="AH976" s="42" t="s">
        <v>916</v>
      </c>
      <c r="AI976" s="32" t="e">
        <f>VLOOKUP(A976,'4月明細'!B:B,1,0)</f>
        <v>#N/A</v>
      </c>
    </row>
    <row r="977" spans="1:35" ht="19.95" customHeight="1" x14ac:dyDescent="0.3">
      <c r="A977" s="33" t="s">
        <v>186</v>
      </c>
      <c r="B977" s="34">
        <v>46042.525023148148</v>
      </c>
      <c r="C977" s="34" t="str">
        <f t="shared" si="28"/>
        <v>202601</v>
      </c>
      <c r="D977" s="35" t="s">
        <v>2278</v>
      </c>
      <c r="E977" s="36" t="s">
        <v>910</v>
      </c>
      <c r="F977" s="36" t="s">
        <v>1568</v>
      </c>
      <c r="G977" s="37" t="s">
        <v>1096</v>
      </c>
      <c r="H977" s="36" t="s">
        <v>928</v>
      </c>
      <c r="I977" s="35"/>
      <c r="J977" s="36" t="s">
        <v>929</v>
      </c>
      <c r="K977" s="33" t="s">
        <v>916</v>
      </c>
      <c r="L977" s="35" t="s">
        <v>916</v>
      </c>
      <c r="M977" s="36" t="s">
        <v>957</v>
      </c>
      <c r="N977" s="45">
        <v>46042.822222222225</v>
      </c>
      <c r="O977" s="36" t="s">
        <v>25</v>
      </c>
      <c r="P977" s="38">
        <v>0.29719907410000002</v>
      </c>
      <c r="Q977" s="39" t="s">
        <v>3407</v>
      </c>
      <c r="R977" s="35" t="s">
        <v>916</v>
      </c>
      <c r="S977" s="35"/>
      <c r="T977" s="35" t="s">
        <v>1701</v>
      </c>
      <c r="U977" s="40">
        <v>46043</v>
      </c>
      <c r="V977" s="41">
        <v>46153.532824074071</v>
      </c>
      <c r="W977" s="40">
        <v>46042</v>
      </c>
      <c r="X977" s="35" t="s">
        <v>916</v>
      </c>
      <c r="Y977" s="35" t="s">
        <v>916</v>
      </c>
      <c r="Z977" s="35" t="s">
        <v>916</v>
      </c>
      <c r="AA977" s="38">
        <v>7.1327777784000004</v>
      </c>
      <c r="AB977" s="42" t="s">
        <v>916</v>
      </c>
      <c r="AC977" s="43" t="s">
        <v>916</v>
      </c>
      <c r="AD977" s="43" t="s">
        <v>916</v>
      </c>
      <c r="AE977" s="33" t="s">
        <v>916</v>
      </c>
      <c r="AF977" s="35" t="s">
        <v>916</v>
      </c>
      <c r="AG977" s="44">
        <v>491364.60055555549</v>
      </c>
      <c r="AH977" s="42" t="s">
        <v>916</v>
      </c>
      <c r="AI977" s="32" t="e">
        <f>VLOOKUP(A977,'4月明細'!B:B,1,0)</f>
        <v>#N/A</v>
      </c>
    </row>
    <row r="978" spans="1:35" ht="19.95" customHeight="1" x14ac:dyDescent="0.3">
      <c r="A978" s="33" t="s">
        <v>185</v>
      </c>
      <c r="B978" s="34">
        <v>46042.512094907404</v>
      </c>
      <c r="C978" s="34" t="str">
        <f t="shared" si="28"/>
        <v>202601</v>
      </c>
      <c r="D978" s="35" t="s">
        <v>951</v>
      </c>
      <c r="E978" s="36" t="s">
        <v>910</v>
      </c>
      <c r="F978" s="36" t="s">
        <v>976</v>
      </c>
      <c r="G978" s="37" t="s">
        <v>3408</v>
      </c>
      <c r="H978" s="36" t="s">
        <v>928</v>
      </c>
      <c r="I978" s="35" t="s">
        <v>3409</v>
      </c>
      <c r="J978" s="36" t="s">
        <v>914</v>
      </c>
      <c r="K978" s="33" t="s">
        <v>916</v>
      </c>
      <c r="L978" s="35" t="s">
        <v>916</v>
      </c>
      <c r="M978" s="36" t="s">
        <v>957</v>
      </c>
      <c r="N978" s="45">
        <v>46042.603472222225</v>
      </c>
      <c r="O978" s="36" t="s">
        <v>25</v>
      </c>
      <c r="P978" s="38">
        <v>9.1377314799999998E-2</v>
      </c>
      <c r="Q978" s="39" t="s">
        <v>3410</v>
      </c>
      <c r="R978" s="35" t="s">
        <v>916</v>
      </c>
      <c r="S978" s="35" t="s">
        <v>3411</v>
      </c>
      <c r="T978" s="35" t="s">
        <v>1701</v>
      </c>
      <c r="U978" s="40">
        <v>46043</v>
      </c>
      <c r="V978" s="41">
        <v>46153.532824074071</v>
      </c>
      <c r="W978" s="40">
        <v>46042</v>
      </c>
      <c r="X978" s="35" t="s">
        <v>916</v>
      </c>
      <c r="Y978" s="35" t="s">
        <v>916</v>
      </c>
      <c r="Z978" s="35" t="s">
        <v>916</v>
      </c>
      <c r="AA978" s="38">
        <v>2.1930555552</v>
      </c>
      <c r="AB978" s="42" t="s">
        <v>916</v>
      </c>
      <c r="AC978" s="43" t="s">
        <v>916</v>
      </c>
      <c r="AD978" s="43" t="s">
        <v>916</v>
      </c>
      <c r="AE978" s="33" t="s">
        <v>916</v>
      </c>
      <c r="AF978" s="35" t="s">
        <v>916</v>
      </c>
      <c r="AG978" s="44">
        <v>491364.29027777782</v>
      </c>
      <c r="AH978" s="42" t="s">
        <v>916</v>
      </c>
      <c r="AI978" s="32" t="e">
        <f>VLOOKUP(A978,'4月明細'!B:B,1,0)</f>
        <v>#N/A</v>
      </c>
    </row>
    <row r="979" spans="1:35" ht="19.95" customHeight="1" x14ac:dyDescent="0.3">
      <c r="A979" s="33" t="s">
        <v>184</v>
      </c>
      <c r="B979" s="34">
        <v>46042.448680555557</v>
      </c>
      <c r="C979" s="34" t="str">
        <f t="shared" si="28"/>
        <v>202601</v>
      </c>
      <c r="D979" s="35" t="s">
        <v>1952</v>
      </c>
      <c r="E979" s="36" t="s">
        <v>910</v>
      </c>
      <c r="F979" s="36" t="s">
        <v>1060</v>
      </c>
      <c r="G979" s="37" t="s">
        <v>3412</v>
      </c>
      <c r="H979" s="36" t="s">
        <v>1078</v>
      </c>
      <c r="I979" s="35" t="s">
        <v>3413</v>
      </c>
      <c r="J979" s="36" t="s">
        <v>914</v>
      </c>
      <c r="K979" s="33" t="s">
        <v>916</v>
      </c>
      <c r="L979" s="35" t="s">
        <v>916</v>
      </c>
      <c r="M979" s="36" t="s">
        <v>957</v>
      </c>
      <c r="N979" s="45">
        <v>46042.818055555559</v>
      </c>
      <c r="O979" s="36" t="s">
        <v>25</v>
      </c>
      <c r="P979" s="38">
        <v>0.36937500000000001</v>
      </c>
      <c r="Q979" s="39" t="s">
        <v>3414</v>
      </c>
      <c r="R979" s="35" t="s">
        <v>916</v>
      </c>
      <c r="S979" s="35" t="s">
        <v>3415</v>
      </c>
      <c r="T979" s="35" t="s">
        <v>1701</v>
      </c>
      <c r="U979" s="40">
        <v>46043</v>
      </c>
      <c r="V979" s="41">
        <v>46153.532824074071</v>
      </c>
      <c r="W979" s="40">
        <v>46042</v>
      </c>
      <c r="X979" s="35" t="s">
        <v>916</v>
      </c>
      <c r="Y979" s="35" t="s">
        <v>916</v>
      </c>
      <c r="Z979" s="35" t="s">
        <v>916</v>
      </c>
      <c r="AA979" s="38">
        <v>8.8650000000000002</v>
      </c>
      <c r="AB979" s="42" t="s">
        <v>916</v>
      </c>
      <c r="AC979" s="43" t="s">
        <v>916</v>
      </c>
      <c r="AD979" s="43" t="s">
        <v>916</v>
      </c>
      <c r="AE979" s="33" t="s">
        <v>916</v>
      </c>
      <c r="AF979" s="35" t="s">
        <v>916</v>
      </c>
      <c r="AG979" s="44">
        <v>491362.76833333343</v>
      </c>
      <c r="AH979" s="42" t="s">
        <v>916</v>
      </c>
      <c r="AI979" s="32" t="e">
        <f>VLOOKUP(A979,'4月明細'!B:B,1,0)</f>
        <v>#N/A</v>
      </c>
    </row>
    <row r="980" spans="1:35" ht="19.95" customHeight="1" x14ac:dyDescent="0.3">
      <c r="A980" s="33" t="s">
        <v>183</v>
      </c>
      <c r="B980" s="34">
        <v>46041.667349537034</v>
      </c>
      <c r="C980" s="34" t="str">
        <f t="shared" si="28"/>
        <v>202601</v>
      </c>
      <c r="D980" s="35" t="s">
        <v>951</v>
      </c>
      <c r="E980" s="36" t="s">
        <v>910</v>
      </c>
      <c r="F980" s="36" t="s">
        <v>1591</v>
      </c>
      <c r="G980" s="37" t="s">
        <v>3416</v>
      </c>
      <c r="H980" s="36" t="s">
        <v>928</v>
      </c>
      <c r="I980" s="35" t="s">
        <v>3417</v>
      </c>
      <c r="J980" s="36" t="s">
        <v>929</v>
      </c>
      <c r="K980" s="33" t="s">
        <v>916</v>
      </c>
      <c r="L980" s="35" t="s">
        <v>916</v>
      </c>
      <c r="M980" s="36" t="s">
        <v>957</v>
      </c>
      <c r="N980" s="45">
        <v>46042.819444444445</v>
      </c>
      <c r="O980" s="36" t="s">
        <v>25</v>
      </c>
      <c r="P980" s="38">
        <v>1.1520949074</v>
      </c>
      <c r="Q980" s="39" t="s">
        <v>3418</v>
      </c>
      <c r="R980" s="35" t="s">
        <v>916</v>
      </c>
      <c r="S980" s="35" t="s">
        <v>3419</v>
      </c>
      <c r="T980" s="35" t="s">
        <v>1701</v>
      </c>
      <c r="U980" s="40">
        <v>46042</v>
      </c>
      <c r="V980" s="41">
        <v>46153.532824074071</v>
      </c>
      <c r="W980" s="40">
        <v>46041</v>
      </c>
      <c r="X980" s="35" t="s">
        <v>916</v>
      </c>
      <c r="Y980" s="35" t="s">
        <v>916</v>
      </c>
      <c r="Z980" s="35" t="s">
        <v>916</v>
      </c>
      <c r="AA980" s="38">
        <v>27.650277777599999</v>
      </c>
      <c r="AB980" s="42" t="s">
        <v>916</v>
      </c>
      <c r="AC980" s="43" t="s">
        <v>916</v>
      </c>
      <c r="AD980" s="43" t="s">
        <v>916</v>
      </c>
      <c r="AE980" s="33" t="s">
        <v>916</v>
      </c>
      <c r="AF980" s="35" t="s">
        <v>916</v>
      </c>
      <c r="AG980" s="44">
        <v>491344.01638888888</v>
      </c>
      <c r="AH980" s="42" t="s">
        <v>916</v>
      </c>
      <c r="AI980" s="32" t="e">
        <f>VLOOKUP(A980,'4月明細'!B:B,1,0)</f>
        <v>#N/A</v>
      </c>
    </row>
    <row r="981" spans="1:35" ht="19.95" customHeight="1" x14ac:dyDescent="0.3">
      <c r="A981" s="33" t="s">
        <v>182</v>
      </c>
      <c r="B981" s="34">
        <v>46041.637488425928</v>
      </c>
      <c r="C981" s="34" t="str">
        <f t="shared" si="28"/>
        <v>202601</v>
      </c>
      <c r="D981" s="35" t="s">
        <v>951</v>
      </c>
      <c r="E981" s="36" t="s">
        <v>910</v>
      </c>
      <c r="F981" s="36" t="s">
        <v>1229</v>
      </c>
      <c r="G981" s="37" t="s">
        <v>3420</v>
      </c>
      <c r="H981" s="36" t="s">
        <v>1078</v>
      </c>
      <c r="I981" s="35" t="s">
        <v>3421</v>
      </c>
      <c r="J981" s="36" t="s">
        <v>929</v>
      </c>
      <c r="K981" s="33" t="s">
        <v>916</v>
      </c>
      <c r="L981" s="35" t="s">
        <v>916</v>
      </c>
      <c r="M981" s="36" t="s">
        <v>916</v>
      </c>
      <c r="N981" s="45">
        <v>46041.663888888892</v>
      </c>
      <c r="O981" s="36" t="s">
        <v>25</v>
      </c>
      <c r="P981" s="38">
        <v>2.6400462999999999E-2</v>
      </c>
      <c r="Q981" s="39" t="s">
        <v>3422</v>
      </c>
      <c r="R981" s="35" t="s">
        <v>916</v>
      </c>
      <c r="S981" s="35" t="s">
        <v>3423</v>
      </c>
      <c r="T981" s="35" t="s">
        <v>1701</v>
      </c>
      <c r="U981" s="40">
        <v>46042</v>
      </c>
      <c r="V981" s="41">
        <v>46153.532824074071</v>
      </c>
      <c r="W981" s="40">
        <v>46041</v>
      </c>
      <c r="X981" s="35" t="s">
        <v>916</v>
      </c>
      <c r="Y981" s="35" t="s">
        <v>916</v>
      </c>
      <c r="Z981" s="35" t="s">
        <v>916</v>
      </c>
      <c r="AA981" s="38">
        <v>0.63361111199999998</v>
      </c>
      <c r="AB981" s="42" t="s">
        <v>916</v>
      </c>
      <c r="AC981" s="43" t="s">
        <v>916</v>
      </c>
      <c r="AD981" s="43" t="s">
        <v>916</v>
      </c>
      <c r="AE981" s="33" t="s">
        <v>916</v>
      </c>
      <c r="AF981" s="35" t="s">
        <v>916</v>
      </c>
      <c r="AG981" s="44">
        <v>491343.29972222232</v>
      </c>
      <c r="AH981" s="42" t="s">
        <v>916</v>
      </c>
      <c r="AI981" s="32" t="e">
        <f>VLOOKUP(A981,'4月明細'!B:B,1,0)</f>
        <v>#N/A</v>
      </c>
    </row>
    <row r="982" spans="1:35" ht="19.95" customHeight="1" x14ac:dyDescent="0.3">
      <c r="A982" s="33" t="s">
        <v>181</v>
      </c>
      <c r="B982" s="34">
        <v>46041.623784722222</v>
      </c>
      <c r="C982" s="34" t="str">
        <f t="shared" si="28"/>
        <v>202601</v>
      </c>
      <c r="D982" s="35" t="s">
        <v>996</v>
      </c>
      <c r="E982" s="36" t="s">
        <v>910</v>
      </c>
      <c r="F982" s="36" t="s">
        <v>1377</v>
      </c>
      <c r="G982" s="37" t="s">
        <v>3424</v>
      </c>
      <c r="H982" s="36" t="s">
        <v>928</v>
      </c>
      <c r="I982" s="35"/>
      <c r="J982" s="36" t="s">
        <v>929</v>
      </c>
      <c r="K982" s="33" t="s">
        <v>916</v>
      </c>
      <c r="L982" s="35" t="s">
        <v>916</v>
      </c>
      <c r="M982" s="36" t="s">
        <v>916</v>
      </c>
      <c r="N982" s="45">
        <v>46041.661111111112</v>
      </c>
      <c r="O982" s="36" t="s">
        <v>25</v>
      </c>
      <c r="P982" s="38">
        <v>3.73263889E-2</v>
      </c>
      <c r="Q982" s="39" t="s">
        <v>3425</v>
      </c>
      <c r="R982" s="35" t="s">
        <v>916</v>
      </c>
      <c r="S982" s="35"/>
      <c r="T982" s="35" t="s">
        <v>1701</v>
      </c>
      <c r="U982" s="40">
        <v>46042</v>
      </c>
      <c r="V982" s="41">
        <v>46153.532824074071</v>
      </c>
      <c r="W982" s="40">
        <v>46041</v>
      </c>
      <c r="X982" s="35" t="s">
        <v>916</v>
      </c>
      <c r="Y982" s="35" t="s">
        <v>916</v>
      </c>
      <c r="Z982" s="35" t="s">
        <v>916</v>
      </c>
      <c r="AA982" s="38">
        <v>0.89583333359999995</v>
      </c>
      <c r="AB982" s="42" t="s">
        <v>916</v>
      </c>
      <c r="AC982" s="43" t="s">
        <v>916</v>
      </c>
      <c r="AD982" s="43" t="s">
        <v>916</v>
      </c>
      <c r="AE982" s="33" t="s">
        <v>916</v>
      </c>
      <c r="AF982" s="35" t="s">
        <v>916</v>
      </c>
      <c r="AG982" s="44">
        <v>491342.97083333333</v>
      </c>
      <c r="AH982" s="42" t="s">
        <v>916</v>
      </c>
      <c r="AI982" s="32" t="e">
        <f>VLOOKUP(A982,'4月明細'!B:B,1,0)</f>
        <v>#N/A</v>
      </c>
    </row>
    <row r="983" spans="1:35" ht="19.95" customHeight="1" x14ac:dyDescent="0.3">
      <c r="A983" s="33" t="s">
        <v>180</v>
      </c>
      <c r="B983" s="34">
        <v>46041.618125000001</v>
      </c>
      <c r="C983" s="34" t="str">
        <f t="shared" si="28"/>
        <v>202601</v>
      </c>
      <c r="D983" s="35" t="s">
        <v>996</v>
      </c>
      <c r="E983" s="36" t="s">
        <v>910</v>
      </c>
      <c r="F983" s="36" t="s">
        <v>1377</v>
      </c>
      <c r="G983" s="37" t="s">
        <v>1444</v>
      </c>
      <c r="H983" s="36" t="s">
        <v>954</v>
      </c>
      <c r="I983" s="35"/>
      <c r="J983" s="36" t="s">
        <v>929</v>
      </c>
      <c r="K983" s="33" t="s">
        <v>916</v>
      </c>
      <c r="L983" s="35" t="s">
        <v>916</v>
      </c>
      <c r="M983" s="36" t="s">
        <v>916</v>
      </c>
      <c r="N983" s="45">
        <v>46041.661805555559</v>
      </c>
      <c r="O983" s="36" t="s">
        <v>25</v>
      </c>
      <c r="P983" s="38">
        <v>4.3680555599999997E-2</v>
      </c>
      <c r="Q983" s="39" t="s">
        <v>3426</v>
      </c>
      <c r="R983" s="35" t="s">
        <v>916</v>
      </c>
      <c r="S983" s="35"/>
      <c r="T983" s="35" t="s">
        <v>1701</v>
      </c>
      <c r="U983" s="40">
        <v>46042</v>
      </c>
      <c r="V983" s="41">
        <v>46153.532824074071</v>
      </c>
      <c r="W983" s="40">
        <v>46041</v>
      </c>
      <c r="X983" s="35" t="s">
        <v>916</v>
      </c>
      <c r="Y983" s="35" t="s">
        <v>916</v>
      </c>
      <c r="Z983" s="35" t="s">
        <v>916</v>
      </c>
      <c r="AA983" s="38">
        <v>1.0483333344000001</v>
      </c>
      <c r="AB983" s="42" t="s">
        <v>916</v>
      </c>
      <c r="AC983" s="43" t="s">
        <v>916</v>
      </c>
      <c r="AD983" s="43" t="s">
        <v>916</v>
      </c>
      <c r="AE983" s="33" t="s">
        <v>916</v>
      </c>
      <c r="AF983" s="35" t="s">
        <v>916</v>
      </c>
      <c r="AG983" s="44">
        <v>491342.83500000002</v>
      </c>
      <c r="AH983" s="42" t="s">
        <v>916</v>
      </c>
      <c r="AI983" s="32" t="e">
        <f>VLOOKUP(A983,'4月明細'!B:B,1,0)</f>
        <v>#N/A</v>
      </c>
    </row>
    <row r="984" spans="1:35" ht="19.95" customHeight="1" x14ac:dyDescent="0.3">
      <c r="A984" s="33" t="s">
        <v>179</v>
      </c>
      <c r="B984" s="34">
        <v>46041.593773148146</v>
      </c>
      <c r="C984" s="34" t="str">
        <f t="shared" si="28"/>
        <v>202601</v>
      </c>
      <c r="D984" s="35" t="s">
        <v>996</v>
      </c>
      <c r="E984" s="36" t="s">
        <v>910</v>
      </c>
      <c r="F984" s="36" t="s">
        <v>1564</v>
      </c>
      <c r="G984" s="37" t="s">
        <v>1979</v>
      </c>
      <c r="H984" s="36" t="s">
        <v>954</v>
      </c>
      <c r="I984" s="35"/>
      <c r="J984" s="36" t="s">
        <v>929</v>
      </c>
      <c r="K984" s="33" t="s">
        <v>916</v>
      </c>
      <c r="L984" s="35" t="s">
        <v>916</v>
      </c>
      <c r="M984" s="36" t="s">
        <v>916</v>
      </c>
      <c r="N984" s="45">
        <v>46041.613888888889</v>
      </c>
      <c r="O984" s="36" t="s">
        <v>25</v>
      </c>
      <c r="P984" s="38">
        <v>2.0115740699999999E-2</v>
      </c>
      <c r="Q984" s="39" t="s">
        <v>3427</v>
      </c>
      <c r="R984" s="35" t="s">
        <v>916</v>
      </c>
      <c r="S984" s="35" t="s">
        <v>3428</v>
      </c>
      <c r="T984" s="35" t="s">
        <v>1701</v>
      </c>
      <c r="U984" s="40">
        <v>46042</v>
      </c>
      <c r="V984" s="41">
        <v>46153.532824074071</v>
      </c>
      <c r="W984" s="40">
        <v>46041</v>
      </c>
      <c r="X984" s="35" t="s">
        <v>916</v>
      </c>
      <c r="Y984" s="35" t="s">
        <v>916</v>
      </c>
      <c r="Z984" s="35" t="s">
        <v>916</v>
      </c>
      <c r="AA984" s="38">
        <v>0.4827777768</v>
      </c>
      <c r="AB984" s="42" t="s">
        <v>916</v>
      </c>
      <c r="AC984" s="43" t="s">
        <v>916</v>
      </c>
      <c r="AD984" s="43" t="s">
        <v>916</v>
      </c>
      <c r="AE984" s="33" t="s">
        <v>916</v>
      </c>
      <c r="AF984" s="35" t="s">
        <v>916</v>
      </c>
      <c r="AG984" s="44">
        <v>491342.25055555563</v>
      </c>
      <c r="AH984" s="42" t="s">
        <v>916</v>
      </c>
      <c r="AI984" s="32" t="e">
        <f>VLOOKUP(A984,'4月明細'!B:B,1,0)</f>
        <v>#N/A</v>
      </c>
    </row>
    <row r="985" spans="1:35" ht="19.95" customHeight="1" x14ac:dyDescent="0.3">
      <c r="A985" s="33" t="s">
        <v>178</v>
      </c>
      <c r="B985" s="34">
        <v>46041.524467592593</v>
      </c>
      <c r="C985" s="34" t="str">
        <f t="shared" si="28"/>
        <v>202601</v>
      </c>
      <c r="D985" s="35" t="s">
        <v>996</v>
      </c>
      <c r="E985" s="36" t="s">
        <v>910</v>
      </c>
      <c r="F985" s="36" t="s">
        <v>1537</v>
      </c>
      <c r="G985" s="37" t="s">
        <v>998</v>
      </c>
      <c r="H985" s="36" t="s">
        <v>928</v>
      </c>
      <c r="I985" s="35"/>
      <c r="J985" s="36" t="s">
        <v>914</v>
      </c>
      <c r="K985" s="33" t="s">
        <v>916</v>
      </c>
      <c r="L985" s="35" t="s">
        <v>916</v>
      </c>
      <c r="M985" s="36" t="s">
        <v>916</v>
      </c>
      <c r="N985" s="45">
        <v>46041.613194444442</v>
      </c>
      <c r="O985" s="36" t="s">
        <v>25</v>
      </c>
      <c r="P985" s="38">
        <v>8.8726851900000001E-2</v>
      </c>
      <c r="Q985" s="39" t="s">
        <v>3429</v>
      </c>
      <c r="R985" s="35" t="s">
        <v>916</v>
      </c>
      <c r="S985" s="35"/>
      <c r="T985" s="35" t="s">
        <v>1701</v>
      </c>
      <c r="U985" s="40">
        <v>46042</v>
      </c>
      <c r="V985" s="41">
        <v>46153.532824074071</v>
      </c>
      <c r="W985" s="40">
        <v>46041</v>
      </c>
      <c r="X985" s="35" t="s">
        <v>916</v>
      </c>
      <c r="Y985" s="35" t="s">
        <v>916</v>
      </c>
      <c r="Z985" s="35" t="s">
        <v>916</v>
      </c>
      <c r="AA985" s="38">
        <v>2.1294444455999999</v>
      </c>
      <c r="AB985" s="42" t="s">
        <v>916</v>
      </c>
      <c r="AC985" s="43" t="s">
        <v>916</v>
      </c>
      <c r="AD985" s="43" t="s">
        <v>916</v>
      </c>
      <c r="AE985" s="33" t="s">
        <v>916</v>
      </c>
      <c r="AF985" s="35" t="s">
        <v>916</v>
      </c>
      <c r="AG985" s="44">
        <v>491340.58722222218</v>
      </c>
      <c r="AH985" s="42" t="s">
        <v>916</v>
      </c>
      <c r="AI985" s="32" t="e">
        <f>VLOOKUP(A985,'4月明細'!B:B,1,0)</f>
        <v>#N/A</v>
      </c>
    </row>
    <row r="986" spans="1:35" ht="19.95" customHeight="1" x14ac:dyDescent="0.3">
      <c r="A986" s="33" t="s">
        <v>177</v>
      </c>
      <c r="B986" s="34">
        <v>46041.51666666667</v>
      </c>
      <c r="C986" s="34" t="str">
        <f t="shared" si="28"/>
        <v>202601</v>
      </c>
      <c r="D986" s="35" t="s">
        <v>986</v>
      </c>
      <c r="E986" s="36" t="s">
        <v>910</v>
      </c>
      <c r="F986" s="36" t="s">
        <v>1507</v>
      </c>
      <c r="G986" s="37" t="s">
        <v>3430</v>
      </c>
      <c r="H986" s="36" t="s">
        <v>954</v>
      </c>
      <c r="I986" s="35"/>
      <c r="J986" s="36" t="s">
        <v>914</v>
      </c>
      <c r="K986" s="33" t="s">
        <v>916</v>
      </c>
      <c r="L986" s="35" t="s">
        <v>916</v>
      </c>
      <c r="M986" s="36" t="s">
        <v>916</v>
      </c>
      <c r="N986" s="45">
        <v>46041.613194444442</v>
      </c>
      <c r="O986" s="36" t="s">
        <v>25</v>
      </c>
      <c r="P986" s="38">
        <v>9.6527777800000006E-2</v>
      </c>
      <c r="Q986" s="39" t="s">
        <v>3431</v>
      </c>
      <c r="R986" s="35" t="s">
        <v>916</v>
      </c>
      <c r="S986" s="35"/>
      <c r="T986" s="35" t="s">
        <v>1701</v>
      </c>
      <c r="U986" s="40">
        <v>46042</v>
      </c>
      <c r="V986" s="41">
        <v>46153.532824074071</v>
      </c>
      <c r="W986" s="40">
        <v>46041</v>
      </c>
      <c r="X986" s="35" t="s">
        <v>916</v>
      </c>
      <c r="Y986" s="35" t="s">
        <v>916</v>
      </c>
      <c r="Z986" s="35" t="s">
        <v>916</v>
      </c>
      <c r="AA986" s="38">
        <v>2.3166666671999998</v>
      </c>
      <c r="AB986" s="42" t="s">
        <v>916</v>
      </c>
      <c r="AC986" s="43" t="s">
        <v>916</v>
      </c>
      <c r="AD986" s="43" t="s">
        <v>916</v>
      </c>
      <c r="AE986" s="33" t="s">
        <v>916</v>
      </c>
      <c r="AF986" s="35" t="s">
        <v>916</v>
      </c>
      <c r="AG986" s="44">
        <v>491340.4</v>
      </c>
      <c r="AH986" s="42" t="s">
        <v>916</v>
      </c>
      <c r="AI986" s="32" t="e">
        <f>VLOOKUP(A986,'4月明細'!B:B,1,0)</f>
        <v>#N/A</v>
      </c>
    </row>
    <row r="987" spans="1:35" ht="19.95" customHeight="1" x14ac:dyDescent="0.3">
      <c r="A987" s="33" t="s">
        <v>176</v>
      </c>
      <c r="B987" s="34">
        <v>46041.476805555554</v>
      </c>
      <c r="C987" s="34" t="str">
        <f t="shared" si="28"/>
        <v>202601</v>
      </c>
      <c r="D987" s="35" t="s">
        <v>996</v>
      </c>
      <c r="E987" s="36" t="s">
        <v>910</v>
      </c>
      <c r="F987" s="36" t="s">
        <v>943</v>
      </c>
      <c r="G987" s="37" t="s">
        <v>3432</v>
      </c>
      <c r="H987" s="36" t="s">
        <v>928</v>
      </c>
      <c r="I987" s="35"/>
      <c r="J987" s="36" t="s">
        <v>929</v>
      </c>
      <c r="K987" s="33" t="s">
        <v>916</v>
      </c>
      <c r="L987" s="35" t="s">
        <v>916</v>
      </c>
      <c r="M987" s="36" t="s">
        <v>916</v>
      </c>
      <c r="N987" s="45">
        <v>46041.613194444442</v>
      </c>
      <c r="O987" s="36" t="s">
        <v>25</v>
      </c>
      <c r="P987" s="38">
        <v>0.1363888889</v>
      </c>
      <c r="Q987" s="39" t="s">
        <v>3433</v>
      </c>
      <c r="R987" s="35" t="s">
        <v>916</v>
      </c>
      <c r="S987" s="35"/>
      <c r="T987" s="35" t="s">
        <v>1701</v>
      </c>
      <c r="U987" s="40">
        <v>46042</v>
      </c>
      <c r="V987" s="41">
        <v>46153.532824074071</v>
      </c>
      <c r="W987" s="40">
        <v>46041</v>
      </c>
      <c r="X987" s="35" t="s">
        <v>916</v>
      </c>
      <c r="Y987" s="35" t="s">
        <v>916</v>
      </c>
      <c r="Z987" s="35" t="s">
        <v>916</v>
      </c>
      <c r="AA987" s="38">
        <v>3.2733333336000001</v>
      </c>
      <c r="AB987" s="42" t="s">
        <v>916</v>
      </c>
      <c r="AC987" s="43" t="s">
        <v>916</v>
      </c>
      <c r="AD987" s="43" t="s">
        <v>916</v>
      </c>
      <c r="AE987" s="33" t="s">
        <v>916</v>
      </c>
      <c r="AF987" s="35" t="s">
        <v>916</v>
      </c>
      <c r="AG987" s="44">
        <v>491339.44333333342</v>
      </c>
      <c r="AH987" s="42" t="s">
        <v>916</v>
      </c>
      <c r="AI987" s="32" t="e">
        <f>VLOOKUP(A987,'4月明細'!B:B,1,0)</f>
        <v>#N/A</v>
      </c>
    </row>
    <row r="988" spans="1:35" ht="19.95" customHeight="1" x14ac:dyDescent="0.3">
      <c r="A988" s="33" t="s">
        <v>175</v>
      </c>
      <c r="B988" s="34">
        <v>46041.442557870374</v>
      </c>
      <c r="C988" s="34" t="str">
        <f t="shared" si="28"/>
        <v>202601</v>
      </c>
      <c r="D988" s="35" t="s">
        <v>951</v>
      </c>
      <c r="E988" s="36" t="s">
        <v>910</v>
      </c>
      <c r="F988" s="36" t="s">
        <v>1546</v>
      </c>
      <c r="G988" s="37" t="s">
        <v>3434</v>
      </c>
      <c r="H988" s="36" t="s">
        <v>928</v>
      </c>
      <c r="I988" s="35" t="s">
        <v>3435</v>
      </c>
      <c r="J988" s="36" t="s">
        <v>914</v>
      </c>
      <c r="K988" s="33" t="s">
        <v>916</v>
      </c>
      <c r="L988" s="35" t="s">
        <v>916</v>
      </c>
      <c r="M988" s="36" t="s">
        <v>1135</v>
      </c>
      <c r="N988" s="45">
        <v>46041.648611111108</v>
      </c>
      <c r="O988" s="36" t="s">
        <v>25</v>
      </c>
      <c r="P988" s="38">
        <v>0.2060532407</v>
      </c>
      <c r="Q988" s="39" t="s">
        <v>3436</v>
      </c>
      <c r="R988" s="35" t="s">
        <v>916</v>
      </c>
      <c r="S988" s="35" t="s">
        <v>3437</v>
      </c>
      <c r="T988" s="35" t="s">
        <v>1701</v>
      </c>
      <c r="U988" s="40">
        <v>46042</v>
      </c>
      <c r="V988" s="41">
        <v>46153.532824074071</v>
      </c>
      <c r="W988" s="40">
        <v>46041</v>
      </c>
      <c r="X988" s="35" t="s">
        <v>916</v>
      </c>
      <c r="Y988" s="35" t="s">
        <v>916</v>
      </c>
      <c r="Z988" s="35" t="s">
        <v>916</v>
      </c>
      <c r="AA988" s="38">
        <v>4.9452777768000002</v>
      </c>
      <c r="AB988" s="42" t="s">
        <v>916</v>
      </c>
      <c r="AC988" s="43" t="s">
        <v>916</v>
      </c>
      <c r="AD988" s="43" t="s">
        <v>916</v>
      </c>
      <c r="AE988" s="33" t="s">
        <v>916</v>
      </c>
      <c r="AF988" s="35" t="s">
        <v>916</v>
      </c>
      <c r="AG988" s="44">
        <v>491338.62138888892</v>
      </c>
      <c r="AH988" s="42" t="s">
        <v>916</v>
      </c>
      <c r="AI988" s="32" t="e">
        <f>VLOOKUP(A988,'4月明細'!B:B,1,0)</f>
        <v>#N/A</v>
      </c>
    </row>
    <row r="989" spans="1:35" ht="19.95" customHeight="1" x14ac:dyDescent="0.3">
      <c r="A989" s="33" t="s">
        <v>174</v>
      </c>
      <c r="B989" s="34">
        <v>46041.404594907406</v>
      </c>
      <c r="C989" s="34" t="str">
        <f t="shared" si="28"/>
        <v>202601</v>
      </c>
      <c r="D989" s="35" t="s">
        <v>2310</v>
      </c>
      <c r="E989" s="36" t="s">
        <v>1149</v>
      </c>
      <c r="F989" s="36" t="s">
        <v>1161</v>
      </c>
      <c r="G989" s="37" t="s">
        <v>3438</v>
      </c>
      <c r="H989" s="36" t="s">
        <v>928</v>
      </c>
      <c r="I989" s="35" t="s">
        <v>3439</v>
      </c>
      <c r="J989" s="36" t="s">
        <v>938</v>
      </c>
      <c r="K989" s="33" t="s">
        <v>916</v>
      </c>
      <c r="L989" s="35" t="s">
        <v>916</v>
      </c>
      <c r="M989" s="36" t="s">
        <v>916</v>
      </c>
      <c r="N989" s="45">
        <v>46045.606944444444</v>
      </c>
      <c r="O989" s="36" t="s">
        <v>25</v>
      </c>
      <c r="P989" s="38">
        <v>4.2023495369999999</v>
      </c>
      <c r="Q989" s="39" t="s">
        <v>3440</v>
      </c>
      <c r="R989" s="35" t="s">
        <v>916</v>
      </c>
      <c r="S989" s="35" t="s">
        <v>3441</v>
      </c>
      <c r="T989" s="35" t="s">
        <v>1624</v>
      </c>
      <c r="U989" s="40">
        <v>46042</v>
      </c>
      <c r="V989" s="41">
        <v>46153.532824074071</v>
      </c>
      <c r="W989" s="40">
        <v>46041</v>
      </c>
      <c r="X989" s="35" t="s">
        <v>916</v>
      </c>
      <c r="Y989" s="35" t="s">
        <v>916</v>
      </c>
      <c r="Z989" s="35" t="s">
        <v>916</v>
      </c>
      <c r="AA989" s="38">
        <v>100.856388888</v>
      </c>
      <c r="AB989" s="42" t="s">
        <v>916</v>
      </c>
      <c r="AC989" s="43" t="s">
        <v>916</v>
      </c>
      <c r="AD989" s="43" t="s">
        <v>916</v>
      </c>
      <c r="AE989" s="33" t="s">
        <v>916</v>
      </c>
      <c r="AF989" s="35" t="s">
        <v>916</v>
      </c>
      <c r="AG989" s="44">
        <v>491337.71027777792</v>
      </c>
      <c r="AH989" s="42" t="s">
        <v>916</v>
      </c>
      <c r="AI989" s="32" t="e">
        <f>VLOOKUP(A989,'4月明細'!B:B,1,0)</f>
        <v>#N/A</v>
      </c>
    </row>
    <row r="990" spans="1:35" ht="19.95" customHeight="1" x14ac:dyDescent="0.3">
      <c r="A990" s="33" t="s">
        <v>173</v>
      </c>
      <c r="B990" s="34">
        <v>46041.403136574074</v>
      </c>
      <c r="C990" s="34" t="str">
        <f t="shared" si="28"/>
        <v>202601</v>
      </c>
      <c r="D990" s="35" t="s">
        <v>2310</v>
      </c>
      <c r="E990" s="36" t="s">
        <v>1149</v>
      </c>
      <c r="F990" s="36" t="s">
        <v>2043</v>
      </c>
      <c r="G990" s="37" t="s">
        <v>3442</v>
      </c>
      <c r="H990" s="36" t="s">
        <v>954</v>
      </c>
      <c r="I990" s="35" t="s">
        <v>3443</v>
      </c>
      <c r="J990" s="36" t="s">
        <v>938</v>
      </c>
      <c r="K990" s="33" t="s">
        <v>916</v>
      </c>
      <c r="L990" s="35" t="s">
        <v>916</v>
      </c>
      <c r="M990" s="36" t="s">
        <v>916</v>
      </c>
      <c r="N990" s="45">
        <v>46044.427083333336</v>
      </c>
      <c r="O990" s="36" t="s">
        <v>25</v>
      </c>
      <c r="P990" s="38">
        <v>3.0239467592999998</v>
      </c>
      <c r="Q990" s="39" t="s">
        <v>3444</v>
      </c>
      <c r="R990" s="35" t="s">
        <v>916</v>
      </c>
      <c r="S990" s="35" t="s">
        <v>3445</v>
      </c>
      <c r="T990" s="35" t="s">
        <v>1624</v>
      </c>
      <c r="U990" s="40">
        <v>46042</v>
      </c>
      <c r="V990" s="41">
        <v>46153.532824074071</v>
      </c>
      <c r="W990" s="40">
        <v>46041</v>
      </c>
      <c r="X990" s="35" t="s">
        <v>916</v>
      </c>
      <c r="Y990" s="35" t="s">
        <v>916</v>
      </c>
      <c r="Z990" s="35" t="s">
        <v>916</v>
      </c>
      <c r="AA990" s="38">
        <v>72.574722223199998</v>
      </c>
      <c r="AB990" s="42" t="s">
        <v>916</v>
      </c>
      <c r="AC990" s="43" t="s">
        <v>916</v>
      </c>
      <c r="AD990" s="43" t="s">
        <v>916</v>
      </c>
      <c r="AE990" s="33" t="s">
        <v>916</v>
      </c>
      <c r="AF990" s="35" t="s">
        <v>916</v>
      </c>
      <c r="AG990" s="44">
        <v>491337.67527777777</v>
      </c>
      <c r="AH990" s="42" t="s">
        <v>916</v>
      </c>
      <c r="AI990" s="32" t="e">
        <f>VLOOKUP(A990,'4月明細'!B:B,1,0)</f>
        <v>#N/A</v>
      </c>
    </row>
    <row r="991" spans="1:35" ht="19.95" customHeight="1" x14ac:dyDescent="0.3">
      <c r="A991" s="33" t="s">
        <v>172</v>
      </c>
      <c r="B991" s="34">
        <v>46041.402372685188</v>
      </c>
      <c r="C991" s="34" t="str">
        <f t="shared" si="28"/>
        <v>202601</v>
      </c>
      <c r="D991" s="35" t="s">
        <v>2310</v>
      </c>
      <c r="E991" s="36" t="s">
        <v>1149</v>
      </c>
      <c r="F991" s="36" t="s">
        <v>2043</v>
      </c>
      <c r="G991" s="37" t="s">
        <v>3446</v>
      </c>
      <c r="H991" s="36" t="s">
        <v>989</v>
      </c>
      <c r="I991" s="35" t="s">
        <v>3447</v>
      </c>
      <c r="J991" s="36" t="s">
        <v>938</v>
      </c>
      <c r="K991" s="33" t="s">
        <v>916</v>
      </c>
      <c r="L991" s="35" t="s">
        <v>916</v>
      </c>
      <c r="M991" s="36" t="s">
        <v>916</v>
      </c>
      <c r="N991" s="45">
        <v>46044.426388888889</v>
      </c>
      <c r="O991" s="36" t="s">
        <v>25</v>
      </c>
      <c r="P991" s="38">
        <v>3.0240162037</v>
      </c>
      <c r="Q991" s="39" t="s">
        <v>3448</v>
      </c>
      <c r="R991" s="35" t="s">
        <v>916</v>
      </c>
      <c r="S991" s="35"/>
      <c r="T991" s="35" t="s">
        <v>1624</v>
      </c>
      <c r="U991" s="40">
        <v>46042</v>
      </c>
      <c r="V991" s="41">
        <v>46153.532824074071</v>
      </c>
      <c r="W991" s="40">
        <v>46041</v>
      </c>
      <c r="X991" s="35" t="s">
        <v>916</v>
      </c>
      <c r="Y991" s="35" t="s">
        <v>916</v>
      </c>
      <c r="Z991" s="35" t="s">
        <v>916</v>
      </c>
      <c r="AA991" s="38">
        <v>72.576388888799997</v>
      </c>
      <c r="AB991" s="42" t="s">
        <v>916</v>
      </c>
      <c r="AC991" s="43" t="s">
        <v>916</v>
      </c>
      <c r="AD991" s="43" t="s">
        <v>916</v>
      </c>
      <c r="AE991" s="33" t="s">
        <v>916</v>
      </c>
      <c r="AF991" s="35" t="s">
        <v>916</v>
      </c>
      <c r="AG991" s="44">
        <v>491337.6569444444</v>
      </c>
      <c r="AH991" s="42" t="s">
        <v>916</v>
      </c>
      <c r="AI991" s="32" t="e">
        <f>VLOOKUP(A991,'4月明細'!B:B,1,0)</f>
        <v>#N/A</v>
      </c>
    </row>
    <row r="992" spans="1:35" ht="19.95" customHeight="1" x14ac:dyDescent="0.3">
      <c r="A992" s="33" t="s">
        <v>171</v>
      </c>
      <c r="B992" s="34">
        <v>46041.401597222219</v>
      </c>
      <c r="C992" s="34" t="str">
        <f t="shared" si="28"/>
        <v>202601</v>
      </c>
      <c r="D992" s="35" t="s">
        <v>2310</v>
      </c>
      <c r="E992" s="36" t="s">
        <v>1149</v>
      </c>
      <c r="F992" s="36" t="s">
        <v>2043</v>
      </c>
      <c r="G992" s="37" t="s">
        <v>3449</v>
      </c>
      <c r="H992" s="36" t="s">
        <v>928</v>
      </c>
      <c r="I992" s="35" t="s">
        <v>3450</v>
      </c>
      <c r="J992" s="36" t="s">
        <v>938</v>
      </c>
      <c r="K992" s="33" t="s">
        <v>916</v>
      </c>
      <c r="L992" s="35" t="s">
        <v>916</v>
      </c>
      <c r="M992" s="36" t="s">
        <v>957</v>
      </c>
      <c r="N992" s="45">
        <v>46048.479861111111</v>
      </c>
      <c r="O992" s="36" t="s">
        <v>25</v>
      </c>
      <c r="P992" s="38">
        <v>7.0782638888999996</v>
      </c>
      <c r="Q992" s="39" t="s">
        <v>3451</v>
      </c>
      <c r="R992" s="35" t="s">
        <v>916</v>
      </c>
      <c r="S992" s="35" t="s">
        <v>3452</v>
      </c>
      <c r="T992" s="35" t="s">
        <v>1624</v>
      </c>
      <c r="U992" s="40">
        <v>46042</v>
      </c>
      <c r="V992" s="41">
        <v>46153.532824074071</v>
      </c>
      <c r="W992" s="40">
        <v>46041</v>
      </c>
      <c r="X992" s="35" t="s">
        <v>916</v>
      </c>
      <c r="Y992" s="35" t="s">
        <v>916</v>
      </c>
      <c r="Z992" s="35" t="s">
        <v>916</v>
      </c>
      <c r="AA992" s="38">
        <v>169.87833333360001</v>
      </c>
      <c r="AB992" s="42" t="s">
        <v>916</v>
      </c>
      <c r="AC992" s="43" t="s">
        <v>916</v>
      </c>
      <c r="AD992" s="43" t="s">
        <v>916</v>
      </c>
      <c r="AE992" s="33" t="s">
        <v>916</v>
      </c>
      <c r="AF992" s="35" t="s">
        <v>916</v>
      </c>
      <c r="AG992" s="44">
        <v>491337.63833333331</v>
      </c>
      <c r="AH992" s="42" t="s">
        <v>916</v>
      </c>
      <c r="AI992" s="32" t="e">
        <f>VLOOKUP(A992,'4月明細'!B:B,1,0)</f>
        <v>#N/A</v>
      </c>
    </row>
    <row r="993" spans="1:35" ht="19.95" customHeight="1" x14ac:dyDescent="0.3">
      <c r="A993" s="33" t="s">
        <v>170</v>
      </c>
      <c r="B993" s="34">
        <v>46041.400763888887</v>
      </c>
      <c r="C993" s="34" t="str">
        <f t="shared" si="28"/>
        <v>202601</v>
      </c>
      <c r="D993" s="35" t="s">
        <v>2310</v>
      </c>
      <c r="E993" s="36" t="s">
        <v>1149</v>
      </c>
      <c r="F993" s="36" t="s">
        <v>1161</v>
      </c>
      <c r="G993" s="37" t="s">
        <v>3453</v>
      </c>
      <c r="H993" s="36" t="s">
        <v>928</v>
      </c>
      <c r="I993" s="35" t="s">
        <v>3454</v>
      </c>
      <c r="J993" s="36" t="s">
        <v>938</v>
      </c>
      <c r="K993" s="33" t="s">
        <v>916</v>
      </c>
      <c r="L993" s="35" t="s">
        <v>916</v>
      </c>
      <c r="M993" s="36" t="s">
        <v>957</v>
      </c>
      <c r="N993" s="45">
        <v>46044.558333333334</v>
      </c>
      <c r="O993" s="36" t="s">
        <v>25</v>
      </c>
      <c r="P993" s="38">
        <v>3.1575694444</v>
      </c>
      <c r="Q993" s="39" t="s">
        <v>3455</v>
      </c>
      <c r="R993" s="35" t="s">
        <v>916</v>
      </c>
      <c r="S993" s="35" t="s">
        <v>3456</v>
      </c>
      <c r="T993" s="35" t="s">
        <v>1624</v>
      </c>
      <c r="U993" s="40">
        <v>46042</v>
      </c>
      <c r="V993" s="41">
        <v>46153.532824074071</v>
      </c>
      <c r="W993" s="40">
        <v>46041</v>
      </c>
      <c r="X993" s="35" t="s">
        <v>916</v>
      </c>
      <c r="Y993" s="35" t="s">
        <v>916</v>
      </c>
      <c r="Z993" s="35" t="s">
        <v>916</v>
      </c>
      <c r="AA993" s="38">
        <v>75.7816666656</v>
      </c>
      <c r="AB993" s="42" t="s">
        <v>916</v>
      </c>
      <c r="AC993" s="43" t="s">
        <v>916</v>
      </c>
      <c r="AD993" s="43" t="s">
        <v>916</v>
      </c>
      <c r="AE993" s="33" t="s">
        <v>916</v>
      </c>
      <c r="AF993" s="35" t="s">
        <v>916</v>
      </c>
      <c r="AG993" s="44">
        <v>491337.6183333334</v>
      </c>
      <c r="AH993" s="42" t="s">
        <v>916</v>
      </c>
      <c r="AI993" s="32" t="e">
        <f>VLOOKUP(A993,'4月明細'!B:B,1,0)</f>
        <v>#N/A</v>
      </c>
    </row>
    <row r="994" spans="1:35" ht="19.95" customHeight="1" x14ac:dyDescent="0.3">
      <c r="A994" s="33" t="s">
        <v>169</v>
      </c>
      <c r="B994" s="34">
        <v>46041.397060185183</v>
      </c>
      <c r="C994" s="34" t="str">
        <f t="shared" si="28"/>
        <v>202601</v>
      </c>
      <c r="D994" s="35" t="s">
        <v>2310</v>
      </c>
      <c r="E994" s="36" t="s">
        <v>1149</v>
      </c>
      <c r="F994" s="36" t="s">
        <v>1218</v>
      </c>
      <c r="G994" s="37" t="s">
        <v>3457</v>
      </c>
      <c r="H994" s="36" t="s">
        <v>928</v>
      </c>
      <c r="I994" s="35" t="s">
        <v>3458</v>
      </c>
      <c r="J994" s="36" t="s">
        <v>938</v>
      </c>
      <c r="K994" s="33" t="s">
        <v>916</v>
      </c>
      <c r="L994" s="35" t="s">
        <v>916</v>
      </c>
      <c r="M994" s="36" t="s">
        <v>916</v>
      </c>
      <c r="N994" s="45">
        <v>46042.393750000003</v>
      </c>
      <c r="O994" s="36" t="s">
        <v>25</v>
      </c>
      <c r="P994" s="38">
        <v>0.99668981479999996</v>
      </c>
      <c r="Q994" s="39" t="s">
        <v>3459</v>
      </c>
      <c r="R994" s="35" t="s">
        <v>916</v>
      </c>
      <c r="S994" s="35" t="s">
        <v>3460</v>
      </c>
      <c r="T994" s="35" t="s">
        <v>1624</v>
      </c>
      <c r="U994" s="40">
        <v>46042</v>
      </c>
      <c r="V994" s="41">
        <v>46153.532824074071</v>
      </c>
      <c r="W994" s="40">
        <v>46041</v>
      </c>
      <c r="X994" s="35" t="s">
        <v>916</v>
      </c>
      <c r="Y994" s="35" t="s">
        <v>916</v>
      </c>
      <c r="Z994" s="35" t="s">
        <v>916</v>
      </c>
      <c r="AA994" s="38">
        <v>23.9205555552</v>
      </c>
      <c r="AB994" s="42" t="s">
        <v>916</v>
      </c>
      <c r="AC994" s="43" t="s">
        <v>916</v>
      </c>
      <c r="AD994" s="43" t="s">
        <v>916</v>
      </c>
      <c r="AE994" s="33" t="s">
        <v>916</v>
      </c>
      <c r="AF994" s="35" t="s">
        <v>916</v>
      </c>
      <c r="AG994" s="44">
        <v>491337.52944444452</v>
      </c>
      <c r="AH994" s="42" t="s">
        <v>916</v>
      </c>
      <c r="AI994" s="32" t="e">
        <f>VLOOKUP(A994,'4月明細'!B:B,1,0)</f>
        <v>#N/A</v>
      </c>
    </row>
    <row r="995" spans="1:35" ht="19.95" customHeight="1" x14ac:dyDescent="0.3">
      <c r="A995" s="33" t="s">
        <v>168</v>
      </c>
      <c r="B995" s="34">
        <v>46041.396585648145</v>
      </c>
      <c r="C995" s="34" t="str">
        <f t="shared" si="28"/>
        <v>202601</v>
      </c>
      <c r="D995" s="35" t="s">
        <v>2310</v>
      </c>
      <c r="E995" s="36" t="s">
        <v>1149</v>
      </c>
      <c r="F995" s="36" t="s">
        <v>1423</v>
      </c>
      <c r="G995" s="37" t="s">
        <v>2349</v>
      </c>
      <c r="H995" s="36" t="s">
        <v>928</v>
      </c>
      <c r="I995" s="35" t="s">
        <v>3461</v>
      </c>
      <c r="J995" s="36" t="s">
        <v>938</v>
      </c>
      <c r="K995" s="33" t="s">
        <v>916</v>
      </c>
      <c r="L995" s="35" t="s">
        <v>916</v>
      </c>
      <c r="M995" s="36" t="s">
        <v>916</v>
      </c>
      <c r="N995" s="45">
        <v>46041.720833333333</v>
      </c>
      <c r="O995" s="36" t="s">
        <v>25</v>
      </c>
      <c r="P995" s="38">
        <v>0.32424768520000002</v>
      </c>
      <c r="Q995" s="39" t="s">
        <v>3462</v>
      </c>
      <c r="R995" s="35" t="s">
        <v>916</v>
      </c>
      <c r="S995" s="35" t="s">
        <v>3463</v>
      </c>
      <c r="T995" s="35" t="s">
        <v>1701</v>
      </c>
      <c r="U995" s="40">
        <v>46042</v>
      </c>
      <c r="V995" s="41">
        <v>46153.532824074071</v>
      </c>
      <c r="W995" s="40">
        <v>46041</v>
      </c>
      <c r="X995" s="35" t="s">
        <v>916</v>
      </c>
      <c r="Y995" s="35" t="s">
        <v>916</v>
      </c>
      <c r="Z995" s="35" t="s">
        <v>916</v>
      </c>
      <c r="AA995" s="38">
        <v>7.7819444447999997</v>
      </c>
      <c r="AB995" s="42" t="s">
        <v>916</v>
      </c>
      <c r="AC995" s="43" t="s">
        <v>916</v>
      </c>
      <c r="AD995" s="43" t="s">
        <v>916</v>
      </c>
      <c r="AE995" s="33" t="s">
        <v>916</v>
      </c>
      <c r="AF995" s="35" t="s">
        <v>916</v>
      </c>
      <c r="AG995" s="44">
        <v>491337.51805555553</v>
      </c>
      <c r="AH995" s="42" t="s">
        <v>916</v>
      </c>
      <c r="AI995" s="32" t="e">
        <f>VLOOKUP(A995,'4月明細'!B:B,1,0)</f>
        <v>#N/A</v>
      </c>
    </row>
    <row r="996" spans="1:35" ht="19.95" customHeight="1" x14ac:dyDescent="0.3">
      <c r="A996" s="33" t="s">
        <v>3464</v>
      </c>
      <c r="B996" s="34">
        <v>46041.396180555559</v>
      </c>
      <c r="C996" s="34" t="str">
        <f t="shared" si="28"/>
        <v>202601</v>
      </c>
      <c r="D996" s="35" t="s">
        <v>2310</v>
      </c>
      <c r="E996" s="36" t="s">
        <v>1149</v>
      </c>
      <c r="F996" s="36" t="s">
        <v>1713</v>
      </c>
      <c r="G996" s="37" t="s">
        <v>2349</v>
      </c>
      <c r="H996" s="36" t="s">
        <v>928</v>
      </c>
      <c r="I996" s="35" t="s">
        <v>3465</v>
      </c>
      <c r="J996" s="36" t="s">
        <v>938</v>
      </c>
      <c r="K996" s="33" t="s">
        <v>916</v>
      </c>
      <c r="L996" s="35" t="s">
        <v>916</v>
      </c>
      <c r="M996" s="36" t="s">
        <v>1135</v>
      </c>
      <c r="N996" s="45">
        <v>46063.412499999999</v>
      </c>
      <c r="O996" s="36" t="s">
        <v>1384</v>
      </c>
      <c r="P996" s="38">
        <v>22.016319444400001</v>
      </c>
      <c r="Q996" s="39" t="s">
        <v>3466</v>
      </c>
      <c r="R996" s="35" t="s">
        <v>916</v>
      </c>
      <c r="S996" s="35"/>
      <c r="T996" s="35" t="s">
        <v>1624</v>
      </c>
      <c r="U996" s="40">
        <v>46042</v>
      </c>
      <c r="V996" s="41">
        <v>46153.532824074071</v>
      </c>
      <c r="W996" s="40">
        <v>46041</v>
      </c>
      <c r="X996" s="35" t="s">
        <v>916</v>
      </c>
      <c r="Y996" s="35" t="s">
        <v>916</v>
      </c>
      <c r="Z996" s="35" t="s">
        <v>916</v>
      </c>
      <c r="AA996" s="38">
        <v>528.39166666560004</v>
      </c>
      <c r="AB996" s="42" t="s">
        <v>916</v>
      </c>
      <c r="AC996" s="43" t="s">
        <v>916</v>
      </c>
      <c r="AD996" s="43" t="s">
        <v>916</v>
      </c>
      <c r="AE996" s="33" t="s">
        <v>916</v>
      </c>
      <c r="AF996" s="35" t="s">
        <v>916</v>
      </c>
      <c r="AG996" s="44">
        <v>491337.5083333333</v>
      </c>
      <c r="AH996" s="42" t="s">
        <v>916</v>
      </c>
      <c r="AI996" s="32" t="e">
        <f>VLOOKUP(A996,'4月明細'!B:B,1,0)</f>
        <v>#N/A</v>
      </c>
    </row>
    <row r="997" spans="1:35" ht="19.95" customHeight="1" x14ac:dyDescent="0.3">
      <c r="A997" s="33" t="s">
        <v>167</v>
      </c>
      <c r="B997" s="34">
        <v>46041.394560185188</v>
      </c>
      <c r="C997" s="34" t="str">
        <f t="shared" si="28"/>
        <v>202601</v>
      </c>
      <c r="D997" s="35" t="s">
        <v>2310</v>
      </c>
      <c r="E997" s="36" t="s">
        <v>1149</v>
      </c>
      <c r="F997" s="36" t="s">
        <v>1145</v>
      </c>
      <c r="G997" s="37" t="s">
        <v>2349</v>
      </c>
      <c r="H997" s="36" t="s">
        <v>928</v>
      </c>
      <c r="I997" s="35" t="s">
        <v>3467</v>
      </c>
      <c r="J997" s="36" t="s">
        <v>938</v>
      </c>
      <c r="K997" s="33" t="s">
        <v>916</v>
      </c>
      <c r="L997" s="35" t="s">
        <v>916</v>
      </c>
      <c r="M997" s="36" t="s">
        <v>916</v>
      </c>
      <c r="N997" s="45">
        <v>46041.714583333334</v>
      </c>
      <c r="O997" s="36" t="s">
        <v>25</v>
      </c>
      <c r="P997" s="38">
        <v>0.32002314809999999</v>
      </c>
      <c r="Q997" s="39" t="s">
        <v>3468</v>
      </c>
      <c r="R997" s="35" t="s">
        <v>916</v>
      </c>
      <c r="S997" s="35" t="s">
        <v>3469</v>
      </c>
      <c r="T997" s="35" t="s">
        <v>1701</v>
      </c>
      <c r="U997" s="40">
        <v>46042</v>
      </c>
      <c r="V997" s="41">
        <v>46153.532824074071</v>
      </c>
      <c r="W997" s="40">
        <v>46041</v>
      </c>
      <c r="X997" s="35" t="s">
        <v>916</v>
      </c>
      <c r="Y997" s="35" t="s">
        <v>916</v>
      </c>
      <c r="Z997" s="35" t="s">
        <v>916</v>
      </c>
      <c r="AA997" s="38">
        <v>7.6805555543999997</v>
      </c>
      <c r="AB997" s="42" t="s">
        <v>916</v>
      </c>
      <c r="AC997" s="43" t="s">
        <v>916</v>
      </c>
      <c r="AD997" s="43" t="s">
        <v>916</v>
      </c>
      <c r="AE997" s="33" t="s">
        <v>916</v>
      </c>
      <c r="AF997" s="35" t="s">
        <v>916</v>
      </c>
      <c r="AG997" s="44">
        <v>491337.4694444444</v>
      </c>
      <c r="AH997" s="42" t="s">
        <v>916</v>
      </c>
      <c r="AI997" s="32" t="e">
        <f>VLOOKUP(A997,'4月明細'!B:B,1,0)</f>
        <v>#N/A</v>
      </c>
    </row>
    <row r="998" spans="1:35" ht="19.95" customHeight="1" x14ac:dyDescent="0.3">
      <c r="A998" s="33" t="s">
        <v>166</v>
      </c>
      <c r="B998" s="34">
        <v>46041.393819444442</v>
      </c>
      <c r="C998" s="34" t="str">
        <f t="shared" si="28"/>
        <v>202601</v>
      </c>
      <c r="D998" s="35" t="s">
        <v>2310</v>
      </c>
      <c r="E998" s="36" t="s">
        <v>1149</v>
      </c>
      <c r="F998" s="36" t="s">
        <v>1335</v>
      </c>
      <c r="G998" s="37" t="s">
        <v>2349</v>
      </c>
      <c r="H998" s="36" t="s">
        <v>928</v>
      </c>
      <c r="I998" s="35" t="s">
        <v>3470</v>
      </c>
      <c r="J998" s="36" t="s">
        <v>938</v>
      </c>
      <c r="K998" s="33" t="s">
        <v>916</v>
      </c>
      <c r="L998" s="35" t="s">
        <v>916</v>
      </c>
      <c r="M998" s="36" t="s">
        <v>916</v>
      </c>
      <c r="N998" s="45">
        <v>46041.72152777778</v>
      </c>
      <c r="O998" s="36" t="s">
        <v>25</v>
      </c>
      <c r="P998" s="38">
        <v>0.32770833329999999</v>
      </c>
      <c r="Q998" s="39" t="s">
        <v>3471</v>
      </c>
      <c r="R998" s="35" t="s">
        <v>916</v>
      </c>
      <c r="S998" s="35" t="s">
        <v>3472</v>
      </c>
      <c r="T998" s="35" t="s">
        <v>1701</v>
      </c>
      <c r="U998" s="40">
        <v>46042</v>
      </c>
      <c r="V998" s="41">
        <v>46153.532824074071</v>
      </c>
      <c r="W998" s="40">
        <v>46041</v>
      </c>
      <c r="X998" s="35" t="s">
        <v>916</v>
      </c>
      <c r="Y998" s="35" t="s">
        <v>916</v>
      </c>
      <c r="Z998" s="35" t="s">
        <v>916</v>
      </c>
      <c r="AA998" s="38">
        <v>7.8649999992000001</v>
      </c>
      <c r="AB998" s="42" t="s">
        <v>916</v>
      </c>
      <c r="AC998" s="43" t="s">
        <v>916</v>
      </c>
      <c r="AD998" s="43" t="s">
        <v>916</v>
      </c>
      <c r="AE998" s="33" t="s">
        <v>916</v>
      </c>
      <c r="AF998" s="35" t="s">
        <v>916</v>
      </c>
      <c r="AG998" s="44">
        <v>491337.45166666672</v>
      </c>
      <c r="AH998" s="42" t="s">
        <v>916</v>
      </c>
      <c r="AI998" s="32" t="e">
        <f>VLOOKUP(A998,'4月明細'!B:B,1,0)</f>
        <v>#N/A</v>
      </c>
    </row>
    <row r="999" spans="1:35" ht="19.95" customHeight="1" x14ac:dyDescent="0.3">
      <c r="A999" s="33" t="s">
        <v>165</v>
      </c>
      <c r="B999" s="34">
        <v>46041.392754629633</v>
      </c>
      <c r="C999" s="34" t="str">
        <f t="shared" si="28"/>
        <v>202601</v>
      </c>
      <c r="D999" s="35" t="s">
        <v>2310</v>
      </c>
      <c r="E999" s="36" t="s">
        <v>1149</v>
      </c>
      <c r="F999" s="36" t="s">
        <v>1675</v>
      </c>
      <c r="G999" s="37" t="s">
        <v>2349</v>
      </c>
      <c r="H999" s="36" t="s">
        <v>928</v>
      </c>
      <c r="I999" s="35" t="s">
        <v>3473</v>
      </c>
      <c r="J999" s="36" t="s">
        <v>938</v>
      </c>
      <c r="K999" s="33" t="s">
        <v>916</v>
      </c>
      <c r="L999" s="35" t="s">
        <v>916</v>
      </c>
      <c r="M999" s="36" t="s">
        <v>916</v>
      </c>
      <c r="N999" s="45">
        <v>46044.581944444442</v>
      </c>
      <c r="O999" s="36" t="s">
        <v>25</v>
      </c>
      <c r="P999" s="38">
        <v>3.1891898148000002</v>
      </c>
      <c r="Q999" s="39" t="s">
        <v>3474</v>
      </c>
      <c r="R999" s="35" t="s">
        <v>916</v>
      </c>
      <c r="S999" s="35"/>
      <c r="T999" s="35" t="s">
        <v>1624</v>
      </c>
      <c r="U999" s="40">
        <v>46042</v>
      </c>
      <c r="V999" s="41">
        <v>46153.532824074071</v>
      </c>
      <c r="W999" s="40">
        <v>46041</v>
      </c>
      <c r="X999" s="35" t="s">
        <v>916</v>
      </c>
      <c r="Y999" s="35" t="s">
        <v>916</v>
      </c>
      <c r="Z999" s="35" t="s">
        <v>916</v>
      </c>
      <c r="AA999" s="38">
        <v>76.540555555200001</v>
      </c>
      <c r="AB999" s="42" t="s">
        <v>916</v>
      </c>
      <c r="AC999" s="43" t="s">
        <v>916</v>
      </c>
      <c r="AD999" s="43" t="s">
        <v>916</v>
      </c>
      <c r="AE999" s="33" t="s">
        <v>916</v>
      </c>
      <c r="AF999" s="35" t="s">
        <v>916</v>
      </c>
      <c r="AG999" s="44">
        <v>491337.42611111113</v>
      </c>
      <c r="AH999" s="42" t="s">
        <v>916</v>
      </c>
      <c r="AI999" s="32" t="e">
        <f>VLOOKUP(A999,'4月明細'!B:B,1,0)</f>
        <v>#N/A</v>
      </c>
    </row>
    <row r="1000" spans="1:35" ht="19.95" customHeight="1" x14ac:dyDescent="0.3">
      <c r="A1000" s="33" t="s">
        <v>3475</v>
      </c>
      <c r="B1000" s="34">
        <v>46041.391192129631</v>
      </c>
      <c r="C1000" s="34" t="str">
        <f t="shared" si="28"/>
        <v>202601</v>
      </c>
      <c r="D1000" s="35" t="s">
        <v>2310</v>
      </c>
      <c r="E1000" s="36" t="s">
        <v>1149</v>
      </c>
      <c r="F1000" s="36" t="s">
        <v>1276</v>
      </c>
      <c r="G1000" s="37" t="s">
        <v>3476</v>
      </c>
      <c r="H1000" s="36" t="s">
        <v>913</v>
      </c>
      <c r="I1000" s="35" t="s">
        <v>3477</v>
      </c>
      <c r="J1000" s="36" t="s">
        <v>938</v>
      </c>
      <c r="K1000" s="33" t="s">
        <v>916</v>
      </c>
      <c r="L1000" s="35" t="s">
        <v>916</v>
      </c>
      <c r="M1000" s="36" t="s">
        <v>916</v>
      </c>
      <c r="N1000" s="45">
        <v>46044.586805555555</v>
      </c>
      <c r="O1000" s="36" t="s">
        <v>918</v>
      </c>
      <c r="P1000" s="38">
        <v>3.1956134259</v>
      </c>
      <c r="Q1000" s="39" t="s">
        <v>3478</v>
      </c>
      <c r="R1000" s="46" t="s">
        <v>3479</v>
      </c>
      <c r="S1000" s="35"/>
      <c r="T1000" s="35" t="s">
        <v>1624</v>
      </c>
      <c r="U1000" s="40">
        <v>46042</v>
      </c>
      <c r="V1000" s="41">
        <v>46153.532824074071</v>
      </c>
      <c r="W1000" s="40">
        <v>46041</v>
      </c>
      <c r="X1000" s="35" t="s">
        <v>916</v>
      </c>
      <c r="Y1000" s="35" t="s">
        <v>916</v>
      </c>
      <c r="Z1000" s="35" t="s">
        <v>916</v>
      </c>
      <c r="AA1000" s="38">
        <v>76.694722221600003</v>
      </c>
      <c r="AB1000" s="42" t="s">
        <v>916</v>
      </c>
      <c r="AC1000" s="43" t="s">
        <v>916</v>
      </c>
      <c r="AD1000" s="43" t="s">
        <v>916</v>
      </c>
      <c r="AE1000" s="33" t="s">
        <v>916</v>
      </c>
      <c r="AF1000" s="35" t="s">
        <v>916</v>
      </c>
      <c r="AG1000" s="44">
        <v>491337.38861111109</v>
      </c>
      <c r="AH1000" s="42" t="s">
        <v>916</v>
      </c>
      <c r="AI1000" s="32" t="e">
        <f>VLOOKUP(A1000,'4月明細'!B:B,1,0)</f>
        <v>#N/A</v>
      </c>
    </row>
    <row r="1001" spans="1:35" ht="19.95" customHeight="1" x14ac:dyDescent="0.3">
      <c r="A1001" s="33" t="s">
        <v>164</v>
      </c>
      <c r="B1001" s="34">
        <v>46041.390486111108</v>
      </c>
      <c r="C1001" s="34" t="str">
        <f t="shared" si="28"/>
        <v>202601</v>
      </c>
      <c r="D1001" s="35" t="s">
        <v>2310</v>
      </c>
      <c r="E1001" s="36" t="s">
        <v>1149</v>
      </c>
      <c r="F1001" s="36" t="s">
        <v>1752</v>
      </c>
      <c r="G1001" s="37" t="s">
        <v>3480</v>
      </c>
      <c r="H1001" s="36" t="s">
        <v>928</v>
      </c>
      <c r="I1001" s="35" t="s">
        <v>3481</v>
      </c>
      <c r="J1001" s="36" t="s">
        <v>938</v>
      </c>
      <c r="K1001" s="33" t="s">
        <v>916</v>
      </c>
      <c r="L1001" s="35" t="s">
        <v>916</v>
      </c>
      <c r="M1001" s="36" t="s">
        <v>916</v>
      </c>
      <c r="N1001" s="45">
        <v>46044.582638888889</v>
      </c>
      <c r="O1001" s="36" t="s">
        <v>25</v>
      </c>
      <c r="P1001" s="38">
        <v>3.1921527778000001</v>
      </c>
      <c r="Q1001" s="39" t="s">
        <v>3482</v>
      </c>
      <c r="R1001" s="35" t="s">
        <v>916</v>
      </c>
      <c r="S1001" s="35" t="s">
        <v>3483</v>
      </c>
      <c r="T1001" s="35" t="s">
        <v>1624</v>
      </c>
      <c r="U1001" s="40">
        <v>46042</v>
      </c>
      <c r="V1001" s="41">
        <v>46153.532824074071</v>
      </c>
      <c r="W1001" s="40">
        <v>46041</v>
      </c>
      <c r="X1001" s="35" t="s">
        <v>916</v>
      </c>
      <c r="Y1001" s="35" t="s">
        <v>916</v>
      </c>
      <c r="Z1001" s="35" t="s">
        <v>916</v>
      </c>
      <c r="AA1001" s="38">
        <v>76.611666667199998</v>
      </c>
      <c r="AB1001" s="42" t="s">
        <v>916</v>
      </c>
      <c r="AC1001" s="43" t="s">
        <v>916</v>
      </c>
      <c r="AD1001" s="43" t="s">
        <v>916</v>
      </c>
      <c r="AE1001" s="33" t="s">
        <v>916</v>
      </c>
      <c r="AF1001" s="35" t="s">
        <v>916</v>
      </c>
      <c r="AG1001" s="44">
        <v>491337.3716666667</v>
      </c>
      <c r="AH1001" s="42" t="s">
        <v>916</v>
      </c>
      <c r="AI1001" s="32" t="e">
        <f>VLOOKUP(A1001,'4月明細'!B:B,1,0)</f>
        <v>#N/A</v>
      </c>
    </row>
    <row r="1002" spans="1:35" ht="19.95" customHeight="1" x14ac:dyDescent="0.3">
      <c r="A1002" s="33" t="s">
        <v>163</v>
      </c>
      <c r="B1002" s="34">
        <v>46041.389224537037</v>
      </c>
      <c r="C1002" s="34" t="str">
        <f t="shared" si="28"/>
        <v>202601</v>
      </c>
      <c r="D1002" s="35" t="s">
        <v>2310</v>
      </c>
      <c r="E1002" s="36" t="s">
        <v>1149</v>
      </c>
      <c r="F1002" s="36" t="s">
        <v>1752</v>
      </c>
      <c r="G1002" s="37" t="s">
        <v>3484</v>
      </c>
      <c r="H1002" s="36" t="s">
        <v>928</v>
      </c>
      <c r="I1002" s="35" t="s">
        <v>3485</v>
      </c>
      <c r="J1002" s="36" t="s">
        <v>938</v>
      </c>
      <c r="K1002" s="33" t="s">
        <v>916</v>
      </c>
      <c r="L1002" s="35" t="s">
        <v>916</v>
      </c>
      <c r="M1002" s="36" t="s">
        <v>916</v>
      </c>
      <c r="N1002" s="45">
        <v>46044.582638888889</v>
      </c>
      <c r="O1002" s="36" t="s">
        <v>25</v>
      </c>
      <c r="P1002" s="38">
        <v>3.1934143519</v>
      </c>
      <c r="Q1002" s="39" t="s">
        <v>3486</v>
      </c>
      <c r="R1002" s="35" t="s">
        <v>916</v>
      </c>
      <c r="S1002" s="35" t="s">
        <v>3487</v>
      </c>
      <c r="T1002" s="35" t="s">
        <v>1624</v>
      </c>
      <c r="U1002" s="40">
        <v>46042</v>
      </c>
      <c r="V1002" s="41">
        <v>46153.532824074071</v>
      </c>
      <c r="W1002" s="40">
        <v>46041</v>
      </c>
      <c r="X1002" s="35" t="s">
        <v>916</v>
      </c>
      <c r="Y1002" s="35" t="s">
        <v>916</v>
      </c>
      <c r="Z1002" s="35" t="s">
        <v>916</v>
      </c>
      <c r="AA1002" s="38">
        <v>76.641944445600004</v>
      </c>
      <c r="AB1002" s="42" t="s">
        <v>916</v>
      </c>
      <c r="AC1002" s="43" t="s">
        <v>916</v>
      </c>
      <c r="AD1002" s="43" t="s">
        <v>916</v>
      </c>
      <c r="AE1002" s="33" t="s">
        <v>916</v>
      </c>
      <c r="AF1002" s="35" t="s">
        <v>916</v>
      </c>
      <c r="AG1002" s="44">
        <v>491337.34138888889</v>
      </c>
      <c r="AH1002" s="42" t="s">
        <v>916</v>
      </c>
      <c r="AI1002" s="32" t="e">
        <f>VLOOKUP(A1002,'4月明細'!B:B,1,0)</f>
        <v>#N/A</v>
      </c>
    </row>
    <row r="1003" spans="1:35" ht="19.95" customHeight="1" x14ac:dyDescent="0.3">
      <c r="A1003" s="33" t="s">
        <v>162</v>
      </c>
      <c r="B1003" s="34">
        <v>46041.388425925928</v>
      </c>
      <c r="C1003" s="34" t="str">
        <f t="shared" si="28"/>
        <v>202601</v>
      </c>
      <c r="D1003" s="35" t="s">
        <v>2310</v>
      </c>
      <c r="E1003" s="36" t="s">
        <v>1149</v>
      </c>
      <c r="F1003" s="36" t="s">
        <v>1429</v>
      </c>
      <c r="G1003" s="37" t="s">
        <v>3488</v>
      </c>
      <c r="H1003" s="36" t="s">
        <v>928</v>
      </c>
      <c r="I1003" s="35" t="s">
        <v>3489</v>
      </c>
      <c r="J1003" s="36" t="s">
        <v>938</v>
      </c>
      <c r="K1003" s="33" t="s">
        <v>916</v>
      </c>
      <c r="L1003" s="35" t="s">
        <v>916</v>
      </c>
      <c r="M1003" s="36" t="s">
        <v>916</v>
      </c>
      <c r="N1003" s="45">
        <v>46044.585416666669</v>
      </c>
      <c r="O1003" s="36" t="s">
        <v>25</v>
      </c>
      <c r="P1003" s="38">
        <v>3.1969907407</v>
      </c>
      <c r="Q1003" s="39" t="s">
        <v>3490</v>
      </c>
      <c r="R1003" s="35" t="s">
        <v>916</v>
      </c>
      <c r="S1003" s="35" t="s">
        <v>3491</v>
      </c>
      <c r="T1003" s="35" t="s">
        <v>1701</v>
      </c>
      <c r="U1003" s="40">
        <v>46042</v>
      </c>
      <c r="V1003" s="41">
        <v>46153.532835648148</v>
      </c>
      <c r="W1003" s="40">
        <v>46041</v>
      </c>
      <c r="X1003" s="35" t="s">
        <v>916</v>
      </c>
      <c r="Y1003" s="35" t="s">
        <v>916</v>
      </c>
      <c r="Z1003" s="35" t="s">
        <v>916</v>
      </c>
      <c r="AA1003" s="38">
        <v>76.727777776799996</v>
      </c>
      <c r="AB1003" s="42" t="s">
        <v>916</v>
      </c>
      <c r="AC1003" s="43" t="s">
        <v>916</v>
      </c>
      <c r="AD1003" s="43" t="s">
        <v>916</v>
      </c>
      <c r="AE1003" s="33" t="s">
        <v>916</v>
      </c>
      <c r="AF1003" s="35" t="s">
        <v>916</v>
      </c>
      <c r="AG1003" s="44">
        <v>491337.32222222222</v>
      </c>
      <c r="AH1003" s="42" t="s">
        <v>916</v>
      </c>
      <c r="AI1003" s="32" t="e">
        <f>VLOOKUP(A1003,'4月明細'!B:B,1,0)</f>
        <v>#N/A</v>
      </c>
    </row>
    <row r="1004" spans="1:35" ht="19.95" customHeight="1" x14ac:dyDescent="0.3">
      <c r="A1004" s="33" t="s">
        <v>161</v>
      </c>
      <c r="B1004" s="34">
        <v>46041.38722222222</v>
      </c>
      <c r="C1004" s="34" t="str">
        <f t="shared" si="28"/>
        <v>202601</v>
      </c>
      <c r="D1004" s="35" t="s">
        <v>2310</v>
      </c>
      <c r="E1004" s="36" t="s">
        <v>1149</v>
      </c>
      <c r="F1004" s="36" t="s">
        <v>1561</v>
      </c>
      <c r="G1004" s="37" t="s">
        <v>3492</v>
      </c>
      <c r="H1004" s="36" t="s">
        <v>928</v>
      </c>
      <c r="I1004" s="35" t="s">
        <v>3493</v>
      </c>
      <c r="J1004" s="36" t="s">
        <v>938</v>
      </c>
      <c r="K1004" s="33" t="s">
        <v>916</v>
      </c>
      <c r="L1004" s="35" t="s">
        <v>916</v>
      </c>
      <c r="M1004" s="36" t="s">
        <v>916</v>
      </c>
      <c r="N1004" s="45">
        <v>46050.680555555555</v>
      </c>
      <c r="O1004" s="36" t="s">
        <v>25</v>
      </c>
      <c r="P1004" s="38">
        <v>9.2933333332999997</v>
      </c>
      <c r="Q1004" s="39" t="s">
        <v>3494</v>
      </c>
      <c r="R1004" s="35" t="s">
        <v>916</v>
      </c>
      <c r="S1004" s="35" t="s">
        <v>3495</v>
      </c>
      <c r="T1004" s="35" t="s">
        <v>1701</v>
      </c>
      <c r="U1004" s="40">
        <v>46042</v>
      </c>
      <c r="V1004" s="41">
        <v>46153.532835648148</v>
      </c>
      <c r="W1004" s="40">
        <v>46041</v>
      </c>
      <c r="X1004" s="35" t="s">
        <v>916</v>
      </c>
      <c r="Y1004" s="35" t="s">
        <v>916</v>
      </c>
      <c r="Z1004" s="35" t="s">
        <v>916</v>
      </c>
      <c r="AA1004" s="38">
        <v>223.03999999920001</v>
      </c>
      <c r="AB1004" s="42" t="s">
        <v>916</v>
      </c>
      <c r="AC1004" s="43" t="s">
        <v>916</v>
      </c>
      <c r="AD1004" s="43" t="s">
        <v>916</v>
      </c>
      <c r="AE1004" s="33" t="s">
        <v>916</v>
      </c>
      <c r="AF1004" s="35" t="s">
        <v>916</v>
      </c>
      <c r="AG1004" s="44">
        <v>491337.29333333328</v>
      </c>
      <c r="AH1004" s="42" t="s">
        <v>916</v>
      </c>
      <c r="AI1004" s="32" t="e">
        <f>VLOOKUP(A1004,'4月明細'!B:B,1,0)</f>
        <v>#N/A</v>
      </c>
    </row>
    <row r="1005" spans="1:35" ht="19.95" customHeight="1" x14ac:dyDescent="0.3">
      <c r="A1005" s="33" t="s">
        <v>160</v>
      </c>
      <c r="B1005" s="34">
        <v>46041.386493055557</v>
      </c>
      <c r="C1005" s="34" t="str">
        <f t="shared" si="28"/>
        <v>202601</v>
      </c>
      <c r="D1005" s="35" t="s">
        <v>2310</v>
      </c>
      <c r="E1005" s="36" t="s">
        <v>1149</v>
      </c>
      <c r="F1005" s="36" t="s">
        <v>3496</v>
      </c>
      <c r="G1005" s="37" t="s">
        <v>3497</v>
      </c>
      <c r="H1005" s="36" t="s">
        <v>928</v>
      </c>
      <c r="I1005" s="35" t="s">
        <v>3498</v>
      </c>
      <c r="J1005" s="36" t="s">
        <v>938</v>
      </c>
      <c r="K1005" s="33" t="s">
        <v>916</v>
      </c>
      <c r="L1005" s="35" t="s">
        <v>916</v>
      </c>
      <c r="M1005" s="36" t="s">
        <v>916</v>
      </c>
      <c r="N1005" s="45">
        <v>46050.681250000001</v>
      </c>
      <c r="O1005" s="36" t="s">
        <v>25</v>
      </c>
      <c r="P1005" s="38">
        <v>9.2947569443999996</v>
      </c>
      <c r="Q1005" s="39" t="s">
        <v>3499</v>
      </c>
      <c r="R1005" s="35" t="s">
        <v>916</v>
      </c>
      <c r="S1005" s="35" t="s">
        <v>3500</v>
      </c>
      <c r="T1005" s="35" t="s">
        <v>1701</v>
      </c>
      <c r="U1005" s="40">
        <v>46042</v>
      </c>
      <c r="V1005" s="41">
        <v>46153.532835648148</v>
      </c>
      <c r="W1005" s="40">
        <v>46041</v>
      </c>
      <c r="X1005" s="35" t="s">
        <v>916</v>
      </c>
      <c r="Y1005" s="35" t="s">
        <v>916</v>
      </c>
      <c r="Z1005" s="35" t="s">
        <v>916</v>
      </c>
      <c r="AA1005" s="38">
        <v>223.07416666559999</v>
      </c>
      <c r="AB1005" s="42" t="s">
        <v>916</v>
      </c>
      <c r="AC1005" s="43" t="s">
        <v>916</v>
      </c>
      <c r="AD1005" s="43" t="s">
        <v>916</v>
      </c>
      <c r="AE1005" s="33" t="s">
        <v>916</v>
      </c>
      <c r="AF1005" s="35" t="s">
        <v>916</v>
      </c>
      <c r="AG1005" s="44">
        <v>491337.27583333338</v>
      </c>
      <c r="AH1005" s="42" t="s">
        <v>916</v>
      </c>
      <c r="AI1005" s="32" t="e">
        <f>VLOOKUP(A1005,'4月明細'!B:B,1,0)</f>
        <v>#N/A</v>
      </c>
    </row>
    <row r="1006" spans="1:35" ht="19.95" customHeight="1" x14ac:dyDescent="0.3">
      <c r="A1006" s="33" t="s">
        <v>276</v>
      </c>
      <c r="B1006" s="34">
        <v>46041.384629629632</v>
      </c>
      <c r="C1006" s="34" t="str">
        <f t="shared" si="28"/>
        <v>202601</v>
      </c>
      <c r="D1006" s="35" t="s">
        <v>2310</v>
      </c>
      <c r="E1006" s="36" t="s">
        <v>1149</v>
      </c>
      <c r="F1006" s="36" t="s">
        <v>3066</v>
      </c>
      <c r="G1006" s="37" t="s">
        <v>3501</v>
      </c>
      <c r="H1006" s="36" t="s">
        <v>928</v>
      </c>
      <c r="I1006" s="35" t="s">
        <v>3502</v>
      </c>
      <c r="J1006" s="36" t="s">
        <v>938</v>
      </c>
      <c r="K1006" s="33" t="s">
        <v>916</v>
      </c>
      <c r="L1006" s="35" t="s">
        <v>916</v>
      </c>
      <c r="M1006" s="36" t="s">
        <v>916</v>
      </c>
      <c r="N1006" s="45">
        <v>46062.685416666667</v>
      </c>
      <c r="O1006" s="36" t="s">
        <v>25</v>
      </c>
      <c r="P1006" s="38">
        <v>21.300787036999999</v>
      </c>
      <c r="Q1006" s="39" t="s">
        <v>3069</v>
      </c>
      <c r="R1006" s="46" t="s">
        <v>3070</v>
      </c>
      <c r="S1006" s="35" t="s">
        <v>3503</v>
      </c>
      <c r="T1006" s="35" t="s">
        <v>1624</v>
      </c>
      <c r="U1006" s="40">
        <v>46042</v>
      </c>
      <c r="V1006" s="41">
        <v>46153.532835648148</v>
      </c>
      <c r="W1006" s="40">
        <v>46041</v>
      </c>
      <c r="X1006" s="35" t="s">
        <v>916</v>
      </c>
      <c r="Y1006" s="35" t="s">
        <v>916</v>
      </c>
      <c r="Z1006" s="35" t="s">
        <v>916</v>
      </c>
      <c r="AA1006" s="38">
        <v>511.21888888799998</v>
      </c>
      <c r="AB1006" s="42" t="s">
        <v>916</v>
      </c>
      <c r="AC1006" s="43" t="s">
        <v>916</v>
      </c>
      <c r="AD1006" s="43" t="s">
        <v>916</v>
      </c>
      <c r="AE1006" s="33" t="s">
        <v>916</v>
      </c>
      <c r="AF1006" s="35" t="s">
        <v>916</v>
      </c>
      <c r="AG1006" s="44">
        <v>491337.23111111112</v>
      </c>
      <c r="AH1006" s="42" t="s">
        <v>916</v>
      </c>
      <c r="AI1006" s="32" t="e">
        <f>VLOOKUP(A1006,'4月明細'!B:B,1,0)</f>
        <v>#N/A</v>
      </c>
    </row>
    <row r="1007" spans="1:35" ht="19.95" customHeight="1" x14ac:dyDescent="0.3">
      <c r="A1007" s="33" t="s">
        <v>159</v>
      </c>
      <c r="B1007" s="34">
        <v>46040.511458333334</v>
      </c>
      <c r="C1007" s="34" t="str">
        <f t="shared" si="28"/>
        <v>202601</v>
      </c>
      <c r="D1007" s="35" t="s">
        <v>996</v>
      </c>
      <c r="E1007" s="36" t="s">
        <v>910</v>
      </c>
      <c r="F1007" s="36" t="s">
        <v>1720</v>
      </c>
      <c r="G1007" s="37" t="s">
        <v>3504</v>
      </c>
      <c r="H1007" s="36" t="s">
        <v>954</v>
      </c>
      <c r="I1007" s="35" t="s">
        <v>3505</v>
      </c>
      <c r="J1007" s="36" t="s">
        <v>929</v>
      </c>
      <c r="K1007" s="33" t="s">
        <v>916</v>
      </c>
      <c r="L1007" s="35" t="s">
        <v>916</v>
      </c>
      <c r="M1007" s="36" t="s">
        <v>916</v>
      </c>
      <c r="N1007" s="45">
        <v>46041.649305555555</v>
      </c>
      <c r="O1007" s="36" t="s">
        <v>25</v>
      </c>
      <c r="P1007" s="38">
        <v>1.1378472222</v>
      </c>
      <c r="Q1007" s="39" t="s">
        <v>3506</v>
      </c>
      <c r="R1007" s="35" t="s">
        <v>916</v>
      </c>
      <c r="S1007" s="35" t="s">
        <v>3507</v>
      </c>
      <c r="T1007" s="35" t="s">
        <v>1701</v>
      </c>
      <c r="U1007" s="40">
        <v>46041</v>
      </c>
      <c r="V1007" s="41">
        <v>46153.532835648148</v>
      </c>
      <c r="W1007" s="40">
        <v>46040</v>
      </c>
      <c r="X1007" s="35" t="s">
        <v>916</v>
      </c>
      <c r="Y1007" s="35" t="s">
        <v>916</v>
      </c>
      <c r="Z1007" s="35" t="s">
        <v>916</v>
      </c>
      <c r="AA1007" s="38">
        <v>27.3083333328</v>
      </c>
      <c r="AB1007" s="42" t="s">
        <v>916</v>
      </c>
      <c r="AC1007" s="43" t="s">
        <v>916</v>
      </c>
      <c r="AD1007" s="43" t="s">
        <v>916</v>
      </c>
      <c r="AE1007" s="33" t="s">
        <v>916</v>
      </c>
      <c r="AF1007" s="35" t="s">
        <v>916</v>
      </c>
      <c r="AG1007" s="44">
        <v>491316.27500000002</v>
      </c>
      <c r="AH1007" s="42" t="s">
        <v>916</v>
      </c>
      <c r="AI1007" s="32" t="e">
        <f>VLOOKUP(A1007,'4月明細'!B:B,1,0)</f>
        <v>#N/A</v>
      </c>
    </row>
    <row r="1008" spans="1:35" ht="19.95" customHeight="1" x14ac:dyDescent="0.3">
      <c r="A1008" s="33" t="s">
        <v>158</v>
      </c>
      <c r="B1008" s="34">
        <v>46040.492175925923</v>
      </c>
      <c r="C1008" s="34" t="str">
        <f t="shared" si="28"/>
        <v>202601</v>
      </c>
      <c r="D1008" s="35" t="s">
        <v>1952</v>
      </c>
      <c r="E1008" s="36" t="s">
        <v>910</v>
      </c>
      <c r="F1008" s="36" t="s">
        <v>2225</v>
      </c>
      <c r="G1008" s="37" t="s">
        <v>3508</v>
      </c>
      <c r="H1008" s="36" t="s">
        <v>1023</v>
      </c>
      <c r="I1008" s="35" t="s">
        <v>3509</v>
      </c>
      <c r="J1008" s="36" t="s">
        <v>929</v>
      </c>
      <c r="K1008" s="33" t="s">
        <v>916</v>
      </c>
      <c r="L1008" s="35" t="s">
        <v>916</v>
      </c>
      <c r="M1008" s="36" t="s">
        <v>1135</v>
      </c>
      <c r="N1008" s="45">
        <v>46041.65</v>
      </c>
      <c r="O1008" s="36" t="s">
        <v>25</v>
      </c>
      <c r="P1008" s="38">
        <v>1.1578240741000001</v>
      </c>
      <c r="Q1008" s="39" t="s">
        <v>3510</v>
      </c>
      <c r="R1008" s="35" t="s">
        <v>916</v>
      </c>
      <c r="S1008" s="35" t="s">
        <v>3511</v>
      </c>
      <c r="T1008" s="35" t="s">
        <v>1701</v>
      </c>
      <c r="U1008" s="40">
        <v>46041</v>
      </c>
      <c r="V1008" s="41">
        <v>46153.532835648148</v>
      </c>
      <c r="W1008" s="40">
        <v>46040</v>
      </c>
      <c r="X1008" s="35" t="s">
        <v>916</v>
      </c>
      <c r="Y1008" s="35" t="s">
        <v>916</v>
      </c>
      <c r="Z1008" s="35" t="s">
        <v>916</v>
      </c>
      <c r="AA1008" s="38">
        <v>27.787777778399999</v>
      </c>
      <c r="AB1008" s="42" t="s">
        <v>916</v>
      </c>
      <c r="AC1008" s="43" t="s">
        <v>916</v>
      </c>
      <c r="AD1008" s="43" t="s">
        <v>916</v>
      </c>
      <c r="AE1008" s="33" t="s">
        <v>916</v>
      </c>
      <c r="AF1008" s="35" t="s">
        <v>916</v>
      </c>
      <c r="AG1008" s="44">
        <v>491315.81222222222</v>
      </c>
      <c r="AH1008" s="42" t="s">
        <v>916</v>
      </c>
      <c r="AI1008" s="32" t="e">
        <f>VLOOKUP(A1008,'4月明細'!B:B,1,0)</f>
        <v>#N/A</v>
      </c>
    </row>
    <row r="1009" spans="1:35" ht="19.95" customHeight="1" x14ac:dyDescent="0.3">
      <c r="A1009" s="33" t="s">
        <v>157</v>
      </c>
      <c r="B1009" s="34">
        <v>46040.276909722219</v>
      </c>
      <c r="C1009" s="34" t="str">
        <f t="shared" si="28"/>
        <v>202601</v>
      </c>
      <c r="D1009" s="35" t="s">
        <v>1217</v>
      </c>
      <c r="E1009" s="36" t="s">
        <v>1112</v>
      </c>
      <c r="F1009" s="36" t="s">
        <v>1138</v>
      </c>
      <c r="G1009" s="37" t="s">
        <v>3512</v>
      </c>
      <c r="H1009" s="36" t="s">
        <v>989</v>
      </c>
      <c r="I1009" s="35"/>
      <c r="J1009" s="36" t="s">
        <v>945</v>
      </c>
      <c r="K1009" s="33" t="s">
        <v>916</v>
      </c>
      <c r="L1009" s="35" t="s">
        <v>916</v>
      </c>
      <c r="M1009" s="36" t="s">
        <v>916</v>
      </c>
      <c r="N1009" s="45">
        <v>46042.42291666667</v>
      </c>
      <c r="O1009" s="36" t="s">
        <v>25</v>
      </c>
      <c r="P1009" s="38">
        <v>2.1460069443999998</v>
      </c>
      <c r="Q1009" s="39" t="s">
        <v>3513</v>
      </c>
      <c r="R1009" s="35" t="s">
        <v>916</v>
      </c>
      <c r="S1009" s="35"/>
      <c r="T1009" s="35" t="s">
        <v>1701</v>
      </c>
      <c r="U1009" s="40">
        <v>46041</v>
      </c>
      <c r="V1009" s="41">
        <v>46153.532835648148</v>
      </c>
      <c r="W1009" s="40">
        <v>46040</v>
      </c>
      <c r="X1009" s="35" t="s">
        <v>916</v>
      </c>
      <c r="Y1009" s="35" t="s">
        <v>916</v>
      </c>
      <c r="Z1009" s="35" t="s">
        <v>916</v>
      </c>
      <c r="AA1009" s="38">
        <v>51.504166665600003</v>
      </c>
      <c r="AB1009" s="42" t="s">
        <v>916</v>
      </c>
      <c r="AC1009" s="43" t="s">
        <v>916</v>
      </c>
      <c r="AD1009" s="43" t="s">
        <v>916</v>
      </c>
      <c r="AE1009" s="33" t="s">
        <v>916</v>
      </c>
      <c r="AF1009" s="35" t="s">
        <v>916</v>
      </c>
      <c r="AG1009" s="44">
        <v>491310.64583333337</v>
      </c>
      <c r="AH1009" s="42" t="s">
        <v>916</v>
      </c>
      <c r="AI1009" s="32" t="e">
        <f>VLOOKUP(A1009,'4月明細'!B:B,1,0)</f>
        <v>#N/A</v>
      </c>
    </row>
    <row r="1010" spans="1:35" ht="19.95" customHeight="1" x14ac:dyDescent="0.3">
      <c r="A1010" s="33" t="s">
        <v>156</v>
      </c>
      <c r="B1010" s="34">
        <v>46039.776516203703</v>
      </c>
      <c r="C1010" s="34" t="str">
        <f t="shared" si="28"/>
        <v>202601</v>
      </c>
      <c r="D1010" s="35" t="s">
        <v>1747</v>
      </c>
      <c r="E1010" s="36" t="s">
        <v>942</v>
      </c>
      <c r="F1010" s="36" t="s">
        <v>1568</v>
      </c>
      <c r="G1010" s="37" t="s">
        <v>3514</v>
      </c>
      <c r="H1010" s="36" t="s">
        <v>928</v>
      </c>
      <c r="I1010" s="35"/>
      <c r="J1010" s="36" t="s">
        <v>945</v>
      </c>
      <c r="K1010" s="33" t="s">
        <v>916</v>
      </c>
      <c r="L1010" s="35" t="s">
        <v>916</v>
      </c>
      <c r="M1010" s="36" t="s">
        <v>916</v>
      </c>
      <c r="N1010" s="45">
        <v>46041.647222222222</v>
      </c>
      <c r="O1010" s="36" t="s">
        <v>25</v>
      </c>
      <c r="P1010" s="38">
        <v>1.8707060185</v>
      </c>
      <c r="Q1010" s="39" t="s">
        <v>3515</v>
      </c>
      <c r="R1010" s="35" t="s">
        <v>916</v>
      </c>
      <c r="S1010" s="35"/>
      <c r="T1010" s="35" t="s">
        <v>1701</v>
      </c>
      <c r="U1010" s="40">
        <v>46040</v>
      </c>
      <c r="V1010" s="41">
        <v>46153.532835648148</v>
      </c>
      <c r="W1010" s="40">
        <v>46039</v>
      </c>
      <c r="X1010" s="35" t="s">
        <v>916</v>
      </c>
      <c r="Y1010" s="35" t="s">
        <v>916</v>
      </c>
      <c r="Z1010" s="35" t="s">
        <v>916</v>
      </c>
      <c r="AA1010" s="38">
        <v>44.896944443999999</v>
      </c>
      <c r="AB1010" s="42" t="s">
        <v>916</v>
      </c>
      <c r="AC1010" s="43" t="s">
        <v>916</v>
      </c>
      <c r="AD1010" s="43" t="s">
        <v>916</v>
      </c>
      <c r="AE1010" s="33" t="s">
        <v>916</v>
      </c>
      <c r="AF1010" s="35" t="s">
        <v>916</v>
      </c>
      <c r="AG1010" s="44">
        <v>491298.63638888887</v>
      </c>
      <c r="AH1010" s="42" t="s">
        <v>916</v>
      </c>
      <c r="AI1010" s="32" t="e">
        <f>VLOOKUP(A1010,'4月明細'!B:B,1,0)</f>
        <v>#N/A</v>
      </c>
    </row>
    <row r="1011" spans="1:35" ht="19.95" customHeight="1" x14ac:dyDescent="0.3">
      <c r="A1011" s="33" t="s">
        <v>155</v>
      </c>
      <c r="B1011" s="34">
        <v>46039.647766203707</v>
      </c>
      <c r="C1011" s="34" t="str">
        <f t="shared" si="28"/>
        <v>202601</v>
      </c>
      <c r="D1011" s="35" t="s">
        <v>960</v>
      </c>
      <c r="E1011" s="36" t="s">
        <v>942</v>
      </c>
      <c r="F1011" s="36" t="s">
        <v>1316</v>
      </c>
      <c r="G1011" s="37" t="s">
        <v>3516</v>
      </c>
      <c r="H1011" s="36" t="s">
        <v>913</v>
      </c>
      <c r="I1011" s="35"/>
      <c r="J1011" s="36" t="s">
        <v>945</v>
      </c>
      <c r="K1011" s="33" t="s">
        <v>916</v>
      </c>
      <c r="L1011" s="35" t="s">
        <v>916</v>
      </c>
      <c r="M1011" s="36" t="s">
        <v>916</v>
      </c>
      <c r="N1011" s="45">
        <v>46041.645833333336</v>
      </c>
      <c r="O1011" s="36" t="s">
        <v>25</v>
      </c>
      <c r="P1011" s="38">
        <v>1.9980671296000001</v>
      </c>
      <c r="Q1011" s="39" t="s">
        <v>3517</v>
      </c>
      <c r="R1011" s="35" t="s">
        <v>916</v>
      </c>
      <c r="S1011" s="35" t="s">
        <v>3518</v>
      </c>
      <c r="T1011" s="35" t="s">
        <v>1701</v>
      </c>
      <c r="U1011" s="40">
        <v>46040</v>
      </c>
      <c r="V1011" s="41">
        <v>46153.532835648148</v>
      </c>
      <c r="W1011" s="40">
        <v>46039</v>
      </c>
      <c r="X1011" s="35" t="s">
        <v>916</v>
      </c>
      <c r="Y1011" s="35" t="s">
        <v>916</v>
      </c>
      <c r="Z1011" s="35" t="s">
        <v>916</v>
      </c>
      <c r="AA1011" s="38">
        <v>47.953611110399997</v>
      </c>
      <c r="AB1011" s="42" t="s">
        <v>916</v>
      </c>
      <c r="AC1011" s="43" t="s">
        <v>916</v>
      </c>
      <c r="AD1011" s="43" t="s">
        <v>916</v>
      </c>
      <c r="AE1011" s="33" t="s">
        <v>916</v>
      </c>
      <c r="AF1011" s="35" t="s">
        <v>916</v>
      </c>
      <c r="AG1011" s="44">
        <v>491295.54666666657</v>
      </c>
      <c r="AH1011" s="42" t="s">
        <v>916</v>
      </c>
      <c r="AI1011" s="32" t="e">
        <f>VLOOKUP(A1011,'4月明細'!B:B,1,0)</f>
        <v>#N/A</v>
      </c>
    </row>
    <row r="1012" spans="1:35" ht="19.95" customHeight="1" x14ac:dyDescent="0.3">
      <c r="A1012" s="33" t="s">
        <v>154</v>
      </c>
      <c r="B1012" s="34">
        <v>46039.645312499997</v>
      </c>
      <c r="C1012" s="34" t="str">
        <f t="shared" si="28"/>
        <v>202601</v>
      </c>
      <c r="D1012" s="35" t="s">
        <v>960</v>
      </c>
      <c r="E1012" s="36" t="s">
        <v>942</v>
      </c>
      <c r="F1012" s="36" t="s">
        <v>1316</v>
      </c>
      <c r="G1012" s="37" t="s">
        <v>3519</v>
      </c>
      <c r="H1012" s="36" t="s">
        <v>954</v>
      </c>
      <c r="I1012" s="35"/>
      <c r="J1012" s="36" t="s">
        <v>945</v>
      </c>
      <c r="K1012" s="33" t="s">
        <v>916</v>
      </c>
      <c r="L1012" s="35" t="s">
        <v>916</v>
      </c>
      <c r="M1012" s="36" t="s">
        <v>916</v>
      </c>
      <c r="N1012" s="45">
        <v>46041.645138888889</v>
      </c>
      <c r="O1012" s="36" t="s">
        <v>25</v>
      </c>
      <c r="P1012" s="38">
        <v>1.9998263889000001</v>
      </c>
      <c r="Q1012" s="39" t="s">
        <v>3520</v>
      </c>
      <c r="R1012" s="35" t="s">
        <v>916</v>
      </c>
      <c r="S1012" s="35" t="s">
        <v>3521</v>
      </c>
      <c r="T1012" s="35" t="s">
        <v>1701</v>
      </c>
      <c r="U1012" s="40">
        <v>46040</v>
      </c>
      <c r="V1012" s="41">
        <v>46153.532835648148</v>
      </c>
      <c r="W1012" s="40">
        <v>46039</v>
      </c>
      <c r="X1012" s="35" t="s">
        <v>916</v>
      </c>
      <c r="Y1012" s="35" t="s">
        <v>916</v>
      </c>
      <c r="Z1012" s="35" t="s">
        <v>916</v>
      </c>
      <c r="AA1012" s="38">
        <v>47.995833333599997</v>
      </c>
      <c r="AB1012" s="42" t="s">
        <v>916</v>
      </c>
      <c r="AC1012" s="43" t="s">
        <v>916</v>
      </c>
      <c r="AD1012" s="43" t="s">
        <v>916</v>
      </c>
      <c r="AE1012" s="33" t="s">
        <v>916</v>
      </c>
      <c r="AF1012" s="35" t="s">
        <v>916</v>
      </c>
      <c r="AG1012" s="44">
        <v>491295.48749999999</v>
      </c>
      <c r="AH1012" s="42" t="s">
        <v>916</v>
      </c>
      <c r="AI1012" s="32" t="e">
        <f>VLOOKUP(A1012,'4月明細'!B:B,1,0)</f>
        <v>#N/A</v>
      </c>
    </row>
    <row r="1013" spans="1:35" ht="19.95" customHeight="1" x14ac:dyDescent="0.3">
      <c r="A1013" s="33" t="s">
        <v>153</v>
      </c>
      <c r="B1013" s="34">
        <v>46039.617650462962</v>
      </c>
      <c r="C1013" s="34" t="str">
        <f t="shared" si="28"/>
        <v>202601</v>
      </c>
      <c r="D1013" s="35" t="s">
        <v>996</v>
      </c>
      <c r="E1013" s="36" t="s">
        <v>910</v>
      </c>
      <c r="F1013" s="36" t="s">
        <v>2043</v>
      </c>
      <c r="G1013" s="37" t="s">
        <v>3522</v>
      </c>
      <c r="H1013" s="36" t="s">
        <v>1078</v>
      </c>
      <c r="I1013" s="35" t="s">
        <v>3523</v>
      </c>
      <c r="J1013" s="36" t="s">
        <v>929</v>
      </c>
      <c r="K1013" s="33" t="s">
        <v>916</v>
      </c>
      <c r="L1013" s="35" t="s">
        <v>916</v>
      </c>
      <c r="M1013" s="36" t="s">
        <v>916</v>
      </c>
      <c r="N1013" s="45">
        <v>46041.644444444442</v>
      </c>
      <c r="O1013" s="36" t="s">
        <v>25</v>
      </c>
      <c r="P1013" s="38">
        <v>2.0267939815</v>
      </c>
      <c r="Q1013" s="39" t="s">
        <v>3524</v>
      </c>
      <c r="R1013" s="35" t="s">
        <v>916</v>
      </c>
      <c r="S1013" s="35" t="s">
        <v>3525</v>
      </c>
      <c r="T1013" s="35" t="s">
        <v>1701</v>
      </c>
      <c r="U1013" s="40">
        <v>46040</v>
      </c>
      <c r="V1013" s="41">
        <v>46153.532835648148</v>
      </c>
      <c r="W1013" s="40">
        <v>46039</v>
      </c>
      <c r="X1013" s="35" t="s">
        <v>916</v>
      </c>
      <c r="Y1013" s="35" t="s">
        <v>916</v>
      </c>
      <c r="Z1013" s="35" t="s">
        <v>916</v>
      </c>
      <c r="AA1013" s="38">
        <v>48.643055556</v>
      </c>
      <c r="AB1013" s="42" t="s">
        <v>916</v>
      </c>
      <c r="AC1013" s="43" t="s">
        <v>916</v>
      </c>
      <c r="AD1013" s="43" t="s">
        <v>916</v>
      </c>
      <c r="AE1013" s="33" t="s">
        <v>916</v>
      </c>
      <c r="AF1013" s="35" t="s">
        <v>916</v>
      </c>
      <c r="AG1013" s="44">
        <v>491294.82361111109</v>
      </c>
      <c r="AH1013" s="42" t="s">
        <v>916</v>
      </c>
      <c r="AI1013" s="32" t="e">
        <f>VLOOKUP(A1013,'4月明細'!B:B,1,0)</f>
        <v>#N/A</v>
      </c>
    </row>
    <row r="1014" spans="1:35" ht="19.95" customHeight="1" x14ac:dyDescent="0.3">
      <c r="A1014" s="33" t="s">
        <v>152</v>
      </c>
      <c r="B1014" s="34">
        <v>46039.596064814818</v>
      </c>
      <c r="C1014" s="34" t="str">
        <f t="shared" si="28"/>
        <v>202601</v>
      </c>
      <c r="D1014" s="35" t="s">
        <v>986</v>
      </c>
      <c r="E1014" s="36" t="s">
        <v>910</v>
      </c>
      <c r="F1014" s="36" t="s">
        <v>1253</v>
      </c>
      <c r="G1014" s="37" t="s">
        <v>3526</v>
      </c>
      <c r="H1014" s="36" t="s">
        <v>928</v>
      </c>
      <c r="I1014" s="35"/>
      <c r="J1014" s="36" t="s">
        <v>929</v>
      </c>
      <c r="K1014" s="33" t="s">
        <v>916</v>
      </c>
      <c r="L1014" s="35" t="s">
        <v>916</v>
      </c>
      <c r="M1014" s="36" t="s">
        <v>916</v>
      </c>
      <c r="N1014" s="45">
        <v>46044.425000000003</v>
      </c>
      <c r="O1014" s="36" t="s">
        <v>25</v>
      </c>
      <c r="P1014" s="38">
        <v>4.8289351851999998</v>
      </c>
      <c r="Q1014" s="39" t="s">
        <v>3527</v>
      </c>
      <c r="R1014" s="35" t="s">
        <v>916</v>
      </c>
      <c r="S1014" s="35" t="s">
        <v>3528</v>
      </c>
      <c r="T1014" s="35" t="s">
        <v>1624</v>
      </c>
      <c r="U1014" s="40">
        <v>46040</v>
      </c>
      <c r="V1014" s="41">
        <v>46153.532835648148</v>
      </c>
      <c r="W1014" s="40">
        <v>46039</v>
      </c>
      <c r="X1014" s="35" t="s">
        <v>916</v>
      </c>
      <c r="Y1014" s="35" t="s">
        <v>916</v>
      </c>
      <c r="Z1014" s="35" t="s">
        <v>916</v>
      </c>
      <c r="AA1014" s="38">
        <v>115.8944444448</v>
      </c>
      <c r="AB1014" s="42" t="s">
        <v>916</v>
      </c>
      <c r="AC1014" s="43" t="s">
        <v>916</v>
      </c>
      <c r="AD1014" s="43" t="s">
        <v>916</v>
      </c>
      <c r="AE1014" s="33" t="s">
        <v>916</v>
      </c>
      <c r="AF1014" s="35" t="s">
        <v>916</v>
      </c>
      <c r="AG1014" s="44">
        <v>491294.3055555555</v>
      </c>
      <c r="AH1014" s="42" t="s">
        <v>916</v>
      </c>
      <c r="AI1014" s="32" t="e">
        <f>VLOOKUP(A1014,'4月明細'!B:B,1,0)</f>
        <v>#N/A</v>
      </c>
    </row>
    <row r="1015" spans="1:35" ht="19.95" customHeight="1" x14ac:dyDescent="0.3">
      <c r="A1015" s="33" t="s">
        <v>151</v>
      </c>
      <c r="B1015" s="34">
        <v>46039.588078703702</v>
      </c>
      <c r="C1015" s="34" t="str">
        <f t="shared" si="28"/>
        <v>202601</v>
      </c>
      <c r="D1015" s="35" t="s">
        <v>996</v>
      </c>
      <c r="E1015" s="36" t="s">
        <v>910</v>
      </c>
      <c r="F1015" s="36" t="s">
        <v>1335</v>
      </c>
      <c r="G1015" s="37" t="s">
        <v>1041</v>
      </c>
      <c r="H1015" s="36" t="s">
        <v>954</v>
      </c>
      <c r="I1015" s="35"/>
      <c r="J1015" s="36" t="s">
        <v>914</v>
      </c>
      <c r="K1015" s="33" t="s">
        <v>916</v>
      </c>
      <c r="L1015" s="35" t="s">
        <v>916</v>
      </c>
      <c r="M1015" s="36" t="s">
        <v>916</v>
      </c>
      <c r="N1015" s="45">
        <v>46041.637499999997</v>
      </c>
      <c r="O1015" s="36" t="s">
        <v>25</v>
      </c>
      <c r="P1015" s="38">
        <v>2.0494212962999998</v>
      </c>
      <c r="Q1015" s="39" t="s">
        <v>3529</v>
      </c>
      <c r="R1015" s="35" t="s">
        <v>916</v>
      </c>
      <c r="S1015" s="35"/>
      <c r="T1015" s="35" t="s">
        <v>1701</v>
      </c>
      <c r="U1015" s="40">
        <v>46040</v>
      </c>
      <c r="V1015" s="41">
        <v>46153.532835648148</v>
      </c>
      <c r="W1015" s="40">
        <v>46039</v>
      </c>
      <c r="X1015" s="35" t="s">
        <v>916</v>
      </c>
      <c r="Y1015" s="35" t="s">
        <v>916</v>
      </c>
      <c r="Z1015" s="35" t="s">
        <v>916</v>
      </c>
      <c r="AA1015" s="38">
        <v>49.186111111199999</v>
      </c>
      <c r="AB1015" s="42" t="s">
        <v>916</v>
      </c>
      <c r="AC1015" s="43" t="s">
        <v>916</v>
      </c>
      <c r="AD1015" s="43" t="s">
        <v>916</v>
      </c>
      <c r="AE1015" s="33" t="s">
        <v>916</v>
      </c>
      <c r="AF1015" s="35" t="s">
        <v>916</v>
      </c>
      <c r="AG1015" s="44">
        <v>491294.11388888891</v>
      </c>
      <c r="AH1015" s="42" t="s">
        <v>916</v>
      </c>
      <c r="AI1015" s="32" t="e">
        <f>VLOOKUP(A1015,'4月明細'!B:B,1,0)</f>
        <v>#N/A</v>
      </c>
    </row>
    <row r="1016" spans="1:35" ht="19.95" customHeight="1" x14ac:dyDescent="0.3">
      <c r="A1016" s="33" t="s">
        <v>150</v>
      </c>
      <c r="B1016" s="34">
        <v>46039.566608796296</v>
      </c>
      <c r="C1016" s="34" t="str">
        <f t="shared" si="28"/>
        <v>202601</v>
      </c>
      <c r="D1016" s="35" t="s">
        <v>909</v>
      </c>
      <c r="E1016" s="36" t="s">
        <v>910</v>
      </c>
      <c r="F1016" s="36" t="s">
        <v>1870</v>
      </c>
      <c r="G1016" s="37" t="s">
        <v>3530</v>
      </c>
      <c r="H1016" s="36" t="s">
        <v>928</v>
      </c>
      <c r="I1016" s="35"/>
      <c r="J1016" s="36" t="s">
        <v>929</v>
      </c>
      <c r="K1016" s="33" t="s">
        <v>916</v>
      </c>
      <c r="L1016" s="35" t="s">
        <v>916</v>
      </c>
      <c r="M1016" s="36" t="s">
        <v>916</v>
      </c>
      <c r="N1016" s="45">
        <v>46041.636805555558</v>
      </c>
      <c r="O1016" s="36" t="s">
        <v>25</v>
      </c>
      <c r="P1016" s="38">
        <v>2.0701967592999999</v>
      </c>
      <c r="Q1016" s="39" t="s">
        <v>3531</v>
      </c>
      <c r="R1016" s="35" t="s">
        <v>916</v>
      </c>
      <c r="S1016" s="35"/>
      <c r="T1016" s="35" t="s">
        <v>1701</v>
      </c>
      <c r="U1016" s="40">
        <v>46040</v>
      </c>
      <c r="V1016" s="41">
        <v>46153.532835648148</v>
      </c>
      <c r="W1016" s="40">
        <v>46039</v>
      </c>
      <c r="X1016" s="35" t="s">
        <v>916</v>
      </c>
      <c r="Y1016" s="35" t="s">
        <v>916</v>
      </c>
      <c r="Z1016" s="35" t="s">
        <v>916</v>
      </c>
      <c r="AA1016" s="38">
        <v>49.684722223199998</v>
      </c>
      <c r="AB1016" s="42" t="s">
        <v>916</v>
      </c>
      <c r="AC1016" s="43" t="s">
        <v>916</v>
      </c>
      <c r="AD1016" s="43" t="s">
        <v>916</v>
      </c>
      <c r="AE1016" s="33" t="s">
        <v>916</v>
      </c>
      <c r="AF1016" s="35" t="s">
        <v>916</v>
      </c>
      <c r="AG1016" s="44">
        <v>491293.59861111111</v>
      </c>
      <c r="AH1016" s="42" t="s">
        <v>916</v>
      </c>
      <c r="AI1016" s="32" t="e">
        <f>VLOOKUP(A1016,'4月明細'!B:B,1,0)</f>
        <v>#N/A</v>
      </c>
    </row>
    <row r="1017" spans="1:35" ht="19.95" customHeight="1" x14ac:dyDescent="0.3">
      <c r="A1017" s="33" t="s">
        <v>149</v>
      </c>
      <c r="B1017" s="34">
        <v>46039.519513888888</v>
      </c>
      <c r="C1017" s="34" t="str">
        <f t="shared" si="28"/>
        <v>202601</v>
      </c>
      <c r="D1017" s="35" t="s">
        <v>909</v>
      </c>
      <c r="E1017" s="36" t="s">
        <v>910</v>
      </c>
      <c r="F1017" s="36" t="s">
        <v>1130</v>
      </c>
      <c r="G1017" s="37" t="s">
        <v>3532</v>
      </c>
      <c r="H1017" s="36" t="s">
        <v>928</v>
      </c>
      <c r="I1017" s="35"/>
      <c r="J1017" s="36" t="s">
        <v>914</v>
      </c>
      <c r="K1017" s="33" t="s">
        <v>916</v>
      </c>
      <c r="L1017" s="35" t="s">
        <v>916</v>
      </c>
      <c r="M1017" s="36" t="s">
        <v>916</v>
      </c>
      <c r="N1017" s="45">
        <v>46041.636805555558</v>
      </c>
      <c r="O1017" s="36" t="s">
        <v>25</v>
      </c>
      <c r="P1017" s="38">
        <v>2.1172916666999999</v>
      </c>
      <c r="Q1017" s="39" t="s">
        <v>3533</v>
      </c>
      <c r="R1017" s="35" t="s">
        <v>916</v>
      </c>
      <c r="S1017" s="35"/>
      <c r="T1017" s="35" t="s">
        <v>1701</v>
      </c>
      <c r="U1017" s="40">
        <v>46040</v>
      </c>
      <c r="V1017" s="41">
        <v>46153.532835648148</v>
      </c>
      <c r="W1017" s="40">
        <v>46039</v>
      </c>
      <c r="X1017" s="35" t="s">
        <v>916</v>
      </c>
      <c r="Y1017" s="35" t="s">
        <v>916</v>
      </c>
      <c r="Z1017" s="35" t="s">
        <v>916</v>
      </c>
      <c r="AA1017" s="38">
        <v>50.815000000799998</v>
      </c>
      <c r="AB1017" s="42" t="s">
        <v>916</v>
      </c>
      <c r="AC1017" s="43" t="s">
        <v>916</v>
      </c>
      <c r="AD1017" s="43" t="s">
        <v>916</v>
      </c>
      <c r="AE1017" s="33" t="s">
        <v>916</v>
      </c>
      <c r="AF1017" s="35" t="s">
        <v>916</v>
      </c>
      <c r="AG1017" s="44">
        <v>491292.46833333332</v>
      </c>
      <c r="AH1017" s="42" t="s">
        <v>916</v>
      </c>
      <c r="AI1017" s="32" t="e">
        <f>VLOOKUP(A1017,'4月明細'!B:B,1,0)</f>
        <v>#N/A</v>
      </c>
    </row>
    <row r="1018" spans="1:35" ht="19.95" customHeight="1" x14ac:dyDescent="0.3">
      <c r="A1018" s="33" t="s">
        <v>148</v>
      </c>
      <c r="B1018" s="34">
        <v>46039.438090277778</v>
      </c>
      <c r="C1018" s="34" t="str">
        <f t="shared" si="28"/>
        <v>202601</v>
      </c>
      <c r="D1018" s="35" t="s">
        <v>986</v>
      </c>
      <c r="E1018" s="36" t="s">
        <v>910</v>
      </c>
      <c r="F1018" s="36" t="s">
        <v>2090</v>
      </c>
      <c r="G1018" s="37" t="s">
        <v>3534</v>
      </c>
      <c r="H1018" s="36" t="s">
        <v>928</v>
      </c>
      <c r="I1018" s="35"/>
      <c r="J1018" s="36" t="s">
        <v>938</v>
      </c>
      <c r="K1018" s="33" t="s">
        <v>916</v>
      </c>
      <c r="L1018" s="35" t="s">
        <v>916</v>
      </c>
      <c r="M1018" s="36" t="s">
        <v>1039</v>
      </c>
      <c r="N1018" s="45">
        <v>46044.581250000003</v>
      </c>
      <c r="O1018" s="36" t="s">
        <v>25</v>
      </c>
      <c r="P1018" s="38">
        <v>5.1431597222000001</v>
      </c>
      <c r="Q1018" s="39" t="s">
        <v>3535</v>
      </c>
      <c r="R1018" s="35" t="s">
        <v>916</v>
      </c>
      <c r="S1018" s="35"/>
      <c r="T1018" s="35" t="s">
        <v>1624</v>
      </c>
      <c r="U1018" s="40">
        <v>46040</v>
      </c>
      <c r="V1018" s="41">
        <v>46153.532835648148</v>
      </c>
      <c r="W1018" s="40">
        <v>46039</v>
      </c>
      <c r="X1018" s="35" t="s">
        <v>916</v>
      </c>
      <c r="Y1018" s="35" t="s">
        <v>916</v>
      </c>
      <c r="Z1018" s="35" t="s">
        <v>916</v>
      </c>
      <c r="AA1018" s="38">
        <v>123.4358333328</v>
      </c>
      <c r="AB1018" s="42" t="s">
        <v>916</v>
      </c>
      <c r="AC1018" s="43" t="s">
        <v>916</v>
      </c>
      <c r="AD1018" s="43" t="s">
        <v>916</v>
      </c>
      <c r="AE1018" s="33" t="s">
        <v>916</v>
      </c>
      <c r="AF1018" s="35" t="s">
        <v>916</v>
      </c>
      <c r="AG1018" s="44">
        <v>491290.51416666672</v>
      </c>
      <c r="AH1018" s="42" t="s">
        <v>916</v>
      </c>
      <c r="AI1018" s="32" t="e">
        <f>VLOOKUP(A1018,'4月明細'!B:B,1,0)</f>
        <v>#N/A</v>
      </c>
    </row>
    <row r="1019" spans="1:35" ht="19.95" customHeight="1" x14ac:dyDescent="0.3">
      <c r="A1019" s="33" t="s">
        <v>147</v>
      </c>
      <c r="B1019" s="34">
        <v>46038.631585648145</v>
      </c>
      <c r="C1019" s="34" t="str">
        <f t="shared" si="28"/>
        <v>202601</v>
      </c>
      <c r="D1019" s="35" t="s">
        <v>996</v>
      </c>
      <c r="E1019" s="36" t="s">
        <v>910</v>
      </c>
      <c r="F1019" s="36" t="s">
        <v>1885</v>
      </c>
      <c r="G1019" s="37" t="s">
        <v>3536</v>
      </c>
      <c r="H1019" s="36" t="s">
        <v>954</v>
      </c>
      <c r="I1019" s="35"/>
      <c r="J1019" s="36" t="s">
        <v>914</v>
      </c>
      <c r="K1019" s="33" t="s">
        <v>916</v>
      </c>
      <c r="L1019" s="35" t="s">
        <v>916</v>
      </c>
      <c r="M1019" s="36" t="s">
        <v>916</v>
      </c>
      <c r="N1019" s="45">
        <v>46038.913888888892</v>
      </c>
      <c r="O1019" s="36" t="s">
        <v>25</v>
      </c>
      <c r="P1019" s="38">
        <v>0.28230324070000001</v>
      </c>
      <c r="Q1019" s="39" t="s">
        <v>3537</v>
      </c>
      <c r="R1019" s="35" t="s">
        <v>916</v>
      </c>
      <c r="S1019" s="35"/>
      <c r="T1019" s="35" t="s">
        <v>1701</v>
      </c>
      <c r="U1019" s="40">
        <v>46039</v>
      </c>
      <c r="V1019" s="41">
        <v>46153.532835648148</v>
      </c>
      <c r="W1019" s="40">
        <v>46038</v>
      </c>
      <c r="X1019" s="35" t="s">
        <v>916</v>
      </c>
      <c r="Y1019" s="35" t="s">
        <v>916</v>
      </c>
      <c r="Z1019" s="35" t="s">
        <v>916</v>
      </c>
      <c r="AA1019" s="38">
        <v>6.7752777768000003</v>
      </c>
      <c r="AB1019" s="42" t="s">
        <v>916</v>
      </c>
      <c r="AC1019" s="43" t="s">
        <v>916</v>
      </c>
      <c r="AD1019" s="43" t="s">
        <v>916</v>
      </c>
      <c r="AE1019" s="33" t="s">
        <v>916</v>
      </c>
      <c r="AF1019" s="35" t="s">
        <v>916</v>
      </c>
      <c r="AG1019" s="44">
        <v>491271.15805555548</v>
      </c>
      <c r="AH1019" s="42" t="s">
        <v>916</v>
      </c>
      <c r="AI1019" s="32" t="e">
        <f>VLOOKUP(A1019,'4月明細'!B:B,1,0)</f>
        <v>#N/A</v>
      </c>
    </row>
    <row r="1020" spans="1:35" ht="19.95" customHeight="1" x14ac:dyDescent="0.3">
      <c r="A1020" s="33" t="s">
        <v>146</v>
      </c>
      <c r="B1020" s="34">
        <v>46038.568564814814</v>
      </c>
      <c r="C1020" s="34" t="str">
        <f t="shared" si="28"/>
        <v>202601</v>
      </c>
      <c r="D1020" s="35" t="s">
        <v>996</v>
      </c>
      <c r="E1020" s="36" t="s">
        <v>910</v>
      </c>
      <c r="F1020" s="36" t="s">
        <v>952</v>
      </c>
      <c r="G1020" s="37" t="s">
        <v>3538</v>
      </c>
      <c r="H1020" s="36" t="s">
        <v>1078</v>
      </c>
      <c r="I1020" s="35"/>
      <c r="J1020" s="36" t="s">
        <v>929</v>
      </c>
      <c r="K1020" s="33" t="s">
        <v>916</v>
      </c>
      <c r="L1020" s="35" t="s">
        <v>916</v>
      </c>
      <c r="M1020" s="36" t="s">
        <v>916</v>
      </c>
      <c r="N1020" s="45">
        <v>46038.914583333331</v>
      </c>
      <c r="O1020" s="36" t="s">
        <v>25</v>
      </c>
      <c r="P1020" s="38">
        <v>0.34601851849999998</v>
      </c>
      <c r="Q1020" s="39" t="s">
        <v>3539</v>
      </c>
      <c r="R1020" s="35" t="s">
        <v>916</v>
      </c>
      <c r="S1020" s="35"/>
      <c r="T1020" s="35" t="s">
        <v>1701</v>
      </c>
      <c r="U1020" s="40">
        <v>46039</v>
      </c>
      <c r="V1020" s="41">
        <v>46153.532835648148</v>
      </c>
      <c r="W1020" s="40">
        <v>46038</v>
      </c>
      <c r="X1020" s="35" t="s">
        <v>916</v>
      </c>
      <c r="Y1020" s="35" t="s">
        <v>916</v>
      </c>
      <c r="Z1020" s="35" t="s">
        <v>916</v>
      </c>
      <c r="AA1020" s="38">
        <v>8.3044444439999996</v>
      </c>
      <c r="AB1020" s="42" t="s">
        <v>916</v>
      </c>
      <c r="AC1020" s="43" t="s">
        <v>916</v>
      </c>
      <c r="AD1020" s="43" t="s">
        <v>916</v>
      </c>
      <c r="AE1020" s="33" t="s">
        <v>916</v>
      </c>
      <c r="AF1020" s="35" t="s">
        <v>916</v>
      </c>
      <c r="AG1020" s="44">
        <v>491269.64555555547</v>
      </c>
      <c r="AH1020" s="42" t="s">
        <v>916</v>
      </c>
      <c r="AI1020" s="32" t="e">
        <f>VLOOKUP(A1020,'4月明細'!B:B,1,0)</f>
        <v>#N/A</v>
      </c>
    </row>
    <row r="1021" spans="1:35" ht="19.95" customHeight="1" x14ac:dyDescent="0.3">
      <c r="A1021" s="33" t="s">
        <v>3540</v>
      </c>
      <c r="B1021" s="34">
        <v>46038.492835648147</v>
      </c>
      <c r="C1021" s="34" t="str">
        <f t="shared" si="28"/>
        <v>202601</v>
      </c>
      <c r="D1021" s="35" t="s">
        <v>996</v>
      </c>
      <c r="E1021" s="36" t="s">
        <v>910</v>
      </c>
      <c r="F1021" s="36" t="s">
        <v>1581</v>
      </c>
      <c r="G1021" s="37" t="s">
        <v>3541</v>
      </c>
      <c r="H1021" s="36" t="s">
        <v>954</v>
      </c>
      <c r="I1021" s="35"/>
      <c r="J1021" s="36" t="s">
        <v>929</v>
      </c>
      <c r="K1021" s="33" t="s">
        <v>916</v>
      </c>
      <c r="L1021" s="35" t="s">
        <v>916</v>
      </c>
      <c r="M1021" s="36" t="s">
        <v>1039</v>
      </c>
      <c r="N1021" s="45">
        <v>46090.436805555553</v>
      </c>
      <c r="O1021" s="36" t="s">
        <v>1384</v>
      </c>
      <c r="P1021" s="38">
        <v>51.943969907400003</v>
      </c>
      <c r="Q1021" s="39" t="s">
        <v>3542</v>
      </c>
      <c r="R1021" s="35" t="s">
        <v>916</v>
      </c>
      <c r="S1021" s="35"/>
      <c r="T1021" s="35" t="s">
        <v>1624</v>
      </c>
      <c r="U1021" s="40">
        <v>46039</v>
      </c>
      <c r="V1021" s="41">
        <v>46153.532835648148</v>
      </c>
      <c r="W1021" s="40">
        <v>46038</v>
      </c>
      <c r="X1021" s="35" t="s">
        <v>916</v>
      </c>
      <c r="Y1021" s="35" t="s">
        <v>916</v>
      </c>
      <c r="Z1021" s="35" t="s">
        <v>916</v>
      </c>
      <c r="AA1021" s="38">
        <v>1246.6552777776001</v>
      </c>
      <c r="AB1021" s="42" t="s">
        <v>916</v>
      </c>
      <c r="AC1021" s="43" t="s">
        <v>916</v>
      </c>
      <c r="AD1021" s="43" t="s">
        <v>916</v>
      </c>
      <c r="AE1021" s="33" t="s">
        <v>916</v>
      </c>
      <c r="AF1021" s="35" t="s">
        <v>916</v>
      </c>
      <c r="AG1021" s="44">
        <v>491267.82805555558</v>
      </c>
      <c r="AH1021" s="42" t="s">
        <v>916</v>
      </c>
      <c r="AI1021" s="32" t="e">
        <f>VLOOKUP(A1021,'4月明細'!B:B,1,0)</f>
        <v>#N/A</v>
      </c>
    </row>
    <row r="1022" spans="1:35" ht="19.95" customHeight="1" x14ac:dyDescent="0.3">
      <c r="A1022" s="33" t="s">
        <v>145</v>
      </c>
      <c r="B1022" s="34">
        <v>46038.472280092596</v>
      </c>
      <c r="C1022" s="34" t="str">
        <f t="shared" si="28"/>
        <v>202601</v>
      </c>
      <c r="D1022" s="35" t="s">
        <v>996</v>
      </c>
      <c r="E1022" s="36" t="s">
        <v>910</v>
      </c>
      <c r="F1022" s="36" t="s">
        <v>1304</v>
      </c>
      <c r="G1022" s="37" t="s">
        <v>3543</v>
      </c>
      <c r="H1022" s="36" t="s">
        <v>954</v>
      </c>
      <c r="I1022" s="35" t="s">
        <v>3544</v>
      </c>
      <c r="J1022" s="36" t="s">
        <v>914</v>
      </c>
      <c r="K1022" s="33" t="s">
        <v>916</v>
      </c>
      <c r="L1022" s="35" t="s">
        <v>916</v>
      </c>
      <c r="M1022" s="36" t="s">
        <v>916</v>
      </c>
      <c r="N1022" s="45">
        <v>46038.915277777778</v>
      </c>
      <c r="O1022" s="36" t="s">
        <v>25</v>
      </c>
      <c r="P1022" s="38">
        <v>0.44299768519999999</v>
      </c>
      <c r="Q1022" s="39" t="s">
        <v>3545</v>
      </c>
      <c r="R1022" s="35" t="s">
        <v>916</v>
      </c>
      <c r="S1022" s="35"/>
      <c r="T1022" s="35" t="s">
        <v>1701</v>
      </c>
      <c r="U1022" s="40">
        <v>46039</v>
      </c>
      <c r="V1022" s="41">
        <v>46153.532835648148</v>
      </c>
      <c r="W1022" s="40">
        <v>46038</v>
      </c>
      <c r="X1022" s="35" t="s">
        <v>916</v>
      </c>
      <c r="Y1022" s="35" t="s">
        <v>916</v>
      </c>
      <c r="Z1022" s="35" t="s">
        <v>916</v>
      </c>
      <c r="AA1022" s="38">
        <v>10.6319444448</v>
      </c>
      <c r="AB1022" s="42" t="s">
        <v>916</v>
      </c>
      <c r="AC1022" s="43" t="s">
        <v>916</v>
      </c>
      <c r="AD1022" s="43" t="s">
        <v>916</v>
      </c>
      <c r="AE1022" s="33" t="s">
        <v>916</v>
      </c>
      <c r="AF1022" s="35" t="s">
        <v>916</v>
      </c>
      <c r="AG1022" s="44">
        <v>491267.33472222218</v>
      </c>
      <c r="AH1022" s="42" t="s">
        <v>916</v>
      </c>
      <c r="AI1022" s="32" t="e">
        <f>VLOOKUP(A1022,'4月明細'!B:B,1,0)</f>
        <v>#N/A</v>
      </c>
    </row>
    <row r="1023" spans="1:35" ht="19.95" customHeight="1" x14ac:dyDescent="0.3">
      <c r="A1023" s="33" t="s">
        <v>144</v>
      </c>
      <c r="B1023" s="34">
        <v>46038.4530787037</v>
      </c>
      <c r="C1023" s="34" t="str">
        <f t="shared" si="28"/>
        <v>202601</v>
      </c>
      <c r="D1023" s="35" t="s">
        <v>996</v>
      </c>
      <c r="E1023" s="36" t="s">
        <v>910</v>
      </c>
      <c r="F1023" s="36" t="s">
        <v>972</v>
      </c>
      <c r="G1023" s="37" t="s">
        <v>3546</v>
      </c>
      <c r="H1023" s="36" t="s">
        <v>928</v>
      </c>
      <c r="I1023" s="35"/>
      <c r="J1023" s="36" t="s">
        <v>929</v>
      </c>
      <c r="K1023" s="33" t="s">
        <v>916</v>
      </c>
      <c r="L1023" s="35" t="s">
        <v>916</v>
      </c>
      <c r="M1023" s="36" t="s">
        <v>916</v>
      </c>
      <c r="N1023" s="45">
        <v>46038.917361111111</v>
      </c>
      <c r="O1023" s="36" t="s">
        <v>25</v>
      </c>
      <c r="P1023" s="38">
        <v>0.46428240739999999</v>
      </c>
      <c r="Q1023" s="39" t="s">
        <v>3547</v>
      </c>
      <c r="R1023" s="35" t="s">
        <v>916</v>
      </c>
      <c r="S1023" s="35"/>
      <c r="T1023" s="35" t="s">
        <v>1701</v>
      </c>
      <c r="U1023" s="40">
        <v>46039</v>
      </c>
      <c r="V1023" s="41">
        <v>46153.532835648148</v>
      </c>
      <c r="W1023" s="40">
        <v>46038</v>
      </c>
      <c r="X1023" s="35" t="s">
        <v>916</v>
      </c>
      <c r="Y1023" s="35" t="s">
        <v>916</v>
      </c>
      <c r="Z1023" s="35" t="s">
        <v>916</v>
      </c>
      <c r="AA1023" s="38">
        <v>11.142777777599999</v>
      </c>
      <c r="AB1023" s="42" t="s">
        <v>916</v>
      </c>
      <c r="AC1023" s="43" t="s">
        <v>916</v>
      </c>
      <c r="AD1023" s="43" t="s">
        <v>916</v>
      </c>
      <c r="AE1023" s="33" t="s">
        <v>916</v>
      </c>
      <c r="AF1023" s="35" t="s">
        <v>916</v>
      </c>
      <c r="AG1023" s="44">
        <v>491266.87416666659</v>
      </c>
      <c r="AH1023" s="42" t="s">
        <v>916</v>
      </c>
      <c r="AI1023" s="32" t="e">
        <f>VLOOKUP(A1023,'4月明細'!B:B,1,0)</f>
        <v>#N/A</v>
      </c>
    </row>
    <row r="1024" spans="1:35" ht="19.95" customHeight="1" x14ac:dyDescent="0.3">
      <c r="A1024" s="33" t="s">
        <v>143</v>
      </c>
      <c r="B1024" s="34">
        <v>46038.445717592593</v>
      </c>
      <c r="C1024" s="34" t="str">
        <f t="shared" si="28"/>
        <v>202601</v>
      </c>
      <c r="D1024" s="35" t="s">
        <v>996</v>
      </c>
      <c r="E1024" s="36" t="s">
        <v>910</v>
      </c>
      <c r="F1024" s="36" t="s">
        <v>972</v>
      </c>
      <c r="G1024" s="37" t="s">
        <v>1803</v>
      </c>
      <c r="H1024" s="36" t="s">
        <v>928</v>
      </c>
      <c r="I1024" s="35" t="s">
        <v>3548</v>
      </c>
      <c r="J1024" s="36" t="s">
        <v>929</v>
      </c>
      <c r="K1024" s="33" t="s">
        <v>916</v>
      </c>
      <c r="L1024" s="35" t="s">
        <v>916</v>
      </c>
      <c r="M1024" s="36" t="s">
        <v>916</v>
      </c>
      <c r="N1024" s="45">
        <v>46038.917361111111</v>
      </c>
      <c r="O1024" s="36" t="s">
        <v>25</v>
      </c>
      <c r="P1024" s="38">
        <v>0.47164351850000003</v>
      </c>
      <c r="Q1024" s="39" t="s">
        <v>3549</v>
      </c>
      <c r="R1024" s="35" t="s">
        <v>916</v>
      </c>
      <c r="S1024" s="35" t="s">
        <v>3550</v>
      </c>
      <c r="T1024" s="35" t="s">
        <v>1701</v>
      </c>
      <c r="U1024" s="40">
        <v>46039</v>
      </c>
      <c r="V1024" s="41">
        <v>46153.532835648148</v>
      </c>
      <c r="W1024" s="40">
        <v>46038</v>
      </c>
      <c r="X1024" s="35" t="s">
        <v>916</v>
      </c>
      <c r="Y1024" s="35" t="s">
        <v>916</v>
      </c>
      <c r="Z1024" s="35" t="s">
        <v>916</v>
      </c>
      <c r="AA1024" s="38">
        <v>11.319444444</v>
      </c>
      <c r="AB1024" s="42" t="s">
        <v>916</v>
      </c>
      <c r="AC1024" s="43" t="s">
        <v>916</v>
      </c>
      <c r="AD1024" s="43" t="s">
        <v>916</v>
      </c>
      <c r="AE1024" s="33" t="s">
        <v>916</v>
      </c>
      <c r="AF1024" s="35" t="s">
        <v>916</v>
      </c>
      <c r="AG1024" s="44">
        <v>491266.69722222222</v>
      </c>
      <c r="AH1024" s="42" t="s">
        <v>916</v>
      </c>
      <c r="AI1024" s="32" t="e">
        <f>VLOOKUP(A1024,'4月明細'!B:B,1,0)</f>
        <v>#N/A</v>
      </c>
    </row>
    <row r="1025" spans="1:35" ht="19.95" customHeight="1" x14ac:dyDescent="0.3">
      <c r="A1025" s="33" t="s">
        <v>142</v>
      </c>
      <c r="B1025" s="34">
        <v>46038.434212962966</v>
      </c>
      <c r="C1025" s="34" t="str">
        <f t="shared" si="28"/>
        <v>202601</v>
      </c>
      <c r="D1025" s="35" t="s">
        <v>909</v>
      </c>
      <c r="E1025" s="36" t="s">
        <v>910</v>
      </c>
      <c r="F1025" s="36" t="s">
        <v>1282</v>
      </c>
      <c r="G1025" s="37" t="s">
        <v>3551</v>
      </c>
      <c r="H1025" s="36" t="s">
        <v>1023</v>
      </c>
      <c r="I1025" s="35" t="s">
        <v>3552</v>
      </c>
      <c r="J1025" s="36" t="s">
        <v>914</v>
      </c>
      <c r="K1025" s="33" t="s">
        <v>916</v>
      </c>
      <c r="L1025" s="35" t="s">
        <v>916</v>
      </c>
      <c r="M1025" s="36" t="s">
        <v>916</v>
      </c>
      <c r="N1025" s="45">
        <v>46038.921527777777</v>
      </c>
      <c r="O1025" s="36" t="s">
        <v>25</v>
      </c>
      <c r="P1025" s="38">
        <v>0.4873148148</v>
      </c>
      <c r="Q1025" s="39" t="s">
        <v>3553</v>
      </c>
      <c r="R1025" s="35" t="s">
        <v>916</v>
      </c>
      <c r="S1025" s="35"/>
      <c r="T1025" s="35" t="s">
        <v>1701</v>
      </c>
      <c r="U1025" s="40">
        <v>46039</v>
      </c>
      <c r="V1025" s="41">
        <v>46153.532835648148</v>
      </c>
      <c r="W1025" s="40">
        <v>46038</v>
      </c>
      <c r="X1025" s="35" t="s">
        <v>916</v>
      </c>
      <c r="Y1025" s="35" t="s">
        <v>916</v>
      </c>
      <c r="Z1025" s="35" t="s">
        <v>916</v>
      </c>
      <c r="AA1025" s="38">
        <v>11.6955555552</v>
      </c>
      <c r="AB1025" s="42" t="s">
        <v>916</v>
      </c>
      <c r="AC1025" s="43" t="s">
        <v>916</v>
      </c>
      <c r="AD1025" s="43" t="s">
        <v>916</v>
      </c>
      <c r="AE1025" s="33" t="s">
        <v>916</v>
      </c>
      <c r="AF1025" s="35" t="s">
        <v>916</v>
      </c>
      <c r="AG1025" s="44">
        <v>491266.42111111112</v>
      </c>
      <c r="AH1025" s="42" t="s">
        <v>916</v>
      </c>
      <c r="AI1025" s="32" t="e">
        <f>VLOOKUP(A1025,'4月明細'!B:B,1,0)</f>
        <v>#N/A</v>
      </c>
    </row>
    <row r="1026" spans="1:35" ht="19.95" customHeight="1" x14ac:dyDescent="0.3">
      <c r="A1026" s="33" t="s">
        <v>141</v>
      </c>
      <c r="B1026" s="34">
        <v>46037.630624999998</v>
      </c>
      <c r="C1026" s="34" t="str">
        <f t="shared" si="28"/>
        <v>202601</v>
      </c>
      <c r="D1026" s="35" t="s">
        <v>951</v>
      </c>
      <c r="E1026" s="36" t="s">
        <v>910</v>
      </c>
      <c r="F1026" s="36" t="s">
        <v>961</v>
      </c>
      <c r="G1026" s="37" t="s">
        <v>3554</v>
      </c>
      <c r="H1026" s="36" t="s">
        <v>928</v>
      </c>
      <c r="I1026" s="35"/>
      <c r="J1026" s="36" t="s">
        <v>929</v>
      </c>
      <c r="K1026" s="33" t="s">
        <v>916</v>
      </c>
      <c r="L1026" s="35" t="s">
        <v>916</v>
      </c>
      <c r="M1026" s="36" t="s">
        <v>916</v>
      </c>
      <c r="N1026" s="45">
        <v>46037.915972222225</v>
      </c>
      <c r="O1026" s="36" t="s">
        <v>25</v>
      </c>
      <c r="P1026" s="38">
        <v>0.28534722219999997</v>
      </c>
      <c r="Q1026" s="39" t="s">
        <v>3555</v>
      </c>
      <c r="R1026" s="35" t="s">
        <v>916</v>
      </c>
      <c r="S1026" s="35"/>
      <c r="T1026" s="35" t="s">
        <v>1701</v>
      </c>
      <c r="U1026" s="40">
        <v>46038</v>
      </c>
      <c r="V1026" s="41">
        <v>46153.532835648148</v>
      </c>
      <c r="W1026" s="40">
        <v>46037</v>
      </c>
      <c r="X1026" s="35" t="s">
        <v>916</v>
      </c>
      <c r="Y1026" s="35" t="s">
        <v>916</v>
      </c>
      <c r="Z1026" s="35" t="s">
        <v>916</v>
      </c>
      <c r="AA1026" s="38">
        <v>6.8483333328000002</v>
      </c>
      <c r="AB1026" s="42" t="s">
        <v>916</v>
      </c>
      <c r="AC1026" s="43" t="s">
        <v>916</v>
      </c>
      <c r="AD1026" s="43" t="s">
        <v>916</v>
      </c>
      <c r="AE1026" s="33" t="s">
        <v>916</v>
      </c>
      <c r="AF1026" s="35" t="s">
        <v>916</v>
      </c>
      <c r="AG1026" s="44">
        <v>491247.13500000001</v>
      </c>
      <c r="AH1026" s="42" t="s">
        <v>916</v>
      </c>
      <c r="AI1026" s="32" t="e">
        <f>VLOOKUP(A1026,'4月明細'!B:B,1,0)</f>
        <v>#N/A</v>
      </c>
    </row>
    <row r="1027" spans="1:35" ht="19.95" customHeight="1" x14ac:dyDescent="0.3">
      <c r="A1027" s="33" t="s">
        <v>140</v>
      </c>
      <c r="B1027" s="34">
        <v>46037.630254629628</v>
      </c>
      <c r="C1027" s="34" t="str">
        <f t="shared" ref="C1027:C1090" si="29">TEXT(B1027,"YYYYMM")</f>
        <v>202601</v>
      </c>
      <c r="D1027" s="35" t="s">
        <v>951</v>
      </c>
      <c r="E1027" s="36" t="s">
        <v>910</v>
      </c>
      <c r="F1027" s="36" t="s">
        <v>1108</v>
      </c>
      <c r="G1027" s="37" t="s">
        <v>3556</v>
      </c>
      <c r="H1027" s="36" t="s">
        <v>1078</v>
      </c>
      <c r="I1027" s="35"/>
      <c r="J1027" s="36" t="s">
        <v>914</v>
      </c>
      <c r="K1027" s="33" t="s">
        <v>916</v>
      </c>
      <c r="L1027" s="35" t="s">
        <v>916</v>
      </c>
      <c r="M1027" s="36" t="s">
        <v>916</v>
      </c>
      <c r="N1027" s="45">
        <v>46037.915972222225</v>
      </c>
      <c r="O1027" s="36" t="s">
        <v>25</v>
      </c>
      <c r="P1027" s="38">
        <v>0.28571759260000001</v>
      </c>
      <c r="Q1027" s="39" t="s">
        <v>3557</v>
      </c>
      <c r="R1027" s="35" t="s">
        <v>916</v>
      </c>
      <c r="S1027" s="35" t="s">
        <v>3558</v>
      </c>
      <c r="T1027" s="35" t="s">
        <v>1701</v>
      </c>
      <c r="U1027" s="40">
        <v>46038</v>
      </c>
      <c r="V1027" s="41">
        <v>46153.532835648148</v>
      </c>
      <c r="W1027" s="40">
        <v>46037</v>
      </c>
      <c r="X1027" s="35" t="s">
        <v>916</v>
      </c>
      <c r="Y1027" s="35" t="s">
        <v>916</v>
      </c>
      <c r="Z1027" s="35" t="s">
        <v>916</v>
      </c>
      <c r="AA1027" s="38">
        <v>6.8572222223999999</v>
      </c>
      <c r="AB1027" s="42" t="s">
        <v>916</v>
      </c>
      <c r="AC1027" s="43" t="s">
        <v>916</v>
      </c>
      <c r="AD1027" s="43" t="s">
        <v>916</v>
      </c>
      <c r="AE1027" s="33" t="s">
        <v>916</v>
      </c>
      <c r="AF1027" s="35" t="s">
        <v>916</v>
      </c>
      <c r="AG1027" s="44">
        <v>491247.12611111108</v>
      </c>
      <c r="AH1027" s="42" t="s">
        <v>916</v>
      </c>
      <c r="AI1027" s="32" t="e">
        <f>VLOOKUP(A1027,'4月明細'!B:B,1,0)</f>
        <v>#N/A</v>
      </c>
    </row>
    <row r="1028" spans="1:35" ht="19.95" customHeight="1" x14ac:dyDescent="0.3">
      <c r="A1028" s="33" t="s">
        <v>137</v>
      </c>
      <c r="B1028" s="34">
        <v>46037.517743055556</v>
      </c>
      <c r="C1028" s="34" t="str">
        <f t="shared" si="29"/>
        <v>202601</v>
      </c>
      <c r="D1028" s="35" t="s">
        <v>951</v>
      </c>
      <c r="E1028" s="36" t="s">
        <v>910</v>
      </c>
      <c r="F1028" s="36" t="s">
        <v>961</v>
      </c>
      <c r="G1028" s="37" t="s">
        <v>3559</v>
      </c>
      <c r="H1028" s="36" t="s">
        <v>1023</v>
      </c>
      <c r="I1028" s="35" t="s">
        <v>3560</v>
      </c>
      <c r="J1028" s="36" t="s">
        <v>929</v>
      </c>
      <c r="K1028" s="33" t="s">
        <v>916</v>
      </c>
      <c r="L1028" s="35" t="s">
        <v>916</v>
      </c>
      <c r="M1028" s="36" t="s">
        <v>916</v>
      </c>
      <c r="N1028" s="45">
        <v>46037.915277777778</v>
      </c>
      <c r="O1028" s="36" t="s">
        <v>25</v>
      </c>
      <c r="P1028" s="38">
        <v>0.39753472220000002</v>
      </c>
      <c r="Q1028" s="39" t="s">
        <v>3561</v>
      </c>
      <c r="R1028" s="35" t="s">
        <v>916</v>
      </c>
      <c r="S1028" s="35" t="s">
        <v>3562</v>
      </c>
      <c r="T1028" s="35" t="s">
        <v>1701</v>
      </c>
      <c r="U1028" s="40">
        <v>46038</v>
      </c>
      <c r="V1028" s="41">
        <v>46153.532835648148</v>
      </c>
      <c r="W1028" s="40">
        <v>46037</v>
      </c>
      <c r="X1028" s="35" t="s">
        <v>916</v>
      </c>
      <c r="Y1028" s="35" t="s">
        <v>916</v>
      </c>
      <c r="Z1028" s="35" t="s">
        <v>916</v>
      </c>
      <c r="AA1028" s="38">
        <v>9.5408333328000001</v>
      </c>
      <c r="AB1028" s="42" t="s">
        <v>916</v>
      </c>
      <c r="AC1028" s="43" t="s">
        <v>916</v>
      </c>
      <c r="AD1028" s="43" t="s">
        <v>916</v>
      </c>
      <c r="AE1028" s="33" t="s">
        <v>916</v>
      </c>
      <c r="AF1028" s="35" t="s">
        <v>916</v>
      </c>
      <c r="AG1028" s="44">
        <v>491244.42583333328</v>
      </c>
      <c r="AH1028" s="42" t="s">
        <v>916</v>
      </c>
      <c r="AI1028" s="32" t="e">
        <f>VLOOKUP(A1028,'4月明細'!B:B,1,0)</f>
        <v>#N/A</v>
      </c>
    </row>
    <row r="1029" spans="1:35" ht="19.95" customHeight="1" x14ac:dyDescent="0.3">
      <c r="A1029" s="33" t="s">
        <v>139</v>
      </c>
      <c r="B1029" s="34">
        <v>46037.527106481481</v>
      </c>
      <c r="C1029" s="34" t="str">
        <f t="shared" si="29"/>
        <v>202601</v>
      </c>
      <c r="D1029" s="35" t="s">
        <v>2278</v>
      </c>
      <c r="E1029" s="36" t="s">
        <v>910</v>
      </c>
      <c r="F1029" s="36" t="s">
        <v>1045</v>
      </c>
      <c r="G1029" s="37" t="s">
        <v>3563</v>
      </c>
      <c r="H1029" s="36" t="s">
        <v>954</v>
      </c>
      <c r="I1029" s="35" t="s">
        <v>3564</v>
      </c>
      <c r="J1029" s="36" t="s">
        <v>929</v>
      </c>
      <c r="K1029" s="33" t="s">
        <v>916</v>
      </c>
      <c r="L1029" s="35" t="s">
        <v>916</v>
      </c>
      <c r="M1029" s="36" t="s">
        <v>957</v>
      </c>
      <c r="N1029" s="45">
        <v>46042.604861111111</v>
      </c>
      <c r="O1029" s="36" t="s">
        <v>25</v>
      </c>
      <c r="P1029" s="38">
        <v>5.0777546296000002</v>
      </c>
      <c r="Q1029" s="39" t="s">
        <v>3565</v>
      </c>
      <c r="R1029" s="35" t="s">
        <v>916</v>
      </c>
      <c r="S1029" s="35" t="s">
        <v>3566</v>
      </c>
      <c r="T1029" s="35" t="s">
        <v>1701</v>
      </c>
      <c r="U1029" s="40">
        <v>46038</v>
      </c>
      <c r="V1029" s="41">
        <v>46153.532835648148</v>
      </c>
      <c r="W1029" s="40">
        <v>46037</v>
      </c>
      <c r="X1029" s="35" t="s">
        <v>916</v>
      </c>
      <c r="Y1029" s="35" t="s">
        <v>916</v>
      </c>
      <c r="Z1029" s="35" t="s">
        <v>916</v>
      </c>
      <c r="AA1029" s="38">
        <v>121.8661111104</v>
      </c>
      <c r="AB1029" s="42" t="s">
        <v>916</v>
      </c>
      <c r="AC1029" s="43" t="s">
        <v>916</v>
      </c>
      <c r="AD1029" s="43" t="s">
        <v>916</v>
      </c>
      <c r="AE1029" s="33" t="s">
        <v>916</v>
      </c>
      <c r="AF1029" s="35" t="s">
        <v>916</v>
      </c>
      <c r="AG1029" s="44">
        <v>491244.65055555548</v>
      </c>
      <c r="AH1029" s="42" t="s">
        <v>916</v>
      </c>
      <c r="AI1029" s="32" t="e">
        <f>VLOOKUP(A1029,'4月明細'!B:B,1,0)</f>
        <v>#N/A</v>
      </c>
    </row>
    <row r="1030" spans="1:35" ht="19.95" customHeight="1" x14ac:dyDescent="0.3">
      <c r="A1030" s="33" t="s">
        <v>138</v>
      </c>
      <c r="B1030" s="34">
        <v>46037.526134259257</v>
      </c>
      <c r="C1030" s="34" t="str">
        <f t="shared" si="29"/>
        <v>202601</v>
      </c>
      <c r="D1030" s="35" t="s">
        <v>2278</v>
      </c>
      <c r="E1030" s="36" t="s">
        <v>910</v>
      </c>
      <c r="F1030" s="36" t="s">
        <v>1207</v>
      </c>
      <c r="G1030" s="37" t="s">
        <v>3567</v>
      </c>
      <c r="H1030" s="36" t="s">
        <v>954</v>
      </c>
      <c r="I1030" s="35" t="s">
        <v>3568</v>
      </c>
      <c r="J1030" s="36" t="s">
        <v>929</v>
      </c>
      <c r="K1030" s="33" t="s">
        <v>916</v>
      </c>
      <c r="L1030" s="35" t="s">
        <v>916</v>
      </c>
      <c r="M1030" s="36" t="s">
        <v>957</v>
      </c>
      <c r="N1030" s="45">
        <v>46038.381249999999</v>
      </c>
      <c r="O1030" s="36" t="s">
        <v>25</v>
      </c>
      <c r="P1030" s="38">
        <v>0.85511574069999996</v>
      </c>
      <c r="Q1030" s="39" t="s">
        <v>3569</v>
      </c>
      <c r="R1030" s="35" t="s">
        <v>916</v>
      </c>
      <c r="S1030" s="35" t="s">
        <v>3570</v>
      </c>
      <c r="T1030" s="35" t="s">
        <v>1701</v>
      </c>
      <c r="U1030" s="40">
        <v>46038</v>
      </c>
      <c r="V1030" s="41">
        <v>46153.532835648148</v>
      </c>
      <c r="W1030" s="40">
        <v>46037</v>
      </c>
      <c r="X1030" s="35" t="s">
        <v>916</v>
      </c>
      <c r="Y1030" s="35" t="s">
        <v>916</v>
      </c>
      <c r="Z1030" s="35" t="s">
        <v>916</v>
      </c>
      <c r="AA1030" s="38">
        <v>20.522777776800002</v>
      </c>
      <c r="AB1030" s="42" t="s">
        <v>916</v>
      </c>
      <c r="AC1030" s="43" t="s">
        <v>916</v>
      </c>
      <c r="AD1030" s="43" t="s">
        <v>916</v>
      </c>
      <c r="AE1030" s="33" t="s">
        <v>916</v>
      </c>
      <c r="AF1030" s="35" t="s">
        <v>916</v>
      </c>
      <c r="AG1030" s="44">
        <v>491244.62722222228</v>
      </c>
      <c r="AH1030" s="42" t="s">
        <v>916</v>
      </c>
      <c r="AI1030" s="32" t="e">
        <f>VLOOKUP(A1030,'4月明細'!B:B,1,0)</f>
        <v>#N/A</v>
      </c>
    </row>
    <row r="1031" spans="1:35" ht="19.95" customHeight="1" x14ac:dyDescent="0.3">
      <c r="A1031" s="33" t="s">
        <v>136</v>
      </c>
      <c r="B1031" s="34">
        <v>46037.517418981479</v>
      </c>
      <c r="C1031" s="34" t="str">
        <f t="shared" si="29"/>
        <v>202601</v>
      </c>
      <c r="D1031" s="35" t="s">
        <v>951</v>
      </c>
      <c r="E1031" s="36" t="s">
        <v>910</v>
      </c>
      <c r="F1031" s="36" t="s">
        <v>1713</v>
      </c>
      <c r="G1031" s="37" t="s">
        <v>3571</v>
      </c>
      <c r="H1031" s="36" t="s">
        <v>954</v>
      </c>
      <c r="I1031" s="35" t="s">
        <v>3572</v>
      </c>
      <c r="J1031" s="36" t="s">
        <v>914</v>
      </c>
      <c r="K1031" s="33" t="s">
        <v>916</v>
      </c>
      <c r="L1031" s="35" t="s">
        <v>916</v>
      </c>
      <c r="M1031" s="36" t="s">
        <v>916</v>
      </c>
      <c r="N1031" s="45">
        <v>46037.914583333331</v>
      </c>
      <c r="O1031" s="36" t="s">
        <v>25</v>
      </c>
      <c r="P1031" s="38">
        <v>0.39716435189999999</v>
      </c>
      <c r="Q1031" s="39" t="s">
        <v>3573</v>
      </c>
      <c r="R1031" s="35" t="s">
        <v>916</v>
      </c>
      <c r="S1031" s="35"/>
      <c r="T1031" s="35" t="s">
        <v>1701</v>
      </c>
      <c r="U1031" s="40">
        <v>46038</v>
      </c>
      <c r="V1031" s="41">
        <v>46153.532835648148</v>
      </c>
      <c r="W1031" s="40">
        <v>46037</v>
      </c>
      <c r="X1031" s="35" t="s">
        <v>916</v>
      </c>
      <c r="Y1031" s="35" t="s">
        <v>916</v>
      </c>
      <c r="Z1031" s="35" t="s">
        <v>916</v>
      </c>
      <c r="AA1031" s="38">
        <v>9.5319444456000006</v>
      </c>
      <c r="AB1031" s="42" t="s">
        <v>916</v>
      </c>
      <c r="AC1031" s="43" t="s">
        <v>916</v>
      </c>
      <c r="AD1031" s="43" t="s">
        <v>916</v>
      </c>
      <c r="AE1031" s="33" t="s">
        <v>916</v>
      </c>
      <c r="AF1031" s="35" t="s">
        <v>916</v>
      </c>
      <c r="AG1031" s="44">
        <v>491244.41805555561</v>
      </c>
      <c r="AH1031" s="42" t="s">
        <v>916</v>
      </c>
      <c r="AI1031" s="32" t="e">
        <f>VLOOKUP(A1031,'4月明細'!B:B,1,0)</f>
        <v>#N/A</v>
      </c>
    </row>
    <row r="1032" spans="1:35" ht="19.95" customHeight="1" x14ac:dyDescent="0.3">
      <c r="A1032" s="33" t="s">
        <v>135</v>
      </c>
      <c r="B1032" s="34">
        <v>46037.507557870369</v>
      </c>
      <c r="C1032" s="34" t="str">
        <f t="shared" si="29"/>
        <v>202601</v>
      </c>
      <c r="D1032" s="35" t="s">
        <v>951</v>
      </c>
      <c r="E1032" s="36" t="s">
        <v>910</v>
      </c>
      <c r="F1032" s="36" t="s">
        <v>1713</v>
      </c>
      <c r="G1032" s="37" t="s">
        <v>3574</v>
      </c>
      <c r="H1032" s="36" t="s">
        <v>928</v>
      </c>
      <c r="I1032" s="35" t="s">
        <v>3575</v>
      </c>
      <c r="J1032" s="36" t="s">
        <v>914</v>
      </c>
      <c r="K1032" s="33" t="s">
        <v>916</v>
      </c>
      <c r="L1032" s="35" t="s">
        <v>916</v>
      </c>
      <c r="M1032" s="36" t="s">
        <v>916</v>
      </c>
      <c r="N1032" s="45">
        <v>46037.908333333333</v>
      </c>
      <c r="O1032" s="36" t="s">
        <v>25</v>
      </c>
      <c r="P1032" s="38">
        <v>0.400775463</v>
      </c>
      <c r="Q1032" s="39" t="s">
        <v>3576</v>
      </c>
      <c r="R1032" s="35" t="s">
        <v>916</v>
      </c>
      <c r="S1032" s="35" t="s">
        <v>3577</v>
      </c>
      <c r="T1032" s="35" t="s">
        <v>1701</v>
      </c>
      <c r="U1032" s="40">
        <v>46038</v>
      </c>
      <c r="V1032" s="41">
        <v>46153.532835648148</v>
      </c>
      <c r="W1032" s="40">
        <v>46037</v>
      </c>
      <c r="X1032" s="35" t="s">
        <v>916</v>
      </c>
      <c r="Y1032" s="35" t="s">
        <v>916</v>
      </c>
      <c r="Z1032" s="35" t="s">
        <v>916</v>
      </c>
      <c r="AA1032" s="38">
        <v>9.618611112</v>
      </c>
      <c r="AB1032" s="42" t="s">
        <v>916</v>
      </c>
      <c r="AC1032" s="43" t="s">
        <v>916</v>
      </c>
      <c r="AD1032" s="43" t="s">
        <v>916</v>
      </c>
      <c r="AE1032" s="33" t="s">
        <v>916</v>
      </c>
      <c r="AF1032" s="35" t="s">
        <v>916</v>
      </c>
      <c r="AG1032" s="44">
        <v>491244.18138888897</v>
      </c>
      <c r="AH1032" s="42" t="s">
        <v>916</v>
      </c>
      <c r="AI1032" s="32" t="e">
        <f>VLOOKUP(A1032,'4月明細'!B:B,1,0)</f>
        <v>#N/A</v>
      </c>
    </row>
    <row r="1033" spans="1:35" ht="19.95" customHeight="1" x14ac:dyDescent="0.3">
      <c r="A1033" s="33" t="s">
        <v>134</v>
      </c>
      <c r="B1033" s="34">
        <v>46037.464108796295</v>
      </c>
      <c r="C1033" s="34" t="str">
        <f t="shared" si="29"/>
        <v>202601</v>
      </c>
      <c r="D1033" s="35" t="s">
        <v>951</v>
      </c>
      <c r="E1033" s="36" t="s">
        <v>910</v>
      </c>
      <c r="F1033" s="36" t="s">
        <v>1161</v>
      </c>
      <c r="G1033" s="37" t="s">
        <v>3578</v>
      </c>
      <c r="H1033" s="36" t="s">
        <v>913</v>
      </c>
      <c r="I1033" s="35" t="s">
        <v>3579</v>
      </c>
      <c r="J1033" s="36" t="s">
        <v>929</v>
      </c>
      <c r="K1033" s="33" t="s">
        <v>916</v>
      </c>
      <c r="L1033" s="35" t="s">
        <v>916</v>
      </c>
      <c r="M1033" s="36" t="s">
        <v>916</v>
      </c>
      <c r="N1033" s="45">
        <v>46037.907638888886</v>
      </c>
      <c r="O1033" s="36" t="s">
        <v>25</v>
      </c>
      <c r="P1033" s="38">
        <v>0.44353009259999998</v>
      </c>
      <c r="Q1033" s="39" t="s">
        <v>3580</v>
      </c>
      <c r="R1033" s="35" t="s">
        <v>916</v>
      </c>
      <c r="S1033" s="35" t="s">
        <v>3581</v>
      </c>
      <c r="T1033" s="35" t="s">
        <v>1701</v>
      </c>
      <c r="U1033" s="40">
        <v>46038</v>
      </c>
      <c r="V1033" s="41">
        <v>46153.532835648148</v>
      </c>
      <c r="W1033" s="40">
        <v>46037</v>
      </c>
      <c r="X1033" s="35" t="s">
        <v>916</v>
      </c>
      <c r="Y1033" s="35" t="s">
        <v>916</v>
      </c>
      <c r="Z1033" s="35" t="s">
        <v>916</v>
      </c>
      <c r="AA1033" s="38">
        <v>10.6447222224</v>
      </c>
      <c r="AB1033" s="42" t="s">
        <v>916</v>
      </c>
      <c r="AC1033" s="43" t="s">
        <v>916</v>
      </c>
      <c r="AD1033" s="43" t="s">
        <v>916</v>
      </c>
      <c r="AE1033" s="33" t="s">
        <v>916</v>
      </c>
      <c r="AF1033" s="35" t="s">
        <v>916</v>
      </c>
      <c r="AG1033" s="44">
        <v>491243.13861111109</v>
      </c>
      <c r="AH1033" s="42" t="s">
        <v>916</v>
      </c>
      <c r="AI1033" s="32" t="e">
        <f>VLOOKUP(A1033,'4月明細'!B:B,1,0)</f>
        <v>#N/A</v>
      </c>
    </row>
    <row r="1034" spans="1:35" ht="19.95" customHeight="1" x14ac:dyDescent="0.3">
      <c r="A1034" s="33" t="s">
        <v>133</v>
      </c>
      <c r="B1034" s="34">
        <v>46036.502743055556</v>
      </c>
      <c r="C1034" s="34" t="str">
        <f t="shared" si="29"/>
        <v>202601</v>
      </c>
      <c r="D1034" s="35" t="s">
        <v>951</v>
      </c>
      <c r="E1034" s="36" t="s">
        <v>910</v>
      </c>
      <c r="F1034" s="36" t="s">
        <v>2600</v>
      </c>
      <c r="G1034" s="37" t="s">
        <v>3582</v>
      </c>
      <c r="H1034" s="36" t="s">
        <v>954</v>
      </c>
      <c r="I1034" s="35" t="s">
        <v>3583</v>
      </c>
      <c r="J1034" s="36" t="s">
        <v>914</v>
      </c>
      <c r="K1034" s="33" t="s">
        <v>916</v>
      </c>
      <c r="L1034" s="35" t="s">
        <v>916</v>
      </c>
      <c r="M1034" s="36" t="s">
        <v>916</v>
      </c>
      <c r="N1034" s="45">
        <v>46037.906944444447</v>
      </c>
      <c r="O1034" s="36" t="s">
        <v>25</v>
      </c>
      <c r="P1034" s="38">
        <v>1.4042013889</v>
      </c>
      <c r="Q1034" s="39" t="s">
        <v>3584</v>
      </c>
      <c r="R1034" s="35" t="s">
        <v>916</v>
      </c>
      <c r="S1034" s="35" t="s">
        <v>3585</v>
      </c>
      <c r="T1034" s="35" t="s">
        <v>1701</v>
      </c>
      <c r="U1034" s="40">
        <v>46037</v>
      </c>
      <c r="V1034" s="41">
        <v>46153.532835648148</v>
      </c>
      <c r="W1034" s="40">
        <v>46036</v>
      </c>
      <c r="X1034" s="35" t="s">
        <v>916</v>
      </c>
      <c r="Y1034" s="35" t="s">
        <v>916</v>
      </c>
      <c r="Z1034" s="35" t="s">
        <v>916</v>
      </c>
      <c r="AA1034" s="38">
        <v>33.700833333600002</v>
      </c>
      <c r="AB1034" s="42" t="s">
        <v>916</v>
      </c>
      <c r="AC1034" s="43" t="s">
        <v>916</v>
      </c>
      <c r="AD1034" s="43" t="s">
        <v>916</v>
      </c>
      <c r="AE1034" s="33" t="s">
        <v>916</v>
      </c>
      <c r="AF1034" s="35" t="s">
        <v>916</v>
      </c>
      <c r="AG1034" s="44">
        <v>491220.06583333341</v>
      </c>
      <c r="AH1034" s="42" t="s">
        <v>916</v>
      </c>
      <c r="AI1034" s="32" t="e">
        <f>VLOOKUP(A1034,'4月明細'!B:B,1,0)</f>
        <v>#N/A</v>
      </c>
    </row>
    <row r="1035" spans="1:35" ht="19.95" customHeight="1" x14ac:dyDescent="0.3">
      <c r="A1035" s="33" t="s">
        <v>132</v>
      </c>
      <c r="B1035" s="34">
        <v>46036.399814814817</v>
      </c>
      <c r="C1035" s="34" t="str">
        <f t="shared" si="29"/>
        <v>202601</v>
      </c>
      <c r="D1035" s="35" t="s">
        <v>951</v>
      </c>
      <c r="E1035" s="36" t="s">
        <v>942</v>
      </c>
      <c r="F1035" s="36" t="s">
        <v>2225</v>
      </c>
      <c r="G1035" s="37" t="s">
        <v>3586</v>
      </c>
      <c r="H1035" s="36" t="s">
        <v>1023</v>
      </c>
      <c r="I1035" s="35"/>
      <c r="J1035" s="36" t="s">
        <v>1058</v>
      </c>
      <c r="K1035" s="33" t="s">
        <v>916</v>
      </c>
      <c r="L1035" s="35" t="s">
        <v>916</v>
      </c>
      <c r="M1035" s="36" t="s">
        <v>916</v>
      </c>
      <c r="N1035" s="45">
        <v>46044.584027777775</v>
      </c>
      <c r="O1035" s="36" t="s">
        <v>25</v>
      </c>
      <c r="P1035" s="38">
        <v>8.1842129630000002</v>
      </c>
      <c r="Q1035" s="39" t="s">
        <v>3587</v>
      </c>
      <c r="R1035" s="35" t="s">
        <v>916</v>
      </c>
      <c r="S1035" s="35"/>
      <c r="T1035" s="35" t="s">
        <v>1624</v>
      </c>
      <c r="U1035" s="40">
        <v>46037</v>
      </c>
      <c r="V1035" s="41">
        <v>46153.532835648148</v>
      </c>
      <c r="W1035" s="40">
        <v>46036</v>
      </c>
      <c r="X1035" s="35" t="s">
        <v>916</v>
      </c>
      <c r="Y1035" s="35" t="s">
        <v>916</v>
      </c>
      <c r="Z1035" s="35" t="s">
        <v>916</v>
      </c>
      <c r="AA1035" s="38">
        <v>196.42111111200001</v>
      </c>
      <c r="AB1035" s="42" t="s">
        <v>916</v>
      </c>
      <c r="AC1035" s="43" t="s">
        <v>916</v>
      </c>
      <c r="AD1035" s="43" t="s">
        <v>916</v>
      </c>
      <c r="AE1035" s="33" t="s">
        <v>916</v>
      </c>
      <c r="AF1035" s="35" t="s">
        <v>916</v>
      </c>
      <c r="AG1035" s="44">
        <v>491217.5955555556</v>
      </c>
      <c r="AH1035" s="42" t="s">
        <v>916</v>
      </c>
      <c r="AI1035" s="32" t="e">
        <f>VLOOKUP(A1035,'4月明細'!B:B,1,0)</f>
        <v>#N/A</v>
      </c>
    </row>
    <row r="1036" spans="1:35" ht="19.95" customHeight="1" x14ac:dyDescent="0.3">
      <c r="A1036" s="33" t="s">
        <v>131</v>
      </c>
      <c r="B1036" s="34">
        <v>46035.501331018517</v>
      </c>
      <c r="C1036" s="34" t="str">
        <f t="shared" si="29"/>
        <v>202601</v>
      </c>
      <c r="D1036" s="35" t="s">
        <v>941</v>
      </c>
      <c r="E1036" s="36" t="s">
        <v>942</v>
      </c>
      <c r="F1036" s="36" t="s">
        <v>1295</v>
      </c>
      <c r="G1036" s="37" t="s">
        <v>3588</v>
      </c>
      <c r="H1036" s="36" t="s">
        <v>954</v>
      </c>
      <c r="I1036" s="35"/>
      <c r="J1036" s="36" t="s">
        <v>938</v>
      </c>
      <c r="K1036" s="33" t="s">
        <v>916</v>
      </c>
      <c r="L1036" s="35" t="s">
        <v>916</v>
      </c>
      <c r="M1036" s="36" t="s">
        <v>916</v>
      </c>
      <c r="N1036" s="45">
        <v>46035.647916666669</v>
      </c>
      <c r="O1036" s="36" t="s">
        <v>25</v>
      </c>
      <c r="P1036" s="38">
        <v>0.14658564809999999</v>
      </c>
      <c r="Q1036" s="39" t="s">
        <v>3589</v>
      </c>
      <c r="R1036" s="35" t="s">
        <v>916</v>
      </c>
      <c r="S1036" s="35" t="s">
        <v>3590</v>
      </c>
      <c r="T1036" s="35" t="s">
        <v>1701</v>
      </c>
      <c r="U1036" s="40">
        <v>46036</v>
      </c>
      <c r="V1036" s="41">
        <v>46153.532835648148</v>
      </c>
      <c r="W1036" s="40">
        <v>46035</v>
      </c>
      <c r="X1036" s="35" t="s">
        <v>916</v>
      </c>
      <c r="Y1036" s="35" t="s">
        <v>916</v>
      </c>
      <c r="Z1036" s="35" t="s">
        <v>916</v>
      </c>
      <c r="AA1036" s="38">
        <v>3.5180555544000001</v>
      </c>
      <c r="AB1036" s="42" t="s">
        <v>916</v>
      </c>
      <c r="AC1036" s="43" t="s">
        <v>916</v>
      </c>
      <c r="AD1036" s="43" t="s">
        <v>916</v>
      </c>
      <c r="AE1036" s="33" t="s">
        <v>916</v>
      </c>
      <c r="AF1036" s="35" t="s">
        <v>916</v>
      </c>
      <c r="AG1036" s="44">
        <v>491196.03194444452</v>
      </c>
      <c r="AH1036" s="42" t="s">
        <v>916</v>
      </c>
      <c r="AI1036" s="32" t="e">
        <f>VLOOKUP(A1036,'4月明細'!B:B,1,0)</f>
        <v>#N/A</v>
      </c>
    </row>
    <row r="1037" spans="1:35" ht="19.95" customHeight="1" x14ac:dyDescent="0.3">
      <c r="A1037" s="33" t="s">
        <v>130</v>
      </c>
      <c r="B1037" s="34">
        <v>46035.415069444447</v>
      </c>
      <c r="C1037" s="34" t="str">
        <f t="shared" si="29"/>
        <v>202601</v>
      </c>
      <c r="D1037" s="35" t="s">
        <v>3591</v>
      </c>
      <c r="E1037" s="36" t="s">
        <v>910</v>
      </c>
      <c r="F1037" s="36" t="s">
        <v>1222</v>
      </c>
      <c r="G1037" s="37" t="s">
        <v>3592</v>
      </c>
      <c r="H1037" s="36" t="s">
        <v>954</v>
      </c>
      <c r="I1037" s="35" t="s">
        <v>3593</v>
      </c>
      <c r="J1037" s="36" t="s">
        <v>929</v>
      </c>
      <c r="K1037" s="33" t="s">
        <v>916</v>
      </c>
      <c r="L1037" s="35" t="s">
        <v>916</v>
      </c>
      <c r="M1037" s="36" t="s">
        <v>916</v>
      </c>
      <c r="N1037" s="45">
        <v>46035.543055555558</v>
      </c>
      <c r="O1037" s="36" t="s">
        <v>25</v>
      </c>
      <c r="P1037" s="38">
        <v>0.12798611109999999</v>
      </c>
      <c r="Q1037" s="39" t="s">
        <v>3594</v>
      </c>
      <c r="R1037" s="35" t="s">
        <v>916</v>
      </c>
      <c r="S1037" s="35" t="s">
        <v>3595</v>
      </c>
      <c r="T1037" s="35" t="s">
        <v>1701</v>
      </c>
      <c r="U1037" s="40">
        <v>46036</v>
      </c>
      <c r="V1037" s="41">
        <v>46153.532835648148</v>
      </c>
      <c r="W1037" s="40">
        <v>46035</v>
      </c>
      <c r="X1037" s="35" t="s">
        <v>916</v>
      </c>
      <c r="Y1037" s="35" t="s">
        <v>916</v>
      </c>
      <c r="Z1037" s="35" t="s">
        <v>916</v>
      </c>
      <c r="AA1037" s="38">
        <v>3.0716666664000001</v>
      </c>
      <c r="AB1037" s="42" t="s">
        <v>916</v>
      </c>
      <c r="AC1037" s="43" t="s">
        <v>916</v>
      </c>
      <c r="AD1037" s="43" t="s">
        <v>916</v>
      </c>
      <c r="AE1037" s="33" t="s">
        <v>916</v>
      </c>
      <c r="AF1037" s="35" t="s">
        <v>916</v>
      </c>
      <c r="AG1037" s="44">
        <v>491193.96166666673</v>
      </c>
      <c r="AH1037" s="42" t="s">
        <v>916</v>
      </c>
      <c r="AI1037" s="32" t="e">
        <f>VLOOKUP(A1037,'4月明細'!B:B,1,0)</f>
        <v>#N/A</v>
      </c>
    </row>
    <row r="1038" spans="1:35" ht="19.95" customHeight="1" x14ac:dyDescent="0.3">
      <c r="A1038" s="33" t="s">
        <v>129</v>
      </c>
      <c r="B1038" s="34">
        <v>46034.745243055557</v>
      </c>
      <c r="C1038" s="34" t="str">
        <f t="shared" si="29"/>
        <v>202601</v>
      </c>
      <c r="D1038" s="35" t="s">
        <v>1168</v>
      </c>
      <c r="E1038" s="36" t="s">
        <v>942</v>
      </c>
      <c r="F1038" s="36" t="s">
        <v>1799</v>
      </c>
      <c r="G1038" s="37" t="s">
        <v>3596</v>
      </c>
      <c r="H1038" s="36" t="s">
        <v>913</v>
      </c>
      <c r="I1038" s="35"/>
      <c r="J1038" s="36" t="s">
        <v>945</v>
      </c>
      <c r="K1038" s="33" t="s">
        <v>916</v>
      </c>
      <c r="L1038" s="35" t="s">
        <v>916</v>
      </c>
      <c r="M1038" s="36" t="s">
        <v>916</v>
      </c>
      <c r="N1038" s="45">
        <v>46035.540972222225</v>
      </c>
      <c r="O1038" s="36" t="s">
        <v>25</v>
      </c>
      <c r="P1038" s="38">
        <v>0.79572916670000005</v>
      </c>
      <c r="Q1038" s="39" t="s">
        <v>3597</v>
      </c>
      <c r="R1038" s="35" t="s">
        <v>916</v>
      </c>
      <c r="S1038" s="35" t="s">
        <v>3598</v>
      </c>
      <c r="T1038" s="35" t="s">
        <v>1701</v>
      </c>
      <c r="U1038" s="40">
        <v>46035</v>
      </c>
      <c r="V1038" s="41">
        <v>46153.532835648148</v>
      </c>
      <c r="W1038" s="40">
        <v>46034</v>
      </c>
      <c r="X1038" s="35" t="s">
        <v>916</v>
      </c>
      <c r="Y1038" s="35" t="s">
        <v>916</v>
      </c>
      <c r="Z1038" s="35" t="s">
        <v>916</v>
      </c>
      <c r="AA1038" s="38">
        <v>19.0975000008</v>
      </c>
      <c r="AB1038" s="42" t="s">
        <v>916</v>
      </c>
      <c r="AC1038" s="43" t="s">
        <v>916</v>
      </c>
      <c r="AD1038" s="43" t="s">
        <v>916</v>
      </c>
      <c r="AE1038" s="33" t="s">
        <v>916</v>
      </c>
      <c r="AF1038" s="35" t="s">
        <v>916</v>
      </c>
      <c r="AG1038" s="44">
        <v>491177.88583333342</v>
      </c>
      <c r="AH1038" s="42" t="s">
        <v>916</v>
      </c>
      <c r="AI1038" s="32" t="e">
        <f>VLOOKUP(A1038,'4月明細'!B:B,1,0)</f>
        <v>#N/A</v>
      </c>
    </row>
    <row r="1039" spans="1:35" ht="19.95" customHeight="1" x14ac:dyDescent="0.3">
      <c r="A1039" s="33" t="s">
        <v>128</v>
      </c>
      <c r="B1039" s="34">
        <v>46034.583495370367</v>
      </c>
      <c r="C1039" s="34" t="str">
        <f t="shared" si="29"/>
        <v>202601</v>
      </c>
      <c r="D1039" s="35" t="s">
        <v>951</v>
      </c>
      <c r="E1039" s="36" t="s">
        <v>910</v>
      </c>
      <c r="F1039" s="36" t="s">
        <v>1370</v>
      </c>
      <c r="G1039" s="37" t="s">
        <v>3599</v>
      </c>
      <c r="H1039" s="36" t="s">
        <v>1114</v>
      </c>
      <c r="I1039" s="35" t="s">
        <v>3600</v>
      </c>
      <c r="J1039" s="36" t="s">
        <v>929</v>
      </c>
      <c r="K1039" s="33" t="s">
        <v>916</v>
      </c>
      <c r="L1039" s="35" t="s">
        <v>916</v>
      </c>
      <c r="M1039" s="36" t="s">
        <v>957</v>
      </c>
      <c r="N1039" s="45">
        <v>46034.635416666664</v>
      </c>
      <c r="O1039" s="36" t="s">
        <v>25</v>
      </c>
      <c r="P1039" s="38">
        <v>5.1921296300000003E-2</v>
      </c>
      <c r="Q1039" s="39" t="s">
        <v>3601</v>
      </c>
      <c r="R1039" s="35" t="s">
        <v>916</v>
      </c>
      <c r="S1039" s="35" t="s">
        <v>3602</v>
      </c>
      <c r="T1039" s="35" t="s">
        <v>1701</v>
      </c>
      <c r="U1039" s="40">
        <v>46035</v>
      </c>
      <c r="V1039" s="41">
        <v>46153.532835648148</v>
      </c>
      <c r="W1039" s="40">
        <v>46034</v>
      </c>
      <c r="X1039" s="35" t="s">
        <v>916</v>
      </c>
      <c r="Y1039" s="35" t="s">
        <v>916</v>
      </c>
      <c r="Z1039" s="35" t="s">
        <v>916</v>
      </c>
      <c r="AA1039" s="38">
        <v>1.2461111112000001</v>
      </c>
      <c r="AB1039" s="42" t="s">
        <v>916</v>
      </c>
      <c r="AC1039" s="43" t="s">
        <v>916</v>
      </c>
      <c r="AD1039" s="43" t="s">
        <v>916</v>
      </c>
      <c r="AE1039" s="33" t="s">
        <v>916</v>
      </c>
      <c r="AF1039" s="35" t="s">
        <v>916</v>
      </c>
      <c r="AG1039" s="44">
        <v>491174.00388888892</v>
      </c>
      <c r="AH1039" s="42" t="s">
        <v>916</v>
      </c>
      <c r="AI1039" s="32" t="e">
        <f>VLOOKUP(A1039,'4月明細'!B:B,1,0)</f>
        <v>#N/A</v>
      </c>
    </row>
    <row r="1040" spans="1:35" ht="19.95" customHeight="1" x14ac:dyDescent="0.3">
      <c r="A1040" s="33" t="s">
        <v>127</v>
      </c>
      <c r="B1040" s="34">
        <v>46034.552615740744</v>
      </c>
      <c r="C1040" s="34" t="str">
        <f t="shared" si="29"/>
        <v>202601</v>
      </c>
      <c r="D1040" s="35" t="s">
        <v>951</v>
      </c>
      <c r="E1040" s="36" t="s">
        <v>910</v>
      </c>
      <c r="F1040" s="36" t="s">
        <v>961</v>
      </c>
      <c r="G1040" s="37" t="s">
        <v>3603</v>
      </c>
      <c r="H1040" s="36" t="s">
        <v>954</v>
      </c>
      <c r="I1040" s="35" t="s">
        <v>3604</v>
      </c>
      <c r="J1040" s="36" t="s">
        <v>929</v>
      </c>
      <c r="K1040" s="33" t="s">
        <v>916</v>
      </c>
      <c r="L1040" s="35" t="s">
        <v>916</v>
      </c>
      <c r="M1040" s="36" t="s">
        <v>957</v>
      </c>
      <c r="N1040" s="45">
        <v>46034.636111111111</v>
      </c>
      <c r="O1040" s="36" t="s">
        <v>25</v>
      </c>
      <c r="P1040" s="38">
        <v>8.3495370400000005E-2</v>
      </c>
      <c r="Q1040" s="39" t="s">
        <v>3605</v>
      </c>
      <c r="R1040" s="35" t="s">
        <v>916</v>
      </c>
      <c r="S1040" s="35" t="s">
        <v>3606</v>
      </c>
      <c r="T1040" s="35" t="s">
        <v>1701</v>
      </c>
      <c r="U1040" s="40">
        <v>46035</v>
      </c>
      <c r="V1040" s="41">
        <v>46153.532835648148</v>
      </c>
      <c r="W1040" s="40">
        <v>46034</v>
      </c>
      <c r="X1040" s="35" t="s">
        <v>916</v>
      </c>
      <c r="Y1040" s="35" t="s">
        <v>916</v>
      </c>
      <c r="Z1040" s="35" t="s">
        <v>916</v>
      </c>
      <c r="AA1040" s="38">
        <v>2.0038888895999998</v>
      </c>
      <c r="AB1040" s="42" t="s">
        <v>916</v>
      </c>
      <c r="AC1040" s="43" t="s">
        <v>916</v>
      </c>
      <c r="AD1040" s="43" t="s">
        <v>916</v>
      </c>
      <c r="AE1040" s="33" t="s">
        <v>916</v>
      </c>
      <c r="AF1040" s="35" t="s">
        <v>916</v>
      </c>
      <c r="AG1040" s="44">
        <v>491173.26277777768</v>
      </c>
      <c r="AH1040" s="42" t="s">
        <v>916</v>
      </c>
      <c r="AI1040" s="32" t="e">
        <f>VLOOKUP(A1040,'4月明細'!B:B,1,0)</f>
        <v>#N/A</v>
      </c>
    </row>
    <row r="1041" spans="1:35" ht="19.95" customHeight="1" x14ac:dyDescent="0.3">
      <c r="A1041" s="33" t="s">
        <v>126</v>
      </c>
      <c r="B1041" s="34">
        <v>46034.513414351852</v>
      </c>
      <c r="C1041" s="34" t="str">
        <f t="shared" si="29"/>
        <v>202601</v>
      </c>
      <c r="D1041" s="35" t="s">
        <v>909</v>
      </c>
      <c r="E1041" s="36" t="s">
        <v>910</v>
      </c>
      <c r="F1041" s="36" t="s">
        <v>1693</v>
      </c>
      <c r="G1041" s="37" t="s">
        <v>3607</v>
      </c>
      <c r="H1041" s="36" t="s">
        <v>928</v>
      </c>
      <c r="I1041" s="35"/>
      <c r="J1041" s="36" t="s">
        <v>929</v>
      </c>
      <c r="K1041" s="33" t="s">
        <v>916</v>
      </c>
      <c r="L1041" s="35" t="s">
        <v>916</v>
      </c>
      <c r="M1041" s="36" t="s">
        <v>1135</v>
      </c>
      <c r="N1041" s="45">
        <v>46034.636805555558</v>
      </c>
      <c r="O1041" s="36" t="s">
        <v>25</v>
      </c>
      <c r="P1041" s="38">
        <v>0.12339120369999999</v>
      </c>
      <c r="Q1041" s="39" t="s">
        <v>3608</v>
      </c>
      <c r="R1041" s="35" t="s">
        <v>916</v>
      </c>
      <c r="S1041" s="35" t="s">
        <v>3609</v>
      </c>
      <c r="T1041" s="35" t="s">
        <v>1701</v>
      </c>
      <c r="U1041" s="40">
        <v>46035</v>
      </c>
      <c r="V1041" s="41">
        <v>46153.532835648148</v>
      </c>
      <c r="W1041" s="40">
        <v>46034</v>
      </c>
      <c r="X1041" s="35" t="s">
        <v>916</v>
      </c>
      <c r="Y1041" s="35" t="s">
        <v>916</v>
      </c>
      <c r="Z1041" s="35" t="s">
        <v>916</v>
      </c>
      <c r="AA1041" s="38">
        <v>2.9613888888000002</v>
      </c>
      <c r="AB1041" s="42" t="s">
        <v>916</v>
      </c>
      <c r="AC1041" s="43" t="s">
        <v>916</v>
      </c>
      <c r="AD1041" s="43" t="s">
        <v>916</v>
      </c>
      <c r="AE1041" s="33" t="s">
        <v>916</v>
      </c>
      <c r="AF1041" s="35" t="s">
        <v>916</v>
      </c>
      <c r="AG1041" s="44">
        <v>491172.32194444438</v>
      </c>
      <c r="AH1041" s="42" t="s">
        <v>916</v>
      </c>
      <c r="AI1041" s="32" t="e">
        <f>VLOOKUP(A1041,'4月明細'!B:B,1,0)</f>
        <v>#N/A</v>
      </c>
    </row>
    <row r="1042" spans="1:35" ht="19.95" customHeight="1" x14ac:dyDescent="0.3">
      <c r="A1042" s="33" t="s">
        <v>125</v>
      </c>
      <c r="B1042" s="34">
        <v>46034.399340277778</v>
      </c>
      <c r="C1042" s="34" t="str">
        <f t="shared" si="29"/>
        <v>202601</v>
      </c>
      <c r="D1042" s="35" t="s">
        <v>2310</v>
      </c>
      <c r="E1042" s="36" t="s">
        <v>1149</v>
      </c>
      <c r="F1042" s="36" t="s">
        <v>1475</v>
      </c>
      <c r="G1042" s="37" t="s">
        <v>3610</v>
      </c>
      <c r="H1042" s="36" t="s">
        <v>913</v>
      </c>
      <c r="I1042" s="35" t="s">
        <v>3611</v>
      </c>
      <c r="J1042" s="36" t="s">
        <v>938</v>
      </c>
      <c r="K1042" s="33" t="s">
        <v>916</v>
      </c>
      <c r="L1042" s="35" t="s">
        <v>916</v>
      </c>
      <c r="M1042" s="36" t="s">
        <v>957</v>
      </c>
      <c r="N1042" s="45">
        <v>46037.918055555558</v>
      </c>
      <c r="O1042" s="36" t="s">
        <v>25</v>
      </c>
      <c r="P1042" s="38">
        <v>3.5187152778000002</v>
      </c>
      <c r="Q1042" s="39" t="s">
        <v>3612</v>
      </c>
      <c r="R1042" s="35" t="s">
        <v>916</v>
      </c>
      <c r="S1042" s="35" t="s">
        <v>3613</v>
      </c>
      <c r="T1042" s="35" t="s">
        <v>1701</v>
      </c>
      <c r="U1042" s="40">
        <v>46035</v>
      </c>
      <c r="V1042" s="41">
        <v>46153.532835648148</v>
      </c>
      <c r="W1042" s="40">
        <v>46034</v>
      </c>
      <c r="X1042" s="35" t="s">
        <v>916</v>
      </c>
      <c r="Y1042" s="35" t="s">
        <v>916</v>
      </c>
      <c r="Z1042" s="35" t="s">
        <v>916</v>
      </c>
      <c r="AA1042" s="38">
        <v>84.449166667200004</v>
      </c>
      <c r="AB1042" s="42" t="s">
        <v>916</v>
      </c>
      <c r="AC1042" s="43" t="s">
        <v>916</v>
      </c>
      <c r="AD1042" s="43" t="s">
        <v>916</v>
      </c>
      <c r="AE1042" s="33" t="s">
        <v>916</v>
      </c>
      <c r="AF1042" s="35" t="s">
        <v>916</v>
      </c>
      <c r="AG1042" s="44">
        <v>491169.58416666673</v>
      </c>
      <c r="AH1042" s="42" t="s">
        <v>916</v>
      </c>
      <c r="AI1042" s="32" t="e">
        <f>VLOOKUP(A1042,'4月明細'!B:B,1,0)</f>
        <v>#N/A</v>
      </c>
    </row>
    <row r="1043" spans="1:35" ht="19.95" customHeight="1" x14ac:dyDescent="0.3">
      <c r="A1043" s="33" t="s">
        <v>124</v>
      </c>
      <c r="B1043" s="34">
        <v>46034.393969907411</v>
      </c>
      <c r="C1043" s="34" t="str">
        <f t="shared" si="29"/>
        <v>202601</v>
      </c>
      <c r="D1043" s="35" t="s">
        <v>2310</v>
      </c>
      <c r="E1043" s="36" t="s">
        <v>1149</v>
      </c>
      <c r="F1043" s="36" t="s">
        <v>1335</v>
      </c>
      <c r="G1043" s="37" t="s">
        <v>3614</v>
      </c>
      <c r="H1043" s="36" t="s">
        <v>928</v>
      </c>
      <c r="I1043" s="35" t="s">
        <v>3615</v>
      </c>
      <c r="J1043" s="36" t="s">
        <v>938</v>
      </c>
      <c r="K1043" s="33" t="s">
        <v>916</v>
      </c>
      <c r="L1043" s="35" t="s">
        <v>916</v>
      </c>
      <c r="M1043" s="36" t="s">
        <v>957</v>
      </c>
      <c r="N1043" s="45">
        <v>46037.921527777777</v>
      </c>
      <c r="O1043" s="36" t="s">
        <v>25</v>
      </c>
      <c r="P1043" s="38">
        <v>3.5275578703999999</v>
      </c>
      <c r="Q1043" s="39" t="s">
        <v>3616</v>
      </c>
      <c r="R1043" s="35" t="s">
        <v>916</v>
      </c>
      <c r="S1043" s="35" t="s">
        <v>3617</v>
      </c>
      <c r="T1043" s="35" t="s">
        <v>1701</v>
      </c>
      <c r="U1043" s="40">
        <v>46035</v>
      </c>
      <c r="V1043" s="41">
        <v>46153.532835648148</v>
      </c>
      <c r="W1043" s="40">
        <v>46034</v>
      </c>
      <c r="X1043" s="35" t="s">
        <v>916</v>
      </c>
      <c r="Y1043" s="35" t="s">
        <v>916</v>
      </c>
      <c r="Z1043" s="35" t="s">
        <v>916</v>
      </c>
      <c r="AA1043" s="38">
        <v>84.661388889600005</v>
      </c>
      <c r="AB1043" s="42" t="s">
        <v>916</v>
      </c>
      <c r="AC1043" s="43" t="s">
        <v>916</v>
      </c>
      <c r="AD1043" s="43" t="s">
        <v>916</v>
      </c>
      <c r="AE1043" s="33" t="s">
        <v>916</v>
      </c>
      <c r="AF1043" s="35" t="s">
        <v>916</v>
      </c>
      <c r="AG1043" s="44">
        <v>491169.45527777768</v>
      </c>
      <c r="AH1043" s="42" t="s">
        <v>916</v>
      </c>
      <c r="AI1043" s="32" t="e">
        <f>VLOOKUP(A1043,'4月明細'!B:B,1,0)</f>
        <v>#N/A</v>
      </c>
    </row>
    <row r="1044" spans="1:35" ht="19.95" customHeight="1" x14ac:dyDescent="0.3">
      <c r="A1044" s="33" t="s">
        <v>3618</v>
      </c>
      <c r="B1044" s="34">
        <v>46034.392754629633</v>
      </c>
      <c r="C1044" s="34" t="str">
        <f t="shared" si="29"/>
        <v>202601</v>
      </c>
      <c r="D1044" s="35" t="s">
        <v>2310</v>
      </c>
      <c r="E1044" s="36" t="s">
        <v>1149</v>
      </c>
      <c r="F1044" s="36" t="s">
        <v>1335</v>
      </c>
      <c r="G1044" s="37" t="s">
        <v>3619</v>
      </c>
      <c r="H1044" s="36" t="s">
        <v>928</v>
      </c>
      <c r="I1044" s="35" t="s">
        <v>3620</v>
      </c>
      <c r="J1044" s="36" t="s">
        <v>938</v>
      </c>
      <c r="K1044" s="33" t="s">
        <v>916</v>
      </c>
      <c r="L1044" s="35" t="s">
        <v>916</v>
      </c>
      <c r="M1044" s="36" t="s">
        <v>957</v>
      </c>
      <c r="N1044" s="45">
        <v>46076.711805555555</v>
      </c>
      <c r="O1044" s="36" t="s">
        <v>1384</v>
      </c>
      <c r="P1044" s="38">
        <v>42.319050925900001</v>
      </c>
      <c r="Q1044" s="39" t="s">
        <v>3621</v>
      </c>
      <c r="R1044" s="35" t="s">
        <v>916</v>
      </c>
      <c r="S1044" s="35"/>
      <c r="T1044" s="35" t="s">
        <v>1624</v>
      </c>
      <c r="U1044" s="40">
        <v>46035</v>
      </c>
      <c r="V1044" s="41">
        <v>46153.532835648148</v>
      </c>
      <c r="W1044" s="40">
        <v>46034</v>
      </c>
      <c r="X1044" s="35" t="s">
        <v>916</v>
      </c>
      <c r="Y1044" s="35" t="s">
        <v>916</v>
      </c>
      <c r="Z1044" s="35" t="s">
        <v>916</v>
      </c>
      <c r="AA1044" s="38">
        <v>1015.6572222216</v>
      </c>
      <c r="AB1044" s="42" t="s">
        <v>916</v>
      </c>
      <c r="AC1044" s="43" t="s">
        <v>916</v>
      </c>
      <c r="AD1044" s="43" t="s">
        <v>916</v>
      </c>
      <c r="AE1044" s="33" t="s">
        <v>916</v>
      </c>
      <c r="AF1044" s="35" t="s">
        <v>916</v>
      </c>
      <c r="AG1044" s="44">
        <v>491169.42611111113</v>
      </c>
      <c r="AH1044" s="42" t="s">
        <v>916</v>
      </c>
      <c r="AI1044" s="32" t="e">
        <f>VLOOKUP(A1044,'4月明細'!B:B,1,0)</f>
        <v>#N/A</v>
      </c>
    </row>
    <row r="1045" spans="1:35" ht="19.95" customHeight="1" x14ac:dyDescent="0.3">
      <c r="A1045" s="33" t="s">
        <v>123</v>
      </c>
      <c r="B1045" s="34">
        <v>46034.392164351855</v>
      </c>
      <c r="C1045" s="34" t="str">
        <f t="shared" si="29"/>
        <v>202601</v>
      </c>
      <c r="D1045" s="35" t="s">
        <v>2310</v>
      </c>
      <c r="E1045" s="36" t="s">
        <v>1149</v>
      </c>
      <c r="F1045" s="36" t="s">
        <v>1475</v>
      </c>
      <c r="G1045" s="37" t="s">
        <v>3622</v>
      </c>
      <c r="H1045" s="36" t="s">
        <v>928</v>
      </c>
      <c r="I1045" s="35" t="s">
        <v>3623</v>
      </c>
      <c r="J1045" s="36" t="s">
        <v>938</v>
      </c>
      <c r="K1045" s="33" t="s">
        <v>916</v>
      </c>
      <c r="L1045" s="35" t="s">
        <v>916</v>
      </c>
      <c r="M1045" s="36" t="s">
        <v>957</v>
      </c>
      <c r="N1045" s="45">
        <v>46037.918749999997</v>
      </c>
      <c r="O1045" s="36" t="s">
        <v>25</v>
      </c>
      <c r="P1045" s="38">
        <v>3.5265856481000002</v>
      </c>
      <c r="Q1045" s="39" t="s">
        <v>3624</v>
      </c>
      <c r="R1045" s="35" t="s">
        <v>916</v>
      </c>
      <c r="S1045" s="35" t="s">
        <v>3625</v>
      </c>
      <c r="T1045" s="35" t="s">
        <v>1701</v>
      </c>
      <c r="U1045" s="40">
        <v>46035</v>
      </c>
      <c r="V1045" s="41">
        <v>46153.532835648148</v>
      </c>
      <c r="W1045" s="40">
        <v>46034</v>
      </c>
      <c r="X1045" s="35" t="s">
        <v>916</v>
      </c>
      <c r="Y1045" s="35" t="s">
        <v>916</v>
      </c>
      <c r="Z1045" s="35" t="s">
        <v>916</v>
      </c>
      <c r="AA1045" s="38">
        <v>84.638055554399998</v>
      </c>
      <c r="AB1045" s="42" t="s">
        <v>916</v>
      </c>
      <c r="AC1045" s="43" t="s">
        <v>916</v>
      </c>
      <c r="AD1045" s="43" t="s">
        <v>916</v>
      </c>
      <c r="AE1045" s="33" t="s">
        <v>916</v>
      </c>
      <c r="AF1045" s="35" t="s">
        <v>916</v>
      </c>
      <c r="AG1045" s="44">
        <v>491169.41194444441</v>
      </c>
      <c r="AH1045" s="42" t="s">
        <v>916</v>
      </c>
      <c r="AI1045" s="32" t="e">
        <f>VLOOKUP(A1045,'4月明細'!B:B,1,0)</f>
        <v>#N/A</v>
      </c>
    </row>
    <row r="1046" spans="1:35" ht="19.95" customHeight="1" x14ac:dyDescent="0.3">
      <c r="A1046" s="33" t="s">
        <v>122</v>
      </c>
      <c r="B1046" s="34">
        <v>46034.390798611108</v>
      </c>
      <c r="C1046" s="34" t="str">
        <f t="shared" si="29"/>
        <v>202601</v>
      </c>
      <c r="D1046" s="35" t="s">
        <v>2310</v>
      </c>
      <c r="E1046" s="36" t="s">
        <v>1149</v>
      </c>
      <c r="F1046" s="36" t="s">
        <v>1475</v>
      </c>
      <c r="G1046" s="37" t="s">
        <v>3626</v>
      </c>
      <c r="H1046" s="36" t="s">
        <v>928</v>
      </c>
      <c r="I1046" s="35" t="s">
        <v>3627</v>
      </c>
      <c r="J1046" s="36" t="s">
        <v>938</v>
      </c>
      <c r="K1046" s="33" t="s">
        <v>916</v>
      </c>
      <c r="L1046" s="35" t="s">
        <v>916</v>
      </c>
      <c r="M1046" s="36" t="s">
        <v>957</v>
      </c>
      <c r="N1046" s="45">
        <v>46048.500694444447</v>
      </c>
      <c r="O1046" s="36" t="s">
        <v>25</v>
      </c>
      <c r="P1046" s="38">
        <v>14.1098958333</v>
      </c>
      <c r="Q1046" s="39" t="s">
        <v>3628</v>
      </c>
      <c r="R1046" s="35" t="s">
        <v>916</v>
      </c>
      <c r="S1046" s="35"/>
      <c r="T1046" s="35" t="s">
        <v>1624</v>
      </c>
      <c r="U1046" s="40">
        <v>46035</v>
      </c>
      <c r="V1046" s="41">
        <v>46153.532835648148</v>
      </c>
      <c r="W1046" s="40">
        <v>46034</v>
      </c>
      <c r="X1046" s="35" t="s">
        <v>916</v>
      </c>
      <c r="Y1046" s="35" t="s">
        <v>916</v>
      </c>
      <c r="Z1046" s="35" t="s">
        <v>916</v>
      </c>
      <c r="AA1046" s="38">
        <v>338.63749999919997</v>
      </c>
      <c r="AB1046" s="42" t="s">
        <v>916</v>
      </c>
      <c r="AC1046" s="43" t="s">
        <v>916</v>
      </c>
      <c r="AD1046" s="43" t="s">
        <v>916</v>
      </c>
      <c r="AE1046" s="33" t="s">
        <v>916</v>
      </c>
      <c r="AF1046" s="35" t="s">
        <v>916</v>
      </c>
      <c r="AG1046" s="44">
        <v>491169.37916666671</v>
      </c>
      <c r="AH1046" s="42" t="s">
        <v>916</v>
      </c>
      <c r="AI1046" s="32" t="e">
        <f>VLOOKUP(A1046,'4月明細'!B:B,1,0)</f>
        <v>#N/A</v>
      </c>
    </row>
    <row r="1047" spans="1:35" ht="19.95" customHeight="1" x14ac:dyDescent="0.3">
      <c r="A1047" s="33" t="s">
        <v>121</v>
      </c>
      <c r="B1047" s="34">
        <v>46034.390150462961</v>
      </c>
      <c r="C1047" s="34" t="str">
        <f t="shared" si="29"/>
        <v>202601</v>
      </c>
      <c r="D1047" s="35" t="s">
        <v>2310</v>
      </c>
      <c r="E1047" s="36" t="s">
        <v>1149</v>
      </c>
      <c r="F1047" s="36" t="s">
        <v>1770</v>
      </c>
      <c r="G1047" s="37" t="s">
        <v>3629</v>
      </c>
      <c r="H1047" s="36" t="s">
        <v>928</v>
      </c>
      <c r="I1047" s="35" t="s">
        <v>3630</v>
      </c>
      <c r="J1047" s="36" t="s">
        <v>938</v>
      </c>
      <c r="K1047" s="33" t="s">
        <v>916</v>
      </c>
      <c r="L1047" s="35" t="s">
        <v>916</v>
      </c>
      <c r="M1047" s="36" t="s">
        <v>916</v>
      </c>
      <c r="N1047" s="45">
        <v>46052.597916666666</v>
      </c>
      <c r="O1047" s="36" t="s">
        <v>25</v>
      </c>
      <c r="P1047" s="38">
        <v>18.2077662037</v>
      </c>
      <c r="Q1047" s="39" t="s">
        <v>3631</v>
      </c>
      <c r="R1047" s="35" t="s">
        <v>916</v>
      </c>
      <c r="S1047" s="35" t="s">
        <v>3632</v>
      </c>
      <c r="T1047" s="35" t="s">
        <v>1701</v>
      </c>
      <c r="U1047" s="40">
        <v>46035</v>
      </c>
      <c r="V1047" s="41">
        <v>46153.532835648148</v>
      </c>
      <c r="W1047" s="40">
        <v>46034</v>
      </c>
      <c r="X1047" s="35" t="s">
        <v>916</v>
      </c>
      <c r="Y1047" s="35" t="s">
        <v>916</v>
      </c>
      <c r="Z1047" s="35" t="s">
        <v>916</v>
      </c>
      <c r="AA1047" s="38">
        <v>436.98638888879998</v>
      </c>
      <c r="AB1047" s="42" t="s">
        <v>916</v>
      </c>
      <c r="AC1047" s="43" t="s">
        <v>916</v>
      </c>
      <c r="AD1047" s="43" t="s">
        <v>916</v>
      </c>
      <c r="AE1047" s="33" t="s">
        <v>916</v>
      </c>
      <c r="AF1047" s="35" t="s">
        <v>916</v>
      </c>
      <c r="AG1047" s="44">
        <v>491169.36361111118</v>
      </c>
      <c r="AH1047" s="42" t="s">
        <v>916</v>
      </c>
      <c r="AI1047" s="32" t="e">
        <f>VLOOKUP(A1047,'4月明細'!B:B,1,0)</f>
        <v>#N/A</v>
      </c>
    </row>
    <row r="1048" spans="1:35" ht="19.95" customHeight="1" x14ac:dyDescent="0.3">
      <c r="A1048" s="33" t="s">
        <v>3633</v>
      </c>
      <c r="B1048" s="34">
        <v>46034.389317129629</v>
      </c>
      <c r="C1048" s="34" t="str">
        <f t="shared" si="29"/>
        <v>202601</v>
      </c>
      <c r="D1048" s="35" t="s">
        <v>2310</v>
      </c>
      <c r="E1048" s="36" t="s">
        <v>1149</v>
      </c>
      <c r="F1048" s="36" t="s">
        <v>1211</v>
      </c>
      <c r="G1048" s="37" t="s">
        <v>3634</v>
      </c>
      <c r="H1048" s="36" t="s">
        <v>928</v>
      </c>
      <c r="I1048" s="35" t="s">
        <v>3635</v>
      </c>
      <c r="J1048" s="36" t="s">
        <v>938</v>
      </c>
      <c r="K1048" s="33" t="s">
        <v>916</v>
      </c>
      <c r="L1048" s="35" t="s">
        <v>916</v>
      </c>
      <c r="M1048" s="36" t="s">
        <v>957</v>
      </c>
      <c r="N1048" s="45">
        <v>46048.372916666667</v>
      </c>
      <c r="O1048" s="36" t="s">
        <v>1797</v>
      </c>
      <c r="P1048" s="38">
        <v>13.983599537</v>
      </c>
      <c r="Q1048" s="39" t="s">
        <v>3636</v>
      </c>
      <c r="R1048" s="35" t="s">
        <v>916</v>
      </c>
      <c r="S1048" s="35"/>
      <c r="T1048" s="35" t="s">
        <v>1624</v>
      </c>
      <c r="U1048" s="40">
        <v>46035</v>
      </c>
      <c r="V1048" s="41">
        <v>46153.532835648148</v>
      </c>
      <c r="W1048" s="40">
        <v>46034</v>
      </c>
      <c r="X1048" s="35" t="s">
        <v>916</v>
      </c>
      <c r="Y1048" s="35" t="s">
        <v>916</v>
      </c>
      <c r="Z1048" s="35" t="s">
        <v>916</v>
      </c>
      <c r="AA1048" s="38">
        <v>335.60638888800003</v>
      </c>
      <c r="AB1048" s="42" t="s">
        <v>916</v>
      </c>
      <c r="AC1048" s="43" t="s">
        <v>916</v>
      </c>
      <c r="AD1048" s="43" t="s">
        <v>916</v>
      </c>
      <c r="AE1048" s="33" t="s">
        <v>916</v>
      </c>
      <c r="AF1048" s="35" t="s">
        <v>916</v>
      </c>
      <c r="AG1048" s="44">
        <v>491169.34361111111</v>
      </c>
      <c r="AH1048" s="42" t="s">
        <v>916</v>
      </c>
      <c r="AI1048" s="32" t="e">
        <f>VLOOKUP(A1048,'4月明細'!B:B,1,0)</f>
        <v>#N/A</v>
      </c>
    </row>
    <row r="1049" spans="1:35" ht="19.95" customHeight="1" x14ac:dyDescent="0.3">
      <c r="A1049" s="33" t="s">
        <v>3637</v>
      </c>
      <c r="B1049" s="34">
        <v>46034.388252314813</v>
      </c>
      <c r="C1049" s="34" t="str">
        <f t="shared" si="29"/>
        <v>202601</v>
      </c>
      <c r="D1049" s="35" t="s">
        <v>2310</v>
      </c>
      <c r="E1049" s="36" t="s">
        <v>1149</v>
      </c>
      <c r="F1049" s="36" t="s">
        <v>1211</v>
      </c>
      <c r="G1049" s="37" t="s">
        <v>3638</v>
      </c>
      <c r="H1049" s="36" t="s">
        <v>928</v>
      </c>
      <c r="I1049" s="35" t="s">
        <v>3639</v>
      </c>
      <c r="J1049" s="36" t="s">
        <v>938</v>
      </c>
      <c r="K1049" s="33" t="s">
        <v>916</v>
      </c>
      <c r="L1049" s="35" t="s">
        <v>916</v>
      </c>
      <c r="M1049" s="36" t="s">
        <v>957</v>
      </c>
      <c r="N1049" s="45">
        <v>46048.373611111114</v>
      </c>
      <c r="O1049" s="36" t="s">
        <v>1797</v>
      </c>
      <c r="P1049" s="38">
        <v>13.9853587963</v>
      </c>
      <c r="Q1049" s="39" t="s">
        <v>3636</v>
      </c>
      <c r="R1049" s="35" t="s">
        <v>916</v>
      </c>
      <c r="S1049" s="35"/>
      <c r="T1049" s="35" t="s">
        <v>1624</v>
      </c>
      <c r="U1049" s="40">
        <v>46035</v>
      </c>
      <c r="V1049" s="41">
        <v>46153.532835648148</v>
      </c>
      <c r="W1049" s="40">
        <v>46034</v>
      </c>
      <c r="X1049" s="35" t="s">
        <v>916</v>
      </c>
      <c r="Y1049" s="35" t="s">
        <v>916</v>
      </c>
      <c r="Z1049" s="35" t="s">
        <v>916</v>
      </c>
      <c r="AA1049" s="38">
        <v>335.64861111120001</v>
      </c>
      <c r="AB1049" s="42" t="s">
        <v>916</v>
      </c>
      <c r="AC1049" s="43" t="s">
        <v>916</v>
      </c>
      <c r="AD1049" s="43" t="s">
        <v>916</v>
      </c>
      <c r="AE1049" s="33" t="s">
        <v>916</v>
      </c>
      <c r="AF1049" s="35" t="s">
        <v>916</v>
      </c>
      <c r="AG1049" s="44">
        <v>491169.31805555557</v>
      </c>
      <c r="AH1049" s="42" t="s">
        <v>916</v>
      </c>
      <c r="AI1049" s="32" t="e">
        <f>VLOOKUP(A1049,'4月明細'!B:B,1,0)</f>
        <v>#N/A</v>
      </c>
    </row>
    <row r="1050" spans="1:35" ht="19.95" customHeight="1" x14ac:dyDescent="0.3">
      <c r="A1050" s="33" t="s">
        <v>120</v>
      </c>
      <c r="B1050" s="34">
        <v>46034.387743055559</v>
      </c>
      <c r="C1050" s="34" t="str">
        <f t="shared" si="29"/>
        <v>202601</v>
      </c>
      <c r="D1050" s="35" t="s">
        <v>2310</v>
      </c>
      <c r="E1050" s="36" t="s">
        <v>1149</v>
      </c>
      <c r="F1050" s="36" t="s">
        <v>1193</v>
      </c>
      <c r="G1050" s="37" t="s">
        <v>3640</v>
      </c>
      <c r="H1050" s="36" t="s">
        <v>1023</v>
      </c>
      <c r="I1050" s="35" t="s">
        <v>3641</v>
      </c>
      <c r="J1050" s="36" t="s">
        <v>938</v>
      </c>
      <c r="K1050" s="33" t="s">
        <v>916</v>
      </c>
      <c r="L1050" s="35" t="s">
        <v>916</v>
      </c>
      <c r="M1050" s="36" t="s">
        <v>957</v>
      </c>
      <c r="N1050" s="45">
        <v>46034.651388888888</v>
      </c>
      <c r="O1050" s="36" t="s">
        <v>25</v>
      </c>
      <c r="P1050" s="38">
        <v>0.26364583330000002</v>
      </c>
      <c r="Q1050" s="39" t="s">
        <v>3642</v>
      </c>
      <c r="R1050" s="35" t="s">
        <v>916</v>
      </c>
      <c r="S1050" s="35" t="s">
        <v>3643</v>
      </c>
      <c r="T1050" s="35" t="s">
        <v>1701</v>
      </c>
      <c r="U1050" s="40">
        <v>46035</v>
      </c>
      <c r="V1050" s="41">
        <v>46153.532835648148</v>
      </c>
      <c r="W1050" s="40">
        <v>46034</v>
      </c>
      <c r="X1050" s="35" t="s">
        <v>916</v>
      </c>
      <c r="Y1050" s="35" t="s">
        <v>916</v>
      </c>
      <c r="Z1050" s="35" t="s">
        <v>916</v>
      </c>
      <c r="AA1050" s="38">
        <v>6.3274999991999996</v>
      </c>
      <c r="AB1050" s="42" t="s">
        <v>916</v>
      </c>
      <c r="AC1050" s="43" t="s">
        <v>916</v>
      </c>
      <c r="AD1050" s="43" t="s">
        <v>916</v>
      </c>
      <c r="AE1050" s="33" t="s">
        <v>916</v>
      </c>
      <c r="AF1050" s="35" t="s">
        <v>916</v>
      </c>
      <c r="AG1050" s="44">
        <v>491169.30583333329</v>
      </c>
      <c r="AH1050" s="42" t="s">
        <v>916</v>
      </c>
      <c r="AI1050" s="32" t="e">
        <f>VLOOKUP(A1050,'4月明細'!B:B,1,0)</f>
        <v>#N/A</v>
      </c>
    </row>
    <row r="1051" spans="1:35" ht="19.95" customHeight="1" x14ac:dyDescent="0.3">
      <c r="A1051" s="33" t="s">
        <v>275</v>
      </c>
      <c r="B1051" s="34">
        <v>46034.386886574073</v>
      </c>
      <c r="C1051" s="34" t="str">
        <f t="shared" si="29"/>
        <v>202601</v>
      </c>
      <c r="D1051" s="35" t="s">
        <v>2310</v>
      </c>
      <c r="E1051" s="36" t="s">
        <v>1149</v>
      </c>
      <c r="F1051" s="36" t="s">
        <v>1193</v>
      </c>
      <c r="G1051" s="37" t="s">
        <v>3644</v>
      </c>
      <c r="H1051" s="36" t="s">
        <v>1023</v>
      </c>
      <c r="I1051" s="35" t="s">
        <v>3645</v>
      </c>
      <c r="J1051" s="36" t="s">
        <v>938</v>
      </c>
      <c r="K1051" s="33" t="s">
        <v>916</v>
      </c>
      <c r="L1051" s="35" t="s">
        <v>916</v>
      </c>
      <c r="M1051" s="36" t="s">
        <v>957</v>
      </c>
      <c r="N1051" s="45">
        <v>46063.548611111109</v>
      </c>
      <c r="O1051" s="36" t="s">
        <v>25</v>
      </c>
      <c r="P1051" s="38">
        <v>29.161724537000001</v>
      </c>
      <c r="Q1051" s="39" t="s">
        <v>3065</v>
      </c>
      <c r="R1051" s="46" t="s">
        <v>2845</v>
      </c>
      <c r="S1051" s="35"/>
      <c r="T1051" s="35" t="s">
        <v>1624</v>
      </c>
      <c r="U1051" s="40">
        <v>46035</v>
      </c>
      <c r="V1051" s="41">
        <v>46153.532835648148</v>
      </c>
      <c r="W1051" s="40">
        <v>46034</v>
      </c>
      <c r="X1051" s="35" t="s">
        <v>916</v>
      </c>
      <c r="Y1051" s="35" t="s">
        <v>916</v>
      </c>
      <c r="Z1051" s="35" t="s">
        <v>916</v>
      </c>
      <c r="AA1051" s="38">
        <v>699.88138888799995</v>
      </c>
      <c r="AB1051" s="42" t="s">
        <v>916</v>
      </c>
      <c r="AC1051" s="43" t="s">
        <v>916</v>
      </c>
      <c r="AD1051" s="43" t="s">
        <v>916</v>
      </c>
      <c r="AE1051" s="33" t="s">
        <v>916</v>
      </c>
      <c r="AF1051" s="35" t="s">
        <v>916</v>
      </c>
      <c r="AG1051" s="44">
        <v>491169.28527777782</v>
      </c>
      <c r="AH1051" s="42" t="s">
        <v>916</v>
      </c>
      <c r="AI1051" s="32" t="e">
        <f>VLOOKUP(A1051,'4月明細'!B:B,1,0)</f>
        <v>#N/A</v>
      </c>
    </row>
    <row r="1052" spans="1:35" ht="19.95" customHeight="1" x14ac:dyDescent="0.3">
      <c r="A1052" s="33" t="s">
        <v>274</v>
      </c>
      <c r="B1052" s="34">
        <v>46034.384953703702</v>
      </c>
      <c r="C1052" s="34" t="str">
        <f t="shared" si="29"/>
        <v>202601</v>
      </c>
      <c r="D1052" s="35" t="s">
        <v>2310</v>
      </c>
      <c r="E1052" s="36" t="s">
        <v>1149</v>
      </c>
      <c r="F1052" s="36" t="s">
        <v>935</v>
      </c>
      <c r="G1052" s="37" t="s">
        <v>3646</v>
      </c>
      <c r="H1052" s="36" t="s">
        <v>1023</v>
      </c>
      <c r="I1052" s="35" t="s">
        <v>3645</v>
      </c>
      <c r="J1052" s="36" t="s">
        <v>938</v>
      </c>
      <c r="K1052" s="33" t="s">
        <v>916</v>
      </c>
      <c r="L1052" s="35" t="s">
        <v>916</v>
      </c>
      <c r="M1052" s="36" t="s">
        <v>957</v>
      </c>
      <c r="N1052" s="45">
        <v>46063.548611111109</v>
      </c>
      <c r="O1052" s="36" t="s">
        <v>25</v>
      </c>
      <c r="P1052" s="38">
        <v>29.163657407399999</v>
      </c>
      <c r="Q1052" s="39" t="s">
        <v>3065</v>
      </c>
      <c r="R1052" s="46" t="s">
        <v>2845</v>
      </c>
      <c r="S1052" s="35"/>
      <c r="T1052" s="35" t="s">
        <v>1624</v>
      </c>
      <c r="U1052" s="40">
        <v>46035</v>
      </c>
      <c r="V1052" s="41">
        <v>46153.532835648148</v>
      </c>
      <c r="W1052" s="40">
        <v>46034</v>
      </c>
      <c r="X1052" s="35" t="s">
        <v>916</v>
      </c>
      <c r="Y1052" s="35" t="s">
        <v>916</v>
      </c>
      <c r="Z1052" s="35" t="s">
        <v>916</v>
      </c>
      <c r="AA1052" s="38">
        <v>699.9277777776</v>
      </c>
      <c r="AB1052" s="42" t="s">
        <v>916</v>
      </c>
      <c r="AC1052" s="43" t="s">
        <v>916</v>
      </c>
      <c r="AD1052" s="43" t="s">
        <v>916</v>
      </c>
      <c r="AE1052" s="33" t="s">
        <v>916</v>
      </c>
      <c r="AF1052" s="35" t="s">
        <v>916</v>
      </c>
      <c r="AG1052" s="44">
        <v>491169.23888888891</v>
      </c>
      <c r="AH1052" s="42" t="s">
        <v>916</v>
      </c>
      <c r="AI1052" s="32" t="e">
        <f>VLOOKUP(A1052,'4月明細'!B:B,1,0)</f>
        <v>#N/A</v>
      </c>
    </row>
    <row r="1053" spans="1:35" ht="19.95" customHeight="1" x14ac:dyDescent="0.3">
      <c r="A1053" s="33" t="s">
        <v>273</v>
      </c>
      <c r="B1053" s="34">
        <v>46034.383773148147</v>
      </c>
      <c r="C1053" s="34" t="str">
        <f t="shared" si="29"/>
        <v>202601</v>
      </c>
      <c r="D1053" s="35" t="s">
        <v>2310</v>
      </c>
      <c r="E1053" s="36" t="s">
        <v>1149</v>
      </c>
      <c r="F1053" s="36" t="s">
        <v>1138</v>
      </c>
      <c r="G1053" s="37" t="s">
        <v>3647</v>
      </c>
      <c r="H1053" s="36" t="s">
        <v>928</v>
      </c>
      <c r="I1053" s="35" t="s">
        <v>3648</v>
      </c>
      <c r="J1053" s="36" t="s">
        <v>938</v>
      </c>
      <c r="K1053" s="33" t="s">
        <v>916</v>
      </c>
      <c r="L1053" s="35" t="s">
        <v>916</v>
      </c>
      <c r="M1053" s="36" t="s">
        <v>957</v>
      </c>
      <c r="N1053" s="45">
        <v>46076.712500000001</v>
      </c>
      <c r="O1053" s="36" t="s">
        <v>25</v>
      </c>
      <c r="P1053" s="38">
        <v>42.328726851900001</v>
      </c>
      <c r="Q1053" s="39" t="s">
        <v>2835</v>
      </c>
      <c r="R1053" s="35" t="s">
        <v>916</v>
      </c>
      <c r="S1053" s="35"/>
      <c r="T1053" s="35" t="s">
        <v>1624</v>
      </c>
      <c r="U1053" s="40">
        <v>46035</v>
      </c>
      <c r="V1053" s="41">
        <v>46153.532835648148</v>
      </c>
      <c r="W1053" s="40">
        <v>46034</v>
      </c>
      <c r="X1053" s="35" t="s">
        <v>916</v>
      </c>
      <c r="Y1053" s="35" t="s">
        <v>916</v>
      </c>
      <c r="Z1053" s="35" t="s">
        <v>916</v>
      </c>
      <c r="AA1053" s="38">
        <v>1015.8894444456</v>
      </c>
      <c r="AB1053" s="42" t="s">
        <v>916</v>
      </c>
      <c r="AC1053" s="43" t="s">
        <v>916</v>
      </c>
      <c r="AD1053" s="43" t="s">
        <v>916</v>
      </c>
      <c r="AE1053" s="33" t="s">
        <v>916</v>
      </c>
      <c r="AF1053" s="35" t="s">
        <v>916</v>
      </c>
      <c r="AG1053" s="44">
        <v>491169.21055555559</v>
      </c>
      <c r="AH1053" s="42" t="s">
        <v>916</v>
      </c>
      <c r="AI1053" s="32" t="e">
        <f>VLOOKUP(A1053,'4月明細'!B:B,1,0)</f>
        <v>#N/A</v>
      </c>
    </row>
    <row r="1054" spans="1:35" ht="19.95" customHeight="1" x14ac:dyDescent="0.3">
      <c r="A1054" s="33" t="s">
        <v>272</v>
      </c>
      <c r="B1054" s="34">
        <v>46034.382118055553</v>
      </c>
      <c r="C1054" s="34" t="str">
        <f t="shared" si="29"/>
        <v>202601</v>
      </c>
      <c r="D1054" s="35" t="s">
        <v>3649</v>
      </c>
      <c r="E1054" s="36" t="s">
        <v>1149</v>
      </c>
      <c r="F1054" s="36" t="s">
        <v>981</v>
      </c>
      <c r="G1054" s="37" t="s">
        <v>3650</v>
      </c>
      <c r="H1054" s="36" t="s">
        <v>928</v>
      </c>
      <c r="I1054" s="35" t="s">
        <v>3651</v>
      </c>
      <c r="J1054" s="36" t="s">
        <v>938</v>
      </c>
      <c r="K1054" s="33" t="s">
        <v>916</v>
      </c>
      <c r="L1054" s="35" t="s">
        <v>916</v>
      </c>
      <c r="M1054" s="36" t="s">
        <v>957</v>
      </c>
      <c r="N1054" s="45">
        <v>46076.712500000001</v>
      </c>
      <c r="O1054" s="36" t="s">
        <v>25</v>
      </c>
      <c r="P1054" s="38">
        <v>42.330381944400003</v>
      </c>
      <c r="Q1054" s="39" t="s">
        <v>2835</v>
      </c>
      <c r="R1054" s="35" t="s">
        <v>916</v>
      </c>
      <c r="S1054" s="35"/>
      <c r="T1054" s="35" t="s">
        <v>1624</v>
      </c>
      <c r="U1054" s="40">
        <v>46035</v>
      </c>
      <c r="V1054" s="41">
        <v>46153.532835648148</v>
      </c>
      <c r="W1054" s="40">
        <v>46034</v>
      </c>
      <c r="X1054" s="35" t="s">
        <v>916</v>
      </c>
      <c r="Y1054" s="35" t="s">
        <v>916</v>
      </c>
      <c r="Z1054" s="35" t="s">
        <v>916</v>
      </c>
      <c r="AA1054" s="38">
        <v>1015.9291666656</v>
      </c>
      <c r="AB1054" s="42" t="s">
        <v>916</v>
      </c>
      <c r="AC1054" s="43" t="s">
        <v>916</v>
      </c>
      <c r="AD1054" s="43" t="s">
        <v>916</v>
      </c>
      <c r="AE1054" s="33" t="s">
        <v>916</v>
      </c>
      <c r="AF1054" s="35" t="s">
        <v>916</v>
      </c>
      <c r="AG1054" s="44">
        <v>491169.17111111112</v>
      </c>
      <c r="AH1054" s="42" t="s">
        <v>916</v>
      </c>
      <c r="AI1054" s="32" t="e">
        <f>VLOOKUP(A1054,'4月明細'!B:B,1,0)</f>
        <v>#N/A</v>
      </c>
    </row>
    <row r="1055" spans="1:35" ht="19.95" customHeight="1" x14ac:dyDescent="0.3">
      <c r="A1055" s="33" t="s">
        <v>3652</v>
      </c>
      <c r="B1055" s="34">
        <v>46033.68478009259</v>
      </c>
      <c r="C1055" s="34" t="str">
        <f t="shared" si="29"/>
        <v>202601</v>
      </c>
      <c r="D1055" s="35" t="s">
        <v>3653</v>
      </c>
      <c r="E1055" s="36" t="s">
        <v>1199</v>
      </c>
      <c r="F1055" s="36" t="s">
        <v>2529</v>
      </c>
      <c r="G1055" s="37" t="s">
        <v>3654</v>
      </c>
      <c r="H1055" s="36" t="s">
        <v>928</v>
      </c>
      <c r="I1055" s="35" t="s">
        <v>3655</v>
      </c>
      <c r="J1055" s="36" t="s">
        <v>938</v>
      </c>
      <c r="K1055" s="33" t="s">
        <v>916</v>
      </c>
      <c r="L1055" s="35" t="s">
        <v>916</v>
      </c>
      <c r="M1055" s="36" t="s">
        <v>957</v>
      </c>
      <c r="N1055" s="45">
        <v>46048.374305555553</v>
      </c>
      <c r="O1055" s="36" t="s">
        <v>1797</v>
      </c>
      <c r="P1055" s="38">
        <v>14.689525463000001</v>
      </c>
      <c r="Q1055" s="39" t="s">
        <v>3656</v>
      </c>
      <c r="R1055" s="35" t="s">
        <v>916</v>
      </c>
      <c r="S1055" s="35"/>
      <c r="T1055" s="35" t="s">
        <v>1624</v>
      </c>
      <c r="U1055" s="40">
        <v>46034</v>
      </c>
      <c r="V1055" s="41">
        <v>46153.532835648148</v>
      </c>
      <c r="W1055" s="40">
        <v>46033</v>
      </c>
      <c r="X1055" s="35" t="s">
        <v>916</v>
      </c>
      <c r="Y1055" s="35" t="s">
        <v>916</v>
      </c>
      <c r="Z1055" s="35" t="s">
        <v>916</v>
      </c>
      <c r="AA1055" s="38">
        <v>352.548611112</v>
      </c>
      <c r="AB1055" s="42" t="s">
        <v>916</v>
      </c>
      <c r="AC1055" s="43" t="s">
        <v>916</v>
      </c>
      <c r="AD1055" s="43" t="s">
        <v>916</v>
      </c>
      <c r="AE1055" s="33" t="s">
        <v>916</v>
      </c>
      <c r="AF1055" s="35" t="s">
        <v>916</v>
      </c>
      <c r="AG1055" s="44">
        <v>491152.43472222227</v>
      </c>
      <c r="AH1055" s="42" t="s">
        <v>916</v>
      </c>
      <c r="AI1055" s="32" t="e">
        <f>VLOOKUP(A1055,'4月明細'!B:B,1,0)</f>
        <v>#N/A</v>
      </c>
    </row>
    <row r="1056" spans="1:35" ht="19.95" customHeight="1" x14ac:dyDescent="0.3">
      <c r="A1056" s="33" t="s">
        <v>119</v>
      </c>
      <c r="B1056" s="34">
        <v>46033.673472222225</v>
      </c>
      <c r="C1056" s="34" t="str">
        <f t="shared" si="29"/>
        <v>202601</v>
      </c>
      <c r="D1056" s="35" t="s">
        <v>1952</v>
      </c>
      <c r="E1056" s="36" t="s">
        <v>910</v>
      </c>
      <c r="F1056" s="36" t="s">
        <v>1639</v>
      </c>
      <c r="G1056" s="37" t="s">
        <v>3657</v>
      </c>
      <c r="H1056" s="36" t="s">
        <v>954</v>
      </c>
      <c r="I1056" s="35" t="s">
        <v>3658</v>
      </c>
      <c r="J1056" s="36" t="s">
        <v>929</v>
      </c>
      <c r="K1056" s="33" t="s">
        <v>916</v>
      </c>
      <c r="L1056" s="35" t="s">
        <v>916</v>
      </c>
      <c r="M1056" s="36" t="s">
        <v>916</v>
      </c>
      <c r="N1056" s="45">
        <v>46034.410416666666</v>
      </c>
      <c r="O1056" s="36" t="s">
        <v>25</v>
      </c>
      <c r="P1056" s="38">
        <v>0.73694444439999995</v>
      </c>
      <c r="Q1056" s="39" t="s">
        <v>3659</v>
      </c>
      <c r="R1056" s="35" t="s">
        <v>916</v>
      </c>
      <c r="S1056" s="35"/>
      <c r="T1056" s="35" t="s">
        <v>1701</v>
      </c>
      <c r="U1056" s="40">
        <v>46034</v>
      </c>
      <c r="V1056" s="41">
        <v>46153.532835648148</v>
      </c>
      <c r="W1056" s="40">
        <v>46033</v>
      </c>
      <c r="X1056" s="35" t="s">
        <v>916</v>
      </c>
      <c r="Y1056" s="35" t="s">
        <v>916</v>
      </c>
      <c r="Z1056" s="35" t="s">
        <v>916</v>
      </c>
      <c r="AA1056" s="38">
        <v>17.686666665600001</v>
      </c>
      <c r="AB1056" s="42" t="s">
        <v>916</v>
      </c>
      <c r="AC1056" s="43" t="s">
        <v>916</v>
      </c>
      <c r="AD1056" s="43" t="s">
        <v>916</v>
      </c>
      <c r="AE1056" s="33" t="s">
        <v>916</v>
      </c>
      <c r="AF1056" s="35" t="s">
        <v>916</v>
      </c>
      <c r="AG1056" s="44">
        <v>491152.16333333339</v>
      </c>
      <c r="AH1056" s="42" t="s">
        <v>916</v>
      </c>
      <c r="AI1056" s="32" t="e">
        <f>VLOOKUP(A1056,'4月明細'!B:B,1,0)</f>
        <v>#N/A</v>
      </c>
    </row>
    <row r="1057" spans="1:35" ht="19.95" customHeight="1" x14ac:dyDescent="0.3">
      <c r="A1057" s="33" t="s">
        <v>118</v>
      </c>
      <c r="B1057" s="34">
        <v>46033.600069444445</v>
      </c>
      <c r="C1057" s="34" t="str">
        <f t="shared" si="29"/>
        <v>202601</v>
      </c>
      <c r="D1057" s="35" t="s">
        <v>986</v>
      </c>
      <c r="E1057" s="36" t="s">
        <v>910</v>
      </c>
      <c r="F1057" s="36" t="s">
        <v>1370</v>
      </c>
      <c r="G1057" s="37" t="s">
        <v>3660</v>
      </c>
      <c r="H1057" s="36" t="s">
        <v>1078</v>
      </c>
      <c r="I1057" s="35"/>
      <c r="J1057" s="36" t="s">
        <v>929</v>
      </c>
      <c r="K1057" s="33" t="s">
        <v>916</v>
      </c>
      <c r="L1057" s="35" t="s">
        <v>916</v>
      </c>
      <c r="M1057" s="36" t="s">
        <v>916</v>
      </c>
      <c r="N1057" s="45">
        <v>46034.423611111109</v>
      </c>
      <c r="O1057" s="36" t="s">
        <v>25</v>
      </c>
      <c r="P1057" s="38">
        <v>0.82354166669999995</v>
      </c>
      <c r="Q1057" s="39" t="s">
        <v>3661</v>
      </c>
      <c r="R1057" s="35" t="s">
        <v>916</v>
      </c>
      <c r="S1057" s="35"/>
      <c r="T1057" s="35" t="s">
        <v>1701</v>
      </c>
      <c r="U1057" s="40">
        <v>46034</v>
      </c>
      <c r="V1057" s="41">
        <v>46153.532835648148</v>
      </c>
      <c r="W1057" s="40">
        <v>46033</v>
      </c>
      <c r="X1057" s="35" t="s">
        <v>916</v>
      </c>
      <c r="Y1057" s="35" t="s">
        <v>916</v>
      </c>
      <c r="Z1057" s="35" t="s">
        <v>916</v>
      </c>
      <c r="AA1057" s="38">
        <v>19.765000000800001</v>
      </c>
      <c r="AB1057" s="42" t="s">
        <v>916</v>
      </c>
      <c r="AC1057" s="43" t="s">
        <v>916</v>
      </c>
      <c r="AD1057" s="43" t="s">
        <v>916</v>
      </c>
      <c r="AE1057" s="33" t="s">
        <v>916</v>
      </c>
      <c r="AF1057" s="35" t="s">
        <v>916</v>
      </c>
      <c r="AG1057" s="44">
        <v>491150.40166666667</v>
      </c>
      <c r="AH1057" s="42" t="s">
        <v>916</v>
      </c>
      <c r="AI1057" s="32" t="e">
        <f>VLOOKUP(A1057,'4月明細'!B:B,1,0)</f>
        <v>#N/A</v>
      </c>
    </row>
    <row r="1058" spans="1:35" ht="19.95" customHeight="1" x14ac:dyDescent="0.3">
      <c r="A1058" s="33" t="s">
        <v>117</v>
      </c>
      <c r="B1058" s="34">
        <v>46033.583865740744</v>
      </c>
      <c r="C1058" s="34" t="str">
        <f t="shared" si="29"/>
        <v>202601</v>
      </c>
      <c r="D1058" s="35" t="s">
        <v>951</v>
      </c>
      <c r="E1058" s="36" t="s">
        <v>910</v>
      </c>
      <c r="F1058" s="36" t="s">
        <v>1507</v>
      </c>
      <c r="G1058" s="37" t="s">
        <v>3662</v>
      </c>
      <c r="H1058" s="36" t="s">
        <v>928</v>
      </c>
      <c r="I1058" s="35" t="s">
        <v>3663</v>
      </c>
      <c r="J1058" s="36" t="s">
        <v>914</v>
      </c>
      <c r="K1058" s="33" t="s">
        <v>916</v>
      </c>
      <c r="L1058" s="35" t="s">
        <v>916</v>
      </c>
      <c r="M1058" s="36" t="s">
        <v>916</v>
      </c>
      <c r="N1058" s="45">
        <v>46034.42291666667</v>
      </c>
      <c r="O1058" s="36" t="s">
        <v>25</v>
      </c>
      <c r="P1058" s="38">
        <v>0.83905092589999997</v>
      </c>
      <c r="Q1058" s="39" t="s">
        <v>3664</v>
      </c>
      <c r="R1058" s="35" t="s">
        <v>916</v>
      </c>
      <c r="S1058" s="35"/>
      <c r="T1058" s="35" t="s">
        <v>1701</v>
      </c>
      <c r="U1058" s="40">
        <v>46034</v>
      </c>
      <c r="V1058" s="41">
        <v>46153.532835648148</v>
      </c>
      <c r="W1058" s="40">
        <v>46033</v>
      </c>
      <c r="X1058" s="35" t="s">
        <v>916</v>
      </c>
      <c r="Y1058" s="35" t="s">
        <v>916</v>
      </c>
      <c r="Z1058" s="35" t="s">
        <v>916</v>
      </c>
      <c r="AA1058" s="38">
        <v>20.137222221599998</v>
      </c>
      <c r="AB1058" s="42" t="s">
        <v>916</v>
      </c>
      <c r="AC1058" s="43" t="s">
        <v>916</v>
      </c>
      <c r="AD1058" s="43" t="s">
        <v>916</v>
      </c>
      <c r="AE1058" s="33" t="s">
        <v>916</v>
      </c>
      <c r="AF1058" s="35" t="s">
        <v>916</v>
      </c>
      <c r="AG1058" s="44">
        <v>491150.01277777768</v>
      </c>
      <c r="AH1058" s="42" t="s">
        <v>916</v>
      </c>
      <c r="AI1058" s="32" t="e">
        <f>VLOOKUP(A1058,'4月明細'!B:B,1,0)</f>
        <v>#N/A</v>
      </c>
    </row>
    <row r="1059" spans="1:35" ht="19.95" customHeight="1" x14ac:dyDescent="0.3">
      <c r="A1059" s="33" t="s">
        <v>116</v>
      </c>
      <c r="B1059" s="34">
        <v>46033.441053240742</v>
      </c>
      <c r="C1059" s="34" t="str">
        <f t="shared" si="29"/>
        <v>202601</v>
      </c>
      <c r="D1059" s="35" t="s">
        <v>951</v>
      </c>
      <c r="E1059" s="36" t="s">
        <v>910</v>
      </c>
      <c r="F1059" s="36" t="s">
        <v>1534</v>
      </c>
      <c r="G1059" s="37" t="s">
        <v>3665</v>
      </c>
      <c r="H1059" s="36" t="s">
        <v>928</v>
      </c>
      <c r="I1059" s="35"/>
      <c r="J1059" s="36" t="s">
        <v>929</v>
      </c>
      <c r="K1059" s="33" t="s">
        <v>916</v>
      </c>
      <c r="L1059" s="35" t="s">
        <v>916</v>
      </c>
      <c r="M1059" s="36" t="s">
        <v>916</v>
      </c>
      <c r="N1059" s="45">
        <v>46034.422222222223</v>
      </c>
      <c r="O1059" s="36" t="s">
        <v>25</v>
      </c>
      <c r="P1059" s="38">
        <v>0.98116898149999998</v>
      </c>
      <c r="Q1059" s="39" t="s">
        <v>3666</v>
      </c>
      <c r="R1059" s="35" t="s">
        <v>916</v>
      </c>
      <c r="S1059" s="35"/>
      <c r="T1059" s="35" t="s">
        <v>1701</v>
      </c>
      <c r="U1059" s="40">
        <v>46034</v>
      </c>
      <c r="V1059" s="41">
        <v>46153.532847222225</v>
      </c>
      <c r="W1059" s="40">
        <v>46033</v>
      </c>
      <c r="X1059" s="35" t="s">
        <v>916</v>
      </c>
      <c r="Y1059" s="35" t="s">
        <v>916</v>
      </c>
      <c r="Z1059" s="35" t="s">
        <v>916</v>
      </c>
      <c r="AA1059" s="38">
        <v>23.548055556000001</v>
      </c>
      <c r="AB1059" s="42" t="s">
        <v>916</v>
      </c>
      <c r="AC1059" s="43" t="s">
        <v>916</v>
      </c>
      <c r="AD1059" s="43" t="s">
        <v>916</v>
      </c>
      <c r="AE1059" s="33" t="s">
        <v>916</v>
      </c>
      <c r="AF1059" s="35" t="s">
        <v>916</v>
      </c>
      <c r="AG1059" s="44">
        <v>491146.58527777781</v>
      </c>
      <c r="AH1059" s="42" t="s">
        <v>916</v>
      </c>
      <c r="AI1059" s="32" t="e">
        <f>VLOOKUP(A1059,'4月明細'!B:B,1,0)</f>
        <v>#N/A</v>
      </c>
    </row>
    <row r="1060" spans="1:35" ht="19.95" customHeight="1" x14ac:dyDescent="0.3">
      <c r="A1060" s="33" t="s">
        <v>115</v>
      </c>
      <c r="B1060" s="34">
        <v>46033.439189814817</v>
      </c>
      <c r="C1060" s="34" t="str">
        <f t="shared" si="29"/>
        <v>202601</v>
      </c>
      <c r="D1060" s="35" t="s">
        <v>986</v>
      </c>
      <c r="E1060" s="36" t="s">
        <v>910</v>
      </c>
      <c r="F1060" s="36" t="s">
        <v>1975</v>
      </c>
      <c r="G1060" s="37" t="s">
        <v>3667</v>
      </c>
      <c r="H1060" s="36" t="s">
        <v>954</v>
      </c>
      <c r="I1060" s="35"/>
      <c r="J1060" s="36" t="s">
        <v>914</v>
      </c>
      <c r="K1060" s="33" t="s">
        <v>916</v>
      </c>
      <c r="L1060" s="35" t="s">
        <v>916</v>
      </c>
      <c r="M1060" s="36" t="s">
        <v>916</v>
      </c>
      <c r="N1060" s="45">
        <v>46034.421527777777</v>
      </c>
      <c r="O1060" s="36" t="s">
        <v>25</v>
      </c>
      <c r="P1060" s="38">
        <v>0.98233796299999998</v>
      </c>
      <c r="Q1060" s="39" t="s">
        <v>3668</v>
      </c>
      <c r="R1060" s="35" t="s">
        <v>916</v>
      </c>
      <c r="S1060" s="35"/>
      <c r="T1060" s="35" t="s">
        <v>1701</v>
      </c>
      <c r="U1060" s="40">
        <v>46034</v>
      </c>
      <c r="V1060" s="41">
        <v>46153.532847222225</v>
      </c>
      <c r="W1060" s="40">
        <v>46033</v>
      </c>
      <c r="X1060" s="35" t="s">
        <v>916</v>
      </c>
      <c r="Y1060" s="35" t="s">
        <v>916</v>
      </c>
      <c r="Z1060" s="35" t="s">
        <v>916</v>
      </c>
      <c r="AA1060" s="38">
        <v>23.576111112</v>
      </c>
      <c r="AB1060" s="42" t="s">
        <v>916</v>
      </c>
      <c r="AC1060" s="43" t="s">
        <v>916</v>
      </c>
      <c r="AD1060" s="43" t="s">
        <v>916</v>
      </c>
      <c r="AE1060" s="33" t="s">
        <v>916</v>
      </c>
      <c r="AF1060" s="35" t="s">
        <v>916</v>
      </c>
      <c r="AG1060" s="44">
        <v>491146.54055555549</v>
      </c>
      <c r="AH1060" s="42" t="s">
        <v>916</v>
      </c>
      <c r="AI1060" s="32" t="e">
        <f>VLOOKUP(A1060,'4月明細'!B:B,1,0)</f>
        <v>#N/A</v>
      </c>
    </row>
    <row r="1061" spans="1:35" ht="19.95" customHeight="1" x14ac:dyDescent="0.3">
      <c r="A1061" s="33" t="s">
        <v>114</v>
      </c>
      <c r="B1061" s="34">
        <v>46033.433483796296</v>
      </c>
      <c r="C1061" s="34" t="str">
        <f t="shared" si="29"/>
        <v>202601</v>
      </c>
      <c r="D1061" s="35" t="s">
        <v>986</v>
      </c>
      <c r="E1061" s="36" t="s">
        <v>910</v>
      </c>
      <c r="F1061" s="36" t="s">
        <v>1799</v>
      </c>
      <c r="G1061" s="37" t="s">
        <v>3669</v>
      </c>
      <c r="H1061" s="36" t="s">
        <v>913</v>
      </c>
      <c r="I1061" s="35"/>
      <c r="J1061" s="36" t="s">
        <v>929</v>
      </c>
      <c r="K1061" s="33" t="s">
        <v>916</v>
      </c>
      <c r="L1061" s="35" t="s">
        <v>916</v>
      </c>
      <c r="M1061" s="36" t="s">
        <v>916</v>
      </c>
      <c r="N1061" s="45">
        <v>46034.422222222223</v>
      </c>
      <c r="O1061" s="36" t="s">
        <v>25</v>
      </c>
      <c r="P1061" s="38">
        <v>0.98873842590000005</v>
      </c>
      <c r="Q1061" s="39" t="s">
        <v>3670</v>
      </c>
      <c r="R1061" s="35" t="s">
        <v>916</v>
      </c>
      <c r="S1061" s="35"/>
      <c r="T1061" s="35" t="s">
        <v>1701</v>
      </c>
      <c r="U1061" s="40">
        <v>46034</v>
      </c>
      <c r="V1061" s="41">
        <v>46153.532847222225</v>
      </c>
      <c r="W1061" s="40">
        <v>46033</v>
      </c>
      <c r="X1061" s="35" t="s">
        <v>916</v>
      </c>
      <c r="Y1061" s="35" t="s">
        <v>916</v>
      </c>
      <c r="Z1061" s="35" t="s">
        <v>916</v>
      </c>
      <c r="AA1061" s="38">
        <v>23.729722221599999</v>
      </c>
      <c r="AB1061" s="42" t="s">
        <v>916</v>
      </c>
      <c r="AC1061" s="43" t="s">
        <v>916</v>
      </c>
      <c r="AD1061" s="43" t="s">
        <v>916</v>
      </c>
      <c r="AE1061" s="33" t="s">
        <v>916</v>
      </c>
      <c r="AF1061" s="35" t="s">
        <v>916</v>
      </c>
      <c r="AG1061" s="44">
        <v>491146.40361111111</v>
      </c>
      <c r="AH1061" s="42" t="s">
        <v>916</v>
      </c>
      <c r="AI1061" s="32" t="e">
        <f>VLOOKUP(A1061,'4月明細'!B:B,1,0)</f>
        <v>#N/A</v>
      </c>
    </row>
    <row r="1062" spans="1:35" ht="19.95" customHeight="1" x14ac:dyDescent="0.3">
      <c r="A1062" s="33" t="s">
        <v>271</v>
      </c>
      <c r="B1062" s="34">
        <v>46032.708148148151</v>
      </c>
      <c r="C1062" s="34" t="str">
        <f t="shared" si="29"/>
        <v>202601</v>
      </c>
      <c r="D1062" s="35" t="s">
        <v>909</v>
      </c>
      <c r="E1062" s="36" t="s">
        <v>910</v>
      </c>
      <c r="F1062" s="36" t="s">
        <v>1799</v>
      </c>
      <c r="G1062" s="37" t="s">
        <v>3671</v>
      </c>
      <c r="H1062" s="36" t="s">
        <v>928</v>
      </c>
      <c r="I1062" s="35"/>
      <c r="J1062" s="36" t="s">
        <v>929</v>
      </c>
      <c r="K1062" s="33" t="s">
        <v>916</v>
      </c>
      <c r="L1062" s="35" t="s">
        <v>916</v>
      </c>
      <c r="M1062" s="36" t="s">
        <v>916</v>
      </c>
      <c r="N1062" s="45">
        <v>46062.686805555553</v>
      </c>
      <c r="O1062" s="36" t="s">
        <v>25</v>
      </c>
      <c r="P1062" s="38">
        <v>29.9786574074</v>
      </c>
      <c r="Q1062" s="39" t="s">
        <v>919</v>
      </c>
      <c r="R1062" s="35" t="s">
        <v>916</v>
      </c>
      <c r="S1062" s="35"/>
      <c r="T1062" s="35" t="s">
        <v>1624</v>
      </c>
      <c r="U1062" s="40">
        <v>46033</v>
      </c>
      <c r="V1062" s="41">
        <v>46153.532847222225</v>
      </c>
      <c r="W1062" s="40">
        <v>46032</v>
      </c>
      <c r="X1062" s="35" t="s">
        <v>916</v>
      </c>
      <c r="Y1062" s="35" t="s">
        <v>916</v>
      </c>
      <c r="Z1062" s="35" t="s">
        <v>916</v>
      </c>
      <c r="AA1062" s="38">
        <v>719.48777777759994</v>
      </c>
      <c r="AB1062" s="42" t="s">
        <v>916</v>
      </c>
      <c r="AC1062" s="43" t="s">
        <v>916</v>
      </c>
      <c r="AD1062" s="43" t="s">
        <v>916</v>
      </c>
      <c r="AE1062" s="33" t="s">
        <v>916</v>
      </c>
      <c r="AF1062" s="35" t="s">
        <v>916</v>
      </c>
      <c r="AG1062" s="44">
        <v>491128.99555555562</v>
      </c>
      <c r="AH1062" s="42" t="s">
        <v>916</v>
      </c>
      <c r="AI1062" s="32" t="e">
        <f>VLOOKUP(A1062,'4月明細'!B:B,1,0)</f>
        <v>#N/A</v>
      </c>
    </row>
    <row r="1063" spans="1:35" ht="19.95" customHeight="1" x14ac:dyDescent="0.3">
      <c r="A1063" s="33" t="s">
        <v>113</v>
      </c>
      <c r="B1063" s="34">
        <v>46032.674537037034</v>
      </c>
      <c r="C1063" s="34" t="str">
        <f t="shared" si="29"/>
        <v>202601</v>
      </c>
      <c r="D1063" s="35" t="s">
        <v>951</v>
      </c>
      <c r="E1063" s="36" t="s">
        <v>910</v>
      </c>
      <c r="F1063" s="36" t="s">
        <v>1552</v>
      </c>
      <c r="G1063" s="37" t="s">
        <v>3672</v>
      </c>
      <c r="H1063" s="36" t="s">
        <v>928</v>
      </c>
      <c r="I1063" s="35"/>
      <c r="J1063" s="36" t="s">
        <v>914</v>
      </c>
      <c r="K1063" s="33" t="s">
        <v>916</v>
      </c>
      <c r="L1063" s="35" t="s">
        <v>916</v>
      </c>
      <c r="M1063" s="36" t="s">
        <v>916</v>
      </c>
      <c r="N1063" s="45">
        <v>46034.42083333333</v>
      </c>
      <c r="O1063" s="36" t="s">
        <v>25</v>
      </c>
      <c r="P1063" s="38">
        <v>1.7462962962999999</v>
      </c>
      <c r="Q1063" s="39" t="s">
        <v>3673</v>
      </c>
      <c r="R1063" s="35" t="s">
        <v>916</v>
      </c>
      <c r="S1063" s="35"/>
      <c r="T1063" s="35" t="s">
        <v>1701</v>
      </c>
      <c r="U1063" s="40">
        <v>46033</v>
      </c>
      <c r="V1063" s="41">
        <v>46153.532847222225</v>
      </c>
      <c r="W1063" s="40">
        <v>46032</v>
      </c>
      <c r="X1063" s="35" t="s">
        <v>916</v>
      </c>
      <c r="Y1063" s="35" t="s">
        <v>916</v>
      </c>
      <c r="Z1063" s="35" t="s">
        <v>916</v>
      </c>
      <c r="AA1063" s="38">
        <v>41.9111111112</v>
      </c>
      <c r="AB1063" s="42" t="s">
        <v>916</v>
      </c>
      <c r="AC1063" s="43" t="s">
        <v>916</v>
      </c>
      <c r="AD1063" s="43" t="s">
        <v>916</v>
      </c>
      <c r="AE1063" s="33" t="s">
        <v>916</v>
      </c>
      <c r="AF1063" s="35" t="s">
        <v>916</v>
      </c>
      <c r="AG1063" s="44">
        <v>491128.18888888892</v>
      </c>
      <c r="AH1063" s="42" t="s">
        <v>916</v>
      </c>
      <c r="AI1063" s="32" t="e">
        <f>VLOOKUP(A1063,'4月明細'!B:B,1,0)</f>
        <v>#N/A</v>
      </c>
    </row>
    <row r="1064" spans="1:35" ht="19.95" customHeight="1" x14ac:dyDescent="0.3">
      <c r="A1064" s="33" t="s">
        <v>112</v>
      </c>
      <c r="B1064" s="34">
        <v>46032.674305555556</v>
      </c>
      <c r="C1064" s="34" t="str">
        <f t="shared" si="29"/>
        <v>202601</v>
      </c>
      <c r="D1064" s="35" t="s">
        <v>951</v>
      </c>
      <c r="E1064" s="36" t="s">
        <v>910</v>
      </c>
      <c r="F1064" s="36" t="s">
        <v>1469</v>
      </c>
      <c r="G1064" s="37" t="s">
        <v>3674</v>
      </c>
      <c r="H1064" s="36" t="s">
        <v>928</v>
      </c>
      <c r="I1064" s="35"/>
      <c r="J1064" s="36" t="s">
        <v>914</v>
      </c>
      <c r="K1064" s="33" t="s">
        <v>916</v>
      </c>
      <c r="L1064" s="35" t="s">
        <v>916</v>
      </c>
      <c r="M1064" s="36" t="s">
        <v>916</v>
      </c>
      <c r="N1064" s="45">
        <v>46034.420138888891</v>
      </c>
      <c r="O1064" s="36" t="s">
        <v>25</v>
      </c>
      <c r="P1064" s="38">
        <v>1.7458333333</v>
      </c>
      <c r="Q1064" s="39" t="s">
        <v>3675</v>
      </c>
      <c r="R1064" s="35" t="s">
        <v>916</v>
      </c>
      <c r="S1064" s="35"/>
      <c r="T1064" s="35" t="s">
        <v>1701</v>
      </c>
      <c r="U1064" s="40">
        <v>46033</v>
      </c>
      <c r="V1064" s="41">
        <v>46153.532847222225</v>
      </c>
      <c r="W1064" s="40">
        <v>46032</v>
      </c>
      <c r="X1064" s="35" t="s">
        <v>916</v>
      </c>
      <c r="Y1064" s="35" t="s">
        <v>916</v>
      </c>
      <c r="Z1064" s="35" t="s">
        <v>916</v>
      </c>
      <c r="AA1064" s="38">
        <v>41.899999999199999</v>
      </c>
      <c r="AB1064" s="42" t="s">
        <v>916</v>
      </c>
      <c r="AC1064" s="43" t="s">
        <v>916</v>
      </c>
      <c r="AD1064" s="43" t="s">
        <v>916</v>
      </c>
      <c r="AE1064" s="33" t="s">
        <v>916</v>
      </c>
      <c r="AF1064" s="35" t="s">
        <v>916</v>
      </c>
      <c r="AG1064" s="44">
        <v>491128.18333333329</v>
      </c>
      <c r="AH1064" s="42" t="s">
        <v>916</v>
      </c>
      <c r="AI1064" s="32" t="e">
        <f>VLOOKUP(A1064,'4月明細'!B:B,1,0)</f>
        <v>#N/A</v>
      </c>
    </row>
    <row r="1065" spans="1:35" ht="19.95" customHeight="1" x14ac:dyDescent="0.3">
      <c r="A1065" s="33" t="s">
        <v>111</v>
      </c>
      <c r="B1065" s="34">
        <v>46032.658842592595</v>
      </c>
      <c r="C1065" s="34" t="str">
        <f t="shared" si="29"/>
        <v>202601</v>
      </c>
      <c r="D1065" s="35" t="s">
        <v>951</v>
      </c>
      <c r="E1065" s="36" t="s">
        <v>910</v>
      </c>
      <c r="F1065" s="36" t="s">
        <v>1370</v>
      </c>
      <c r="G1065" s="37" t="s">
        <v>3676</v>
      </c>
      <c r="H1065" s="36" t="s">
        <v>928</v>
      </c>
      <c r="I1065" s="35" t="s">
        <v>3677</v>
      </c>
      <c r="J1065" s="36" t="s">
        <v>914</v>
      </c>
      <c r="K1065" s="33" t="s">
        <v>916</v>
      </c>
      <c r="L1065" s="35" t="s">
        <v>916</v>
      </c>
      <c r="M1065" s="36" t="s">
        <v>916</v>
      </c>
      <c r="N1065" s="45">
        <v>46034.420138888891</v>
      </c>
      <c r="O1065" s="36" t="s">
        <v>25</v>
      </c>
      <c r="P1065" s="38">
        <v>1.7612962963000001</v>
      </c>
      <c r="Q1065" s="39" t="s">
        <v>3678</v>
      </c>
      <c r="R1065" s="35" t="s">
        <v>916</v>
      </c>
      <c r="S1065" s="35" t="s">
        <v>3679</v>
      </c>
      <c r="T1065" s="35" t="s">
        <v>1701</v>
      </c>
      <c r="U1065" s="40">
        <v>46033</v>
      </c>
      <c r="V1065" s="41">
        <v>46153.532847222225</v>
      </c>
      <c r="W1065" s="40">
        <v>46032</v>
      </c>
      <c r="X1065" s="35" t="s">
        <v>916</v>
      </c>
      <c r="Y1065" s="35" t="s">
        <v>916</v>
      </c>
      <c r="Z1065" s="35" t="s">
        <v>916</v>
      </c>
      <c r="AA1065" s="38">
        <v>42.2711111112</v>
      </c>
      <c r="AB1065" s="42" t="s">
        <v>916</v>
      </c>
      <c r="AC1065" s="43" t="s">
        <v>916</v>
      </c>
      <c r="AD1065" s="43" t="s">
        <v>916</v>
      </c>
      <c r="AE1065" s="33" t="s">
        <v>916</v>
      </c>
      <c r="AF1065" s="35" t="s">
        <v>916</v>
      </c>
      <c r="AG1065" s="44">
        <v>491127.81222222227</v>
      </c>
      <c r="AH1065" s="42" t="s">
        <v>916</v>
      </c>
      <c r="AI1065" s="32" t="e">
        <f>VLOOKUP(A1065,'4月明細'!B:B,1,0)</f>
        <v>#N/A</v>
      </c>
    </row>
    <row r="1066" spans="1:35" ht="19.95" customHeight="1" x14ac:dyDescent="0.3">
      <c r="A1066" s="33" t="s">
        <v>110</v>
      </c>
      <c r="B1066" s="34">
        <v>46032.645335648151</v>
      </c>
      <c r="C1066" s="34" t="str">
        <f t="shared" si="29"/>
        <v>202601</v>
      </c>
      <c r="D1066" s="35" t="s">
        <v>2278</v>
      </c>
      <c r="E1066" s="36" t="s">
        <v>910</v>
      </c>
      <c r="F1066" s="36" t="s">
        <v>1588</v>
      </c>
      <c r="G1066" s="37" t="s">
        <v>3113</v>
      </c>
      <c r="H1066" s="36" t="s">
        <v>928</v>
      </c>
      <c r="I1066" s="35"/>
      <c r="J1066" s="36" t="s">
        <v>914</v>
      </c>
      <c r="K1066" s="33" t="s">
        <v>916</v>
      </c>
      <c r="L1066" s="35" t="s">
        <v>916</v>
      </c>
      <c r="M1066" s="36" t="s">
        <v>916</v>
      </c>
      <c r="N1066" s="45">
        <v>46034.419444444444</v>
      </c>
      <c r="O1066" s="36" t="s">
        <v>25</v>
      </c>
      <c r="P1066" s="38">
        <v>1.7741087963</v>
      </c>
      <c r="Q1066" s="39" t="s">
        <v>3680</v>
      </c>
      <c r="R1066" s="35" t="s">
        <v>916</v>
      </c>
      <c r="S1066" s="35"/>
      <c r="T1066" s="35" t="s">
        <v>1701</v>
      </c>
      <c r="U1066" s="40">
        <v>46033</v>
      </c>
      <c r="V1066" s="41">
        <v>46153.532847222225</v>
      </c>
      <c r="W1066" s="40">
        <v>46032</v>
      </c>
      <c r="X1066" s="35" t="s">
        <v>916</v>
      </c>
      <c r="Y1066" s="35" t="s">
        <v>916</v>
      </c>
      <c r="Z1066" s="35" t="s">
        <v>916</v>
      </c>
      <c r="AA1066" s="38">
        <v>42.578611111199997</v>
      </c>
      <c r="AB1066" s="42" t="s">
        <v>916</v>
      </c>
      <c r="AC1066" s="43" t="s">
        <v>916</v>
      </c>
      <c r="AD1066" s="43" t="s">
        <v>916</v>
      </c>
      <c r="AE1066" s="33" t="s">
        <v>916</v>
      </c>
      <c r="AF1066" s="35" t="s">
        <v>916</v>
      </c>
      <c r="AG1066" s="44">
        <v>491127.48805555562</v>
      </c>
      <c r="AH1066" s="42" t="s">
        <v>916</v>
      </c>
      <c r="AI1066" s="32" t="e">
        <f>VLOOKUP(A1066,'4月明細'!B:B,1,0)</f>
        <v>#N/A</v>
      </c>
    </row>
    <row r="1067" spans="1:35" ht="19.95" customHeight="1" x14ac:dyDescent="0.3">
      <c r="A1067" s="33" t="s">
        <v>108</v>
      </c>
      <c r="B1067" s="34">
        <v>46032.505277777775</v>
      </c>
      <c r="C1067" s="34" t="str">
        <f t="shared" si="29"/>
        <v>202601</v>
      </c>
      <c r="D1067" s="35" t="s">
        <v>951</v>
      </c>
      <c r="E1067" s="36" t="s">
        <v>910</v>
      </c>
      <c r="F1067" s="36" t="s">
        <v>1225</v>
      </c>
      <c r="G1067" s="37" t="s">
        <v>3681</v>
      </c>
      <c r="H1067" s="36" t="s">
        <v>928</v>
      </c>
      <c r="I1067" s="35"/>
      <c r="J1067" s="36" t="s">
        <v>914</v>
      </c>
      <c r="K1067" s="33" t="s">
        <v>916</v>
      </c>
      <c r="L1067" s="35" t="s">
        <v>916</v>
      </c>
      <c r="M1067" s="36" t="s">
        <v>916</v>
      </c>
      <c r="N1067" s="45">
        <v>46034.418749999997</v>
      </c>
      <c r="O1067" s="36" t="s">
        <v>25</v>
      </c>
      <c r="P1067" s="38">
        <v>1.9134722222</v>
      </c>
      <c r="Q1067" s="39" t="s">
        <v>3682</v>
      </c>
      <c r="R1067" s="35" t="s">
        <v>916</v>
      </c>
      <c r="S1067" s="35"/>
      <c r="T1067" s="35" t="s">
        <v>1701</v>
      </c>
      <c r="U1067" s="40">
        <v>46033</v>
      </c>
      <c r="V1067" s="41">
        <v>46153.532847222225</v>
      </c>
      <c r="W1067" s="40">
        <v>46032</v>
      </c>
      <c r="X1067" s="35" t="s">
        <v>916</v>
      </c>
      <c r="Y1067" s="35" t="s">
        <v>916</v>
      </c>
      <c r="Z1067" s="35" t="s">
        <v>916</v>
      </c>
      <c r="AA1067" s="38">
        <v>45.923333332799999</v>
      </c>
      <c r="AB1067" s="42" t="s">
        <v>916</v>
      </c>
      <c r="AC1067" s="43" t="s">
        <v>916</v>
      </c>
      <c r="AD1067" s="43" t="s">
        <v>916</v>
      </c>
      <c r="AE1067" s="33" t="s">
        <v>916</v>
      </c>
      <c r="AF1067" s="35" t="s">
        <v>916</v>
      </c>
      <c r="AG1067" s="44">
        <v>491124.12666666671</v>
      </c>
      <c r="AH1067" s="42" t="s">
        <v>916</v>
      </c>
      <c r="AI1067" s="32" t="e">
        <f>VLOOKUP(A1067,'4月明細'!B:B,1,0)</f>
        <v>#N/A</v>
      </c>
    </row>
    <row r="1068" spans="1:35" ht="19.95" customHeight="1" x14ac:dyDescent="0.3">
      <c r="A1068" s="33" t="s">
        <v>109</v>
      </c>
      <c r="B1068" s="34">
        <v>46032.519247685188</v>
      </c>
      <c r="C1068" s="34" t="str">
        <f t="shared" si="29"/>
        <v>202601</v>
      </c>
      <c r="D1068" s="35" t="s">
        <v>909</v>
      </c>
      <c r="E1068" s="36" t="s">
        <v>910</v>
      </c>
      <c r="F1068" s="36" t="s">
        <v>964</v>
      </c>
      <c r="G1068" s="37" t="s">
        <v>3683</v>
      </c>
      <c r="H1068" s="36" t="s">
        <v>954</v>
      </c>
      <c r="I1068" s="35" t="s">
        <v>3684</v>
      </c>
      <c r="J1068" s="36" t="s">
        <v>914</v>
      </c>
      <c r="K1068" s="33" t="s">
        <v>916</v>
      </c>
      <c r="L1068" s="35" t="s">
        <v>916</v>
      </c>
      <c r="M1068" s="36" t="s">
        <v>916</v>
      </c>
      <c r="N1068" s="45">
        <v>46034.418749999997</v>
      </c>
      <c r="O1068" s="36" t="s">
        <v>25</v>
      </c>
      <c r="P1068" s="38">
        <v>1.8995023148000001</v>
      </c>
      <c r="Q1068" s="39" t="s">
        <v>3685</v>
      </c>
      <c r="R1068" s="35" t="s">
        <v>916</v>
      </c>
      <c r="S1068" s="35" t="s">
        <v>3686</v>
      </c>
      <c r="T1068" s="35" t="s">
        <v>1701</v>
      </c>
      <c r="U1068" s="40">
        <v>46033</v>
      </c>
      <c r="V1068" s="41">
        <v>46153.532847222225</v>
      </c>
      <c r="W1068" s="40">
        <v>46032</v>
      </c>
      <c r="X1068" s="35" t="s">
        <v>916</v>
      </c>
      <c r="Y1068" s="35" t="s">
        <v>916</v>
      </c>
      <c r="Z1068" s="35" t="s">
        <v>916</v>
      </c>
      <c r="AA1068" s="38">
        <v>45.5880555552</v>
      </c>
      <c r="AB1068" s="42" t="s">
        <v>916</v>
      </c>
      <c r="AC1068" s="43" t="s">
        <v>916</v>
      </c>
      <c r="AD1068" s="43" t="s">
        <v>916</v>
      </c>
      <c r="AE1068" s="33" t="s">
        <v>916</v>
      </c>
      <c r="AF1068" s="35" t="s">
        <v>916</v>
      </c>
      <c r="AG1068" s="44">
        <v>491124.46194444451</v>
      </c>
      <c r="AH1068" s="42" t="s">
        <v>916</v>
      </c>
      <c r="AI1068" s="32" t="e">
        <f>VLOOKUP(A1068,'4月明細'!B:B,1,0)</f>
        <v>#N/A</v>
      </c>
    </row>
    <row r="1069" spans="1:35" ht="19.95" customHeight="1" x14ac:dyDescent="0.3">
      <c r="A1069" s="33" t="s">
        <v>107</v>
      </c>
      <c r="B1069" s="34">
        <v>46032.50508101852</v>
      </c>
      <c r="C1069" s="34" t="str">
        <f t="shared" si="29"/>
        <v>202601</v>
      </c>
      <c r="D1069" s="35" t="s">
        <v>951</v>
      </c>
      <c r="E1069" s="36" t="s">
        <v>910</v>
      </c>
      <c r="F1069" s="36" t="s">
        <v>1050</v>
      </c>
      <c r="G1069" s="37" t="s">
        <v>3687</v>
      </c>
      <c r="H1069" s="36" t="s">
        <v>928</v>
      </c>
      <c r="I1069" s="35"/>
      <c r="J1069" s="36" t="s">
        <v>914</v>
      </c>
      <c r="K1069" s="33" t="s">
        <v>916</v>
      </c>
      <c r="L1069" s="35" t="s">
        <v>916</v>
      </c>
      <c r="M1069" s="36" t="s">
        <v>916</v>
      </c>
      <c r="N1069" s="45">
        <v>46034.415972222225</v>
      </c>
      <c r="O1069" s="36" t="s">
        <v>25</v>
      </c>
      <c r="P1069" s="38">
        <v>1.9108912037000001</v>
      </c>
      <c r="Q1069" s="39" t="s">
        <v>3688</v>
      </c>
      <c r="R1069" s="35" t="s">
        <v>916</v>
      </c>
      <c r="S1069" s="35"/>
      <c r="T1069" s="35" t="s">
        <v>1701</v>
      </c>
      <c r="U1069" s="40">
        <v>46033</v>
      </c>
      <c r="V1069" s="41">
        <v>46153.532847222225</v>
      </c>
      <c r="W1069" s="40">
        <v>46032</v>
      </c>
      <c r="X1069" s="35" t="s">
        <v>916</v>
      </c>
      <c r="Y1069" s="35" t="s">
        <v>916</v>
      </c>
      <c r="Z1069" s="35" t="s">
        <v>916</v>
      </c>
      <c r="AA1069" s="38">
        <v>45.861388888800001</v>
      </c>
      <c r="AB1069" s="42" t="s">
        <v>916</v>
      </c>
      <c r="AC1069" s="43" t="s">
        <v>916</v>
      </c>
      <c r="AD1069" s="43" t="s">
        <v>916</v>
      </c>
      <c r="AE1069" s="33" t="s">
        <v>916</v>
      </c>
      <c r="AF1069" s="35" t="s">
        <v>916</v>
      </c>
      <c r="AG1069" s="44">
        <v>491124.12194444449</v>
      </c>
      <c r="AH1069" s="42" t="s">
        <v>916</v>
      </c>
      <c r="AI1069" s="32" t="e">
        <f>VLOOKUP(A1069,'4月明細'!B:B,1,0)</f>
        <v>#N/A</v>
      </c>
    </row>
    <row r="1070" spans="1:35" ht="19.95" customHeight="1" x14ac:dyDescent="0.3">
      <c r="A1070" s="33" t="s">
        <v>106</v>
      </c>
      <c r="B1070" s="34">
        <v>46032.504629629628</v>
      </c>
      <c r="C1070" s="34" t="str">
        <f t="shared" si="29"/>
        <v>202601</v>
      </c>
      <c r="D1070" s="35" t="s">
        <v>909</v>
      </c>
      <c r="E1070" s="36" t="s">
        <v>910</v>
      </c>
      <c r="F1070" s="36" t="s">
        <v>964</v>
      </c>
      <c r="G1070" s="37" t="s">
        <v>3689</v>
      </c>
      <c r="H1070" s="36" t="s">
        <v>1023</v>
      </c>
      <c r="I1070" s="35" t="s">
        <v>3690</v>
      </c>
      <c r="J1070" s="36" t="s">
        <v>914</v>
      </c>
      <c r="K1070" s="33" t="s">
        <v>916</v>
      </c>
      <c r="L1070" s="35" t="s">
        <v>916</v>
      </c>
      <c r="M1070" s="36" t="s">
        <v>916</v>
      </c>
      <c r="N1070" s="45">
        <v>46034.415972222225</v>
      </c>
      <c r="O1070" s="36" t="s">
        <v>25</v>
      </c>
      <c r="P1070" s="38">
        <v>1.9113425926000001</v>
      </c>
      <c r="Q1070" s="39" t="s">
        <v>3691</v>
      </c>
      <c r="R1070" s="35" t="s">
        <v>916</v>
      </c>
      <c r="S1070" s="35" t="s">
        <v>3692</v>
      </c>
      <c r="T1070" s="35" t="s">
        <v>1701</v>
      </c>
      <c r="U1070" s="40">
        <v>46033</v>
      </c>
      <c r="V1070" s="41">
        <v>46153.532847222225</v>
      </c>
      <c r="W1070" s="40">
        <v>46032</v>
      </c>
      <c r="X1070" s="35" t="s">
        <v>916</v>
      </c>
      <c r="Y1070" s="35" t="s">
        <v>916</v>
      </c>
      <c r="Z1070" s="35" t="s">
        <v>916</v>
      </c>
      <c r="AA1070" s="38">
        <v>45.872222222399998</v>
      </c>
      <c r="AB1070" s="42" t="s">
        <v>916</v>
      </c>
      <c r="AC1070" s="43" t="s">
        <v>916</v>
      </c>
      <c r="AD1070" s="43" t="s">
        <v>916</v>
      </c>
      <c r="AE1070" s="33" t="s">
        <v>916</v>
      </c>
      <c r="AF1070" s="35" t="s">
        <v>916</v>
      </c>
      <c r="AG1070" s="44">
        <v>491124.11111111112</v>
      </c>
      <c r="AH1070" s="42" t="s">
        <v>916</v>
      </c>
      <c r="AI1070" s="32" t="e">
        <f>VLOOKUP(A1070,'4月明細'!B:B,1,0)</f>
        <v>#N/A</v>
      </c>
    </row>
    <row r="1071" spans="1:35" ht="19.95" customHeight="1" x14ac:dyDescent="0.3">
      <c r="A1071" s="33" t="s">
        <v>3693</v>
      </c>
      <c r="B1071" s="34">
        <v>46032.45721064815</v>
      </c>
      <c r="C1071" s="34" t="str">
        <f t="shared" si="29"/>
        <v>202601</v>
      </c>
      <c r="D1071" s="35" t="s">
        <v>986</v>
      </c>
      <c r="E1071" s="36" t="s">
        <v>910</v>
      </c>
      <c r="F1071" s="36" t="s">
        <v>1050</v>
      </c>
      <c r="G1071" s="37" t="s">
        <v>3694</v>
      </c>
      <c r="H1071" s="36" t="s">
        <v>954</v>
      </c>
      <c r="I1071" s="35"/>
      <c r="J1071" s="36" t="s">
        <v>914</v>
      </c>
      <c r="K1071" s="33" t="s">
        <v>916</v>
      </c>
      <c r="L1071" s="35" t="s">
        <v>916</v>
      </c>
      <c r="M1071" s="36" t="s">
        <v>916</v>
      </c>
      <c r="N1071" s="45">
        <v>46034.417361111111</v>
      </c>
      <c r="O1071" s="36" t="s">
        <v>1920</v>
      </c>
      <c r="P1071" s="38">
        <v>1.960150463</v>
      </c>
      <c r="Q1071" s="39" t="s">
        <v>3695</v>
      </c>
      <c r="R1071" s="35" t="s">
        <v>916</v>
      </c>
      <c r="S1071" s="35"/>
      <c r="T1071" s="35" t="s">
        <v>1624</v>
      </c>
      <c r="U1071" s="40">
        <v>46033</v>
      </c>
      <c r="V1071" s="41">
        <v>46153.532847222225</v>
      </c>
      <c r="W1071" s="40">
        <v>46032</v>
      </c>
      <c r="X1071" s="35" t="s">
        <v>916</v>
      </c>
      <c r="Y1071" s="35" t="s">
        <v>916</v>
      </c>
      <c r="Z1071" s="35" t="s">
        <v>916</v>
      </c>
      <c r="AA1071" s="38">
        <v>47.043611112000001</v>
      </c>
      <c r="AB1071" s="42" t="s">
        <v>916</v>
      </c>
      <c r="AC1071" s="43" t="s">
        <v>916</v>
      </c>
      <c r="AD1071" s="43" t="s">
        <v>916</v>
      </c>
      <c r="AE1071" s="33" t="s">
        <v>916</v>
      </c>
      <c r="AF1071" s="35" t="s">
        <v>916</v>
      </c>
      <c r="AG1071" s="44">
        <v>491122.9730555556</v>
      </c>
      <c r="AH1071" s="42" t="s">
        <v>916</v>
      </c>
      <c r="AI1071" s="32" t="e">
        <f>VLOOKUP(A1071,'4月明細'!B:B,1,0)</f>
        <v>#N/A</v>
      </c>
    </row>
    <row r="1072" spans="1:35" ht="19.95" customHeight="1" x14ac:dyDescent="0.3">
      <c r="A1072" s="33" t="s">
        <v>105</v>
      </c>
      <c r="B1072" s="34">
        <v>46031.830300925925</v>
      </c>
      <c r="C1072" s="34" t="str">
        <f t="shared" si="29"/>
        <v>202601</v>
      </c>
      <c r="D1072" s="35" t="s">
        <v>941</v>
      </c>
      <c r="E1072" s="36" t="s">
        <v>942</v>
      </c>
      <c r="F1072" s="36" t="s">
        <v>1121</v>
      </c>
      <c r="G1072" s="37" t="s">
        <v>3696</v>
      </c>
      <c r="H1072" s="36" t="s">
        <v>913</v>
      </c>
      <c r="I1072" s="35"/>
      <c r="J1072" s="36" t="s">
        <v>945</v>
      </c>
      <c r="K1072" s="33" t="s">
        <v>916</v>
      </c>
      <c r="L1072" s="35" t="s">
        <v>916</v>
      </c>
      <c r="M1072" s="36" t="s">
        <v>916</v>
      </c>
      <c r="N1072" s="45">
        <v>46034.415277777778</v>
      </c>
      <c r="O1072" s="36" t="s">
        <v>25</v>
      </c>
      <c r="P1072" s="38">
        <v>2.5849768519</v>
      </c>
      <c r="Q1072" s="39" t="s">
        <v>3697</v>
      </c>
      <c r="R1072" s="35" t="s">
        <v>916</v>
      </c>
      <c r="S1072" s="35"/>
      <c r="T1072" s="35" t="s">
        <v>1701</v>
      </c>
      <c r="U1072" s="40">
        <v>46032</v>
      </c>
      <c r="V1072" s="41">
        <v>46153.532847222225</v>
      </c>
      <c r="W1072" s="40">
        <v>46031</v>
      </c>
      <c r="X1072" s="35" t="s">
        <v>916</v>
      </c>
      <c r="Y1072" s="35" t="s">
        <v>916</v>
      </c>
      <c r="Z1072" s="35" t="s">
        <v>916</v>
      </c>
      <c r="AA1072" s="38">
        <v>62.039444445599997</v>
      </c>
      <c r="AB1072" s="42" t="s">
        <v>916</v>
      </c>
      <c r="AC1072" s="43" t="s">
        <v>916</v>
      </c>
      <c r="AD1072" s="43" t="s">
        <v>916</v>
      </c>
      <c r="AE1072" s="33" t="s">
        <v>916</v>
      </c>
      <c r="AF1072" s="35" t="s">
        <v>916</v>
      </c>
      <c r="AG1072" s="44">
        <v>491107.92722222221</v>
      </c>
      <c r="AH1072" s="42" t="s">
        <v>916</v>
      </c>
      <c r="AI1072" s="32" t="e">
        <f>VLOOKUP(A1072,'4月明細'!B:B,1,0)</f>
        <v>#N/A</v>
      </c>
    </row>
    <row r="1073" spans="1:35" ht="19.95" customHeight="1" x14ac:dyDescent="0.3">
      <c r="A1073" s="33" t="s">
        <v>104</v>
      </c>
      <c r="B1073" s="34">
        <v>46031.669351851851</v>
      </c>
      <c r="C1073" s="34" t="str">
        <f t="shared" si="29"/>
        <v>202601</v>
      </c>
      <c r="D1073" s="35" t="s">
        <v>941</v>
      </c>
      <c r="E1073" s="36" t="s">
        <v>942</v>
      </c>
      <c r="F1073" s="36" t="s">
        <v>2080</v>
      </c>
      <c r="G1073" s="37" t="s">
        <v>3698</v>
      </c>
      <c r="H1073" s="36" t="s">
        <v>913</v>
      </c>
      <c r="I1073" s="35"/>
      <c r="J1073" s="36" t="s">
        <v>945</v>
      </c>
      <c r="K1073" s="33" t="s">
        <v>916</v>
      </c>
      <c r="L1073" s="35" t="s">
        <v>916</v>
      </c>
      <c r="M1073" s="36" t="s">
        <v>916</v>
      </c>
      <c r="N1073" s="45">
        <v>46031.679861111108</v>
      </c>
      <c r="O1073" s="36" t="s">
        <v>25</v>
      </c>
      <c r="P1073" s="38">
        <v>1.05092593E-2</v>
      </c>
      <c r="Q1073" s="39" t="s">
        <v>3699</v>
      </c>
      <c r="R1073" s="35" t="s">
        <v>916</v>
      </c>
      <c r="S1073" s="35" t="s">
        <v>3700</v>
      </c>
      <c r="T1073" s="35" t="s">
        <v>1701</v>
      </c>
      <c r="U1073" s="40">
        <v>46032</v>
      </c>
      <c r="V1073" s="41">
        <v>46153.532847222225</v>
      </c>
      <c r="W1073" s="40">
        <v>46031</v>
      </c>
      <c r="X1073" s="35" t="s">
        <v>916</v>
      </c>
      <c r="Y1073" s="35" t="s">
        <v>916</v>
      </c>
      <c r="Z1073" s="35" t="s">
        <v>916</v>
      </c>
      <c r="AA1073" s="38">
        <v>0.25222222319999998</v>
      </c>
      <c r="AB1073" s="42" t="s">
        <v>916</v>
      </c>
      <c r="AC1073" s="43" t="s">
        <v>916</v>
      </c>
      <c r="AD1073" s="43" t="s">
        <v>916</v>
      </c>
      <c r="AE1073" s="33" t="s">
        <v>916</v>
      </c>
      <c r="AF1073" s="35" t="s">
        <v>916</v>
      </c>
      <c r="AG1073" s="44">
        <v>491104.06444444438</v>
      </c>
      <c r="AH1073" s="42" t="s">
        <v>916</v>
      </c>
      <c r="AI1073" s="32" t="e">
        <f>VLOOKUP(A1073,'4月明細'!B:B,1,0)</f>
        <v>#N/A</v>
      </c>
    </row>
    <row r="1074" spans="1:35" ht="19.95" customHeight="1" x14ac:dyDescent="0.3">
      <c r="A1074" s="33" t="s">
        <v>103</v>
      </c>
      <c r="B1074" s="34">
        <v>46031.631064814814</v>
      </c>
      <c r="C1074" s="34" t="str">
        <f t="shared" si="29"/>
        <v>202601</v>
      </c>
      <c r="D1074" s="35" t="s">
        <v>2278</v>
      </c>
      <c r="E1074" s="36" t="s">
        <v>910</v>
      </c>
      <c r="F1074" s="36" t="s">
        <v>964</v>
      </c>
      <c r="G1074" s="37" t="s">
        <v>3701</v>
      </c>
      <c r="H1074" s="36" t="s">
        <v>954</v>
      </c>
      <c r="I1074" s="35" t="s">
        <v>3702</v>
      </c>
      <c r="J1074" s="36" t="s">
        <v>929</v>
      </c>
      <c r="K1074" s="33" t="s">
        <v>916</v>
      </c>
      <c r="L1074" s="35" t="s">
        <v>916</v>
      </c>
      <c r="M1074" s="36" t="s">
        <v>916</v>
      </c>
      <c r="N1074" s="45">
        <v>46034.413888888892</v>
      </c>
      <c r="O1074" s="36" t="s">
        <v>25</v>
      </c>
      <c r="P1074" s="38">
        <v>2.7828240741000001</v>
      </c>
      <c r="Q1074" s="39" t="s">
        <v>3703</v>
      </c>
      <c r="R1074" s="35" t="s">
        <v>916</v>
      </c>
      <c r="S1074" s="35" t="s">
        <v>3704</v>
      </c>
      <c r="T1074" s="35" t="s">
        <v>1701</v>
      </c>
      <c r="U1074" s="40">
        <v>46032</v>
      </c>
      <c r="V1074" s="41">
        <v>46153.532847222225</v>
      </c>
      <c r="W1074" s="40">
        <v>46031</v>
      </c>
      <c r="X1074" s="35" t="s">
        <v>916</v>
      </c>
      <c r="Y1074" s="35" t="s">
        <v>916</v>
      </c>
      <c r="Z1074" s="35" t="s">
        <v>916</v>
      </c>
      <c r="AA1074" s="38">
        <v>66.787777778399999</v>
      </c>
      <c r="AB1074" s="42" t="s">
        <v>916</v>
      </c>
      <c r="AC1074" s="43" t="s">
        <v>916</v>
      </c>
      <c r="AD1074" s="43" t="s">
        <v>916</v>
      </c>
      <c r="AE1074" s="33" t="s">
        <v>916</v>
      </c>
      <c r="AF1074" s="35" t="s">
        <v>916</v>
      </c>
      <c r="AG1074" s="44">
        <v>491103.14555555547</v>
      </c>
      <c r="AH1074" s="42" t="s">
        <v>916</v>
      </c>
      <c r="AI1074" s="32" t="e">
        <f>VLOOKUP(A1074,'4月明細'!B:B,1,0)</f>
        <v>#N/A</v>
      </c>
    </row>
    <row r="1075" spans="1:35" ht="19.95" customHeight="1" x14ac:dyDescent="0.3">
      <c r="A1075" s="33" t="s">
        <v>102</v>
      </c>
      <c r="B1075" s="34">
        <v>46031.630196759259</v>
      </c>
      <c r="C1075" s="34" t="str">
        <f t="shared" si="29"/>
        <v>202601</v>
      </c>
      <c r="D1075" s="35" t="s">
        <v>2278</v>
      </c>
      <c r="E1075" s="36" t="s">
        <v>910</v>
      </c>
      <c r="F1075" s="36" t="s">
        <v>1686</v>
      </c>
      <c r="G1075" s="37" t="s">
        <v>3701</v>
      </c>
      <c r="H1075" s="36" t="s">
        <v>954</v>
      </c>
      <c r="I1075" s="35" t="s">
        <v>3705</v>
      </c>
      <c r="J1075" s="36" t="s">
        <v>929</v>
      </c>
      <c r="K1075" s="33" t="s">
        <v>916</v>
      </c>
      <c r="L1075" s="35" t="s">
        <v>916</v>
      </c>
      <c r="M1075" s="36" t="s">
        <v>916</v>
      </c>
      <c r="N1075" s="45">
        <v>46034.413194444445</v>
      </c>
      <c r="O1075" s="36" t="s">
        <v>25</v>
      </c>
      <c r="P1075" s="38">
        <v>2.7829976851999998</v>
      </c>
      <c r="Q1075" s="39" t="s">
        <v>3706</v>
      </c>
      <c r="R1075" s="35" t="s">
        <v>916</v>
      </c>
      <c r="S1075" s="35" t="s">
        <v>3707</v>
      </c>
      <c r="T1075" s="35" t="s">
        <v>1701</v>
      </c>
      <c r="U1075" s="40">
        <v>46032</v>
      </c>
      <c r="V1075" s="41">
        <v>46153.532847222225</v>
      </c>
      <c r="W1075" s="40">
        <v>46031</v>
      </c>
      <c r="X1075" s="35" t="s">
        <v>916</v>
      </c>
      <c r="Y1075" s="35" t="s">
        <v>916</v>
      </c>
      <c r="Z1075" s="35" t="s">
        <v>916</v>
      </c>
      <c r="AA1075" s="38">
        <v>66.791944444799995</v>
      </c>
      <c r="AB1075" s="42" t="s">
        <v>916</v>
      </c>
      <c r="AC1075" s="43" t="s">
        <v>916</v>
      </c>
      <c r="AD1075" s="43" t="s">
        <v>916</v>
      </c>
      <c r="AE1075" s="33" t="s">
        <v>916</v>
      </c>
      <c r="AF1075" s="35" t="s">
        <v>916</v>
      </c>
      <c r="AG1075" s="44">
        <v>491103.12472222222</v>
      </c>
      <c r="AH1075" s="42" t="s">
        <v>916</v>
      </c>
      <c r="AI1075" s="32" t="e">
        <f>VLOOKUP(A1075,'4月明細'!B:B,1,0)</f>
        <v>#N/A</v>
      </c>
    </row>
    <row r="1076" spans="1:35" ht="19.95" customHeight="1" x14ac:dyDescent="0.3">
      <c r="A1076" s="33" t="s">
        <v>101</v>
      </c>
      <c r="B1076" s="34">
        <v>46031.624305555553</v>
      </c>
      <c r="C1076" s="34" t="str">
        <f t="shared" si="29"/>
        <v>202601</v>
      </c>
      <c r="D1076" s="35" t="s">
        <v>909</v>
      </c>
      <c r="E1076" s="36" t="s">
        <v>910</v>
      </c>
      <c r="F1076" s="36" t="s">
        <v>1304</v>
      </c>
      <c r="G1076" s="37" t="s">
        <v>3708</v>
      </c>
      <c r="H1076" s="36" t="s">
        <v>1023</v>
      </c>
      <c r="I1076" s="35" t="s">
        <v>3709</v>
      </c>
      <c r="J1076" s="36" t="s">
        <v>914</v>
      </c>
      <c r="K1076" s="33" t="s">
        <v>916</v>
      </c>
      <c r="L1076" s="35" t="s">
        <v>916</v>
      </c>
      <c r="M1076" s="36" t="s">
        <v>916</v>
      </c>
      <c r="N1076" s="45">
        <v>46031.680555555555</v>
      </c>
      <c r="O1076" s="36" t="s">
        <v>25</v>
      </c>
      <c r="P1076" s="38">
        <v>5.6250000000000001E-2</v>
      </c>
      <c r="Q1076" s="39" t="s">
        <v>3710</v>
      </c>
      <c r="R1076" s="35" t="s">
        <v>916</v>
      </c>
      <c r="S1076" s="35" t="s">
        <v>3711</v>
      </c>
      <c r="T1076" s="35" t="s">
        <v>1701</v>
      </c>
      <c r="U1076" s="40">
        <v>46032</v>
      </c>
      <c r="V1076" s="41">
        <v>46153.532847222225</v>
      </c>
      <c r="W1076" s="40">
        <v>46031</v>
      </c>
      <c r="X1076" s="35" t="s">
        <v>916</v>
      </c>
      <c r="Y1076" s="35" t="s">
        <v>916</v>
      </c>
      <c r="Z1076" s="35" t="s">
        <v>916</v>
      </c>
      <c r="AA1076" s="38">
        <v>1.35</v>
      </c>
      <c r="AB1076" s="42" t="s">
        <v>916</v>
      </c>
      <c r="AC1076" s="43" t="s">
        <v>916</v>
      </c>
      <c r="AD1076" s="43" t="s">
        <v>916</v>
      </c>
      <c r="AE1076" s="33" t="s">
        <v>916</v>
      </c>
      <c r="AF1076" s="35" t="s">
        <v>916</v>
      </c>
      <c r="AG1076" s="44">
        <v>491102.9833333334</v>
      </c>
      <c r="AH1076" s="42" t="s">
        <v>916</v>
      </c>
      <c r="AI1076" s="32" t="e">
        <f>VLOOKUP(A1076,'4月明細'!B:B,1,0)</f>
        <v>#N/A</v>
      </c>
    </row>
    <row r="1077" spans="1:35" ht="19.95" customHeight="1" x14ac:dyDescent="0.3">
      <c r="A1077" s="33" t="s">
        <v>100</v>
      </c>
      <c r="B1077" s="34">
        <v>46031.548182870371</v>
      </c>
      <c r="C1077" s="34" t="str">
        <f t="shared" si="29"/>
        <v>202601</v>
      </c>
      <c r="D1077" s="35" t="s">
        <v>1747</v>
      </c>
      <c r="E1077" s="36" t="s">
        <v>942</v>
      </c>
      <c r="F1077" s="36" t="s">
        <v>1161</v>
      </c>
      <c r="G1077" s="37" t="s">
        <v>3712</v>
      </c>
      <c r="H1077" s="36" t="s">
        <v>913</v>
      </c>
      <c r="I1077" s="35"/>
      <c r="J1077" s="36" t="s">
        <v>945</v>
      </c>
      <c r="K1077" s="33" t="s">
        <v>916</v>
      </c>
      <c r="L1077" s="35" t="s">
        <v>916</v>
      </c>
      <c r="M1077" s="36" t="s">
        <v>916</v>
      </c>
      <c r="N1077" s="45">
        <v>46031.681250000001</v>
      </c>
      <c r="O1077" s="36" t="s">
        <v>25</v>
      </c>
      <c r="P1077" s="38">
        <v>0.1330671296</v>
      </c>
      <c r="Q1077" s="39" t="s">
        <v>3713</v>
      </c>
      <c r="R1077" s="35" t="s">
        <v>916</v>
      </c>
      <c r="S1077" s="35"/>
      <c r="T1077" s="35" t="s">
        <v>1701</v>
      </c>
      <c r="U1077" s="40">
        <v>46032</v>
      </c>
      <c r="V1077" s="41">
        <v>46153.532847222225</v>
      </c>
      <c r="W1077" s="40">
        <v>46031</v>
      </c>
      <c r="X1077" s="35" t="s">
        <v>916</v>
      </c>
      <c r="Y1077" s="35" t="s">
        <v>916</v>
      </c>
      <c r="Z1077" s="35" t="s">
        <v>916</v>
      </c>
      <c r="AA1077" s="38">
        <v>3.1936111104</v>
      </c>
      <c r="AB1077" s="42" t="s">
        <v>916</v>
      </c>
      <c r="AC1077" s="43" t="s">
        <v>916</v>
      </c>
      <c r="AD1077" s="43" t="s">
        <v>916</v>
      </c>
      <c r="AE1077" s="33" t="s">
        <v>916</v>
      </c>
      <c r="AF1077" s="35" t="s">
        <v>916</v>
      </c>
      <c r="AG1077" s="44">
        <v>491101.15638888889</v>
      </c>
      <c r="AH1077" s="42" t="s">
        <v>916</v>
      </c>
      <c r="AI1077" s="32" t="e">
        <f>VLOOKUP(A1077,'4月明細'!B:B,1,0)</f>
        <v>#N/A</v>
      </c>
    </row>
    <row r="1078" spans="1:35" ht="19.95" customHeight="1" x14ac:dyDescent="0.3">
      <c r="A1078" s="33" t="s">
        <v>99</v>
      </c>
      <c r="B1078" s="34">
        <v>46030.689710648148</v>
      </c>
      <c r="C1078" s="34" t="str">
        <f t="shared" si="29"/>
        <v>202601</v>
      </c>
      <c r="D1078" s="35" t="s">
        <v>960</v>
      </c>
      <c r="E1078" s="36" t="s">
        <v>1112</v>
      </c>
      <c r="F1078" s="36" t="s">
        <v>1150</v>
      </c>
      <c r="G1078" s="37" t="s">
        <v>3714</v>
      </c>
      <c r="H1078" s="36" t="s">
        <v>928</v>
      </c>
      <c r="I1078" s="35"/>
      <c r="J1078" s="36" t="s">
        <v>1058</v>
      </c>
      <c r="K1078" s="33" t="s">
        <v>916</v>
      </c>
      <c r="L1078" s="35" t="s">
        <v>916</v>
      </c>
      <c r="M1078" s="36" t="s">
        <v>1135</v>
      </c>
      <c r="N1078" s="45">
        <v>46031.415972222225</v>
      </c>
      <c r="O1078" s="36" t="s">
        <v>25</v>
      </c>
      <c r="P1078" s="38">
        <v>0.72626157410000003</v>
      </c>
      <c r="Q1078" s="39" t="s">
        <v>3715</v>
      </c>
      <c r="R1078" s="35" t="s">
        <v>916</v>
      </c>
      <c r="S1078" s="35"/>
      <c r="T1078" s="35" t="s">
        <v>1701</v>
      </c>
      <c r="U1078" s="40">
        <v>46031</v>
      </c>
      <c r="V1078" s="41">
        <v>46153.532847222225</v>
      </c>
      <c r="W1078" s="40">
        <v>46030</v>
      </c>
      <c r="X1078" s="35" t="s">
        <v>916</v>
      </c>
      <c r="Y1078" s="35" t="s">
        <v>916</v>
      </c>
      <c r="Z1078" s="35" t="s">
        <v>916</v>
      </c>
      <c r="AA1078" s="38">
        <v>17.430277778400001</v>
      </c>
      <c r="AB1078" s="42" t="s">
        <v>916</v>
      </c>
      <c r="AC1078" s="43" t="s">
        <v>916</v>
      </c>
      <c r="AD1078" s="43" t="s">
        <v>916</v>
      </c>
      <c r="AE1078" s="33" t="s">
        <v>916</v>
      </c>
      <c r="AF1078" s="35" t="s">
        <v>916</v>
      </c>
      <c r="AG1078" s="44">
        <v>491080.55305555562</v>
      </c>
      <c r="AH1078" s="42" t="s">
        <v>916</v>
      </c>
      <c r="AI1078" s="32" t="e">
        <f>VLOOKUP(A1078,'4月明細'!B:B,1,0)</f>
        <v>#N/A</v>
      </c>
    </row>
    <row r="1079" spans="1:35" ht="19.95" customHeight="1" x14ac:dyDescent="0.3">
      <c r="A1079" s="33" t="s">
        <v>98</v>
      </c>
      <c r="B1079" s="34">
        <v>46030.519965277781</v>
      </c>
      <c r="C1079" s="34" t="str">
        <f t="shared" si="29"/>
        <v>202601</v>
      </c>
      <c r="D1079" s="35" t="s">
        <v>951</v>
      </c>
      <c r="E1079" s="36" t="s">
        <v>910</v>
      </c>
      <c r="F1079" s="36" t="s">
        <v>1240</v>
      </c>
      <c r="G1079" s="37" t="s">
        <v>3716</v>
      </c>
      <c r="H1079" s="36" t="s">
        <v>954</v>
      </c>
      <c r="I1079" s="35"/>
      <c r="J1079" s="36" t="s">
        <v>1058</v>
      </c>
      <c r="K1079" s="33" t="s">
        <v>916</v>
      </c>
      <c r="L1079" s="35" t="s">
        <v>916</v>
      </c>
      <c r="M1079" s="36" t="s">
        <v>916</v>
      </c>
      <c r="N1079" s="45">
        <v>46030.754166666666</v>
      </c>
      <c r="O1079" s="36" t="s">
        <v>25</v>
      </c>
      <c r="P1079" s="38">
        <v>0.2342013889</v>
      </c>
      <c r="Q1079" s="39" t="s">
        <v>3717</v>
      </c>
      <c r="R1079" s="35" t="s">
        <v>916</v>
      </c>
      <c r="S1079" s="35"/>
      <c r="T1079" s="35" t="s">
        <v>1701</v>
      </c>
      <c r="U1079" s="40">
        <v>46031</v>
      </c>
      <c r="V1079" s="41">
        <v>46153.532847222225</v>
      </c>
      <c r="W1079" s="40">
        <v>46030</v>
      </c>
      <c r="X1079" s="35" t="s">
        <v>916</v>
      </c>
      <c r="Y1079" s="35" t="s">
        <v>916</v>
      </c>
      <c r="Z1079" s="35" t="s">
        <v>916</v>
      </c>
      <c r="AA1079" s="38">
        <v>5.6208333336000003</v>
      </c>
      <c r="AB1079" s="42" t="s">
        <v>916</v>
      </c>
      <c r="AC1079" s="43" t="s">
        <v>916</v>
      </c>
      <c r="AD1079" s="43" t="s">
        <v>916</v>
      </c>
      <c r="AE1079" s="33" t="s">
        <v>916</v>
      </c>
      <c r="AF1079" s="35" t="s">
        <v>916</v>
      </c>
      <c r="AG1079" s="44">
        <v>491076.47916666663</v>
      </c>
      <c r="AH1079" s="42" t="s">
        <v>916</v>
      </c>
      <c r="AI1079" s="32" t="e">
        <f>VLOOKUP(A1079,'4月明細'!B:B,1,0)</f>
        <v>#N/A</v>
      </c>
    </row>
    <row r="1080" spans="1:35" ht="19.95" customHeight="1" x14ac:dyDescent="0.3">
      <c r="A1080" s="33" t="s">
        <v>97</v>
      </c>
      <c r="B1080" s="34">
        <v>46030.519490740742</v>
      </c>
      <c r="C1080" s="34" t="str">
        <f t="shared" si="29"/>
        <v>202601</v>
      </c>
      <c r="D1080" s="35" t="s">
        <v>951</v>
      </c>
      <c r="E1080" s="36" t="s">
        <v>910</v>
      </c>
      <c r="F1080" s="36" t="s">
        <v>1004</v>
      </c>
      <c r="G1080" s="37" t="s">
        <v>3718</v>
      </c>
      <c r="H1080" s="36" t="s">
        <v>954</v>
      </c>
      <c r="I1080" s="35" t="s">
        <v>3719</v>
      </c>
      <c r="J1080" s="36" t="s">
        <v>914</v>
      </c>
      <c r="K1080" s="33" t="s">
        <v>916</v>
      </c>
      <c r="L1080" s="35" t="s">
        <v>916</v>
      </c>
      <c r="M1080" s="36" t="s">
        <v>916</v>
      </c>
      <c r="N1080" s="45">
        <v>46030.753472222219</v>
      </c>
      <c r="O1080" s="36" t="s">
        <v>25</v>
      </c>
      <c r="P1080" s="38">
        <v>0.2339814815</v>
      </c>
      <c r="Q1080" s="39" t="s">
        <v>3720</v>
      </c>
      <c r="R1080" s="35" t="s">
        <v>916</v>
      </c>
      <c r="S1080" s="35" t="s">
        <v>3721</v>
      </c>
      <c r="T1080" s="35" t="s">
        <v>1701</v>
      </c>
      <c r="U1080" s="40">
        <v>46031</v>
      </c>
      <c r="V1080" s="41">
        <v>46153.532847222225</v>
      </c>
      <c r="W1080" s="40">
        <v>46030</v>
      </c>
      <c r="X1080" s="35" t="s">
        <v>916</v>
      </c>
      <c r="Y1080" s="35" t="s">
        <v>916</v>
      </c>
      <c r="Z1080" s="35" t="s">
        <v>916</v>
      </c>
      <c r="AA1080" s="38">
        <v>5.6155555560000003</v>
      </c>
      <c r="AB1080" s="42" t="s">
        <v>916</v>
      </c>
      <c r="AC1080" s="43" t="s">
        <v>916</v>
      </c>
      <c r="AD1080" s="43" t="s">
        <v>916</v>
      </c>
      <c r="AE1080" s="33" t="s">
        <v>916</v>
      </c>
      <c r="AF1080" s="35" t="s">
        <v>916</v>
      </c>
      <c r="AG1080" s="44">
        <v>491076.46777777781</v>
      </c>
      <c r="AH1080" s="42" t="s">
        <v>916</v>
      </c>
      <c r="AI1080" s="32" t="e">
        <f>VLOOKUP(A1080,'4月明細'!B:B,1,0)</f>
        <v>#N/A</v>
      </c>
    </row>
    <row r="1081" spans="1:35" ht="19.95" customHeight="1" x14ac:dyDescent="0.3">
      <c r="A1081" s="33" t="s">
        <v>96</v>
      </c>
      <c r="B1081" s="34">
        <v>46029.970011574071</v>
      </c>
      <c r="C1081" s="34" t="str">
        <f t="shared" si="29"/>
        <v>202601</v>
      </c>
      <c r="D1081" s="35" t="s">
        <v>1510</v>
      </c>
      <c r="E1081" s="36" t="s">
        <v>1112</v>
      </c>
      <c r="F1081" s="36" t="s">
        <v>1150</v>
      </c>
      <c r="G1081" s="37" t="s">
        <v>3722</v>
      </c>
      <c r="H1081" s="36" t="s">
        <v>928</v>
      </c>
      <c r="I1081" s="35"/>
      <c r="J1081" s="36" t="s">
        <v>938</v>
      </c>
      <c r="K1081" s="33" t="s">
        <v>916</v>
      </c>
      <c r="L1081" s="35" t="s">
        <v>916</v>
      </c>
      <c r="M1081" s="36" t="s">
        <v>1039</v>
      </c>
      <c r="N1081" s="45">
        <v>46030.424305555556</v>
      </c>
      <c r="O1081" s="36" t="s">
        <v>25</v>
      </c>
      <c r="P1081" s="38">
        <v>0.4542939815</v>
      </c>
      <c r="Q1081" s="39" t="s">
        <v>3723</v>
      </c>
      <c r="R1081" s="35" t="s">
        <v>916</v>
      </c>
      <c r="S1081" s="35"/>
      <c r="T1081" s="35" t="s">
        <v>1701</v>
      </c>
      <c r="U1081" s="40">
        <v>46030</v>
      </c>
      <c r="V1081" s="41">
        <v>46153.532847222225</v>
      </c>
      <c r="W1081" s="40">
        <v>46030</v>
      </c>
      <c r="X1081" s="35" t="s">
        <v>916</v>
      </c>
      <c r="Y1081" s="35" t="s">
        <v>916</v>
      </c>
      <c r="Z1081" s="35" t="s">
        <v>916</v>
      </c>
      <c r="AA1081" s="38">
        <v>10.903055556</v>
      </c>
      <c r="AB1081" s="42" t="s">
        <v>916</v>
      </c>
      <c r="AC1081" s="43" t="s">
        <v>916</v>
      </c>
      <c r="AD1081" s="43" t="s">
        <v>916</v>
      </c>
      <c r="AE1081" s="33" t="s">
        <v>916</v>
      </c>
      <c r="AF1081" s="35" t="s">
        <v>916</v>
      </c>
      <c r="AG1081" s="44">
        <v>491063.28027777781</v>
      </c>
      <c r="AH1081" s="42" t="s">
        <v>916</v>
      </c>
      <c r="AI1081" s="32" t="e">
        <f>VLOOKUP(A1081,'4月明細'!B:B,1,0)</f>
        <v>#N/A</v>
      </c>
    </row>
    <row r="1082" spans="1:35" ht="19.95" customHeight="1" x14ac:dyDescent="0.3">
      <c r="A1082" s="33" t="s">
        <v>95</v>
      </c>
      <c r="B1082" s="34">
        <v>46029.670300925929</v>
      </c>
      <c r="C1082" s="34" t="str">
        <f t="shared" si="29"/>
        <v>202601</v>
      </c>
      <c r="D1082" s="35" t="s">
        <v>951</v>
      </c>
      <c r="E1082" s="36" t="s">
        <v>910</v>
      </c>
      <c r="F1082" s="36" t="s">
        <v>2017</v>
      </c>
      <c r="G1082" s="37" t="s">
        <v>3724</v>
      </c>
      <c r="H1082" s="36" t="s">
        <v>954</v>
      </c>
      <c r="I1082" s="35"/>
      <c r="J1082" s="36" t="s">
        <v>929</v>
      </c>
      <c r="K1082" s="33" t="s">
        <v>916</v>
      </c>
      <c r="L1082" s="35" t="s">
        <v>916</v>
      </c>
      <c r="M1082" s="36" t="s">
        <v>1039</v>
      </c>
      <c r="N1082" s="45">
        <v>46029.806944444441</v>
      </c>
      <c r="O1082" s="36" t="s">
        <v>25</v>
      </c>
      <c r="P1082" s="38">
        <v>0.13664351850000001</v>
      </c>
      <c r="Q1082" s="39" t="s">
        <v>3725</v>
      </c>
      <c r="R1082" s="35" t="s">
        <v>916</v>
      </c>
      <c r="S1082" s="35"/>
      <c r="T1082" s="35" t="s">
        <v>1701</v>
      </c>
      <c r="U1082" s="40">
        <v>46030</v>
      </c>
      <c r="V1082" s="41">
        <v>46153.532847222225</v>
      </c>
      <c r="W1082" s="40">
        <v>46029</v>
      </c>
      <c r="X1082" s="35" t="s">
        <v>916</v>
      </c>
      <c r="Y1082" s="35" t="s">
        <v>916</v>
      </c>
      <c r="Z1082" s="35" t="s">
        <v>916</v>
      </c>
      <c r="AA1082" s="38">
        <v>3.2794444440000001</v>
      </c>
      <c r="AB1082" s="42" t="s">
        <v>916</v>
      </c>
      <c r="AC1082" s="43" t="s">
        <v>916</v>
      </c>
      <c r="AD1082" s="43" t="s">
        <v>916</v>
      </c>
      <c r="AE1082" s="33" t="s">
        <v>916</v>
      </c>
      <c r="AF1082" s="35" t="s">
        <v>916</v>
      </c>
      <c r="AG1082" s="44">
        <v>491056.08722222218</v>
      </c>
      <c r="AH1082" s="42" t="s">
        <v>916</v>
      </c>
      <c r="AI1082" s="32" t="e">
        <f>VLOOKUP(A1082,'4月明細'!B:B,1,0)</f>
        <v>#N/A</v>
      </c>
    </row>
    <row r="1083" spans="1:35" ht="19.95" customHeight="1" x14ac:dyDescent="0.3">
      <c r="A1083" s="33" t="s">
        <v>94</v>
      </c>
      <c r="B1083" s="34">
        <v>46029.608993055554</v>
      </c>
      <c r="C1083" s="34" t="str">
        <f t="shared" si="29"/>
        <v>202601</v>
      </c>
      <c r="D1083" s="35" t="s">
        <v>951</v>
      </c>
      <c r="E1083" s="36" t="s">
        <v>910</v>
      </c>
      <c r="F1083" s="36" t="s">
        <v>1469</v>
      </c>
      <c r="G1083" s="37" t="s">
        <v>3726</v>
      </c>
      <c r="H1083" s="36" t="s">
        <v>954</v>
      </c>
      <c r="I1083" s="35" t="s">
        <v>3727</v>
      </c>
      <c r="J1083" s="36" t="s">
        <v>929</v>
      </c>
      <c r="K1083" s="33" t="s">
        <v>916</v>
      </c>
      <c r="L1083" s="35" t="s">
        <v>916</v>
      </c>
      <c r="M1083" s="36" t="s">
        <v>957</v>
      </c>
      <c r="N1083" s="45">
        <v>46029.808333333334</v>
      </c>
      <c r="O1083" s="36" t="s">
        <v>25</v>
      </c>
      <c r="P1083" s="38">
        <v>0.19934027779999999</v>
      </c>
      <c r="Q1083" s="39" t="s">
        <v>3728</v>
      </c>
      <c r="R1083" s="35" t="s">
        <v>916</v>
      </c>
      <c r="S1083" s="35" t="s">
        <v>3729</v>
      </c>
      <c r="T1083" s="35" t="s">
        <v>1701</v>
      </c>
      <c r="U1083" s="40">
        <v>46030</v>
      </c>
      <c r="V1083" s="41">
        <v>46153.532847222225</v>
      </c>
      <c r="W1083" s="40">
        <v>46029</v>
      </c>
      <c r="X1083" s="35" t="s">
        <v>916</v>
      </c>
      <c r="Y1083" s="35" t="s">
        <v>916</v>
      </c>
      <c r="Z1083" s="35" t="s">
        <v>916</v>
      </c>
      <c r="AA1083" s="38">
        <v>4.7841666672000001</v>
      </c>
      <c r="AB1083" s="42" t="s">
        <v>916</v>
      </c>
      <c r="AC1083" s="43" t="s">
        <v>916</v>
      </c>
      <c r="AD1083" s="43" t="s">
        <v>916</v>
      </c>
      <c r="AE1083" s="33" t="s">
        <v>916</v>
      </c>
      <c r="AF1083" s="35" t="s">
        <v>916</v>
      </c>
      <c r="AG1083" s="44">
        <v>491054.61583333329</v>
      </c>
      <c r="AH1083" s="42" t="s">
        <v>916</v>
      </c>
      <c r="AI1083" s="32" t="e">
        <f>VLOOKUP(A1083,'4月明細'!B:B,1,0)</f>
        <v>#N/A</v>
      </c>
    </row>
    <row r="1084" spans="1:35" ht="19.95" customHeight="1" x14ac:dyDescent="0.3">
      <c r="A1084" s="33" t="s">
        <v>93</v>
      </c>
      <c r="B1084" s="34">
        <v>46029.599861111114</v>
      </c>
      <c r="C1084" s="34" t="str">
        <f t="shared" si="29"/>
        <v>202601</v>
      </c>
      <c r="D1084" s="35" t="s">
        <v>986</v>
      </c>
      <c r="E1084" s="36" t="s">
        <v>942</v>
      </c>
      <c r="F1084" s="36" t="s">
        <v>947</v>
      </c>
      <c r="G1084" s="37" t="s">
        <v>3730</v>
      </c>
      <c r="H1084" s="36" t="s">
        <v>928</v>
      </c>
      <c r="I1084" s="35"/>
      <c r="J1084" s="36" t="s">
        <v>945</v>
      </c>
      <c r="K1084" s="33" t="s">
        <v>916</v>
      </c>
      <c r="L1084" s="35" t="s">
        <v>916</v>
      </c>
      <c r="M1084" s="36" t="s">
        <v>957</v>
      </c>
      <c r="N1084" s="45">
        <v>46029.810416666667</v>
      </c>
      <c r="O1084" s="36" t="s">
        <v>25</v>
      </c>
      <c r="P1084" s="38">
        <v>0.2105555556</v>
      </c>
      <c r="Q1084" s="39" t="s">
        <v>3731</v>
      </c>
      <c r="R1084" s="35" t="s">
        <v>916</v>
      </c>
      <c r="S1084" s="35" t="s">
        <v>3732</v>
      </c>
      <c r="T1084" s="35" t="s">
        <v>1701</v>
      </c>
      <c r="U1084" s="40">
        <v>46030</v>
      </c>
      <c r="V1084" s="41">
        <v>46153.532847222225</v>
      </c>
      <c r="W1084" s="40">
        <v>46029</v>
      </c>
      <c r="X1084" s="35" t="s">
        <v>916</v>
      </c>
      <c r="Y1084" s="35" t="s">
        <v>916</v>
      </c>
      <c r="Z1084" s="35" t="s">
        <v>916</v>
      </c>
      <c r="AA1084" s="38">
        <v>5.0533333344000004</v>
      </c>
      <c r="AB1084" s="42" t="s">
        <v>916</v>
      </c>
      <c r="AC1084" s="43" t="s">
        <v>916</v>
      </c>
      <c r="AD1084" s="43" t="s">
        <v>916</v>
      </c>
      <c r="AE1084" s="33" t="s">
        <v>916</v>
      </c>
      <c r="AF1084" s="35" t="s">
        <v>916</v>
      </c>
      <c r="AG1084" s="44">
        <v>491054.39666666673</v>
      </c>
      <c r="AH1084" s="42" t="s">
        <v>916</v>
      </c>
      <c r="AI1084" s="32" t="e">
        <f>VLOOKUP(A1084,'4月明細'!B:B,1,0)</f>
        <v>#N/A</v>
      </c>
    </row>
    <row r="1085" spans="1:35" ht="19.95" customHeight="1" x14ac:dyDescent="0.3">
      <c r="A1085" s="33" t="s">
        <v>92</v>
      </c>
      <c r="B1085" s="34">
        <v>46029.586446759262</v>
      </c>
      <c r="C1085" s="34" t="str">
        <f t="shared" si="29"/>
        <v>202601</v>
      </c>
      <c r="D1085" s="35" t="s">
        <v>951</v>
      </c>
      <c r="E1085" s="36" t="s">
        <v>910</v>
      </c>
      <c r="F1085" s="36" t="s">
        <v>1469</v>
      </c>
      <c r="G1085" s="37" t="s">
        <v>3733</v>
      </c>
      <c r="H1085" s="36" t="s">
        <v>954</v>
      </c>
      <c r="I1085" s="35" t="s">
        <v>3734</v>
      </c>
      <c r="J1085" s="36" t="s">
        <v>929</v>
      </c>
      <c r="K1085" s="33" t="s">
        <v>916</v>
      </c>
      <c r="L1085" s="35" t="s">
        <v>916</v>
      </c>
      <c r="M1085" s="36" t="s">
        <v>957</v>
      </c>
      <c r="N1085" s="45">
        <v>46029.811111111114</v>
      </c>
      <c r="O1085" s="36" t="s">
        <v>25</v>
      </c>
      <c r="P1085" s="38">
        <v>0.2246643519</v>
      </c>
      <c r="Q1085" s="39" t="s">
        <v>3735</v>
      </c>
      <c r="R1085" s="35" t="s">
        <v>916</v>
      </c>
      <c r="S1085" s="35" t="s">
        <v>3736</v>
      </c>
      <c r="T1085" s="35" t="s">
        <v>1701</v>
      </c>
      <c r="U1085" s="40">
        <v>46030</v>
      </c>
      <c r="V1085" s="41">
        <v>46153.532847222225</v>
      </c>
      <c r="W1085" s="40">
        <v>46029</v>
      </c>
      <c r="X1085" s="35" t="s">
        <v>916</v>
      </c>
      <c r="Y1085" s="35" t="s">
        <v>916</v>
      </c>
      <c r="Z1085" s="35" t="s">
        <v>916</v>
      </c>
      <c r="AA1085" s="38">
        <v>5.3919444456000001</v>
      </c>
      <c r="AB1085" s="42" t="s">
        <v>916</v>
      </c>
      <c r="AC1085" s="43" t="s">
        <v>916</v>
      </c>
      <c r="AD1085" s="43" t="s">
        <v>916</v>
      </c>
      <c r="AE1085" s="33" t="s">
        <v>916</v>
      </c>
      <c r="AF1085" s="35" t="s">
        <v>916</v>
      </c>
      <c r="AG1085" s="44">
        <v>491054.07472222223</v>
      </c>
      <c r="AH1085" s="42" t="s">
        <v>916</v>
      </c>
      <c r="AI1085" s="32" t="e">
        <f>VLOOKUP(A1085,'4月明細'!B:B,1,0)</f>
        <v>#N/A</v>
      </c>
    </row>
    <row r="1086" spans="1:35" ht="19.95" customHeight="1" x14ac:dyDescent="0.3">
      <c r="A1086" s="33" t="s">
        <v>91</v>
      </c>
      <c r="B1086" s="34">
        <v>46029.585925925923</v>
      </c>
      <c r="C1086" s="34" t="str">
        <f t="shared" si="29"/>
        <v>202601</v>
      </c>
      <c r="D1086" s="35" t="s">
        <v>951</v>
      </c>
      <c r="E1086" s="36" t="s">
        <v>910</v>
      </c>
      <c r="F1086" s="36" t="s">
        <v>1552</v>
      </c>
      <c r="G1086" s="37" t="s">
        <v>3737</v>
      </c>
      <c r="H1086" s="36" t="s">
        <v>954</v>
      </c>
      <c r="I1086" s="35" t="s">
        <v>3738</v>
      </c>
      <c r="J1086" s="36" t="s">
        <v>929</v>
      </c>
      <c r="K1086" s="33" t="s">
        <v>916</v>
      </c>
      <c r="L1086" s="35" t="s">
        <v>916</v>
      </c>
      <c r="M1086" s="36" t="s">
        <v>916</v>
      </c>
      <c r="N1086" s="45">
        <v>46030.728472222225</v>
      </c>
      <c r="O1086" s="36" t="s">
        <v>25</v>
      </c>
      <c r="P1086" s="38">
        <v>1.1425462962999999</v>
      </c>
      <c r="Q1086" s="39" t="s">
        <v>3739</v>
      </c>
      <c r="R1086" s="35" t="s">
        <v>916</v>
      </c>
      <c r="S1086" s="35" t="s">
        <v>3740</v>
      </c>
      <c r="T1086" s="35" t="s">
        <v>1701</v>
      </c>
      <c r="U1086" s="40">
        <v>46030</v>
      </c>
      <c r="V1086" s="41">
        <v>46153.532847222225</v>
      </c>
      <c r="W1086" s="40">
        <v>46029</v>
      </c>
      <c r="X1086" s="35" t="s">
        <v>916</v>
      </c>
      <c r="Y1086" s="35" t="s">
        <v>916</v>
      </c>
      <c r="Z1086" s="35" t="s">
        <v>916</v>
      </c>
      <c r="AA1086" s="38">
        <v>27.421111111199998</v>
      </c>
      <c r="AB1086" s="42" t="s">
        <v>916</v>
      </c>
      <c r="AC1086" s="43" t="s">
        <v>916</v>
      </c>
      <c r="AD1086" s="43" t="s">
        <v>916</v>
      </c>
      <c r="AE1086" s="33" t="s">
        <v>916</v>
      </c>
      <c r="AF1086" s="35" t="s">
        <v>916</v>
      </c>
      <c r="AG1086" s="44">
        <v>491054.06222222222</v>
      </c>
      <c r="AH1086" s="42" t="s">
        <v>916</v>
      </c>
      <c r="AI1086" s="32" t="e">
        <f>VLOOKUP(A1086,'4月明細'!B:B,1,0)</f>
        <v>#N/A</v>
      </c>
    </row>
    <row r="1087" spans="1:35" ht="19.95" customHeight="1" x14ac:dyDescent="0.3">
      <c r="A1087" s="33" t="s">
        <v>90</v>
      </c>
      <c r="B1087" s="34">
        <v>46029.544571759259</v>
      </c>
      <c r="C1087" s="34" t="str">
        <f t="shared" si="29"/>
        <v>202601</v>
      </c>
      <c r="D1087" s="35" t="s">
        <v>986</v>
      </c>
      <c r="E1087" s="36" t="s">
        <v>910</v>
      </c>
      <c r="F1087" s="36" t="s">
        <v>1568</v>
      </c>
      <c r="G1087" s="37" t="s">
        <v>3741</v>
      </c>
      <c r="H1087" s="36" t="s">
        <v>954</v>
      </c>
      <c r="I1087" s="35"/>
      <c r="J1087" s="36" t="s">
        <v>929</v>
      </c>
      <c r="K1087" s="33" t="s">
        <v>916</v>
      </c>
      <c r="L1087" s="35" t="s">
        <v>916</v>
      </c>
      <c r="M1087" s="36" t="s">
        <v>957</v>
      </c>
      <c r="N1087" s="45">
        <v>46030.796527777777</v>
      </c>
      <c r="O1087" s="36" t="s">
        <v>25</v>
      </c>
      <c r="P1087" s="38">
        <v>1.2519560185</v>
      </c>
      <c r="Q1087" s="39" t="s">
        <v>3742</v>
      </c>
      <c r="R1087" s="35" t="s">
        <v>916</v>
      </c>
      <c r="S1087" s="35" t="s">
        <v>3743</v>
      </c>
      <c r="T1087" s="35" t="s">
        <v>1701</v>
      </c>
      <c r="U1087" s="40">
        <v>46030</v>
      </c>
      <c r="V1087" s="41">
        <v>46153.532847222225</v>
      </c>
      <c r="W1087" s="40">
        <v>46029</v>
      </c>
      <c r="X1087" s="35" t="s">
        <v>916</v>
      </c>
      <c r="Y1087" s="35" t="s">
        <v>916</v>
      </c>
      <c r="Z1087" s="35" t="s">
        <v>916</v>
      </c>
      <c r="AA1087" s="38">
        <v>30.046944444000001</v>
      </c>
      <c r="AB1087" s="42" t="s">
        <v>916</v>
      </c>
      <c r="AC1087" s="43" t="s">
        <v>916</v>
      </c>
      <c r="AD1087" s="43" t="s">
        <v>916</v>
      </c>
      <c r="AE1087" s="33" t="s">
        <v>916</v>
      </c>
      <c r="AF1087" s="35" t="s">
        <v>916</v>
      </c>
      <c r="AG1087" s="44">
        <v>491053.06972222222</v>
      </c>
      <c r="AH1087" s="42" t="s">
        <v>916</v>
      </c>
      <c r="AI1087" s="32" t="e">
        <f>VLOOKUP(A1087,'4月明細'!B:B,1,0)</f>
        <v>#N/A</v>
      </c>
    </row>
    <row r="1088" spans="1:35" ht="19.95" customHeight="1" x14ac:dyDescent="0.3">
      <c r="A1088" s="33" t="s">
        <v>89</v>
      </c>
      <c r="B1088" s="34">
        <v>46029.539988425924</v>
      </c>
      <c r="C1088" s="34" t="str">
        <f t="shared" si="29"/>
        <v>202601</v>
      </c>
      <c r="D1088" s="35" t="s">
        <v>951</v>
      </c>
      <c r="E1088" s="36" t="s">
        <v>910</v>
      </c>
      <c r="F1088" s="36" t="s">
        <v>1370</v>
      </c>
      <c r="G1088" s="37" t="s">
        <v>3744</v>
      </c>
      <c r="H1088" s="36" t="s">
        <v>928</v>
      </c>
      <c r="I1088" s="35" t="s">
        <v>3745</v>
      </c>
      <c r="J1088" s="36" t="s">
        <v>1058</v>
      </c>
      <c r="K1088" s="33" t="s">
        <v>916</v>
      </c>
      <c r="L1088" s="35" t="s">
        <v>916</v>
      </c>
      <c r="M1088" s="36" t="s">
        <v>1039</v>
      </c>
      <c r="N1088" s="45">
        <v>46029.814583333333</v>
      </c>
      <c r="O1088" s="36" t="s">
        <v>25</v>
      </c>
      <c r="P1088" s="38">
        <v>0.27459490739999998</v>
      </c>
      <c r="Q1088" s="39" t="s">
        <v>3746</v>
      </c>
      <c r="R1088" s="35" t="s">
        <v>916</v>
      </c>
      <c r="S1088" s="35" t="s">
        <v>3747</v>
      </c>
      <c r="T1088" s="35" t="s">
        <v>1701</v>
      </c>
      <c r="U1088" s="40">
        <v>46030</v>
      </c>
      <c r="V1088" s="41">
        <v>46153.532847222225</v>
      </c>
      <c r="W1088" s="40">
        <v>46029</v>
      </c>
      <c r="X1088" s="35" t="s">
        <v>916</v>
      </c>
      <c r="Y1088" s="35" t="s">
        <v>916</v>
      </c>
      <c r="Z1088" s="35" t="s">
        <v>916</v>
      </c>
      <c r="AA1088" s="38">
        <v>6.5902777775999999</v>
      </c>
      <c r="AB1088" s="42" t="s">
        <v>916</v>
      </c>
      <c r="AC1088" s="43" t="s">
        <v>916</v>
      </c>
      <c r="AD1088" s="43" t="s">
        <v>916</v>
      </c>
      <c r="AE1088" s="33" t="s">
        <v>916</v>
      </c>
      <c r="AF1088" s="35" t="s">
        <v>916</v>
      </c>
      <c r="AG1088" s="44">
        <v>491052.95972222229</v>
      </c>
      <c r="AH1088" s="42" t="s">
        <v>916</v>
      </c>
      <c r="AI1088" s="32" t="e">
        <f>VLOOKUP(A1088,'4月明細'!B:B,1,0)</f>
        <v>#N/A</v>
      </c>
    </row>
    <row r="1089" spans="1:35" ht="19.95" customHeight="1" x14ac:dyDescent="0.3">
      <c r="A1089" s="33" t="s">
        <v>88</v>
      </c>
      <c r="B1089" s="34">
        <v>46029.510833333334</v>
      </c>
      <c r="C1089" s="34" t="str">
        <f t="shared" si="29"/>
        <v>202601</v>
      </c>
      <c r="D1089" s="35" t="s">
        <v>951</v>
      </c>
      <c r="E1089" s="36" t="s">
        <v>910</v>
      </c>
      <c r="F1089" s="36" t="s">
        <v>1748</v>
      </c>
      <c r="G1089" s="37" t="s">
        <v>3748</v>
      </c>
      <c r="H1089" s="36" t="s">
        <v>954</v>
      </c>
      <c r="I1089" s="35" t="s">
        <v>3749</v>
      </c>
      <c r="J1089" s="36" t="s">
        <v>914</v>
      </c>
      <c r="K1089" s="33" t="s">
        <v>916</v>
      </c>
      <c r="L1089" s="35" t="s">
        <v>916</v>
      </c>
      <c r="M1089" s="36" t="s">
        <v>1039</v>
      </c>
      <c r="N1089" s="45">
        <v>46029.8125</v>
      </c>
      <c r="O1089" s="36" t="s">
        <v>25</v>
      </c>
      <c r="P1089" s="38">
        <v>0.30166666669999997</v>
      </c>
      <c r="Q1089" s="39" t="s">
        <v>3750</v>
      </c>
      <c r="R1089" s="35" t="s">
        <v>916</v>
      </c>
      <c r="S1089" s="35" t="s">
        <v>3751</v>
      </c>
      <c r="T1089" s="35" t="s">
        <v>1701</v>
      </c>
      <c r="U1089" s="40">
        <v>46030</v>
      </c>
      <c r="V1089" s="41">
        <v>46153.532847222225</v>
      </c>
      <c r="W1089" s="40">
        <v>46029</v>
      </c>
      <c r="X1089" s="35" t="s">
        <v>916</v>
      </c>
      <c r="Y1089" s="35" t="s">
        <v>916</v>
      </c>
      <c r="Z1089" s="35" t="s">
        <v>916</v>
      </c>
      <c r="AA1089" s="38">
        <v>7.2400000008000003</v>
      </c>
      <c r="AB1089" s="42" t="s">
        <v>916</v>
      </c>
      <c r="AC1089" s="43" t="s">
        <v>916</v>
      </c>
      <c r="AD1089" s="43" t="s">
        <v>916</v>
      </c>
      <c r="AE1089" s="33" t="s">
        <v>916</v>
      </c>
      <c r="AF1089" s="35" t="s">
        <v>916</v>
      </c>
      <c r="AG1089" s="44">
        <v>491052.26</v>
      </c>
      <c r="AH1089" s="42" t="s">
        <v>916</v>
      </c>
      <c r="AI1089" s="32" t="e">
        <f>VLOOKUP(A1089,'4月明細'!B:B,1,0)</f>
        <v>#N/A</v>
      </c>
    </row>
    <row r="1090" spans="1:35" ht="19.95" customHeight="1" x14ac:dyDescent="0.3">
      <c r="A1090" s="33" t="s">
        <v>87</v>
      </c>
      <c r="B1090" s="34">
        <v>46029.494652777779</v>
      </c>
      <c r="C1090" s="34" t="str">
        <f t="shared" si="29"/>
        <v>202601</v>
      </c>
      <c r="D1090" s="35" t="s">
        <v>951</v>
      </c>
      <c r="E1090" s="36" t="s">
        <v>910</v>
      </c>
      <c r="F1090" s="36" t="s">
        <v>2218</v>
      </c>
      <c r="G1090" s="37" t="s">
        <v>3752</v>
      </c>
      <c r="H1090" s="36" t="s">
        <v>913</v>
      </c>
      <c r="I1090" s="35"/>
      <c r="J1090" s="36" t="s">
        <v>1058</v>
      </c>
      <c r="K1090" s="33" t="s">
        <v>916</v>
      </c>
      <c r="L1090" s="35" t="s">
        <v>916</v>
      </c>
      <c r="M1090" s="36" t="s">
        <v>957</v>
      </c>
      <c r="N1090" s="45">
        <v>46031.432638888888</v>
      </c>
      <c r="O1090" s="36" t="s">
        <v>25</v>
      </c>
      <c r="P1090" s="38">
        <v>1.9379861111000001</v>
      </c>
      <c r="Q1090" s="39" t="s">
        <v>3753</v>
      </c>
      <c r="R1090" s="35" t="s">
        <v>916</v>
      </c>
      <c r="S1090" s="35"/>
      <c r="T1090" s="35" t="s">
        <v>1701</v>
      </c>
      <c r="U1090" s="40">
        <v>46030</v>
      </c>
      <c r="V1090" s="41">
        <v>46153.532847222225</v>
      </c>
      <c r="W1090" s="40">
        <v>46029</v>
      </c>
      <c r="X1090" s="35" t="s">
        <v>916</v>
      </c>
      <c r="Y1090" s="35" t="s">
        <v>916</v>
      </c>
      <c r="Z1090" s="35" t="s">
        <v>916</v>
      </c>
      <c r="AA1090" s="38">
        <v>46.511666666399996</v>
      </c>
      <c r="AB1090" s="42" t="s">
        <v>916</v>
      </c>
      <c r="AC1090" s="43" t="s">
        <v>916</v>
      </c>
      <c r="AD1090" s="43" t="s">
        <v>916</v>
      </c>
      <c r="AE1090" s="33" t="s">
        <v>916</v>
      </c>
      <c r="AF1090" s="35" t="s">
        <v>916</v>
      </c>
      <c r="AG1090" s="44">
        <v>491051.8716666667</v>
      </c>
      <c r="AH1090" s="42" t="s">
        <v>916</v>
      </c>
      <c r="AI1090" s="32" t="e">
        <f>VLOOKUP(A1090,'4月明細'!B:B,1,0)</f>
        <v>#N/A</v>
      </c>
    </row>
    <row r="1091" spans="1:35" ht="19.95" customHeight="1" x14ac:dyDescent="0.3">
      <c r="A1091" s="33" t="s">
        <v>86</v>
      </c>
      <c r="B1091" s="34">
        <v>46029.483842592592</v>
      </c>
      <c r="C1091" s="34" t="str">
        <f t="shared" ref="C1091:C1154" si="30">TEXT(B1091,"YYYYMM")</f>
        <v>202601</v>
      </c>
      <c r="D1091" s="35" t="s">
        <v>951</v>
      </c>
      <c r="E1091" s="36" t="s">
        <v>910</v>
      </c>
      <c r="F1091" s="36" t="s">
        <v>2017</v>
      </c>
      <c r="G1091" s="37" t="s">
        <v>3754</v>
      </c>
      <c r="H1091" s="36" t="s">
        <v>954</v>
      </c>
      <c r="I1091" s="35"/>
      <c r="J1091" s="36" t="s">
        <v>929</v>
      </c>
      <c r="K1091" s="33" t="s">
        <v>916</v>
      </c>
      <c r="L1091" s="35" t="s">
        <v>916</v>
      </c>
      <c r="M1091" s="36" t="s">
        <v>1039</v>
      </c>
      <c r="N1091" s="45">
        <v>46029.813194444447</v>
      </c>
      <c r="O1091" s="36" t="s">
        <v>25</v>
      </c>
      <c r="P1091" s="38">
        <v>0.32935185189999999</v>
      </c>
      <c r="Q1091" s="39" t="s">
        <v>3755</v>
      </c>
      <c r="R1091" s="35" t="s">
        <v>916</v>
      </c>
      <c r="S1091" s="35"/>
      <c r="T1091" s="35" t="s">
        <v>1701</v>
      </c>
      <c r="U1091" s="40">
        <v>46030</v>
      </c>
      <c r="V1091" s="41">
        <v>46153.532847222225</v>
      </c>
      <c r="W1091" s="40">
        <v>46029</v>
      </c>
      <c r="X1091" s="35" t="s">
        <v>916</v>
      </c>
      <c r="Y1091" s="35" t="s">
        <v>916</v>
      </c>
      <c r="Z1091" s="35" t="s">
        <v>916</v>
      </c>
      <c r="AA1091" s="38">
        <v>7.9044444456000003</v>
      </c>
      <c r="AB1091" s="42" t="s">
        <v>916</v>
      </c>
      <c r="AC1091" s="43" t="s">
        <v>916</v>
      </c>
      <c r="AD1091" s="43" t="s">
        <v>916</v>
      </c>
      <c r="AE1091" s="33" t="s">
        <v>916</v>
      </c>
      <c r="AF1091" s="35" t="s">
        <v>916</v>
      </c>
      <c r="AG1091" s="44">
        <v>491051.6122222222</v>
      </c>
      <c r="AH1091" s="42" t="s">
        <v>916</v>
      </c>
      <c r="AI1091" s="32" t="e">
        <f>VLOOKUP(A1091,'4月明細'!B:B,1,0)</f>
        <v>#N/A</v>
      </c>
    </row>
    <row r="1092" spans="1:35" ht="19.95" customHeight="1" x14ac:dyDescent="0.3">
      <c r="A1092" s="33" t="s">
        <v>85</v>
      </c>
      <c r="B1092" s="34">
        <v>46029.373263888891</v>
      </c>
      <c r="C1092" s="34" t="str">
        <f t="shared" si="30"/>
        <v>202601</v>
      </c>
      <c r="D1092" s="35" t="s">
        <v>1840</v>
      </c>
      <c r="E1092" s="36" t="s">
        <v>942</v>
      </c>
      <c r="F1092" s="36" t="s">
        <v>2882</v>
      </c>
      <c r="G1092" s="37" t="s">
        <v>3756</v>
      </c>
      <c r="H1092" s="36" t="s">
        <v>913</v>
      </c>
      <c r="I1092" s="35"/>
      <c r="J1092" s="36" t="s">
        <v>945</v>
      </c>
      <c r="K1092" s="33" t="s">
        <v>916</v>
      </c>
      <c r="L1092" s="35" t="s">
        <v>916</v>
      </c>
      <c r="M1092" s="36" t="s">
        <v>1039</v>
      </c>
      <c r="N1092" s="45">
        <v>46029.813888888886</v>
      </c>
      <c r="O1092" s="36" t="s">
        <v>25</v>
      </c>
      <c r="P1092" s="38">
        <v>0.44062499999999999</v>
      </c>
      <c r="Q1092" s="39" t="s">
        <v>3757</v>
      </c>
      <c r="R1092" s="35" t="s">
        <v>916</v>
      </c>
      <c r="S1092" s="35" t="s">
        <v>3758</v>
      </c>
      <c r="T1092" s="35" t="s">
        <v>1701</v>
      </c>
      <c r="U1092" s="40">
        <v>46030</v>
      </c>
      <c r="V1092" s="41">
        <v>46153.532847222225</v>
      </c>
      <c r="W1092" s="40">
        <v>46029</v>
      </c>
      <c r="X1092" s="35" t="s">
        <v>916</v>
      </c>
      <c r="Y1092" s="35" t="s">
        <v>916</v>
      </c>
      <c r="Z1092" s="35" t="s">
        <v>916</v>
      </c>
      <c r="AA1092" s="38">
        <v>10.574999999999999</v>
      </c>
      <c r="AB1092" s="42" t="s">
        <v>916</v>
      </c>
      <c r="AC1092" s="43" t="s">
        <v>916</v>
      </c>
      <c r="AD1092" s="43" t="s">
        <v>916</v>
      </c>
      <c r="AE1092" s="33" t="s">
        <v>916</v>
      </c>
      <c r="AF1092" s="35" t="s">
        <v>916</v>
      </c>
      <c r="AG1092" s="44">
        <v>491048.95833333337</v>
      </c>
      <c r="AH1092" s="42" t="s">
        <v>916</v>
      </c>
      <c r="AI1092" s="32" t="e">
        <f>VLOOKUP(A1092,'4月明細'!B:B,1,0)</f>
        <v>#N/A</v>
      </c>
    </row>
    <row r="1093" spans="1:35" ht="19.95" customHeight="1" x14ac:dyDescent="0.3">
      <c r="A1093" s="33" t="s">
        <v>84</v>
      </c>
      <c r="B1093" s="34">
        <v>46028.896724537037</v>
      </c>
      <c r="C1093" s="34" t="str">
        <f t="shared" si="30"/>
        <v>202601</v>
      </c>
      <c r="D1093" s="35" t="s">
        <v>1014</v>
      </c>
      <c r="E1093" s="36" t="s">
        <v>1112</v>
      </c>
      <c r="F1093" s="36" t="s">
        <v>1561</v>
      </c>
      <c r="G1093" s="37" t="s">
        <v>3759</v>
      </c>
      <c r="H1093" s="36" t="s">
        <v>1078</v>
      </c>
      <c r="I1093" s="35"/>
      <c r="J1093" s="36" t="s">
        <v>938</v>
      </c>
      <c r="K1093" s="33" t="s">
        <v>916</v>
      </c>
      <c r="L1093" s="35" t="s">
        <v>916</v>
      </c>
      <c r="M1093" s="36" t="s">
        <v>916</v>
      </c>
      <c r="N1093" s="45">
        <v>46029.815972222219</v>
      </c>
      <c r="O1093" s="36" t="s">
        <v>25</v>
      </c>
      <c r="P1093" s="38">
        <v>0.9192476852</v>
      </c>
      <c r="Q1093" s="39" t="s">
        <v>3760</v>
      </c>
      <c r="R1093" s="35" t="s">
        <v>916</v>
      </c>
      <c r="S1093" s="35" t="s">
        <v>3761</v>
      </c>
      <c r="T1093" s="35" t="s">
        <v>1701</v>
      </c>
      <c r="U1093" s="40">
        <v>46029</v>
      </c>
      <c r="V1093" s="41">
        <v>46153.532847222225</v>
      </c>
      <c r="W1093" s="40">
        <v>46029</v>
      </c>
      <c r="X1093" s="35" t="s">
        <v>916</v>
      </c>
      <c r="Y1093" s="35" t="s">
        <v>916</v>
      </c>
      <c r="Z1093" s="35" t="s">
        <v>916</v>
      </c>
      <c r="AA1093" s="38">
        <v>22.061944444800002</v>
      </c>
      <c r="AB1093" s="42" t="s">
        <v>916</v>
      </c>
      <c r="AC1093" s="43" t="s">
        <v>916</v>
      </c>
      <c r="AD1093" s="43" t="s">
        <v>916</v>
      </c>
      <c r="AE1093" s="33" t="s">
        <v>916</v>
      </c>
      <c r="AF1093" s="35" t="s">
        <v>916</v>
      </c>
      <c r="AG1093" s="44">
        <v>491037.52138888888</v>
      </c>
      <c r="AH1093" s="42" t="s">
        <v>916</v>
      </c>
      <c r="AI1093" s="32" t="e">
        <f>VLOOKUP(A1093,'4月明細'!B:B,1,0)</f>
        <v>#N/A</v>
      </c>
    </row>
    <row r="1094" spans="1:35" ht="19.95" customHeight="1" x14ac:dyDescent="0.3">
      <c r="A1094" s="33" t="s">
        <v>83</v>
      </c>
      <c r="B1094" s="34">
        <v>46028.808819444443</v>
      </c>
      <c r="C1094" s="34" t="str">
        <f t="shared" si="30"/>
        <v>202601</v>
      </c>
      <c r="D1094" s="35" t="s">
        <v>2278</v>
      </c>
      <c r="E1094" s="36" t="s">
        <v>942</v>
      </c>
      <c r="F1094" s="36" t="s">
        <v>1150</v>
      </c>
      <c r="G1094" s="37" t="s">
        <v>3762</v>
      </c>
      <c r="H1094" s="36" t="s">
        <v>928</v>
      </c>
      <c r="I1094" s="35"/>
      <c r="J1094" s="36" t="s">
        <v>938</v>
      </c>
      <c r="K1094" s="33" t="s">
        <v>916</v>
      </c>
      <c r="L1094" s="35" t="s">
        <v>916</v>
      </c>
      <c r="M1094" s="36" t="s">
        <v>916</v>
      </c>
      <c r="N1094" s="45">
        <v>46031.421527777777</v>
      </c>
      <c r="O1094" s="36" t="s">
        <v>25</v>
      </c>
      <c r="P1094" s="38">
        <v>2.6127083333000001</v>
      </c>
      <c r="Q1094" s="39" t="s">
        <v>3763</v>
      </c>
      <c r="R1094" s="35" t="s">
        <v>916</v>
      </c>
      <c r="S1094" s="35"/>
      <c r="T1094" s="35" t="s">
        <v>1701</v>
      </c>
      <c r="U1094" s="40">
        <v>46029</v>
      </c>
      <c r="V1094" s="41">
        <v>46153.532847222225</v>
      </c>
      <c r="W1094" s="40">
        <v>46028</v>
      </c>
      <c r="X1094" s="35" t="s">
        <v>916</v>
      </c>
      <c r="Y1094" s="35" t="s">
        <v>916</v>
      </c>
      <c r="Z1094" s="35" t="s">
        <v>916</v>
      </c>
      <c r="AA1094" s="38">
        <v>62.704999999199998</v>
      </c>
      <c r="AB1094" s="42" t="s">
        <v>916</v>
      </c>
      <c r="AC1094" s="43" t="s">
        <v>916</v>
      </c>
      <c r="AD1094" s="43" t="s">
        <v>916</v>
      </c>
      <c r="AE1094" s="33" t="s">
        <v>916</v>
      </c>
      <c r="AF1094" s="35" t="s">
        <v>916</v>
      </c>
      <c r="AG1094" s="44">
        <v>491035.41166666668</v>
      </c>
      <c r="AH1094" s="42" t="s">
        <v>916</v>
      </c>
      <c r="AI1094" s="32" t="e">
        <f>VLOOKUP(A1094,'4月明細'!B:B,1,0)</f>
        <v>#N/A</v>
      </c>
    </row>
    <row r="1095" spans="1:35" ht="19.95" customHeight="1" x14ac:dyDescent="0.3">
      <c r="A1095" s="33" t="s">
        <v>82</v>
      </c>
      <c r="B1095" s="34">
        <v>46028.532557870371</v>
      </c>
      <c r="C1095" s="34" t="str">
        <f t="shared" si="30"/>
        <v>202601</v>
      </c>
      <c r="D1095" s="35" t="s">
        <v>986</v>
      </c>
      <c r="E1095" s="36" t="s">
        <v>910</v>
      </c>
      <c r="F1095" s="36" t="s">
        <v>1386</v>
      </c>
      <c r="G1095" s="37" t="s">
        <v>3764</v>
      </c>
      <c r="H1095" s="36" t="s">
        <v>928</v>
      </c>
      <c r="I1095" s="35"/>
      <c r="J1095" s="36" t="s">
        <v>914</v>
      </c>
      <c r="K1095" s="33" t="s">
        <v>916</v>
      </c>
      <c r="L1095" s="35" t="s">
        <v>916</v>
      </c>
      <c r="M1095" s="36" t="s">
        <v>916</v>
      </c>
      <c r="N1095" s="45">
        <v>46029.818055555559</v>
      </c>
      <c r="O1095" s="36" t="s">
        <v>25</v>
      </c>
      <c r="P1095" s="38">
        <v>1.2854976852</v>
      </c>
      <c r="Q1095" s="39" t="s">
        <v>3765</v>
      </c>
      <c r="R1095" s="35" t="s">
        <v>916</v>
      </c>
      <c r="S1095" s="35"/>
      <c r="T1095" s="35" t="s">
        <v>1701</v>
      </c>
      <c r="U1095" s="40">
        <v>46029</v>
      </c>
      <c r="V1095" s="41">
        <v>46153.532847222225</v>
      </c>
      <c r="W1095" s="40">
        <v>46028</v>
      </c>
      <c r="X1095" s="35" t="s">
        <v>916</v>
      </c>
      <c r="Y1095" s="35" t="s">
        <v>916</v>
      </c>
      <c r="Z1095" s="35" t="s">
        <v>916</v>
      </c>
      <c r="AA1095" s="38">
        <v>30.851944444800001</v>
      </c>
      <c r="AB1095" s="42" t="s">
        <v>916</v>
      </c>
      <c r="AC1095" s="43" t="s">
        <v>916</v>
      </c>
      <c r="AD1095" s="43" t="s">
        <v>916</v>
      </c>
      <c r="AE1095" s="33" t="s">
        <v>916</v>
      </c>
      <c r="AF1095" s="35" t="s">
        <v>916</v>
      </c>
      <c r="AG1095" s="44">
        <v>491028.78138888889</v>
      </c>
      <c r="AH1095" s="42" t="s">
        <v>916</v>
      </c>
      <c r="AI1095" s="32" t="e">
        <f>VLOOKUP(A1095,'4月明細'!B:B,1,0)</f>
        <v>#N/A</v>
      </c>
    </row>
    <row r="1096" spans="1:35" ht="19.95" customHeight="1" x14ac:dyDescent="0.3">
      <c r="A1096" s="33" t="s">
        <v>81</v>
      </c>
      <c r="B1096" s="34">
        <v>46028.420081018521</v>
      </c>
      <c r="C1096" s="34" t="str">
        <f t="shared" si="30"/>
        <v>202601</v>
      </c>
      <c r="D1096" s="35" t="s">
        <v>909</v>
      </c>
      <c r="E1096" s="36" t="s">
        <v>910</v>
      </c>
      <c r="F1096" s="36" t="s">
        <v>1686</v>
      </c>
      <c r="G1096" s="37" t="s">
        <v>3766</v>
      </c>
      <c r="H1096" s="36" t="s">
        <v>928</v>
      </c>
      <c r="I1096" s="35" t="s">
        <v>3767</v>
      </c>
      <c r="J1096" s="36" t="s">
        <v>914</v>
      </c>
      <c r="K1096" s="33" t="s">
        <v>916</v>
      </c>
      <c r="L1096" s="35" t="s">
        <v>916</v>
      </c>
      <c r="M1096" s="36" t="s">
        <v>1135</v>
      </c>
      <c r="N1096" s="45">
        <v>46029.818749999999</v>
      </c>
      <c r="O1096" s="36" t="s">
        <v>25</v>
      </c>
      <c r="P1096" s="38">
        <v>1.3986689815</v>
      </c>
      <c r="Q1096" s="39" t="s">
        <v>3768</v>
      </c>
      <c r="R1096" s="35" t="s">
        <v>916</v>
      </c>
      <c r="S1096" s="35" t="s">
        <v>3769</v>
      </c>
      <c r="T1096" s="35" t="s">
        <v>1701</v>
      </c>
      <c r="U1096" s="40">
        <v>46029</v>
      </c>
      <c r="V1096" s="41">
        <v>46153.532847222225</v>
      </c>
      <c r="W1096" s="40">
        <v>46028</v>
      </c>
      <c r="X1096" s="35" t="s">
        <v>916</v>
      </c>
      <c r="Y1096" s="35" t="s">
        <v>916</v>
      </c>
      <c r="Z1096" s="35" t="s">
        <v>916</v>
      </c>
      <c r="AA1096" s="38">
        <v>33.568055555999997</v>
      </c>
      <c r="AB1096" s="42" t="s">
        <v>916</v>
      </c>
      <c r="AC1096" s="43" t="s">
        <v>916</v>
      </c>
      <c r="AD1096" s="43" t="s">
        <v>916</v>
      </c>
      <c r="AE1096" s="33" t="s">
        <v>916</v>
      </c>
      <c r="AF1096" s="35" t="s">
        <v>916</v>
      </c>
      <c r="AG1096" s="44">
        <v>491026.08194444439</v>
      </c>
      <c r="AH1096" s="42" t="s">
        <v>916</v>
      </c>
      <c r="AI1096" s="32" t="e">
        <f>VLOOKUP(A1096,'4月明細'!B:B,1,0)</f>
        <v>#N/A</v>
      </c>
    </row>
    <row r="1097" spans="1:35" ht="19.95" customHeight="1" x14ac:dyDescent="0.3">
      <c r="A1097" s="33" t="s">
        <v>80</v>
      </c>
      <c r="B1097" s="34">
        <v>46027.746562499997</v>
      </c>
      <c r="C1097" s="34" t="str">
        <f t="shared" si="30"/>
        <v>202601</v>
      </c>
      <c r="D1097" s="35" t="s">
        <v>1014</v>
      </c>
      <c r="E1097" s="36" t="s">
        <v>942</v>
      </c>
      <c r="F1097" s="36" t="s">
        <v>1341</v>
      </c>
      <c r="G1097" s="37" t="s">
        <v>3770</v>
      </c>
      <c r="H1097" s="36" t="s">
        <v>1078</v>
      </c>
      <c r="I1097" s="35"/>
      <c r="J1097" s="36" t="s">
        <v>945</v>
      </c>
      <c r="K1097" s="33" t="s">
        <v>916</v>
      </c>
      <c r="L1097" s="35" t="s">
        <v>916</v>
      </c>
      <c r="M1097" s="36" t="s">
        <v>916</v>
      </c>
      <c r="N1097" s="45">
        <v>46027.786111111112</v>
      </c>
      <c r="O1097" s="36" t="s">
        <v>25</v>
      </c>
      <c r="P1097" s="38">
        <v>3.9548611099999999E-2</v>
      </c>
      <c r="Q1097" s="39" t="s">
        <v>3771</v>
      </c>
      <c r="R1097" s="35" t="s">
        <v>916</v>
      </c>
      <c r="S1097" s="35"/>
      <c r="T1097" s="35" t="s">
        <v>1701</v>
      </c>
      <c r="U1097" s="40">
        <v>46028</v>
      </c>
      <c r="V1097" s="41">
        <v>46153.532847222225</v>
      </c>
      <c r="W1097" s="40">
        <v>46027</v>
      </c>
      <c r="X1097" s="35" t="s">
        <v>916</v>
      </c>
      <c r="Y1097" s="35" t="s">
        <v>916</v>
      </c>
      <c r="Z1097" s="35" t="s">
        <v>916</v>
      </c>
      <c r="AA1097" s="38">
        <v>0.94916666640000003</v>
      </c>
      <c r="AB1097" s="42" t="s">
        <v>916</v>
      </c>
      <c r="AC1097" s="43" t="s">
        <v>916</v>
      </c>
      <c r="AD1097" s="43" t="s">
        <v>916</v>
      </c>
      <c r="AE1097" s="33" t="s">
        <v>916</v>
      </c>
      <c r="AF1097" s="35" t="s">
        <v>916</v>
      </c>
      <c r="AG1097" s="44">
        <v>491009.91749999998</v>
      </c>
      <c r="AH1097" s="42" t="s">
        <v>916</v>
      </c>
      <c r="AI1097" s="32" t="e">
        <f>VLOOKUP(A1097,'4月明細'!B:B,1,0)</f>
        <v>#N/A</v>
      </c>
    </row>
    <row r="1098" spans="1:35" ht="19.95" customHeight="1" x14ac:dyDescent="0.3">
      <c r="A1098" s="33" t="s">
        <v>79</v>
      </c>
      <c r="B1098" s="34">
        <v>46027.70585648148</v>
      </c>
      <c r="C1098" s="34" t="str">
        <f t="shared" si="30"/>
        <v>202601</v>
      </c>
      <c r="D1098" s="35" t="s">
        <v>1952</v>
      </c>
      <c r="E1098" s="36" t="s">
        <v>910</v>
      </c>
      <c r="F1098" s="36" t="s">
        <v>952</v>
      </c>
      <c r="G1098" s="37" t="s">
        <v>3772</v>
      </c>
      <c r="H1098" s="36" t="s">
        <v>928</v>
      </c>
      <c r="I1098" s="35" t="s">
        <v>3773</v>
      </c>
      <c r="J1098" s="36" t="s">
        <v>929</v>
      </c>
      <c r="K1098" s="33" t="s">
        <v>916</v>
      </c>
      <c r="L1098" s="35" t="s">
        <v>916</v>
      </c>
      <c r="M1098" s="36" t="s">
        <v>916</v>
      </c>
      <c r="N1098" s="45">
        <v>46028.384722222225</v>
      </c>
      <c r="O1098" s="36" t="s">
        <v>25</v>
      </c>
      <c r="P1098" s="38">
        <v>0.67886574070000005</v>
      </c>
      <c r="Q1098" s="39" t="s">
        <v>3774</v>
      </c>
      <c r="R1098" s="35" t="s">
        <v>916</v>
      </c>
      <c r="S1098" s="35" t="s">
        <v>3775</v>
      </c>
      <c r="T1098" s="35" t="s">
        <v>1701</v>
      </c>
      <c r="U1098" s="40">
        <v>46028</v>
      </c>
      <c r="V1098" s="41">
        <v>46153.532847222225</v>
      </c>
      <c r="W1098" s="40">
        <v>46027</v>
      </c>
      <c r="X1098" s="35" t="s">
        <v>916</v>
      </c>
      <c r="Y1098" s="35" t="s">
        <v>916</v>
      </c>
      <c r="Z1098" s="35" t="s">
        <v>916</v>
      </c>
      <c r="AA1098" s="38">
        <v>16.292777776800001</v>
      </c>
      <c r="AB1098" s="42" t="s">
        <v>916</v>
      </c>
      <c r="AC1098" s="43" t="s">
        <v>916</v>
      </c>
      <c r="AD1098" s="43" t="s">
        <v>916</v>
      </c>
      <c r="AE1098" s="33" t="s">
        <v>916</v>
      </c>
      <c r="AF1098" s="35" t="s">
        <v>916</v>
      </c>
      <c r="AG1098" s="44">
        <v>491008.94055555557</v>
      </c>
      <c r="AH1098" s="42" t="s">
        <v>916</v>
      </c>
      <c r="AI1098" s="32" t="e">
        <f>VLOOKUP(A1098,'4月明細'!B:B,1,0)</f>
        <v>#N/A</v>
      </c>
    </row>
    <row r="1099" spans="1:35" ht="19.95" customHeight="1" x14ac:dyDescent="0.3">
      <c r="A1099" s="33" t="s">
        <v>77</v>
      </c>
      <c r="B1099" s="34">
        <v>46027.701516203706</v>
      </c>
      <c r="C1099" s="34" t="str">
        <f t="shared" si="30"/>
        <v>202601</v>
      </c>
      <c r="D1099" s="35" t="s">
        <v>1952</v>
      </c>
      <c r="E1099" s="36" t="s">
        <v>910</v>
      </c>
      <c r="F1099" s="36" t="s">
        <v>952</v>
      </c>
      <c r="G1099" s="37" t="s">
        <v>3776</v>
      </c>
      <c r="H1099" s="36" t="s">
        <v>928</v>
      </c>
      <c r="I1099" s="35"/>
      <c r="J1099" s="36" t="s">
        <v>929</v>
      </c>
      <c r="K1099" s="33" t="s">
        <v>916</v>
      </c>
      <c r="L1099" s="35" t="s">
        <v>916</v>
      </c>
      <c r="M1099" s="36" t="s">
        <v>916</v>
      </c>
      <c r="N1099" s="45">
        <v>46031.387499999997</v>
      </c>
      <c r="O1099" s="36" t="s">
        <v>25</v>
      </c>
      <c r="P1099" s="38">
        <v>3.6859837962999999</v>
      </c>
      <c r="Q1099" s="39" t="s">
        <v>3777</v>
      </c>
      <c r="R1099" s="35" t="s">
        <v>916</v>
      </c>
      <c r="S1099" s="35"/>
      <c r="T1099" s="35" t="s">
        <v>1701</v>
      </c>
      <c r="U1099" s="40">
        <v>46028</v>
      </c>
      <c r="V1099" s="41">
        <v>46153.532847222225</v>
      </c>
      <c r="W1099" s="40">
        <v>46027</v>
      </c>
      <c r="X1099" s="35" t="s">
        <v>916</v>
      </c>
      <c r="Y1099" s="35" t="s">
        <v>916</v>
      </c>
      <c r="Z1099" s="35" t="s">
        <v>916</v>
      </c>
      <c r="AA1099" s="38">
        <v>88.463611111199995</v>
      </c>
      <c r="AB1099" s="42" t="s">
        <v>916</v>
      </c>
      <c r="AC1099" s="43" t="s">
        <v>916</v>
      </c>
      <c r="AD1099" s="43" t="s">
        <v>916</v>
      </c>
      <c r="AE1099" s="33" t="s">
        <v>916</v>
      </c>
      <c r="AF1099" s="35" t="s">
        <v>916</v>
      </c>
      <c r="AG1099" s="44">
        <v>491008.83638888889</v>
      </c>
      <c r="AH1099" s="42" t="s">
        <v>916</v>
      </c>
      <c r="AI1099" s="32" t="e">
        <f>VLOOKUP(A1099,'4月明細'!B:B,1,0)</f>
        <v>#N/A</v>
      </c>
    </row>
    <row r="1100" spans="1:35" ht="19.95" customHeight="1" x14ac:dyDescent="0.3">
      <c r="A1100" s="33" t="s">
        <v>78</v>
      </c>
      <c r="B1100" s="34">
        <v>46027.703877314816</v>
      </c>
      <c r="C1100" s="34" t="str">
        <f t="shared" si="30"/>
        <v>202601</v>
      </c>
      <c r="D1100" s="35" t="s">
        <v>909</v>
      </c>
      <c r="E1100" s="36" t="s">
        <v>910</v>
      </c>
      <c r="F1100" s="36" t="s">
        <v>952</v>
      </c>
      <c r="G1100" s="37" t="s">
        <v>3778</v>
      </c>
      <c r="H1100" s="36" t="s">
        <v>1023</v>
      </c>
      <c r="I1100" s="35" t="s">
        <v>3779</v>
      </c>
      <c r="J1100" s="36" t="s">
        <v>929</v>
      </c>
      <c r="K1100" s="33" t="s">
        <v>916</v>
      </c>
      <c r="L1100" s="35" t="s">
        <v>916</v>
      </c>
      <c r="M1100" s="36" t="s">
        <v>916</v>
      </c>
      <c r="N1100" s="45">
        <v>46028.386111111111</v>
      </c>
      <c r="O1100" s="36" t="s">
        <v>25</v>
      </c>
      <c r="P1100" s="38">
        <v>0.68223379630000003</v>
      </c>
      <c r="Q1100" s="39" t="s">
        <v>3780</v>
      </c>
      <c r="R1100" s="35" t="s">
        <v>916</v>
      </c>
      <c r="S1100" s="35" t="s">
        <v>3781</v>
      </c>
      <c r="T1100" s="35" t="s">
        <v>1701</v>
      </c>
      <c r="U1100" s="40">
        <v>46028</v>
      </c>
      <c r="V1100" s="41">
        <v>46153.532847222225</v>
      </c>
      <c r="W1100" s="40">
        <v>46027</v>
      </c>
      <c r="X1100" s="35" t="s">
        <v>916</v>
      </c>
      <c r="Y1100" s="35" t="s">
        <v>916</v>
      </c>
      <c r="Z1100" s="35" t="s">
        <v>916</v>
      </c>
      <c r="AA1100" s="38">
        <v>16.373611111199999</v>
      </c>
      <c r="AB1100" s="42" t="s">
        <v>916</v>
      </c>
      <c r="AC1100" s="43" t="s">
        <v>916</v>
      </c>
      <c r="AD1100" s="43" t="s">
        <v>916</v>
      </c>
      <c r="AE1100" s="33" t="s">
        <v>916</v>
      </c>
      <c r="AF1100" s="35" t="s">
        <v>916</v>
      </c>
      <c r="AG1100" s="44">
        <v>491008.89305555559</v>
      </c>
      <c r="AH1100" s="42" t="s">
        <v>916</v>
      </c>
      <c r="AI1100" s="32" t="e">
        <f>VLOOKUP(A1100,'4月明細'!B:B,1,0)</f>
        <v>#N/A</v>
      </c>
    </row>
    <row r="1101" spans="1:35" ht="19.95" customHeight="1" x14ac:dyDescent="0.3">
      <c r="A1101" s="33" t="s">
        <v>76</v>
      </c>
      <c r="B1101" s="34">
        <v>46027.682673611111</v>
      </c>
      <c r="C1101" s="34" t="str">
        <f t="shared" si="30"/>
        <v>202601</v>
      </c>
      <c r="D1101" s="35" t="s">
        <v>3591</v>
      </c>
      <c r="E1101" s="36" t="s">
        <v>910</v>
      </c>
      <c r="F1101" s="36" t="s">
        <v>1552</v>
      </c>
      <c r="G1101" s="37" t="s">
        <v>3782</v>
      </c>
      <c r="H1101" s="36" t="s">
        <v>954</v>
      </c>
      <c r="I1101" s="35" t="s">
        <v>3783</v>
      </c>
      <c r="J1101" s="36" t="s">
        <v>929</v>
      </c>
      <c r="K1101" s="33" t="s">
        <v>916</v>
      </c>
      <c r="L1101" s="35" t="s">
        <v>916</v>
      </c>
      <c r="M1101" s="36" t="s">
        <v>916</v>
      </c>
      <c r="N1101" s="45">
        <v>46027.776388888888</v>
      </c>
      <c r="O1101" s="36" t="s">
        <v>25</v>
      </c>
      <c r="P1101" s="38">
        <v>9.3715277799999996E-2</v>
      </c>
      <c r="Q1101" s="39" t="s">
        <v>3784</v>
      </c>
      <c r="R1101" s="35" t="s">
        <v>916</v>
      </c>
      <c r="S1101" s="35" t="s">
        <v>3785</v>
      </c>
      <c r="T1101" s="35" t="s">
        <v>1701</v>
      </c>
      <c r="U1101" s="40">
        <v>46028</v>
      </c>
      <c r="V1101" s="41">
        <v>46153.532847222225</v>
      </c>
      <c r="W1101" s="40">
        <v>46027</v>
      </c>
      <c r="X1101" s="35" t="s">
        <v>916</v>
      </c>
      <c r="Y1101" s="35" t="s">
        <v>916</v>
      </c>
      <c r="Z1101" s="35" t="s">
        <v>916</v>
      </c>
      <c r="AA1101" s="38">
        <v>2.2491666671999999</v>
      </c>
      <c r="AB1101" s="42" t="s">
        <v>916</v>
      </c>
      <c r="AC1101" s="43" t="s">
        <v>916</v>
      </c>
      <c r="AD1101" s="43" t="s">
        <v>916</v>
      </c>
      <c r="AE1101" s="33" t="s">
        <v>916</v>
      </c>
      <c r="AF1101" s="35" t="s">
        <v>916</v>
      </c>
      <c r="AG1101" s="44">
        <v>491008.38416666671</v>
      </c>
      <c r="AH1101" s="42" t="s">
        <v>916</v>
      </c>
      <c r="AI1101" s="32" t="e">
        <f>VLOOKUP(A1101,'4月明細'!B:B,1,0)</f>
        <v>#N/A</v>
      </c>
    </row>
    <row r="1102" spans="1:35" ht="19.95" customHeight="1" x14ac:dyDescent="0.3">
      <c r="A1102" s="33" t="s">
        <v>75</v>
      </c>
      <c r="B1102" s="34">
        <v>46027.662488425929</v>
      </c>
      <c r="C1102" s="34" t="str">
        <f t="shared" si="30"/>
        <v>202601</v>
      </c>
      <c r="D1102" s="35" t="s">
        <v>986</v>
      </c>
      <c r="E1102" s="36" t="s">
        <v>910</v>
      </c>
      <c r="F1102" s="36" t="s">
        <v>997</v>
      </c>
      <c r="G1102" s="37" t="s">
        <v>3786</v>
      </c>
      <c r="H1102" s="36" t="s">
        <v>954</v>
      </c>
      <c r="I1102" s="35"/>
      <c r="J1102" s="36" t="s">
        <v>929</v>
      </c>
      <c r="K1102" s="33" t="s">
        <v>916</v>
      </c>
      <c r="L1102" s="35" t="s">
        <v>916</v>
      </c>
      <c r="M1102" s="36" t="s">
        <v>916</v>
      </c>
      <c r="N1102" s="45">
        <v>46029.818749999999</v>
      </c>
      <c r="O1102" s="36" t="s">
        <v>25</v>
      </c>
      <c r="P1102" s="38">
        <v>2.1562615741000002</v>
      </c>
      <c r="Q1102" s="39" t="s">
        <v>3787</v>
      </c>
      <c r="R1102" s="35" t="s">
        <v>916</v>
      </c>
      <c r="S1102" s="35" t="s">
        <v>3788</v>
      </c>
      <c r="T1102" s="35" t="s">
        <v>1701</v>
      </c>
      <c r="U1102" s="40">
        <v>46028</v>
      </c>
      <c r="V1102" s="41">
        <v>46153.532847222225</v>
      </c>
      <c r="W1102" s="40">
        <v>46027</v>
      </c>
      <c r="X1102" s="35" t="s">
        <v>916</v>
      </c>
      <c r="Y1102" s="35" t="s">
        <v>916</v>
      </c>
      <c r="Z1102" s="35" t="s">
        <v>916</v>
      </c>
      <c r="AA1102" s="38">
        <v>51.750277778399997</v>
      </c>
      <c r="AB1102" s="42" t="s">
        <v>916</v>
      </c>
      <c r="AC1102" s="43" t="s">
        <v>916</v>
      </c>
      <c r="AD1102" s="43" t="s">
        <v>916</v>
      </c>
      <c r="AE1102" s="33" t="s">
        <v>916</v>
      </c>
      <c r="AF1102" s="35" t="s">
        <v>916</v>
      </c>
      <c r="AG1102" s="44">
        <v>491007.89972222218</v>
      </c>
      <c r="AH1102" s="42" t="s">
        <v>916</v>
      </c>
      <c r="AI1102" s="32" t="e">
        <f>VLOOKUP(A1102,'4月明細'!B:B,1,0)</f>
        <v>#N/A</v>
      </c>
    </row>
    <row r="1103" spans="1:35" ht="19.95" customHeight="1" x14ac:dyDescent="0.3">
      <c r="A1103" s="33" t="s">
        <v>74</v>
      </c>
      <c r="B1103" s="34">
        <v>46027.660231481481</v>
      </c>
      <c r="C1103" s="34" t="str">
        <f t="shared" si="30"/>
        <v>202601</v>
      </c>
      <c r="D1103" s="35" t="s">
        <v>986</v>
      </c>
      <c r="E1103" s="36" t="s">
        <v>910</v>
      </c>
      <c r="F1103" s="36" t="s">
        <v>997</v>
      </c>
      <c r="G1103" s="37" t="s">
        <v>3789</v>
      </c>
      <c r="H1103" s="36" t="s">
        <v>928</v>
      </c>
      <c r="I1103" s="35"/>
      <c r="J1103" s="36" t="s">
        <v>929</v>
      </c>
      <c r="K1103" s="33" t="s">
        <v>916</v>
      </c>
      <c r="L1103" s="35" t="s">
        <v>916</v>
      </c>
      <c r="M1103" s="36" t="s">
        <v>916</v>
      </c>
      <c r="N1103" s="45">
        <v>46027.728472222225</v>
      </c>
      <c r="O1103" s="36" t="s">
        <v>25</v>
      </c>
      <c r="P1103" s="38">
        <v>6.8240740699999997E-2</v>
      </c>
      <c r="Q1103" s="39" t="s">
        <v>3790</v>
      </c>
      <c r="R1103" s="35" t="s">
        <v>916</v>
      </c>
      <c r="S1103" s="35" t="s">
        <v>3791</v>
      </c>
      <c r="T1103" s="35" t="s">
        <v>1701</v>
      </c>
      <c r="U1103" s="40">
        <v>46028</v>
      </c>
      <c r="V1103" s="41">
        <v>46153.532847222225</v>
      </c>
      <c r="W1103" s="40">
        <v>46027</v>
      </c>
      <c r="X1103" s="35" t="s">
        <v>916</v>
      </c>
      <c r="Y1103" s="35" t="s">
        <v>916</v>
      </c>
      <c r="Z1103" s="35" t="s">
        <v>916</v>
      </c>
      <c r="AA1103" s="38">
        <v>1.6377777767999999</v>
      </c>
      <c r="AB1103" s="42" t="s">
        <v>916</v>
      </c>
      <c r="AC1103" s="43" t="s">
        <v>916</v>
      </c>
      <c r="AD1103" s="43" t="s">
        <v>916</v>
      </c>
      <c r="AE1103" s="33" t="s">
        <v>916</v>
      </c>
      <c r="AF1103" s="35" t="s">
        <v>916</v>
      </c>
      <c r="AG1103" s="44">
        <v>491007.84555555548</v>
      </c>
      <c r="AH1103" s="42" t="s">
        <v>916</v>
      </c>
      <c r="AI1103" s="32" t="e">
        <f>VLOOKUP(A1103,'4月明細'!B:B,1,0)</f>
        <v>#N/A</v>
      </c>
    </row>
    <row r="1104" spans="1:35" ht="19.95" customHeight="1" x14ac:dyDescent="0.3">
      <c r="A1104" s="33" t="s">
        <v>73</v>
      </c>
      <c r="B1104" s="34">
        <v>46027.60665509259</v>
      </c>
      <c r="C1104" s="34" t="str">
        <f t="shared" si="30"/>
        <v>202601</v>
      </c>
      <c r="D1104" s="35" t="s">
        <v>3649</v>
      </c>
      <c r="E1104" s="36" t="s">
        <v>1149</v>
      </c>
      <c r="F1104" s="36" t="s">
        <v>1479</v>
      </c>
      <c r="G1104" s="37" t="s">
        <v>3792</v>
      </c>
      <c r="H1104" s="36" t="s">
        <v>928</v>
      </c>
      <c r="I1104" s="35" t="s">
        <v>3793</v>
      </c>
      <c r="J1104" s="36" t="s">
        <v>938</v>
      </c>
      <c r="K1104" s="33" t="s">
        <v>916</v>
      </c>
      <c r="L1104" s="35" t="s">
        <v>916</v>
      </c>
      <c r="M1104" s="36" t="s">
        <v>916</v>
      </c>
      <c r="N1104" s="45">
        <v>46030.426388888889</v>
      </c>
      <c r="O1104" s="36" t="s">
        <v>25</v>
      </c>
      <c r="P1104" s="38">
        <v>2.8197337963</v>
      </c>
      <c r="Q1104" s="39" t="s">
        <v>3794</v>
      </c>
      <c r="R1104" s="35" t="s">
        <v>916</v>
      </c>
      <c r="S1104" s="35"/>
      <c r="T1104" s="35" t="s">
        <v>1701</v>
      </c>
      <c r="U1104" s="40">
        <v>46028</v>
      </c>
      <c r="V1104" s="41">
        <v>46153.532847222225</v>
      </c>
      <c r="W1104" s="40">
        <v>46027</v>
      </c>
      <c r="X1104" s="35" t="s">
        <v>916</v>
      </c>
      <c r="Y1104" s="35" t="s">
        <v>916</v>
      </c>
      <c r="Z1104" s="35" t="s">
        <v>916</v>
      </c>
      <c r="AA1104" s="38">
        <v>67.673611111200003</v>
      </c>
      <c r="AB1104" s="42" t="s">
        <v>916</v>
      </c>
      <c r="AC1104" s="43" t="s">
        <v>916</v>
      </c>
      <c r="AD1104" s="43" t="s">
        <v>916</v>
      </c>
      <c r="AE1104" s="33" t="s">
        <v>916</v>
      </c>
      <c r="AF1104" s="35" t="s">
        <v>916</v>
      </c>
      <c r="AG1104" s="44">
        <v>491006.55972222227</v>
      </c>
      <c r="AH1104" s="42" t="s">
        <v>916</v>
      </c>
      <c r="AI1104" s="32" t="e">
        <f>VLOOKUP(A1104,'4月明細'!B:B,1,0)</f>
        <v>#N/A</v>
      </c>
    </row>
    <row r="1105" spans="1:35" ht="19.95" customHeight="1" x14ac:dyDescent="0.3">
      <c r="A1105" s="33" t="s">
        <v>72</v>
      </c>
      <c r="B1105" s="34">
        <v>46027.605891203704</v>
      </c>
      <c r="C1105" s="34" t="str">
        <f t="shared" si="30"/>
        <v>202601</v>
      </c>
      <c r="D1105" s="35" t="s">
        <v>3649</v>
      </c>
      <c r="E1105" s="36" t="s">
        <v>1149</v>
      </c>
      <c r="F1105" s="36" t="s">
        <v>1479</v>
      </c>
      <c r="G1105" s="37" t="s">
        <v>3795</v>
      </c>
      <c r="H1105" s="36" t="s">
        <v>1023</v>
      </c>
      <c r="I1105" s="35" t="s">
        <v>3796</v>
      </c>
      <c r="J1105" s="36" t="s">
        <v>938</v>
      </c>
      <c r="K1105" s="33" t="s">
        <v>916</v>
      </c>
      <c r="L1105" s="35" t="s">
        <v>916</v>
      </c>
      <c r="M1105" s="36" t="s">
        <v>957</v>
      </c>
      <c r="N1105" s="45">
        <v>46035.70416666667</v>
      </c>
      <c r="O1105" s="36" t="s">
        <v>25</v>
      </c>
      <c r="P1105" s="38">
        <v>8.0982754630000002</v>
      </c>
      <c r="Q1105" s="39" t="s">
        <v>3797</v>
      </c>
      <c r="R1105" s="35" t="s">
        <v>916</v>
      </c>
      <c r="S1105" s="35"/>
      <c r="T1105" s="35" t="s">
        <v>1701</v>
      </c>
      <c r="U1105" s="40">
        <v>46028</v>
      </c>
      <c r="V1105" s="41">
        <v>46153.532847222225</v>
      </c>
      <c r="W1105" s="40">
        <v>46027</v>
      </c>
      <c r="X1105" s="35" t="s">
        <v>916</v>
      </c>
      <c r="Y1105" s="35" t="s">
        <v>916</v>
      </c>
      <c r="Z1105" s="35" t="s">
        <v>916</v>
      </c>
      <c r="AA1105" s="38">
        <v>194.35861111200001</v>
      </c>
      <c r="AB1105" s="42" t="s">
        <v>916</v>
      </c>
      <c r="AC1105" s="43" t="s">
        <v>916</v>
      </c>
      <c r="AD1105" s="43" t="s">
        <v>916</v>
      </c>
      <c r="AE1105" s="33" t="s">
        <v>916</v>
      </c>
      <c r="AF1105" s="35" t="s">
        <v>916</v>
      </c>
      <c r="AG1105" s="44">
        <v>491006.5413888889</v>
      </c>
      <c r="AH1105" s="42" t="s">
        <v>916</v>
      </c>
      <c r="AI1105" s="32" t="e">
        <f>VLOOKUP(A1105,'4月明細'!B:B,1,0)</f>
        <v>#N/A</v>
      </c>
    </row>
    <row r="1106" spans="1:35" ht="19.95" customHeight="1" x14ac:dyDescent="0.3">
      <c r="A1106" s="33" t="s">
        <v>71</v>
      </c>
      <c r="B1106" s="34">
        <v>46027.603912037041</v>
      </c>
      <c r="C1106" s="34" t="str">
        <f t="shared" si="30"/>
        <v>202601</v>
      </c>
      <c r="D1106" s="35" t="s">
        <v>3649</v>
      </c>
      <c r="E1106" s="36" t="s">
        <v>1149</v>
      </c>
      <c r="F1106" s="36" t="s">
        <v>1479</v>
      </c>
      <c r="G1106" s="37" t="s">
        <v>3798</v>
      </c>
      <c r="H1106" s="36" t="s">
        <v>928</v>
      </c>
      <c r="I1106" s="35" t="s">
        <v>3799</v>
      </c>
      <c r="J1106" s="36" t="s">
        <v>938</v>
      </c>
      <c r="K1106" s="33" t="s">
        <v>916</v>
      </c>
      <c r="L1106" s="35" t="s">
        <v>916</v>
      </c>
      <c r="M1106" s="36" t="s">
        <v>916</v>
      </c>
      <c r="N1106" s="45">
        <v>46030.427777777775</v>
      </c>
      <c r="O1106" s="36" t="s">
        <v>25</v>
      </c>
      <c r="P1106" s="38">
        <v>2.8238657407000001</v>
      </c>
      <c r="Q1106" s="39" t="s">
        <v>3800</v>
      </c>
      <c r="R1106" s="35" t="s">
        <v>916</v>
      </c>
      <c r="S1106" s="35" t="s">
        <v>3801</v>
      </c>
      <c r="T1106" s="35" t="s">
        <v>1701</v>
      </c>
      <c r="U1106" s="40">
        <v>46028</v>
      </c>
      <c r="V1106" s="41">
        <v>46153.532847222225</v>
      </c>
      <c r="W1106" s="40">
        <v>46027</v>
      </c>
      <c r="X1106" s="35" t="s">
        <v>916</v>
      </c>
      <c r="Y1106" s="35" t="s">
        <v>916</v>
      </c>
      <c r="Z1106" s="35" t="s">
        <v>916</v>
      </c>
      <c r="AA1106" s="38">
        <v>67.772777776799998</v>
      </c>
      <c r="AB1106" s="42" t="s">
        <v>916</v>
      </c>
      <c r="AC1106" s="43" t="s">
        <v>916</v>
      </c>
      <c r="AD1106" s="43" t="s">
        <v>916</v>
      </c>
      <c r="AE1106" s="33" t="s">
        <v>916</v>
      </c>
      <c r="AF1106" s="35" t="s">
        <v>916</v>
      </c>
      <c r="AG1106" s="44">
        <v>491006.49388888892</v>
      </c>
      <c r="AH1106" s="42" t="s">
        <v>916</v>
      </c>
      <c r="AI1106" s="32" t="e">
        <f>VLOOKUP(A1106,'4月明細'!B:B,1,0)</f>
        <v>#N/A</v>
      </c>
    </row>
    <row r="1107" spans="1:35" ht="19.95" customHeight="1" x14ac:dyDescent="0.3">
      <c r="A1107" s="33" t="s">
        <v>70</v>
      </c>
      <c r="B1107" s="34">
        <v>46027.602905092594</v>
      </c>
      <c r="C1107" s="34" t="str">
        <f t="shared" si="30"/>
        <v>202601</v>
      </c>
      <c r="D1107" s="35" t="s">
        <v>3649</v>
      </c>
      <c r="E1107" s="36" t="s">
        <v>1149</v>
      </c>
      <c r="F1107" s="36" t="s">
        <v>1335</v>
      </c>
      <c r="G1107" s="37" t="s">
        <v>3802</v>
      </c>
      <c r="H1107" s="36" t="s">
        <v>928</v>
      </c>
      <c r="I1107" s="35" t="s">
        <v>3803</v>
      </c>
      <c r="J1107" s="36" t="s">
        <v>938</v>
      </c>
      <c r="K1107" s="33" t="s">
        <v>916</v>
      </c>
      <c r="L1107" s="35" t="s">
        <v>916</v>
      </c>
      <c r="M1107" s="36" t="s">
        <v>916</v>
      </c>
      <c r="N1107" s="45">
        <v>46030.427777777775</v>
      </c>
      <c r="O1107" s="36" t="s">
        <v>25</v>
      </c>
      <c r="P1107" s="38">
        <v>2.8248726851999999</v>
      </c>
      <c r="Q1107" s="39" t="s">
        <v>3804</v>
      </c>
      <c r="R1107" s="35" t="s">
        <v>916</v>
      </c>
      <c r="S1107" s="35"/>
      <c r="T1107" s="35" t="s">
        <v>1701</v>
      </c>
      <c r="U1107" s="40">
        <v>46028</v>
      </c>
      <c r="V1107" s="41">
        <v>46153.532847222225</v>
      </c>
      <c r="W1107" s="40">
        <v>46027</v>
      </c>
      <c r="X1107" s="35" t="s">
        <v>916</v>
      </c>
      <c r="Y1107" s="35" t="s">
        <v>916</v>
      </c>
      <c r="Z1107" s="35" t="s">
        <v>916</v>
      </c>
      <c r="AA1107" s="38">
        <v>67.796944444800005</v>
      </c>
      <c r="AB1107" s="42" t="s">
        <v>916</v>
      </c>
      <c r="AC1107" s="43" t="s">
        <v>916</v>
      </c>
      <c r="AD1107" s="43" t="s">
        <v>916</v>
      </c>
      <c r="AE1107" s="33" t="s">
        <v>916</v>
      </c>
      <c r="AF1107" s="35" t="s">
        <v>916</v>
      </c>
      <c r="AG1107" s="44">
        <v>491006.46972222219</v>
      </c>
      <c r="AH1107" s="42" t="s">
        <v>916</v>
      </c>
      <c r="AI1107" s="32" t="e">
        <f>VLOOKUP(A1107,'4月明細'!B:B,1,0)</f>
        <v>#N/A</v>
      </c>
    </row>
    <row r="1108" spans="1:35" ht="19.95" customHeight="1" x14ac:dyDescent="0.3">
      <c r="A1108" s="33" t="s">
        <v>69</v>
      </c>
      <c r="B1108" s="34">
        <v>46027.599328703705</v>
      </c>
      <c r="C1108" s="34" t="str">
        <f t="shared" si="30"/>
        <v>202601</v>
      </c>
      <c r="D1108" s="35" t="s">
        <v>3649</v>
      </c>
      <c r="E1108" s="36" t="s">
        <v>1149</v>
      </c>
      <c r="F1108" s="36" t="s">
        <v>1335</v>
      </c>
      <c r="G1108" s="37" t="s">
        <v>3805</v>
      </c>
      <c r="H1108" s="36" t="s">
        <v>1023</v>
      </c>
      <c r="I1108" s="35" t="s">
        <v>3806</v>
      </c>
      <c r="J1108" s="36" t="s">
        <v>938</v>
      </c>
      <c r="K1108" s="33" t="s">
        <v>916</v>
      </c>
      <c r="L1108" s="35" t="s">
        <v>916</v>
      </c>
      <c r="M1108" s="36" t="s">
        <v>957</v>
      </c>
      <c r="N1108" s="45">
        <v>46035.70416666667</v>
      </c>
      <c r="O1108" s="36" t="s">
        <v>25</v>
      </c>
      <c r="P1108" s="38">
        <v>8.1048379629999996</v>
      </c>
      <c r="Q1108" s="39" t="s">
        <v>3797</v>
      </c>
      <c r="R1108" s="35" t="s">
        <v>916</v>
      </c>
      <c r="S1108" s="35"/>
      <c r="T1108" s="35" t="s">
        <v>1701</v>
      </c>
      <c r="U1108" s="40">
        <v>46028</v>
      </c>
      <c r="V1108" s="41">
        <v>46153.532847222225</v>
      </c>
      <c r="W1108" s="40">
        <v>46027</v>
      </c>
      <c r="X1108" s="35" t="s">
        <v>916</v>
      </c>
      <c r="Y1108" s="35" t="s">
        <v>916</v>
      </c>
      <c r="Z1108" s="35" t="s">
        <v>916</v>
      </c>
      <c r="AA1108" s="38">
        <v>194.516111112</v>
      </c>
      <c r="AB1108" s="42" t="s">
        <v>916</v>
      </c>
      <c r="AC1108" s="43" t="s">
        <v>916</v>
      </c>
      <c r="AD1108" s="43" t="s">
        <v>916</v>
      </c>
      <c r="AE1108" s="33" t="s">
        <v>916</v>
      </c>
      <c r="AF1108" s="35" t="s">
        <v>916</v>
      </c>
      <c r="AG1108" s="44">
        <v>491006.38388888887</v>
      </c>
      <c r="AH1108" s="42" t="s">
        <v>916</v>
      </c>
      <c r="AI1108" s="32" t="e">
        <f>VLOOKUP(A1108,'4月明細'!B:B,1,0)</f>
        <v>#N/A</v>
      </c>
    </row>
    <row r="1109" spans="1:35" ht="19.95" customHeight="1" x14ac:dyDescent="0.3">
      <c r="A1109" s="33" t="s">
        <v>270</v>
      </c>
      <c r="B1109" s="34">
        <v>46027.598310185182</v>
      </c>
      <c r="C1109" s="34" t="str">
        <f t="shared" si="30"/>
        <v>202601</v>
      </c>
      <c r="D1109" s="35" t="s">
        <v>3649</v>
      </c>
      <c r="E1109" s="36" t="s">
        <v>1149</v>
      </c>
      <c r="F1109" s="36" t="s">
        <v>1335</v>
      </c>
      <c r="G1109" s="37" t="s">
        <v>3807</v>
      </c>
      <c r="H1109" s="36" t="s">
        <v>928</v>
      </c>
      <c r="I1109" s="35" t="s">
        <v>3808</v>
      </c>
      <c r="J1109" s="36" t="s">
        <v>938</v>
      </c>
      <c r="K1109" s="33" t="s">
        <v>916</v>
      </c>
      <c r="L1109" s="35" t="s">
        <v>916</v>
      </c>
      <c r="M1109" s="36" t="s">
        <v>916</v>
      </c>
      <c r="N1109" s="45">
        <v>46076.712500000001</v>
      </c>
      <c r="O1109" s="36" t="s">
        <v>25</v>
      </c>
      <c r="P1109" s="38">
        <v>49.1141898148</v>
      </c>
      <c r="Q1109" s="39" t="s">
        <v>2835</v>
      </c>
      <c r="R1109" s="35" t="s">
        <v>916</v>
      </c>
      <c r="S1109" s="35"/>
      <c r="T1109" s="35" t="s">
        <v>1624</v>
      </c>
      <c r="U1109" s="40">
        <v>46028</v>
      </c>
      <c r="V1109" s="41">
        <v>46153.532847222225</v>
      </c>
      <c r="W1109" s="40">
        <v>46027</v>
      </c>
      <c r="X1109" s="35" t="s">
        <v>916</v>
      </c>
      <c r="Y1109" s="35" t="s">
        <v>916</v>
      </c>
      <c r="Z1109" s="35" t="s">
        <v>916</v>
      </c>
      <c r="AA1109" s="38">
        <v>1178.7405555552</v>
      </c>
      <c r="AB1109" s="42" t="s">
        <v>916</v>
      </c>
      <c r="AC1109" s="43" t="s">
        <v>916</v>
      </c>
      <c r="AD1109" s="43" t="s">
        <v>916</v>
      </c>
      <c r="AE1109" s="33" t="s">
        <v>916</v>
      </c>
      <c r="AF1109" s="35" t="s">
        <v>916</v>
      </c>
      <c r="AG1109" s="44">
        <v>491006.35944444442</v>
      </c>
      <c r="AH1109" s="42" t="s">
        <v>916</v>
      </c>
      <c r="AI1109" s="32" t="e">
        <f>VLOOKUP(A1109,'4月明細'!B:B,1,0)</f>
        <v>#N/A</v>
      </c>
    </row>
    <row r="1110" spans="1:35" ht="19.95" customHeight="1" x14ac:dyDescent="0.3">
      <c r="A1110" s="33" t="s">
        <v>68</v>
      </c>
      <c r="B1110" s="34">
        <v>46027.596250000002</v>
      </c>
      <c r="C1110" s="34" t="str">
        <f t="shared" si="30"/>
        <v>202601</v>
      </c>
      <c r="D1110" s="35" t="s">
        <v>3649</v>
      </c>
      <c r="E1110" s="36" t="s">
        <v>1149</v>
      </c>
      <c r="F1110" s="36" t="s">
        <v>1860</v>
      </c>
      <c r="G1110" s="37" t="s">
        <v>3809</v>
      </c>
      <c r="H1110" s="36" t="s">
        <v>928</v>
      </c>
      <c r="I1110" s="35" t="s">
        <v>3810</v>
      </c>
      <c r="J1110" s="36" t="s">
        <v>938</v>
      </c>
      <c r="K1110" s="33" t="s">
        <v>916</v>
      </c>
      <c r="L1110" s="35" t="s">
        <v>916</v>
      </c>
      <c r="M1110" s="36" t="s">
        <v>916</v>
      </c>
      <c r="N1110" s="45">
        <v>46031.420138888891</v>
      </c>
      <c r="O1110" s="36" t="s">
        <v>25</v>
      </c>
      <c r="P1110" s="38">
        <v>3.8238888889</v>
      </c>
      <c r="Q1110" s="39" t="s">
        <v>3811</v>
      </c>
      <c r="R1110" s="35" t="s">
        <v>916</v>
      </c>
      <c r="S1110" s="35"/>
      <c r="T1110" s="35" t="s">
        <v>1701</v>
      </c>
      <c r="U1110" s="40">
        <v>46028</v>
      </c>
      <c r="V1110" s="41">
        <v>46153.532847222225</v>
      </c>
      <c r="W1110" s="40">
        <v>46027</v>
      </c>
      <c r="X1110" s="35" t="s">
        <v>916</v>
      </c>
      <c r="Y1110" s="35" t="s">
        <v>916</v>
      </c>
      <c r="Z1110" s="35" t="s">
        <v>916</v>
      </c>
      <c r="AA1110" s="38">
        <v>91.773333333599993</v>
      </c>
      <c r="AB1110" s="42" t="s">
        <v>916</v>
      </c>
      <c r="AC1110" s="43" t="s">
        <v>916</v>
      </c>
      <c r="AD1110" s="43" t="s">
        <v>916</v>
      </c>
      <c r="AE1110" s="33" t="s">
        <v>916</v>
      </c>
      <c r="AF1110" s="35" t="s">
        <v>916</v>
      </c>
      <c r="AG1110" s="44">
        <v>491006.30999999988</v>
      </c>
      <c r="AH1110" s="42" t="s">
        <v>916</v>
      </c>
      <c r="AI1110" s="32" t="e">
        <f>VLOOKUP(A1110,'4月明細'!B:B,1,0)</f>
        <v>#N/A</v>
      </c>
    </row>
    <row r="1111" spans="1:35" ht="19.95" customHeight="1" x14ac:dyDescent="0.3">
      <c r="A1111" s="33" t="s">
        <v>3812</v>
      </c>
      <c r="B1111" s="34">
        <v>46027.594363425924</v>
      </c>
      <c r="C1111" s="34" t="str">
        <f t="shared" si="30"/>
        <v>202601</v>
      </c>
      <c r="D1111" s="35" t="s">
        <v>3649</v>
      </c>
      <c r="E1111" s="36" t="s">
        <v>1149</v>
      </c>
      <c r="F1111" s="36" t="s">
        <v>1211</v>
      </c>
      <c r="G1111" s="37" t="s">
        <v>3813</v>
      </c>
      <c r="H1111" s="36" t="s">
        <v>928</v>
      </c>
      <c r="I1111" s="35" t="s">
        <v>3814</v>
      </c>
      <c r="J1111" s="36" t="s">
        <v>938</v>
      </c>
      <c r="K1111" s="33" t="s">
        <v>916</v>
      </c>
      <c r="L1111" s="35" t="s">
        <v>916</v>
      </c>
      <c r="M1111" s="36" t="s">
        <v>1039</v>
      </c>
      <c r="N1111" s="45">
        <v>46048.486111111109</v>
      </c>
      <c r="O1111" s="36" t="s">
        <v>1797</v>
      </c>
      <c r="P1111" s="38">
        <v>20.891747685199999</v>
      </c>
      <c r="Q1111" s="39" t="s">
        <v>3815</v>
      </c>
      <c r="R1111" s="35" t="s">
        <v>916</v>
      </c>
      <c r="S1111" s="35"/>
      <c r="T1111" s="35" t="s">
        <v>1624</v>
      </c>
      <c r="U1111" s="40">
        <v>46028</v>
      </c>
      <c r="V1111" s="41">
        <v>46153.532847222225</v>
      </c>
      <c r="W1111" s="40">
        <v>46027</v>
      </c>
      <c r="X1111" s="35" t="s">
        <v>916</v>
      </c>
      <c r="Y1111" s="35" t="s">
        <v>916</v>
      </c>
      <c r="Z1111" s="35" t="s">
        <v>916</v>
      </c>
      <c r="AA1111" s="38">
        <v>501.40194444479999</v>
      </c>
      <c r="AB1111" s="42" t="s">
        <v>916</v>
      </c>
      <c r="AC1111" s="43" t="s">
        <v>916</v>
      </c>
      <c r="AD1111" s="43" t="s">
        <v>916</v>
      </c>
      <c r="AE1111" s="33" t="s">
        <v>916</v>
      </c>
      <c r="AF1111" s="35" t="s">
        <v>916</v>
      </c>
      <c r="AG1111" s="44">
        <v>491006.26472222217</v>
      </c>
      <c r="AH1111" s="42" t="s">
        <v>916</v>
      </c>
      <c r="AI1111" s="32" t="e">
        <f>VLOOKUP(A1111,'4月明細'!B:B,1,0)</f>
        <v>#N/A</v>
      </c>
    </row>
    <row r="1112" spans="1:35" ht="19.95" customHeight="1" x14ac:dyDescent="0.3">
      <c r="A1112" s="33" t="s">
        <v>3816</v>
      </c>
      <c r="B1112" s="34">
        <v>46027.592395833337</v>
      </c>
      <c r="C1112" s="34" t="str">
        <f t="shared" si="30"/>
        <v>202601</v>
      </c>
      <c r="D1112" s="35" t="s">
        <v>3649</v>
      </c>
      <c r="E1112" s="36" t="s">
        <v>1149</v>
      </c>
      <c r="F1112" s="36" t="s">
        <v>1150</v>
      </c>
      <c r="G1112" s="37" t="s">
        <v>3817</v>
      </c>
      <c r="H1112" s="36" t="s">
        <v>928</v>
      </c>
      <c r="I1112" s="35" t="s">
        <v>3818</v>
      </c>
      <c r="J1112" s="36" t="s">
        <v>938</v>
      </c>
      <c r="K1112" s="33" t="s">
        <v>916</v>
      </c>
      <c r="L1112" s="35" t="s">
        <v>916</v>
      </c>
      <c r="M1112" s="36" t="s">
        <v>1039</v>
      </c>
      <c r="N1112" s="45">
        <v>46031.436111111114</v>
      </c>
      <c r="O1112" s="36" t="s">
        <v>1797</v>
      </c>
      <c r="P1112" s="38">
        <v>3.8437152777999999</v>
      </c>
      <c r="Q1112" s="39" t="s">
        <v>3819</v>
      </c>
      <c r="R1112" s="35" t="s">
        <v>916</v>
      </c>
      <c r="S1112" s="35"/>
      <c r="T1112" s="35" t="s">
        <v>1624</v>
      </c>
      <c r="U1112" s="40">
        <v>46028</v>
      </c>
      <c r="V1112" s="41">
        <v>46153.532847222225</v>
      </c>
      <c r="W1112" s="40">
        <v>46027</v>
      </c>
      <c r="X1112" s="35" t="s">
        <v>916</v>
      </c>
      <c r="Y1112" s="35" t="s">
        <v>916</v>
      </c>
      <c r="Z1112" s="35" t="s">
        <v>916</v>
      </c>
      <c r="AA1112" s="38">
        <v>92.249166667200001</v>
      </c>
      <c r="AB1112" s="42" t="s">
        <v>916</v>
      </c>
      <c r="AC1112" s="43" t="s">
        <v>916</v>
      </c>
      <c r="AD1112" s="43" t="s">
        <v>916</v>
      </c>
      <c r="AE1112" s="33" t="s">
        <v>916</v>
      </c>
      <c r="AF1112" s="35" t="s">
        <v>916</v>
      </c>
      <c r="AG1112" s="44">
        <v>491006.21750000003</v>
      </c>
      <c r="AH1112" s="42" t="s">
        <v>916</v>
      </c>
      <c r="AI1112" s="32" t="e">
        <f>VLOOKUP(A1112,'4月明細'!B:B,1,0)</f>
        <v>#N/A</v>
      </c>
    </row>
    <row r="1113" spans="1:35" ht="19.95" customHeight="1" x14ac:dyDescent="0.3">
      <c r="A1113" s="33" t="s">
        <v>67</v>
      </c>
      <c r="B1113" s="34">
        <v>46027.499479166669</v>
      </c>
      <c r="C1113" s="34" t="str">
        <f t="shared" si="30"/>
        <v>202601</v>
      </c>
      <c r="D1113" s="35" t="s">
        <v>909</v>
      </c>
      <c r="E1113" s="36" t="s">
        <v>910</v>
      </c>
      <c r="F1113" s="36" t="s">
        <v>1441</v>
      </c>
      <c r="G1113" s="37" t="s">
        <v>3820</v>
      </c>
      <c r="H1113" s="36" t="s">
        <v>928</v>
      </c>
      <c r="I1113" s="35" t="s">
        <v>3821</v>
      </c>
      <c r="J1113" s="36" t="s">
        <v>914</v>
      </c>
      <c r="K1113" s="33" t="s">
        <v>916</v>
      </c>
      <c r="L1113" s="35" t="s">
        <v>916</v>
      </c>
      <c r="M1113" s="36" t="s">
        <v>916</v>
      </c>
      <c r="N1113" s="45">
        <v>46027.65347222222</v>
      </c>
      <c r="O1113" s="36" t="s">
        <v>25</v>
      </c>
      <c r="P1113" s="38">
        <v>0.15399305560000001</v>
      </c>
      <c r="Q1113" s="39" t="s">
        <v>3822</v>
      </c>
      <c r="R1113" s="35" t="s">
        <v>916</v>
      </c>
      <c r="S1113" s="35" t="s">
        <v>3823</v>
      </c>
      <c r="T1113" s="35" t="s">
        <v>1701</v>
      </c>
      <c r="U1113" s="40">
        <v>46028</v>
      </c>
      <c r="V1113" s="41">
        <v>46153.532847222225</v>
      </c>
      <c r="W1113" s="40">
        <v>46027</v>
      </c>
      <c r="X1113" s="35" t="s">
        <v>916</v>
      </c>
      <c r="Y1113" s="35" t="s">
        <v>916</v>
      </c>
      <c r="Z1113" s="35" t="s">
        <v>916</v>
      </c>
      <c r="AA1113" s="38">
        <v>3.6958333344000001</v>
      </c>
      <c r="AB1113" s="42" t="s">
        <v>916</v>
      </c>
      <c r="AC1113" s="43" t="s">
        <v>916</v>
      </c>
      <c r="AD1113" s="43" t="s">
        <v>916</v>
      </c>
      <c r="AE1113" s="33" t="s">
        <v>916</v>
      </c>
      <c r="AF1113" s="35" t="s">
        <v>916</v>
      </c>
      <c r="AG1113" s="44">
        <v>491003.98749999999</v>
      </c>
      <c r="AH1113" s="42" t="s">
        <v>916</v>
      </c>
      <c r="AI1113" s="32" t="e">
        <f>VLOOKUP(A1113,'4月明細'!B:B,1,0)</f>
        <v>#N/A</v>
      </c>
    </row>
    <row r="1114" spans="1:35" ht="19.95" customHeight="1" x14ac:dyDescent="0.3">
      <c r="A1114" s="33" t="s">
        <v>3824</v>
      </c>
      <c r="B1114" s="34">
        <v>46025.703125</v>
      </c>
      <c r="C1114" s="34" t="str">
        <f t="shared" si="30"/>
        <v>202601</v>
      </c>
      <c r="D1114" s="35" t="s">
        <v>2278</v>
      </c>
      <c r="E1114" s="36" t="s">
        <v>942</v>
      </c>
      <c r="F1114" s="36" t="s">
        <v>2165</v>
      </c>
      <c r="G1114" s="37" t="s">
        <v>3825</v>
      </c>
      <c r="H1114" s="36" t="s">
        <v>928</v>
      </c>
      <c r="I1114" s="35"/>
      <c r="J1114" s="36" t="s">
        <v>945</v>
      </c>
      <c r="K1114" s="33" t="s">
        <v>916</v>
      </c>
      <c r="L1114" s="35" t="s">
        <v>916</v>
      </c>
      <c r="M1114" s="36" t="s">
        <v>957</v>
      </c>
      <c r="N1114" s="45">
        <v>46090.396527777775</v>
      </c>
      <c r="O1114" s="36" t="s">
        <v>1797</v>
      </c>
      <c r="P1114" s="38">
        <v>64.693402777800003</v>
      </c>
      <c r="Q1114" s="39" t="s">
        <v>3826</v>
      </c>
      <c r="R1114" s="35" t="s">
        <v>916</v>
      </c>
      <c r="S1114" s="35"/>
      <c r="T1114" s="35" t="s">
        <v>1624</v>
      </c>
      <c r="U1114" s="40">
        <v>46026</v>
      </c>
      <c r="V1114" s="41">
        <v>46153.532847222225</v>
      </c>
      <c r="W1114" s="40">
        <v>46025</v>
      </c>
      <c r="X1114" s="35" t="s">
        <v>916</v>
      </c>
      <c r="Y1114" s="35" t="s">
        <v>916</v>
      </c>
      <c r="Z1114" s="35" t="s">
        <v>916</v>
      </c>
      <c r="AA1114" s="38">
        <v>1552.6416666672001</v>
      </c>
      <c r="AB1114" s="42" t="s">
        <v>916</v>
      </c>
      <c r="AC1114" s="43" t="s">
        <v>916</v>
      </c>
      <c r="AD1114" s="43" t="s">
        <v>916</v>
      </c>
      <c r="AE1114" s="33" t="s">
        <v>916</v>
      </c>
      <c r="AF1114" s="35" t="s">
        <v>916</v>
      </c>
      <c r="AG1114" s="44">
        <v>490960.875</v>
      </c>
      <c r="AH1114" s="42" t="s">
        <v>916</v>
      </c>
      <c r="AI1114" s="32" t="e">
        <f>VLOOKUP(A1114,'4月明細'!B:B,1,0)</f>
        <v>#N/A</v>
      </c>
    </row>
    <row r="1115" spans="1:35" ht="19.95" customHeight="1" x14ac:dyDescent="0.3">
      <c r="A1115" s="33" t="s">
        <v>66</v>
      </c>
      <c r="B1115" s="34">
        <v>46027.460127314815</v>
      </c>
      <c r="C1115" s="34" t="str">
        <f t="shared" si="30"/>
        <v>202601</v>
      </c>
      <c r="D1115" s="35" t="s">
        <v>909</v>
      </c>
      <c r="E1115" s="36" t="s">
        <v>910</v>
      </c>
      <c r="F1115" s="36" t="s">
        <v>981</v>
      </c>
      <c r="G1115" s="37" t="s">
        <v>3827</v>
      </c>
      <c r="H1115" s="36" t="s">
        <v>954</v>
      </c>
      <c r="I1115" s="35" t="s">
        <v>3828</v>
      </c>
      <c r="J1115" s="36" t="s">
        <v>1058</v>
      </c>
      <c r="K1115" s="33" t="s">
        <v>916</v>
      </c>
      <c r="L1115" s="35" t="s">
        <v>916</v>
      </c>
      <c r="M1115" s="36" t="s">
        <v>916</v>
      </c>
      <c r="N1115" s="45">
        <v>46027.602777777778</v>
      </c>
      <c r="O1115" s="36" t="s">
        <v>25</v>
      </c>
      <c r="P1115" s="38">
        <v>0.14265046300000001</v>
      </c>
      <c r="Q1115" s="39" t="s">
        <v>3829</v>
      </c>
      <c r="R1115" s="35" t="s">
        <v>916</v>
      </c>
      <c r="S1115" s="35" t="s">
        <v>3830</v>
      </c>
      <c r="T1115" s="35" t="s">
        <v>1701</v>
      </c>
      <c r="U1115" s="40">
        <v>46028</v>
      </c>
      <c r="V1115" s="41">
        <v>46153.532847222225</v>
      </c>
      <c r="W1115" s="40">
        <v>46027</v>
      </c>
      <c r="X1115" s="35" t="s">
        <v>916</v>
      </c>
      <c r="Y1115" s="35" t="s">
        <v>916</v>
      </c>
      <c r="Z1115" s="35" t="s">
        <v>916</v>
      </c>
      <c r="AA1115" s="38">
        <v>3.4236111120000001</v>
      </c>
      <c r="AB1115" s="42" t="s">
        <v>916</v>
      </c>
      <c r="AC1115" s="43" t="s">
        <v>916</v>
      </c>
      <c r="AD1115" s="43" t="s">
        <v>916</v>
      </c>
      <c r="AE1115" s="33" t="s">
        <v>916</v>
      </c>
      <c r="AF1115" s="35" t="s">
        <v>916</v>
      </c>
      <c r="AG1115" s="44">
        <v>491003.04305555561</v>
      </c>
      <c r="AH1115" s="42" t="s">
        <v>916</v>
      </c>
      <c r="AI1115" s="32" t="e">
        <f>VLOOKUP(A1115,'4月明細'!B:B,1,0)</f>
        <v>#N/A</v>
      </c>
    </row>
    <row r="1116" spans="1:35" ht="19.95" customHeight="1" x14ac:dyDescent="0.3">
      <c r="A1116" s="33" t="s">
        <v>65</v>
      </c>
      <c r="B1116" s="34">
        <v>46027.422048611108</v>
      </c>
      <c r="C1116" s="34" t="str">
        <f t="shared" si="30"/>
        <v>202601</v>
      </c>
      <c r="D1116" s="35" t="s">
        <v>986</v>
      </c>
      <c r="E1116" s="36" t="s">
        <v>910</v>
      </c>
      <c r="F1116" s="36" t="s">
        <v>2169</v>
      </c>
      <c r="G1116" s="37" t="s">
        <v>3831</v>
      </c>
      <c r="H1116" s="36" t="s">
        <v>928</v>
      </c>
      <c r="I1116" s="35"/>
      <c r="J1116" s="36" t="s">
        <v>929</v>
      </c>
      <c r="K1116" s="33" t="s">
        <v>916</v>
      </c>
      <c r="L1116" s="35" t="s">
        <v>916</v>
      </c>
      <c r="M1116" s="36" t="s">
        <v>916</v>
      </c>
      <c r="N1116" s="45">
        <v>46027.652777777781</v>
      </c>
      <c r="O1116" s="36" t="s">
        <v>25</v>
      </c>
      <c r="P1116" s="38">
        <v>0.23072916669999999</v>
      </c>
      <c r="Q1116" s="39" t="s">
        <v>3832</v>
      </c>
      <c r="R1116" s="35" t="s">
        <v>916</v>
      </c>
      <c r="S1116" s="35"/>
      <c r="T1116" s="35" t="s">
        <v>1701</v>
      </c>
      <c r="U1116" s="40">
        <v>46028</v>
      </c>
      <c r="V1116" s="41">
        <v>46153.532847222225</v>
      </c>
      <c r="W1116" s="40">
        <v>46027</v>
      </c>
      <c r="X1116" s="35" t="s">
        <v>916</v>
      </c>
      <c r="Y1116" s="35" t="s">
        <v>916</v>
      </c>
      <c r="Z1116" s="35" t="s">
        <v>916</v>
      </c>
      <c r="AA1116" s="38">
        <v>5.5375000007999997</v>
      </c>
      <c r="AB1116" s="42" t="s">
        <v>916</v>
      </c>
      <c r="AC1116" s="43" t="s">
        <v>916</v>
      </c>
      <c r="AD1116" s="43" t="s">
        <v>916</v>
      </c>
      <c r="AE1116" s="33" t="s">
        <v>916</v>
      </c>
      <c r="AF1116" s="35" t="s">
        <v>916</v>
      </c>
      <c r="AG1116" s="44">
        <v>491002.12916666671</v>
      </c>
      <c r="AH1116" s="42" t="s">
        <v>916</v>
      </c>
      <c r="AI1116" s="32" t="e">
        <f>VLOOKUP(A1116,'4月明細'!B:B,1,0)</f>
        <v>#N/A</v>
      </c>
    </row>
    <row r="1117" spans="1:35" ht="19.95" customHeight="1" x14ac:dyDescent="0.3">
      <c r="A1117" s="33" t="s">
        <v>64</v>
      </c>
      <c r="B1117" s="34">
        <v>46026.985266203701</v>
      </c>
      <c r="C1117" s="34" t="str">
        <f t="shared" si="30"/>
        <v>202601</v>
      </c>
      <c r="D1117" s="35" t="s">
        <v>1510</v>
      </c>
      <c r="E1117" s="36" t="s">
        <v>1112</v>
      </c>
      <c r="F1117" s="36" t="s">
        <v>1381</v>
      </c>
      <c r="G1117" s="37" t="s">
        <v>3833</v>
      </c>
      <c r="H1117" s="36" t="s">
        <v>913</v>
      </c>
      <c r="I1117" s="35"/>
      <c r="J1117" s="36" t="s">
        <v>938</v>
      </c>
      <c r="K1117" s="33" t="s">
        <v>916</v>
      </c>
      <c r="L1117" s="35" t="s">
        <v>916</v>
      </c>
      <c r="M1117" s="36" t="s">
        <v>916</v>
      </c>
      <c r="N1117" s="45">
        <v>46031.43472222222</v>
      </c>
      <c r="O1117" s="36" t="s">
        <v>25</v>
      </c>
      <c r="P1117" s="38">
        <v>4.4494560185000003</v>
      </c>
      <c r="Q1117" s="39" t="s">
        <v>3834</v>
      </c>
      <c r="R1117" s="35" t="s">
        <v>916</v>
      </c>
      <c r="S1117" s="35"/>
      <c r="T1117" s="35" t="s">
        <v>1701</v>
      </c>
      <c r="U1117" s="40">
        <v>46027</v>
      </c>
      <c r="V1117" s="41">
        <v>46153.532847222225</v>
      </c>
      <c r="W1117" s="40">
        <v>46027</v>
      </c>
      <c r="X1117" s="35" t="s">
        <v>916</v>
      </c>
      <c r="Y1117" s="35" t="s">
        <v>916</v>
      </c>
      <c r="Z1117" s="35" t="s">
        <v>916</v>
      </c>
      <c r="AA1117" s="38">
        <v>106.786944444</v>
      </c>
      <c r="AB1117" s="42" t="s">
        <v>916</v>
      </c>
      <c r="AC1117" s="43" t="s">
        <v>916</v>
      </c>
      <c r="AD1117" s="43" t="s">
        <v>916</v>
      </c>
      <c r="AE1117" s="33" t="s">
        <v>916</v>
      </c>
      <c r="AF1117" s="35" t="s">
        <v>916</v>
      </c>
      <c r="AG1117" s="44">
        <v>490991.64638888888</v>
      </c>
      <c r="AH1117" s="42" t="s">
        <v>916</v>
      </c>
      <c r="AI1117" s="32" t="e">
        <f>VLOOKUP(A1117,'4月明細'!B:B,1,0)</f>
        <v>#N/A</v>
      </c>
    </row>
    <row r="1118" spans="1:35" ht="19.95" customHeight="1" x14ac:dyDescent="0.3">
      <c r="A1118" s="33" t="s">
        <v>63</v>
      </c>
      <c r="B1118" s="34">
        <v>46026.930381944447</v>
      </c>
      <c r="C1118" s="34" t="str">
        <f t="shared" si="30"/>
        <v>202601</v>
      </c>
      <c r="D1118" s="35" t="s">
        <v>2624</v>
      </c>
      <c r="E1118" s="36" t="s">
        <v>942</v>
      </c>
      <c r="F1118" s="36" t="s">
        <v>2043</v>
      </c>
      <c r="G1118" s="37" t="s">
        <v>3835</v>
      </c>
      <c r="H1118" s="36" t="s">
        <v>913</v>
      </c>
      <c r="I1118" s="35"/>
      <c r="J1118" s="36" t="s">
        <v>916</v>
      </c>
      <c r="K1118" s="33" t="s">
        <v>916</v>
      </c>
      <c r="L1118" s="35" t="s">
        <v>916</v>
      </c>
      <c r="M1118" s="36" t="s">
        <v>957</v>
      </c>
      <c r="N1118" s="45">
        <v>46027.510416666664</v>
      </c>
      <c r="O1118" s="36" t="s">
        <v>25</v>
      </c>
      <c r="P1118" s="38">
        <v>0.58003472219999996</v>
      </c>
      <c r="Q1118" s="39" t="s">
        <v>3836</v>
      </c>
      <c r="R1118" s="35" t="s">
        <v>916</v>
      </c>
      <c r="S1118" s="35"/>
      <c r="T1118" s="35" t="s">
        <v>1701</v>
      </c>
      <c r="U1118" s="40">
        <v>46027</v>
      </c>
      <c r="V1118" s="41">
        <v>46153.532847222225</v>
      </c>
      <c r="W1118" s="40">
        <v>46027</v>
      </c>
      <c r="X1118" s="35" t="s">
        <v>916</v>
      </c>
      <c r="Y1118" s="35" t="s">
        <v>916</v>
      </c>
      <c r="Z1118" s="35" t="s">
        <v>916</v>
      </c>
      <c r="AA1118" s="38">
        <v>13.920833332799999</v>
      </c>
      <c r="AB1118" s="42" t="s">
        <v>916</v>
      </c>
      <c r="AC1118" s="43" t="s">
        <v>916</v>
      </c>
      <c r="AD1118" s="43" t="s">
        <v>916</v>
      </c>
      <c r="AE1118" s="33" t="s">
        <v>916</v>
      </c>
      <c r="AF1118" s="35" t="s">
        <v>916</v>
      </c>
      <c r="AG1118" s="44">
        <v>490990.32916666672</v>
      </c>
      <c r="AH1118" s="42" t="s">
        <v>916</v>
      </c>
      <c r="AI1118" s="32" t="e">
        <f>VLOOKUP(A1118,'4月明細'!B:B,1,0)</f>
        <v>#N/A</v>
      </c>
    </row>
    <row r="1119" spans="1:35" ht="19.95" customHeight="1" x14ac:dyDescent="0.3">
      <c r="A1119" s="33" t="s">
        <v>62</v>
      </c>
      <c r="B1119" s="34">
        <v>46026.678217592591</v>
      </c>
      <c r="C1119" s="34" t="str">
        <f t="shared" si="30"/>
        <v>202601</v>
      </c>
      <c r="D1119" s="35" t="s">
        <v>986</v>
      </c>
      <c r="E1119" s="36" t="s">
        <v>910</v>
      </c>
      <c r="F1119" s="36" t="s">
        <v>1568</v>
      </c>
      <c r="G1119" s="37" t="s">
        <v>3837</v>
      </c>
      <c r="H1119" s="36" t="s">
        <v>954</v>
      </c>
      <c r="I1119" s="35"/>
      <c r="J1119" s="36" t="s">
        <v>929</v>
      </c>
      <c r="K1119" s="33" t="s">
        <v>916</v>
      </c>
      <c r="L1119" s="35" t="s">
        <v>916</v>
      </c>
      <c r="M1119" s="36" t="s">
        <v>916</v>
      </c>
      <c r="N1119" s="45">
        <v>46027.729166666664</v>
      </c>
      <c r="O1119" s="36" t="s">
        <v>25</v>
      </c>
      <c r="P1119" s="38">
        <v>1.0509490741</v>
      </c>
      <c r="Q1119" s="39" t="s">
        <v>3838</v>
      </c>
      <c r="R1119" s="35" t="s">
        <v>916</v>
      </c>
      <c r="S1119" s="35" t="s">
        <v>3839</v>
      </c>
      <c r="T1119" s="35" t="s">
        <v>1701</v>
      </c>
      <c r="U1119" s="40">
        <v>46027</v>
      </c>
      <c r="V1119" s="41">
        <v>46153.532847222225</v>
      </c>
      <c r="W1119" s="40">
        <v>46026</v>
      </c>
      <c r="X1119" s="35" t="s">
        <v>916</v>
      </c>
      <c r="Y1119" s="35" t="s">
        <v>916</v>
      </c>
      <c r="Z1119" s="35" t="s">
        <v>916</v>
      </c>
      <c r="AA1119" s="38">
        <v>25.222777778400001</v>
      </c>
      <c r="AB1119" s="42" t="s">
        <v>916</v>
      </c>
      <c r="AC1119" s="43" t="s">
        <v>916</v>
      </c>
      <c r="AD1119" s="43" t="s">
        <v>916</v>
      </c>
      <c r="AE1119" s="33" t="s">
        <v>916</v>
      </c>
      <c r="AF1119" s="35" t="s">
        <v>916</v>
      </c>
      <c r="AG1119" s="44">
        <v>490984.2772222223</v>
      </c>
      <c r="AH1119" s="42" t="s">
        <v>916</v>
      </c>
      <c r="AI1119" s="32" t="e">
        <f>VLOOKUP(A1119,'4月明細'!B:B,1,0)</f>
        <v>#N/A</v>
      </c>
    </row>
    <row r="1120" spans="1:35" ht="19.95" customHeight="1" x14ac:dyDescent="0.3">
      <c r="A1120" s="33" t="s">
        <v>61</v>
      </c>
      <c r="B1120" s="34">
        <v>46026.677361111113</v>
      </c>
      <c r="C1120" s="34" t="str">
        <f t="shared" si="30"/>
        <v>202601</v>
      </c>
      <c r="D1120" s="35" t="s">
        <v>986</v>
      </c>
      <c r="E1120" s="36" t="s">
        <v>910</v>
      </c>
      <c r="F1120" s="36" t="s">
        <v>1521</v>
      </c>
      <c r="G1120" s="37" t="s">
        <v>3840</v>
      </c>
      <c r="H1120" s="36" t="s">
        <v>954</v>
      </c>
      <c r="I1120" s="35"/>
      <c r="J1120" s="36" t="s">
        <v>929</v>
      </c>
      <c r="K1120" s="33" t="s">
        <v>916</v>
      </c>
      <c r="L1120" s="35" t="s">
        <v>916</v>
      </c>
      <c r="M1120" s="36" t="s">
        <v>916</v>
      </c>
      <c r="N1120" s="45">
        <v>46027.654861111114</v>
      </c>
      <c r="O1120" s="36" t="s">
        <v>25</v>
      </c>
      <c r="P1120" s="38">
        <v>0.97750000000000004</v>
      </c>
      <c r="Q1120" s="39" t="s">
        <v>3841</v>
      </c>
      <c r="R1120" s="35" t="s">
        <v>916</v>
      </c>
      <c r="S1120" s="35" t="s">
        <v>3842</v>
      </c>
      <c r="T1120" s="35" t="s">
        <v>1701</v>
      </c>
      <c r="U1120" s="40">
        <v>46027</v>
      </c>
      <c r="V1120" s="41">
        <v>46153.532847222225</v>
      </c>
      <c r="W1120" s="40">
        <v>46026</v>
      </c>
      <c r="X1120" s="35" t="s">
        <v>916</v>
      </c>
      <c r="Y1120" s="35" t="s">
        <v>916</v>
      </c>
      <c r="Z1120" s="35" t="s">
        <v>916</v>
      </c>
      <c r="AA1120" s="38">
        <v>23.46</v>
      </c>
      <c r="AB1120" s="42" t="s">
        <v>916</v>
      </c>
      <c r="AC1120" s="43" t="s">
        <v>916</v>
      </c>
      <c r="AD1120" s="43" t="s">
        <v>916</v>
      </c>
      <c r="AE1120" s="33" t="s">
        <v>916</v>
      </c>
      <c r="AF1120" s="35" t="s">
        <v>916</v>
      </c>
      <c r="AG1120" s="44">
        <v>490984.25666666671</v>
      </c>
      <c r="AH1120" s="42" t="s">
        <v>916</v>
      </c>
      <c r="AI1120" s="32" t="e">
        <f>VLOOKUP(A1120,'4月明細'!B:B,1,0)</f>
        <v>#N/A</v>
      </c>
    </row>
    <row r="1121" spans="1:35" ht="19.95" customHeight="1" x14ac:dyDescent="0.3">
      <c r="A1121" s="33" t="s">
        <v>60</v>
      </c>
      <c r="B1121" s="34">
        <v>46026.565289351849</v>
      </c>
      <c r="C1121" s="34" t="str">
        <f t="shared" si="30"/>
        <v>202601</v>
      </c>
      <c r="D1121" s="35" t="s">
        <v>909</v>
      </c>
      <c r="E1121" s="36" t="s">
        <v>910</v>
      </c>
      <c r="F1121" s="36" t="s">
        <v>1621</v>
      </c>
      <c r="G1121" s="37" t="s">
        <v>3843</v>
      </c>
      <c r="H1121" s="36" t="s">
        <v>1078</v>
      </c>
      <c r="I1121" s="35" t="s">
        <v>3844</v>
      </c>
      <c r="J1121" s="36" t="s">
        <v>914</v>
      </c>
      <c r="K1121" s="33" t="s">
        <v>916</v>
      </c>
      <c r="L1121" s="35" t="s">
        <v>916</v>
      </c>
      <c r="M1121" s="36" t="s">
        <v>916</v>
      </c>
      <c r="N1121" s="45">
        <v>46027.511111111111</v>
      </c>
      <c r="O1121" s="36" t="s">
        <v>25</v>
      </c>
      <c r="P1121" s="38">
        <v>0.94582175930000001</v>
      </c>
      <c r="Q1121" s="39" t="s">
        <v>3845</v>
      </c>
      <c r="R1121" s="35" t="s">
        <v>916</v>
      </c>
      <c r="S1121" s="35" t="s">
        <v>3846</v>
      </c>
      <c r="T1121" s="35" t="s">
        <v>1701</v>
      </c>
      <c r="U1121" s="40">
        <v>46027</v>
      </c>
      <c r="V1121" s="41">
        <v>46153.532847222225</v>
      </c>
      <c r="W1121" s="40">
        <v>46026</v>
      </c>
      <c r="X1121" s="35" t="s">
        <v>916</v>
      </c>
      <c r="Y1121" s="35" t="s">
        <v>916</v>
      </c>
      <c r="Z1121" s="35" t="s">
        <v>916</v>
      </c>
      <c r="AA1121" s="38">
        <v>22.699722223199998</v>
      </c>
      <c r="AB1121" s="42" t="s">
        <v>916</v>
      </c>
      <c r="AC1121" s="43" t="s">
        <v>916</v>
      </c>
      <c r="AD1121" s="43" t="s">
        <v>916</v>
      </c>
      <c r="AE1121" s="33" t="s">
        <v>916</v>
      </c>
      <c r="AF1121" s="35" t="s">
        <v>916</v>
      </c>
      <c r="AG1121" s="44">
        <v>490981.56694444438</v>
      </c>
      <c r="AH1121" s="42" t="s">
        <v>916</v>
      </c>
      <c r="AI1121" s="32" t="e">
        <f>VLOOKUP(A1121,'4月明細'!B:B,1,0)</f>
        <v>#N/A</v>
      </c>
    </row>
    <row r="1122" spans="1:35" ht="19.95" customHeight="1" x14ac:dyDescent="0.3">
      <c r="A1122" s="33" t="s">
        <v>59</v>
      </c>
      <c r="B1122" s="34">
        <v>46025.740428240744</v>
      </c>
      <c r="C1122" s="34" t="str">
        <f t="shared" si="30"/>
        <v>202601</v>
      </c>
      <c r="D1122" s="35" t="s">
        <v>951</v>
      </c>
      <c r="E1122" s="36" t="s">
        <v>910</v>
      </c>
      <c r="F1122" s="36" t="s">
        <v>2017</v>
      </c>
      <c r="G1122" s="37" t="s">
        <v>3847</v>
      </c>
      <c r="H1122" s="36" t="s">
        <v>954</v>
      </c>
      <c r="I1122" s="35" t="s">
        <v>3848</v>
      </c>
      <c r="J1122" s="36" t="s">
        <v>929</v>
      </c>
      <c r="K1122" s="33" t="s">
        <v>916</v>
      </c>
      <c r="L1122" s="35" t="s">
        <v>916</v>
      </c>
      <c r="M1122" s="36" t="s">
        <v>957</v>
      </c>
      <c r="N1122" s="45">
        <v>46027.553472222222</v>
      </c>
      <c r="O1122" s="36" t="s">
        <v>25</v>
      </c>
      <c r="P1122" s="38">
        <v>1.8130439814999999</v>
      </c>
      <c r="Q1122" s="39" t="s">
        <v>3849</v>
      </c>
      <c r="R1122" s="35" t="s">
        <v>916</v>
      </c>
      <c r="S1122" s="35"/>
      <c r="T1122" s="35" t="s">
        <v>1701</v>
      </c>
      <c r="U1122" s="40">
        <v>46026</v>
      </c>
      <c r="V1122" s="41">
        <v>46153.532847222225</v>
      </c>
      <c r="W1122" s="40">
        <v>46025</v>
      </c>
      <c r="X1122" s="35" t="s">
        <v>916</v>
      </c>
      <c r="Y1122" s="35" t="s">
        <v>916</v>
      </c>
      <c r="Z1122" s="35" t="s">
        <v>916</v>
      </c>
      <c r="AA1122" s="38">
        <v>43.513055555999998</v>
      </c>
      <c r="AB1122" s="42" t="s">
        <v>916</v>
      </c>
      <c r="AC1122" s="43" t="s">
        <v>916</v>
      </c>
      <c r="AD1122" s="43" t="s">
        <v>916</v>
      </c>
      <c r="AE1122" s="33" t="s">
        <v>916</v>
      </c>
      <c r="AF1122" s="35" t="s">
        <v>916</v>
      </c>
      <c r="AG1122" s="44">
        <v>490961.7702777778</v>
      </c>
      <c r="AH1122" s="42" t="s">
        <v>916</v>
      </c>
      <c r="AI1122" s="32" t="e">
        <f>VLOOKUP(A1122,'4月明細'!B:B,1,0)</f>
        <v>#N/A</v>
      </c>
    </row>
    <row r="1123" spans="1:35" ht="19.95" customHeight="1" x14ac:dyDescent="0.3">
      <c r="A1123" s="33" t="s">
        <v>58</v>
      </c>
      <c r="B1123" s="34">
        <v>46025.738622685189</v>
      </c>
      <c r="C1123" s="34" t="str">
        <f t="shared" si="30"/>
        <v>202601</v>
      </c>
      <c r="D1123" s="35" t="s">
        <v>951</v>
      </c>
      <c r="E1123" s="36" t="s">
        <v>910</v>
      </c>
      <c r="F1123" s="36" t="s">
        <v>2017</v>
      </c>
      <c r="G1123" s="37" t="s">
        <v>3850</v>
      </c>
      <c r="H1123" s="36" t="s">
        <v>954</v>
      </c>
      <c r="I1123" s="35"/>
      <c r="J1123" s="36" t="s">
        <v>929</v>
      </c>
      <c r="K1123" s="33" t="s">
        <v>916</v>
      </c>
      <c r="L1123" s="35" t="s">
        <v>916</v>
      </c>
      <c r="M1123" s="36" t="s">
        <v>957</v>
      </c>
      <c r="N1123" s="45">
        <v>46027.553472222222</v>
      </c>
      <c r="O1123" s="36" t="s">
        <v>25</v>
      </c>
      <c r="P1123" s="38">
        <v>1.814849537</v>
      </c>
      <c r="Q1123" s="39" t="s">
        <v>3849</v>
      </c>
      <c r="R1123" s="35" t="s">
        <v>916</v>
      </c>
      <c r="S1123" s="35"/>
      <c r="T1123" s="35" t="s">
        <v>1701</v>
      </c>
      <c r="U1123" s="40">
        <v>46026</v>
      </c>
      <c r="V1123" s="41">
        <v>46153.532847222225</v>
      </c>
      <c r="W1123" s="40">
        <v>46025</v>
      </c>
      <c r="X1123" s="35" t="s">
        <v>916</v>
      </c>
      <c r="Y1123" s="35" t="s">
        <v>916</v>
      </c>
      <c r="Z1123" s="35" t="s">
        <v>916</v>
      </c>
      <c r="AA1123" s="38">
        <v>43.556388888000001</v>
      </c>
      <c r="AB1123" s="42" t="s">
        <v>916</v>
      </c>
      <c r="AC1123" s="43" t="s">
        <v>916</v>
      </c>
      <c r="AD1123" s="43" t="s">
        <v>916</v>
      </c>
      <c r="AE1123" s="33" t="s">
        <v>916</v>
      </c>
      <c r="AF1123" s="35" t="s">
        <v>916</v>
      </c>
      <c r="AG1123" s="44">
        <v>490961.72694444453</v>
      </c>
      <c r="AH1123" s="42" t="s">
        <v>916</v>
      </c>
      <c r="AI1123" s="32" t="e">
        <f>VLOOKUP(A1123,'4月明細'!B:B,1,0)</f>
        <v>#N/A</v>
      </c>
    </row>
    <row r="1124" spans="1:35" ht="19.95" customHeight="1" x14ac:dyDescent="0.3">
      <c r="A1124" s="33" t="s">
        <v>57</v>
      </c>
      <c r="B1124" s="34">
        <v>46025.731550925928</v>
      </c>
      <c r="C1124" s="34" t="str">
        <f t="shared" si="30"/>
        <v>202601</v>
      </c>
      <c r="D1124" s="35" t="s">
        <v>951</v>
      </c>
      <c r="E1124" s="36" t="s">
        <v>910</v>
      </c>
      <c r="F1124" s="36" t="s">
        <v>2017</v>
      </c>
      <c r="G1124" s="37" t="s">
        <v>3851</v>
      </c>
      <c r="H1124" s="36" t="s">
        <v>954</v>
      </c>
      <c r="I1124" s="35" t="s">
        <v>3848</v>
      </c>
      <c r="J1124" s="36" t="s">
        <v>929</v>
      </c>
      <c r="K1124" s="33" t="s">
        <v>916</v>
      </c>
      <c r="L1124" s="35" t="s">
        <v>916</v>
      </c>
      <c r="M1124" s="36" t="s">
        <v>957</v>
      </c>
      <c r="N1124" s="45">
        <v>46027.553472222222</v>
      </c>
      <c r="O1124" s="36" t="s">
        <v>25</v>
      </c>
      <c r="P1124" s="38">
        <v>1.8219212963</v>
      </c>
      <c r="Q1124" s="39" t="s">
        <v>3849</v>
      </c>
      <c r="R1124" s="35" t="s">
        <v>916</v>
      </c>
      <c r="S1124" s="35"/>
      <c r="T1124" s="35" t="s">
        <v>1701</v>
      </c>
      <c r="U1124" s="40">
        <v>46026</v>
      </c>
      <c r="V1124" s="41">
        <v>46153.532847222225</v>
      </c>
      <c r="W1124" s="40">
        <v>46025</v>
      </c>
      <c r="X1124" s="35" t="s">
        <v>916</v>
      </c>
      <c r="Y1124" s="35" t="s">
        <v>916</v>
      </c>
      <c r="Z1124" s="35" t="s">
        <v>916</v>
      </c>
      <c r="AA1124" s="38">
        <v>43.726111111199998</v>
      </c>
      <c r="AB1124" s="42" t="s">
        <v>916</v>
      </c>
      <c r="AC1124" s="43" t="s">
        <v>916</v>
      </c>
      <c r="AD1124" s="43" t="s">
        <v>916</v>
      </c>
      <c r="AE1124" s="33" t="s">
        <v>916</v>
      </c>
      <c r="AF1124" s="35" t="s">
        <v>916</v>
      </c>
      <c r="AG1124" s="44">
        <v>490961.55722222221</v>
      </c>
      <c r="AH1124" s="42" t="s">
        <v>916</v>
      </c>
      <c r="AI1124" s="32" t="e">
        <f>VLOOKUP(A1124,'4月明細'!B:B,1,0)</f>
        <v>#N/A</v>
      </c>
    </row>
    <row r="1125" spans="1:35" ht="19.95" customHeight="1" x14ac:dyDescent="0.3">
      <c r="A1125" s="33" t="s">
        <v>56</v>
      </c>
      <c r="B1125" s="34">
        <v>46025.720046296294</v>
      </c>
      <c r="C1125" s="34" t="str">
        <f t="shared" si="30"/>
        <v>202601</v>
      </c>
      <c r="D1125" s="35" t="s">
        <v>2278</v>
      </c>
      <c r="E1125" s="36" t="s">
        <v>910</v>
      </c>
      <c r="F1125" s="36" t="s">
        <v>997</v>
      </c>
      <c r="G1125" s="37" t="s">
        <v>3852</v>
      </c>
      <c r="H1125" s="36" t="s">
        <v>913</v>
      </c>
      <c r="I1125" s="35" t="s">
        <v>1362</v>
      </c>
      <c r="J1125" s="36" t="s">
        <v>929</v>
      </c>
      <c r="K1125" s="33" t="s">
        <v>916</v>
      </c>
      <c r="L1125" s="35" t="s">
        <v>916</v>
      </c>
      <c r="M1125" s="36" t="s">
        <v>916</v>
      </c>
      <c r="N1125" s="45">
        <v>46027.515972222223</v>
      </c>
      <c r="O1125" s="36" t="s">
        <v>25</v>
      </c>
      <c r="P1125" s="38">
        <v>1.7959259259</v>
      </c>
      <c r="Q1125" s="39" t="s">
        <v>3853</v>
      </c>
      <c r="R1125" s="35" t="s">
        <v>916</v>
      </c>
      <c r="S1125" s="35" t="s">
        <v>3854</v>
      </c>
      <c r="T1125" s="35" t="s">
        <v>1701</v>
      </c>
      <c r="U1125" s="40">
        <v>46026</v>
      </c>
      <c r="V1125" s="41">
        <v>46153.532847222225</v>
      </c>
      <c r="W1125" s="40">
        <v>46025</v>
      </c>
      <c r="X1125" s="35" t="s">
        <v>916</v>
      </c>
      <c r="Y1125" s="35" t="s">
        <v>916</v>
      </c>
      <c r="Z1125" s="35" t="s">
        <v>916</v>
      </c>
      <c r="AA1125" s="38">
        <v>43.102222221600002</v>
      </c>
      <c r="AB1125" s="42" t="s">
        <v>916</v>
      </c>
      <c r="AC1125" s="43" t="s">
        <v>916</v>
      </c>
      <c r="AD1125" s="43" t="s">
        <v>916</v>
      </c>
      <c r="AE1125" s="33" t="s">
        <v>916</v>
      </c>
      <c r="AF1125" s="35" t="s">
        <v>916</v>
      </c>
      <c r="AG1125" s="44">
        <v>490961.28111111122</v>
      </c>
      <c r="AH1125" s="42" t="s">
        <v>916</v>
      </c>
      <c r="AI1125" s="32" t="e">
        <f>VLOOKUP(A1125,'4月明細'!B:B,1,0)</f>
        <v>#N/A</v>
      </c>
    </row>
    <row r="1126" spans="1:35" ht="19.95" customHeight="1" x14ac:dyDescent="0.3">
      <c r="A1126" s="33" t="s">
        <v>55</v>
      </c>
      <c r="B1126" s="34">
        <v>46025.703356481485</v>
      </c>
      <c r="C1126" s="34" t="str">
        <f t="shared" si="30"/>
        <v>202601</v>
      </c>
      <c r="D1126" s="35" t="s">
        <v>2278</v>
      </c>
      <c r="E1126" s="36" t="s">
        <v>910</v>
      </c>
      <c r="F1126" s="36" t="s">
        <v>1479</v>
      </c>
      <c r="G1126" s="37" t="s">
        <v>3701</v>
      </c>
      <c r="H1126" s="36" t="s">
        <v>954</v>
      </c>
      <c r="I1126" s="35" t="s">
        <v>3855</v>
      </c>
      <c r="J1126" s="36" t="s">
        <v>929</v>
      </c>
      <c r="K1126" s="33" t="s">
        <v>916</v>
      </c>
      <c r="L1126" s="35" t="s">
        <v>916</v>
      </c>
      <c r="M1126" s="36" t="s">
        <v>957</v>
      </c>
      <c r="N1126" s="45">
        <v>46027.543749999997</v>
      </c>
      <c r="O1126" s="36" t="s">
        <v>25</v>
      </c>
      <c r="P1126" s="38">
        <v>1.8403935185</v>
      </c>
      <c r="Q1126" s="39" t="s">
        <v>3856</v>
      </c>
      <c r="R1126" s="35" t="s">
        <v>916</v>
      </c>
      <c r="S1126" s="35" t="s">
        <v>3857</v>
      </c>
      <c r="T1126" s="35" t="s">
        <v>1701</v>
      </c>
      <c r="U1126" s="40">
        <v>46026</v>
      </c>
      <c r="V1126" s="41">
        <v>46153.532847222225</v>
      </c>
      <c r="W1126" s="40">
        <v>46025</v>
      </c>
      <c r="X1126" s="35" t="s">
        <v>916</v>
      </c>
      <c r="Y1126" s="35" t="s">
        <v>916</v>
      </c>
      <c r="Z1126" s="35" t="s">
        <v>916</v>
      </c>
      <c r="AA1126" s="38">
        <v>44.169444444</v>
      </c>
      <c r="AB1126" s="42" t="s">
        <v>916</v>
      </c>
      <c r="AC1126" s="43" t="s">
        <v>916</v>
      </c>
      <c r="AD1126" s="43" t="s">
        <v>916</v>
      </c>
      <c r="AE1126" s="33" t="s">
        <v>916</v>
      </c>
      <c r="AF1126" s="35" t="s">
        <v>916</v>
      </c>
      <c r="AG1126" s="44">
        <v>490960.88055555557</v>
      </c>
      <c r="AH1126" s="42" t="s">
        <v>916</v>
      </c>
      <c r="AI1126" s="32" t="e">
        <f>VLOOKUP(A1126,'4月明細'!B:B,1,0)</f>
        <v>#N/A</v>
      </c>
    </row>
    <row r="1127" spans="1:35" ht="19.95" customHeight="1" x14ac:dyDescent="0.3">
      <c r="A1127" s="33" t="s">
        <v>54</v>
      </c>
      <c r="B1127" s="34">
        <v>46025.690659722219</v>
      </c>
      <c r="C1127" s="34" t="str">
        <f t="shared" si="30"/>
        <v>202601</v>
      </c>
      <c r="D1127" s="35" t="s">
        <v>2278</v>
      </c>
      <c r="E1127" s="36" t="s">
        <v>910</v>
      </c>
      <c r="F1127" s="36" t="s">
        <v>1335</v>
      </c>
      <c r="G1127" s="37" t="s">
        <v>3858</v>
      </c>
      <c r="H1127" s="36" t="s">
        <v>954</v>
      </c>
      <c r="I1127" s="35" t="s">
        <v>3859</v>
      </c>
      <c r="J1127" s="36" t="s">
        <v>929</v>
      </c>
      <c r="K1127" s="33" t="s">
        <v>916</v>
      </c>
      <c r="L1127" s="35" t="s">
        <v>916</v>
      </c>
      <c r="M1127" s="36" t="s">
        <v>957</v>
      </c>
      <c r="N1127" s="45">
        <v>46027.548611111109</v>
      </c>
      <c r="O1127" s="36" t="s">
        <v>25</v>
      </c>
      <c r="P1127" s="38">
        <v>1.8579513888999999</v>
      </c>
      <c r="Q1127" s="39" t="s">
        <v>3860</v>
      </c>
      <c r="R1127" s="35" t="s">
        <v>916</v>
      </c>
      <c r="S1127" s="35" t="s">
        <v>3861</v>
      </c>
      <c r="T1127" s="35" t="s">
        <v>1701</v>
      </c>
      <c r="U1127" s="40">
        <v>46026</v>
      </c>
      <c r="V1127" s="41">
        <v>46153.532847222225</v>
      </c>
      <c r="W1127" s="40">
        <v>46025</v>
      </c>
      <c r="X1127" s="35" t="s">
        <v>916</v>
      </c>
      <c r="Y1127" s="35" t="s">
        <v>916</v>
      </c>
      <c r="Z1127" s="35" t="s">
        <v>916</v>
      </c>
      <c r="AA1127" s="38">
        <v>44.590833333600003</v>
      </c>
      <c r="AB1127" s="42" t="s">
        <v>916</v>
      </c>
      <c r="AC1127" s="43" t="s">
        <v>916</v>
      </c>
      <c r="AD1127" s="43" t="s">
        <v>916</v>
      </c>
      <c r="AE1127" s="33" t="s">
        <v>916</v>
      </c>
      <c r="AF1127" s="35" t="s">
        <v>916</v>
      </c>
      <c r="AG1127" s="44">
        <v>490960.57583333331</v>
      </c>
      <c r="AH1127" s="42" t="s">
        <v>916</v>
      </c>
      <c r="AI1127" s="32" t="e">
        <f>VLOOKUP(A1127,'4月明細'!B:B,1,0)</f>
        <v>#N/A</v>
      </c>
    </row>
    <row r="1128" spans="1:35" ht="19.95" customHeight="1" x14ac:dyDescent="0.3">
      <c r="A1128" s="33" t="s">
        <v>53</v>
      </c>
      <c r="B1128" s="34">
        <v>46025.66642361111</v>
      </c>
      <c r="C1128" s="34" t="str">
        <f t="shared" si="30"/>
        <v>202601</v>
      </c>
      <c r="D1128" s="35" t="s">
        <v>951</v>
      </c>
      <c r="E1128" s="36" t="s">
        <v>910</v>
      </c>
      <c r="F1128" s="36" t="s">
        <v>1060</v>
      </c>
      <c r="G1128" s="37" t="s">
        <v>3862</v>
      </c>
      <c r="H1128" s="36" t="s">
        <v>928</v>
      </c>
      <c r="I1128" s="35" t="s">
        <v>3863</v>
      </c>
      <c r="J1128" s="36" t="s">
        <v>929</v>
      </c>
      <c r="K1128" s="33" t="s">
        <v>916</v>
      </c>
      <c r="L1128" s="35" t="s">
        <v>916</v>
      </c>
      <c r="M1128" s="36" t="s">
        <v>957</v>
      </c>
      <c r="N1128" s="45">
        <v>46027.541666666664</v>
      </c>
      <c r="O1128" s="36" t="s">
        <v>25</v>
      </c>
      <c r="P1128" s="38">
        <v>1.8752430555999999</v>
      </c>
      <c r="Q1128" s="39" t="s">
        <v>3864</v>
      </c>
      <c r="R1128" s="35" t="s">
        <v>916</v>
      </c>
      <c r="S1128" s="35" t="s">
        <v>3865</v>
      </c>
      <c r="T1128" s="35" t="s">
        <v>1701</v>
      </c>
      <c r="U1128" s="40">
        <v>46026</v>
      </c>
      <c r="V1128" s="41">
        <v>46153.532847222225</v>
      </c>
      <c r="W1128" s="40">
        <v>46025</v>
      </c>
      <c r="X1128" s="35" t="s">
        <v>916</v>
      </c>
      <c r="Y1128" s="35" t="s">
        <v>916</v>
      </c>
      <c r="Z1128" s="35" t="s">
        <v>916</v>
      </c>
      <c r="AA1128" s="38">
        <v>45.005833334400002</v>
      </c>
      <c r="AB1128" s="42" t="s">
        <v>916</v>
      </c>
      <c r="AC1128" s="43" t="s">
        <v>916</v>
      </c>
      <c r="AD1128" s="43" t="s">
        <v>916</v>
      </c>
      <c r="AE1128" s="33" t="s">
        <v>916</v>
      </c>
      <c r="AF1128" s="35" t="s">
        <v>916</v>
      </c>
      <c r="AG1128" s="44">
        <v>490959.99416666682</v>
      </c>
      <c r="AH1128" s="42" t="s">
        <v>916</v>
      </c>
      <c r="AI1128" s="32" t="e">
        <f>VLOOKUP(A1128,'4月明細'!B:B,1,0)</f>
        <v>#N/A</v>
      </c>
    </row>
    <row r="1129" spans="1:35" ht="19.95" customHeight="1" x14ac:dyDescent="0.3">
      <c r="A1129" s="33" t="s">
        <v>52</v>
      </c>
      <c r="B1129" s="34">
        <v>46025.62771990741</v>
      </c>
      <c r="C1129" s="34" t="str">
        <f t="shared" si="30"/>
        <v>202601</v>
      </c>
      <c r="D1129" s="35" t="s">
        <v>2278</v>
      </c>
      <c r="E1129" s="36" t="s">
        <v>910</v>
      </c>
      <c r="F1129" s="36" t="s">
        <v>1093</v>
      </c>
      <c r="G1129" s="37" t="s">
        <v>3866</v>
      </c>
      <c r="H1129" s="36" t="s">
        <v>928</v>
      </c>
      <c r="I1129" s="35"/>
      <c r="J1129" s="36" t="s">
        <v>929</v>
      </c>
      <c r="K1129" s="33" t="s">
        <v>916</v>
      </c>
      <c r="L1129" s="35" t="s">
        <v>916</v>
      </c>
      <c r="M1129" s="36" t="s">
        <v>916</v>
      </c>
      <c r="N1129" s="45">
        <v>46027.551388888889</v>
      </c>
      <c r="O1129" s="36" t="s">
        <v>25</v>
      </c>
      <c r="P1129" s="38">
        <v>1.9236689815000001</v>
      </c>
      <c r="Q1129" s="39" t="s">
        <v>3867</v>
      </c>
      <c r="R1129" s="35" t="s">
        <v>916</v>
      </c>
      <c r="S1129" s="35"/>
      <c r="T1129" s="35" t="s">
        <v>1701</v>
      </c>
      <c r="U1129" s="40">
        <v>46026</v>
      </c>
      <c r="V1129" s="41">
        <v>46153.532847222225</v>
      </c>
      <c r="W1129" s="40">
        <v>46025</v>
      </c>
      <c r="X1129" s="35" t="s">
        <v>916</v>
      </c>
      <c r="Y1129" s="35" t="s">
        <v>916</v>
      </c>
      <c r="Z1129" s="35" t="s">
        <v>916</v>
      </c>
      <c r="AA1129" s="38">
        <v>46.168055555999999</v>
      </c>
      <c r="AB1129" s="42" t="s">
        <v>916</v>
      </c>
      <c r="AC1129" s="43" t="s">
        <v>916</v>
      </c>
      <c r="AD1129" s="43" t="s">
        <v>916</v>
      </c>
      <c r="AE1129" s="33" t="s">
        <v>916</v>
      </c>
      <c r="AF1129" s="35" t="s">
        <v>916</v>
      </c>
      <c r="AG1129" s="44">
        <v>490959.06527777773</v>
      </c>
      <c r="AH1129" s="42" t="s">
        <v>916</v>
      </c>
      <c r="AI1129" s="32" t="e">
        <f>VLOOKUP(A1129,'4月明細'!B:B,1,0)</f>
        <v>#N/A</v>
      </c>
    </row>
    <row r="1130" spans="1:35" ht="19.95" customHeight="1" x14ac:dyDescent="0.3">
      <c r="A1130" s="33" t="s">
        <v>51</v>
      </c>
      <c r="B1130" s="34">
        <v>46025.612916666665</v>
      </c>
      <c r="C1130" s="34" t="str">
        <f t="shared" si="30"/>
        <v>202601</v>
      </c>
      <c r="D1130" s="35" t="s">
        <v>3868</v>
      </c>
      <c r="E1130" s="36" t="s">
        <v>910</v>
      </c>
      <c r="F1130" s="36" t="s">
        <v>964</v>
      </c>
      <c r="G1130" s="37" t="s">
        <v>3869</v>
      </c>
      <c r="H1130" s="36" t="s">
        <v>1023</v>
      </c>
      <c r="I1130" s="35" t="s">
        <v>3870</v>
      </c>
      <c r="J1130" s="36" t="s">
        <v>945</v>
      </c>
      <c r="K1130" s="33" t="s">
        <v>916</v>
      </c>
      <c r="L1130" s="35" t="s">
        <v>916</v>
      </c>
      <c r="M1130" s="36" t="s">
        <v>957</v>
      </c>
      <c r="N1130" s="45">
        <v>46027.552083333336</v>
      </c>
      <c r="O1130" s="36" t="s">
        <v>25</v>
      </c>
      <c r="P1130" s="38">
        <v>1.9391666667</v>
      </c>
      <c r="Q1130" s="39" t="s">
        <v>3871</v>
      </c>
      <c r="R1130" s="35" t="s">
        <v>916</v>
      </c>
      <c r="S1130" s="35" t="s">
        <v>3872</v>
      </c>
      <c r="T1130" s="35" t="s">
        <v>1701</v>
      </c>
      <c r="U1130" s="40">
        <v>46026</v>
      </c>
      <c r="V1130" s="41">
        <v>46153.532847222225</v>
      </c>
      <c r="W1130" s="40">
        <v>46025</v>
      </c>
      <c r="X1130" s="35" t="s">
        <v>916</v>
      </c>
      <c r="Y1130" s="35" t="s">
        <v>916</v>
      </c>
      <c r="Z1130" s="35" t="s">
        <v>916</v>
      </c>
      <c r="AA1130" s="38">
        <v>46.540000000799999</v>
      </c>
      <c r="AB1130" s="42" t="s">
        <v>916</v>
      </c>
      <c r="AC1130" s="43" t="s">
        <v>916</v>
      </c>
      <c r="AD1130" s="43" t="s">
        <v>916</v>
      </c>
      <c r="AE1130" s="33" t="s">
        <v>916</v>
      </c>
      <c r="AF1130" s="35" t="s">
        <v>916</v>
      </c>
      <c r="AG1130" s="44">
        <v>490958.71000000008</v>
      </c>
      <c r="AH1130" s="42" t="s">
        <v>916</v>
      </c>
      <c r="AI1130" s="32" t="e">
        <f>VLOOKUP(A1130,'4月明細'!B:B,1,0)</f>
        <v>#N/A</v>
      </c>
    </row>
    <row r="1131" spans="1:35" ht="19.95" customHeight="1" x14ac:dyDescent="0.3">
      <c r="A1131" s="33" t="s">
        <v>50</v>
      </c>
      <c r="B1131" s="34">
        <v>46025.611168981479</v>
      </c>
      <c r="C1131" s="34" t="str">
        <f t="shared" si="30"/>
        <v>202601</v>
      </c>
      <c r="D1131" s="35" t="s">
        <v>2278</v>
      </c>
      <c r="E1131" s="36" t="s">
        <v>910</v>
      </c>
      <c r="F1131" s="36" t="s">
        <v>1475</v>
      </c>
      <c r="G1131" s="37" t="s">
        <v>1096</v>
      </c>
      <c r="H1131" s="36" t="s">
        <v>928</v>
      </c>
      <c r="I1131" s="35"/>
      <c r="J1131" s="36" t="s">
        <v>929</v>
      </c>
      <c r="K1131" s="33" t="s">
        <v>916</v>
      </c>
      <c r="L1131" s="35" t="s">
        <v>916</v>
      </c>
      <c r="M1131" s="36" t="s">
        <v>916</v>
      </c>
      <c r="N1131" s="45">
        <v>46027.551388888889</v>
      </c>
      <c r="O1131" s="36" t="s">
        <v>25</v>
      </c>
      <c r="P1131" s="38">
        <v>1.9402199073999999</v>
      </c>
      <c r="Q1131" s="39" t="s">
        <v>3873</v>
      </c>
      <c r="R1131" s="35" t="s">
        <v>916</v>
      </c>
      <c r="S1131" s="35"/>
      <c r="T1131" s="35" t="s">
        <v>1701</v>
      </c>
      <c r="U1131" s="40">
        <v>46026</v>
      </c>
      <c r="V1131" s="41">
        <v>46153.532847222225</v>
      </c>
      <c r="W1131" s="40">
        <v>46025</v>
      </c>
      <c r="X1131" s="35" t="s">
        <v>916</v>
      </c>
      <c r="Y1131" s="35" t="s">
        <v>916</v>
      </c>
      <c r="Z1131" s="35" t="s">
        <v>916</v>
      </c>
      <c r="AA1131" s="38">
        <v>46.565277777600002</v>
      </c>
      <c r="AB1131" s="42" t="s">
        <v>916</v>
      </c>
      <c r="AC1131" s="43" t="s">
        <v>916</v>
      </c>
      <c r="AD1131" s="43" t="s">
        <v>916</v>
      </c>
      <c r="AE1131" s="33" t="s">
        <v>916</v>
      </c>
      <c r="AF1131" s="35" t="s">
        <v>916</v>
      </c>
      <c r="AG1131" s="44">
        <v>490958.66805555561</v>
      </c>
      <c r="AH1131" s="42" t="s">
        <v>916</v>
      </c>
      <c r="AI1131" s="32" t="e">
        <f>VLOOKUP(A1131,'4月明細'!B:B,1,0)</f>
        <v>#N/A</v>
      </c>
    </row>
    <row r="1132" spans="1:35" ht="19.95" customHeight="1" x14ac:dyDescent="0.3">
      <c r="A1132" s="33" t="s">
        <v>3874</v>
      </c>
      <c r="B1132" s="34">
        <v>46025.608078703706</v>
      </c>
      <c r="C1132" s="34" t="str">
        <f t="shared" si="30"/>
        <v>202601</v>
      </c>
      <c r="D1132" s="35" t="s">
        <v>3875</v>
      </c>
      <c r="E1132" s="36" t="s">
        <v>1112</v>
      </c>
      <c r="F1132" s="36" t="s">
        <v>1423</v>
      </c>
      <c r="G1132" s="37" t="s">
        <v>3876</v>
      </c>
      <c r="H1132" s="36" t="s">
        <v>928</v>
      </c>
      <c r="I1132" s="35" t="s">
        <v>3877</v>
      </c>
      <c r="J1132" s="36" t="s">
        <v>938</v>
      </c>
      <c r="K1132" s="33" t="s">
        <v>916</v>
      </c>
      <c r="L1132" s="35" t="s">
        <v>916</v>
      </c>
      <c r="M1132" s="36" t="s">
        <v>1135</v>
      </c>
      <c r="N1132" s="45">
        <v>46027.60833333333</v>
      </c>
      <c r="O1132" s="36" t="s">
        <v>1384</v>
      </c>
      <c r="P1132" s="38">
        <v>2.0002546296000001</v>
      </c>
      <c r="Q1132" s="39" t="s">
        <v>3878</v>
      </c>
      <c r="R1132" s="35" t="s">
        <v>916</v>
      </c>
      <c r="S1132" s="35"/>
      <c r="T1132" s="35" t="s">
        <v>1624</v>
      </c>
      <c r="U1132" s="40">
        <v>46026</v>
      </c>
      <c r="V1132" s="41">
        <v>46153.532847222225</v>
      </c>
      <c r="W1132" s="40">
        <v>46025</v>
      </c>
      <c r="X1132" s="35" t="s">
        <v>916</v>
      </c>
      <c r="Y1132" s="35" t="s">
        <v>916</v>
      </c>
      <c r="Z1132" s="35" t="s">
        <v>916</v>
      </c>
      <c r="AA1132" s="38">
        <v>48.006111110399999</v>
      </c>
      <c r="AB1132" s="42" t="s">
        <v>916</v>
      </c>
      <c r="AC1132" s="43" t="s">
        <v>916</v>
      </c>
      <c r="AD1132" s="43" t="s">
        <v>916</v>
      </c>
      <c r="AE1132" s="33" t="s">
        <v>916</v>
      </c>
      <c r="AF1132" s="35" t="s">
        <v>916</v>
      </c>
      <c r="AG1132" s="44">
        <v>490958.59388888878</v>
      </c>
      <c r="AH1132" s="42" t="s">
        <v>916</v>
      </c>
      <c r="AI1132" s="32" t="e">
        <f>VLOOKUP(A1132,'4月明細'!B:B,1,0)</f>
        <v>#N/A</v>
      </c>
    </row>
    <row r="1133" spans="1:35" ht="19.95" customHeight="1" x14ac:dyDescent="0.3">
      <c r="A1133" s="33" t="s">
        <v>49</v>
      </c>
      <c r="B1133" s="34">
        <v>46025.60732638889</v>
      </c>
      <c r="C1133" s="34" t="str">
        <f t="shared" si="30"/>
        <v>202601</v>
      </c>
      <c r="D1133" s="35" t="s">
        <v>941</v>
      </c>
      <c r="E1133" s="36" t="s">
        <v>942</v>
      </c>
      <c r="F1133" s="36" t="s">
        <v>987</v>
      </c>
      <c r="G1133" s="37" t="s">
        <v>3879</v>
      </c>
      <c r="H1133" s="36" t="s">
        <v>954</v>
      </c>
      <c r="I1133" s="35"/>
      <c r="J1133" s="36" t="s">
        <v>914</v>
      </c>
      <c r="K1133" s="33" t="s">
        <v>916</v>
      </c>
      <c r="L1133" s="35" t="s">
        <v>916</v>
      </c>
      <c r="M1133" s="36" t="s">
        <v>916</v>
      </c>
      <c r="N1133" s="45">
        <v>46027.537499999999</v>
      </c>
      <c r="O1133" s="36" t="s">
        <v>25</v>
      </c>
      <c r="P1133" s="38">
        <v>1.9301736111000001</v>
      </c>
      <c r="Q1133" s="39" t="s">
        <v>3880</v>
      </c>
      <c r="R1133" s="35" t="s">
        <v>916</v>
      </c>
      <c r="S1133" s="35" t="s">
        <v>3881</v>
      </c>
      <c r="T1133" s="35" t="s">
        <v>1701</v>
      </c>
      <c r="U1133" s="40">
        <v>46026</v>
      </c>
      <c r="V1133" s="41">
        <v>46153.532847222225</v>
      </c>
      <c r="W1133" s="40">
        <v>46025</v>
      </c>
      <c r="X1133" s="35" t="s">
        <v>916</v>
      </c>
      <c r="Y1133" s="35" t="s">
        <v>916</v>
      </c>
      <c r="Z1133" s="35" t="s">
        <v>916</v>
      </c>
      <c r="AA1133" s="38">
        <v>46.324166666399996</v>
      </c>
      <c r="AB1133" s="42" t="s">
        <v>916</v>
      </c>
      <c r="AC1133" s="43" t="s">
        <v>916</v>
      </c>
      <c r="AD1133" s="43" t="s">
        <v>916</v>
      </c>
      <c r="AE1133" s="33" t="s">
        <v>916</v>
      </c>
      <c r="AF1133" s="35" t="s">
        <v>916</v>
      </c>
      <c r="AG1133" s="44">
        <v>490958.57583333342</v>
      </c>
      <c r="AH1133" s="42" t="s">
        <v>916</v>
      </c>
      <c r="AI1133" s="32" t="e">
        <f>VLOOKUP(A1133,'4月明細'!B:B,1,0)</f>
        <v>#N/A</v>
      </c>
    </row>
    <row r="1134" spans="1:35" ht="19.95" customHeight="1" x14ac:dyDescent="0.3">
      <c r="A1134" s="33" t="s">
        <v>44</v>
      </c>
      <c r="B1134" s="34">
        <v>46025.492997685185</v>
      </c>
      <c r="C1134" s="34" t="str">
        <f t="shared" si="30"/>
        <v>202601</v>
      </c>
      <c r="D1134" s="35" t="s">
        <v>3875</v>
      </c>
      <c r="E1134" s="36" t="s">
        <v>1112</v>
      </c>
      <c r="F1134" s="36" t="s">
        <v>1193</v>
      </c>
      <c r="G1134" s="37" t="s">
        <v>3882</v>
      </c>
      <c r="H1134" s="36" t="s">
        <v>1023</v>
      </c>
      <c r="I1134" s="35" t="s">
        <v>3883</v>
      </c>
      <c r="J1134" s="36" t="s">
        <v>938</v>
      </c>
      <c r="K1134" s="33" t="s">
        <v>916</v>
      </c>
      <c r="L1134" s="35" t="s">
        <v>916</v>
      </c>
      <c r="M1134" s="36" t="s">
        <v>957</v>
      </c>
      <c r="N1134" s="45">
        <v>46027.512499999997</v>
      </c>
      <c r="O1134" s="36" t="s">
        <v>25</v>
      </c>
      <c r="P1134" s="38">
        <v>2.0195023148</v>
      </c>
      <c r="Q1134" s="39" t="s">
        <v>3884</v>
      </c>
      <c r="R1134" s="35" t="s">
        <v>916</v>
      </c>
      <c r="S1134" s="35" t="s">
        <v>3885</v>
      </c>
      <c r="T1134" s="35" t="s">
        <v>1701</v>
      </c>
      <c r="U1134" s="40">
        <v>46026</v>
      </c>
      <c r="V1134" s="41">
        <v>46153.532847222225</v>
      </c>
      <c r="W1134" s="40">
        <v>46025</v>
      </c>
      <c r="X1134" s="35" t="s">
        <v>916</v>
      </c>
      <c r="Y1134" s="35" t="s">
        <v>916</v>
      </c>
      <c r="Z1134" s="35" t="s">
        <v>916</v>
      </c>
      <c r="AA1134" s="38">
        <v>48.468055555200003</v>
      </c>
      <c r="AB1134" s="42" t="s">
        <v>916</v>
      </c>
      <c r="AC1134" s="43" t="s">
        <v>916</v>
      </c>
      <c r="AD1134" s="43" t="s">
        <v>916</v>
      </c>
      <c r="AE1134" s="33" t="s">
        <v>916</v>
      </c>
      <c r="AF1134" s="35" t="s">
        <v>916</v>
      </c>
      <c r="AG1134" s="44">
        <v>490955.83194444439</v>
      </c>
      <c r="AH1134" s="42" t="s">
        <v>916</v>
      </c>
      <c r="AI1134" s="32" t="e">
        <f>VLOOKUP(A1134,'4月明細'!B:B,1,0)</f>
        <v>#N/A</v>
      </c>
    </row>
    <row r="1135" spans="1:35" ht="19.95" customHeight="1" x14ac:dyDescent="0.3">
      <c r="A1135" s="33" t="s">
        <v>48</v>
      </c>
      <c r="B1135" s="34">
        <v>46025.549699074072</v>
      </c>
      <c r="C1135" s="34" t="str">
        <f t="shared" si="30"/>
        <v>202601</v>
      </c>
      <c r="D1135" s="35" t="s">
        <v>2278</v>
      </c>
      <c r="E1135" s="36" t="s">
        <v>910</v>
      </c>
      <c r="F1135" s="36" t="s">
        <v>1479</v>
      </c>
      <c r="G1135" s="37" t="s">
        <v>3886</v>
      </c>
      <c r="H1135" s="36" t="s">
        <v>1114</v>
      </c>
      <c r="I1135" s="35"/>
      <c r="J1135" s="36" t="s">
        <v>929</v>
      </c>
      <c r="K1135" s="33" t="s">
        <v>916</v>
      </c>
      <c r="L1135" s="35" t="s">
        <v>916</v>
      </c>
      <c r="M1135" s="36" t="s">
        <v>916</v>
      </c>
      <c r="N1135" s="45">
        <v>46035.545138888891</v>
      </c>
      <c r="O1135" s="36" t="s">
        <v>25</v>
      </c>
      <c r="P1135" s="38">
        <v>9.9954398147999992</v>
      </c>
      <c r="Q1135" s="39" t="s">
        <v>3887</v>
      </c>
      <c r="R1135" s="35" t="s">
        <v>916</v>
      </c>
      <c r="S1135" s="35" t="s">
        <v>3888</v>
      </c>
      <c r="T1135" s="35" t="s">
        <v>1701</v>
      </c>
      <c r="U1135" s="40">
        <v>46026</v>
      </c>
      <c r="V1135" s="41">
        <v>46153.532847222225</v>
      </c>
      <c r="W1135" s="40">
        <v>46025</v>
      </c>
      <c r="X1135" s="35" t="s">
        <v>916</v>
      </c>
      <c r="Y1135" s="35" t="s">
        <v>916</v>
      </c>
      <c r="Z1135" s="35" t="s">
        <v>916</v>
      </c>
      <c r="AA1135" s="38">
        <v>239.8905555552</v>
      </c>
      <c r="AB1135" s="42" t="s">
        <v>916</v>
      </c>
      <c r="AC1135" s="43" t="s">
        <v>916</v>
      </c>
      <c r="AD1135" s="43" t="s">
        <v>916</v>
      </c>
      <c r="AE1135" s="33" t="s">
        <v>916</v>
      </c>
      <c r="AF1135" s="35" t="s">
        <v>916</v>
      </c>
      <c r="AG1135" s="44">
        <v>490957.19277777779</v>
      </c>
      <c r="AH1135" s="42" t="s">
        <v>916</v>
      </c>
      <c r="AI1135" s="32" t="e">
        <f>VLOOKUP(A1135,'4月明細'!B:B,1,0)</f>
        <v>#N/A</v>
      </c>
    </row>
    <row r="1136" spans="1:35" ht="19.95" customHeight="1" x14ac:dyDescent="0.3">
      <c r="A1136" s="33" t="s">
        <v>47</v>
      </c>
      <c r="B1136" s="34">
        <v>46025.506655092591</v>
      </c>
      <c r="C1136" s="34" t="str">
        <f t="shared" si="30"/>
        <v>202601</v>
      </c>
      <c r="D1136" s="35" t="s">
        <v>3889</v>
      </c>
      <c r="E1136" s="36" t="s">
        <v>1112</v>
      </c>
      <c r="F1136" s="36" t="s">
        <v>3890</v>
      </c>
      <c r="G1136" s="37" t="s">
        <v>3891</v>
      </c>
      <c r="H1136" s="36" t="s">
        <v>928</v>
      </c>
      <c r="I1136" s="35" t="s">
        <v>3892</v>
      </c>
      <c r="J1136" s="36" t="s">
        <v>929</v>
      </c>
      <c r="K1136" s="33" t="s">
        <v>916</v>
      </c>
      <c r="L1136" s="35" t="s">
        <v>916</v>
      </c>
      <c r="M1136" s="36" t="s">
        <v>916</v>
      </c>
      <c r="N1136" s="45">
        <v>46027.534722222219</v>
      </c>
      <c r="O1136" s="36" t="s">
        <v>25</v>
      </c>
      <c r="P1136" s="38">
        <v>2.0280671296000001</v>
      </c>
      <c r="Q1136" s="39" t="s">
        <v>3893</v>
      </c>
      <c r="R1136" s="35" t="s">
        <v>916</v>
      </c>
      <c r="S1136" s="35" t="s">
        <v>3894</v>
      </c>
      <c r="T1136" s="35" t="s">
        <v>1701</v>
      </c>
      <c r="U1136" s="40">
        <v>46026</v>
      </c>
      <c r="V1136" s="41">
        <v>46153.532847222225</v>
      </c>
      <c r="W1136" s="40">
        <v>46025</v>
      </c>
      <c r="X1136" s="35" t="s">
        <v>916</v>
      </c>
      <c r="Y1136" s="35" t="s">
        <v>916</v>
      </c>
      <c r="Z1136" s="35" t="s">
        <v>916</v>
      </c>
      <c r="AA1136" s="38">
        <v>48.673611110400003</v>
      </c>
      <c r="AB1136" s="42" t="s">
        <v>916</v>
      </c>
      <c r="AC1136" s="43" t="s">
        <v>916</v>
      </c>
      <c r="AD1136" s="43" t="s">
        <v>916</v>
      </c>
      <c r="AE1136" s="33" t="s">
        <v>916</v>
      </c>
      <c r="AF1136" s="35" t="s">
        <v>916</v>
      </c>
      <c r="AG1136" s="44">
        <v>490956.15972222219</v>
      </c>
      <c r="AH1136" s="42" t="s">
        <v>916</v>
      </c>
      <c r="AI1136" s="32" t="e">
        <f>VLOOKUP(A1136,'4月明細'!B:B,1,0)</f>
        <v>#N/A</v>
      </c>
    </row>
    <row r="1137" spans="1:35" ht="19.95" customHeight="1" x14ac:dyDescent="0.3">
      <c r="A1137" s="33" t="s">
        <v>46</v>
      </c>
      <c r="B1137" s="34">
        <v>46025.505254629628</v>
      </c>
      <c r="C1137" s="34" t="str">
        <f t="shared" si="30"/>
        <v>202601</v>
      </c>
      <c r="D1137" s="35" t="s">
        <v>3889</v>
      </c>
      <c r="E1137" s="36" t="s">
        <v>1112</v>
      </c>
      <c r="F1137" s="36" t="s">
        <v>2080</v>
      </c>
      <c r="G1137" s="37" t="s">
        <v>3895</v>
      </c>
      <c r="H1137" s="36" t="s">
        <v>928</v>
      </c>
      <c r="I1137" s="35" t="s">
        <v>3896</v>
      </c>
      <c r="J1137" s="36" t="s">
        <v>929</v>
      </c>
      <c r="K1137" s="33" t="s">
        <v>916</v>
      </c>
      <c r="L1137" s="35" t="s">
        <v>916</v>
      </c>
      <c r="M1137" s="36" t="s">
        <v>957</v>
      </c>
      <c r="N1137" s="45">
        <v>46027.515277777777</v>
      </c>
      <c r="O1137" s="36" t="s">
        <v>25</v>
      </c>
      <c r="P1137" s="38">
        <v>2.0100231481000002</v>
      </c>
      <c r="Q1137" s="39" t="s">
        <v>3897</v>
      </c>
      <c r="R1137" s="35" t="s">
        <v>916</v>
      </c>
      <c r="S1137" s="35" t="s">
        <v>3898</v>
      </c>
      <c r="T1137" s="35" t="s">
        <v>1701</v>
      </c>
      <c r="U1137" s="40">
        <v>46026</v>
      </c>
      <c r="V1137" s="41">
        <v>46153.532847222225</v>
      </c>
      <c r="W1137" s="40">
        <v>46025</v>
      </c>
      <c r="X1137" s="35" t="s">
        <v>916</v>
      </c>
      <c r="Y1137" s="35" t="s">
        <v>916</v>
      </c>
      <c r="Z1137" s="35" t="s">
        <v>916</v>
      </c>
      <c r="AA1137" s="38">
        <v>48.240555554399997</v>
      </c>
      <c r="AB1137" s="42" t="s">
        <v>916</v>
      </c>
      <c r="AC1137" s="43" t="s">
        <v>916</v>
      </c>
      <c r="AD1137" s="43" t="s">
        <v>916</v>
      </c>
      <c r="AE1137" s="33" t="s">
        <v>916</v>
      </c>
      <c r="AF1137" s="35" t="s">
        <v>916</v>
      </c>
      <c r="AG1137" s="44">
        <v>490956.12638888892</v>
      </c>
      <c r="AH1137" s="42" t="s">
        <v>916</v>
      </c>
      <c r="AI1137" s="32" t="e">
        <f>VLOOKUP(A1137,'4月明細'!B:B,1,0)</f>
        <v>#N/A</v>
      </c>
    </row>
    <row r="1138" spans="1:35" ht="19.95" customHeight="1" x14ac:dyDescent="0.3">
      <c r="A1138" s="33" t="s">
        <v>45</v>
      </c>
      <c r="B1138" s="34">
        <v>46025.503333333334</v>
      </c>
      <c r="C1138" s="34" t="str">
        <f t="shared" si="30"/>
        <v>202601</v>
      </c>
      <c r="D1138" s="35" t="s">
        <v>3889</v>
      </c>
      <c r="E1138" s="36" t="s">
        <v>1112</v>
      </c>
      <c r="F1138" s="36" t="s">
        <v>2080</v>
      </c>
      <c r="G1138" s="37" t="s">
        <v>3899</v>
      </c>
      <c r="H1138" s="36" t="s">
        <v>913</v>
      </c>
      <c r="I1138" s="35" t="s">
        <v>3900</v>
      </c>
      <c r="J1138" s="36" t="s">
        <v>929</v>
      </c>
      <c r="K1138" s="33" t="s">
        <v>916</v>
      </c>
      <c r="L1138" s="35" t="s">
        <v>916</v>
      </c>
      <c r="M1138" s="36" t="s">
        <v>916</v>
      </c>
      <c r="N1138" s="45">
        <v>46027.52847222222</v>
      </c>
      <c r="O1138" s="36" t="s">
        <v>25</v>
      </c>
      <c r="P1138" s="38">
        <v>2.0251388888999999</v>
      </c>
      <c r="Q1138" s="39" t="s">
        <v>3901</v>
      </c>
      <c r="R1138" s="35" t="s">
        <v>916</v>
      </c>
      <c r="S1138" s="35" t="s">
        <v>3902</v>
      </c>
      <c r="T1138" s="35" t="s">
        <v>1701</v>
      </c>
      <c r="U1138" s="40">
        <v>46026</v>
      </c>
      <c r="V1138" s="41">
        <v>46153.532858796294</v>
      </c>
      <c r="W1138" s="40">
        <v>46025</v>
      </c>
      <c r="X1138" s="35" t="s">
        <v>916</v>
      </c>
      <c r="Y1138" s="35" t="s">
        <v>916</v>
      </c>
      <c r="Z1138" s="35" t="s">
        <v>916</v>
      </c>
      <c r="AA1138" s="38">
        <v>48.603333333599998</v>
      </c>
      <c r="AB1138" s="42" t="s">
        <v>916</v>
      </c>
      <c r="AC1138" s="43" t="s">
        <v>916</v>
      </c>
      <c r="AD1138" s="43" t="s">
        <v>916</v>
      </c>
      <c r="AE1138" s="33" t="s">
        <v>916</v>
      </c>
      <c r="AF1138" s="35" t="s">
        <v>916</v>
      </c>
      <c r="AG1138" s="44">
        <v>490956.08</v>
      </c>
      <c r="AH1138" s="42" t="s">
        <v>916</v>
      </c>
      <c r="AI1138" s="32" t="e">
        <f>VLOOKUP(A1138,'4月明細'!B:B,1,0)</f>
        <v>#N/A</v>
      </c>
    </row>
    <row r="1139" spans="1:35" ht="19.95" customHeight="1" x14ac:dyDescent="0.3">
      <c r="A1139" s="33" t="s">
        <v>3903</v>
      </c>
      <c r="B1139" s="34">
        <v>46025.49255787037</v>
      </c>
      <c r="C1139" s="34" t="str">
        <f t="shared" si="30"/>
        <v>202601</v>
      </c>
      <c r="D1139" s="35" t="s">
        <v>1856</v>
      </c>
      <c r="E1139" s="36" t="s">
        <v>1112</v>
      </c>
      <c r="F1139" s="36" t="s">
        <v>2080</v>
      </c>
      <c r="G1139" s="37" t="s">
        <v>3904</v>
      </c>
      <c r="H1139" s="36" t="s">
        <v>913</v>
      </c>
      <c r="I1139" s="35"/>
      <c r="J1139" s="36" t="s">
        <v>929</v>
      </c>
      <c r="K1139" s="33" t="s">
        <v>916</v>
      </c>
      <c r="L1139" s="35" t="s">
        <v>916</v>
      </c>
      <c r="M1139" s="36" t="s">
        <v>916</v>
      </c>
      <c r="N1139" s="45">
        <v>46027.527777777781</v>
      </c>
      <c r="O1139" s="36" t="s">
        <v>1920</v>
      </c>
      <c r="P1139" s="38">
        <v>2.0352199074000001</v>
      </c>
      <c r="Q1139" s="39" t="s">
        <v>2230</v>
      </c>
      <c r="R1139" s="35" t="s">
        <v>916</v>
      </c>
      <c r="S1139" s="35"/>
      <c r="T1139" s="35" t="s">
        <v>1624</v>
      </c>
      <c r="U1139" s="40">
        <v>46026</v>
      </c>
      <c r="V1139" s="41">
        <v>46153.532858796294</v>
      </c>
      <c r="W1139" s="40">
        <v>46025</v>
      </c>
      <c r="X1139" s="35" t="s">
        <v>916</v>
      </c>
      <c r="Y1139" s="35" t="s">
        <v>916</v>
      </c>
      <c r="Z1139" s="35" t="s">
        <v>916</v>
      </c>
      <c r="AA1139" s="38">
        <v>48.845277777600003</v>
      </c>
      <c r="AB1139" s="42" t="s">
        <v>916</v>
      </c>
      <c r="AC1139" s="43" t="s">
        <v>916</v>
      </c>
      <c r="AD1139" s="43" t="s">
        <v>916</v>
      </c>
      <c r="AE1139" s="33" t="s">
        <v>916</v>
      </c>
      <c r="AF1139" s="35" t="s">
        <v>916</v>
      </c>
      <c r="AG1139" s="44">
        <v>490955.82138888887</v>
      </c>
      <c r="AH1139" s="42" t="s">
        <v>916</v>
      </c>
      <c r="AI1139" s="32" t="e">
        <f>VLOOKUP(A1139,'4月明細'!B:B,1,0)</f>
        <v>#N/A</v>
      </c>
    </row>
    <row r="1140" spans="1:35" ht="19.95" customHeight="1" x14ac:dyDescent="0.3">
      <c r="A1140" s="33" t="s">
        <v>43</v>
      </c>
      <c r="B1140" s="34">
        <v>46024.998576388891</v>
      </c>
      <c r="C1140" s="34" t="str">
        <f t="shared" si="30"/>
        <v>202601</v>
      </c>
      <c r="D1140" s="35" t="s">
        <v>3905</v>
      </c>
      <c r="E1140" s="36" t="s">
        <v>942</v>
      </c>
      <c r="F1140" s="36" t="s">
        <v>1032</v>
      </c>
      <c r="G1140" s="37" t="s">
        <v>3906</v>
      </c>
      <c r="H1140" s="36" t="s">
        <v>913</v>
      </c>
      <c r="I1140" s="35"/>
      <c r="J1140" s="36" t="s">
        <v>945</v>
      </c>
      <c r="K1140" s="33" t="s">
        <v>916</v>
      </c>
      <c r="L1140" s="35" t="s">
        <v>916</v>
      </c>
      <c r="M1140" s="36" t="s">
        <v>957</v>
      </c>
      <c r="N1140" s="45">
        <v>46027.527083333334</v>
      </c>
      <c r="O1140" s="36" t="s">
        <v>25</v>
      </c>
      <c r="P1140" s="38">
        <v>2.5285069444000001</v>
      </c>
      <c r="Q1140" s="39" t="s">
        <v>3907</v>
      </c>
      <c r="R1140" s="35" t="s">
        <v>916</v>
      </c>
      <c r="S1140" s="35" t="s">
        <v>3908</v>
      </c>
      <c r="T1140" s="35" t="s">
        <v>1701</v>
      </c>
      <c r="U1140" s="40">
        <v>46025</v>
      </c>
      <c r="V1140" s="41">
        <v>46153.532858796294</v>
      </c>
      <c r="W1140" s="40">
        <v>46025</v>
      </c>
      <c r="X1140" s="35" t="s">
        <v>916</v>
      </c>
      <c r="Y1140" s="35" t="s">
        <v>916</v>
      </c>
      <c r="Z1140" s="35" t="s">
        <v>916</v>
      </c>
      <c r="AA1140" s="38">
        <v>60.684166665600003</v>
      </c>
      <c r="AB1140" s="42" t="s">
        <v>916</v>
      </c>
      <c r="AC1140" s="43" t="s">
        <v>916</v>
      </c>
      <c r="AD1140" s="43" t="s">
        <v>916</v>
      </c>
      <c r="AE1140" s="33" t="s">
        <v>916</v>
      </c>
      <c r="AF1140" s="35" t="s">
        <v>916</v>
      </c>
      <c r="AG1140" s="44">
        <v>490943.96583333338</v>
      </c>
      <c r="AH1140" s="42" t="s">
        <v>916</v>
      </c>
      <c r="AI1140" s="32" t="e">
        <f>VLOOKUP(A1140,'4月明細'!B:B,1,0)</f>
        <v>#N/A</v>
      </c>
    </row>
    <row r="1141" spans="1:35" ht="19.95" customHeight="1" x14ac:dyDescent="0.3">
      <c r="A1141" s="33" t="s">
        <v>42</v>
      </c>
      <c r="B1141" s="34">
        <v>46024.956608796296</v>
      </c>
      <c r="C1141" s="34" t="str">
        <f t="shared" si="30"/>
        <v>202601</v>
      </c>
      <c r="D1141" s="35" t="s">
        <v>1168</v>
      </c>
      <c r="E1141" s="36" t="s">
        <v>942</v>
      </c>
      <c r="F1141" s="36" t="s">
        <v>981</v>
      </c>
      <c r="G1141" s="37" t="s">
        <v>3909</v>
      </c>
      <c r="H1141" s="36" t="s">
        <v>913</v>
      </c>
      <c r="I1141" s="35"/>
      <c r="J1141" s="36" t="s">
        <v>945</v>
      </c>
      <c r="K1141" s="33" t="s">
        <v>916</v>
      </c>
      <c r="L1141" s="35" t="s">
        <v>916</v>
      </c>
      <c r="M1141" s="36" t="s">
        <v>916</v>
      </c>
      <c r="N1141" s="45">
        <v>46027.524305555555</v>
      </c>
      <c r="O1141" s="36" t="s">
        <v>25</v>
      </c>
      <c r="P1141" s="38">
        <v>2.5676967593</v>
      </c>
      <c r="Q1141" s="39" t="s">
        <v>3910</v>
      </c>
      <c r="R1141" s="35" t="s">
        <v>916</v>
      </c>
      <c r="S1141" s="35"/>
      <c r="T1141" s="35" t="s">
        <v>1701</v>
      </c>
      <c r="U1141" s="40">
        <v>46025</v>
      </c>
      <c r="V1141" s="41">
        <v>46153.532858796294</v>
      </c>
      <c r="W1141" s="40">
        <v>46025</v>
      </c>
      <c r="X1141" s="35" t="s">
        <v>916</v>
      </c>
      <c r="Y1141" s="35" t="s">
        <v>916</v>
      </c>
      <c r="Z1141" s="35" t="s">
        <v>916</v>
      </c>
      <c r="AA1141" s="38">
        <v>61.624722223200003</v>
      </c>
      <c r="AB1141" s="42" t="s">
        <v>916</v>
      </c>
      <c r="AC1141" s="43" t="s">
        <v>916</v>
      </c>
      <c r="AD1141" s="43" t="s">
        <v>916</v>
      </c>
      <c r="AE1141" s="33" t="s">
        <v>916</v>
      </c>
      <c r="AF1141" s="35" t="s">
        <v>916</v>
      </c>
      <c r="AG1141" s="44">
        <v>490942.9586111111</v>
      </c>
      <c r="AH1141" s="42" t="s">
        <v>916</v>
      </c>
      <c r="AI1141" s="32" t="e">
        <f>VLOOKUP(A1141,'4月明細'!B:B,1,0)</f>
        <v>#N/A</v>
      </c>
    </row>
    <row r="1142" spans="1:35" ht="19.95" customHeight="1" x14ac:dyDescent="0.3">
      <c r="A1142" s="33" t="s">
        <v>41</v>
      </c>
      <c r="B1142" s="34">
        <v>46024.908564814818</v>
      </c>
      <c r="C1142" s="34" t="str">
        <f t="shared" si="30"/>
        <v>202601</v>
      </c>
      <c r="D1142" s="35" t="s">
        <v>3911</v>
      </c>
      <c r="E1142" s="36" t="s">
        <v>942</v>
      </c>
      <c r="F1142" s="36" t="s">
        <v>961</v>
      </c>
      <c r="G1142" s="37" t="s">
        <v>3912</v>
      </c>
      <c r="H1142" s="36" t="s">
        <v>913</v>
      </c>
      <c r="I1142" s="35"/>
      <c r="J1142" s="36" t="s">
        <v>945</v>
      </c>
      <c r="K1142" s="33" t="s">
        <v>916</v>
      </c>
      <c r="L1142" s="35" t="s">
        <v>916</v>
      </c>
      <c r="M1142" s="36" t="s">
        <v>916</v>
      </c>
      <c r="N1142" s="45">
        <v>46027.518750000003</v>
      </c>
      <c r="O1142" s="36" t="s">
        <v>25</v>
      </c>
      <c r="P1142" s="38">
        <v>2.6101851852000002</v>
      </c>
      <c r="Q1142" s="39" t="s">
        <v>3913</v>
      </c>
      <c r="R1142" s="35" t="s">
        <v>916</v>
      </c>
      <c r="S1142" s="35" t="s">
        <v>3914</v>
      </c>
      <c r="T1142" s="35" t="s">
        <v>1701</v>
      </c>
      <c r="U1142" s="40">
        <v>46025</v>
      </c>
      <c r="V1142" s="41">
        <v>46153.532858796294</v>
      </c>
      <c r="W1142" s="40">
        <v>46025</v>
      </c>
      <c r="X1142" s="35" t="s">
        <v>916</v>
      </c>
      <c r="Y1142" s="35" t="s">
        <v>916</v>
      </c>
      <c r="Z1142" s="35" t="s">
        <v>916</v>
      </c>
      <c r="AA1142" s="38">
        <v>62.644444444800001</v>
      </c>
      <c r="AB1142" s="42" t="s">
        <v>916</v>
      </c>
      <c r="AC1142" s="43" t="s">
        <v>916</v>
      </c>
      <c r="AD1142" s="43" t="s">
        <v>916</v>
      </c>
      <c r="AE1142" s="33" t="s">
        <v>916</v>
      </c>
      <c r="AF1142" s="35" t="s">
        <v>916</v>
      </c>
      <c r="AG1142" s="44">
        <v>490941.8055555555</v>
      </c>
      <c r="AH1142" s="42" t="s">
        <v>916</v>
      </c>
      <c r="AI1142" s="32" t="e">
        <f>VLOOKUP(A1142,'4月明細'!B:B,1,0)</f>
        <v>#N/A</v>
      </c>
    </row>
    <row r="1143" spans="1:35" ht="19.95" customHeight="1" x14ac:dyDescent="0.3">
      <c r="A1143" s="33" t="s">
        <v>40</v>
      </c>
      <c r="B1143" s="34">
        <v>46024.779398148145</v>
      </c>
      <c r="C1143" s="34" t="str">
        <f t="shared" si="30"/>
        <v>202601</v>
      </c>
      <c r="D1143" s="35" t="s">
        <v>951</v>
      </c>
      <c r="E1143" s="36" t="s">
        <v>942</v>
      </c>
      <c r="F1143" s="36" t="s">
        <v>2218</v>
      </c>
      <c r="G1143" s="37" t="s">
        <v>3915</v>
      </c>
      <c r="H1143" s="36" t="s">
        <v>913</v>
      </c>
      <c r="I1143" s="35"/>
      <c r="J1143" s="36" t="s">
        <v>1058</v>
      </c>
      <c r="K1143" s="33" t="s">
        <v>916</v>
      </c>
      <c r="L1143" s="35" t="s">
        <v>916</v>
      </c>
      <c r="M1143" s="36" t="s">
        <v>916</v>
      </c>
      <c r="N1143" s="45">
        <v>46028.39166666667</v>
      </c>
      <c r="O1143" s="36" t="s">
        <v>25</v>
      </c>
      <c r="P1143" s="38">
        <v>3.6122685185000001</v>
      </c>
      <c r="Q1143" s="39" t="s">
        <v>3916</v>
      </c>
      <c r="R1143" s="35" t="s">
        <v>916</v>
      </c>
      <c r="S1143" s="35"/>
      <c r="T1143" s="35" t="s">
        <v>1701</v>
      </c>
      <c r="U1143" s="40">
        <v>46025</v>
      </c>
      <c r="V1143" s="41">
        <v>46153.532858796294</v>
      </c>
      <c r="W1143" s="40">
        <v>46024</v>
      </c>
      <c r="X1143" s="35" t="s">
        <v>916</v>
      </c>
      <c r="Y1143" s="35" t="s">
        <v>916</v>
      </c>
      <c r="Z1143" s="35" t="s">
        <v>916</v>
      </c>
      <c r="AA1143" s="38">
        <v>86.694444443999998</v>
      </c>
      <c r="AB1143" s="42" t="s">
        <v>916</v>
      </c>
      <c r="AC1143" s="43" t="s">
        <v>916</v>
      </c>
      <c r="AD1143" s="43" t="s">
        <v>916</v>
      </c>
      <c r="AE1143" s="33" t="s">
        <v>916</v>
      </c>
      <c r="AF1143" s="35" t="s">
        <v>916</v>
      </c>
      <c r="AG1143" s="44">
        <v>490938.70555555553</v>
      </c>
      <c r="AH1143" s="42" t="s">
        <v>916</v>
      </c>
      <c r="AI1143" s="32" t="e">
        <f>VLOOKUP(A1143,'4月明細'!B:B,1,0)</f>
        <v>#N/A</v>
      </c>
    </row>
    <row r="1144" spans="1:35" ht="19.95" customHeight="1" x14ac:dyDescent="0.3">
      <c r="A1144" s="33" t="s">
        <v>39</v>
      </c>
      <c r="B1144" s="34">
        <v>46024.657523148147</v>
      </c>
      <c r="C1144" s="34" t="str">
        <f t="shared" si="30"/>
        <v>202601</v>
      </c>
      <c r="D1144" s="35" t="s">
        <v>3917</v>
      </c>
      <c r="E1144" s="36" t="s">
        <v>910</v>
      </c>
      <c r="F1144" s="36" t="s">
        <v>1386</v>
      </c>
      <c r="G1144" s="37" t="s">
        <v>3918</v>
      </c>
      <c r="H1144" s="36" t="s">
        <v>928</v>
      </c>
      <c r="I1144" s="35" t="s">
        <v>3919</v>
      </c>
      <c r="J1144" s="36" t="s">
        <v>929</v>
      </c>
      <c r="K1144" s="33" t="s">
        <v>916</v>
      </c>
      <c r="L1144" s="35" t="s">
        <v>916</v>
      </c>
      <c r="M1144" s="36" t="s">
        <v>916</v>
      </c>
      <c r="N1144" s="45">
        <v>46027.51666666667</v>
      </c>
      <c r="O1144" s="36" t="s">
        <v>25</v>
      </c>
      <c r="P1144" s="38">
        <v>2.8591435184999998</v>
      </c>
      <c r="Q1144" s="39" t="s">
        <v>3920</v>
      </c>
      <c r="R1144" s="35" t="s">
        <v>916</v>
      </c>
      <c r="S1144" s="35" t="s">
        <v>3921</v>
      </c>
      <c r="T1144" s="35" t="s">
        <v>1701</v>
      </c>
      <c r="U1144" s="40">
        <v>46025</v>
      </c>
      <c r="V1144" s="41">
        <v>46153.532858796294</v>
      </c>
      <c r="W1144" s="40">
        <v>46024</v>
      </c>
      <c r="X1144" s="35" t="s">
        <v>916</v>
      </c>
      <c r="Y1144" s="35" t="s">
        <v>916</v>
      </c>
      <c r="Z1144" s="35" t="s">
        <v>916</v>
      </c>
      <c r="AA1144" s="38">
        <v>68.619444443999996</v>
      </c>
      <c r="AB1144" s="42" t="s">
        <v>916</v>
      </c>
      <c r="AC1144" s="43" t="s">
        <v>916</v>
      </c>
      <c r="AD1144" s="43" t="s">
        <v>916</v>
      </c>
      <c r="AE1144" s="33" t="s">
        <v>916</v>
      </c>
      <c r="AF1144" s="35" t="s">
        <v>916</v>
      </c>
      <c r="AG1144" s="44">
        <v>490935.78055555548</v>
      </c>
      <c r="AH1144" s="42" t="s">
        <v>916</v>
      </c>
      <c r="AI1144" s="32" t="e">
        <f>VLOOKUP(A1144,'4月明細'!B:B,1,0)</f>
        <v>#N/A</v>
      </c>
    </row>
    <row r="1145" spans="1:35" ht="19.95" customHeight="1" x14ac:dyDescent="0.3">
      <c r="A1145" s="33" t="s">
        <v>38</v>
      </c>
      <c r="B1145" s="34">
        <v>46024.656805555554</v>
      </c>
      <c r="C1145" s="34" t="str">
        <f t="shared" si="30"/>
        <v>202601</v>
      </c>
      <c r="D1145" s="35" t="s">
        <v>951</v>
      </c>
      <c r="E1145" s="36" t="s">
        <v>910</v>
      </c>
      <c r="F1145" s="36" t="s">
        <v>987</v>
      </c>
      <c r="G1145" s="37" t="s">
        <v>3922</v>
      </c>
      <c r="H1145" s="36" t="s">
        <v>1078</v>
      </c>
      <c r="I1145" s="35" t="s">
        <v>3923</v>
      </c>
      <c r="J1145" s="36" t="s">
        <v>914</v>
      </c>
      <c r="K1145" s="33" t="s">
        <v>916</v>
      </c>
      <c r="L1145" s="35" t="s">
        <v>916</v>
      </c>
      <c r="M1145" s="36" t="s">
        <v>957</v>
      </c>
      <c r="N1145" s="45">
        <v>46024.679861111108</v>
      </c>
      <c r="O1145" s="36" t="s">
        <v>25</v>
      </c>
      <c r="P1145" s="38">
        <v>2.3055555599999999E-2</v>
      </c>
      <c r="Q1145" s="39" t="s">
        <v>3924</v>
      </c>
      <c r="R1145" s="35" t="s">
        <v>916</v>
      </c>
      <c r="S1145" s="35" t="s">
        <v>3925</v>
      </c>
      <c r="T1145" s="35" t="s">
        <v>1701</v>
      </c>
      <c r="U1145" s="40">
        <v>46025</v>
      </c>
      <c r="V1145" s="41">
        <v>46153.532858796294</v>
      </c>
      <c r="W1145" s="40">
        <v>46024</v>
      </c>
      <c r="X1145" s="35" t="s">
        <v>916</v>
      </c>
      <c r="Y1145" s="35" t="s">
        <v>916</v>
      </c>
      <c r="Z1145" s="35" t="s">
        <v>916</v>
      </c>
      <c r="AA1145" s="38">
        <v>0.55333333439999999</v>
      </c>
      <c r="AB1145" s="42" t="s">
        <v>916</v>
      </c>
      <c r="AC1145" s="43" t="s">
        <v>916</v>
      </c>
      <c r="AD1145" s="43" t="s">
        <v>916</v>
      </c>
      <c r="AE1145" s="33" t="s">
        <v>916</v>
      </c>
      <c r="AF1145" s="35" t="s">
        <v>916</v>
      </c>
      <c r="AG1145" s="44">
        <v>490935.76333333331</v>
      </c>
      <c r="AH1145" s="42" t="s">
        <v>916</v>
      </c>
      <c r="AI1145" s="32" t="e">
        <f>VLOOKUP(A1145,'4月明細'!B:B,1,0)</f>
        <v>#N/A</v>
      </c>
    </row>
    <row r="1146" spans="1:35" ht="19.95" customHeight="1" x14ac:dyDescent="0.3">
      <c r="A1146" s="33" t="s">
        <v>37</v>
      </c>
      <c r="B1146" s="34">
        <v>46024.563888888886</v>
      </c>
      <c r="C1146" s="34" t="str">
        <f t="shared" si="30"/>
        <v>202601</v>
      </c>
      <c r="D1146" s="35" t="s">
        <v>951</v>
      </c>
      <c r="E1146" s="36" t="s">
        <v>910</v>
      </c>
      <c r="F1146" s="36" t="s">
        <v>2804</v>
      </c>
      <c r="G1146" s="37" t="s">
        <v>3926</v>
      </c>
      <c r="H1146" s="36" t="s">
        <v>928</v>
      </c>
      <c r="I1146" s="35" t="s">
        <v>3927</v>
      </c>
      <c r="J1146" s="36" t="s">
        <v>914</v>
      </c>
      <c r="K1146" s="33" t="s">
        <v>916</v>
      </c>
      <c r="L1146" s="35" t="s">
        <v>916</v>
      </c>
      <c r="M1146" s="36" t="s">
        <v>957</v>
      </c>
      <c r="N1146" s="45">
        <v>46024.613194444442</v>
      </c>
      <c r="O1146" s="36" t="s">
        <v>25</v>
      </c>
      <c r="P1146" s="38">
        <v>4.9305555600000002E-2</v>
      </c>
      <c r="Q1146" s="39" t="s">
        <v>3928</v>
      </c>
      <c r="R1146" s="35" t="s">
        <v>916</v>
      </c>
      <c r="S1146" s="35" t="s">
        <v>3929</v>
      </c>
      <c r="T1146" s="35" t="s">
        <v>1701</v>
      </c>
      <c r="U1146" s="40">
        <v>46025</v>
      </c>
      <c r="V1146" s="41">
        <v>46153.532858796294</v>
      </c>
      <c r="W1146" s="40">
        <v>46024</v>
      </c>
      <c r="X1146" s="35" t="s">
        <v>916</v>
      </c>
      <c r="Y1146" s="35" t="s">
        <v>916</v>
      </c>
      <c r="Z1146" s="35" t="s">
        <v>916</v>
      </c>
      <c r="AA1146" s="38">
        <v>1.1833333344000001</v>
      </c>
      <c r="AB1146" s="42" t="s">
        <v>916</v>
      </c>
      <c r="AC1146" s="43" t="s">
        <v>916</v>
      </c>
      <c r="AD1146" s="43" t="s">
        <v>916</v>
      </c>
      <c r="AE1146" s="33" t="s">
        <v>916</v>
      </c>
      <c r="AF1146" s="35" t="s">
        <v>916</v>
      </c>
      <c r="AG1146" s="44">
        <v>490933.53333333333</v>
      </c>
      <c r="AH1146" s="42" t="s">
        <v>916</v>
      </c>
      <c r="AI1146" s="32" t="e">
        <f>VLOOKUP(A1146,'4月明細'!B:B,1,0)</f>
        <v>#N/A</v>
      </c>
    </row>
    <row r="1147" spans="1:35" ht="19.95" customHeight="1" x14ac:dyDescent="0.3">
      <c r="A1147" s="33" t="s">
        <v>36</v>
      </c>
      <c r="B1147" s="34">
        <v>46024.481458333335</v>
      </c>
      <c r="C1147" s="34" t="str">
        <f t="shared" si="30"/>
        <v>202601</v>
      </c>
      <c r="D1147" s="35" t="s">
        <v>1856</v>
      </c>
      <c r="E1147" s="36" t="s">
        <v>942</v>
      </c>
      <c r="F1147" s="36" t="s">
        <v>1531</v>
      </c>
      <c r="G1147" s="37" t="s">
        <v>3930</v>
      </c>
      <c r="H1147" s="36" t="s">
        <v>913</v>
      </c>
      <c r="I1147" s="35"/>
      <c r="J1147" s="36" t="s">
        <v>945</v>
      </c>
      <c r="K1147" s="33" t="s">
        <v>916</v>
      </c>
      <c r="L1147" s="35" t="s">
        <v>916</v>
      </c>
      <c r="M1147" s="36" t="s">
        <v>1039</v>
      </c>
      <c r="N1147" s="45">
        <v>46024.613888888889</v>
      </c>
      <c r="O1147" s="36" t="s">
        <v>25</v>
      </c>
      <c r="P1147" s="38">
        <v>0.1324305556</v>
      </c>
      <c r="Q1147" s="39" t="s">
        <v>3931</v>
      </c>
      <c r="R1147" s="35" t="s">
        <v>916</v>
      </c>
      <c r="S1147" s="35"/>
      <c r="T1147" s="35" t="s">
        <v>1701</v>
      </c>
      <c r="U1147" s="40">
        <v>46025</v>
      </c>
      <c r="V1147" s="41">
        <v>46153.532858796294</v>
      </c>
      <c r="W1147" s="40">
        <v>46024</v>
      </c>
      <c r="X1147" s="35" t="s">
        <v>916</v>
      </c>
      <c r="Y1147" s="35" t="s">
        <v>916</v>
      </c>
      <c r="Z1147" s="35" t="s">
        <v>916</v>
      </c>
      <c r="AA1147" s="38">
        <v>3.1783333344</v>
      </c>
      <c r="AB1147" s="42" t="s">
        <v>916</v>
      </c>
      <c r="AC1147" s="43" t="s">
        <v>916</v>
      </c>
      <c r="AD1147" s="43" t="s">
        <v>916</v>
      </c>
      <c r="AE1147" s="33" t="s">
        <v>916</v>
      </c>
      <c r="AF1147" s="35" t="s">
        <v>916</v>
      </c>
      <c r="AG1147" s="44">
        <v>490931.55500000011</v>
      </c>
      <c r="AH1147" s="42" t="s">
        <v>916</v>
      </c>
      <c r="AI1147" s="32" t="e">
        <f>VLOOKUP(A1147,'4月明細'!B:B,1,0)</f>
        <v>#N/A</v>
      </c>
    </row>
    <row r="1148" spans="1:35" ht="19.95" customHeight="1" x14ac:dyDescent="0.3">
      <c r="A1148" s="33" t="s">
        <v>35</v>
      </c>
      <c r="B1148" s="34">
        <v>46024.449178240742</v>
      </c>
      <c r="C1148" s="34" t="str">
        <f t="shared" si="30"/>
        <v>202601</v>
      </c>
      <c r="D1148" s="35" t="s">
        <v>951</v>
      </c>
      <c r="E1148" s="36" t="s">
        <v>910</v>
      </c>
      <c r="F1148" s="36" t="s">
        <v>1392</v>
      </c>
      <c r="G1148" s="37" t="s">
        <v>3932</v>
      </c>
      <c r="H1148" s="36" t="s">
        <v>954</v>
      </c>
      <c r="I1148" s="35" t="s">
        <v>3933</v>
      </c>
      <c r="J1148" s="36" t="s">
        <v>929</v>
      </c>
      <c r="K1148" s="33" t="s">
        <v>916</v>
      </c>
      <c r="L1148" s="35" t="s">
        <v>916</v>
      </c>
      <c r="M1148" s="36" t="s">
        <v>1039</v>
      </c>
      <c r="N1148" s="45">
        <v>46024.613888888889</v>
      </c>
      <c r="O1148" s="36" t="s">
        <v>25</v>
      </c>
      <c r="P1148" s="38">
        <v>0.1647106481</v>
      </c>
      <c r="Q1148" s="39" t="s">
        <v>3934</v>
      </c>
      <c r="R1148" s="35" t="s">
        <v>916</v>
      </c>
      <c r="S1148" s="35"/>
      <c r="T1148" s="35" t="s">
        <v>1701</v>
      </c>
      <c r="U1148" s="40">
        <v>46025</v>
      </c>
      <c r="V1148" s="41">
        <v>46153.532858796294</v>
      </c>
      <c r="W1148" s="40">
        <v>46024</v>
      </c>
      <c r="X1148" s="35" t="s">
        <v>916</v>
      </c>
      <c r="Y1148" s="35" t="s">
        <v>916</v>
      </c>
      <c r="Z1148" s="35" t="s">
        <v>916</v>
      </c>
      <c r="AA1148" s="38">
        <v>3.9530555544000001</v>
      </c>
      <c r="AB1148" s="42" t="s">
        <v>916</v>
      </c>
      <c r="AC1148" s="43" t="s">
        <v>916</v>
      </c>
      <c r="AD1148" s="43" t="s">
        <v>916</v>
      </c>
      <c r="AE1148" s="33" t="s">
        <v>916</v>
      </c>
      <c r="AF1148" s="35" t="s">
        <v>916</v>
      </c>
      <c r="AG1148" s="44">
        <v>490930.78027777781</v>
      </c>
      <c r="AH1148" s="42" t="s">
        <v>916</v>
      </c>
      <c r="AI1148" s="32" t="e">
        <f>VLOOKUP(A1148,'4月明細'!B:B,1,0)</f>
        <v>#N/A</v>
      </c>
    </row>
    <row r="1149" spans="1:35" ht="19.95" customHeight="1" x14ac:dyDescent="0.3">
      <c r="A1149" s="33" t="s">
        <v>34</v>
      </c>
      <c r="B1149" s="34">
        <v>46024.338391203702</v>
      </c>
      <c r="C1149" s="34" t="str">
        <f t="shared" si="30"/>
        <v>202601</v>
      </c>
      <c r="D1149" s="35" t="s">
        <v>941</v>
      </c>
      <c r="E1149" s="36" t="s">
        <v>942</v>
      </c>
      <c r="F1149" s="36" t="s">
        <v>1967</v>
      </c>
      <c r="G1149" s="37" t="s">
        <v>3935</v>
      </c>
      <c r="H1149" s="36" t="s">
        <v>989</v>
      </c>
      <c r="I1149" s="35"/>
      <c r="J1149" s="36" t="s">
        <v>1058</v>
      </c>
      <c r="K1149" s="33" t="s">
        <v>916</v>
      </c>
      <c r="L1149" s="35" t="s">
        <v>916</v>
      </c>
      <c r="M1149" s="36" t="s">
        <v>1039</v>
      </c>
      <c r="N1149" s="45">
        <v>46024.614583333336</v>
      </c>
      <c r="O1149" s="36" t="s">
        <v>25</v>
      </c>
      <c r="P1149" s="38">
        <v>0.2761921296</v>
      </c>
      <c r="Q1149" s="39" t="s">
        <v>3936</v>
      </c>
      <c r="R1149" s="35" t="s">
        <v>916</v>
      </c>
      <c r="S1149" s="35"/>
      <c r="T1149" s="35" t="s">
        <v>1701</v>
      </c>
      <c r="U1149" s="40">
        <v>46025</v>
      </c>
      <c r="V1149" s="41">
        <v>46153.532858796294</v>
      </c>
      <c r="W1149" s="40">
        <v>46024</v>
      </c>
      <c r="X1149" s="35" t="s">
        <v>916</v>
      </c>
      <c r="Y1149" s="35" t="s">
        <v>916</v>
      </c>
      <c r="Z1149" s="35" t="s">
        <v>916</v>
      </c>
      <c r="AA1149" s="38">
        <v>6.6286111103999996</v>
      </c>
      <c r="AB1149" s="42" t="s">
        <v>916</v>
      </c>
      <c r="AC1149" s="43" t="s">
        <v>916</v>
      </c>
      <c r="AD1149" s="43" t="s">
        <v>916</v>
      </c>
      <c r="AE1149" s="33" t="s">
        <v>916</v>
      </c>
      <c r="AF1149" s="35" t="s">
        <v>916</v>
      </c>
      <c r="AG1149" s="44">
        <v>490928.12138888892</v>
      </c>
      <c r="AH1149" s="42" t="s">
        <v>916</v>
      </c>
      <c r="AI1149" s="32" t="e">
        <f>VLOOKUP(A1149,'4月明細'!B:B,1,0)</f>
        <v>#N/A</v>
      </c>
    </row>
    <row r="1150" spans="1:35" ht="19.95" customHeight="1" x14ac:dyDescent="0.3">
      <c r="A1150" s="33" t="s">
        <v>269</v>
      </c>
      <c r="B1150" s="34">
        <v>46023.872569444444</v>
      </c>
      <c r="C1150" s="34" t="str">
        <f t="shared" si="30"/>
        <v>202601</v>
      </c>
      <c r="D1150" s="35" t="s">
        <v>1510</v>
      </c>
      <c r="E1150" s="36" t="s">
        <v>942</v>
      </c>
      <c r="F1150" s="36" t="s">
        <v>2300</v>
      </c>
      <c r="G1150" s="37" t="s">
        <v>3937</v>
      </c>
      <c r="H1150" s="36" t="s">
        <v>928</v>
      </c>
      <c r="I1150" s="35"/>
      <c r="J1150" s="36" t="s">
        <v>938</v>
      </c>
      <c r="K1150" s="33" t="s">
        <v>916</v>
      </c>
      <c r="L1150" s="35" t="s">
        <v>916</v>
      </c>
      <c r="M1150" s="36" t="s">
        <v>1039</v>
      </c>
      <c r="N1150" s="45">
        <v>46055.501388888886</v>
      </c>
      <c r="O1150" s="36" t="s">
        <v>25</v>
      </c>
      <c r="P1150" s="38">
        <v>31.628819444400001</v>
      </c>
      <c r="Q1150" s="39" t="s">
        <v>3938</v>
      </c>
      <c r="R1150" s="35" t="s">
        <v>916</v>
      </c>
      <c r="S1150" s="35" t="s">
        <v>3939</v>
      </c>
      <c r="T1150" s="35" t="s">
        <v>1624</v>
      </c>
      <c r="U1150" s="40">
        <v>46024</v>
      </c>
      <c r="V1150" s="41">
        <v>46153.532858796294</v>
      </c>
      <c r="W1150" s="40">
        <v>46024</v>
      </c>
      <c r="X1150" s="35" t="s">
        <v>916</v>
      </c>
      <c r="Y1150" s="35" t="s">
        <v>916</v>
      </c>
      <c r="Z1150" s="35" t="s">
        <v>916</v>
      </c>
      <c r="AA1150" s="38">
        <v>759.09166666559997</v>
      </c>
      <c r="AB1150" s="42" t="s">
        <v>916</v>
      </c>
      <c r="AC1150" s="43" t="s">
        <v>916</v>
      </c>
      <c r="AD1150" s="43" t="s">
        <v>916</v>
      </c>
      <c r="AE1150" s="33" t="s">
        <v>916</v>
      </c>
      <c r="AF1150" s="35" t="s">
        <v>916</v>
      </c>
      <c r="AG1150" s="44">
        <v>490916.94166666671</v>
      </c>
      <c r="AH1150" s="42" t="s">
        <v>916</v>
      </c>
      <c r="AI1150" s="32" t="e">
        <f>VLOOKUP(A1150,'4月明細'!B:B,1,0)</f>
        <v>#N/A</v>
      </c>
    </row>
    <row r="1151" spans="1:35" ht="19.95" customHeight="1" x14ac:dyDescent="0.3">
      <c r="A1151" s="33" t="s">
        <v>33</v>
      </c>
      <c r="B1151" s="34">
        <v>46023.75571759259</v>
      </c>
      <c r="C1151" s="34" t="str">
        <f t="shared" si="30"/>
        <v>202601</v>
      </c>
      <c r="D1151" s="35" t="s">
        <v>2278</v>
      </c>
      <c r="E1151" s="36" t="s">
        <v>910</v>
      </c>
      <c r="F1151" s="36" t="s">
        <v>1792</v>
      </c>
      <c r="G1151" s="37" t="s">
        <v>3940</v>
      </c>
      <c r="H1151" s="36" t="s">
        <v>954</v>
      </c>
      <c r="I1151" s="35"/>
      <c r="J1151" s="36" t="s">
        <v>914</v>
      </c>
      <c r="K1151" s="33" t="s">
        <v>916</v>
      </c>
      <c r="L1151" s="35" t="s">
        <v>916</v>
      </c>
      <c r="M1151" s="36" t="s">
        <v>916</v>
      </c>
      <c r="N1151" s="45">
        <v>46024.617361111108</v>
      </c>
      <c r="O1151" s="36" t="s">
        <v>25</v>
      </c>
      <c r="P1151" s="38">
        <v>0.86164351849999998</v>
      </c>
      <c r="Q1151" s="39" t="s">
        <v>3941</v>
      </c>
      <c r="R1151" s="35" t="s">
        <v>916</v>
      </c>
      <c r="S1151" s="35" t="s">
        <v>3942</v>
      </c>
      <c r="T1151" s="35" t="s">
        <v>1701</v>
      </c>
      <c r="U1151" s="40">
        <v>46024</v>
      </c>
      <c r="V1151" s="41">
        <v>46153.532858796294</v>
      </c>
      <c r="W1151" s="40">
        <v>46023</v>
      </c>
      <c r="X1151" s="35" t="s">
        <v>916</v>
      </c>
      <c r="Y1151" s="35" t="s">
        <v>916</v>
      </c>
      <c r="Z1151" s="35" t="s">
        <v>916</v>
      </c>
      <c r="AA1151" s="38">
        <v>20.679444444000001</v>
      </c>
      <c r="AB1151" s="42" t="s">
        <v>916</v>
      </c>
      <c r="AC1151" s="43" t="s">
        <v>916</v>
      </c>
      <c r="AD1151" s="43" t="s">
        <v>916</v>
      </c>
      <c r="AE1151" s="33" t="s">
        <v>916</v>
      </c>
      <c r="AF1151" s="35" t="s">
        <v>916</v>
      </c>
      <c r="AG1151" s="44">
        <v>490914.13722222229</v>
      </c>
      <c r="AH1151" s="42" t="s">
        <v>916</v>
      </c>
      <c r="AI1151" s="32" t="e">
        <f>VLOOKUP(A1151,'4月明細'!B:B,1,0)</f>
        <v>#N/A</v>
      </c>
    </row>
    <row r="1152" spans="1:35" ht="19.95" customHeight="1" x14ac:dyDescent="0.3">
      <c r="A1152" s="33" t="s">
        <v>3943</v>
      </c>
      <c r="B1152" s="34">
        <v>46023.585844907408</v>
      </c>
      <c r="C1152" s="34" t="str">
        <f t="shared" si="30"/>
        <v>202601</v>
      </c>
      <c r="D1152" s="35" t="s">
        <v>951</v>
      </c>
      <c r="E1152" s="36" t="s">
        <v>910</v>
      </c>
      <c r="F1152" s="36" t="s">
        <v>2300</v>
      </c>
      <c r="G1152" s="37" t="s">
        <v>3944</v>
      </c>
      <c r="H1152" s="36" t="s">
        <v>928</v>
      </c>
      <c r="I1152" s="35" t="s">
        <v>3945</v>
      </c>
      <c r="J1152" s="36" t="s">
        <v>1058</v>
      </c>
      <c r="K1152" s="33" t="s">
        <v>916</v>
      </c>
      <c r="L1152" s="35" t="s">
        <v>916</v>
      </c>
      <c r="M1152" s="36" t="s">
        <v>916</v>
      </c>
      <c r="N1152" s="45">
        <v>46024.681944444441</v>
      </c>
      <c r="O1152" s="36" t="s">
        <v>1920</v>
      </c>
      <c r="P1152" s="38">
        <v>1.096099537</v>
      </c>
      <c r="Q1152" s="39" t="s">
        <v>2230</v>
      </c>
      <c r="R1152" s="35" t="s">
        <v>916</v>
      </c>
      <c r="S1152" s="35"/>
      <c r="T1152" s="35" t="s">
        <v>1624</v>
      </c>
      <c r="U1152" s="40">
        <v>46024</v>
      </c>
      <c r="V1152" s="41">
        <v>46153.532858796294</v>
      </c>
      <c r="W1152" s="40">
        <v>46023</v>
      </c>
      <c r="X1152" s="35" t="s">
        <v>916</v>
      </c>
      <c r="Y1152" s="35" t="s">
        <v>916</v>
      </c>
      <c r="Z1152" s="35" t="s">
        <v>916</v>
      </c>
      <c r="AA1152" s="38">
        <v>26.306388888000001</v>
      </c>
      <c r="AB1152" s="42" t="s">
        <v>916</v>
      </c>
      <c r="AC1152" s="43" t="s">
        <v>916</v>
      </c>
      <c r="AD1152" s="43" t="s">
        <v>916</v>
      </c>
      <c r="AE1152" s="33" t="s">
        <v>916</v>
      </c>
      <c r="AF1152" s="35" t="s">
        <v>916</v>
      </c>
      <c r="AG1152" s="44">
        <v>490910.06027777778</v>
      </c>
      <c r="AH1152" s="42" t="s">
        <v>916</v>
      </c>
      <c r="AI1152" s="32" t="e">
        <f>VLOOKUP(A1152,'4月明細'!B:B,1,0)</f>
        <v>#N/A</v>
      </c>
    </row>
    <row r="1153" spans="1:35" ht="19.95" customHeight="1" x14ac:dyDescent="0.3">
      <c r="A1153" s="33" t="s">
        <v>32</v>
      </c>
      <c r="B1153" s="34">
        <v>46023.715567129628</v>
      </c>
      <c r="C1153" s="34" t="str">
        <f t="shared" si="30"/>
        <v>202601</v>
      </c>
      <c r="D1153" s="35" t="s">
        <v>2278</v>
      </c>
      <c r="E1153" s="36" t="s">
        <v>910</v>
      </c>
      <c r="F1153" s="36" t="s">
        <v>961</v>
      </c>
      <c r="G1153" s="37" t="s">
        <v>3946</v>
      </c>
      <c r="H1153" s="36" t="s">
        <v>928</v>
      </c>
      <c r="I1153" s="35"/>
      <c r="J1153" s="36" t="s">
        <v>929</v>
      </c>
      <c r="K1153" s="33" t="s">
        <v>916</v>
      </c>
      <c r="L1153" s="35" t="s">
        <v>916</v>
      </c>
      <c r="M1153" s="36" t="s">
        <v>916</v>
      </c>
      <c r="N1153" s="45">
        <v>46024.618750000001</v>
      </c>
      <c r="O1153" s="36" t="s">
        <v>25</v>
      </c>
      <c r="P1153" s="38">
        <v>0.9031828704</v>
      </c>
      <c r="Q1153" s="39" t="s">
        <v>3947</v>
      </c>
      <c r="R1153" s="35" t="s">
        <v>916</v>
      </c>
      <c r="S1153" s="35" t="s">
        <v>3948</v>
      </c>
      <c r="T1153" s="35" t="s">
        <v>1701</v>
      </c>
      <c r="U1153" s="40">
        <v>46024</v>
      </c>
      <c r="V1153" s="41">
        <v>46153.532858796294</v>
      </c>
      <c r="W1153" s="40">
        <v>46023</v>
      </c>
      <c r="X1153" s="35" t="s">
        <v>916</v>
      </c>
      <c r="Y1153" s="35" t="s">
        <v>916</v>
      </c>
      <c r="Z1153" s="35" t="s">
        <v>916</v>
      </c>
      <c r="AA1153" s="38">
        <v>21.676388889599998</v>
      </c>
      <c r="AB1153" s="42" t="s">
        <v>916</v>
      </c>
      <c r="AC1153" s="43" t="s">
        <v>916</v>
      </c>
      <c r="AD1153" s="43" t="s">
        <v>916</v>
      </c>
      <c r="AE1153" s="33" t="s">
        <v>916</v>
      </c>
      <c r="AF1153" s="35" t="s">
        <v>916</v>
      </c>
      <c r="AG1153" s="44">
        <v>490913.17361111112</v>
      </c>
      <c r="AH1153" s="42" t="s">
        <v>916</v>
      </c>
      <c r="AI1153" s="32" t="e">
        <f>VLOOKUP(A1153,'4月明細'!B:B,1,0)</f>
        <v>#N/A</v>
      </c>
    </row>
    <row r="1154" spans="1:35" ht="19.95" customHeight="1" x14ac:dyDescent="0.3">
      <c r="A1154" s="33" t="s">
        <v>31</v>
      </c>
      <c r="B1154" s="34">
        <v>46023.695393518516</v>
      </c>
      <c r="C1154" s="34" t="str">
        <f t="shared" si="30"/>
        <v>202601</v>
      </c>
      <c r="D1154" s="35" t="s">
        <v>909</v>
      </c>
      <c r="E1154" s="36" t="s">
        <v>910</v>
      </c>
      <c r="F1154" s="36" t="s">
        <v>2080</v>
      </c>
      <c r="G1154" s="37" t="s">
        <v>3949</v>
      </c>
      <c r="H1154" s="36" t="s">
        <v>954</v>
      </c>
      <c r="I1154" s="35" t="s">
        <v>3950</v>
      </c>
      <c r="J1154" s="36" t="s">
        <v>929</v>
      </c>
      <c r="K1154" s="33" t="s">
        <v>916</v>
      </c>
      <c r="L1154" s="35" t="s">
        <v>916</v>
      </c>
      <c r="M1154" s="36" t="s">
        <v>916</v>
      </c>
      <c r="N1154" s="45">
        <v>46024.619444444441</v>
      </c>
      <c r="O1154" s="36" t="s">
        <v>25</v>
      </c>
      <c r="P1154" s="38">
        <v>0.92405092590000004</v>
      </c>
      <c r="Q1154" s="39" t="s">
        <v>3951</v>
      </c>
      <c r="R1154" s="35" t="s">
        <v>916</v>
      </c>
      <c r="S1154" s="35" t="s">
        <v>3952</v>
      </c>
      <c r="T1154" s="35" t="s">
        <v>1701</v>
      </c>
      <c r="U1154" s="40">
        <v>46024</v>
      </c>
      <c r="V1154" s="41">
        <v>46153.532858796294</v>
      </c>
      <c r="W1154" s="40">
        <v>46023</v>
      </c>
      <c r="X1154" s="35" t="s">
        <v>916</v>
      </c>
      <c r="Y1154" s="35" t="s">
        <v>916</v>
      </c>
      <c r="Z1154" s="35" t="s">
        <v>916</v>
      </c>
      <c r="AA1154" s="38">
        <v>22.177222221600001</v>
      </c>
      <c r="AB1154" s="42" t="s">
        <v>916</v>
      </c>
      <c r="AC1154" s="43" t="s">
        <v>916</v>
      </c>
      <c r="AD1154" s="43" t="s">
        <v>916</v>
      </c>
      <c r="AE1154" s="33" t="s">
        <v>916</v>
      </c>
      <c r="AF1154" s="35" t="s">
        <v>916</v>
      </c>
      <c r="AG1154" s="44">
        <v>490912.68944444449</v>
      </c>
      <c r="AH1154" s="42" t="s">
        <v>916</v>
      </c>
      <c r="AI1154" s="32" t="e">
        <f>VLOOKUP(A1154,'4月明細'!B:B,1,0)</f>
        <v>#N/A</v>
      </c>
    </row>
    <row r="1155" spans="1:35" ht="19.95" customHeight="1" x14ac:dyDescent="0.3">
      <c r="A1155" s="33" t="s">
        <v>30</v>
      </c>
      <c r="B1155" s="34">
        <v>46023.677048611113</v>
      </c>
      <c r="C1155" s="34" t="str">
        <f t="shared" ref="C1155:C1218" si="31">TEXT(B1155,"YYYYMM")</f>
        <v>202601</v>
      </c>
      <c r="D1155" s="35" t="s">
        <v>909</v>
      </c>
      <c r="E1155" s="36" t="s">
        <v>910</v>
      </c>
      <c r="F1155" s="36" t="s">
        <v>1354</v>
      </c>
      <c r="G1155" s="37" t="s">
        <v>3953</v>
      </c>
      <c r="H1155" s="36" t="s">
        <v>954</v>
      </c>
      <c r="I1155" s="35" t="s">
        <v>3954</v>
      </c>
      <c r="J1155" s="36" t="s">
        <v>929</v>
      </c>
      <c r="K1155" s="33" t="s">
        <v>916</v>
      </c>
      <c r="L1155" s="35" t="s">
        <v>916</v>
      </c>
      <c r="M1155" s="36" t="s">
        <v>957</v>
      </c>
      <c r="N1155" s="45">
        <v>46024.685416666667</v>
      </c>
      <c r="O1155" s="36" t="s">
        <v>25</v>
      </c>
      <c r="P1155" s="38">
        <v>1.0083680556000001</v>
      </c>
      <c r="Q1155" s="39" t="s">
        <v>3955</v>
      </c>
      <c r="R1155" s="35" t="s">
        <v>916</v>
      </c>
      <c r="S1155" s="35" t="s">
        <v>3956</v>
      </c>
      <c r="T1155" s="35" t="s">
        <v>1701</v>
      </c>
      <c r="U1155" s="40">
        <v>46024</v>
      </c>
      <c r="V1155" s="41">
        <v>46153.532858796294</v>
      </c>
      <c r="W1155" s="40">
        <v>46023</v>
      </c>
      <c r="X1155" s="35" t="s">
        <v>916</v>
      </c>
      <c r="Y1155" s="35" t="s">
        <v>916</v>
      </c>
      <c r="Z1155" s="35" t="s">
        <v>916</v>
      </c>
      <c r="AA1155" s="38">
        <v>24.200833334399999</v>
      </c>
      <c r="AB1155" s="42" t="s">
        <v>916</v>
      </c>
      <c r="AC1155" s="43" t="s">
        <v>916</v>
      </c>
      <c r="AD1155" s="43" t="s">
        <v>916</v>
      </c>
      <c r="AE1155" s="33" t="s">
        <v>916</v>
      </c>
      <c r="AF1155" s="35" t="s">
        <v>916</v>
      </c>
      <c r="AG1155" s="44">
        <v>490912.2491666667</v>
      </c>
      <c r="AH1155" s="42" t="s">
        <v>916</v>
      </c>
      <c r="AI1155" s="32" t="e">
        <f>VLOOKUP(A1155,'4月明細'!B:B,1,0)</f>
        <v>#N/A</v>
      </c>
    </row>
    <row r="1156" spans="1:35" ht="19.95" customHeight="1" x14ac:dyDescent="0.3">
      <c r="A1156" s="33" t="s">
        <v>29</v>
      </c>
      <c r="B1156" s="34">
        <v>46023.627662037034</v>
      </c>
      <c r="C1156" s="34" t="str">
        <f t="shared" si="31"/>
        <v>202601</v>
      </c>
      <c r="D1156" s="35" t="s">
        <v>1510</v>
      </c>
      <c r="E1156" s="36" t="s">
        <v>942</v>
      </c>
      <c r="F1156" s="36" t="s">
        <v>1218</v>
      </c>
      <c r="G1156" s="37" t="s">
        <v>3957</v>
      </c>
      <c r="H1156" s="36" t="s">
        <v>1023</v>
      </c>
      <c r="I1156" s="35"/>
      <c r="J1156" s="36" t="s">
        <v>938</v>
      </c>
      <c r="K1156" s="33" t="s">
        <v>916</v>
      </c>
      <c r="L1156" s="35" t="s">
        <v>916</v>
      </c>
      <c r="M1156" s="36" t="s">
        <v>916</v>
      </c>
      <c r="N1156" s="45">
        <v>46024.686111111114</v>
      </c>
      <c r="O1156" s="36" t="s">
        <v>25</v>
      </c>
      <c r="P1156" s="38">
        <v>1.0584490741000001</v>
      </c>
      <c r="Q1156" s="39" t="s">
        <v>3958</v>
      </c>
      <c r="R1156" s="35" t="s">
        <v>916</v>
      </c>
      <c r="S1156" s="35" t="s">
        <v>3959</v>
      </c>
      <c r="T1156" s="35" t="s">
        <v>1701</v>
      </c>
      <c r="U1156" s="40">
        <v>46024</v>
      </c>
      <c r="V1156" s="41">
        <v>46153.532858796294</v>
      </c>
      <c r="W1156" s="40">
        <v>46023</v>
      </c>
      <c r="X1156" s="35" t="s">
        <v>916</v>
      </c>
      <c r="Y1156" s="35" t="s">
        <v>916</v>
      </c>
      <c r="Z1156" s="35" t="s">
        <v>916</v>
      </c>
      <c r="AA1156" s="38">
        <v>25.402777778400001</v>
      </c>
      <c r="AB1156" s="42" t="s">
        <v>916</v>
      </c>
      <c r="AC1156" s="43" t="s">
        <v>916</v>
      </c>
      <c r="AD1156" s="43" t="s">
        <v>916</v>
      </c>
      <c r="AE1156" s="33" t="s">
        <v>916</v>
      </c>
      <c r="AF1156" s="35" t="s">
        <v>916</v>
      </c>
      <c r="AG1156" s="44">
        <v>490911.06388888892</v>
      </c>
      <c r="AH1156" s="42" t="s">
        <v>916</v>
      </c>
      <c r="AI1156" s="32" t="e">
        <f>VLOOKUP(A1156,'4月明細'!B:B,1,0)</f>
        <v>#N/A</v>
      </c>
    </row>
    <row r="1157" spans="1:35" ht="19.95" customHeight="1" x14ac:dyDescent="0.3">
      <c r="A1157" s="33" t="s">
        <v>28</v>
      </c>
      <c r="B1157" s="34">
        <v>46023.596863425926</v>
      </c>
      <c r="C1157" s="34" t="str">
        <f t="shared" si="31"/>
        <v>202601</v>
      </c>
      <c r="D1157" s="35" t="s">
        <v>951</v>
      </c>
      <c r="E1157" s="36" t="s">
        <v>910</v>
      </c>
      <c r="F1157" s="36" t="s">
        <v>1341</v>
      </c>
      <c r="G1157" s="37" t="s">
        <v>3960</v>
      </c>
      <c r="H1157" s="36" t="s">
        <v>1023</v>
      </c>
      <c r="I1157" s="35" t="s">
        <v>3961</v>
      </c>
      <c r="J1157" s="36" t="s">
        <v>914</v>
      </c>
      <c r="K1157" s="33" t="s">
        <v>916</v>
      </c>
      <c r="L1157" s="35" t="s">
        <v>916</v>
      </c>
      <c r="M1157" s="36" t="s">
        <v>916</v>
      </c>
      <c r="N1157" s="45">
        <v>46024.6875</v>
      </c>
      <c r="O1157" s="36" t="s">
        <v>25</v>
      </c>
      <c r="P1157" s="38">
        <v>1.0906365740999999</v>
      </c>
      <c r="Q1157" s="39" t="s">
        <v>3962</v>
      </c>
      <c r="R1157" s="35" t="s">
        <v>916</v>
      </c>
      <c r="S1157" s="35" t="s">
        <v>3963</v>
      </c>
      <c r="T1157" s="35" t="s">
        <v>1701</v>
      </c>
      <c r="U1157" s="40">
        <v>46024</v>
      </c>
      <c r="V1157" s="41">
        <v>46153.532858796294</v>
      </c>
      <c r="W1157" s="40">
        <v>46023</v>
      </c>
      <c r="X1157" s="35" t="s">
        <v>916</v>
      </c>
      <c r="Y1157" s="35" t="s">
        <v>916</v>
      </c>
      <c r="Z1157" s="35" t="s">
        <v>916</v>
      </c>
      <c r="AA1157" s="38">
        <v>26.175277778400002</v>
      </c>
      <c r="AB1157" s="42" t="s">
        <v>916</v>
      </c>
      <c r="AC1157" s="43" t="s">
        <v>916</v>
      </c>
      <c r="AD1157" s="43" t="s">
        <v>916</v>
      </c>
      <c r="AE1157" s="33" t="s">
        <v>916</v>
      </c>
      <c r="AF1157" s="35" t="s">
        <v>916</v>
      </c>
      <c r="AG1157" s="44">
        <v>490910.32472222223</v>
      </c>
      <c r="AH1157" s="42" t="s">
        <v>916</v>
      </c>
      <c r="AI1157" s="32" t="e">
        <f>VLOOKUP(A1157,'4月明細'!B:B,1,0)</f>
        <v>#N/A</v>
      </c>
    </row>
    <row r="1158" spans="1:35" ht="19.95" customHeight="1" x14ac:dyDescent="0.3">
      <c r="A1158" s="33" t="s">
        <v>27</v>
      </c>
      <c r="B1158" s="34">
        <v>46023.585578703707</v>
      </c>
      <c r="C1158" s="34" t="str">
        <f t="shared" si="31"/>
        <v>202601</v>
      </c>
      <c r="D1158" s="35" t="s">
        <v>951</v>
      </c>
      <c r="E1158" s="36" t="s">
        <v>910</v>
      </c>
      <c r="F1158" s="36" t="s">
        <v>1341</v>
      </c>
      <c r="G1158" s="37" t="s">
        <v>3964</v>
      </c>
      <c r="H1158" s="36" t="s">
        <v>954</v>
      </c>
      <c r="I1158" s="35" t="s">
        <v>3965</v>
      </c>
      <c r="J1158" s="36" t="s">
        <v>914</v>
      </c>
      <c r="K1158" s="33" t="s">
        <v>916</v>
      </c>
      <c r="L1158" s="35" t="s">
        <v>916</v>
      </c>
      <c r="M1158" s="36" t="s">
        <v>916</v>
      </c>
      <c r="N1158" s="45">
        <v>46024.688888888886</v>
      </c>
      <c r="O1158" s="36" t="s">
        <v>25</v>
      </c>
      <c r="P1158" s="38">
        <v>1.1033101852</v>
      </c>
      <c r="Q1158" s="39" t="s">
        <v>3966</v>
      </c>
      <c r="R1158" s="35" t="s">
        <v>916</v>
      </c>
      <c r="S1158" s="35" t="s">
        <v>3967</v>
      </c>
      <c r="T1158" s="35" t="s">
        <v>1701</v>
      </c>
      <c r="U1158" s="40">
        <v>46024</v>
      </c>
      <c r="V1158" s="41">
        <v>46153.532858796294</v>
      </c>
      <c r="W1158" s="40">
        <v>46023</v>
      </c>
      <c r="X1158" s="35" t="s">
        <v>916</v>
      </c>
      <c r="Y1158" s="35" t="s">
        <v>916</v>
      </c>
      <c r="Z1158" s="35" t="s">
        <v>916</v>
      </c>
      <c r="AA1158" s="38">
        <v>26.479444444799999</v>
      </c>
      <c r="AB1158" s="42" t="s">
        <v>916</v>
      </c>
      <c r="AC1158" s="43" t="s">
        <v>916</v>
      </c>
      <c r="AD1158" s="43" t="s">
        <v>916</v>
      </c>
      <c r="AE1158" s="33" t="s">
        <v>916</v>
      </c>
      <c r="AF1158" s="35" t="s">
        <v>916</v>
      </c>
      <c r="AG1158" s="44">
        <v>490910.05388888891</v>
      </c>
      <c r="AH1158" s="42" t="s">
        <v>916</v>
      </c>
      <c r="AI1158" s="32" t="e">
        <f>VLOOKUP(A1158,'4月明細'!B:B,1,0)</f>
        <v>#N/A</v>
      </c>
    </row>
    <row r="1159" spans="1:35" ht="19.95" customHeight="1" x14ac:dyDescent="0.3">
      <c r="A1159" s="33" t="s">
        <v>26</v>
      </c>
      <c r="B1159" s="34">
        <v>46023.576145833336</v>
      </c>
      <c r="C1159" s="34" t="str">
        <f t="shared" si="31"/>
        <v>202601</v>
      </c>
      <c r="D1159" s="35" t="s">
        <v>2278</v>
      </c>
      <c r="E1159" s="36" t="s">
        <v>910</v>
      </c>
      <c r="F1159" s="36" t="s">
        <v>1870</v>
      </c>
      <c r="G1159" s="37" t="s">
        <v>3968</v>
      </c>
      <c r="H1159" s="36" t="s">
        <v>928</v>
      </c>
      <c r="I1159" s="35"/>
      <c r="J1159" s="36" t="s">
        <v>914</v>
      </c>
      <c r="K1159" s="33" t="s">
        <v>916</v>
      </c>
      <c r="L1159" s="35" t="s">
        <v>916</v>
      </c>
      <c r="M1159" s="36" t="s">
        <v>916</v>
      </c>
      <c r="N1159" s="45">
        <v>46024.689583333333</v>
      </c>
      <c r="O1159" s="36" t="s">
        <v>25</v>
      </c>
      <c r="P1159" s="38">
        <v>1.1134375000000001</v>
      </c>
      <c r="Q1159" s="39" t="s">
        <v>3969</v>
      </c>
      <c r="R1159" s="35" t="s">
        <v>916</v>
      </c>
      <c r="S1159" s="35" t="s">
        <v>3970</v>
      </c>
      <c r="T1159" s="35" t="s">
        <v>1701</v>
      </c>
      <c r="U1159" s="40">
        <v>46024</v>
      </c>
      <c r="V1159" s="41">
        <v>46153.532858796294</v>
      </c>
      <c r="W1159" s="40">
        <v>46023</v>
      </c>
      <c r="X1159" s="35" t="s">
        <v>916</v>
      </c>
      <c r="Y1159" s="35" t="s">
        <v>916</v>
      </c>
      <c r="Z1159" s="35" t="s">
        <v>916</v>
      </c>
      <c r="AA1159" s="38">
        <v>26.7225</v>
      </c>
      <c r="AB1159" s="42" t="s">
        <v>916</v>
      </c>
      <c r="AC1159" s="43" t="s">
        <v>916</v>
      </c>
      <c r="AD1159" s="43" t="s">
        <v>916</v>
      </c>
      <c r="AE1159" s="33" t="s">
        <v>916</v>
      </c>
      <c r="AF1159" s="35" t="s">
        <v>916</v>
      </c>
      <c r="AG1159" s="44">
        <v>490909.82750000001</v>
      </c>
      <c r="AH1159" s="42" t="s">
        <v>916</v>
      </c>
      <c r="AI1159" s="32" t="e">
        <f>VLOOKUP(A1159,'4月明細'!B:B,1,0)</f>
        <v>#N/A</v>
      </c>
    </row>
    <row r="1160" spans="1:35" ht="19.95" customHeight="1" x14ac:dyDescent="0.3">
      <c r="A1160" s="33" t="s">
        <v>3971</v>
      </c>
      <c r="B1160" s="34">
        <v>46023.54184027778</v>
      </c>
      <c r="C1160" s="34" t="str">
        <f t="shared" si="31"/>
        <v>202601</v>
      </c>
      <c r="D1160" s="35" t="s">
        <v>986</v>
      </c>
      <c r="E1160" s="36" t="s">
        <v>910</v>
      </c>
      <c r="F1160" s="36" t="s">
        <v>1634</v>
      </c>
      <c r="G1160" s="37" t="s">
        <v>3972</v>
      </c>
      <c r="H1160" s="36" t="s">
        <v>954</v>
      </c>
      <c r="I1160" s="35"/>
      <c r="J1160" s="36" t="s">
        <v>914</v>
      </c>
      <c r="K1160" s="33" t="s">
        <v>916</v>
      </c>
      <c r="L1160" s="35" t="s">
        <v>916</v>
      </c>
      <c r="M1160" s="36" t="s">
        <v>1039</v>
      </c>
      <c r="N1160" s="45">
        <v>46090.4375</v>
      </c>
      <c r="O1160" s="36" t="s">
        <v>1384</v>
      </c>
      <c r="P1160" s="38">
        <v>66.895659722199994</v>
      </c>
      <c r="Q1160" s="39" t="s">
        <v>2950</v>
      </c>
      <c r="R1160" s="35" t="s">
        <v>916</v>
      </c>
      <c r="S1160" s="35"/>
      <c r="T1160" s="35" t="s">
        <v>1624</v>
      </c>
      <c r="U1160" s="40">
        <v>46024</v>
      </c>
      <c r="V1160" s="41">
        <v>46153.532858796294</v>
      </c>
      <c r="W1160" s="40">
        <v>46023</v>
      </c>
      <c r="X1160" s="35" t="s">
        <v>916</v>
      </c>
      <c r="Y1160" s="35" t="s">
        <v>916</v>
      </c>
      <c r="Z1160" s="35" t="s">
        <v>916</v>
      </c>
      <c r="AA1160" s="38">
        <v>1605.4958333328</v>
      </c>
      <c r="AB1160" s="42" t="s">
        <v>916</v>
      </c>
      <c r="AC1160" s="43" t="s">
        <v>916</v>
      </c>
      <c r="AD1160" s="43" t="s">
        <v>916</v>
      </c>
      <c r="AE1160" s="33" t="s">
        <v>916</v>
      </c>
      <c r="AF1160" s="35" t="s">
        <v>916</v>
      </c>
      <c r="AG1160" s="44">
        <v>490909.00416666671</v>
      </c>
      <c r="AH1160" s="42" t="s">
        <v>916</v>
      </c>
      <c r="AI1160" s="32" t="e">
        <f>VLOOKUP(A1160,'4月明細'!B:B,1,0)</f>
        <v>#N/A</v>
      </c>
    </row>
    <row r="1161" spans="1:35" ht="19.95" customHeight="1" x14ac:dyDescent="0.3">
      <c r="A1161" s="33" t="s">
        <v>24</v>
      </c>
      <c r="B1161" s="34">
        <v>46023.529074074075</v>
      </c>
      <c r="C1161" s="34" t="str">
        <f t="shared" si="31"/>
        <v>202601</v>
      </c>
      <c r="D1161" s="35" t="s">
        <v>951</v>
      </c>
      <c r="E1161" s="36" t="s">
        <v>910</v>
      </c>
      <c r="F1161" s="36" t="s">
        <v>2059</v>
      </c>
      <c r="G1161" s="37" t="s">
        <v>3973</v>
      </c>
      <c r="H1161" s="36" t="s">
        <v>1023</v>
      </c>
      <c r="I1161" s="35" t="s">
        <v>3974</v>
      </c>
      <c r="J1161" s="36" t="s">
        <v>914</v>
      </c>
      <c r="K1161" s="33" t="s">
        <v>916</v>
      </c>
      <c r="L1161" s="35" t="s">
        <v>916</v>
      </c>
      <c r="M1161" s="36" t="s">
        <v>957</v>
      </c>
      <c r="N1161" s="45">
        <v>46024.695833333331</v>
      </c>
      <c r="O1161" s="36" t="s">
        <v>25</v>
      </c>
      <c r="P1161" s="38">
        <v>1.1667592593</v>
      </c>
      <c r="Q1161" s="39" t="s">
        <v>3975</v>
      </c>
      <c r="R1161" s="35" t="s">
        <v>916</v>
      </c>
      <c r="S1161" s="35" t="s">
        <v>3976</v>
      </c>
      <c r="T1161" s="35" t="s">
        <v>1701</v>
      </c>
      <c r="U1161" s="40">
        <v>46024</v>
      </c>
      <c r="V1161" s="41">
        <v>46153.532858796294</v>
      </c>
      <c r="W1161" s="40">
        <v>46023</v>
      </c>
      <c r="X1161" s="35" t="s">
        <v>916</v>
      </c>
      <c r="Y1161" s="35" t="s">
        <v>916</v>
      </c>
      <c r="Z1161" s="35" t="s">
        <v>916</v>
      </c>
      <c r="AA1161" s="38">
        <v>28.0022222232</v>
      </c>
      <c r="AB1161" s="42" t="s">
        <v>916</v>
      </c>
      <c r="AC1161" s="43" t="s">
        <v>916</v>
      </c>
      <c r="AD1161" s="43" t="s">
        <v>916</v>
      </c>
      <c r="AE1161" s="33" t="s">
        <v>916</v>
      </c>
      <c r="AF1161" s="35" t="s">
        <v>916</v>
      </c>
      <c r="AG1161" s="44">
        <v>490908.69777777779</v>
      </c>
      <c r="AH1161" s="42" t="s">
        <v>916</v>
      </c>
      <c r="AI1161" s="32" t="e">
        <f>VLOOKUP(A1161,'4月明細'!B:B,1,0)</f>
        <v>#N/A</v>
      </c>
    </row>
    <row r="1162" spans="1:35" ht="19.95" customHeight="1" x14ac:dyDescent="0.3">
      <c r="A1162" s="33" t="s">
        <v>3977</v>
      </c>
      <c r="B1162" s="34">
        <v>46022.626099537039</v>
      </c>
      <c r="C1162" s="34" t="str">
        <f t="shared" si="31"/>
        <v>202512</v>
      </c>
      <c r="D1162" s="35" t="s">
        <v>909</v>
      </c>
      <c r="E1162" s="36" t="s">
        <v>910</v>
      </c>
      <c r="F1162" s="36" t="s">
        <v>1220</v>
      </c>
      <c r="G1162" s="37" t="s">
        <v>3978</v>
      </c>
      <c r="H1162" s="36" t="s">
        <v>3979</v>
      </c>
      <c r="I1162" s="35" t="s">
        <v>3980</v>
      </c>
      <c r="J1162" s="36" t="s">
        <v>914</v>
      </c>
      <c r="K1162" s="33" t="s">
        <v>916</v>
      </c>
      <c r="L1162" s="35" t="s">
        <v>916</v>
      </c>
      <c r="M1162" s="36" t="s">
        <v>916</v>
      </c>
      <c r="N1162" s="45">
        <v>46022</v>
      </c>
      <c r="O1162" s="36" t="s">
        <v>25</v>
      </c>
      <c r="P1162" s="38">
        <v>-0.62609953699999998</v>
      </c>
      <c r="Q1162" s="39" t="s">
        <v>3981</v>
      </c>
      <c r="R1162" s="35" t="s">
        <v>916</v>
      </c>
      <c r="S1162" s="35"/>
      <c r="T1162" s="35" t="s">
        <v>1624</v>
      </c>
      <c r="U1162" s="40">
        <v>46023</v>
      </c>
      <c r="V1162" s="41">
        <v>46153.532858796294</v>
      </c>
      <c r="W1162" s="40">
        <v>46022</v>
      </c>
      <c r="X1162" s="35" t="s">
        <v>916</v>
      </c>
      <c r="Y1162" s="35" t="s">
        <v>916</v>
      </c>
      <c r="Z1162" s="35" t="s">
        <v>916</v>
      </c>
      <c r="AA1162" s="38">
        <v>-15.026388888</v>
      </c>
      <c r="AB1162" s="42" t="s">
        <v>916</v>
      </c>
      <c r="AC1162" s="43" t="s">
        <v>916</v>
      </c>
      <c r="AD1162" s="43" t="s">
        <v>916</v>
      </c>
      <c r="AE1162" s="33" t="s">
        <v>3982</v>
      </c>
      <c r="AF1162" s="35" t="s">
        <v>916</v>
      </c>
      <c r="AG1162" s="44">
        <v>490887.02638888889</v>
      </c>
      <c r="AH1162" s="42" t="s">
        <v>916</v>
      </c>
      <c r="AI1162" s="32" t="e">
        <f>VLOOKUP(A1162,'4月明細'!B:B,1,0)</f>
        <v>#N/A</v>
      </c>
    </row>
    <row r="1163" spans="1:35" ht="19.95" customHeight="1" x14ac:dyDescent="0.3">
      <c r="A1163" s="33" t="s">
        <v>3983</v>
      </c>
      <c r="B1163" s="34">
        <v>46022.618738425925</v>
      </c>
      <c r="C1163" s="34" t="str">
        <f t="shared" si="31"/>
        <v>202512</v>
      </c>
      <c r="D1163" s="35" t="s">
        <v>909</v>
      </c>
      <c r="E1163" s="36" t="s">
        <v>910</v>
      </c>
      <c r="F1163" s="36" t="s">
        <v>1004</v>
      </c>
      <c r="G1163" s="37" t="s">
        <v>3984</v>
      </c>
      <c r="H1163" s="36" t="s">
        <v>3985</v>
      </c>
      <c r="I1163" s="35" t="s">
        <v>3986</v>
      </c>
      <c r="J1163" s="36" t="s">
        <v>914</v>
      </c>
      <c r="K1163" s="33" t="s">
        <v>916</v>
      </c>
      <c r="L1163" s="35" t="s">
        <v>916</v>
      </c>
      <c r="M1163" s="36" t="s">
        <v>916</v>
      </c>
      <c r="N1163" s="45">
        <v>46022</v>
      </c>
      <c r="O1163" s="36" t="s">
        <v>25</v>
      </c>
      <c r="P1163" s="38">
        <v>-0.61873842590000006</v>
      </c>
      <c r="Q1163" s="39" t="s">
        <v>3987</v>
      </c>
      <c r="R1163" s="35" t="s">
        <v>916</v>
      </c>
      <c r="S1163" s="35" t="s">
        <v>3988</v>
      </c>
      <c r="T1163" s="35" t="s">
        <v>1624</v>
      </c>
      <c r="U1163" s="40">
        <v>46023</v>
      </c>
      <c r="V1163" s="41">
        <v>46153.532858796294</v>
      </c>
      <c r="W1163" s="40">
        <v>46022</v>
      </c>
      <c r="X1163" s="35" t="s">
        <v>916</v>
      </c>
      <c r="Y1163" s="35" t="s">
        <v>916</v>
      </c>
      <c r="Z1163" s="35" t="s">
        <v>916</v>
      </c>
      <c r="AA1163" s="38">
        <v>-14.8497222216</v>
      </c>
      <c r="AB1163" s="42" t="s">
        <v>916</v>
      </c>
      <c r="AC1163" s="43" t="s">
        <v>916</v>
      </c>
      <c r="AD1163" s="43" t="s">
        <v>916</v>
      </c>
      <c r="AE1163" s="33" t="s">
        <v>3982</v>
      </c>
      <c r="AF1163" s="35" t="s">
        <v>916</v>
      </c>
      <c r="AG1163" s="44">
        <v>490886.84972222219</v>
      </c>
      <c r="AH1163" s="42" t="s">
        <v>916</v>
      </c>
      <c r="AI1163" s="32" t="e">
        <f>VLOOKUP(A1163,'4月明細'!B:B,1,0)</f>
        <v>#N/A</v>
      </c>
    </row>
    <row r="1164" spans="1:35" ht="19.95" customHeight="1" x14ac:dyDescent="0.3">
      <c r="A1164" s="33" t="s">
        <v>3989</v>
      </c>
      <c r="B1164" s="34">
        <v>46022.585451388892</v>
      </c>
      <c r="C1164" s="34" t="str">
        <f t="shared" si="31"/>
        <v>202512</v>
      </c>
      <c r="D1164" s="35" t="s">
        <v>1747</v>
      </c>
      <c r="E1164" s="36" t="s">
        <v>942</v>
      </c>
      <c r="F1164" s="36" t="s">
        <v>1282</v>
      </c>
      <c r="G1164" s="37" t="s">
        <v>3990</v>
      </c>
      <c r="H1164" s="36" t="s">
        <v>3991</v>
      </c>
      <c r="I1164" s="35"/>
      <c r="J1164" s="36" t="s">
        <v>945</v>
      </c>
      <c r="K1164" s="33" t="s">
        <v>916</v>
      </c>
      <c r="L1164" s="35" t="s">
        <v>916</v>
      </c>
      <c r="M1164" s="36" t="s">
        <v>923</v>
      </c>
      <c r="N1164" s="45">
        <v>46022</v>
      </c>
      <c r="O1164" s="36" t="s">
        <v>25</v>
      </c>
      <c r="P1164" s="38">
        <v>-0.58545138890000004</v>
      </c>
      <c r="Q1164" s="39" t="s">
        <v>3992</v>
      </c>
      <c r="R1164" s="35" t="s">
        <v>916</v>
      </c>
      <c r="S1164" s="35" t="s">
        <v>3993</v>
      </c>
      <c r="T1164" s="35" t="s">
        <v>1624</v>
      </c>
      <c r="U1164" s="40">
        <v>46023</v>
      </c>
      <c r="V1164" s="41">
        <v>46153.532858796294</v>
      </c>
      <c r="W1164" s="40">
        <v>46022</v>
      </c>
      <c r="X1164" s="35" t="s">
        <v>916</v>
      </c>
      <c r="Y1164" s="35" t="s">
        <v>916</v>
      </c>
      <c r="Z1164" s="35" t="s">
        <v>916</v>
      </c>
      <c r="AA1164" s="38">
        <v>-14.0508333336</v>
      </c>
      <c r="AB1164" s="42" t="s">
        <v>916</v>
      </c>
      <c r="AC1164" s="43" t="s">
        <v>916</v>
      </c>
      <c r="AD1164" s="43" t="s">
        <v>916</v>
      </c>
      <c r="AE1164" s="33" t="s">
        <v>3982</v>
      </c>
      <c r="AF1164" s="35" t="s">
        <v>916</v>
      </c>
      <c r="AG1164" s="44">
        <v>490886.05083333328</v>
      </c>
      <c r="AH1164" s="42" t="s">
        <v>916</v>
      </c>
      <c r="AI1164" s="32" t="e">
        <f>VLOOKUP(A1164,'4月明細'!B:B,1,0)</f>
        <v>#N/A</v>
      </c>
    </row>
    <row r="1165" spans="1:35" ht="19.95" customHeight="1" x14ac:dyDescent="0.3">
      <c r="A1165" s="33" t="s">
        <v>3994</v>
      </c>
      <c r="B1165" s="34">
        <v>46022.501076388886</v>
      </c>
      <c r="C1165" s="34" t="str">
        <f t="shared" si="31"/>
        <v>202512</v>
      </c>
      <c r="D1165" s="35" t="s">
        <v>951</v>
      </c>
      <c r="E1165" s="36" t="s">
        <v>910</v>
      </c>
      <c r="F1165" s="36" t="s">
        <v>1377</v>
      </c>
      <c r="G1165" s="37" t="s">
        <v>3995</v>
      </c>
      <c r="H1165" s="36" t="s">
        <v>3996</v>
      </c>
      <c r="I1165" s="35" t="s">
        <v>3997</v>
      </c>
      <c r="J1165" s="36" t="s">
        <v>914</v>
      </c>
      <c r="K1165" s="33" t="s">
        <v>916</v>
      </c>
      <c r="L1165" s="35" t="s">
        <v>916</v>
      </c>
      <c r="M1165" s="36" t="s">
        <v>916</v>
      </c>
      <c r="N1165" s="45">
        <v>46022</v>
      </c>
      <c r="O1165" s="36" t="s">
        <v>25</v>
      </c>
      <c r="P1165" s="38">
        <v>-0.50107638889999995</v>
      </c>
      <c r="Q1165" s="39" t="s">
        <v>3998</v>
      </c>
      <c r="R1165" s="35" t="s">
        <v>916</v>
      </c>
      <c r="S1165" s="35"/>
      <c r="T1165" s="35" t="s">
        <v>1624</v>
      </c>
      <c r="U1165" s="40">
        <v>46023</v>
      </c>
      <c r="V1165" s="41">
        <v>46153.532858796294</v>
      </c>
      <c r="W1165" s="40">
        <v>46022</v>
      </c>
      <c r="X1165" s="35" t="s">
        <v>916</v>
      </c>
      <c r="Y1165" s="35" t="s">
        <v>916</v>
      </c>
      <c r="Z1165" s="35" t="s">
        <v>916</v>
      </c>
      <c r="AA1165" s="38">
        <v>-12.0258333336</v>
      </c>
      <c r="AB1165" s="42" t="s">
        <v>916</v>
      </c>
      <c r="AC1165" s="43" t="s">
        <v>916</v>
      </c>
      <c r="AD1165" s="43" t="s">
        <v>916</v>
      </c>
      <c r="AE1165" s="33" t="s">
        <v>3982</v>
      </c>
      <c r="AF1165" s="35" t="s">
        <v>916</v>
      </c>
      <c r="AG1165" s="44">
        <v>490884.02583333338</v>
      </c>
      <c r="AH1165" s="42" t="s">
        <v>916</v>
      </c>
      <c r="AI1165" s="32" t="e">
        <f>VLOOKUP(A1165,'4月明細'!B:B,1,0)</f>
        <v>#N/A</v>
      </c>
    </row>
    <row r="1166" spans="1:35" ht="19.95" customHeight="1" x14ac:dyDescent="0.3">
      <c r="A1166" s="33" t="s">
        <v>3999</v>
      </c>
      <c r="B1166" s="34">
        <v>46022.484537037039</v>
      </c>
      <c r="C1166" s="34" t="str">
        <f t="shared" si="31"/>
        <v>202512</v>
      </c>
      <c r="D1166" s="35" t="s">
        <v>909</v>
      </c>
      <c r="E1166" s="36" t="s">
        <v>910</v>
      </c>
      <c r="F1166" s="36" t="s">
        <v>1967</v>
      </c>
      <c r="G1166" s="37" t="s">
        <v>1499</v>
      </c>
      <c r="H1166" s="36" t="s">
        <v>3979</v>
      </c>
      <c r="I1166" s="35" t="s">
        <v>4000</v>
      </c>
      <c r="J1166" s="36" t="s">
        <v>914</v>
      </c>
      <c r="K1166" s="33" t="s">
        <v>916</v>
      </c>
      <c r="L1166" s="35" t="s">
        <v>916</v>
      </c>
      <c r="M1166" s="36" t="s">
        <v>916</v>
      </c>
      <c r="N1166" s="45">
        <v>46022</v>
      </c>
      <c r="O1166" s="36" t="s">
        <v>25</v>
      </c>
      <c r="P1166" s="38">
        <v>-0.484537037</v>
      </c>
      <c r="Q1166" s="39" t="s">
        <v>4001</v>
      </c>
      <c r="R1166" s="35" t="s">
        <v>916</v>
      </c>
      <c r="S1166" s="35"/>
      <c r="T1166" s="35" t="s">
        <v>1624</v>
      </c>
      <c r="U1166" s="40">
        <v>46023</v>
      </c>
      <c r="V1166" s="41">
        <v>46153.532858796294</v>
      </c>
      <c r="W1166" s="40">
        <v>46022</v>
      </c>
      <c r="X1166" s="35" t="s">
        <v>916</v>
      </c>
      <c r="Y1166" s="35" t="s">
        <v>916</v>
      </c>
      <c r="Z1166" s="35" t="s">
        <v>916</v>
      </c>
      <c r="AA1166" s="38">
        <v>-11.628888888000001</v>
      </c>
      <c r="AB1166" s="42" t="s">
        <v>916</v>
      </c>
      <c r="AC1166" s="43" t="s">
        <v>916</v>
      </c>
      <c r="AD1166" s="43" t="s">
        <v>916</v>
      </c>
      <c r="AE1166" s="33" t="s">
        <v>3982</v>
      </c>
      <c r="AF1166" s="35" t="s">
        <v>916</v>
      </c>
      <c r="AG1166" s="44">
        <v>490883.62888888892</v>
      </c>
      <c r="AH1166" s="42" t="s">
        <v>916</v>
      </c>
      <c r="AI1166" s="32" t="e">
        <f>VLOOKUP(A1166,'4月明細'!B:B,1,0)</f>
        <v>#N/A</v>
      </c>
    </row>
    <row r="1167" spans="1:35" ht="19.95" customHeight="1" x14ac:dyDescent="0.3">
      <c r="A1167" s="33" t="s">
        <v>4002</v>
      </c>
      <c r="B1167" s="34">
        <v>46022.465787037036</v>
      </c>
      <c r="C1167" s="34" t="str">
        <f t="shared" si="31"/>
        <v>202512</v>
      </c>
      <c r="D1167" s="35" t="s">
        <v>2278</v>
      </c>
      <c r="E1167" s="36" t="s">
        <v>910</v>
      </c>
      <c r="F1167" s="36" t="s">
        <v>1068</v>
      </c>
      <c r="G1167" s="37" t="s">
        <v>4003</v>
      </c>
      <c r="H1167" s="36" t="s">
        <v>1079</v>
      </c>
      <c r="I1167" s="35"/>
      <c r="J1167" s="36" t="s">
        <v>914</v>
      </c>
      <c r="K1167" s="33" t="s">
        <v>916</v>
      </c>
      <c r="L1167" s="35" t="s">
        <v>916</v>
      </c>
      <c r="M1167" s="36" t="s">
        <v>916</v>
      </c>
      <c r="N1167" s="45">
        <v>46022</v>
      </c>
      <c r="O1167" s="36" t="s">
        <v>25</v>
      </c>
      <c r="P1167" s="38">
        <v>-0.46578703700000001</v>
      </c>
      <c r="Q1167" s="39" t="s">
        <v>4004</v>
      </c>
      <c r="R1167" s="35" t="s">
        <v>916</v>
      </c>
      <c r="S1167" s="35"/>
      <c r="T1167" s="35" t="s">
        <v>1624</v>
      </c>
      <c r="U1167" s="40">
        <v>46023</v>
      </c>
      <c r="V1167" s="41">
        <v>46153.532858796294</v>
      </c>
      <c r="W1167" s="40">
        <v>46022</v>
      </c>
      <c r="X1167" s="35" t="s">
        <v>916</v>
      </c>
      <c r="Y1167" s="35" t="s">
        <v>916</v>
      </c>
      <c r="Z1167" s="35" t="s">
        <v>916</v>
      </c>
      <c r="AA1167" s="38">
        <v>-11.178888887999999</v>
      </c>
      <c r="AB1167" s="42" t="s">
        <v>916</v>
      </c>
      <c r="AC1167" s="43" t="s">
        <v>916</v>
      </c>
      <c r="AD1167" s="43" t="s">
        <v>916</v>
      </c>
      <c r="AE1167" s="33" t="s">
        <v>3982</v>
      </c>
      <c r="AF1167" s="35" t="s">
        <v>916</v>
      </c>
      <c r="AG1167" s="44">
        <v>490883.17888888891</v>
      </c>
      <c r="AH1167" s="42" t="s">
        <v>916</v>
      </c>
      <c r="AI1167" s="32" t="e">
        <f>VLOOKUP(A1167,'4月明細'!B:B,1,0)</f>
        <v>#N/A</v>
      </c>
    </row>
    <row r="1168" spans="1:35" ht="19.95" customHeight="1" x14ac:dyDescent="0.3">
      <c r="A1168" s="33" t="s">
        <v>4005</v>
      </c>
      <c r="B1168" s="34">
        <v>46022.421724537038</v>
      </c>
      <c r="C1168" s="34" t="str">
        <f t="shared" si="31"/>
        <v>202512</v>
      </c>
      <c r="D1168" s="35" t="s">
        <v>909</v>
      </c>
      <c r="E1168" s="36" t="s">
        <v>910</v>
      </c>
      <c r="F1168" s="36" t="s">
        <v>1060</v>
      </c>
      <c r="G1168" s="37" t="s">
        <v>4006</v>
      </c>
      <c r="H1168" s="36" t="s">
        <v>4007</v>
      </c>
      <c r="I1168" s="35" t="s">
        <v>4008</v>
      </c>
      <c r="J1168" s="36" t="s">
        <v>914</v>
      </c>
      <c r="K1168" s="33" t="s">
        <v>916</v>
      </c>
      <c r="L1168" s="35" t="s">
        <v>916</v>
      </c>
      <c r="M1168" s="36" t="s">
        <v>916</v>
      </c>
      <c r="N1168" s="45">
        <v>46022</v>
      </c>
      <c r="O1168" s="36" t="s">
        <v>25</v>
      </c>
      <c r="P1168" s="38">
        <v>-0.42172453700000001</v>
      </c>
      <c r="Q1168" s="39" t="s">
        <v>4009</v>
      </c>
      <c r="R1168" s="35" t="s">
        <v>916</v>
      </c>
      <c r="S1168" s="35"/>
      <c r="T1168" s="35" t="s">
        <v>1624</v>
      </c>
      <c r="U1168" s="40">
        <v>46023</v>
      </c>
      <c r="V1168" s="41">
        <v>46153.532858796294</v>
      </c>
      <c r="W1168" s="40">
        <v>46022</v>
      </c>
      <c r="X1168" s="35" t="s">
        <v>916</v>
      </c>
      <c r="Y1168" s="35" t="s">
        <v>916</v>
      </c>
      <c r="Z1168" s="35" t="s">
        <v>916</v>
      </c>
      <c r="AA1168" s="38">
        <v>-10.121388888</v>
      </c>
      <c r="AB1168" s="42" t="s">
        <v>916</v>
      </c>
      <c r="AC1168" s="43" t="s">
        <v>916</v>
      </c>
      <c r="AD1168" s="43" t="s">
        <v>916</v>
      </c>
      <c r="AE1168" s="33" t="s">
        <v>3982</v>
      </c>
      <c r="AF1168" s="35" t="s">
        <v>916</v>
      </c>
      <c r="AG1168" s="44">
        <v>490882.12138888892</v>
      </c>
      <c r="AH1168" s="42" t="s">
        <v>916</v>
      </c>
      <c r="AI1168" s="32" t="e">
        <f>VLOOKUP(A1168,'4月明細'!B:B,1,0)</f>
        <v>#N/A</v>
      </c>
    </row>
    <row r="1169" spans="1:35" ht="19.95" customHeight="1" x14ac:dyDescent="0.3">
      <c r="A1169" s="33" t="s">
        <v>4010</v>
      </c>
      <c r="B1169" s="34">
        <v>46021.719340277778</v>
      </c>
      <c r="C1169" s="34" t="str">
        <f t="shared" si="31"/>
        <v>202512</v>
      </c>
      <c r="D1169" s="35" t="s">
        <v>951</v>
      </c>
      <c r="E1169" s="36" t="s">
        <v>910</v>
      </c>
      <c r="F1169" s="36" t="s">
        <v>1045</v>
      </c>
      <c r="G1169" s="37" t="s">
        <v>4011</v>
      </c>
      <c r="H1169" s="36" t="s">
        <v>970</v>
      </c>
      <c r="I1169" s="35" t="s">
        <v>4012</v>
      </c>
      <c r="J1169" s="36" t="s">
        <v>929</v>
      </c>
      <c r="K1169" s="33" t="s">
        <v>916</v>
      </c>
      <c r="L1169" s="35" t="s">
        <v>916</v>
      </c>
      <c r="M1169" s="36" t="s">
        <v>916</v>
      </c>
      <c r="N1169" s="45">
        <v>46022</v>
      </c>
      <c r="O1169" s="36" t="s">
        <v>25</v>
      </c>
      <c r="P1169" s="38">
        <v>0.28065972220000002</v>
      </c>
      <c r="Q1169" s="39" t="s">
        <v>4013</v>
      </c>
      <c r="R1169" s="35" t="s">
        <v>916</v>
      </c>
      <c r="S1169" s="35" t="s">
        <v>4014</v>
      </c>
      <c r="T1169" s="35" t="s">
        <v>1624</v>
      </c>
      <c r="U1169" s="40">
        <v>46022</v>
      </c>
      <c r="V1169" s="41">
        <v>46153.532858796294</v>
      </c>
      <c r="W1169" s="40">
        <v>46021</v>
      </c>
      <c r="X1169" s="35" t="s">
        <v>916</v>
      </c>
      <c r="Y1169" s="35" t="s">
        <v>916</v>
      </c>
      <c r="Z1169" s="35" t="s">
        <v>916</v>
      </c>
      <c r="AA1169" s="38">
        <v>6.7358333328000004</v>
      </c>
      <c r="AB1169" s="42" t="s">
        <v>916</v>
      </c>
      <c r="AC1169" s="43" t="s">
        <v>916</v>
      </c>
      <c r="AD1169" s="43" t="s">
        <v>916</v>
      </c>
      <c r="AE1169" s="33" t="s">
        <v>3982</v>
      </c>
      <c r="AF1169" s="35" t="s">
        <v>916</v>
      </c>
      <c r="AG1169" s="44">
        <v>490865.26416666672</v>
      </c>
      <c r="AH1169" s="42" t="s">
        <v>916</v>
      </c>
      <c r="AI1169" s="32" t="e">
        <f>VLOOKUP(A1169,'4月明細'!B:B,1,0)</f>
        <v>#N/A</v>
      </c>
    </row>
    <row r="1170" spans="1:35" ht="19.95" customHeight="1" x14ac:dyDescent="0.3">
      <c r="A1170" s="33" t="s">
        <v>4015</v>
      </c>
      <c r="B1170" s="34">
        <v>46021.645069444443</v>
      </c>
      <c r="C1170" s="34" t="str">
        <f t="shared" si="31"/>
        <v>202512</v>
      </c>
      <c r="D1170" s="35" t="s">
        <v>951</v>
      </c>
      <c r="E1170" s="36" t="s">
        <v>910</v>
      </c>
      <c r="F1170" s="36" t="s">
        <v>1672</v>
      </c>
      <c r="G1170" s="37" t="s">
        <v>4016</v>
      </c>
      <c r="H1170" s="36" t="s">
        <v>4017</v>
      </c>
      <c r="I1170" s="35" t="s">
        <v>4018</v>
      </c>
      <c r="J1170" s="36" t="s">
        <v>914</v>
      </c>
      <c r="K1170" s="33" t="s">
        <v>916</v>
      </c>
      <c r="L1170" s="35" t="s">
        <v>916</v>
      </c>
      <c r="M1170" s="36" t="s">
        <v>957</v>
      </c>
      <c r="N1170" s="45">
        <v>46022</v>
      </c>
      <c r="O1170" s="36" t="s">
        <v>25</v>
      </c>
      <c r="P1170" s="38">
        <v>0.35493055559999998</v>
      </c>
      <c r="Q1170" s="39" t="s">
        <v>4019</v>
      </c>
      <c r="R1170" s="35" t="s">
        <v>916</v>
      </c>
      <c r="S1170" s="35" t="s">
        <v>4020</v>
      </c>
      <c r="T1170" s="35" t="s">
        <v>1701</v>
      </c>
      <c r="U1170" s="40">
        <v>46022</v>
      </c>
      <c r="V1170" s="41">
        <v>46153.532858796294</v>
      </c>
      <c r="W1170" s="40">
        <v>46021</v>
      </c>
      <c r="X1170" s="35" t="s">
        <v>916</v>
      </c>
      <c r="Y1170" s="35" t="s">
        <v>916</v>
      </c>
      <c r="Z1170" s="35" t="s">
        <v>916</v>
      </c>
      <c r="AA1170" s="38">
        <v>8.5183333343999994</v>
      </c>
      <c r="AB1170" s="42" t="s">
        <v>916</v>
      </c>
      <c r="AC1170" s="43" t="s">
        <v>916</v>
      </c>
      <c r="AD1170" s="43" t="s">
        <v>916</v>
      </c>
      <c r="AE1170" s="33" t="s">
        <v>3982</v>
      </c>
      <c r="AF1170" s="35" t="s">
        <v>916</v>
      </c>
      <c r="AG1170" s="44">
        <v>490863.48166666669</v>
      </c>
      <c r="AH1170" s="42" t="s">
        <v>916</v>
      </c>
      <c r="AI1170" s="32" t="e">
        <f>VLOOKUP(A1170,'4月明細'!B:B,1,0)</f>
        <v>#N/A</v>
      </c>
    </row>
    <row r="1171" spans="1:35" ht="19.95" customHeight="1" x14ac:dyDescent="0.3">
      <c r="A1171" s="33" t="s">
        <v>4021</v>
      </c>
      <c r="B1171" s="34">
        <v>46021.64466435185</v>
      </c>
      <c r="C1171" s="34" t="str">
        <f t="shared" si="31"/>
        <v>202512</v>
      </c>
      <c r="D1171" s="35" t="s">
        <v>951</v>
      </c>
      <c r="E1171" s="36" t="s">
        <v>910</v>
      </c>
      <c r="F1171" s="36" t="s">
        <v>1021</v>
      </c>
      <c r="G1171" s="37" t="s">
        <v>4022</v>
      </c>
      <c r="H1171" s="36" t="s">
        <v>4023</v>
      </c>
      <c r="I1171" s="35" t="s">
        <v>4024</v>
      </c>
      <c r="J1171" s="36" t="s">
        <v>929</v>
      </c>
      <c r="K1171" s="33" t="s">
        <v>916</v>
      </c>
      <c r="L1171" s="35" t="s">
        <v>916</v>
      </c>
      <c r="M1171" s="36" t="s">
        <v>957</v>
      </c>
      <c r="N1171" s="45">
        <v>46022</v>
      </c>
      <c r="O1171" s="36" t="s">
        <v>25</v>
      </c>
      <c r="P1171" s="38">
        <v>0.35533564810000001</v>
      </c>
      <c r="Q1171" s="39" t="s">
        <v>4025</v>
      </c>
      <c r="R1171" s="35" t="s">
        <v>916</v>
      </c>
      <c r="S1171" s="35" t="s">
        <v>4026</v>
      </c>
      <c r="T1171" s="35" t="s">
        <v>1701</v>
      </c>
      <c r="U1171" s="40">
        <v>46022</v>
      </c>
      <c r="V1171" s="41">
        <v>46153.532858796294</v>
      </c>
      <c r="W1171" s="40">
        <v>46021</v>
      </c>
      <c r="X1171" s="35" t="s">
        <v>916</v>
      </c>
      <c r="Y1171" s="35" t="s">
        <v>916</v>
      </c>
      <c r="Z1171" s="35" t="s">
        <v>916</v>
      </c>
      <c r="AA1171" s="38">
        <v>8.5280555543999998</v>
      </c>
      <c r="AB1171" s="42" t="s">
        <v>916</v>
      </c>
      <c r="AC1171" s="43" t="s">
        <v>916</v>
      </c>
      <c r="AD1171" s="43" t="s">
        <v>916</v>
      </c>
      <c r="AE1171" s="33" t="s">
        <v>3982</v>
      </c>
      <c r="AF1171" s="35" t="s">
        <v>916</v>
      </c>
      <c r="AG1171" s="44">
        <v>490863.47194444441</v>
      </c>
      <c r="AH1171" s="42" t="s">
        <v>916</v>
      </c>
      <c r="AI1171" s="32" t="e">
        <f>VLOOKUP(A1171,'4月明細'!B:B,1,0)</f>
        <v>#N/A</v>
      </c>
    </row>
    <row r="1172" spans="1:35" ht="19.95" customHeight="1" x14ac:dyDescent="0.3">
      <c r="A1172" s="33" t="s">
        <v>4027</v>
      </c>
      <c r="B1172" s="34">
        <v>46021.411377314813</v>
      </c>
      <c r="C1172" s="34" t="str">
        <f t="shared" si="31"/>
        <v>202512</v>
      </c>
      <c r="D1172" s="35" t="s">
        <v>909</v>
      </c>
      <c r="E1172" s="36" t="s">
        <v>910</v>
      </c>
      <c r="F1172" s="36" t="s">
        <v>1397</v>
      </c>
      <c r="G1172" s="37" t="s">
        <v>4028</v>
      </c>
      <c r="H1172" s="36" t="s">
        <v>4029</v>
      </c>
      <c r="I1172" s="35" t="s">
        <v>4030</v>
      </c>
      <c r="J1172" s="36" t="s">
        <v>914</v>
      </c>
      <c r="K1172" s="33" t="s">
        <v>916</v>
      </c>
      <c r="L1172" s="35" t="s">
        <v>916</v>
      </c>
      <c r="M1172" s="36" t="s">
        <v>916</v>
      </c>
      <c r="N1172" s="45">
        <v>46022</v>
      </c>
      <c r="O1172" s="36" t="s">
        <v>25</v>
      </c>
      <c r="P1172" s="38">
        <v>0.58862268520000005</v>
      </c>
      <c r="Q1172" s="39" t="s">
        <v>4031</v>
      </c>
      <c r="R1172" s="35" t="s">
        <v>916</v>
      </c>
      <c r="S1172" s="35" t="s">
        <v>4032</v>
      </c>
      <c r="T1172" s="35" t="s">
        <v>1701</v>
      </c>
      <c r="U1172" s="40">
        <v>46022</v>
      </c>
      <c r="V1172" s="41">
        <v>46153.532858796294</v>
      </c>
      <c r="W1172" s="40">
        <v>46021</v>
      </c>
      <c r="X1172" s="35" t="s">
        <v>916</v>
      </c>
      <c r="Y1172" s="35" t="s">
        <v>916</v>
      </c>
      <c r="Z1172" s="35" t="s">
        <v>916</v>
      </c>
      <c r="AA1172" s="38">
        <v>14.126944444799999</v>
      </c>
      <c r="AB1172" s="42" t="s">
        <v>916</v>
      </c>
      <c r="AC1172" s="43" t="s">
        <v>916</v>
      </c>
      <c r="AD1172" s="43" t="s">
        <v>916</v>
      </c>
      <c r="AE1172" s="33" t="s">
        <v>3982</v>
      </c>
      <c r="AF1172" s="35" t="s">
        <v>916</v>
      </c>
      <c r="AG1172" s="44">
        <v>490857.87305555562</v>
      </c>
      <c r="AH1172" s="42" t="s">
        <v>916</v>
      </c>
      <c r="AI1172" s="32" t="e">
        <f>VLOOKUP(A1172,'4月明細'!B:B,1,0)</f>
        <v>#N/A</v>
      </c>
    </row>
    <row r="1173" spans="1:35" ht="19.95" customHeight="1" x14ac:dyDescent="0.3">
      <c r="A1173" s="33" t="s">
        <v>4033</v>
      </c>
      <c r="B1173" s="34">
        <v>46021.391122685185</v>
      </c>
      <c r="C1173" s="34" t="str">
        <f t="shared" si="31"/>
        <v>202512</v>
      </c>
      <c r="D1173" s="35" t="s">
        <v>1747</v>
      </c>
      <c r="E1173" s="36" t="s">
        <v>942</v>
      </c>
      <c r="F1173" s="36" t="s">
        <v>1089</v>
      </c>
      <c r="G1173" s="37" t="s">
        <v>4034</v>
      </c>
      <c r="H1173" s="36" t="s">
        <v>956</v>
      </c>
      <c r="I1173" s="35"/>
      <c r="J1173" s="36" t="s">
        <v>945</v>
      </c>
      <c r="K1173" s="33" t="s">
        <v>916</v>
      </c>
      <c r="L1173" s="35" t="s">
        <v>916</v>
      </c>
      <c r="M1173" s="36" t="s">
        <v>957</v>
      </c>
      <c r="N1173" s="45">
        <v>46022</v>
      </c>
      <c r="O1173" s="36" t="s">
        <v>25</v>
      </c>
      <c r="P1173" s="38">
        <v>0.60887731479999996</v>
      </c>
      <c r="Q1173" s="39" t="s">
        <v>4035</v>
      </c>
      <c r="R1173" s="35" t="s">
        <v>916</v>
      </c>
      <c r="S1173" s="35"/>
      <c r="T1173" s="35" t="s">
        <v>1701</v>
      </c>
      <c r="U1173" s="40">
        <v>46022</v>
      </c>
      <c r="V1173" s="41">
        <v>46153.532858796294</v>
      </c>
      <c r="W1173" s="40">
        <v>46021</v>
      </c>
      <c r="X1173" s="35" t="s">
        <v>916</v>
      </c>
      <c r="Y1173" s="35" t="s">
        <v>916</v>
      </c>
      <c r="Z1173" s="35" t="s">
        <v>916</v>
      </c>
      <c r="AA1173" s="38">
        <v>14.613055555200001</v>
      </c>
      <c r="AB1173" s="42" t="s">
        <v>916</v>
      </c>
      <c r="AC1173" s="43" t="s">
        <v>916</v>
      </c>
      <c r="AD1173" s="43" t="s">
        <v>916</v>
      </c>
      <c r="AE1173" s="33" t="s">
        <v>3982</v>
      </c>
      <c r="AF1173" s="35" t="s">
        <v>916</v>
      </c>
      <c r="AG1173" s="44">
        <v>490857.38694444438</v>
      </c>
      <c r="AH1173" s="42" t="s">
        <v>916</v>
      </c>
      <c r="AI1173" s="32" t="e">
        <f>VLOOKUP(A1173,'4月明細'!B:B,1,0)</f>
        <v>#N/A</v>
      </c>
    </row>
    <row r="1174" spans="1:35" ht="19.95" customHeight="1" x14ac:dyDescent="0.3">
      <c r="A1174" s="33" t="s">
        <v>4036</v>
      </c>
      <c r="B1174" s="34">
        <v>46020.605428240742</v>
      </c>
      <c r="C1174" s="34" t="str">
        <f t="shared" si="31"/>
        <v>202512</v>
      </c>
      <c r="D1174" s="35" t="s">
        <v>1952</v>
      </c>
      <c r="E1174" s="36" t="s">
        <v>910</v>
      </c>
      <c r="F1174" s="36" t="s">
        <v>1227</v>
      </c>
      <c r="G1174" s="37" t="s">
        <v>4037</v>
      </c>
      <c r="H1174" s="36" t="s">
        <v>4007</v>
      </c>
      <c r="I1174" s="35" t="s">
        <v>4038</v>
      </c>
      <c r="J1174" s="36" t="s">
        <v>929</v>
      </c>
      <c r="K1174" s="33" t="s">
        <v>916</v>
      </c>
      <c r="L1174" s="35" t="s">
        <v>916</v>
      </c>
      <c r="M1174" s="36" t="s">
        <v>957</v>
      </c>
      <c r="N1174" s="45">
        <v>46022</v>
      </c>
      <c r="O1174" s="36" t="s">
        <v>25</v>
      </c>
      <c r="P1174" s="38">
        <v>1.3945717593</v>
      </c>
      <c r="Q1174" s="39" t="s">
        <v>4039</v>
      </c>
      <c r="R1174" s="35" t="s">
        <v>916</v>
      </c>
      <c r="S1174" s="35" t="s">
        <v>4040</v>
      </c>
      <c r="T1174" s="35" t="s">
        <v>1701</v>
      </c>
      <c r="U1174" s="40">
        <v>46021</v>
      </c>
      <c r="V1174" s="41">
        <v>46153.532858796294</v>
      </c>
      <c r="W1174" s="40">
        <v>46020</v>
      </c>
      <c r="X1174" s="35" t="s">
        <v>916</v>
      </c>
      <c r="Y1174" s="35" t="s">
        <v>916</v>
      </c>
      <c r="Z1174" s="35" t="s">
        <v>916</v>
      </c>
      <c r="AA1174" s="38">
        <v>33.469722223200002</v>
      </c>
      <c r="AB1174" s="42" t="s">
        <v>916</v>
      </c>
      <c r="AC1174" s="43" t="s">
        <v>916</v>
      </c>
      <c r="AD1174" s="43" t="s">
        <v>916</v>
      </c>
      <c r="AE1174" s="33" t="s">
        <v>3982</v>
      </c>
      <c r="AF1174" s="35" t="s">
        <v>916</v>
      </c>
      <c r="AG1174" s="44">
        <v>490838.53027777781</v>
      </c>
      <c r="AH1174" s="42" t="s">
        <v>916</v>
      </c>
      <c r="AI1174" s="32" t="e">
        <f>VLOOKUP(A1174,'4月明細'!B:B,1,0)</f>
        <v>#N/A</v>
      </c>
    </row>
    <row r="1175" spans="1:35" ht="19.95" customHeight="1" x14ac:dyDescent="0.3">
      <c r="A1175" s="33" t="s">
        <v>4041</v>
      </c>
      <c r="B1175" s="34">
        <v>46018.378946759258</v>
      </c>
      <c r="C1175" s="34" t="str">
        <f t="shared" si="31"/>
        <v>202512</v>
      </c>
      <c r="D1175" s="35" t="s">
        <v>2278</v>
      </c>
      <c r="E1175" s="36" t="s">
        <v>942</v>
      </c>
      <c r="F1175" s="36" t="s">
        <v>1045</v>
      </c>
      <c r="G1175" s="37" t="s">
        <v>4042</v>
      </c>
      <c r="H1175" s="36" t="s">
        <v>970</v>
      </c>
      <c r="I1175" s="35"/>
      <c r="J1175" s="36" t="s">
        <v>929</v>
      </c>
      <c r="K1175" s="33" t="s">
        <v>916</v>
      </c>
      <c r="L1175" s="35" t="s">
        <v>916</v>
      </c>
      <c r="M1175" s="36" t="s">
        <v>957</v>
      </c>
      <c r="N1175" s="45">
        <v>46022</v>
      </c>
      <c r="O1175" s="36" t="s">
        <v>25</v>
      </c>
      <c r="P1175" s="38">
        <v>3.6210532406999998</v>
      </c>
      <c r="Q1175" s="39" t="s">
        <v>4043</v>
      </c>
      <c r="R1175" s="35" t="s">
        <v>916</v>
      </c>
      <c r="S1175" s="35"/>
      <c r="T1175" s="35" t="s">
        <v>1624</v>
      </c>
      <c r="U1175" s="40">
        <v>46019</v>
      </c>
      <c r="V1175" s="41">
        <v>46153.532858796294</v>
      </c>
      <c r="W1175" s="40">
        <v>46018</v>
      </c>
      <c r="X1175" s="35" t="s">
        <v>916</v>
      </c>
      <c r="Y1175" s="35" t="s">
        <v>916</v>
      </c>
      <c r="Z1175" s="35" t="s">
        <v>916</v>
      </c>
      <c r="AA1175" s="38">
        <v>86.905277776800006</v>
      </c>
      <c r="AB1175" s="42" t="s">
        <v>916</v>
      </c>
      <c r="AC1175" s="43" t="s">
        <v>916</v>
      </c>
      <c r="AD1175" s="43" t="s">
        <v>916</v>
      </c>
      <c r="AE1175" s="33" t="s">
        <v>3982</v>
      </c>
      <c r="AF1175" s="35" t="s">
        <v>916</v>
      </c>
      <c r="AG1175" s="44">
        <v>490785.0947222223</v>
      </c>
      <c r="AH1175" s="42" t="s">
        <v>916</v>
      </c>
      <c r="AI1175" s="32" t="e">
        <f>VLOOKUP(A1175,'4月明細'!B:B,1,0)</f>
        <v>#N/A</v>
      </c>
    </row>
    <row r="1176" spans="1:35" ht="19.95" customHeight="1" x14ac:dyDescent="0.3">
      <c r="A1176" s="33" t="s">
        <v>4044</v>
      </c>
      <c r="B1176" s="34">
        <v>46020.509791666664</v>
      </c>
      <c r="C1176" s="34" t="str">
        <f t="shared" si="31"/>
        <v>202512</v>
      </c>
      <c r="D1176" s="35" t="s">
        <v>996</v>
      </c>
      <c r="E1176" s="36" t="s">
        <v>910</v>
      </c>
      <c r="F1176" s="36" t="s">
        <v>1227</v>
      </c>
      <c r="G1176" s="37" t="s">
        <v>4045</v>
      </c>
      <c r="H1176" s="36" t="s">
        <v>1043</v>
      </c>
      <c r="I1176" s="35"/>
      <c r="J1176" s="36" t="s">
        <v>929</v>
      </c>
      <c r="K1176" s="33" t="s">
        <v>916</v>
      </c>
      <c r="L1176" s="35" t="s">
        <v>916</v>
      </c>
      <c r="M1176" s="36" t="s">
        <v>916</v>
      </c>
      <c r="N1176" s="45">
        <v>46022</v>
      </c>
      <c r="O1176" s="36" t="s">
        <v>25</v>
      </c>
      <c r="P1176" s="38">
        <v>1.4902083333</v>
      </c>
      <c r="Q1176" s="39" t="s">
        <v>4046</v>
      </c>
      <c r="R1176" s="35" t="s">
        <v>916</v>
      </c>
      <c r="S1176" s="35" t="s">
        <v>4047</v>
      </c>
      <c r="T1176" s="35" t="s">
        <v>1701</v>
      </c>
      <c r="U1176" s="40">
        <v>46021</v>
      </c>
      <c r="V1176" s="41">
        <v>46153.532858796294</v>
      </c>
      <c r="W1176" s="40">
        <v>46020</v>
      </c>
      <c r="X1176" s="35" t="s">
        <v>916</v>
      </c>
      <c r="Y1176" s="35" t="s">
        <v>916</v>
      </c>
      <c r="Z1176" s="35" t="s">
        <v>916</v>
      </c>
      <c r="AA1176" s="38">
        <v>35.764999999200001</v>
      </c>
      <c r="AB1176" s="42" t="s">
        <v>916</v>
      </c>
      <c r="AC1176" s="43" t="s">
        <v>916</v>
      </c>
      <c r="AD1176" s="43" t="s">
        <v>916</v>
      </c>
      <c r="AE1176" s="33" t="s">
        <v>3982</v>
      </c>
      <c r="AF1176" s="35" t="s">
        <v>916</v>
      </c>
      <c r="AG1176" s="44">
        <v>490836.23499999999</v>
      </c>
      <c r="AH1176" s="42" t="s">
        <v>916</v>
      </c>
      <c r="AI1176" s="32" t="e">
        <f>VLOOKUP(A1176,'4月明細'!B:B,1,0)</f>
        <v>#N/A</v>
      </c>
    </row>
    <row r="1177" spans="1:35" ht="19.95" customHeight="1" x14ac:dyDescent="0.3">
      <c r="A1177" s="33" t="s">
        <v>4048</v>
      </c>
      <c r="B1177" s="34">
        <v>46019.708611111113</v>
      </c>
      <c r="C1177" s="34" t="str">
        <f t="shared" si="31"/>
        <v>202512</v>
      </c>
      <c r="D1177" s="35" t="s">
        <v>986</v>
      </c>
      <c r="E1177" s="36" t="s">
        <v>910</v>
      </c>
      <c r="F1177" s="36" t="s">
        <v>1967</v>
      </c>
      <c r="G1177" s="37" t="s">
        <v>2767</v>
      </c>
      <c r="H1177" s="36" t="s">
        <v>1352</v>
      </c>
      <c r="I1177" s="35"/>
      <c r="J1177" s="36" t="s">
        <v>929</v>
      </c>
      <c r="K1177" s="33" t="s">
        <v>916</v>
      </c>
      <c r="L1177" s="35" t="s">
        <v>916</v>
      </c>
      <c r="M1177" s="36" t="s">
        <v>957</v>
      </c>
      <c r="N1177" s="45">
        <v>46022</v>
      </c>
      <c r="O1177" s="36" t="s">
        <v>25</v>
      </c>
      <c r="P1177" s="38">
        <v>2.2913888888999998</v>
      </c>
      <c r="Q1177" s="39" t="s">
        <v>4049</v>
      </c>
      <c r="R1177" s="35" t="s">
        <v>916</v>
      </c>
      <c r="S1177" s="35" t="s">
        <v>4050</v>
      </c>
      <c r="T1177" s="35" t="s">
        <v>1701</v>
      </c>
      <c r="U1177" s="40">
        <v>46020</v>
      </c>
      <c r="V1177" s="41">
        <v>46153.532858796294</v>
      </c>
      <c r="W1177" s="40">
        <v>46019</v>
      </c>
      <c r="X1177" s="35" t="s">
        <v>916</v>
      </c>
      <c r="Y1177" s="35" t="s">
        <v>916</v>
      </c>
      <c r="Z1177" s="35" t="s">
        <v>916</v>
      </c>
      <c r="AA1177" s="38">
        <v>54.993333333599999</v>
      </c>
      <c r="AB1177" s="42" t="s">
        <v>916</v>
      </c>
      <c r="AC1177" s="43" t="s">
        <v>916</v>
      </c>
      <c r="AD1177" s="43" t="s">
        <v>916</v>
      </c>
      <c r="AE1177" s="33" t="s">
        <v>3982</v>
      </c>
      <c r="AF1177" s="35" t="s">
        <v>916</v>
      </c>
      <c r="AG1177" s="44">
        <v>490817.00666666671</v>
      </c>
      <c r="AH1177" s="42" t="s">
        <v>916</v>
      </c>
      <c r="AI1177" s="32" t="e">
        <f>VLOOKUP(A1177,'4月明細'!B:B,1,0)</f>
        <v>#N/A</v>
      </c>
    </row>
    <row r="1178" spans="1:35" ht="19.95" customHeight="1" x14ac:dyDescent="0.3">
      <c r="A1178" s="33" t="s">
        <v>4051</v>
      </c>
      <c r="B1178" s="34">
        <v>46019.669236111113</v>
      </c>
      <c r="C1178" s="34" t="str">
        <f t="shared" si="31"/>
        <v>202512</v>
      </c>
      <c r="D1178" s="35" t="s">
        <v>996</v>
      </c>
      <c r="E1178" s="36" t="s">
        <v>910</v>
      </c>
      <c r="F1178" s="36" t="s">
        <v>1419</v>
      </c>
      <c r="G1178" s="37" t="s">
        <v>1400</v>
      </c>
      <c r="H1178" s="36" t="s">
        <v>3985</v>
      </c>
      <c r="I1178" s="35"/>
      <c r="J1178" s="36" t="s">
        <v>929</v>
      </c>
      <c r="K1178" s="33" t="s">
        <v>916</v>
      </c>
      <c r="L1178" s="35" t="s">
        <v>916</v>
      </c>
      <c r="M1178" s="36" t="s">
        <v>957</v>
      </c>
      <c r="N1178" s="45">
        <v>46022</v>
      </c>
      <c r="O1178" s="36" t="s">
        <v>25</v>
      </c>
      <c r="P1178" s="38">
        <v>2.3307638889</v>
      </c>
      <c r="Q1178" s="39" t="s">
        <v>4052</v>
      </c>
      <c r="R1178" s="35" t="s">
        <v>916</v>
      </c>
      <c r="S1178" s="35" t="s">
        <v>4053</v>
      </c>
      <c r="T1178" s="35" t="s">
        <v>1701</v>
      </c>
      <c r="U1178" s="40">
        <v>46020</v>
      </c>
      <c r="V1178" s="41">
        <v>46153.532858796294</v>
      </c>
      <c r="W1178" s="40">
        <v>46019</v>
      </c>
      <c r="X1178" s="35" t="s">
        <v>916</v>
      </c>
      <c r="Y1178" s="35" t="s">
        <v>916</v>
      </c>
      <c r="Z1178" s="35" t="s">
        <v>916</v>
      </c>
      <c r="AA1178" s="38">
        <v>55.938333333599999</v>
      </c>
      <c r="AB1178" s="42" t="s">
        <v>916</v>
      </c>
      <c r="AC1178" s="43" t="s">
        <v>916</v>
      </c>
      <c r="AD1178" s="43" t="s">
        <v>916</v>
      </c>
      <c r="AE1178" s="33" t="s">
        <v>3982</v>
      </c>
      <c r="AF1178" s="35" t="s">
        <v>916</v>
      </c>
      <c r="AG1178" s="44">
        <v>490816.0616666667</v>
      </c>
      <c r="AH1178" s="42" t="s">
        <v>916</v>
      </c>
      <c r="AI1178" s="32" t="e">
        <f>VLOOKUP(A1178,'4月明細'!B:B,1,0)</f>
        <v>#N/A</v>
      </c>
    </row>
    <row r="1179" spans="1:35" ht="19.95" customHeight="1" x14ac:dyDescent="0.3">
      <c r="A1179" s="33" t="s">
        <v>4054</v>
      </c>
      <c r="B1179" s="34">
        <v>46019.648032407407</v>
      </c>
      <c r="C1179" s="34" t="str">
        <f t="shared" si="31"/>
        <v>202512</v>
      </c>
      <c r="D1179" s="35" t="s">
        <v>986</v>
      </c>
      <c r="E1179" s="36" t="s">
        <v>910</v>
      </c>
      <c r="F1179" s="36" t="s">
        <v>1282</v>
      </c>
      <c r="G1179" s="37" t="s">
        <v>4055</v>
      </c>
      <c r="H1179" s="36" t="s">
        <v>4029</v>
      </c>
      <c r="I1179" s="35"/>
      <c r="J1179" s="36" t="s">
        <v>914</v>
      </c>
      <c r="K1179" s="33" t="s">
        <v>916</v>
      </c>
      <c r="L1179" s="35" t="s">
        <v>916</v>
      </c>
      <c r="M1179" s="36" t="s">
        <v>957</v>
      </c>
      <c r="N1179" s="45">
        <v>46022</v>
      </c>
      <c r="O1179" s="36" t="s">
        <v>25</v>
      </c>
      <c r="P1179" s="38">
        <v>2.3519675925999999</v>
      </c>
      <c r="Q1179" s="39" t="s">
        <v>4056</v>
      </c>
      <c r="R1179" s="35" t="s">
        <v>916</v>
      </c>
      <c r="S1179" s="35" t="s">
        <v>4057</v>
      </c>
      <c r="T1179" s="35" t="s">
        <v>1701</v>
      </c>
      <c r="U1179" s="40">
        <v>46020</v>
      </c>
      <c r="V1179" s="41">
        <v>46153.532858796294</v>
      </c>
      <c r="W1179" s="40">
        <v>46019</v>
      </c>
      <c r="X1179" s="35" t="s">
        <v>916</v>
      </c>
      <c r="Y1179" s="35" t="s">
        <v>916</v>
      </c>
      <c r="Z1179" s="35" t="s">
        <v>916</v>
      </c>
      <c r="AA1179" s="38">
        <v>56.447222222400001</v>
      </c>
      <c r="AB1179" s="42" t="s">
        <v>916</v>
      </c>
      <c r="AC1179" s="43" t="s">
        <v>916</v>
      </c>
      <c r="AD1179" s="43" t="s">
        <v>916</v>
      </c>
      <c r="AE1179" s="33" t="s">
        <v>3982</v>
      </c>
      <c r="AF1179" s="35" t="s">
        <v>916</v>
      </c>
      <c r="AG1179" s="44">
        <v>490815.55277777778</v>
      </c>
      <c r="AH1179" s="42" t="s">
        <v>916</v>
      </c>
      <c r="AI1179" s="32" t="e">
        <f>VLOOKUP(A1179,'4月明細'!B:B,1,0)</f>
        <v>#N/A</v>
      </c>
    </row>
    <row r="1180" spans="1:35" ht="19.95" customHeight="1" x14ac:dyDescent="0.3">
      <c r="A1180" s="33" t="s">
        <v>4058</v>
      </c>
      <c r="B1180" s="34">
        <v>46019.617291666669</v>
      </c>
      <c r="C1180" s="34" t="str">
        <f t="shared" si="31"/>
        <v>202512</v>
      </c>
      <c r="D1180" s="35" t="s">
        <v>986</v>
      </c>
      <c r="E1180" s="36" t="s">
        <v>942</v>
      </c>
      <c r="F1180" s="36" t="s">
        <v>1634</v>
      </c>
      <c r="G1180" s="37" t="s">
        <v>4059</v>
      </c>
      <c r="H1180" s="36" t="s">
        <v>4060</v>
      </c>
      <c r="I1180" s="35"/>
      <c r="J1180" s="36" t="s">
        <v>945</v>
      </c>
      <c r="K1180" s="33" t="s">
        <v>916</v>
      </c>
      <c r="L1180" s="35" t="s">
        <v>916</v>
      </c>
      <c r="M1180" s="36" t="s">
        <v>916</v>
      </c>
      <c r="N1180" s="45">
        <v>46022</v>
      </c>
      <c r="O1180" s="36" t="s">
        <v>25</v>
      </c>
      <c r="P1180" s="38">
        <v>2.3827083333000001</v>
      </c>
      <c r="Q1180" s="39" t="s">
        <v>4061</v>
      </c>
      <c r="R1180" s="35" t="s">
        <v>916</v>
      </c>
      <c r="S1180" s="35" t="s">
        <v>4062</v>
      </c>
      <c r="T1180" s="35" t="s">
        <v>1701</v>
      </c>
      <c r="U1180" s="40">
        <v>46020</v>
      </c>
      <c r="V1180" s="41">
        <v>46153.532858796294</v>
      </c>
      <c r="W1180" s="40">
        <v>46019</v>
      </c>
      <c r="X1180" s="35" t="s">
        <v>916</v>
      </c>
      <c r="Y1180" s="35" t="s">
        <v>916</v>
      </c>
      <c r="Z1180" s="35" t="s">
        <v>916</v>
      </c>
      <c r="AA1180" s="38">
        <v>57.184999999200002</v>
      </c>
      <c r="AB1180" s="42" t="s">
        <v>916</v>
      </c>
      <c r="AC1180" s="43" t="s">
        <v>916</v>
      </c>
      <c r="AD1180" s="43" t="s">
        <v>916</v>
      </c>
      <c r="AE1180" s="33" t="s">
        <v>3982</v>
      </c>
      <c r="AF1180" s="35" t="s">
        <v>916</v>
      </c>
      <c r="AG1180" s="44">
        <v>490814.81499999989</v>
      </c>
      <c r="AH1180" s="42" t="s">
        <v>916</v>
      </c>
      <c r="AI1180" s="32" t="e">
        <f>VLOOKUP(A1180,'4月明細'!B:B,1,0)</f>
        <v>#N/A</v>
      </c>
    </row>
    <row r="1181" spans="1:35" ht="19.95" customHeight="1" x14ac:dyDescent="0.3">
      <c r="A1181" s="33" t="s">
        <v>4063</v>
      </c>
      <c r="B1181" s="34">
        <v>46019.46020833333</v>
      </c>
      <c r="C1181" s="34" t="str">
        <f t="shared" si="31"/>
        <v>202512</v>
      </c>
      <c r="D1181" s="35" t="s">
        <v>1597</v>
      </c>
      <c r="E1181" s="36" t="s">
        <v>942</v>
      </c>
      <c r="F1181" s="36" t="s">
        <v>964</v>
      </c>
      <c r="G1181" s="37" t="s">
        <v>4064</v>
      </c>
      <c r="H1181" s="36" t="s">
        <v>4065</v>
      </c>
      <c r="I1181" s="35"/>
      <c r="J1181" s="36" t="s">
        <v>945</v>
      </c>
      <c r="K1181" s="33" t="s">
        <v>916</v>
      </c>
      <c r="L1181" s="35" t="s">
        <v>916</v>
      </c>
      <c r="M1181" s="36" t="s">
        <v>957</v>
      </c>
      <c r="N1181" s="45">
        <v>46022</v>
      </c>
      <c r="O1181" s="36" t="s">
        <v>25</v>
      </c>
      <c r="P1181" s="38">
        <v>2.5397916666999998</v>
      </c>
      <c r="Q1181" s="39" t="s">
        <v>3871</v>
      </c>
      <c r="R1181" s="35" t="s">
        <v>916</v>
      </c>
      <c r="S1181" s="35" t="s">
        <v>3872</v>
      </c>
      <c r="T1181" s="35" t="s">
        <v>1701</v>
      </c>
      <c r="U1181" s="40">
        <v>46020</v>
      </c>
      <c r="V1181" s="41">
        <v>46153.532858796294</v>
      </c>
      <c r="W1181" s="40">
        <v>46019</v>
      </c>
      <c r="X1181" s="35" t="s">
        <v>916</v>
      </c>
      <c r="Y1181" s="35" t="s">
        <v>916</v>
      </c>
      <c r="Z1181" s="35" t="s">
        <v>916</v>
      </c>
      <c r="AA1181" s="38">
        <v>60.955000000799998</v>
      </c>
      <c r="AB1181" s="42" t="s">
        <v>916</v>
      </c>
      <c r="AC1181" s="43" t="s">
        <v>916</v>
      </c>
      <c r="AD1181" s="43" t="s">
        <v>916</v>
      </c>
      <c r="AE1181" s="33" t="s">
        <v>3982</v>
      </c>
      <c r="AF1181" s="35" t="s">
        <v>916</v>
      </c>
      <c r="AG1181" s="44">
        <v>490811.04499999998</v>
      </c>
      <c r="AH1181" s="42" t="s">
        <v>916</v>
      </c>
      <c r="AI1181" s="32" t="e">
        <f>VLOOKUP(A1181,'4月明細'!B:B,1,0)</f>
        <v>#N/A</v>
      </c>
    </row>
    <row r="1182" spans="1:35" ht="19.95" customHeight="1" x14ac:dyDescent="0.3">
      <c r="A1182" s="33" t="s">
        <v>4066</v>
      </c>
      <c r="B1182" s="34">
        <v>46019.453020833331</v>
      </c>
      <c r="C1182" s="34" t="str">
        <f t="shared" si="31"/>
        <v>202512</v>
      </c>
      <c r="D1182" s="35" t="s">
        <v>4067</v>
      </c>
      <c r="E1182" s="36" t="s">
        <v>942</v>
      </c>
      <c r="F1182" s="36" t="s">
        <v>1045</v>
      </c>
      <c r="G1182" s="37" t="s">
        <v>4068</v>
      </c>
      <c r="H1182" s="36" t="s">
        <v>4023</v>
      </c>
      <c r="I1182" s="35"/>
      <c r="J1182" s="36" t="s">
        <v>945</v>
      </c>
      <c r="K1182" s="33" t="s">
        <v>916</v>
      </c>
      <c r="L1182" s="35" t="s">
        <v>916</v>
      </c>
      <c r="M1182" s="36" t="s">
        <v>957</v>
      </c>
      <c r="N1182" s="45">
        <v>46022</v>
      </c>
      <c r="O1182" s="36" t="s">
        <v>25</v>
      </c>
      <c r="P1182" s="38">
        <v>2.5469791666999999</v>
      </c>
      <c r="Q1182" s="39" t="s">
        <v>4069</v>
      </c>
      <c r="R1182" s="35" t="s">
        <v>916</v>
      </c>
      <c r="S1182" s="35"/>
      <c r="T1182" s="35" t="s">
        <v>1701</v>
      </c>
      <c r="U1182" s="40">
        <v>46020</v>
      </c>
      <c r="V1182" s="41">
        <v>46153.532858796294</v>
      </c>
      <c r="W1182" s="40">
        <v>46019</v>
      </c>
      <c r="X1182" s="35" t="s">
        <v>916</v>
      </c>
      <c r="Y1182" s="35" t="s">
        <v>916</v>
      </c>
      <c r="Z1182" s="35" t="s">
        <v>916</v>
      </c>
      <c r="AA1182" s="38">
        <v>61.127500000799998</v>
      </c>
      <c r="AB1182" s="42" t="s">
        <v>916</v>
      </c>
      <c r="AC1182" s="43" t="s">
        <v>916</v>
      </c>
      <c r="AD1182" s="43" t="s">
        <v>916</v>
      </c>
      <c r="AE1182" s="33" t="s">
        <v>3982</v>
      </c>
      <c r="AF1182" s="35" t="s">
        <v>916</v>
      </c>
      <c r="AG1182" s="44">
        <v>490810.87250000011</v>
      </c>
      <c r="AH1182" s="42" t="s">
        <v>916</v>
      </c>
      <c r="AI1182" s="32" t="e">
        <f>VLOOKUP(A1182,'4月明細'!B:B,1,0)</f>
        <v>#N/A</v>
      </c>
    </row>
    <row r="1183" spans="1:35" ht="19.95" customHeight="1" x14ac:dyDescent="0.3">
      <c r="A1183" s="33" t="s">
        <v>4070</v>
      </c>
      <c r="B1183" s="34">
        <v>46018.732175925928</v>
      </c>
      <c r="C1183" s="34" t="str">
        <f t="shared" si="31"/>
        <v>202512</v>
      </c>
      <c r="D1183" s="35" t="s">
        <v>951</v>
      </c>
      <c r="E1183" s="36" t="s">
        <v>910</v>
      </c>
      <c r="F1183" s="36" t="s">
        <v>2090</v>
      </c>
      <c r="G1183" s="37" t="s">
        <v>4071</v>
      </c>
      <c r="H1183" s="36" t="s">
        <v>1352</v>
      </c>
      <c r="I1183" s="35" t="s">
        <v>4072</v>
      </c>
      <c r="J1183" s="36" t="s">
        <v>1058</v>
      </c>
      <c r="K1183" s="33" t="s">
        <v>916</v>
      </c>
      <c r="L1183" s="35" t="s">
        <v>916</v>
      </c>
      <c r="M1183" s="36" t="s">
        <v>916</v>
      </c>
      <c r="N1183" s="45">
        <v>46022</v>
      </c>
      <c r="O1183" s="36" t="s">
        <v>25</v>
      </c>
      <c r="P1183" s="38">
        <v>3.2678240741</v>
      </c>
      <c r="Q1183" s="39" t="s">
        <v>4073</v>
      </c>
      <c r="R1183" s="35" t="s">
        <v>916</v>
      </c>
      <c r="S1183" s="35"/>
      <c r="T1183" s="35" t="s">
        <v>1701</v>
      </c>
      <c r="U1183" s="40">
        <v>46019</v>
      </c>
      <c r="V1183" s="41">
        <v>46153.532858796294</v>
      </c>
      <c r="W1183" s="40">
        <v>46018</v>
      </c>
      <c r="X1183" s="35" t="s">
        <v>916</v>
      </c>
      <c r="Y1183" s="35" t="s">
        <v>916</v>
      </c>
      <c r="Z1183" s="35" t="s">
        <v>916</v>
      </c>
      <c r="AA1183" s="38">
        <v>78.427777778399999</v>
      </c>
      <c r="AB1183" s="42" t="s">
        <v>916</v>
      </c>
      <c r="AC1183" s="43" t="s">
        <v>916</v>
      </c>
      <c r="AD1183" s="43" t="s">
        <v>916</v>
      </c>
      <c r="AE1183" s="33" t="s">
        <v>3982</v>
      </c>
      <c r="AF1183" s="35" t="s">
        <v>916</v>
      </c>
      <c r="AG1183" s="44">
        <v>490793.57222222222</v>
      </c>
      <c r="AH1183" s="42" t="s">
        <v>916</v>
      </c>
      <c r="AI1183" s="32" t="e">
        <f>VLOOKUP(A1183,'4月明細'!B:B,1,0)</f>
        <v>#N/A</v>
      </c>
    </row>
    <row r="1184" spans="1:35" ht="19.95" customHeight="1" x14ac:dyDescent="0.3">
      <c r="A1184" s="33" t="s">
        <v>4074</v>
      </c>
      <c r="B1184" s="34">
        <v>46018.650520833333</v>
      </c>
      <c r="C1184" s="34" t="str">
        <f t="shared" si="31"/>
        <v>202512</v>
      </c>
      <c r="D1184" s="35" t="s">
        <v>909</v>
      </c>
      <c r="E1184" s="36" t="s">
        <v>910</v>
      </c>
      <c r="F1184" s="36" t="s">
        <v>1032</v>
      </c>
      <c r="G1184" s="37" t="s">
        <v>4075</v>
      </c>
      <c r="H1184" s="36" t="s">
        <v>3991</v>
      </c>
      <c r="I1184" s="35"/>
      <c r="J1184" s="36" t="s">
        <v>938</v>
      </c>
      <c r="K1184" s="33" t="s">
        <v>916</v>
      </c>
      <c r="L1184" s="35" t="s">
        <v>916</v>
      </c>
      <c r="M1184" s="36" t="s">
        <v>916</v>
      </c>
      <c r="N1184" s="45">
        <v>46022</v>
      </c>
      <c r="O1184" s="36" t="s">
        <v>25</v>
      </c>
      <c r="P1184" s="38">
        <v>3.3494791667000001</v>
      </c>
      <c r="Q1184" s="39" t="s">
        <v>4076</v>
      </c>
      <c r="R1184" s="35" t="s">
        <v>916</v>
      </c>
      <c r="S1184" s="35" t="s">
        <v>4077</v>
      </c>
      <c r="T1184" s="35" t="s">
        <v>1701</v>
      </c>
      <c r="U1184" s="40">
        <v>46019</v>
      </c>
      <c r="V1184" s="41">
        <v>46153.532858796294</v>
      </c>
      <c r="W1184" s="40">
        <v>46018</v>
      </c>
      <c r="X1184" s="35" t="s">
        <v>916</v>
      </c>
      <c r="Y1184" s="35" t="s">
        <v>916</v>
      </c>
      <c r="Z1184" s="35" t="s">
        <v>916</v>
      </c>
      <c r="AA1184" s="38">
        <v>80.387500000800003</v>
      </c>
      <c r="AB1184" s="42" t="s">
        <v>916</v>
      </c>
      <c r="AC1184" s="43" t="s">
        <v>916</v>
      </c>
      <c r="AD1184" s="43" t="s">
        <v>916</v>
      </c>
      <c r="AE1184" s="33" t="s">
        <v>3982</v>
      </c>
      <c r="AF1184" s="35" t="s">
        <v>916</v>
      </c>
      <c r="AG1184" s="44">
        <v>490791.61249999999</v>
      </c>
      <c r="AH1184" s="42" t="s">
        <v>916</v>
      </c>
      <c r="AI1184" s="32" t="e">
        <f>VLOOKUP(A1184,'4月明細'!B:B,1,0)</f>
        <v>#N/A</v>
      </c>
    </row>
    <row r="1185" spans="1:35" ht="19.95" customHeight="1" x14ac:dyDescent="0.3">
      <c r="A1185" s="33" t="s">
        <v>4078</v>
      </c>
      <c r="B1185" s="34">
        <v>46018.634652777779</v>
      </c>
      <c r="C1185" s="34" t="str">
        <f t="shared" si="31"/>
        <v>202512</v>
      </c>
      <c r="D1185" s="35" t="s">
        <v>941</v>
      </c>
      <c r="E1185" s="36" t="s">
        <v>942</v>
      </c>
      <c r="F1185" s="36" t="s">
        <v>1222</v>
      </c>
      <c r="G1185" s="37" t="s">
        <v>4079</v>
      </c>
      <c r="H1185" s="36" t="s">
        <v>1043</v>
      </c>
      <c r="I1185" s="35"/>
      <c r="J1185" s="36" t="s">
        <v>945</v>
      </c>
      <c r="K1185" s="33" t="s">
        <v>916</v>
      </c>
      <c r="L1185" s="35" t="s">
        <v>916</v>
      </c>
      <c r="M1185" s="36" t="s">
        <v>916</v>
      </c>
      <c r="N1185" s="45">
        <v>46022</v>
      </c>
      <c r="O1185" s="36" t="s">
        <v>25</v>
      </c>
      <c r="P1185" s="38">
        <v>3.3653472222</v>
      </c>
      <c r="Q1185" s="39" t="s">
        <v>4080</v>
      </c>
      <c r="R1185" s="35" t="s">
        <v>916</v>
      </c>
      <c r="S1185" s="35"/>
      <c r="T1185" s="35" t="s">
        <v>1701</v>
      </c>
      <c r="U1185" s="40">
        <v>46019</v>
      </c>
      <c r="V1185" s="41">
        <v>46153.532858796294</v>
      </c>
      <c r="W1185" s="40">
        <v>46018</v>
      </c>
      <c r="X1185" s="35" t="s">
        <v>916</v>
      </c>
      <c r="Y1185" s="35" t="s">
        <v>916</v>
      </c>
      <c r="Z1185" s="35" t="s">
        <v>916</v>
      </c>
      <c r="AA1185" s="38">
        <v>80.768333332799997</v>
      </c>
      <c r="AB1185" s="42" t="s">
        <v>916</v>
      </c>
      <c r="AC1185" s="43" t="s">
        <v>916</v>
      </c>
      <c r="AD1185" s="43" t="s">
        <v>916</v>
      </c>
      <c r="AE1185" s="33" t="s">
        <v>3982</v>
      </c>
      <c r="AF1185" s="35" t="s">
        <v>916</v>
      </c>
      <c r="AG1185" s="44">
        <v>490791.23166666669</v>
      </c>
      <c r="AH1185" s="42" t="s">
        <v>916</v>
      </c>
      <c r="AI1185" s="32" t="e">
        <f>VLOOKUP(A1185,'4月明細'!B:B,1,0)</f>
        <v>#N/A</v>
      </c>
    </row>
    <row r="1186" spans="1:35" ht="19.95" customHeight="1" x14ac:dyDescent="0.3">
      <c r="A1186" s="33" t="s">
        <v>4081</v>
      </c>
      <c r="B1186" s="34">
        <v>46018.619351851848</v>
      </c>
      <c r="C1186" s="34" t="str">
        <f t="shared" si="31"/>
        <v>202512</v>
      </c>
      <c r="D1186" s="35" t="s">
        <v>951</v>
      </c>
      <c r="E1186" s="36" t="s">
        <v>910</v>
      </c>
      <c r="F1186" s="36" t="s">
        <v>1179</v>
      </c>
      <c r="G1186" s="37" t="s">
        <v>4082</v>
      </c>
      <c r="H1186" s="36" t="s">
        <v>4017</v>
      </c>
      <c r="I1186" s="35" t="s">
        <v>4083</v>
      </c>
      <c r="J1186" s="36" t="s">
        <v>914</v>
      </c>
      <c r="K1186" s="33" t="s">
        <v>916</v>
      </c>
      <c r="L1186" s="35" t="s">
        <v>916</v>
      </c>
      <c r="M1186" s="36" t="s">
        <v>916</v>
      </c>
      <c r="N1186" s="45">
        <v>46022</v>
      </c>
      <c r="O1186" s="36" t="s">
        <v>25</v>
      </c>
      <c r="P1186" s="38">
        <v>3.3806481481000001</v>
      </c>
      <c r="Q1186" s="39" t="s">
        <v>4084</v>
      </c>
      <c r="R1186" s="35" t="s">
        <v>916</v>
      </c>
      <c r="S1186" s="35" t="s">
        <v>4085</v>
      </c>
      <c r="T1186" s="35" t="s">
        <v>1701</v>
      </c>
      <c r="U1186" s="40">
        <v>46019</v>
      </c>
      <c r="V1186" s="41">
        <v>46153.532858796294</v>
      </c>
      <c r="W1186" s="40">
        <v>46018</v>
      </c>
      <c r="X1186" s="35" t="s">
        <v>916</v>
      </c>
      <c r="Y1186" s="35" t="s">
        <v>916</v>
      </c>
      <c r="Z1186" s="35" t="s">
        <v>916</v>
      </c>
      <c r="AA1186" s="38">
        <v>81.1355555544</v>
      </c>
      <c r="AB1186" s="42" t="s">
        <v>916</v>
      </c>
      <c r="AC1186" s="43" t="s">
        <v>916</v>
      </c>
      <c r="AD1186" s="43" t="s">
        <v>916</v>
      </c>
      <c r="AE1186" s="33" t="s">
        <v>3982</v>
      </c>
      <c r="AF1186" s="35" t="s">
        <v>916</v>
      </c>
      <c r="AG1186" s="44">
        <v>490790.86444444442</v>
      </c>
      <c r="AH1186" s="42" t="s">
        <v>916</v>
      </c>
      <c r="AI1186" s="32" t="e">
        <f>VLOOKUP(A1186,'4月明細'!B:B,1,0)</f>
        <v>#N/A</v>
      </c>
    </row>
    <row r="1187" spans="1:35" ht="19.95" customHeight="1" x14ac:dyDescent="0.3">
      <c r="A1187" s="33" t="s">
        <v>4086</v>
      </c>
      <c r="B1187" s="34">
        <v>46018.614999999998</v>
      </c>
      <c r="C1187" s="34" t="str">
        <f t="shared" si="31"/>
        <v>202512</v>
      </c>
      <c r="D1187" s="35" t="s">
        <v>909</v>
      </c>
      <c r="E1187" s="36" t="s">
        <v>910</v>
      </c>
      <c r="F1187" s="36" t="s">
        <v>2059</v>
      </c>
      <c r="G1187" s="37" t="s">
        <v>4087</v>
      </c>
      <c r="H1187" s="36" t="s">
        <v>4065</v>
      </c>
      <c r="I1187" s="35" t="s">
        <v>4088</v>
      </c>
      <c r="J1187" s="36" t="s">
        <v>914</v>
      </c>
      <c r="K1187" s="33" t="s">
        <v>916</v>
      </c>
      <c r="L1187" s="35" t="s">
        <v>916</v>
      </c>
      <c r="M1187" s="36" t="s">
        <v>916</v>
      </c>
      <c r="N1187" s="45">
        <v>46022</v>
      </c>
      <c r="O1187" s="36" t="s">
        <v>25</v>
      </c>
      <c r="P1187" s="38">
        <v>3.3849999999999998</v>
      </c>
      <c r="Q1187" s="39" t="s">
        <v>4089</v>
      </c>
      <c r="R1187" s="35" t="s">
        <v>916</v>
      </c>
      <c r="S1187" s="35" t="s">
        <v>4090</v>
      </c>
      <c r="T1187" s="35" t="s">
        <v>1701</v>
      </c>
      <c r="U1187" s="40">
        <v>46019</v>
      </c>
      <c r="V1187" s="41">
        <v>46153.532858796294</v>
      </c>
      <c r="W1187" s="40">
        <v>46018</v>
      </c>
      <c r="X1187" s="35" t="s">
        <v>916</v>
      </c>
      <c r="Y1187" s="35" t="s">
        <v>916</v>
      </c>
      <c r="Z1187" s="35" t="s">
        <v>916</v>
      </c>
      <c r="AA1187" s="38">
        <v>81.239999999999995</v>
      </c>
      <c r="AB1187" s="42" t="s">
        <v>916</v>
      </c>
      <c r="AC1187" s="43" t="s">
        <v>916</v>
      </c>
      <c r="AD1187" s="43" t="s">
        <v>916</v>
      </c>
      <c r="AE1187" s="33" t="s">
        <v>3982</v>
      </c>
      <c r="AF1187" s="35" t="s">
        <v>916</v>
      </c>
      <c r="AG1187" s="44">
        <v>490790.76</v>
      </c>
      <c r="AH1187" s="42" t="s">
        <v>916</v>
      </c>
      <c r="AI1187" s="32" t="e">
        <f>VLOOKUP(A1187,'4月明細'!B:B,1,0)</f>
        <v>#N/A</v>
      </c>
    </row>
    <row r="1188" spans="1:35" ht="19.95" customHeight="1" x14ac:dyDescent="0.3">
      <c r="A1188" s="33" t="s">
        <v>4091</v>
      </c>
      <c r="B1188" s="34">
        <v>46018.558125000003</v>
      </c>
      <c r="C1188" s="34" t="str">
        <f t="shared" si="31"/>
        <v>202512</v>
      </c>
      <c r="D1188" s="35" t="s">
        <v>909</v>
      </c>
      <c r="E1188" s="36" t="s">
        <v>910</v>
      </c>
      <c r="F1188" s="36" t="s">
        <v>1833</v>
      </c>
      <c r="G1188" s="37" t="s">
        <v>4092</v>
      </c>
      <c r="H1188" s="36" t="s">
        <v>1079</v>
      </c>
      <c r="I1188" s="35" t="s">
        <v>4093</v>
      </c>
      <c r="J1188" s="36" t="s">
        <v>914</v>
      </c>
      <c r="K1188" s="33" t="s">
        <v>916</v>
      </c>
      <c r="L1188" s="35" t="s">
        <v>916</v>
      </c>
      <c r="M1188" s="36" t="s">
        <v>957</v>
      </c>
      <c r="N1188" s="45">
        <v>46022</v>
      </c>
      <c r="O1188" s="36" t="s">
        <v>25</v>
      </c>
      <c r="P1188" s="38">
        <v>3.441875</v>
      </c>
      <c r="Q1188" s="39" t="s">
        <v>4094</v>
      </c>
      <c r="R1188" s="35" t="s">
        <v>916</v>
      </c>
      <c r="S1188" s="35"/>
      <c r="T1188" s="35" t="s">
        <v>1701</v>
      </c>
      <c r="U1188" s="40">
        <v>46019</v>
      </c>
      <c r="V1188" s="41">
        <v>46153.532858796294</v>
      </c>
      <c r="W1188" s="40">
        <v>46018</v>
      </c>
      <c r="X1188" s="35" t="s">
        <v>916</v>
      </c>
      <c r="Y1188" s="35" t="s">
        <v>916</v>
      </c>
      <c r="Z1188" s="35" t="s">
        <v>916</v>
      </c>
      <c r="AA1188" s="38">
        <v>82.605000000000004</v>
      </c>
      <c r="AB1188" s="42" t="s">
        <v>916</v>
      </c>
      <c r="AC1188" s="43" t="s">
        <v>916</v>
      </c>
      <c r="AD1188" s="43" t="s">
        <v>916</v>
      </c>
      <c r="AE1188" s="33" t="s">
        <v>3982</v>
      </c>
      <c r="AF1188" s="35" t="s">
        <v>916</v>
      </c>
      <c r="AG1188" s="44">
        <v>490789.39500000002</v>
      </c>
      <c r="AH1188" s="42" t="s">
        <v>916</v>
      </c>
      <c r="AI1188" s="32" t="e">
        <f>VLOOKUP(A1188,'4月明細'!B:B,1,0)</f>
        <v>#N/A</v>
      </c>
    </row>
    <row r="1189" spans="1:35" ht="19.95" customHeight="1" x14ac:dyDescent="0.3">
      <c r="A1189" s="33" t="s">
        <v>4095</v>
      </c>
      <c r="B1189" s="34">
        <v>46018.485266203701</v>
      </c>
      <c r="C1189" s="34" t="str">
        <f t="shared" si="31"/>
        <v>202512</v>
      </c>
      <c r="D1189" s="35" t="s">
        <v>909</v>
      </c>
      <c r="E1189" s="36" t="s">
        <v>910</v>
      </c>
      <c r="F1189" s="36" t="s">
        <v>1584</v>
      </c>
      <c r="G1189" s="37" t="s">
        <v>1499</v>
      </c>
      <c r="H1189" s="36" t="s">
        <v>3979</v>
      </c>
      <c r="I1189" s="35" t="s">
        <v>4096</v>
      </c>
      <c r="J1189" s="36" t="s">
        <v>914</v>
      </c>
      <c r="K1189" s="33" t="s">
        <v>916</v>
      </c>
      <c r="L1189" s="35" t="s">
        <v>916</v>
      </c>
      <c r="M1189" s="36" t="s">
        <v>957</v>
      </c>
      <c r="N1189" s="45">
        <v>46022</v>
      </c>
      <c r="O1189" s="36" t="s">
        <v>25</v>
      </c>
      <c r="P1189" s="38">
        <v>3.5147337962999998</v>
      </c>
      <c r="Q1189" s="39" t="s">
        <v>4097</v>
      </c>
      <c r="R1189" s="35" t="s">
        <v>916</v>
      </c>
      <c r="S1189" s="35"/>
      <c r="T1189" s="35" t="s">
        <v>1701</v>
      </c>
      <c r="U1189" s="40">
        <v>46019</v>
      </c>
      <c r="V1189" s="41">
        <v>46153.532858796294</v>
      </c>
      <c r="W1189" s="40">
        <v>46018</v>
      </c>
      <c r="X1189" s="35" t="s">
        <v>916</v>
      </c>
      <c r="Y1189" s="35" t="s">
        <v>916</v>
      </c>
      <c r="Z1189" s="35" t="s">
        <v>916</v>
      </c>
      <c r="AA1189" s="38">
        <v>84.353611111199996</v>
      </c>
      <c r="AB1189" s="42" t="s">
        <v>916</v>
      </c>
      <c r="AC1189" s="43" t="s">
        <v>916</v>
      </c>
      <c r="AD1189" s="43" t="s">
        <v>916</v>
      </c>
      <c r="AE1189" s="33" t="s">
        <v>3982</v>
      </c>
      <c r="AF1189" s="35" t="s">
        <v>916</v>
      </c>
      <c r="AG1189" s="44">
        <v>490787.64638888888</v>
      </c>
      <c r="AH1189" s="42" t="s">
        <v>916</v>
      </c>
      <c r="AI1189" s="32" t="e">
        <f>VLOOKUP(A1189,'4月明細'!B:B,1,0)</f>
        <v>#N/A</v>
      </c>
    </row>
    <row r="1190" spans="1:35" ht="19.95" customHeight="1" x14ac:dyDescent="0.3">
      <c r="A1190" s="33" t="s">
        <v>4098</v>
      </c>
      <c r="B1190" s="34">
        <v>46017.902638888889</v>
      </c>
      <c r="C1190" s="34" t="str">
        <f t="shared" si="31"/>
        <v>202512</v>
      </c>
      <c r="D1190" s="35" t="s">
        <v>941</v>
      </c>
      <c r="E1190" s="36" t="s">
        <v>942</v>
      </c>
      <c r="F1190" s="36" t="s">
        <v>1010</v>
      </c>
      <c r="G1190" s="37" t="s">
        <v>4099</v>
      </c>
      <c r="H1190" s="36" t="s">
        <v>1352</v>
      </c>
      <c r="I1190" s="35"/>
      <c r="J1190" s="36" t="s">
        <v>945</v>
      </c>
      <c r="K1190" s="33" t="s">
        <v>916</v>
      </c>
      <c r="L1190" s="35" t="s">
        <v>916</v>
      </c>
      <c r="M1190" s="36" t="s">
        <v>1135</v>
      </c>
      <c r="N1190" s="45">
        <v>46022</v>
      </c>
      <c r="O1190" s="36" t="s">
        <v>25</v>
      </c>
      <c r="P1190" s="38">
        <v>4.0973611110999997</v>
      </c>
      <c r="Q1190" s="39" t="s">
        <v>4100</v>
      </c>
      <c r="R1190" s="35" t="s">
        <v>916</v>
      </c>
      <c r="S1190" s="35" t="s">
        <v>4101</v>
      </c>
      <c r="T1190" s="35" t="s">
        <v>1701</v>
      </c>
      <c r="U1190" s="40">
        <v>46018</v>
      </c>
      <c r="V1190" s="41">
        <v>46153.532858796294</v>
      </c>
      <c r="W1190" s="40">
        <v>46018</v>
      </c>
      <c r="X1190" s="35" t="s">
        <v>916</v>
      </c>
      <c r="Y1190" s="35" t="s">
        <v>916</v>
      </c>
      <c r="Z1190" s="35" t="s">
        <v>916</v>
      </c>
      <c r="AA1190" s="38">
        <v>98.336666666400006</v>
      </c>
      <c r="AB1190" s="42" t="s">
        <v>916</v>
      </c>
      <c r="AC1190" s="43" t="s">
        <v>916</v>
      </c>
      <c r="AD1190" s="43" t="s">
        <v>916</v>
      </c>
      <c r="AE1190" s="33" t="s">
        <v>3982</v>
      </c>
      <c r="AF1190" s="35" t="s">
        <v>916</v>
      </c>
      <c r="AG1190" s="44">
        <v>490773.66333333327</v>
      </c>
      <c r="AH1190" s="42" t="s">
        <v>916</v>
      </c>
      <c r="AI1190" s="32" t="e">
        <f>VLOOKUP(A1190,'4月明細'!B:B,1,0)</f>
        <v>#N/A</v>
      </c>
    </row>
    <row r="1191" spans="1:35" ht="19.95" customHeight="1" x14ac:dyDescent="0.3">
      <c r="A1191" s="33" t="s">
        <v>4102</v>
      </c>
      <c r="B1191" s="34">
        <v>46017.860173611109</v>
      </c>
      <c r="C1191" s="34" t="str">
        <f t="shared" si="31"/>
        <v>202512</v>
      </c>
      <c r="D1191" s="35" t="s">
        <v>1510</v>
      </c>
      <c r="E1191" s="36" t="s">
        <v>942</v>
      </c>
      <c r="F1191" s="36" t="s">
        <v>1285</v>
      </c>
      <c r="G1191" s="37" t="s">
        <v>4103</v>
      </c>
      <c r="H1191" s="36" t="s">
        <v>970</v>
      </c>
      <c r="I1191" s="35"/>
      <c r="J1191" s="36" t="s">
        <v>945</v>
      </c>
      <c r="K1191" s="33" t="s">
        <v>916</v>
      </c>
      <c r="L1191" s="35" t="s">
        <v>916</v>
      </c>
      <c r="M1191" s="36" t="s">
        <v>1135</v>
      </c>
      <c r="N1191" s="45">
        <v>46022</v>
      </c>
      <c r="O1191" s="36" t="s">
        <v>25</v>
      </c>
      <c r="P1191" s="38">
        <v>4.1398263889000004</v>
      </c>
      <c r="Q1191" s="39" t="s">
        <v>4104</v>
      </c>
      <c r="R1191" s="35" t="s">
        <v>916</v>
      </c>
      <c r="S1191" s="35"/>
      <c r="T1191" s="35" t="s">
        <v>1701</v>
      </c>
      <c r="U1191" s="40">
        <v>46018</v>
      </c>
      <c r="V1191" s="41">
        <v>46153.532858796294</v>
      </c>
      <c r="W1191" s="40">
        <v>46018</v>
      </c>
      <c r="X1191" s="35" t="s">
        <v>916</v>
      </c>
      <c r="Y1191" s="35" t="s">
        <v>916</v>
      </c>
      <c r="Z1191" s="35" t="s">
        <v>916</v>
      </c>
      <c r="AA1191" s="38">
        <v>99.355833333600003</v>
      </c>
      <c r="AB1191" s="42" t="s">
        <v>916</v>
      </c>
      <c r="AC1191" s="43" t="s">
        <v>916</v>
      </c>
      <c r="AD1191" s="43" t="s">
        <v>916</v>
      </c>
      <c r="AE1191" s="33" t="s">
        <v>3982</v>
      </c>
      <c r="AF1191" s="35" t="s">
        <v>916</v>
      </c>
      <c r="AG1191" s="44">
        <v>490772.64416666672</v>
      </c>
      <c r="AH1191" s="42" t="s">
        <v>916</v>
      </c>
      <c r="AI1191" s="32" t="e">
        <f>VLOOKUP(A1191,'4月明細'!B:B,1,0)</f>
        <v>#N/A</v>
      </c>
    </row>
    <row r="1192" spans="1:35" ht="19.95" customHeight="1" x14ac:dyDescent="0.3">
      <c r="A1192" s="33" t="s">
        <v>4105</v>
      </c>
      <c r="B1192" s="34">
        <v>46017.859780092593</v>
      </c>
      <c r="C1192" s="34" t="str">
        <f t="shared" si="31"/>
        <v>202512</v>
      </c>
      <c r="D1192" s="35" t="s">
        <v>1510</v>
      </c>
      <c r="E1192" s="36" t="s">
        <v>942</v>
      </c>
      <c r="F1192" s="36" t="s">
        <v>1068</v>
      </c>
      <c r="G1192" s="37" t="s">
        <v>4106</v>
      </c>
      <c r="H1192" s="36" t="s">
        <v>4107</v>
      </c>
      <c r="I1192" s="35"/>
      <c r="J1192" s="36" t="s">
        <v>945</v>
      </c>
      <c r="K1192" s="33" t="s">
        <v>916</v>
      </c>
      <c r="L1192" s="35" t="s">
        <v>916</v>
      </c>
      <c r="M1192" s="36" t="s">
        <v>1135</v>
      </c>
      <c r="N1192" s="45">
        <v>46022</v>
      </c>
      <c r="O1192" s="36" t="s">
        <v>25</v>
      </c>
      <c r="P1192" s="38">
        <v>4.1402199073999997</v>
      </c>
      <c r="Q1192" s="39" t="s">
        <v>4108</v>
      </c>
      <c r="R1192" s="35" t="s">
        <v>916</v>
      </c>
      <c r="S1192" s="35"/>
      <c r="T1192" s="35" t="s">
        <v>1701</v>
      </c>
      <c r="U1192" s="40">
        <v>46018</v>
      </c>
      <c r="V1192" s="41">
        <v>46153.532858796294</v>
      </c>
      <c r="W1192" s="40">
        <v>46018</v>
      </c>
      <c r="X1192" s="35" t="s">
        <v>916</v>
      </c>
      <c r="Y1192" s="35" t="s">
        <v>916</v>
      </c>
      <c r="Z1192" s="35" t="s">
        <v>916</v>
      </c>
      <c r="AA1192" s="38">
        <v>99.365277777599999</v>
      </c>
      <c r="AB1192" s="42" t="s">
        <v>916</v>
      </c>
      <c r="AC1192" s="43" t="s">
        <v>916</v>
      </c>
      <c r="AD1192" s="43" t="s">
        <v>916</v>
      </c>
      <c r="AE1192" s="33" t="s">
        <v>3982</v>
      </c>
      <c r="AF1192" s="35" t="s">
        <v>916</v>
      </c>
      <c r="AG1192" s="44">
        <v>490772.63472222222</v>
      </c>
      <c r="AH1192" s="42" t="s">
        <v>916</v>
      </c>
      <c r="AI1192" s="32" t="e">
        <f>VLOOKUP(A1192,'4月明細'!B:B,1,0)</f>
        <v>#N/A</v>
      </c>
    </row>
    <row r="1193" spans="1:35" ht="19.95" customHeight="1" x14ac:dyDescent="0.3">
      <c r="A1193" s="33" t="s">
        <v>4109</v>
      </c>
      <c r="B1193" s="34">
        <v>46017.809236111112</v>
      </c>
      <c r="C1193" s="34" t="str">
        <f t="shared" si="31"/>
        <v>202512</v>
      </c>
      <c r="D1193" s="35" t="s">
        <v>4110</v>
      </c>
      <c r="E1193" s="36" t="s">
        <v>910</v>
      </c>
      <c r="F1193" s="36" t="s">
        <v>1172</v>
      </c>
      <c r="G1193" s="37" t="s">
        <v>4111</v>
      </c>
      <c r="H1193" s="36" t="s">
        <v>956</v>
      </c>
      <c r="I1193" s="35"/>
      <c r="J1193" s="36" t="s">
        <v>1058</v>
      </c>
      <c r="K1193" s="33" t="s">
        <v>916</v>
      </c>
      <c r="L1193" s="35" t="s">
        <v>916</v>
      </c>
      <c r="M1193" s="36" t="s">
        <v>916</v>
      </c>
      <c r="N1193" s="45">
        <v>46022</v>
      </c>
      <c r="O1193" s="36" t="s">
        <v>25</v>
      </c>
      <c r="P1193" s="38">
        <v>4.1907638889000003</v>
      </c>
      <c r="Q1193" s="39" t="s">
        <v>4112</v>
      </c>
      <c r="R1193" s="35" t="s">
        <v>916</v>
      </c>
      <c r="S1193" s="35" t="s">
        <v>4113</v>
      </c>
      <c r="T1193" s="35" t="s">
        <v>1701</v>
      </c>
      <c r="U1193" s="40">
        <v>46018</v>
      </c>
      <c r="V1193" s="41">
        <v>46153.532858796294</v>
      </c>
      <c r="W1193" s="40">
        <v>46017</v>
      </c>
      <c r="X1193" s="35" t="s">
        <v>916</v>
      </c>
      <c r="Y1193" s="35" t="s">
        <v>916</v>
      </c>
      <c r="Z1193" s="35" t="s">
        <v>916</v>
      </c>
      <c r="AA1193" s="38">
        <v>100.5783333336</v>
      </c>
      <c r="AB1193" s="42" t="s">
        <v>916</v>
      </c>
      <c r="AC1193" s="43" t="s">
        <v>916</v>
      </c>
      <c r="AD1193" s="43" t="s">
        <v>916</v>
      </c>
      <c r="AE1193" s="33" t="s">
        <v>3982</v>
      </c>
      <c r="AF1193" s="35" t="s">
        <v>916</v>
      </c>
      <c r="AG1193" s="44">
        <v>490771.42166666669</v>
      </c>
      <c r="AH1193" s="42" t="s">
        <v>916</v>
      </c>
      <c r="AI1193" s="32" t="e">
        <f>VLOOKUP(A1193,'4月明細'!B:B,1,0)</f>
        <v>#N/A</v>
      </c>
    </row>
    <row r="1194" spans="1:35" ht="19.95" customHeight="1" x14ac:dyDescent="0.3">
      <c r="A1194" s="33" t="s">
        <v>4114</v>
      </c>
      <c r="B1194" s="34">
        <v>46017.805960648147</v>
      </c>
      <c r="C1194" s="34" t="str">
        <f t="shared" si="31"/>
        <v>202512</v>
      </c>
      <c r="D1194" s="35" t="s">
        <v>1168</v>
      </c>
      <c r="E1194" s="36" t="s">
        <v>942</v>
      </c>
      <c r="F1194" s="36" t="s">
        <v>1068</v>
      </c>
      <c r="G1194" s="37" t="s">
        <v>4115</v>
      </c>
      <c r="H1194" s="36" t="s">
        <v>3991</v>
      </c>
      <c r="I1194" s="35"/>
      <c r="J1194" s="36" t="s">
        <v>945</v>
      </c>
      <c r="K1194" s="33" t="s">
        <v>916</v>
      </c>
      <c r="L1194" s="35" t="s">
        <v>916</v>
      </c>
      <c r="M1194" s="36" t="s">
        <v>1135</v>
      </c>
      <c r="N1194" s="45">
        <v>46022</v>
      </c>
      <c r="O1194" s="36" t="s">
        <v>25</v>
      </c>
      <c r="P1194" s="38">
        <v>4.1940393518999999</v>
      </c>
      <c r="Q1194" s="39" t="s">
        <v>2230</v>
      </c>
      <c r="R1194" s="35" t="s">
        <v>916</v>
      </c>
      <c r="S1194" s="35"/>
      <c r="T1194" s="35" t="s">
        <v>1624</v>
      </c>
      <c r="U1194" s="40">
        <v>46018</v>
      </c>
      <c r="V1194" s="41">
        <v>46153.532858796294</v>
      </c>
      <c r="W1194" s="40">
        <v>46017</v>
      </c>
      <c r="X1194" s="35" t="s">
        <v>916</v>
      </c>
      <c r="Y1194" s="35" t="s">
        <v>916</v>
      </c>
      <c r="Z1194" s="35" t="s">
        <v>916</v>
      </c>
      <c r="AA1194" s="38">
        <v>100.6569444456</v>
      </c>
      <c r="AB1194" s="42" t="s">
        <v>916</v>
      </c>
      <c r="AC1194" s="43" t="s">
        <v>916</v>
      </c>
      <c r="AD1194" s="43" t="s">
        <v>916</v>
      </c>
      <c r="AE1194" s="33" t="s">
        <v>3982</v>
      </c>
      <c r="AF1194" s="35" t="s">
        <v>916</v>
      </c>
      <c r="AG1194" s="44">
        <v>490771.34305555548</v>
      </c>
      <c r="AH1194" s="42" t="s">
        <v>916</v>
      </c>
      <c r="AI1194" s="32" t="e">
        <f>VLOOKUP(A1194,'4月明細'!B:B,1,0)</f>
        <v>#N/A</v>
      </c>
    </row>
    <row r="1195" spans="1:35" ht="19.95" customHeight="1" x14ac:dyDescent="0.3">
      <c r="A1195" s="33" t="s">
        <v>4116</v>
      </c>
      <c r="B1195" s="34">
        <v>46017.677754629629</v>
      </c>
      <c r="C1195" s="34" t="str">
        <f t="shared" si="31"/>
        <v>202512</v>
      </c>
      <c r="D1195" s="35" t="s">
        <v>996</v>
      </c>
      <c r="E1195" s="36" t="s">
        <v>910</v>
      </c>
      <c r="F1195" s="36" t="s">
        <v>1295</v>
      </c>
      <c r="G1195" s="37" t="s">
        <v>4117</v>
      </c>
      <c r="H1195" s="36" t="s">
        <v>913</v>
      </c>
      <c r="I1195" s="35"/>
      <c r="J1195" s="36" t="s">
        <v>914</v>
      </c>
      <c r="K1195" s="33" t="s">
        <v>916</v>
      </c>
      <c r="L1195" s="35" t="s">
        <v>916</v>
      </c>
      <c r="M1195" s="36" t="s">
        <v>957</v>
      </c>
      <c r="N1195" s="45">
        <v>46022</v>
      </c>
      <c r="O1195" s="36" t="s">
        <v>25</v>
      </c>
      <c r="P1195" s="38">
        <v>4.3222453704000001</v>
      </c>
      <c r="Q1195" s="39" t="s">
        <v>4118</v>
      </c>
      <c r="R1195" s="35" t="s">
        <v>916</v>
      </c>
      <c r="S1195" s="35" t="s">
        <v>4119</v>
      </c>
      <c r="T1195" s="35" t="s">
        <v>1701</v>
      </c>
      <c r="U1195" s="40">
        <v>46018</v>
      </c>
      <c r="V1195" s="41">
        <v>46153.532858796294</v>
      </c>
      <c r="W1195" s="40">
        <v>46017</v>
      </c>
      <c r="X1195" s="35" t="s">
        <v>916</v>
      </c>
      <c r="Y1195" s="35" t="s">
        <v>916</v>
      </c>
      <c r="Z1195" s="35" t="s">
        <v>916</v>
      </c>
      <c r="AA1195" s="38">
        <v>103.7338888896</v>
      </c>
      <c r="AB1195" s="42" t="s">
        <v>916</v>
      </c>
      <c r="AC1195" s="43" t="s">
        <v>916</v>
      </c>
      <c r="AD1195" s="43" t="s">
        <v>916</v>
      </c>
      <c r="AE1195" s="33" t="s">
        <v>3982</v>
      </c>
      <c r="AF1195" s="35" t="s">
        <v>916</v>
      </c>
      <c r="AG1195" s="44">
        <v>490768.26611111109</v>
      </c>
      <c r="AH1195" s="42" t="s">
        <v>916</v>
      </c>
      <c r="AI1195" s="32" t="e">
        <f>VLOOKUP(A1195,'4月明細'!B:B,1,0)</f>
        <v>#N/A</v>
      </c>
    </row>
    <row r="1196" spans="1:35" ht="19.95" customHeight="1" x14ac:dyDescent="0.3">
      <c r="A1196" s="33" t="s">
        <v>4120</v>
      </c>
      <c r="B1196" s="34">
        <v>46017.655312499999</v>
      </c>
      <c r="C1196" s="34" t="str">
        <f t="shared" si="31"/>
        <v>202512</v>
      </c>
      <c r="D1196" s="35" t="s">
        <v>996</v>
      </c>
      <c r="E1196" s="36" t="s">
        <v>910</v>
      </c>
      <c r="F1196" s="36" t="s">
        <v>1000</v>
      </c>
      <c r="G1196" s="37" t="s">
        <v>4121</v>
      </c>
      <c r="H1196" s="36" t="s">
        <v>1048</v>
      </c>
      <c r="I1196" s="35"/>
      <c r="J1196" s="36" t="s">
        <v>914</v>
      </c>
      <c r="K1196" s="33" t="s">
        <v>916</v>
      </c>
      <c r="L1196" s="35" t="s">
        <v>916</v>
      </c>
      <c r="M1196" s="36" t="s">
        <v>957</v>
      </c>
      <c r="N1196" s="45">
        <v>46022</v>
      </c>
      <c r="O1196" s="36" t="s">
        <v>25</v>
      </c>
      <c r="P1196" s="38">
        <v>4.3446875</v>
      </c>
      <c r="Q1196" s="39" t="s">
        <v>4122</v>
      </c>
      <c r="R1196" s="35" t="s">
        <v>916</v>
      </c>
      <c r="S1196" s="35"/>
      <c r="T1196" s="35" t="s">
        <v>1624</v>
      </c>
      <c r="U1196" s="40">
        <v>46018</v>
      </c>
      <c r="V1196" s="41">
        <v>46153.532858796294</v>
      </c>
      <c r="W1196" s="40">
        <v>46017</v>
      </c>
      <c r="X1196" s="35" t="s">
        <v>916</v>
      </c>
      <c r="Y1196" s="35" t="s">
        <v>916</v>
      </c>
      <c r="Z1196" s="35" t="s">
        <v>916</v>
      </c>
      <c r="AA1196" s="38">
        <v>104.27249999999999</v>
      </c>
      <c r="AB1196" s="42" t="s">
        <v>916</v>
      </c>
      <c r="AC1196" s="43" t="s">
        <v>916</v>
      </c>
      <c r="AD1196" s="43" t="s">
        <v>916</v>
      </c>
      <c r="AE1196" s="33" t="s">
        <v>3982</v>
      </c>
      <c r="AF1196" s="35" t="s">
        <v>916</v>
      </c>
      <c r="AG1196" s="44">
        <v>490767.72749999998</v>
      </c>
      <c r="AH1196" s="42" t="s">
        <v>916</v>
      </c>
      <c r="AI1196" s="32" t="e">
        <f>VLOOKUP(A1196,'4月明細'!B:B,1,0)</f>
        <v>#N/A</v>
      </c>
    </row>
    <row r="1197" spans="1:35" ht="19.95" customHeight="1" x14ac:dyDescent="0.3">
      <c r="A1197" s="33" t="s">
        <v>4123</v>
      </c>
      <c r="B1197" s="34">
        <v>46017.595034722224</v>
      </c>
      <c r="C1197" s="34" t="str">
        <f t="shared" si="31"/>
        <v>202512</v>
      </c>
      <c r="D1197" s="35" t="s">
        <v>996</v>
      </c>
      <c r="E1197" s="36" t="s">
        <v>910</v>
      </c>
      <c r="F1197" s="36" t="s">
        <v>1335</v>
      </c>
      <c r="G1197" s="37" t="s">
        <v>4124</v>
      </c>
      <c r="H1197" s="36" t="s">
        <v>913</v>
      </c>
      <c r="I1197" s="35"/>
      <c r="J1197" s="36" t="s">
        <v>945</v>
      </c>
      <c r="K1197" s="33" t="s">
        <v>916</v>
      </c>
      <c r="L1197" s="35" t="s">
        <v>916</v>
      </c>
      <c r="M1197" s="36" t="s">
        <v>957</v>
      </c>
      <c r="N1197" s="45">
        <v>46022</v>
      </c>
      <c r="O1197" s="36" t="s">
        <v>25</v>
      </c>
      <c r="P1197" s="38">
        <v>4.4049652777999997</v>
      </c>
      <c r="Q1197" s="39" t="s">
        <v>4125</v>
      </c>
      <c r="R1197" s="35" t="s">
        <v>916</v>
      </c>
      <c r="S1197" s="35" t="s">
        <v>4126</v>
      </c>
      <c r="T1197" s="35" t="s">
        <v>1701</v>
      </c>
      <c r="U1197" s="40">
        <v>46018</v>
      </c>
      <c r="V1197" s="41">
        <v>46153.532858796294</v>
      </c>
      <c r="W1197" s="40">
        <v>46017</v>
      </c>
      <c r="X1197" s="35" t="s">
        <v>916</v>
      </c>
      <c r="Y1197" s="35" t="s">
        <v>916</v>
      </c>
      <c r="Z1197" s="35" t="s">
        <v>916</v>
      </c>
      <c r="AA1197" s="38">
        <v>105.7191666672</v>
      </c>
      <c r="AB1197" s="42" t="s">
        <v>916</v>
      </c>
      <c r="AC1197" s="43" t="s">
        <v>916</v>
      </c>
      <c r="AD1197" s="43" t="s">
        <v>916</v>
      </c>
      <c r="AE1197" s="33" t="s">
        <v>3982</v>
      </c>
      <c r="AF1197" s="35" t="s">
        <v>916</v>
      </c>
      <c r="AG1197" s="44">
        <v>490766.28083333338</v>
      </c>
      <c r="AH1197" s="42" t="s">
        <v>916</v>
      </c>
      <c r="AI1197" s="32" t="e">
        <f>VLOOKUP(A1197,'4月明細'!B:B,1,0)</f>
        <v>#N/A</v>
      </c>
    </row>
    <row r="1198" spans="1:35" ht="19.95" customHeight="1" x14ac:dyDescent="0.3">
      <c r="A1198" s="33" t="s">
        <v>4127</v>
      </c>
      <c r="B1198" s="34">
        <v>46016.697233796294</v>
      </c>
      <c r="C1198" s="34" t="str">
        <f t="shared" si="31"/>
        <v>202512</v>
      </c>
      <c r="D1198" s="35" t="s">
        <v>996</v>
      </c>
      <c r="E1198" s="36" t="s">
        <v>910</v>
      </c>
      <c r="F1198" s="36" t="s">
        <v>964</v>
      </c>
      <c r="G1198" s="37" t="s">
        <v>4128</v>
      </c>
      <c r="H1198" s="36" t="s">
        <v>4065</v>
      </c>
      <c r="I1198" s="35" t="s">
        <v>4129</v>
      </c>
      <c r="J1198" s="36" t="s">
        <v>929</v>
      </c>
      <c r="K1198" s="33" t="s">
        <v>916</v>
      </c>
      <c r="L1198" s="35" t="s">
        <v>916</v>
      </c>
      <c r="M1198" s="36" t="s">
        <v>916</v>
      </c>
      <c r="N1198" s="45">
        <v>46022</v>
      </c>
      <c r="O1198" s="36" t="s">
        <v>25</v>
      </c>
      <c r="P1198" s="38">
        <v>5.3027662037000001</v>
      </c>
      <c r="Q1198" s="39" t="s">
        <v>4130</v>
      </c>
      <c r="R1198" s="35" t="s">
        <v>916</v>
      </c>
      <c r="S1198" s="35"/>
      <c r="T1198" s="35" t="s">
        <v>1624</v>
      </c>
      <c r="U1198" s="40">
        <v>46017</v>
      </c>
      <c r="V1198" s="41">
        <v>46153.532858796294</v>
      </c>
      <c r="W1198" s="40">
        <v>46016</v>
      </c>
      <c r="X1198" s="35" t="s">
        <v>916</v>
      </c>
      <c r="Y1198" s="35" t="s">
        <v>916</v>
      </c>
      <c r="Z1198" s="35" t="s">
        <v>916</v>
      </c>
      <c r="AA1198" s="38">
        <v>127.26638888879999</v>
      </c>
      <c r="AB1198" s="42" t="s">
        <v>916</v>
      </c>
      <c r="AC1198" s="43" t="s">
        <v>916</v>
      </c>
      <c r="AD1198" s="43" t="s">
        <v>916</v>
      </c>
      <c r="AE1198" s="33" t="s">
        <v>3982</v>
      </c>
      <c r="AF1198" s="35" t="s">
        <v>916</v>
      </c>
      <c r="AG1198" s="44">
        <v>490744.73361111118</v>
      </c>
      <c r="AH1198" s="42" t="s">
        <v>916</v>
      </c>
      <c r="AI1198" s="32" t="e">
        <f>VLOOKUP(A1198,'4月明細'!B:B,1,0)</f>
        <v>#N/A</v>
      </c>
    </row>
    <row r="1199" spans="1:35" ht="19.95" customHeight="1" x14ac:dyDescent="0.3">
      <c r="A1199" s="33" t="s">
        <v>4131</v>
      </c>
      <c r="B1199" s="34">
        <v>46016.623541666668</v>
      </c>
      <c r="C1199" s="34" t="str">
        <f t="shared" si="31"/>
        <v>202512</v>
      </c>
      <c r="D1199" s="35" t="s">
        <v>909</v>
      </c>
      <c r="E1199" s="36" t="s">
        <v>910</v>
      </c>
      <c r="F1199" s="36" t="s">
        <v>1064</v>
      </c>
      <c r="G1199" s="37" t="s">
        <v>4132</v>
      </c>
      <c r="H1199" s="36" t="s">
        <v>970</v>
      </c>
      <c r="I1199" s="35" t="s">
        <v>4133</v>
      </c>
      <c r="J1199" s="36" t="s">
        <v>914</v>
      </c>
      <c r="K1199" s="33" t="s">
        <v>916</v>
      </c>
      <c r="L1199" s="35" t="s">
        <v>916</v>
      </c>
      <c r="M1199" s="36" t="s">
        <v>916</v>
      </c>
      <c r="N1199" s="45">
        <v>46022</v>
      </c>
      <c r="O1199" s="36" t="s">
        <v>25</v>
      </c>
      <c r="P1199" s="38">
        <v>5.3764583332999996</v>
      </c>
      <c r="Q1199" s="39" t="s">
        <v>4134</v>
      </c>
      <c r="R1199" s="35" t="s">
        <v>916</v>
      </c>
      <c r="S1199" s="35" t="s">
        <v>4135</v>
      </c>
      <c r="T1199" s="35" t="s">
        <v>1701</v>
      </c>
      <c r="U1199" s="40">
        <v>46017</v>
      </c>
      <c r="V1199" s="41">
        <v>46153.532858796294</v>
      </c>
      <c r="W1199" s="40">
        <v>46016</v>
      </c>
      <c r="X1199" s="35" t="s">
        <v>916</v>
      </c>
      <c r="Y1199" s="35" t="s">
        <v>916</v>
      </c>
      <c r="Z1199" s="35" t="s">
        <v>916</v>
      </c>
      <c r="AA1199" s="38">
        <v>129.03499999920001</v>
      </c>
      <c r="AB1199" s="42" t="s">
        <v>916</v>
      </c>
      <c r="AC1199" s="43" t="s">
        <v>916</v>
      </c>
      <c r="AD1199" s="43" t="s">
        <v>916</v>
      </c>
      <c r="AE1199" s="33" t="s">
        <v>3982</v>
      </c>
      <c r="AF1199" s="35" t="s">
        <v>916</v>
      </c>
      <c r="AG1199" s="44">
        <v>490742.96500000003</v>
      </c>
      <c r="AH1199" s="42" t="s">
        <v>916</v>
      </c>
      <c r="AI1199" s="32" t="e">
        <f>VLOOKUP(A1199,'4月明細'!B:B,1,0)</f>
        <v>#N/A</v>
      </c>
    </row>
    <row r="1200" spans="1:35" ht="19.95" customHeight="1" x14ac:dyDescent="0.3">
      <c r="A1200" s="33" t="s">
        <v>4136</v>
      </c>
      <c r="B1200" s="34">
        <v>46016.611840277779</v>
      </c>
      <c r="C1200" s="34" t="str">
        <f t="shared" si="31"/>
        <v>202512</v>
      </c>
      <c r="D1200" s="35" t="s">
        <v>951</v>
      </c>
      <c r="E1200" s="36" t="s">
        <v>910</v>
      </c>
      <c r="F1200" s="36" t="s">
        <v>1032</v>
      </c>
      <c r="G1200" s="37" t="s">
        <v>4137</v>
      </c>
      <c r="H1200" s="36" t="s">
        <v>3991</v>
      </c>
      <c r="I1200" s="35" t="s">
        <v>4138</v>
      </c>
      <c r="J1200" s="36" t="s">
        <v>929</v>
      </c>
      <c r="K1200" s="33" t="s">
        <v>916</v>
      </c>
      <c r="L1200" s="35" t="s">
        <v>916</v>
      </c>
      <c r="M1200" s="36" t="s">
        <v>916</v>
      </c>
      <c r="N1200" s="45">
        <v>46022</v>
      </c>
      <c r="O1200" s="36" t="s">
        <v>25</v>
      </c>
      <c r="P1200" s="38">
        <v>5.3881597222000002</v>
      </c>
      <c r="Q1200" s="39" t="s">
        <v>4139</v>
      </c>
      <c r="R1200" s="35" t="s">
        <v>916</v>
      </c>
      <c r="S1200" s="35" t="s">
        <v>4140</v>
      </c>
      <c r="T1200" s="35" t="s">
        <v>1701</v>
      </c>
      <c r="U1200" s="40">
        <v>46017</v>
      </c>
      <c r="V1200" s="41">
        <v>46153.532870370371</v>
      </c>
      <c r="W1200" s="40">
        <v>46016</v>
      </c>
      <c r="X1200" s="35" t="s">
        <v>916</v>
      </c>
      <c r="Y1200" s="35" t="s">
        <v>916</v>
      </c>
      <c r="Z1200" s="35" t="s">
        <v>916</v>
      </c>
      <c r="AA1200" s="38">
        <v>129.3158333328</v>
      </c>
      <c r="AB1200" s="42" t="s">
        <v>916</v>
      </c>
      <c r="AC1200" s="43" t="s">
        <v>916</v>
      </c>
      <c r="AD1200" s="43" t="s">
        <v>916</v>
      </c>
      <c r="AE1200" s="33" t="s">
        <v>3982</v>
      </c>
      <c r="AF1200" s="35" t="s">
        <v>916</v>
      </c>
      <c r="AG1200" s="44">
        <v>490742.6841666667</v>
      </c>
      <c r="AH1200" s="42" t="s">
        <v>916</v>
      </c>
      <c r="AI1200" s="32" t="e">
        <f>VLOOKUP(A1200,'4月明細'!B:B,1,0)</f>
        <v>#N/A</v>
      </c>
    </row>
    <row r="1201" spans="1:35" ht="19.95" customHeight="1" x14ac:dyDescent="0.3">
      <c r="A1201" s="33" t="s">
        <v>4141</v>
      </c>
      <c r="B1201" s="34">
        <v>46016.611458333333</v>
      </c>
      <c r="C1201" s="34" t="str">
        <f t="shared" si="31"/>
        <v>202512</v>
      </c>
      <c r="D1201" s="35" t="s">
        <v>951</v>
      </c>
      <c r="E1201" s="36" t="s">
        <v>910</v>
      </c>
      <c r="F1201" s="36" t="s">
        <v>1225</v>
      </c>
      <c r="G1201" s="37" t="s">
        <v>4142</v>
      </c>
      <c r="H1201" s="36" t="s">
        <v>970</v>
      </c>
      <c r="I1201" s="35" t="s">
        <v>4143</v>
      </c>
      <c r="J1201" s="36" t="s">
        <v>929</v>
      </c>
      <c r="K1201" s="33" t="s">
        <v>916</v>
      </c>
      <c r="L1201" s="35" t="s">
        <v>916</v>
      </c>
      <c r="M1201" s="36" t="s">
        <v>916</v>
      </c>
      <c r="N1201" s="45">
        <v>46022</v>
      </c>
      <c r="O1201" s="36" t="s">
        <v>25</v>
      </c>
      <c r="P1201" s="38">
        <v>5.3885416667000001</v>
      </c>
      <c r="Q1201" s="39" t="s">
        <v>4144</v>
      </c>
      <c r="R1201" s="35" t="s">
        <v>916</v>
      </c>
      <c r="S1201" s="35" t="s">
        <v>4145</v>
      </c>
      <c r="T1201" s="35" t="s">
        <v>1701</v>
      </c>
      <c r="U1201" s="40">
        <v>46017</v>
      </c>
      <c r="V1201" s="41">
        <v>46153.532870370371</v>
      </c>
      <c r="W1201" s="40">
        <v>46016</v>
      </c>
      <c r="X1201" s="35" t="s">
        <v>916</v>
      </c>
      <c r="Y1201" s="35" t="s">
        <v>916</v>
      </c>
      <c r="Z1201" s="35" t="s">
        <v>916</v>
      </c>
      <c r="AA1201" s="38">
        <v>129.3250000008</v>
      </c>
      <c r="AB1201" s="42" t="s">
        <v>916</v>
      </c>
      <c r="AC1201" s="43" t="s">
        <v>916</v>
      </c>
      <c r="AD1201" s="43" t="s">
        <v>916</v>
      </c>
      <c r="AE1201" s="33" t="s">
        <v>3982</v>
      </c>
      <c r="AF1201" s="35" t="s">
        <v>916</v>
      </c>
      <c r="AG1201" s="44">
        <v>490742.67499999999</v>
      </c>
      <c r="AH1201" s="42" t="s">
        <v>916</v>
      </c>
      <c r="AI1201" s="32" t="e">
        <f>VLOOKUP(A1201,'4月明細'!B:B,1,0)</f>
        <v>#N/A</v>
      </c>
    </row>
    <row r="1202" spans="1:35" ht="19.95" customHeight="1" x14ac:dyDescent="0.3">
      <c r="A1202" s="33" t="s">
        <v>4146</v>
      </c>
      <c r="B1202" s="34">
        <v>46016.599733796298</v>
      </c>
      <c r="C1202" s="34" t="str">
        <f t="shared" si="31"/>
        <v>202512</v>
      </c>
      <c r="D1202" s="35" t="s">
        <v>909</v>
      </c>
      <c r="E1202" s="36" t="s">
        <v>910</v>
      </c>
      <c r="F1202" s="36" t="s">
        <v>1227</v>
      </c>
      <c r="G1202" s="37" t="s">
        <v>3530</v>
      </c>
      <c r="H1202" s="36" t="s">
        <v>3979</v>
      </c>
      <c r="I1202" s="35" t="s">
        <v>4147</v>
      </c>
      <c r="J1202" s="36" t="s">
        <v>914</v>
      </c>
      <c r="K1202" s="33" t="s">
        <v>916</v>
      </c>
      <c r="L1202" s="35" t="s">
        <v>916</v>
      </c>
      <c r="M1202" s="36" t="s">
        <v>916</v>
      </c>
      <c r="N1202" s="45">
        <v>46022</v>
      </c>
      <c r="O1202" s="36" t="s">
        <v>25</v>
      </c>
      <c r="P1202" s="38">
        <v>5.4002662037000002</v>
      </c>
      <c r="Q1202" s="39" t="s">
        <v>4148</v>
      </c>
      <c r="R1202" s="35" t="s">
        <v>916</v>
      </c>
      <c r="S1202" s="35"/>
      <c r="T1202" s="35" t="s">
        <v>1701</v>
      </c>
      <c r="U1202" s="40">
        <v>46017</v>
      </c>
      <c r="V1202" s="41">
        <v>46153.532870370371</v>
      </c>
      <c r="W1202" s="40">
        <v>46016</v>
      </c>
      <c r="X1202" s="35" t="s">
        <v>916</v>
      </c>
      <c r="Y1202" s="35" t="s">
        <v>916</v>
      </c>
      <c r="Z1202" s="35" t="s">
        <v>916</v>
      </c>
      <c r="AA1202" s="38">
        <v>129.60638888880001</v>
      </c>
      <c r="AB1202" s="42" t="s">
        <v>916</v>
      </c>
      <c r="AC1202" s="43" t="s">
        <v>916</v>
      </c>
      <c r="AD1202" s="43" t="s">
        <v>916</v>
      </c>
      <c r="AE1202" s="33" t="s">
        <v>3982</v>
      </c>
      <c r="AF1202" s="35" t="s">
        <v>916</v>
      </c>
      <c r="AG1202" s="44">
        <v>490742.39361111121</v>
      </c>
      <c r="AH1202" s="42" t="s">
        <v>916</v>
      </c>
      <c r="AI1202" s="32" t="e">
        <f>VLOOKUP(A1202,'4月明細'!B:B,1,0)</f>
        <v>#N/A</v>
      </c>
    </row>
    <row r="1203" spans="1:35" ht="19.95" customHeight="1" x14ac:dyDescent="0.3">
      <c r="A1203" s="33" t="s">
        <v>4149</v>
      </c>
      <c r="B1203" s="34">
        <v>46016.548449074071</v>
      </c>
      <c r="C1203" s="34" t="str">
        <f t="shared" si="31"/>
        <v>202512</v>
      </c>
      <c r="D1203" s="35" t="s">
        <v>951</v>
      </c>
      <c r="E1203" s="36" t="s">
        <v>910</v>
      </c>
      <c r="F1203" s="36" t="s">
        <v>1055</v>
      </c>
      <c r="G1203" s="37" t="s">
        <v>4150</v>
      </c>
      <c r="H1203" s="36" t="s">
        <v>3991</v>
      </c>
      <c r="I1203" s="35" t="s">
        <v>4151</v>
      </c>
      <c r="J1203" s="36" t="s">
        <v>929</v>
      </c>
      <c r="K1203" s="33" t="s">
        <v>916</v>
      </c>
      <c r="L1203" s="35" t="s">
        <v>916</v>
      </c>
      <c r="M1203" s="36" t="s">
        <v>916</v>
      </c>
      <c r="N1203" s="45">
        <v>46022</v>
      </c>
      <c r="O1203" s="36" t="s">
        <v>25</v>
      </c>
      <c r="P1203" s="38">
        <v>5.4515509259000003</v>
      </c>
      <c r="Q1203" s="39" t="s">
        <v>4152</v>
      </c>
      <c r="R1203" s="35" t="s">
        <v>916</v>
      </c>
      <c r="S1203" s="35" t="s">
        <v>4153</v>
      </c>
      <c r="T1203" s="35" t="s">
        <v>1701</v>
      </c>
      <c r="U1203" s="40">
        <v>46017</v>
      </c>
      <c r="V1203" s="41">
        <v>46153.532870370371</v>
      </c>
      <c r="W1203" s="40">
        <v>46016</v>
      </c>
      <c r="X1203" s="35" t="s">
        <v>916</v>
      </c>
      <c r="Y1203" s="35" t="s">
        <v>916</v>
      </c>
      <c r="Z1203" s="35" t="s">
        <v>916</v>
      </c>
      <c r="AA1203" s="38">
        <v>130.8372222216</v>
      </c>
      <c r="AB1203" s="42" t="s">
        <v>916</v>
      </c>
      <c r="AC1203" s="43" t="s">
        <v>916</v>
      </c>
      <c r="AD1203" s="43" t="s">
        <v>916</v>
      </c>
      <c r="AE1203" s="33" t="s">
        <v>3982</v>
      </c>
      <c r="AF1203" s="35" t="s">
        <v>916</v>
      </c>
      <c r="AG1203" s="44">
        <v>490741.16277777782</v>
      </c>
      <c r="AH1203" s="42" t="s">
        <v>916</v>
      </c>
      <c r="AI1203" s="32" t="e">
        <f>VLOOKUP(A1203,'4月明細'!B:B,1,0)</f>
        <v>#N/A</v>
      </c>
    </row>
    <row r="1204" spans="1:35" ht="19.95" customHeight="1" x14ac:dyDescent="0.3">
      <c r="A1204" s="33" t="s">
        <v>4154</v>
      </c>
      <c r="B1204" s="34">
        <v>46016.538229166668</v>
      </c>
      <c r="C1204" s="34" t="str">
        <f t="shared" si="31"/>
        <v>202512</v>
      </c>
      <c r="D1204" s="35" t="s">
        <v>996</v>
      </c>
      <c r="E1204" s="36" t="s">
        <v>910</v>
      </c>
      <c r="F1204" s="36" t="s">
        <v>1581</v>
      </c>
      <c r="G1204" s="37" t="s">
        <v>998</v>
      </c>
      <c r="H1204" s="36" t="s">
        <v>3979</v>
      </c>
      <c r="I1204" s="35"/>
      <c r="J1204" s="36" t="s">
        <v>929</v>
      </c>
      <c r="K1204" s="33" t="s">
        <v>916</v>
      </c>
      <c r="L1204" s="35" t="s">
        <v>916</v>
      </c>
      <c r="M1204" s="36" t="s">
        <v>916</v>
      </c>
      <c r="N1204" s="45">
        <v>46022</v>
      </c>
      <c r="O1204" s="36" t="s">
        <v>25</v>
      </c>
      <c r="P1204" s="38">
        <v>5.4617708333000001</v>
      </c>
      <c r="Q1204" s="39" t="s">
        <v>4155</v>
      </c>
      <c r="R1204" s="35" t="s">
        <v>916</v>
      </c>
      <c r="S1204" s="35"/>
      <c r="T1204" s="35" t="s">
        <v>1701</v>
      </c>
      <c r="U1204" s="40">
        <v>46017</v>
      </c>
      <c r="V1204" s="41">
        <v>46153.532870370371</v>
      </c>
      <c r="W1204" s="40">
        <v>46016</v>
      </c>
      <c r="X1204" s="35" t="s">
        <v>916</v>
      </c>
      <c r="Y1204" s="35" t="s">
        <v>916</v>
      </c>
      <c r="Z1204" s="35" t="s">
        <v>916</v>
      </c>
      <c r="AA1204" s="38">
        <v>131.0824999992</v>
      </c>
      <c r="AB1204" s="42" t="s">
        <v>916</v>
      </c>
      <c r="AC1204" s="43" t="s">
        <v>916</v>
      </c>
      <c r="AD1204" s="43" t="s">
        <v>916</v>
      </c>
      <c r="AE1204" s="33" t="s">
        <v>3982</v>
      </c>
      <c r="AF1204" s="35" t="s">
        <v>916</v>
      </c>
      <c r="AG1204" s="44">
        <v>490740.91749999998</v>
      </c>
      <c r="AH1204" s="42" t="s">
        <v>916</v>
      </c>
      <c r="AI1204" s="32" t="e">
        <f>VLOOKUP(A1204,'4月明細'!B:B,1,0)</f>
        <v>#N/A</v>
      </c>
    </row>
    <row r="1205" spans="1:35" ht="19.95" customHeight="1" x14ac:dyDescent="0.3">
      <c r="A1205" s="33" t="s">
        <v>4156</v>
      </c>
      <c r="B1205" s="34">
        <v>46016.532546296294</v>
      </c>
      <c r="C1205" s="34" t="str">
        <f t="shared" si="31"/>
        <v>202512</v>
      </c>
      <c r="D1205" s="35" t="s">
        <v>996</v>
      </c>
      <c r="E1205" s="36" t="s">
        <v>910</v>
      </c>
      <c r="F1205" s="36" t="s">
        <v>1581</v>
      </c>
      <c r="G1205" s="37" t="s">
        <v>1018</v>
      </c>
      <c r="H1205" s="36" t="s">
        <v>4157</v>
      </c>
      <c r="I1205" s="35"/>
      <c r="J1205" s="36" t="s">
        <v>929</v>
      </c>
      <c r="K1205" s="33" t="s">
        <v>916</v>
      </c>
      <c r="L1205" s="35" t="s">
        <v>916</v>
      </c>
      <c r="M1205" s="36" t="s">
        <v>916</v>
      </c>
      <c r="N1205" s="45">
        <v>46022</v>
      </c>
      <c r="O1205" s="36" t="s">
        <v>25</v>
      </c>
      <c r="P1205" s="38">
        <v>5.4674537037000004</v>
      </c>
      <c r="Q1205" s="39" t="s">
        <v>4158</v>
      </c>
      <c r="R1205" s="35" t="s">
        <v>916</v>
      </c>
      <c r="S1205" s="35" t="s">
        <v>4159</v>
      </c>
      <c r="T1205" s="35" t="s">
        <v>1701</v>
      </c>
      <c r="U1205" s="40">
        <v>46017</v>
      </c>
      <c r="V1205" s="41">
        <v>46153.532870370371</v>
      </c>
      <c r="W1205" s="40">
        <v>46016</v>
      </c>
      <c r="X1205" s="35" t="s">
        <v>916</v>
      </c>
      <c r="Y1205" s="35" t="s">
        <v>916</v>
      </c>
      <c r="Z1205" s="35" t="s">
        <v>916</v>
      </c>
      <c r="AA1205" s="38">
        <v>131.2188888888</v>
      </c>
      <c r="AB1205" s="42" t="s">
        <v>916</v>
      </c>
      <c r="AC1205" s="43" t="s">
        <v>916</v>
      </c>
      <c r="AD1205" s="43" t="s">
        <v>916</v>
      </c>
      <c r="AE1205" s="33" t="s">
        <v>3982</v>
      </c>
      <c r="AF1205" s="35" t="s">
        <v>916</v>
      </c>
      <c r="AG1205" s="44">
        <v>490740.78111111122</v>
      </c>
      <c r="AH1205" s="42" t="s">
        <v>916</v>
      </c>
      <c r="AI1205" s="32" t="e">
        <f>VLOOKUP(A1205,'4月明細'!B:B,1,0)</f>
        <v>#N/A</v>
      </c>
    </row>
    <row r="1206" spans="1:35" ht="19.95" customHeight="1" x14ac:dyDescent="0.3">
      <c r="A1206" s="33" t="s">
        <v>4160</v>
      </c>
      <c r="B1206" s="34">
        <v>46016.515243055554</v>
      </c>
      <c r="C1206" s="34" t="str">
        <f t="shared" si="31"/>
        <v>202512</v>
      </c>
      <c r="D1206" s="35" t="s">
        <v>996</v>
      </c>
      <c r="E1206" s="36" t="s">
        <v>910</v>
      </c>
      <c r="F1206" s="36" t="s">
        <v>1568</v>
      </c>
      <c r="G1206" s="37" t="s">
        <v>4161</v>
      </c>
      <c r="H1206" s="36" t="s">
        <v>4162</v>
      </c>
      <c r="I1206" s="35"/>
      <c r="J1206" s="36" t="s">
        <v>929</v>
      </c>
      <c r="K1206" s="33" t="s">
        <v>916</v>
      </c>
      <c r="L1206" s="35" t="s">
        <v>916</v>
      </c>
      <c r="M1206" s="36" t="s">
        <v>916</v>
      </c>
      <c r="N1206" s="45">
        <v>46022</v>
      </c>
      <c r="O1206" s="36" t="s">
        <v>25</v>
      </c>
      <c r="P1206" s="38">
        <v>5.4847569443999999</v>
      </c>
      <c r="Q1206" s="39" t="s">
        <v>4163</v>
      </c>
      <c r="R1206" s="35" t="s">
        <v>916</v>
      </c>
      <c r="S1206" s="35"/>
      <c r="T1206" s="35" t="s">
        <v>1701</v>
      </c>
      <c r="U1206" s="40">
        <v>46017</v>
      </c>
      <c r="V1206" s="41">
        <v>46153.532870370371</v>
      </c>
      <c r="W1206" s="40">
        <v>46016</v>
      </c>
      <c r="X1206" s="35" t="s">
        <v>916</v>
      </c>
      <c r="Y1206" s="35" t="s">
        <v>916</v>
      </c>
      <c r="Z1206" s="35" t="s">
        <v>916</v>
      </c>
      <c r="AA1206" s="38">
        <v>131.63416666559999</v>
      </c>
      <c r="AB1206" s="42" t="s">
        <v>916</v>
      </c>
      <c r="AC1206" s="43" t="s">
        <v>916</v>
      </c>
      <c r="AD1206" s="43" t="s">
        <v>916</v>
      </c>
      <c r="AE1206" s="33" t="s">
        <v>3982</v>
      </c>
      <c r="AF1206" s="35" t="s">
        <v>916</v>
      </c>
      <c r="AG1206" s="44">
        <v>490740.36583333329</v>
      </c>
      <c r="AH1206" s="42" t="s">
        <v>916</v>
      </c>
      <c r="AI1206" s="32" t="e">
        <f>VLOOKUP(A1206,'4月明細'!B:B,1,0)</f>
        <v>#N/A</v>
      </c>
    </row>
    <row r="1207" spans="1:35" ht="19.95" customHeight="1" x14ac:dyDescent="0.3">
      <c r="A1207" s="33" t="s">
        <v>4164</v>
      </c>
      <c r="B1207" s="34">
        <v>46016.504710648151</v>
      </c>
      <c r="C1207" s="34" t="str">
        <f t="shared" si="31"/>
        <v>202512</v>
      </c>
      <c r="D1207" s="35" t="s">
        <v>996</v>
      </c>
      <c r="E1207" s="36" t="s">
        <v>910</v>
      </c>
      <c r="F1207" s="36" t="s">
        <v>2080</v>
      </c>
      <c r="G1207" s="37" t="s">
        <v>1993</v>
      </c>
      <c r="H1207" s="36" t="s">
        <v>4017</v>
      </c>
      <c r="I1207" s="35" t="s">
        <v>4165</v>
      </c>
      <c r="J1207" s="36" t="s">
        <v>914</v>
      </c>
      <c r="K1207" s="33" t="s">
        <v>916</v>
      </c>
      <c r="L1207" s="35" t="s">
        <v>916</v>
      </c>
      <c r="M1207" s="36" t="s">
        <v>916</v>
      </c>
      <c r="N1207" s="45">
        <v>46022</v>
      </c>
      <c r="O1207" s="36" t="s">
        <v>25</v>
      </c>
      <c r="P1207" s="38">
        <v>5.4952893518000003</v>
      </c>
      <c r="Q1207" s="39" t="s">
        <v>4166</v>
      </c>
      <c r="R1207" s="35" t="s">
        <v>916</v>
      </c>
      <c r="S1207" s="35" t="s">
        <v>4167</v>
      </c>
      <c r="T1207" s="35" t="s">
        <v>1701</v>
      </c>
      <c r="U1207" s="40">
        <v>46017</v>
      </c>
      <c r="V1207" s="41">
        <v>46153.532870370371</v>
      </c>
      <c r="W1207" s="40">
        <v>46016</v>
      </c>
      <c r="X1207" s="35" t="s">
        <v>916</v>
      </c>
      <c r="Y1207" s="35" t="s">
        <v>916</v>
      </c>
      <c r="Z1207" s="35" t="s">
        <v>916</v>
      </c>
      <c r="AA1207" s="38">
        <v>131.88694444320001</v>
      </c>
      <c r="AB1207" s="42" t="s">
        <v>916</v>
      </c>
      <c r="AC1207" s="43" t="s">
        <v>916</v>
      </c>
      <c r="AD1207" s="43" t="s">
        <v>916</v>
      </c>
      <c r="AE1207" s="33" t="s">
        <v>3982</v>
      </c>
      <c r="AF1207" s="35" t="s">
        <v>916</v>
      </c>
      <c r="AG1207" s="44">
        <v>490740.11305555562</v>
      </c>
      <c r="AH1207" s="42" t="s">
        <v>916</v>
      </c>
      <c r="AI1207" s="32" t="e">
        <f>VLOOKUP(A1207,'4月明細'!B:B,1,0)</f>
        <v>#N/A</v>
      </c>
    </row>
    <row r="1208" spans="1:35" ht="19.95" customHeight="1" x14ac:dyDescent="0.3">
      <c r="A1208" s="33" t="s">
        <v>4168</v>
      </c>
      <c r="B1208" s="34">
        <v>46016.44394675926</v>
      </c>
      <c r="C1208" s="34" t="str">
        <f t="shared" si="31"/>
        <v>202512</v>
      </c>
      <c r="D1208" s="35" t="s">
        <v>996</v>
      </c>
      <c r="E1208" s="36" t="s">
        <v>910</v>
      </c>
      <c r="F1208" s="36" t="s">
        <v>1141</v>
      </c>
      <c r="G1208" s="37" t="s">
        <v>4169</v>
      </c>
      <c r="H1208" s="36" t="s">
        <v>3979</v>
      </c>
      <c r="I1208" s="35"/>
      <c r="J1208" s="36" t="s">
        <v>929</v>
      </c>
      <c r="K1208" s="33" t="s">
        <v>916</v>
      </c>
      <c r="L1208" s="35" t="s">
        <v>916</v>
      </c>
      <c r="M1208" s="36" t="s">
        <v>916</v>
      </c>
      <c r="N1208" s="45">
        <v>46022</v>
      </c>
      <c r="O1208" s="36" t="s">
        <v>25</v>
      </c>
      <c r="P1208" s="38">
        <v>5.5560532406999998</v>
      </c>
      <c r="Q1208" s="39" t="s">
        <v>4170</v>
      </c>
      <c r="R1208" s="35" t="s">
        <v>916</v>
      </c>
      <c r="S1208" s="35"/>
      <c r="T1208" s="35" t="s">
        <v>1701</v>
      </c>
      <c r="U1208" s="40">
        <v>46017</v>
      </c>
      <c r="V1208" s="41">
        <v>46153.532870370371</v>
      </c>
      <c r="W1208" s="40">
        <v>46016</v>
      </c>
      <c r="X1208" s="35" t="s">
        <v>916</v>
      </c>
      <c r="Y1208" s="35" t="s">
        <v>916</v>
      </c>
      <c r="Z1208" s="35" t="s">
        <v>916</v>
      </c>
      <c r="AA1208" s="38">
        <v>133.3452777768</v>
      </c>
      <c r="AB1208" s="42" t="s">
        <v>916</v>
      </c>
      <c r="AC1208" s="43" t="s">
        <v>916</v>
      </c>
      <c r="AD1208" s="43" t="s">
        <v>916</v>
      </c>
      <c r="AE1208" s="33" t="s">
        <v>3982</v>
      </c>
      <c r="AF1208" s="35" t="s">
        <v>916</v>
      </c>
      <c r="AG1208" s="44">
        <v>490738.65472222219</v>
      </c>
      <c r="AH1208" s="42" t="s">
        <v>916</v>
      </c>
      <c r="AI1208" s="32" t="e">
        <f>VLOOKUP(A1208,'4月明細'!B:B,1,0)</f>
        <v>#N/A</v>
      </c>
    </row>
    <row r="1209" spans="1:35" ht="19.95" customHeight="1" x14ac:dyDescent="0.3">
      <c r="A1209" s="33" t="s">
        <v>4171</v>
      </c>
      <c r="B1209" s="34">
        <v>46015.728692129633</v>
      </c>
      <c r="C1209" s="34" t="str">
        <f t="shared" si="31"/>
        <v>202512</v>
      </c>
      <c r="D1209" s="35" t="s">
        <v>951</v>
      </c>
      <c r="E1209" s="36" t="s">
        <v>910</v>
      </c>
      <c r="F1209" s="36" t="s">
        <v>3066</v>
      </c>
      <c r="G1209" s="37" t="s">
        <v>4172</v>
      </c>
      <c r="H1209" s="36" t="s">
        <v>1352</v>
      </c>
      <c r="I1209" s="35" t="s">
        <v>4173</v>
      </c>
      <c r="J1209" s="36" t="s">
        <v>938</v>
      </c>
      <c r="K1209" s="33" t="s">
        <v>916</v>
      </c>
      <c r="L1209" s="35" t="s">
        <v>916</v>
      </c>
      <c r="M1209" s="36" t="s">
        <v>916</v>
      </c>
      <c r="N1209" s="45">
        <v>46022</v>
      </c>
      <c r="O1209" s="36" t="s">
        <v>25</v>
      </c>
      <c r="P1209" s="38">
        <v>6.2713078704000003</v>
      </c>
      <c r="Q1209" s="39" t="s">
        <v>4174</v>
      </c>
      <c r="R1209" s="35" t="s">
        <v>916</v>
      </c>
      <c r="S1209" s="35" t="s">
        <v>4175</v>
      </c>
      <c r="T1209" s="35" t="s">
        <v>1701</v>
      </c>
      <c r="U1209" s="40">
        <v>46016</v>
      </c>
      <c r="V1209" s="41">
        <v>46153.532870370371</v>
      </c>
      <c r="W1209" s="40">
        <v>46015</v>
      </c>
      <c r="X1209" s="35" t="s">
        <v>916</v>
      </c>
      <c r="Y1209" s="35" t="s">
        <v>916</v>
      </c>
      <c r="Z1209" s="35" t="s">
        <v>916</v>
      </c>
      <c r="AA1209" s="38">
        <v>150.5113888896</v>
      </c>
      <c r="AB1209" s="42" t="s">
        <v>916</v>
      </c>
      <c r="AC1209" s="43" t="s">
        <v>916</v>
      </c>
      <c r="AD1209" s="43" t="s">
        <v>916</v>
      </c>
      <c r="AE1209" s="33" t="s">
        <v>3982</v>
      </c>
      <c r="AF1209" s="35" t="s">
        <v>916</v>
      </c>
      <c r="AG1209" s="44">
        <v>490721.48861111113</v>
      </c>
      <c r="AH1209" s="42" t="s">
        <v>916</v>
      </c>
      <c r="AI1209" s="32" t="e">
        <f>VLOOKUP(A1209,'4月明細'!B:B,1,0)</f>
        <v>#N/A</v>
      </c>
    </row>
    <row r="1210" spans="1:35" ht="19.95" customHeight="1" x14ac:dyDescent="0.3">
      <c r="A1210" s="33" t="s">
        <v>4176</v>
      </c>
      <c r="B1210" s="34">
        <v>46015.667708333334</v>
      </c>
      <c r="C1210" s="34" t="str">
        <f t="shared" si="31"/>
        <v>202512</v>
      </c>
      <c r="D1210" s="35" t="s">
        <v>951</v>
      </c>
      <c r="E1210" s="36" t="s">
        <v>910</v>
      </c>
      <c r="F1210" s="36" t="s">
        <v>1045</v>
      </c>
      <c r="G1210" s="37" t="s">
        <v>4177</v>
      </c>
      <c r="H1210" s="36" t="s">
        <v>970</v>
      </c>
      <c r="I1210" s="35" t="s">
        <v>4178</v>
      </c>
      <c r="J1210" s="36" t="s">
        <v>929</v>
      </c>
      <c r="K1210" s="33" t="s">
        <v>916</v>
      </c>
      <c r="L1210" s="35" t="s">
        <v>916</v>
      </c>
      <c r="M1210" s="36" t="s">
        <v>916</v>
      </c>
      <c r="N1210" s="45">
        <v>46022</v>
      </c>
      <c r="O1210" s="36" t="s">
        <v>25</v>
      </c>
      <c r="P1210" s="38">
        <v>6.3322916666999998</v>
      </c>
      <c r="Q1210" s="39" t="s">
        <v>4179</v>
      </c>
      <c r="R1210" s="35" t="s">
        <v>916</v>
      </c>
      <c r="S1210" s="35" t="s">
        <v>4180</v>
      </c>
      <c r="T1210" s="35" t="s">
        <v>1701</v>
      </c>
      <c r="U1210" s="40">
        <v>46016</v>
      </c>
      <c r="V1210" s="41">
        <v>46153.532870370371</v>
      </c>
      <c r="W1210" s="40">
        <v>46015</v>
      </c>
      <c r="X1210" s="35" t="s">
        <v>916</v>
      </c>
      <c r="Y1210" s="35" t="s">
        <v>916</v>
      </c>
      <c r="Z1210" s="35" t="s">
        <v>916</v>
      </c>
      <c r="AA1210" s="38">
        <v>151.97500000080001</v>
      </c>
      <c r="AB1210" s="42" t="s">
        <v>916</v>
      </c>
      <c r="AC1210" s="43" t="s">
        <v>916</v>
      </c>
      <c r="AD1210" s="43" t="s">
        <v>916</v>
      </c>
      <c r="AE1210" s="33" t="s">
        <v>3982</v>
      </c>
      <c r="AF1210" s="35" t="s">
        <v>916</v>
      </c>
      <c r="AG1210" s="44">
        <v>490720.02500000002</v>
      </c>
      <c r="AH1210" s="42" t="s">
        <v>916</v>
      </c>
      <c r="AI1210" s="32" t="e">
        <f>VLOOKUP(A1210,'4月明細'!B:B,1,0)</f>
        <v>#N/A</v>
      </c>
    </row>
    <row r="1211" spans="1:35" ht="19.95" customHeight="1" x14ac:dyDescent="0.3">
      <c r="A1211" s="33" t="s">
        <v>4181</v>
      </c>
      <c r="B1211" s="34">
        <v>46015.633738425924</v>
      </c>
      <c r="C1211" s="34" t="str">
        <f t="shared" si="31"/>
        <v>202512</v>
      </c>
      <c r="D1211" s="35" t="s">
        <v>996</v>
      </c>
      <c r="E1211" s="36" t="s">
        <v>910</v>
      </c>
      <c r="F1211" s="36" t="s">
        <v>1108</v>
      </c>
      <c r="G1211" s="37" t="s">
        <v>1444</v>
      </c>
      <c r="H1211" s="36" t="s">
        <v>3985</v>
      </c>
      <c r="I1211" s="35"/>
      <c r="J1211" s="36" t="s">
        <v>929</v>
      </c>
      <c r="K1211" s="33" t="s">
        <v>916</v>
      </c>
      <c r="L1211" s="35" t="s">
        <v>916</v>
      </c>
      <c r="M1211" s="36" t="s">
        <v>916</v>
      </c>
      <c r="N1211" s="45">
        <v>46022</v>
      </c>
      <c r="O1211" s="36" t="s">
        <v>25</v>
      </c>
      <c r="P1211" s="38">
        <v>6.3662615741000002</v>
      </c>
      <c r="Q1211" s="39" t="s">
        <v>4182</v>
      </c>
      <c r="R1211" s="35" t="s">
        <v>916</v>
      </c>
      <c r="S1211" s="35"/>
      <c r="T1211" s="35" t="s">
        <v>1701</v>
      </c>
      <c r="U1211" s="40">
        <v>46016</v>
      </c>
      <c r="V1211" s="41">
        <v>46153.532870370371</v>
      </c>
      <c r="W1211" s="40">
        <v>46015</v>
      </c>
      <c r="X1211" s="35" t="s">
        <v>916</v>
      </c>
      <c r="Y1211" s="35" t="s">
        <v>916</v>
      </c>
      <c r="Z1211" s="35" t="s">
        <v>916</v>
      </c>
      <c r="AA1211" s="38">
        <v>152.7902777784</v>
      </c>
      <c r="AB1211" s="42" t="s">
        <v>916</v>
      </c>
      <c r="AC1211" s="43" t="s">
        <v>916</v>
      </c>
      <c r="AD1211" s="43" t="s">
        <v>916</v>
      </c>
      <c r="AE1211" s="33" t="s">
        <v>3982</v>
      </c>
      <c r="AF1211" s="35" t="s">
        <v>916</v>
      </c>
      <c r="AG1211" s="44">
        <v>490719.20972222229</v>
      </c>
      <c r="AH1211" s="42" t="s">
        <v>916</v>
      </c>
      <c r="AI1211" s="32" t="e">
        <f>VLOOKUP(A1211,'4月明細'!B:B,1,0)</f>
        <v>#N/A</v>
      </c>
    </row>
    <row r="1212" spans="1:35" ht="19.95" customHeight="1" x14ac:dyDescent="0.3">
      <c r="A1212" s="33" t="s">
        <v>4183</v>
      </c>
      <c r="B1212" s="34">
        <v>46015.569016203706</v>
      </c>
      <c r="C1212" s="34" t="str">
        <f t="shared" si="31"/>
        <v>202512</v>
      </c>
      <c r="D1212" s="35" t="s">
        <v>986</v>
      </c>
      <c r="E1212" s="36" t="s">
        <v>910</v>
      </c>
      <c r="F1212" s="36" t="s">
        <v>964</v>
      </c>
      <c r="G1212" s="37" t="s">
        <v>4184</v>
      </c>
      <c r="H1212" s="36" t="s">
        <v>4185</v>
      </c>
      <c r="I1212" s="35"/>
      <c r="J1212" s="36" t="s">
        <v>914</v>
      </c>
      <c r="K1212" s="33" t="s">
        <v>916</v>
      </c>
      <c r="L1212" s="35" t="s">
        <v>916</v>
      </c>
      <c r="M1212" s="36" t="s">
        <v>916</v>
      </c>
      <c r="N1212" s="45">
        <v>46022</v>
      </c>
      <c r="O1212" s="36" t="s">
        <v>25</v>
      </c>
      <c r="P1212" s="38">
        <v>6.4309837962999996</v>
      </c>
      <c r="Q1212" s="39" t="s">
        <v>4186</v>
      </c>
      <c r="R1212" s="35" t="s">
        <v>916</v>
      </c>
      <c r="S1212" s="35"/>
      <c r="T1212" s="35" t="s">
        <v>1701</v>
      </c>
      <c r="U1212" s="40">
        <v>46016</v>
      </c>
      <c r="V1212" s="41">
        <v>46153.532870370371</v>
      </c>
      <c r="W1212" s="40">
        <v>46015</v>
      </c>
      <c r="X1212" s="35" t="s">
        <v>916</v>
      </c>
      <c r="Y1212" s="35" t="s">
        <v>916</v>
      </c>
      <c r="Z1212" s="35" t="s">
        <v>916</v>
      </c>
      <c r="AA1212" s="38">
        <v>154.3436111112</v>
      </c>
      <c r="AB1212" s="42" t="s">
        <v>916</v>
      </c>
      <c r="AC1212" s="43" t="s">
        <v>916</v>
      </c>
      <c r="AD1212" s="43" t="s">
        <v>916</v>
      </c>
      <c r="AE1212" s="33" t="s">
        <v>3982</v>
      </c>
      <c r="AF1212" s="35" t="s">
        <v>916</v>
      </c>
      <c r="AG1212" s="44">
        <v>490717.65638888878</v>
      </c>
      <c r="AH1212" s="42" t="s">
        <v>916</v>
      </c>
      <c r="AI1212" s="32" t="e">
        <f>VLOOKUP(A1212,'4月明細'!B:B,1,0)</f>
        <v>#N/A</v>
      </c>
    </row>
    <row r="1213" spans="1:35" ht="19.95" customHeight="1" x14ac:dyDescent="0.3">
      <c r="A1213" s="33" t="s">
        <v>4187</v>
      </c>
      <c r="B1213" s="34">
        <v>46015.551527777781</v>
      </c>
      <c r="C1213" s="34" t="str">
        <f t="shared" si="31"/>
        <v>202512</v>
      </c>
      <c r="D1213" s="35" t="s">
        <v>951</v>
      </c>
      <c r="E1213" s="36" t="s">
        <v>910</v>
      </c>
      <c r="F1213" s="36" t="s">
        <v>1672</v>
      </c>
      <c r="G1213" s="37" t="s">
        <v>4188</v>
      </c>
      <c r="H1213" s="36" t="s">
        <v>3985</v>
      </c>
      <c r="I1213" s="35"/>
      <c r="J1213" s="36" t="s">
        <v>914</v>
      </c>
      <c r="K1213" s="33" t="s">
        <v>916</v>
      </c>
      <c r="L1213" s="35" t="s">
        <v>916</v>
      </c>
      <c r="M1213" s="36" t="s">
        <v>916</v>
      </c>
      <c r="N1213" s="45">
        <v>46022</v>
      </c>
      <c r="O1213" s="36" t="s">
        <v>25</v>
      </c>
      <c r="P1213" s="38">
        <v>6.4484722222000004</v>
      </c>
      <c r="Q1213" s="39" t="s">
        <v>4189</v>
      </c>
      <c r="R1213" s="35" t="s">
        <v>916</v>
      </c>
      <c r="S1213" s="35"/>
      <c r="T1213" s="35" t="s">
        <v>1701</v>
      </c>
      <c r="U1213" s="40">
        <v>46016</v>
      </c>
      <c r="V1213" s="41">
        <v>46153.532870370371</v>
      </c>
      <c r="W1213" s="40">
        <v>46015</v>
      </c>
      <c r="X1213" s="35" t="s">
        <v>916</v>
      </c>
      <c r="Y1213" s="35" t="s">
        <v>916</v>
      </c>
      <c r="Z1213" s="35" t="s">
        <v>916</v>
      </c>
      <c r="AA1213" s="38">
        <v>154.76333333279999</v>
      </c>
      <c r="AB1213" s="42" t="s">
        <v>916</v>
      </c>
      <c r="AC1213" s="43" t="s">
        <v>916</v>
      </c>
      <c r="AD1213" s="43" t="s">
        <v>916</v>
      </c>
      <c r="AE1213" s="33" t="s">
        <v>3982</v>
      </c>
      <c r="AF1213" s="35" t="s">
        <v>916</v>
      </c>
      <c r="AG1213" s="44">
        <v>490717.23666666669</v>
      </c>
      <c r="AH1213" s="42" t="s">
        <v>916</v>
      </c>
      <c r="AI1213" s="32" t="e">
        <f>VLOOKUP(A1213,'4月明細'!B:B,1,0)</f>
        <v>#N/A</v>
      </c>
    </row>
    <row r="1214" spans="1:35" ht="19.95" customHeight="1" x14ac:dyDescent="0.3">
      <c r="A1214" s="33" t="s">
        <v>4190</v>
      </c>
      <c r="B1214" s="34">
        <v>46015.5471875</v>
      </c>
      <c r="C1214" s="34" t="str">
        <f t="shared" si="31"/>
        <v>202512</v>
      </c>
      <c r="D1214" s="35" t="s">
        <v>951</v>
      </c>
      <c r="E1214" s="36" t="s">
        <v>910</v>
      </c>
      <c r="F1214" s="36" t="s">
        <v>1010</v>
      </c>
      <c r="G1214" s="37" t="s">
        <v>4191</v>
      </c>
      <c r="H1214" s="36" t="s">
        <v>1079</v>
      </c>
      <c r="I1214" s="35" t="s">
        <v>4192</v>
      </c>
      <c r="J1214" s="36" t="s">
        <v>914</v>
      </c>
      <c r="K1214" s="33" t="s">
        <v>916</v>
      </c>
      <c r="L1214" s="35" t="s">
        <v>916</v>
      </c>
      <c r="M1214" s="36" t="s">
        <v>916</v>
      </c>
      <c r="N1214" s="45">
        <v>46022</v>
      </c>
      <c r="O1214" s="36" t="s">
        <v>25</v>
      </c>
      <c r="P1214" s="38">
        <v>6.4528125000000003</v>
      </c>
      <c r="Q1214" s="39" t="s">
        <v>4193</v>
      </c>
      <c r="R1214" s="35" t="s">
        <v>916</v>
      </c>
      <c r="S1214" s="35"/>
      <c r="T1214" s="35" t="s">
        <v>1701</v>
      </c>
      <c r="U1214" s="40">
        <v>46016</v>
      </c>
      <c r="V1214" s="41">
        <v>46153.532870370371</v>
      </c>
      <c r="W1214" s="40">
        <v>46015</v>
      </c>
      <c r="X1214" s="35" t="s">
        <v>916</v>
      </c>
      <c r="Y1214" s="35" t="s">
        <v>916</v>
      </c>
      <c r="Z1214" s="35" t="s">
        <v>916</v>
      </c>
      <c r="AA1214" s="38">
        <v>154.86750000000001</v>
      </c>
      <c r="AB1214" s="42" t="s">
        <v>916</v>
      </c>
      <c r="AC1214" s="43" t="s">
        <v>916</v>
      </c>
      <c r="AD1214" s="43" t="s">
        <v>916</v>
      </c>
      <c r="AE1214" s="33" t="s">
        <v>3982</v>
      </c>
      <c r="AF1214" s="35" t="s">
        <v>916</v>
      </c>
      <c r="AG1214" s="44">
        <v>490717.13250000001</v>
      </c>
      <c r="AH1214" s="42" t="s">
        <v>916</v>
      </c>
      <c r="AI1214" s="32" t="e">
        <f>VLOOKUP(A1214,'4月明細'!B:B,1,0)</f>
        <v>#N/A</v>
      </c>
    </row>
    <row r="1215" spans="1:35" ht="19.95" customHeight="1" x14ac:dyDescent="0.3">
      <c r="A1215" s="33" t="s">
        <v>4194</v>
      </c>
      <c r="B1215" s="34">
        <v>46015.508032407408</v>
      </c>
      <c r="C1215" s="34" t="str">
        <f t="shared" si="31"/>
        <v>202512</v>
      </c>
      <c r="D1215" s="35" t="s">
        <v>986</v>
      </c>
      <c r="E1215" s="36" t="s">
        <v>910</v>
      </c>
      <c r="F1215" s="36" t="s">
        <v>972</v>
      </c>
      <c r="G1215" s="37" t="s">
        <v>4195</v>
      </c>
      <c r="H1215" s="36" t="s">
        <v>4196</v>
      </c>
      <c r="I1215" s="35"/>
      <c r="J1215" s="36" t="s">
        <v>929</v>
      </c>
      <c r="K1215" s="33" t="s">
        <v>916</v>
      </c>
      <c r="L1215" s="35" t="s">
        <v>916</v>
      </c>
      <c r="M1215" s="36" t="s">
        <v>916</v>
      </c>
      <c r="N1215" s="45">
        <v>46022</v>
      </c>
      <c r="O1215" s="36" t="s">
        <v>25</v>
      </c>
      <c r="P1215" s="38">
        <v>6.4919675926</v>
      </c>
      <c r="Q1215" s="39" t="s">
        <v>4197</v>
      </c>
      <c r="R1215" s="35" t="s">
        <v>916</v>
      </c>
      <c r="S1215" s="35" t="s">
        <v>4198</v>
      </c>
      <c r="T1215" s="35" t="s">
        <v>1701</v>
      </c>
      <c r="U1215" s="40">
        <v>46016</v>
      </c>
      <c r="V1215" s="41">
        <v>46153.532870370371</v>
      </c>
      <c r="W1215" s="40">
        <v>46015</v>
      </c>
      <c r="X1215" s="35" t="s">
        <v>916</v>
      </c>
      <c r="Y1215" s="35" t="s">
        <v>916</v>
      </c>
      <c r="Z1215" s="35" t="s">
        <v>916</v>
      </c>
      <c r="AA1215" s="38">
        <v>155.80722222239999</v>
      </c>
      <c r="AB1215" s="42" t="s">
        <v>916</v>
      </c>
      <c r="AC1215" s="43" t="s">
        <v>916</v>
      </c>
      <c r="AD1215" s="43" t="s">
        <v>916</v>
      </c>
      <c r="AE1215" s="33" t="s">
        <v>3982</v>
      </c>
      <c r="AF1215" s="35" t="s">
        <v>916</v>
      </c>
      <c r="AG1215" s="44">
        <v>490716.19277777779</v>
      </c>
      <c r="AH1215" s="42" t="s">
        <v>916</v>
      </c>
      <c r="AI1215" s="32" t="e">
        <f>VLOOKUP(A1215,'4月明細'!B:B,1,0)</f>
        <v>#N/A</v>
      </c>
    </row>
    <row r="1216" spans="1:35" ht="19.95" customHeight="1" x14ac:dyDescent="0.3">
      <c r="A1216" s="33" t="s">
        <v>4199</v>
      </c>
      <c r="B1216" s="34">
        <v>46015.46912037037</v>
      </c>
      <c r="C1216" s="34" t="str">
        <f t="shared" si="31"/>
        <v>202512</v>
      </c>
      <c r="D1216" s="35" t="s">
        <v>996</v>
      </c>
      <c r="E1216" s="36" t="s">
        <v>910</v>
      </c>
      <c r="F1216" s="36" t="s">
        <v>1213</v>
      </c>
      <c r="G1216" s="37" t="s">
        <v>998</v>
      </c>
      <c r="H1216" s="36" t="s">
        <v>3979</v>
      </c>
      <c r="I1216" s="35"/>
      <c r="J1216" s="36" t="s">
        <v>914</v>
      </c>
      <c r="K1216" s="33" t="s">
        <v>916</v>
      </c>
      <c r="L1216" s="35" t="s">
        <v>916</v>
      </c>
      <c r="M1216" s="36" t="s">
        <v>916</v>
      </c>
      <c r="N1216" s="45">
        <v>46022</v>
      </c>
      <c r="O1216" s="36" t="s">
        <v>25</v>
      </c>
      <c r="P1216" s="38">
        <v>6.5308796296000002</v>
      </c>
      <c r="Q1216" s="39" t="s">
        <v>4200</v>
      </c>
      <c r="R1216" s="35" t="s">
        <v>916</v>
      </c>
      <c r="S1216" s="35"/>
      <c r="T1216" s="35" t="s">
        <v>1701</v>
      </c>
      <c r="U1216" s="40">
        <v>46016</v>
      </c>
      <c r="V1216" s="41">
        <v>46153.532870370371</v>
      </c>
      <c r="W1216" s="40">
        <v>46015</v>
      </c>
      <c r="X1216" s="35" t="s">
        <v>916</v>
      </c>
      <c r="Y1216" s="35" t="s">
        <v>916</v>
      </c>
      <c r="Z1216" s="35" t="s">
        <v>916</v>
      </c>
      <c r="AA1216" s="38">
        <v>156.7411111104</v>
      </c>
      <c r="AB1216" s="42" t="s">
        <v>916</v>
      </c>
      <c r="AC1216" s="43" t="s">
        <v>916</v>
      </c>
      <c r="AD1216" s="43" t="s">
        <v>916</v>
      </c>
      <c r="AE1216" s="33" t="s">
        <v>3982</v>
      </c>
      <c r="AF1216" s="35" t="s">
        <v>916</v>
      </c>
      <c r="AG1216" s="44">
        <v>490715.25888888887</v>
      </c>
      <c r="AH1216" s="42" t="s">
        <v>916</v>
      </c>
      <c r="AI1216" s="32" t="e">
        <f>VLOOKUP(A1216,'4月明細'!B:B,1,0)</f>
        <v>#N/A</v>
      </c>
    </row>
    <row r="1217" spans="1:35" ht="19.95" customHeight="1" x14ac:dyDescent="0.3">
      <c r="A1217" s="33" t="s">
        <v>4201</v>
      </c>
      <c r="B1217" s="34">
        <v>46014.956064814818</v>
      </c>
      <c r="C1217" s="34" t="str">
        <f t="shared" si="31"/>
        <v>202512</v>
      </c>
      <c r="D1217" s="35" t="s">
        <v>1510</v>
      </c>
      <c r="E1217" s="36" t="s">
        <v>942</v>
      </c>
      <c r="F1217" s="36" t="s">
        <v>1639</v>
      </c>
      <c r="G1217" s="37" t="s">
        <v>4202</v>
      </c>
      <c r="H1217" s="36" t="s">
        <v>4203</v>
      </c>
      <c r="I1217" s="35"/>
      <c r="J1217" s="36" t="s">
        <v>938</v>
      </c>
      <c r="K1217" s="33" t="s">
        <v>916</v>
      </c>
      <c r="L1217" s="35" t="s">
        <v>916</v>
      </c>
      <c r="M1217" s="36" t="s">
        <v>916</v>
      </c>
      <c r="N1217" s="45">
        <v>46022</v>
      </c>
      <c r="O1217" s="36" t="s">
        <v>25</v>
      </c>
      <c r="P1217" s="38">
        <v>7.0439351851999996</v>
      </c>
      <c r="Q1217" s="39" t="s">
        <v>4204</v>
      </c>
      <c r="R1217" s="35" t="s">
        <v>916</v>
      </c>
      <c r="S1217" s="35" t="s">
        <v>4205</v>
      </c>
      <c r="T1217" s="35" t="s">
        <v>1624</v>
      </c>
      <c r="U1217" s="40">
        <v>46015</v>
      </c>
      <c r="V1217" s="41">
        <v>46153.532870370371</v>
      </c>
      <c r="W1217" s="40">
        <v>46015</v>
      </c>
      <c r="X1217" s="35" t="s">
        <v>916</v>
      </c>
      <c r="Y1217" s="35" t="s">
        <v>916</v>
      </c>
      <c r="Z1217" s="35" t="s">
        <v>916</v>
      </c>
      <c r="AA1217" s="38">
        <v>169.0544444448</v>
      </c>
      <c r="AB1217" s="42" t="s">
        <v>916</v>
      </c>
      <c r="AC1217" s="43" t="s">
        <v>916</v>
      </c>
      <c r="AD1217" s="43" t="s">
        <v>916</v>
      </c>
      <c r="AE1217" s="33" t="s">
        <v>3982</v>
      </c>
      <c r="AF1217" s="35" t="s">
        <v>916</v>
      </c>
      <c r="AG1217" s="44">
        <v>490702.94555555552</v>
      </c>
      <c r="AH1217" s="42" t="s">
        <v>916</v>
      </c>
      <c r="AI1217" s="32" t="e">
        <f>VLOOKUP(A1217,'4月明細'!B:B,1,0)</f>
        <v>#N/A</v>
      </c>
    </row>
    <row r="1218" spans="1:35" ht="19.95" customHeight="1" x14ac:dyDescent="0.3">
      <c r="A1218" s="33" t="s">
        <v>4206</v>
      </c>
      <c r="B1218" s="34">
        <v>46012.683240740742</v>
      </c>
      <c r="C1218" s="34" t="str">
        <f t="shared" si="31"/>
        <v>202512</v>
      </c>
      <c r="D1218" s="35" t="s">
        <v>2278</v>
      </c>
      <c r="E1218" s="36" t="s">
        <v>910</v>
      </c>
      <c r="F1218" s="36" t="s">
        <v>2090</v>
      </c>
      <c r="G1218" s="37" t="s">
        <v>4207</v>
      </c>
      <c r="H1218" s="36" t="s">
        <v>1352</v>
      </c>
      <c r="I1218" s="35"/>
      <c r="J1218" s="36" t="s">
        <v>938</v>
      </c>
      <c r="K1218" s="33" t="s">
        <v>916</v>
      </c>
      <c r="L1218" s="35" t="s">
        <v>916</v>
      </c>
      <c r="M1218" s="36" t="s">
        <v>916</v>
      </c>
      <c r="N1218" s="45">
        <v>46022</v>
      </c>
      <c r="O1218" s="36" t="s">
        <v>25</v>
      </c>
      <c r="P1218" s="38">
        <v>9.3167592592999995</v>
      </c>
      <c r="Q1218" s="39" t="s">
        <v>4208</v>
      </c>
      <c r="R1218" s="35" t="s">
        <v>916</v>
      </c>
      <c r="S1218" s="35" t="s">
        <v>4209</v>
      </c>
      <c r="T1218" s="35" t="s">
        <v>1701</v>
      </c>
      <c r="U1218" s="40">
        <v>46013</v>
      </c>
      <c r="V1218" s="41">
        <v>46153.532870370371</v>
      </c>
      <c r="W1218" s="40">
        <v>46012</v>
      </c>
      <c r="X1218" s="35" t="s">
        <v>916</v>
      </c>
      <c r="Y1218" s="35" t="s">
        <v>916</v>
      </c>
      <c r="Z1218" s="35" t="s">
        <v>916</v>
      </c>
      <c r="AA1218" s="38">
        <v>223.60222222319999</v>
      </c>
      <c r="AB1218" s="42" t="s">
        <v>916</v>
      </c>
      <c r="AC1218" s="43" t="s">
        <v>916</v>
      </c>
      <c r="AD1218" s="43" t="s">
        <v>916</v>
      </c>
      <c r="AE1218" s="33" t="s">
        <v>3982</v>
      </c>
      <c r="AF1218" s="35" t="s">
        <v>916</v>
      </c>
      <c r="AG1218" s="44">
        <v>490648.39777777781</v>
      </c>
      <c r="AH1218" s="42" t="s">
        <v>916</v>
      </c>
      <c r="AI1218" s="32" t="e">
        <f>VLOOKUP(A1218,'4月明細'!B:B,1,0)</f>
        <v>#N/A</v>
      </c>
    </row>
    <row r="1219" spans="1:35" ht="19.95" customHeight="1" x14ac:dyDescent="0.3">
      <c r="A1219" s="33" t="s">
        <v>4210</v>
      </c>
      <c r="B1219" s="34">
        <v>46014.649895833332</v>
      </c>
      <c r="C1219" s="34" t="str">
        <f t="shared" ref="C1219:C1282" si="32">TEXT(B1219,"YYYYMM")</f>
        <v>202512</v>
      </c>
      <c r="D1219" s="35" t="s">
        <v>909</v>
      </c>
      <c r="E1219" s="36" t="s">
        <v>910</v>
      </c>
      <c r="F1219" s="36" t="s">
        <v>2300</v>
      </c>
      <c r="G1219" s="37" t="s">
        <v>3708</v>
      </c>
      <c r="H1219" s="36" t="s">
        <v>4065</v>
      </c>
      <c r="I1219" s="35" t="s">
        <v>4211</v>
      </c>
      <c r="J1219" s="36" t="s">
        <v>929</v>
      </c>
      <c r="K1219" s="33" t="s">
        <v>916</v>
      </c>
      <c r="L1219" s="35" t="s">
        <v>916</v>
      </c>
      <c r="M1219" s="36" t="s">
        <v>916</v>
      </c>
      <c r="N1219" s="45">
        <v>46022</v>
      </c>
      <c r="O1219" s="36" t="s">
        <v>25</v>
      </c>
      <c r="P1219" s="38">
        <v>7.3501041667000004</v>
      </c>
      <c r="Q1219" s="39" t="s">
        <v>4212</v>
      </c>
      <c r="R1219" s="35" t="s">
        <v>916</v>
      </c>
      <c r="S1219" s="35" t="s">
        <v>4213</v>
      </c>
      <c r="T1219" s="35" t="s">
        <v>1701</v>
      </c>
      <c r="U1219" s="40">
        <v>46015</v>
      </c>
      <c r="V1219" s="41">
        <v>46153.532870370371</v>
      </c>
      <c r="W1219" s="40">
        <v>46014</v>
      </c>
      <c r="X1219" s="35" t="s">
        <v>916</v>
      </c>
      <c r="Y1219" s="35" t="s">
        <v>916</v>
      </c>
      <c r="Z1219" s="35" t="s">
        <v>916</v>
      </c>
      <c r="AA1219" s="38">
        <v>176.40250000079999</v>
      </c>
      <c r="AB1219" s="42" t="s">
        <v>916</v>
      </c>
      <c r="AC1219" s="43" t="s">
        <v>916</v>
      </c>
      <c r="AD1219" s="43" t="s">
        <v>916</v>
      </c>
      <c r="AE1219" s="33" t="s">
        <v>3982</v>
      </c>
      <c r="AF1219" s="35" t="s">
        <v>916</v>
      </c>
      <c r="AG1219" s="44">
        <v>490695.59749999997</v>
      </c>
      <c r="AH1219" s="42" t="s">
        <v>916</v>
      </c>
      <c r="AI1219" s="32" t="e">
        <f>VLOOKUP(A1219,'4月明細'!B:B,1,0)</f>
        <v>#N/A</v>
      </c>
    </row>
    <row r="1220" spans="1:35" ht="19.95" customHeight="1" x14ac:dyDescent="0.3">
      <c r="A1220" s="33" t="s">
        <v>4214</v>
      </c>
      <c r="B1220" s="34">
        <v>46014.606469907405</v>
      </c>
      <c r="C1220" s="34" t="str">
        <f t="shared" si="32"/>
        <v>202512</v>
      </c>
      <c r="D1220" s="35" t="s">
        <v>909</v>
      </c>
      <c r="E1220" s="36" t="s">
        <v>910</v>
      </c>
      <c r="F1220" s="36" t="s">
        <v>1068</v>
      </c>
      <c r="G1220" s="37" t="s">
        <v>4215</v>
      </c>
      <c r="H1220" s="36" t="s">
        <v>1079</v>
      </c>
      <c r="I1220" s="35" t="s">
        <v>4216</v>
      </c>
      <c r="J1220" s="36" t="s">
        <v>914</v>
      </c>
      <c r="K1220" s="33" t="s">
        <v>916</v>
      </c>
      <c r="L1220" s="35" t="s">
        <v>916</v>
      </c>
      <c r="M1220" s="36" t="s">
        <v>916</v>
      </c>
      <c r="N1220" s="45">
        <v>46022</v>
      </c>
      <c r="O1220" s="36" t="s">
        <v>25</v>
      </c>
      <c r="P1220" s="38">
        <v>7.3935300925999998</v>
      </c>
      <c r="Q1220" s="39" t="s">
        <v>4217</v>
      </c>
      <c r="R1220" s="35" t="s">
        <v>916</v>
      </c>
      <c r="S1220" s="35"/>
      <c r="T1220" s="35" t="s">
        <v>1701</v>
      </c>
      <c r="U1220" s="40">
        <v>46015</v>
      </c>
      <c r="V1220" s="41">
        <v>46153.532870370371</v>
      </c>
      <c r="W1220" s="40">
        <v>46014</v>
      </c>
      <c r="X1220" s="35" t="s">
        <v>916</v>
      </c>
      <c r="Y1220" s="35" t="s">
        <v>916</v>
      </c>
      <c r="Z1220" s="35" t="s">
        <v>916</v>
      </c>
      <c r="AA1220" s="38">
        <v>177.4447222224</v>
      </c>
      <c r="AB1220" s="42" t="s">
        <v>916</v>
      </c>
      <c r="AC1220" s="43" t="s">
        <v>916</v>
      </c>
      <c r="AD1220" s="43" t="s">
        <v>916</v>
      </c>
      <c r="AE1220" s="33" t="s">
        <v>3982</v>
      </c>
      <c r="AF1220" s="35" t="s">
        <v>916</v>
      </c>
      <c r="AG1220" s="44">
        <v>490694.55527777778</v>
      </c>
      <c r="AH1220" s="42" t="s">
        <v>916</v>
      </c>
      <c r="AI1220" s="32" t="e">
        <f>VLOOKUP(A1220,'4月明細'!B:B,1,0)</f>
        <v>#N/A</v>
      </c>
    </row>
    <row r="1221" spans="1:35" ht="19.95" customHeight="1" x14ac:dyDescent="0.3">
      <c r="A1221" s="33" t="s">
        <v>4218</v>
      </c>
      <c r="B1221" s="34">
        <v>46014.574270833335</v>
      </c>
      <c r="C1221" s="34" t="str">
        <f t="shared" si="32"/>
        <v>202512</v>
      </c>
      <c r="D1221" s="35" t="s">
        <v>909</v>
      </c>
      <c r="E1221" s="36" t="s">
        <v>910</v>
      </c>
      <c r="F1221" s="36" t="s">
        <v>1213</v>
      </c>
      <c r="G1221" s="37" t="s">
        <v>4219</v>
      </c>
      <c r="H1221" s="36" t="s">
        <v>4023</v>
      </c>
      <c r="I1221" s="35"/>
      <c r="J1221" s="36" t="s">
        <v>929</v>
      </c>
      <c r="K1221" s="33" t="s">
        <v>916</v>
      </c>
      <c r="L1221" s="35" t="s">
        <v>916</v>
      </c>
      <c r="M1221" s="36" t="s">
        <v>916</v>
      </c>
      <c r="N1221" s="45">
        <v>46022</v>
      </c>
      <c r="O1221" s="36" t="s">
        <v>25</v>
      </c>
      <c r="P1221" s="38">
        <v>7.4257291667000001</v>
      </c>
      <c r="Q1221" s="39" t="s">
        <v>4220</v>
      </c>
      <c r="R1221" s="35" t="s">
        <v>916</v>
      </c>
      <c r="S1221" s="35"/>
      <c r="T1221" s="35" t="s">
        <v>1701</v>
      </c>
      <c r="U1221" s="40">
        <v>46015</v>
      </c>
      <c r="V1221" s="41">
        <v>46153.532870370371</v>
      </c>
      <c r="W1221" s="40">
        <v>46014</v>
      </c>
      <c r="X1221" s="35" t="s">
        <v>916</v>
      </c>
      <c r="Y1221" s="35" t="s">
        <v>916</v>
      </c>
      <c r="Z1221" s="35" t="s">
        <v>916</v>
      </c>
      <c r="AA1221" s="38">
        <v>178.21750000079999</v>
      </c>
      <c r="AB1221" s="42" t="s">
        <v>916</v>
      </c>
      <c r="AC1221" s="43" t="s">
        <v>916</v>
      </c>
      <c r="AD1221" s="43" t="s">
        <v>916</v>
      </c>
      <c r="AE1221" s="33" t="s">
        <v>3982</v>
      </c>
      <c r="AF1221" s="35" t="s">
        <v>916</v>
      </c>
      <c r="AG1221" s="44">
        <v>490693.78249999997</v>
      </c>
      <c r="AH1221" s="42" t="s">
        <v>916</v>
      </c>
      <c r="AI1221" s="32" t="e">
        <f>VLOOKUP(A1221,'4月明細'!B:B,1,0)</f>
        <v>#N/A</v>
      </c>
    </row>
    <row r="1222" spans="1:35" ht="19.95" customHeight="1" x14ac:dyDescent="0.3">
      <c r="A1222" s="33" t="s">
        <v>4221</v>
      </c>
      <c r="B1222" s="34">
        <v>46014.543587962966</v>
      </c>
      <c r="C1222" s="34" t="str">
        <f t="shared" si="32"/>
        <v>202512</v>
      </c>
      <c r="D1222" s="35" t="s">
        <v>2278</v>
      </c>
      <c r="E1222" s="36" t="s">
        <v>910</v>
      </c>
      <c r="F1222" s="36" t="s">
        <v>1240</v>
      </c>
      <c r="G1222" s="37" t="s">
        <v>4222</v>
      </c>
      <c r="H1222" s="36" t="s">
        <v>3991</v>
      </c>
      <c r="I1222" s="35" t="s">
        <v>4223</v>
      </c>
      <c r="J1222" s="36" t="s">
        <v>929</v>
      </c>
      <c r="K1222" s="33" t="s">
        <v>916</v>
      </c>
      <c r="L1222" s="35" t="s">
        <v>916</v>
      </c>
      <c r="M1222" s="36" t="s">
        <v>916</v>
      </c>
      <c r="N1222" s="45">
        <v>46022</v>
      </c>
      <c r="O1222" s="36" t="s">
        <v>25</v>
      </c>
      <c r="P1222" s="38">
        <v>7.4564120369999998</v>
      </c>
      <c r="Q1222" s="39" t="s">
        <v>4224</v>
      </c>
      <c r="R1222" s="35" t="s">
        <v>916</v>
      </c>
      <c r="S1222" s="35"/>
      <c r="T1222" s="35" t="s">
        <v>1701</v>
      </c>
      <c r="U1222" s="40">
        <v>46015</v>
      </c>
      <c r="V1222" s="41">
        <v>46153.532870370371</v>
      </c>
      <c r="W1222" s="40">
        <v>46014</v>
      </c>
      <c r="X1222" s="35" t="s">
        <v>916</v>
      </c>
      <c r="Y1222" s="35" t="s">
        <v>916</v>
      </c>
      <c r="Z1222" s="35" t="s">
        <v>916</v>
      </c>
      <c r="AA1222" s="38">
        <v>178.95388888799999</v>
      </c>
      <c r="AB1222" s="42" t="s">
        <v>916</v>
      </c>
      <c r="AC1222" s="43" t="s">
        <v>916</v>
      </c>
      <c r="AD1222" s="43" t="s">
        <v>916</v>
      </c>
      <c r="AE1222" s="33" t="s">
        <v>3982</v>
      </c>
      <c r="AF1222" s="35" t="s">
        <v>916</v>
      </c>
      <c r="AG1222" s="44">
        <v>490693.04611111112</v>
      </c>
      <c r="AH1222" s="42" t="s">
        <v>916</v>
      </c>
      <c r="AI1222" s="32" t="e">
        <f>VLOOKUP(A1222,'4月明細'!B:B,1,0)</f>
        <v>#N/A</v>
      </c>
    </row>
    <row r="1223" spans="1:35" ht="19.95" customHeight="1" x14ac:dyDescent="0.3">
      <c r="A1223" s="33" t="s">
        <v>4225</v>
      </c>
      <c r="B1223" s="34">
        <v>46014.489305555559</v>
      </c>
      <c r="C1223" s="34" t="str">
        <f t="shared" si="32"/>
        <v>202512</v>
      </c>
      <c r="D1223" s="35" t="s">
        <v>909</v>
      </c>
      <c r="E1223" s="36" t="s">
        <v>910</v>
      </c>
      <c r="F1223" s="36" t="s">
        <v>1799</v>
      </c>
      <c r="G1223" s="37" t="s">
        <v>4226</v>
      </c>
      <c r="H1223" s="36" t="s">
        <v>4162</v>
      </c>
      <c r="I1223" s="35" t="s">
        <v>4227</v>
      </c>
      <c r="J1223" s="36" t="s">
        <v>938</v>
      </c>
      <c r="K1223" s="33" t="s">
        <v>916</v>
      </c>
      <c r="L1223" s="35" t="s">
        <v>916</v>
      </c>
      <c r="M1223" s="36" t="s">
        <v>916</v>
      </c>
      <c r="N1223" s="45">
        <v>46022</v>
      </c>
      <c r="O1223" s="36" t="s">
        <v>25</v>
      </c>
      <c r="P1223" s="38">
        <v>7.5106944444000003</v>
      </c>
      <c r="Q1223" s="39" t="s">
        <v>4228</v>
      </c>
      <c r="R1223" s="35" t="s">
        <v>916</v>
      </c>
      <c r="S1223" s="35"/>
      <c r="T1223" s="35" t="s">
        <v>1701</v>
      </c>
      <c r="U1223" s="40">
        <v>46015</v>
      </c>
      <c r="V1223" s="41">
        <v>46153.532870370371</v>
      </c>
      <c r="W1223" s="40">
        <v>46014</v>
      </c>
      <c r="X1223" s="35" t="s">
        <v>916</v>
      </c>
      <c r="Y1223" s="35" t="s">
        <v>916</v>
      </c>
      <c r="Z1223" s="35" t="s">
        <v>916</v>
      </c>
      <c r="AA1223" s="38">
        <v>180.25666666559999</v>
      </c>
      <c r="AB1223" s="42" t="s">
        <v>916</v>
      </c>
      <c r="AC1223" s="43" t="s">
        <v>916</v>
      </c>
      <c r="AD1223" s="43" t="s">
        <v>916</v>
      </c>
      <c r="AE1223" s="33" t="s">
        <v>3982</v>
      </c>
      <c r="AF1223" s="35" t="s">
        <v>916</v>
      </c>
      <c r="AG1223" s="44">
        <v>490691.74333333329</v>
      </c>
      <c r="AH1223" s="42" t="s">
        <v>916</v>
      </c>
      <c r="AI1223" s="32" t="e">
        <f>VLOOKUP(A1223,'4月明細'!B:B,1,0)</f>
        <v>#N/A</v>
      </c>
    </row>
    <row r="1224" spans="1:35" ht="19.95" customHeight="1" x14ac:dyDescent="0.3">
      <c r="A1224" s="33" t="s">
        <v>4229</v>
      </c>
      <c r="B1224" s="34">
        <v>46014.41715277778</v>
      </c>
      <c r="C1224" s="34" t="str">
        <f t="shared" si="32"/>
        <v>202512</v>
      </c>
      <c r="D1224" s="35" t="s">
        <v>1587</v>
      </c>
      <c r="E1224" s="36" t="s">
        <v>1112</v>
      </c>
      <c r="F1224" s="36" t="s">
        <v>1150</v>
      </c>
      <c r="G1224" s="37" t="s">
        <v>4230</v>
      </c>
      <c r="H1224" s="36" t="s">
        <v>4185</v>
      </c>
      <c r="I1224" s="35"/>
      <c r="J1224" s="36" t="s">
        <v>916</v>
      </c>
      <c r="K1224" s="33" t="s">
        <v>916</v>
      </c>
      <c r="L1224" s="35" t="s">
        <v>916</v>
      </c>
      <c r="M1224" s="36" t="s">
        <v>917</v>
      </c>
      <c r="N1224" s="45">
        <v>46022</v>
      </c>
      <c r="O1224" s="36" t="s">
        <v>25</v>
      </c>
      <c r="P1224" s="38">
        <v>7.5828472221999998</v>
      </c>
      <c r="Q1224" s="39" t="s">
        <v>4231</v>
      </c>
      <c r="R1224" s="35" t="s">
        <v>916</v>
      </c>
      <c r="S1224" s="35" t="s">
        <v>4232</v>
      </c>
      <c r="T1224" s="35" t="s">
        <v>1701</v>
      </c>
      <c r="U1224" s="40">
        <v>46015</v>
      </c>
      <c r="V1224" s="41">
        <v>46153.532870370371</v>
      </c>
      <c r="W1224" s="40">
        <v>46014</v>
      </c>
      <c r="X1224" s="35" t="s">
        <v>916</v>
      </c>
      <c r="Y1224" s="35" t="s">
        <v>916</v>
      </c>
      <c r="Z1224" s="35" t="s">
        <v>916</v>
      </c>
      <c r="AA1224" s="38">
        <v>181.98833333280001</v>
      </c>
      <c r="AB1224" s="42" t="s">
        <v>916</v>
      </c>
      <c r="AC1224" s="43" t="s">
        <v>916</v>
      </c>
      <c r="AD1224" s="43" t="s">
        <v>916</v>
      </c>
      <c r="AE1224" s="33" t="s">
        <v>3982</v>
      </c>
      <c r="AF1224" s="35" t="s">
        <v>916</v>
      </c>
      <c r="AG1224" s="44">
        <v>490690.0116666666</v>
      </c>
      <c r="AH1224" s="42" t="s">
        <v>916</v>
      </c>
      <c r="AI1224" s="32" t="e">
        <f>VLOOKUP(A1224,'4月明細'!B:B,1,0)</f>
        <v>#N/A</v>
      </c>
    </row>
    <row r="1225" spans="1:35" ht="19.95" customHeight="1" x14ac:dyDescent="0.3">
      <c r="A1225" s="33" t="s">
        <v>4233</v>
      </c>
      <c r="B1225" s="34">
        <v>46014.409861111111</v>
      </c>
      <c r="C1225" s="34" t="str">
        <f t="shared" si="32"/>
        <v>202512</v>
      </c>
      <c r="D1225" s="35" t="s">
        <v>909</v>
      </c>
      <c r="E1225" s="36" t="s">
        <v>910</v>
      </c>
      <c r="F1225" s="36" t="s">
        <v>1203</v>
      </c>
      <c r="G1225" s="37" t="s">
        <v>4234</v>
      </c>
      <c r="H1225" s="36" t="s">
        <v>4157</v>
      </c>
      <c r="I1225" s="35" t="s">
        <v>4235</v>
      </c>
      <c r="J1225" s="36" t="s">
        <v>929</v>
      </c>
      <c r="K1225" s="33" t="s">
        <v>916</v>
      </c>
      <c r="L1225" s="35" t="s">
        <v>916</v>
      </c>
      <c r="M1225" s="36" t="s">
        <v>916</v>
      </c>
      <c r="N1225" s="45">
        <v>46022</v>
      </c>
      <c r="O1225" s="36" t="s">
        <v>25</v>
      </c>
      <c r="P1225" s="38">
        <v>7.5901388889000003</v>
      </c>
      <c r="Q1225" s="39" t="s">
        <v>4236</v>
      </c>
      <c r="R1225" s="35" t="s">
        <v>916</v>
      </c>
      <c r="S1225" s="35" t="s">
        <v>4237</v>
      </c>
      <c r="T1225" s="35" t="s">
        <v>1701</v>
      </c>
      <c r="U1225" s="40">
        <v>46015</v>
      </c>
      <c r="V1225" s="41">
        <v>46153.532870370371</v>
      </c>
      <c r="W1225" s="40">
        <v>46014</v>
      </c>
      <c r="X1225" s="35" t="s">
        <v>916</v>
      </c>
      <c r="Y1225" s="35" t="s">
        <v>916</v>
      </c>
      <c r="Z1225" s="35" t="s">
        <v>916</v>
      </c>
      <c r="AA1225" s="38">
        <v>182.16333333360001</v>
      </c>
      <c r="AB1225" s="42" t="s">
        <v>916</v>
      </c>
      <c r="AC1225" s="43" t="s">
        <v>916</v>
      </c>
      <c r="AD1225" s="43" t="s">
        <v>916</v>
      </c>
      <c r="AE1225" s="33" t="s">
        <v>3982</v>
      </c>
      <c r="AF1225" s="35" t="s">
        <v>916</v>
      </c>
      <c r="AG1225" s="44">
        <v>490689.83666666673</v>
      </c>
      <c r="AH1225" s="42" t="s">
        <v>916</v>
      </c>
      <c r="AI1225" s="32" t="e">
        <f>VLOOKUP(A1225,'4月明細'!B:B,1,0)</f>
        <v>#N/A</v>
      </c>
    </row>
    <row r="1226" spans="1:35" ht="19.95" customHeight="1" x14ac:dyDescent="0.3">
      <c r="A1226" s="33" t="s">
        <v>4238</v>
      </c>
      <c r="B1226" s="34">
        <v>46014.110150462962</v>
      </c>
      <c r="C1226" s="34" t="str">
        <f t="shared" si="32"/>
        <v>202512</v>
      </c>
      <c r="D1226" s="35" t="s">
        <v>1510</v>
      </c>
      <c r="E1226" s="36" t="s">
        <v>942</v>
      </c>
      <c r="F1226" s="36" t="s">
        <v>1260</v>
      </c>
      <c r="G1226" s="37" t="s">
        <v>4239</v>
      </c>
      <c r="H1226" s="36" t="s">
        <v>4240</v>
      </c>
      <c r="I1226" s="35"/>
      <c r="J1226" s="36" t="s">
        <v>945</v>
      </c>
      <c r="K1226" s="33" t="s">
        <v>916</v>
      </c>
      <c r="L1226" s="35" t="s">
        <v>916</v>
      </c>
      <c r="M1226" s="36" t="s">
        <v>916</v>
      </c>
      <c r="N1226" s="45">
        <v>46022</v>
      </c>
      <c r="O1226" s="36" t="s">
        <v>25</v>
      </c>
      <c r="P1226" s="38">
        <v>7.8898495369999999</v>
      </c>
      <c r="Q1226" s="39" t="s">
        <v>4241</v>
      </c>
      <c r="R1226" s="35" t="s">
        <v>916</v>
      </c>
      <c r="S1226" s="35"/>
      <c r="T1226" s="35" t="s">
        <v>1701</v>
      </c>
      <c r="U1226" s="40">
        <v>46015</v>
      </c>
      <c r="V1226" s="41">
        <v>46153.532870370371</v>
      </c>
      <c r="W1226" s="40">
        <v>46014</v>
      </c>
      <c r="X1226" s="35" t="s">
        <v>916</v>
      </c>
      <c r="Y1226" s="35" t="s">
        <v>916</v>
      </c>
      <c r="Z1226" s="35" t="s">
        <v>916</v>
      </c>
      <c r="AA1226" s="38">
        <v>189.356388888</v>
      </c>
      <c r="AB1226" s="42" t="s">
        <v>916</v>
      </c>
      <c r="AC1226" s="43" t="s">
        <v>916</v>
      </c>
      <c r="AD1226" s="43" t="s">
        <v>916</v>
      </c>
      <c r="AE1226" s="33" t="s">
        <v>3982</v>
      </c>
      <c r="AF1226" s="35" t="s">
        <v>916</v>
      </c>
      <c r="AG1226" s="44">
        <v>490682.6436111111</v>
      </c>
      <c r="AH1226" s="42" t="s">
        <v>916</v>
      </c>
      <c r="AI1226" s="32" t="e">
        <f>VLOOKUP(A1226,'4月明細'!B:B,1,0)</f>
        <v>#N/A</v>
      </c>
    </row>
    <row r="1227" spans="1:35" ht="19.95" customHeight="1" x14ac:dyDescent="0.3">
      <c r="A1227" s="33" t="s">
        <v>4242</v>
      </c>
      <c r="B1227" s="34">
        <v>46014.109664351854</v>
      </c>
      <c r="C1227" s="34" t="str">
        <f t="shared" si="32"/>
        <v>202512</v>
      </c>
      <c r="D1227" s="35" t="s">
        <v>1510</v>
      </c>
      <c r="E1227" s="36" t="s">
        <v>942</v>
      </c>
      <c r="F1227" s="36" t="s">
        <v>1203</v>
      </c>
      <c r="G1227" s="37" t="s">
        <v>4243</v>
      </c>
      <c r="H1227" s="36" t="s">
        <v>4240</v>
      </c>
      <c r="I1227" s="35"/>
      <c r="J1227" s="36" t="s">
        <v>945</v>
      </c>
      <c r="K1227" s="33" t="s">
        <v>916</v>
      </c>
      <c r="L1227" s="35" t="s">
        <v>916</v>
      </c>
      <c r="M1227" s="36" t="s">
        <v>916</v>
      </c>
      <c r="N1227" s="45">
        <v>46022</v>
      </c>
      <c r="O1227" s="36" t="s">
        <v>25</v>
      </c>
      <c r="P1227" s="38">
        <v>7.8903356480999998</v>
      </c>
      <c r="Q1227" s="39" t="s">
        <v>4244</v>
      </c>
      <c r="R1227" s="35" t="s">
        <v>916</v>
      </c>
      <c r="S1227" s="35"/>
      <c r="T1227" s="35" t="s">
        <v>1701</v>
      </c>
      <c r="U1227" s="40">
        <v>46015</v>
      </c>
      <c r="V1227" s="41">
        <v>46153.532870370371</v>
      </c>
      <c r="W1227" s="40">
        <v>46014</v>
      </c>
      <c r="X1227" s="35" t="s">
        <v>916</v>
      </c>
      <c r="Y1227" s="35" t="s">
        <v>916</v>
      </c>
      <c r="Z1227" s="35" t="s">
        <v>916</v>
      </c>
      <c r="AA1227" s="38">
        <v>189.3680555544</v>
      </c>
      <c r="AB1227" s="42" t="s">
        <v>916</v>
      </c>
      <c r="AC1227" s="43" t="s">
        <v>916</v>
      </c>
      <c r="AD1227" s="43" t="s">
        <v>916</v>
      </c>
      <c r="AE1227" s="33" t="s">
        <v>3982</v>
      </c>
      <c r="AF1227" s="35" t="s">
        <v>916</v>
      </c>
      <c r="AG1227" s="44">
        <v>490682.63194444438</v>
      </c>
      <c r="AH1227" s="42" t="s">
        <v>916</v>
      </c>
      <c r="AI1227" s="32" t="e">
        <f>VLOOKUP(A1227,'4月明細'!B:B,1,0)</f>
        <v>#N/A</v>
      </c>
    </row>
    <row r="1228" spans="1:35" ht="19.95" customHeight="1" x14ac:dyDescent="0.3">
      <c r="A1228" s="33" t="s">
        <v>4245</v>
      </c>
      <c r="B1228" s="34">
        <v>46013.639814814815</v>
      </c>
      <c r="C1228" s="34" t="str">
        <f t="shared" si="32"/>
        <v>202512</v>
      </c>
      <c r="D1228" s="35" t="s">
        <v>909</v>
      </c>
      <c r="E1228" s="36" t="s">
        <v>910</v>
      </c>
      <c r="F1228" s="36" t="s">
        <v>1381</v>
      </c>
      <c r="G1228" s="37" t="s">
        <v>4246</v>
      </c>
      <c r="H1228" s="36" t="s">
        <v>4157</v>
      </c>
      <c r="I1228" s="35" t="s">
        <v>4247</v>
      </c>
      <c r="J1228" s="36" t="s">
        <v>929</v>
      </c>
      <c r="K1228" s="33" t="s">
        <v>916</v>
      </c>
      <c r="L1228" s="35" t="s">
        <v>916</v>
      </c>
      <c r="M1228" s="36" t="s">
        <v>916</v>
      </c>
      <c r="N1228" s="45">
        <v>46022</v>
      </c>
      <c r="O1228" s="36" t="s">
        <v>25</v>
      </c>
      <c r="P1228" s="38">
        <v>8.3601851852000006</v>
      </c>
      <c r="Q1228" s="39" t="s">
        <v>2362</v>
      </c>
      <c r="R1228" s="35" t="s">
        <v>916</v>
      </c>
      <c r="S1228" s="35" t="s">
        <v>4248</v>
      </c>
      <c r="T1228" s="35" t="s">
        <v>1701</v>
      </c>
      <c r="U1228" s="40">
        <v>46014</v>
      </c>
      <c r="V1228" s="41">
        <v>46153.532870370371</v>
      </c>
      <c r="W1228" s="40">
        <v>46013</v>
      </c>
      <c r="X1228" s="35" t="s">
        <v>916</v>
      </c>
      <c r="Y1228" s="35" t="s">
        <v>916</v>
      </c>
      <c r="Z1228" s="35" t="s">
        <v>916</v>
      </c>
      <c r="AA1228" s="38">
        <v>200.6444444448</v>
      </c>
      <c r="AB1228" s="42" t="s">
        <v>916</v>
      </c>
      <c r="AC1228" s="43" t="s">
        <v>916</v>
      </c>
      <c r="AD1228" s="43" t="s">
        <v>916</v>
      </c>
      <c r="AE1228" s="33" t="s">
        <v>3982</v>
      </c>
      <c r="AF1228" s="35" t="s">
        <v>916</v>
      </c>
      <c r="AG1228" s="44">
        <v>490671.35555555561</v>
      </c>
      <c r="AH1228" s="42" t="s">
        <v>916</v>
      </c>
      <c r="AI1228" s="32" t="e">
        <f>VLOOKUP(A1228,'4月明細'!B:B,1,0)</f>
        <v>#N/A</v>
      </c>
    </row>
    <row r="1229" spans="1:35" ht="19.95" customHeight="1" x14ac:dyDescent="0.3">
      <c r="A1229" s="33" t="s">
        <v>4249</v>
      </c>
      <c r="B1229" s="34">
        <v>46013.606435185182</v>
      </c>
      <c r="C1229" s="34" t="str">
        <f t="shared" si="32"/>
        <v>202512</v>
      </c>
      <c r="D1229" s="35" t="s">
        <v>909</v>
      </c>
      <c r="E1229" s="36" t="s">
        <v>910</v>
      </c>
      <c r="F1229" s="36" t="s">
        <v>952</v>
      </c>
      <c r="G1229" s="37" t="s">
        <v>1499</v>
      </c>
      <c r="H1229" s="36" t="s">
        <v>3979</v>
      </c>
      <c r="I1229" s="35" t="s">
        <v>4250</v>
      </c>
      <c r="J1229" s="36" t="s">
        <v>914</v>
      </c>
      <c r="K1229" s="33" t="s">
        <v>916</v>
      </c>
      <c r="L1229" s="35" t="s">
        <v>916</v>
      </c>
      <c r="M1229" s="36" t="s">
        <v>916</v>
      </c>
      <c r="N1229" s="45">
        <v>46022</v>
      </c>
      <c r="O1229" s="36" t="s">
        <v>25</v>
      </c>
      <c r="P1229" s="38">
        <v>8.3935648147999995</v>
      </c>
      <c r="Q1229" s="39" t="s">
        <v>4251</v>
      </c>
      <c r="R1229" s="35" t="s">
        <v>916</v>
      </c>
      <c r="S1229" s="35"/>
      <c r="T1229" s="35" t="s">
        <v>1701</v>
      </c>
      <c r="U1229" s="40">
        <v>46014</v>
      </c>
      <c r="V1229" s="41">
        <v>46153.532870370371</v>
      </c>
      <c r="W1229" s="40">
        <v>46013</v>
      </c>
      <c r="X1229" s="35" t="s">
        <v>916</v>
      </c>
      <c r="Y1229" s="35" t="s">
        <v>916</v>
      </c>
      <c r="Z1229" s="35" t="s">
        <v>916</v>
      </c>
      <c r="AA1229" s="38">
        <v>201.4455555552</v>
      </c>
      <c r="AB1229" s="42" t="s">
        <v>916</v>
      </c>
      <c r="AC1229" s="43" t="s">
        <v>916</v>
      </c>
      <c r="AD1229" s="43" t="s">
        <v>916</v>
      </c>
      <c r="AE1229" s="33" t="s">
        <v>3982</v>
      </c>
      <c r="AF1229" s="35" t="s">
        <v>916</v>
      </c>
      <c r="AG1229" s="44">
        <v>490670.55444444448</v>
      </c>
      <c r="AH1229" s="42" t="s">
        <v>916</v>
      </c>
      <c r="AI1229" s="32" t="e">
        <f>VLOOKUP(A1229,'4月明細'!B:B,1,0)</f>
        <v>#N/A</v>
      </c>
    </row>
    <row r="1230" spans="1:35" ht="19.95" customHeight="1" x14ac:dyDescent="0.3">
      <c r="A1230" s="33" t="s">
        <v>4252</v>
      </c>
      <c r="B1230" s="34">
        <v>46013.551111111112</v>
      </c>
      <c r="C1230" s="34" t="str">
        <f t="shared" si="32"/>
        <v>202512</v>
      </c>
      <c r="D1230" s="35" t="s">
        <v>941</v>
      </c>
      <c r="E1230" s="36" t="s">
        <v>942</v>
      </c>
      <c r="F1230" s="36" t="s">
        <v>1010</v>
      </c>
      <c r="G1230" s="37" t="s">
        <v>4253</v>
      </c>
      <c r="H1230" s="36" t="s">
        <v>1048</v>
      </c>
      <c r="I1230" s="35"/>
      <c r="J1230" s="36" t="s">
        <v>945</v>
      </c>
      <c r="K1230" s="33" t="s">
        <v>916</v>
      </c>
      <c r="L1230" s="35" t="s">
        <v>916</v>
      </c>
      <c r="M1230" s="36" t="s">
        <v>916</v>
      </c>
      <c r="N1230" s="45">
        <v>46022</v>
      </c>
      <c r="O1230" s="36" t="s">
        <v>25</v>
      </c>
      <c r="P1230" s="38">
        <v>8.4488888888999991</v>
      </c>
      <c r="Q1230" s="39" t="s">
        <v>4254</v>
      </c>
      <c r="R1230" s="35" t="s">
        <v>916</v>
      </c>
      <c r="S1230" s="35"/>
      <c r="T1230" s="35" t="s">
        <v>1701</v>
      </c>
      <c r="U1230" s="40">
        <v>46014</v>
      </c>
      <c r="V1230" s="41">
        <v>46153.532870370371</v>
      </c>
      <c r="W1230" s="40">
        <v>46013</v>
      </c>
      <c r="X1230" s="35" t="s">
        <v>916</v>
      </c>
      <c r="Y1230" s="35" t="s">
        <v>916</v>
      </c>
      <c r="Z1230" s="35" t="s">
        <v>916</v>
      </c>
      <c r="AA1230" s="38">
        <v>202.77333333359999</v>
      </c>
      <c r="AB1230" s="42" t="s">
        <v>916</v>
      </c>
      <c r="AC1230" s="43" t="s">
        <v>916</v>
      </c>
      <c r="AD1230" s="43" t="s">
        <v>916</v>
      </c>
      <c r="AE1230" s="33" t="s">
        <v>3982</v>
      </c>
      <c r="AF1230" s="35" t="s">
        <v>916</v>
      </c>
      <c r="AG1230" s="44">
        <v>490669.22666666668</v>
      </c>
      <c r="AH1230" s="42" t="s">
        <v>916</v>
      </c>
      <c r="AI1230" s="32" t="e">
        <f>VLOOKUP(A1230,'4月明細'!B:B,1,0)</f>
        <v>#N/A</v>
      </c>
    </row>
    <row r="1231" spans="1:35" ht="19.95" customHeight="1" x14ac:dyDescent="0.3">
      <c r="A1231" s="33" t="s">
        <v>4255</v>
      </c>
      <c r="B1231" s="34">
        <v>46013.514537037037</v>
      </c>
      <c r="C1231" s="34" t="str">
        <f t="shared" si="32"/>
        <v>202512</v>
      </c>
      <c r="D1231" s="35" t="s">
        <v>1178</v>
      </c>
      <c r="E1231" s="36" t="s">
        <v>910</v>
      </c>
      <c r="F1231" s="36" t="s">
        <v>1335</v>
      </c>
      <c r="G1231" s="37" t="s">
        <v>4256</v>
      </c>
      <c r="H1231" s="36" t="s">
        <v>4060</v>
      </c>
      <c r="I1231" s="35" t="s">
        <v>4257</v>
      </c>
      <c r="J1231" s="36" t="s">
        <v>945</v>
      </c>
      <c r="K1231" s="33" t="s">
        <v>916</v>
      </c>
      <c r="L1231" s="35" t="s">
        <v>916</v>
      </c>
      <c r="M1231" s="36" t="s">
        <v>916</v>
      </c>
      <c r="N1231" s="45">
        <v>46022</v>
      </c>
      <c r="O1231" s="36" t="s">
        <v>25</v>
      </c>
      <c r="P1231" s="38">
        <v>8.4854629629999998</v>
      </c>
      <c r="Q1231" s="39" t="s">
        <v>4258</v>
      </c>
      <c r="R1231" s="35" t="s">
        <v>916</v>
      </c>
      <c r="S1231" s="35"/>
      <c r="T1231" s="35" t="s">
        <v>1701</v>
      </c>
      <c r="U1231" s="40">
        <v>46014</v>
      </c>
      <c r="V1231" s="41">
        <v>46153.532870370371</v>
      </c>
      <c r="W1231" s="40">
        <v>46013</v>
      </c>
      <c r="X1231" s="35" t="s">
        <v>916</v>
      </c>
      <c r="Y1231" s="35" t="s">
        <v>916</v>
      </c>
      <c r="Z1231" s="35" t="s">
        <v>916</v>
      </c>
      <c r="AA1231" s="38">
        <v>203.651111112</v>
      </c>
      <c r="AB1231" s="42" t="s">
        <v>916</v>
      </c>
      <c r="AC1231" s="43" t="s">
        <v>916</v>
      </c>
      <c r="AD1231" s="43" t="s">
        <v>916</v>
      </c>
      <c r="AE1231" s="33" t="s">
        <v>3982</v>
      </c>
      <c r="AF1231" s="35" t="s">
        <v>916</v>
      </c>
      <c r="AG1231" s="44">
        <v>490668.3488888889</v>
      </c>
      <c r="AH1231" s="42" t="s">
        <v>916</v>
      </c>
      <c r="AI1231" s="32" t="e">
        <f>VLOOKUP(A1231,'4月明細'!B:B,1,0)</f>
        <v>#N/A</v>
      </c>
    </row>
    <row r="1232" spans="1:35" ht="19.95" customHeight="1" x14ac:dyDescent="0.3">
      <c r="A1232" s="33" t="s">
        <v>4259</v>
      </c>
      <c r="B1232" s="34">
        <v>46013.496388888889</v>
      </c>
      <c r="C1232" s="34" t="str">
        <f t="shared" si="32"/>
        <v>202512</v>
      </c>
      <c r="D1232" s="35" t="s">
        <v>909</v>
      </c>
      <c r="E1232" s="36" t="s">
        <v>910</v>
      </c>
      <c r="F1232" s="36" t="s">
        <v>972</v>
      </c>
      <c r="G1232" s="37" t="s">
        <v>4260</v>
      </c>
      <c r="H1232" s="36" t="s">
        <v>4185</v>
      </c>
      <c r="I1232" s="35" t="s">
        <v>4261</v>
      </c>
      <c r="J1232" s="36" t="s">
        <v>929</v>
      </c>
      <c r="K1232" s="33" t="s">
        <v>916</v>
      </c>
      <c r="L1232" s="35" t="s">
        <v>916</v>
      </c>
      <c r="M1232" s="36" t="s">
        <v>916</v>
      </c>
      <c r="N1232" s="45">
        <v>46022</v>
      </c>
      <c r="O1232" s="36" t="s">
        <v>25</v>
      </c>
      <c r="P1232" s="38">
        <v>8.5036111110999997</v>
      </c>
      <c r="Q1232" s="39" t="s">
        <v>4262</v>
      </c>
      <c r="R1232" s="35" t="s">
        <v>916</v>
      </c>
      <c r="S1232" s="35"/>
      <c r="T1232" s="35" t="s">
        <v>1701</v>
      </c>
      <c r="U1232" s="40">
        <v>46014</v>
      </c>
      <c r="V1232" s="41">
        <v>46153.532870370371</v>
      </c>
      <c r="W1232" s="40">
        <v>46013</v>
      </c>
      <c r="X1232" s="35" t="s">
        <v>916</v>
      </c>
      <c r="Y1232" s="35" t="s">
        <v>916</v>
      </c>
      <c r="Z1232" s="35" t="s">
        <v>916</v>
      </c>
      <c r="AA1232" s="38">
        <v>204.08666666639999</v>
      </c>
      <c r="AB1232" s="42" t="s">
        <v>916</v>
      </c>
      <c r="AC1232" s="43" t="s">
        <v>916</v>
      </c>
      <c r="AD1232" s="43" t="s">
        <v>916</v>
      </c>
      <c r="AE1232" s="33" t="s">
        <v>3982</v>
      </c>
      <c r="AF1232" s="35" t="s">
        <v>916</v>
      </c>
      <c r="AG1232" s="44">
        <v>490667.91333333327</v>
      </c>
      <c r="AH1232" s="42" t="s">
        <v>916</v>
      </c>
      <c r="AI1232" s="32" t="e">
        <f>VLOOKUP(A1232,'4月明細'!B:B,1,0)</f>
        <v>#N/A</v>
      </c>
    </row>
    <row r="1233" spans="1:35" ht="19.95" customHeight="1" x14ac:dyDescent="0.3">
      <c r="A1233" s="33" t="s">
        <v>4263</v>
      </c>
      <c r="B1233" s="34">
        <v>46013.472719907404</v>
      </c>
      <c r="C1233" s="34" t="str">
        <f t="shared" si="32"/>
        <v>202512</v>
      </c>
      <c r="D1233" s="35" t="s">
        <v>996</v>
      </c>
      <c r="E1233" s="36" t="s">
        <v>910</v>
      </c>
      <c r="F1233" s="36" t="s">
        <v>1123</v>
      </c>
      <c r="G1233" s="37" t="s">
        <v>3432</v>
      </c>
      <c r="H1233" s="36" t="s">
        <v>3979</v>
      </c>
      <c r="I1233" s="35"/>
      <c r="J1233" s="36" t="s">
        <v>929</v>
      </c>
      <c r="K1233" s="33" t="s">
        <v>916</v>
      </c>
      <c r="L1233" s="35" t="s">
        <v>916</v>
      </c>
      <c r="M1233" s="36" t="s">
        <v>916</v>
      </c>
      <c r="N1233" s="45">
        <v>46022</v>
      </c>
      <c r="O1233" s="36" t="s">
        <v>25</v>
      </c>
      <c r="P1233" s="38">
        <v>8.5272800925999999</v>
      </c>
      <c r="Q1233" s="39" t="s">
        <v>4264</v>
      </c>
      <c r="R1233" s="35" t="s">
        <v>916</v>
      </c>
      <c r="S1233" s="35"/>
      <c r="T1233" s="35" t="s">
        <v>1701</v>
      </c>
      <c r="U1233" s="40">
        <v>46014</v>
      </c>
      <c r="V1233" s="41">
        <v>46153.532870370371</v>
      </c>
      <c r="W1233" s="40">
        <v>46013</v>
      </c>
      <c r="X1233" s="35" t="s">
        <v>916</v>
      </c>
      <c r="Y1233" s="35" t="s">
        <v>916</v>
      </c>
      <c r="Z1233" s="35" t="s">
        <v>916</v>
      </c>
      <c r="AA1233" s="38">
        <v>204.65472222240001</v>
      </c>
      <c r="AB1233" s="42" t="s">
        <v>916</v>
      </c>
      <c r="AC1233" s="43" t="s">
        <v>916</v>
      </c>
      <c r="AD1233" s="43" t="s">
        <v>916</v>
      </c>
      <c r="AE1233" s="33" t="s">
        <v>3982</v>
      </c>
      <c r="AF1233" s="35" t="s">
        <v>916</v>
      </c>
      <c r="AG1233" s="44">
        <v>490667.34527777781</v>
      </c>
      <c r="AH1233" s="42" t="s">
        <v>916</v>
      </c>
      <c r="AI1233" s="32" t="e">
        <f>VLOOKUP(A1233,'4月明細'!B:B,1,0)</f>
        <v>#N/A</v>
      </c>
    </row>
    <row r="1234" spans="1:35" ht="19.95" customHeight="1" x14ac:dyDescent="0.3">
      <c r="A1234" s="33" t="s">
        <v>4265</v>
      </c>
      <c r="B1234" s="34">
        <v>46013.463090277779</v>
      </c>
      <c r="C1234" s="34" t="str">
        <f t="shared" si="32"/>
        <v>202512</v>
      </c>
      <c r="D1234" s="35" t="s">
        <v>2310</v>
      </c>
      <c r="E1234" s="36" t="s">
        <v>1149</v>
      </c>
      <c r="F1234" s="36" t="s">
        <v>2300</v>
      </c>
      <c r="G1234" s="37" t="s">
        <v>4266</v>
      </c>
      <c r="H1234" s="36" t="s">
        <v>4267</v>
      </c>
      <c r="I1234" s="35" t="s">
        <v>4268</v>
      </c>
      <c r="J1234" s="36" t="s">
        <v>938</v>
      </c>
      <c r="K1234" s="33" t="s">
        <v>916</v>
      </c>
      <c r="L1234" s="35" t="s">
        <v>916</v>
      </c>
      <c r="M1234" s="36" t="s">
        <v>1039</v>
      </c>
      <c r="N1234" s="45">
        <v>46022</v>
      </c>
      <c r="O1234" s="36" t="s">
        <v>25</v>
      </c>
      <c r="P1234" s="38">
        <v>8.5369097222000008</v>
      </c>
      <c r="Q1234" s="39" t="s">
        <v>3878</v>
      </c>
      <c r="R1234" s="35" t="s">
        <v>916</v>
      </c>
      <c r="S1234" s="35"/>
      <c r="T1234" s="35" t="s">
        <v>1624</v>
      </c>
      <c r="U1234" s="40">
        <v>46014</v>
      </c>
      <c r="V1234" s="41">
        <v>46153.532870370371</v>
      </c>
      <c r="W1234" s="40">
        <v>46013</v>
      </c>
      <c r="X1234" s="35" t="s">
        <v>916</v>
      </c>
      <c r="Y1234" s="35" t="s">
        <v>916</v>
      </c>
      <c r="Z1234" s="35" t="s">
        <v>916</v>
      </c>
      <c r="AA1234" s="38">
        <v>204.88583333279999</v>
      </c>
      <c r="AB1234" s="42" t="s">
        <v>916</v>
      </c>
      <c r="AC1234" s="43" t="s">
        <v>916</v>
      </c>
      <c r="AD1234" s="43" t="s">
        <v>916</v>
      </c>
      <c r="AE1234" s="33" t="s">
        <v>3982</v>
      </c>
      <c r="AF1234" s="35" t="s">
        <v>916</v>
      </c>
      <c r="AG1234" s="44">
        <v>490667.1141666667</v>
      </c>
      <c r="AH1234" s="42" t="s">
        <v>916</v>
      </c>
      <c r="AI1234" s="32" t="e">
        <f>VLOOKUP(A1234,'4月明細'!B:B,1,0)</f>
        <v>#N/A</v>
      </c>
    </row>
    <row r="1235" spans="1:35" ht="19.95" customHeight="1" x14ac:dyDescent="0.3">
      <c r="A1235" s="33" t="s">
        <v>4269</v>
      </c>
      <c r="B1235" s="34">
        <v>46013.458738425928</v>
      </c>
      <c r="C1235" s="34" t="str">
        <f t="shared" si="32"/>
        <v>202512</v>
      </c>
      <c r="D1235" s="35" t="s">
        <v>2310</v>
      </c>
      <c r="E1235" s="36" t="s">
        <v>1149</v>
      </c>
      <c r="F1235" s="36" t="s">
        <v>1229</v>
      </c>
      <c r="G1235" s="37" t="s">
        <v>4270</v>
      </c>
      <c r="H1235" s="36" t="s">
        <v>4267</v>
      </c>
      <c r="I1235" s="35" t="s">
        <v>4271</v>
      </c>
      <c r="J1235" s="36" t="s">
        <v>938</v>
      </c>
      <c r="K1235" s="33" t="s">
        <v>916</v>
      </c>
      <c r="L1235" s="35" t="s">
        <v>916</v>
      </c>
      <c r="M1235" s="36" t="s">
        <v>1135</v>
      </c>
      <c r="N1235" s="45">
        <v>46022</v>
      </c>
      <c r="O1235" s="36" t="s">
        <v>25</v>
      </c>
      <c r="P1235" s="38">
        <v>8.5412615741</v>
      </c>
      <c r="Q1235" s="39" t="s">
        <v>3878</v>
      </c>
      <c r="R1235" s="35" t="s">
        <v>916</v>
      </c>
      <c r="S1235" s="35"/>
      <c r="T1235" s="35" t="s">
        <v>1624</v>
      </c>
      <c r="U1235" s="40">
        <v>46014</v>
      </c>
      <c r="V1235" s="41">
        <v>46153.532870370371</v>
      </c>
      <c r="W1235" s="40">
        <v>46013</v>
      </c>
      <c r="X1235" s="35" t="s">
        <v>916</v>
      </c>
      <c r="Y1235" s="35" t="s">
        <v>916</v>
      </c>
      <c r="Z1235" s="35" t="s">
        <v>916</v>
      </c>
      <c r="AA1235" s="38">
        <v>204.99027777840001</v>
      </c>
      <c r="AB1235" s="42" t="s">
        <v>916</v>
      </c>
      <c r="AC1235" s="43" t="s">
        <v>916</v>
      </c>
      <c r="AD1235" s="43" t="s">
        <v>916</v>
      </c>
      <c r="AE1235" s="33" t="s">
        <v>3982</v>
      </c>
      <c r="AF1235" s="35" t="s">
        <v>916</v>
      </c>
      <c r="AG1235" s="44">
        <v>490667.00972222222</v>
      </c>
      <c r="AH1235" s="42" t="s">
        <v>916</v>
      </c>
      <c r="AI1235" s="32" t="e">
        <f>VLOOKUP(A1235,'4月明細'!B:B,1,0)</f>
        <v>#N/A</v>
      </c>
    </row>
    <row r="1236" spans="1:35" ht="19.95" customHeight="1" x14ac:dyDescent="0.3">
      <c r="A1236" s="33" t="s">
        <v>4272</v>
      </c>
      <c r="B1236" s="34">
        <v>46013.454351851855</v>
      </c>
      <c r="C1236" s="34" t="str">
        <f t="shared" si="32"/>
        <v>202512</v>
      </c>
      <c r="D1236" s="35" t="s">
        <v>2310</v>
      </c>
      <c r="E1236" s="36" t="s">
        <v>1149</v>
      </c>
      <c r="F1236" s="36" t="s">
        <v>935</v>
      </c>
      <c r="G1236" s="37" t="s">
        <v>4273</v>
      </c>
      <c r="H1236" s="36" t="s">
        <v>1007</v>
      </c>
      <c r="I1236" s="35" t="s">
        <v>4274</v>
      </c>
      <c r="J1236" s="36" t="s">
        <v>938</v>
      </c>
      <c r="K1236" s="33" t="s">
        <v>916</v>
      </c>
      <c r="L1236" s="35" t="s">
        <v>916</v>
      </c>
      <c r="M1236" s="36" t="s">
        <v>1039</v>
      </c>
      <c r="N1236" s="45">
        <v>46022</v>
      </c>
      <c r="O1236" s="36" t="s">
        <v>25</v>
      </c>
      <c r="P1236" s="38">
        <v>8.5456481480999997</v>
      </c>
      <c r="Q1236" s="39" t="s">
        <v>4275</v>
      </c>
      <c r="R1236" s="35" t="s">
        <v>916</v>
      </c>
      <c r="S1236" s="35"/>
      <c r="T1236" s="35" t="s">
        <v>1624</v>
      </c>
      <c r="U1236" s="40">
        <v>46014</v>
      </c>
      <c r="V1236" s="41">
        <v>46153.532870370371</v>
      </c>
      <c r="W1236" s="40">
        <v>46013</v>
      </c>
      <c r="X1236" s="35" t="s">
        <v>916</v>
      </c>
      <c r="Y1236" s="35" t="s">
        <v>916</v>
      </c>
      <c r="Z1236" s="35" t="s">
        <v>916</v>
      </c>
      <c r="AA1236" s="38">
        <v>205.09555555439999</v>
      </c>
      <c r="AB1236" s="42" t="s">
        <v>916</v>
      </c>
      <c r="AC1236" s="43" t="s">
        <v>916</v>
      </c>
      <c r="AD1236" s="43" t="s">
        <v>916</v>
      </c>
      <c r="AE1236" s="33" t="s">
        <v>3982</v>
      </c>
      <c r="AF1236" s="35" t="s">
        <v>916</v>
      </c>
      <c r="AG1236" s="44">
        <v>490666.90444444452</v>
      </c>
      <c r="AH1236" s="42" t="s">
        <v>916</v>
      </c>
      <c r="AI1236" s="32" t="e">
        <f>VLOOKUP(A1236,'4月明細'!B:B,1,0)</f>
        <v>#N/A</v>
      </c>
    </row>
    <row r="1237" spans="1:35" ht="19.95" customHeight="1" x14ac:dyDescent="0.3">
      <c r="A1237" s="33" t="s">
        <v>4276</v>
      </c>
      <c r="B1237" s="34">
        <v>46013.449953703705</v>
      </c>
      <c r="C1237" s="34" t="str">
        <f t="shared" si="32"/>
        <v>202512</v>
      </c>
      <c r="D1237" s="35" t="s">
        <v>996</v>
      </c>
      <c r="E1237" s="36" t="s">
        <v>910</v>
      </c>
      <c r="F1237" s="36" t="s">
        <v>1890</v>
      </c>
      <c r="G1237" s="37" t="s">
        <v>4277</v>
      </c>
      <c r="H1237" s="36" t="s">
        <v>3979</v>
      </c>
      <c r="I1237" s="35"/>
      <c r="J1237" s="36" t="s">
        <v>929</v>
      </c>
      <c r="K1237" s="33" t="s">
        <v>916</v>
      </c>
      <c r="L1237" s="35" t="s">
        <v>916</v>
      </c>
      <c r="M1237" s="36" t="s">
        <v>916</v>
      </c>
      <c r="N1237" s="45">
        <v>46022</v>
      </c>
      <c r="O1237" s="36" t="s">
        <v>25</v>
      </c>
      <c r="P1237" s="38">
        <v>8.5500462962999997</v>
      </c>
      <c r="Q1237" s="39" t="s">
        <v>4278</v>
      </c>
      <c r="R1237" s="35" t="s">
        <v>916</v>
      </c>
      <c r="S1237" s="35"/>
      <c r="T1237" s="35" t="s">
        <v>1701</v>
      </c>
      <c r="U1237" s="40">
        <v>46014</v>
      </c>
      <c r="V1237" s="41">
        <v>46153.532870370371</v>
      </c>
      <c r="W1237" s="40">
        <v>46013</v>
      </c>
      <c r="X1237" s="35" t="s">
        <v>916</v>
      </c>
      <c r="Y1237" s="35" t="s">
        <v>916</v>
      </c>
      <c r="Z1237" s="35" t="s">
        <v>916</v>
      </c>
      <c r="AA1237" s="38">
        <v>205.20111111119999</v>
      </c>
      <c r="AB1237" s="42" t="s">
        <v>916</v>
      </c>
      <c r="AC1237" s="43" t="s">
        <v>916</v>
      </c>
      <c r="AD1237" s="43" t="s">
        <v>916</v>
      </c>
      <c r="AE1237" s="33" t="s">
        <v>3982</v>
      </c>
      <c r="AF1237" s="35" t="s">
        <v>916</v>
      </c>
      <c r="AG1237" s="44">
        <v>490666.79888888891</v>
      </c>
      <c r="AH1237" s="42" t="s">
        <v>916</v>
      </c>
      <c r="AI1237" s="32" t="e">
        <f>VLOOKUP(A1237,'4月明細'!B:B,1,0)</f>
        <v>#N/A</v>
      </c>
    </row>
    <row r="1238" spans="1:35" ht="19.95" customHeight="1" x14ac:dyDescent="0.3">
      <c r="A1238" s="33" t="s">
        <v>4279</v>
      </c>
      <c r="B1238" s="34">
        <v>46013.43409722222</v>
      </c>
      <c r="C1238" s="34" t="str">
        <f t="shared" si="32"/>
        <v>202512</v>
      </c>
      <c r="D1238" s="35" t="s">
        <v>2278</v>
      </c>
      <c r="E1238" s="36" t="s">
        <v>942</v>
      </c>
      <c r="F1238" s="36" t="s">
        <v>2165</v>
      </c>
      <c r="G1238" s="37" t="s">
        <v>1935</v>
      </c>
      <c r="H1238" s="36" t="s">
        <v>4029</v>
      </c>
      <c r="I1238" s="35" t="s">
        <v>4280</v>
      </c>
      <c r="J1238" s="36" t="s">
        <v>945</v>
      </c>
      <c r="K1238" s="33" t="s">
        <v>916</v>
      </c>
      <c r="L1238" s="35" t="s">
        <v>916</v>
      </c>
      <c r="M1238" s="36" t="s">
        <v>916</v>
      </c>
      <c r="N1238" s="45">
        <v>46022</v>
      </c>
      <c r="O1238" s="36" t="s">
        <v>25</v>
      </c>
      <c r="P1238" s="38">
        <v>8.5659027777999999</v>
      </c>
      <c r="Q1238" s="39" t="s">
        <v>4281</v>
      </c>
      <c r="R1238" s="35" t="s">
        <v>916</v>
      </c>
      <c r="S1238" s="35"/>
      <c r="T1238" s="35" t="s">
        <v>1701</v>
      </c>
      <c r="U1238" s="40">
        <v>46014</v>
      </c>
      <c r="V1238" s="41">
        <v>46153.532870370371</v>
      </c>
      <c r="W1238" s="40">
        <v>46013</v>
      </c>
      <c r="X1238" s="35" t="s">
        <v>916</v>
      </c>
      <c r="Y1238" s="35" t="s">
        <v>916</v>
      </c>
      <c r="Z1238" s="35" t="s">
        <v>916</v>
      </c>
      <c r="AA1238" s="38">
        <v>205.58166666720001</v>
      </c>
      <c r="AB1238" s="42" t="s">
        <v>916</v>
      </c>
      <c r="AC1238" s="43" t="s">
        <v>916</v>
      </c>
      <c r="AD1238" s="43" t="s">
        <v>916</v>
      </c>
      <c r="AE1238" s="33" t="s">
        <v>3982</v>
      </c>
      <c r="AF1238" s="35" t="s">
        <v>916</v>
      </c>
      <c r="AG1238" s="44">
        <v>490666.41833333328</v>
      </c>
      <c r="AH1238" s="42" t="s">
        <v>916</v>
      </c>
      <c r="AI1238" s="32" t="e">
        <f>VLOOKUP(A1238,'4月明細'!B:B,1,0)</f>
        <v>#N/A</v>
      </c>
    </row>
    <row r="1239" spans="1:35" ht="19.95" customHeight="1" x14ac:dyDescent="0.3">
      <c r="A1239" s="33" t="s">
        <v>4282</v>
      </c>
      <c r="B1239" s="34">
        <v>46012.700289351851</v>
      </c>
      <c r="C1239" s="34" t="str">
        <f t="shared" si="32"/>
        <v>202512</v>
      </c>
      <c r="D1239" s="35" t="s">
        <v>2278</v>
      </c>
      <c r="E1239" s="36" t="s">
        <v>910</v>
      </c>
      <c r="F1239" s="36" t="s">
        <v>1304</v>
      </c>
      <c r="G1239" s="37" t="s">
        <v>4283</v>
      </c>
      <c r="H1239" s="36" t="s">
        <v>1079</v>
      </c>
      <c r="I1239" s="35"/>
      <c r="J1239" s="36" t="s">
        <v>929</v>
      </c>
      <c r="K1239" s="33" t="s">
        <v>916</v>
      </c>
      <c r="L1239" s="35" t="s">
        <v>916</v>
      </c>
      <c r="M1239" s="36" t="s">
        <v>916</v>
      </c>
      <c r="N1239" s="45">
        <v>46022</v>
      </c>
      <c r="O1239" s="36" t="s">
        <v>25</v>
      </c>
      <c r="P1239" s="38">
        <v>9.2997106480999996</v>
      </c>
      <c r="Q1239" s="39" t="s">
        <v>4284</v>
      </c>
      <c r="R1239" s="35" t="s">
        <v>916</v>
      </c>
      <c r="S1239" s="35"/>
      <c r="T1239" s="35" t="s">
        <v>1701</v>
      </c>
      <c r="U1239" s="40">
        <v>46013</v>
      </c>
      <c r="V1239" s="41">
        <v>46153.532870370371</v>
      </c>
      <c r="W1239" s="40">
        <v>46012</v>
      </c>
      <c r="X1239" s="35" t="s">
        <v>916</v>
      </c>
      <c r="Y1239" s="35" t="s">
        <v>916</v>
      </c>
      <c r="Z1239" s="35" t="s">
        <v>916</v>
      </c>
      <c r="AA1239" s="38">
        <v>223.19305555439999</v>
      </c>
      <c r="AB1239" s="42" t="s">
        <v>916</v>
      </c>
      <c r="AC1239" s="43" t="s">
        <v>916</v>
      </c>
      <c r="AD1239" s="43" t="s">
        <v>916</v>
      </c>
      <c r="AE1239" s="33" t="s">
        <v>3982</v>
      </c>
      <c r="AF1239" s="35" t="s">
        <v>916</v>
      </c>
      <c r="AG1239" s="44">
        <v>490648.80694444443</v>
      </c>
      <c r="AH1239" s="42" t="s">
        <v>916</v>
      </c>
      <c r="AI1239" s="32" t="e">
        <f>VLOOKUP(A1239,'4月明細'!B:B,1,0)</f>
        <v>#N/A</v>
      </c>
    </row>
    <row r="1240" spans="1:35" ht="19.95" customHeight="1" x14ac:dyDescent="0.3">
      <c r="A1240" s="33" t="s">
        <v>4285</v>
      </c>
      <c r="B1240" s="34">
        <v>46012.577511574076</v>
      </c>
      <c r="C1240" s="34" t="str">
        <f t="shared" si="32"/>
        <v>202512</v>
      </c>
      <c r="D1240" s="35" t="s">
        <v>951</v>
      </c>
      <c r="E1240" s="36" t="s">
        <v>910</v>
      </c>
      <c r="F1240" s="36" t="s">
        <v>1792</v>
      </c>
      <c r="G1240" s="37" t="s">
        <v>4286</v>
      </c>
      <c r="H1240" s="36" t="s">
        <v>913</v>
      </c>
      <c r="I1240" s="35" t="s">
        <v>4287</v>
      </c>
      <c r="J1240" s="36" t="s">
        <v>1058</v>
      </c>
      <c r="K1240" s="33" t="s">
        <v>916</v>
      </c>
      <c r="L1240" s="35" t="s">
        <v>916</v>
      </c>
      <c r="M1240" s="36" t="s">
        <v>916</v>
      </c>
      <c r="N1240" s="45">
        <v>46022</v>
      </c>
      <c r="O1240" s="36" t="s">
        <v>25</v>
      </c>
      <c r="P1240" s="38">
        <v>9.4224884258999992</v>
      </c>
      <c r="Q1240" s="39" t="s">
        <v>4288</v>
      </c>
      <c r="R1240" s="35" t="s">
        <v>916</v>
      </c>
      <c r="S1240" s="35" t="s">
        <v>4289</v>
      </c>
      <c r="T1240" s="35" t="s">
        <v>1701</v>
      </c>
      <c r="U1240" s="40">
        <v>46013</v>
      </c>
      <c r="V1240" s="41">
        <v>46153.532870370371</v>
      </c>
      <c r="W1240" s="40">
        <v>46012</v>
      </c>
      <c r="X1240" s="35" t="s">
        <v>916</v>
      </c>
      <c r="Y1240" s="35" t="s">
        <v>916</v>
      </c>
      <c r="Z1240" s="35" t="s">
        <v>916</v>
      </c>
      <c r="AA1240" s="38">
        <v>226.13972222160001</v>
      </c>
      <c r="AB1240" s="42" t="s">
        <v>916</v>
      </c>
      <c r="AC1240" s="43" t="s">
        <v>916</v>
      </c>
      <c r="AD1240" s="43" t="s">
        <v>916</v>
      </c>
      <c r="AE1240" s="33" t="s">
        <v>3982</v>
      </c>
      <c r="AF1240" s="35" t="s">
        <v>916</v>
      </c>
      <c r="AG1240" s="44">
        <v>490645.86027777783</v>
      </c>
      <c r="AH1240" s="42" t="s">
        <v>916</v>
      </c>
      <c r="AI1240" s="32" t="e">
        <f>VLOOKUP(A1240,'4月明細'!B:B,1,0)</f>
        <v>#N/A</v>
      </c>
    </row>
    <row r="1241" spans="1:35" ht="19.95" customHeight="1" x14ac:dyDescent="0.3">
      <c r="A1241" s="33" t="s">
        <v>4290</v>
      </c>
      <c r="B1241" s="34">
        <v>46012.684861111113</v>
      </c>
      <c r="C1241" s="34" t="str">
        <f t="shared" si="32"/>
        <v>202512</v>
      </c>
      <c r="D1241" s="35" t="s">
        <v>4291</v>
      </c>
      <c r="E1241" s="36" t="s">
        <v>910</v>
      </c>
      <c r="F1241" s="36" t="s">
        <v>1581</v>
      </c>
      <c r="G1241" s="37" t="s">
        <v>4292</v>
      </c>
      <c r="H1241" s="36" t="s">
        <v>970</v>
      </c>
      <c r="I1241" s="35" t="s">
        <v>4293</v>
      </c>
      <c r="J1241" s="36" t="s">
        <v>929</v>
      </c>
      <c r="K1241" s="33" t="s">
        <v>916</v>
      </c>
      <c r="L1241" s="35" t="s">
        <v>916</v>
      </c>
      <c r="M1241" s="36" t="s">
        <v>957</v>
      </c>
      <c r="N1241" s="45">
        <v>46022</v>
      </c>
      <c r="O1241" s="36" t="s">
        <v>25</v>
      </c>
      <c r="P1241" s="38">
        <v>9.3151388889</v>
      </c>
      <c r="Q1241" s="39" t="s">
        <v>4294</v>
      </c>
      <c r="R1241" s="35" t="s">
        <v>916</v>
      </c>
      <c r="S1241" s="35" t="s">
        <v>4295</v>
      </c>
      <c r="T1241" s="35" t="s">
        <v>1701</v>
      </c>
      <c r="U1241" s="40">
        <v>46013</v>
      </c>
      <c r="V1241" s="41">
        <v>46153.532870370371</v>
      </c>
      <c r="W1241" s="40">
        <v>46012</v>
      </c>
      <c r="X1241" s="35" t="s">
        <v>916</v>
      </c>
      <c r="Y1241" s="35" t="s">
        <v>916</v>
      </c>
      <c r="Z1241" s="35" t="s">
        <v>916</v>
      </c>
      <c r="AA1241" s="38">
        <v>223.56333333360001</v>
      </c>
      <c r="AB1241" s="42" t="s">
        <v>916</v>
      </c>
      <c r="AC1241" s="43" t="s">
        <v>916</v>
      </c>
      <c r="AD1241" s="43" t="s">
        <v>916</v>
      </c>
      <c r="AE1241" s="33" t="s">
        <v>3982</v>
      </c>
      <c r="AF1241" s="35" t="s">
        <v>916</v>
      </c>
      <c r="AG1241" s="44">
        <v>490648.4366666667</v>
      </c>
      <c r="AH1241" s="42" t="s">
        <v>916</v>
      </c>
      <c r="AI1241" s="32" t="e">
        <f>VLOOKUP(A1241,'4月明細'!B:B,1,0)</f>
        <v>#N/A</v>
      </c>
    </row>
    <row r="1242" spans="1:35" ht="19.95" customHeight="1" x14ac:dyDescent="0.3">
      <c r="A1242" s="33" t="s">
        <v>4296</v>
      </c>
      <c r="B1242" s="34">
        <v>46012.654965277776</v>
      </c>
      <c r="C1242" s="34" t="str">
        <f t="shared" si="32"/>
        <v>202512</v>
      </c>
      <c r="D1242" s="35" t="s">
        <v>986</v>
      </c>
      <c r="E1242" s="36" t="s">
        <v>910</v>
      </c>
      <c r="F1242" s="36" t="s">
        <v>1282</v>
      </c>
      <c r="G1242" s="37" t="s">
        <v>4297</v>
      </c>
      <c r="H1242" s="36" t="s">
        <v>4196</v>
      </c>
      <c r="I1242" s="35"/>
      <c r="J1242" s="36" t="s">
        <v>914</v>
      </c>
      <c r="K1242" s="33" t="s">
        <v>916</v>
      </c>
      <c r="L1242" s="35" t="s">
        <v>916</v>
      </c>
      <c r="M1242" s="36" t="s">
        <v>957</v>
      </c>
      <c r="N1242" s="45">
        <v>46022</v>
      </c>
      <c r="O1242" s="36" t="s">
        <v>25</v>
      </c>
      <c r="P1242" s="38">
        <v>9.3450347221999994</v>
      </c>
      <c r="Q1242" s="39" t="s">
        <v>4298</v>
      </c>
      <c r="R1242" s="35" t="s">
        <v>916</v>
      </c>
      <c r="S1242" s="35"/>
      <c r="T1242" s="35" t="s">
        <v>1701</v>
      </c>
      <c r="U1242" s="40">
        <v>46013</v>
      </c>
      <c r="V1242" s="41">
        <v>46153.532870370371</v>
      </c>
      <c r="W1242" s="40">
        <v>46012</v>
      </c>
      <c r="X1242" s="35" t="s">
        <v>916</v>
      </c>
      <c r="Y1242" s="35" t="s">
        <v>916</v>
      </c>
      <c r="Z1242" s="35" t="s">
        <v>916</v>
      </c>
      <c r="AA1242" s="38">
        <v>224.2808333328</v>
      </c>
      <c r="AB1242" s="42" t="s">
        <v>916</v>
      </c>
      <c r="AC1242" s="43" t="s">
        <v>916</v>
      </c>
      <c r="AD1242" s="43" t="s">
        <v>916</v>
      </c>
      <c r="AE1242" s="33" t="s">
        <v>3982</v>
      </c>
      <c r="AF1242" s="35" t="s">
        <v>916</v>
      </c>
      <c r="AG1242" s="44">
        <v>490647.71916666668</v>
      </c>
      <c r="AH1242" s="42" t="s">
        <v>916</v>
      </c>
      <c r="AI1242" s="32" t="e">
        <f>VLOOKUP(A1242,'4月明細'!B:B,1,0)</f>
        <v>#N/A</v>
      </c>
    </row>
    <row r="1243" spans="1:35" ht="19.95" customHeight="1" x14ac:dyDescent="0.3">
      <c r="A1243" s="33" t="s">
        <v>4299</v>
      </c>
      <c r="B1243" s="34">
        <v>46012.646666666667</v>
      </c>
      <c r="C1243" s="34" t="str">
        <f t="shared" si="32"/>
        <v>202512</v>
      </c>
      <c r="D1243" s="35" t="s">
        <v>1510</v>
      </c>
      <c r="E1243" s="36" t="s">
        <v>942</v>
      </c>
      <c r="F1243" s="36" t="s">
        <v>947</v>
      </c>
      <c r="G1243" s="37" t="s">
        <v>4300</v>
      </c>
      <c r="H1243" s="36" t="s">
        <v>4065</v>
      </c>
      <c r="I1243" s="35"/>
      <c r="J1243" s="36" t="s">
        <v>938</v>
      </c>
      <c r="K1243" s="33" t="s">
        <v>916</v>
      </c>
      <c r="L1243" s="35" t="s">
        <v>916</v>
      </c>
      <c r="M1243" s="36" t="s">
        <v>957</v>
      </c>
      <c r="N1243" s="45">
        <v>46022</v>
      </c>
      <c r="O1243" s="36" t="s">
        <v>25</v>
      </c>
      <c r="P1243" s="38">
        <v>9.3533333333000002</v>
      </c>
      <c r="Q1243" s="39" t="s">
        <v>4301</v>
      </c>
      <c r="R1243" s="35" t="s">
        <v>916</v>
      </c>
      <c r="S1243" s="35" t="s">
        <v>4302</v>
      </c>
      <c r="T1243" s="35" t="s">
        <v>1701</v>
      </c>
      <c r="U1243" s="40">
        <v>46013</v>
      </c>
      <c r="V1243" s="41">
        <v>46153.532870370371</v>
      </c>
      <c r="W1243" s="40">
        <v>46012</v>
      </c>
      <c r="X1243" s="35" t="s">
        <v>916</v>
      </c>
      <c r="Y1243" s="35" t="s">
        <v>916</v>
      </c>
      <c r="Z1243" s="35" t="s">
        <v>916</v>
      </c>
      <c r="AA1243" s="38">
        <v>224.4799999992</v>
      </c>
      <c r="AB1243" s="42" t="s">
        <v>916</v>
      </c>
      <c r="AC1243" s="43" t="s">
        <v>916</v>
      </c>
      <c r="AD1243" s="43" t="s">
        <v>916</v>
      </c>
      <c r="AE1243" s="33" t="s">
        <v>3982</v>
      </c>
      <c r="AF1243" s="35" t="s">
        <v>916</v>
      </c>
      <c r="AG1243" s="44">
        <v>490647.52</v>
      </c>
      <c r="AH1243" s="42" t="s">
        <v>916</v>
      </c>
      <c r="AI1243" s="32" t="e">
        <f>VLOOKUP(A1243,'4月明細'!B:B,1,0)</f>
        <v>#N/A</v>
      </c>
    </row>
    <row r="1244" spans="1:35" ht="19.95" customHeight="1" x14ac:dyDescent="0.3">
      <c r="A1244" s="33" t="s">
        <v>4303</v>
      </c>
      <c r="B1244" s="34">
        <v>46012.643865740742</v>
      </c>
      <c r="C1244" s="34" t="str">
        <f t="shared" si="32"/>
        <v>202512</v>
      </c>
      <c r="D1244" s="35" t="s">
        <v>2278</v>
      </c>
      <c r="E1244" s="36" t="s">
        <v>910</v>
      </c>
      <c r="F1244" s="36" t="s">
        <v>1397</v>
      </c>
      <c r="G1244" s="37" t="s">
        <v>4304</v>
      </c>
      <c r="H1244" s="36" t="s">
        <v>1352</v>
      </c>
      <c r="I1244" s="35" t="s">
        <v>1362</v>
      </c>
      <c r="J1244" s="36" t="s">
        <v>914</v>
      </c>
      <c r="K1244" s="33" t="s">
        <v>916</v>
      </c>
      <c r="L1244" s="35" t="s">
        <v>916</v>
      </c>
      <c r="M1244" s="36" t="s">
        <v>957</v>
      </c>
      <c r="N1244" s="45">
        <v>46022</v>
      </c>
      <c r="O1244" s="36" t="s">
        <v>25</v>
      </c>
      <c r="P1244" s="38">
        <v>9.3561342592999992</v>
      </c>
      <c r="Q1244" s="39" t="s">
        <v>4305</v>
      </c>
      <c r="R1244" s="35" t="s">
        <v>916</v>
      </c>
      <c r="S1244" s="35" t="s">
        <v>4306</v>
      </c>
      <c r="T1244" s="35" t="s">
        <v>1701</v>
      </c>
      <c r="U1244" s="40">
        <v>46013</v>
      </c>
      <c r="V1244" s="41">
        <v>46153.532870370371</v>
      </c>
      <c r="W1244" s="40">
        <v>46012</v>
      </c>
      <c r="X1244" s="35" t="s">
        <v>916</v>
      </c>
      <c r="Y1244" s="35" t="s">
        <v>916</v>
      </c>
      <c r="Z1244" s="35" t="s">
        <v>916</v>
      </c>
      <c r="AA1244" s="38">
        <v>224.54722222320001</v>
      </c>
      <c r="AB1244" s="42" t="s">
        <v>916</v>
      </c>
      <c r="AC1244" s="43" t="s">
        <v>916</v>
      </c>
      <c r="AD1244" s="43" t="s">
        <v>916</v>
      </c>
      <c r="AE1244" s="33" t="s">
        <v>3982</v>
      </c>
      <c r="AF1244" s="35" t="s">
        <v>916</v>
      </c>
      <c r="AG1244" s="44">
        <v>490647.4527777778</v>
      </c>
      <c r="AH1244" s="42" t="s">
        <v>916</v>
      </c>
      <c r="AI1244" s="32" t="e">
        <f>VLOOKUP(A1244,'4月明細'!B:B,1,0)</f>
        <v>#N/A</v>
      </c>
    </row>
    <row r="1245" spans="1:35" ht="19.95" customHeight="1" x14ac:dyDescent="0.3">
      <c r="A1245" s="33" t="s">
        <v>4307</v>
      </c>
      <c r="B1245" s="34">
        <v>46012.627349537041</v>
      </c>
      <c r="C1245" s="34" t="str">
        <f t="shared" si="32"/>
        <v>202512</v>
      </c>
      <c r="D1245" s="35" t="s">
        <v>4308</v>
      </c>
      <c r="E1245" s="36" t="s">
        <v>1149</v>
      </c>
      <c r="F1245" s="36" t="s">
        <v>1095</v>
      </c>
      <c r="G1245" s="37" t="s">
        <v>4309</v>
      </c>
      <c r="H1245" s="36" t="s">
        <v>4185</v>
      </c>
      <c r="I1245" s="35" t="s">
        <v>4310</v>
      </c>
      <c r="J1245" s="36" t="s">
        <v>929</v>
      </c>
      <c r="K1245" s="33" t="s">
        <v>916</v>
      </c>
      <c r="L1245" s="35" t="s">
        <v>916</v>
      </c>
      <c r="M1245" s="36" t="s">
        <v>916</v>
      </c>
      <c r="N1245" s="45">
        <v>46022</v>
      </c>
      <c r="O1245" s="36" t="s">
        <v>25</v>
      </c>
      <c r="P1245" s="38">
        <v>9.3726504629999994</v>
      </c>
      <c r="Q1245" s="39" t="s">
        <v>4288</v>
      </c>
      <c r="R1245" s="35" t="s">
        <v>916</v>
      </c>
      <c r="S1245" s="35" t="s">
        <v>4289</v>
      </c>
      <c r="T1245" s="35" t="s">
        <v>1701</v>
      </c>
      <c r="U1245" s="40">
        <v>46013</v>
      </c>
      <c r="V1245" s="41">
        <v>46153.532870370371</v>
      </c>
      <c r="W1245" s="40">
        <v>46012</v>
      </c>
      <c r="X1245" s="35" t="s">
        <v>916</v>
      </c>
      <c r="Y1245" s="35" t="s">
        <v>916</v>
      </c>
      <c r="Z1245" s="35" t="s">
        <v>916</v>
      </c>
      <c r="AA1245" s="38">
        <v>224.94361111200001</v>
      </c>
      <c r="AB1245" s="42" t="s">
        <v>916</v>
      </c>
      <c r="AC1245" s="43" t="s">
        <v>916</v>
      </c>
      <c r="AD1245" s="43" t="s">
        <v>916</v>
      </c>
      <c r="AE1245" s="33" t="s">
        <v>3982</v>
      </c>
      <c r="AF1245" s="35" t="s">
        <v>916</v>
      </c>
      <c r="AG1245" s="44">
        <v>490647.05666666682</v>
      </c>
      <c r="AH1245" s="42" t="s">
        <v>916</v>
      </c>
      <c r="AI1245" s="32" t="e">
        <f>VLOOKUP(A1245,'4月明細'!B:B,1,0)</f>
        <v>#N/A</v>
      </c>
    </row>
    <row r="1246" spans="1:35" ht="19.95" customHeight="1" x14ac:dyDescent="0.3">
      <c r="A1246" s="33" t="s">
        <v>4311</v>
      </c>
      <c r="B1246" s="34">
        <v>46012.576643518521</v>
      </c>
      <c r="C1246" s="34" t="str">
        <f t="shared" si="32"/>
        <v>202512</v>
      </c>
      <c r="D1246" s="35" t="s">
        <v>2278</v>
      </c>
      <c r="E1246" s="36" t="s">
        <v>910</v>
      </c>
      <c r="F1246" s="36" t="s">
        <v>1584</v>
      </c>
      <c r="G1246" s="37" t="s">
        <v>4312</v>
      </c>
      <c r="H1246" s="36" t="s">
        <v>4029</v>
      </c>
      <c r="I1246" s="35" t="s">
        <v>4313</v>
      </c>
      <c r="J1246" s="36" t="s">
        <v>929</v>
      </c>
      <c r="K1246" s="33" t="s">
        <v>916</v>
      </c>
      <c r="L1246" s="35" t="s">
        <v>916</v>
      </c>
      <c r="M1246" s="36" t="s">
        <v>916</v>
      </c>
      <c r="N1246" s="45">
        <v>46022</v>
      </c>
      <c r="O1246" s="36" t="s">
        <v>25</v>
      </c>
      <c r="P1246" s="38">
        <v>9.4233564815000008</v>
      </c>
      <c r="Q1246" s="39" t="s">
        <v>4314</v>
      </c>
      <c r="R1246" s="35" t="s">
        <v>916</v>
      </c>
      <c r="S1246" s="35"/>
      <c r="T1246" s="35" t="s">
        <v>1701</v>
      </c>
      <c r="U1246" s="40">
        <v>46013</v>
      </c>
      <c r="V1246" s="41">
        <v>46153.532870370371</v>
      </c>
      <c r="W1246" s="40">
        <v>46012</v>
      </c>
      <c r="X1246" s="35" t="s">
        <v>916</v>
      </c>
      <c r="Y1246" s="35" t="s">
        <v>916</v>
      </c>
      <c r="Z1246" s="35" t="s">
        <v>916</v>
      </c>
      <c r="AA1246" s="38">
        <v>226.16055555599999</v>
      </c>
      <c r="AB1246" s="42" t="s">
        <v>916</v>
      </c>
      <c r="AC1246" s="43" t="s">
        <v>916</v>
      </c>
      <c r="AD1246" s="43" t="s">
        <v>916</v>
      </c>
      <c r="AE1246" s="33" t="s">
        <v>3982</v>
      </c>
      <c r="AF1246" s="35" t="s">
        <v>916</v>
      </c>
      <c r="AG1246" s="44">
        <v>490645.8394444444</v>
      </c>
      <c r="AH1246" s="42" t="s">
        <v>916</v>
      </c>
      <c r="AI1246" s="32" t="e">
        <f>VLOOKUP(A1246,'4月明細'!B:B,1,0)</f>
        <v>#N/A</v>
      </c>
    </row>
    <row r="1247" spans="1:35" ht="19.95" customHeight="1" x14ac:dyDescent="0.3">
      <c r="A1247" s="33" t="s">
        <v>4315</v>
      </c>
      <c r="B1247" s="34">
        <v>46012.57508101852</v>
      </c>
      <c r="C1247" s="34" t="str">
        <f t="shared" si="32"/>
        <v>202512</v>
      </c>
      <c r="D1247" s="35" t="s">
        <v>2278</v>
      </c>
      <c r="E1247" s="36" t="s">
        <v>910</v>
      </c>
      <c r="F1247" s="36" t="s">
        <v>1584</v>
      </c>
      <c r="G1247" s="37" t="s">
        <v>4316</v>
      </c>
      <c r="H1247" s="36" t="s">
        <v>1079</v>
      </c>
      <c r="I1247" s="35"/>
      <c r="J1247" s="36" t="s">
        <v>929</v>
      </c>
      <c r="K1247" s="33" t="s">
        <v>916</v>
      </c>
      <c r="L1247" s="35" t="s">
        <v>916</v>
      </c>
      <c r="M1247" s="36" t="s">
        <v>916</v>
      </c>
      <c r="N1247" s="45">
        <v>46022</v>
      </c>
      <c r="O1247" s="36" t="s">
        <v>25</v>
      </c>
      <c r="P1247" s="38">
        <v>9.4249189814999994</v>
      </c>
      <c r="Q1247" s="39" t="s">
        <v>4317</v>
      </c>
      <c r="R1247" s="35" t="s">
        <v>916</v>
      </c>
      <c r="S1247" s="35"/>
      <c r="T1247" s="35" t="s">
        <v>1701</v>
      </c>
      <c r="U1247" s="40">
        <v>46013</v>
      </c>
      <c r="V1247" s="41">
        <v>46153.532870370371</v>
      </c>
      <c r="W1247" s="40">
        <v>46012</v>
      </c>
      <c r="X1247" s="35" t="s">
        <v>916</v>
      </c>
      <c r="Y1247" s="35" t="s">
        <v>916</v>
      </c>
      <c r="Z1247" s="35" t="s">
        <v>916</v>
      </c>
      <c r="AA1247" s="38">
        <v>226.19805555600001</v>
      </c>
      <c r="AB1247" s="42" t="s">
        <v>916</v>
      </c>
      <c r="AC1247" s="43" t="s">
        <v>916</v>
      </c>
      <c r="AD1247" s="43" t="s">
        <v>916</v>
      </c>
      <c r="AE1247" s="33" t="s">
        <v>3982</v>
      </c>
      <c r="AF1247" s="35" t="s">
        <v>916</v>
      </c>
      <c r="AG1247" s="44">
        <v>490645.80194444448</v>
      </c>
      <c r="AH1247" s="42" t="s">
        <v>916</v>
      </c>
      <c r="AI1247" s="32" t="e">
        <f>VLOOKUP(A1247,'4月明細'!B:B,1,0)</f>
        <v>#N/A</v>
      </c>
    </row>
    <row r="1248" spans="1:35" ht="19.95" customHeight="1" x14ac:dyDescent="0.3">
      <c r="A1248" s="33" t="s">
        <v>4318</v>
      </c>
      <c r="B1248" s="34">
        <v>46012.564363425925</v>
      </c>
      <c r="C1248" s="34" t="str">
        <f t="shared" si="32"/>
        <v>202512</v>
      </c>
      <c r="D1248" s="35" t="s">
        <v>4308</v>
      </c>
      <c r="E1248" s="36" t="s">
        <v>1149</v>
      </c>
      <c r="F1248" s="36" t="s">
        <v>1229</v>
      </c>
      <c r="G1248" s="37" t="s">
        <v>4319</v>
      </c>
      <c r="H1248" s="36" t="s">
        <v>3991</v>
      </c>
      <c r="I1248" s="35"/>
      <c r="J1248" s="36" t="s">
        <v>914</v>
      </c>
      <c r="K1248" s="33" t="s">
        <v>916</v>
      </c>
      <c r="L1248" s="35" t="s">
        <v>916</v>
      </c>
      <c r="M1248" s="36" t="s">
        <v>916</v>
      </c>
      <c r="N1248" s="45">
        <v>46022</v>
      </c>
      <c r="O1248" s="36" t="s">
        <v>25</v>
      </c>
      <c r="P1248" s="38">
        <v>9.4356365741000001</v>
      </c>
      <c r="Q1248" s="39" t="s">
        <v>4320</v>
      </c>
      <c r="R1248" s="35" t="s">
        <v>916</v>
      </c>
      <c r="S1248" s="35" t="s">
        <v>4321</v>
      </c>
      <c r="T1248" s="35" t="s">
        <v>1701</v>
      </c>
      <c r="U1248" s="40">
        <v>46013</v>
      </c>
      <c r="V1248" s="41">
        <v>46153.532870370371</v>
      </c>
      <c r="W1248" s="40">
        <v>46012</v>
      </c>
      <c r="X1248" s="35" t="s">
        <v>916</v>
      </c>
      <c r="Y1248" s="35" t="s">
        <v>916</v>
      </c>
      <c r="Z1248" s="35" t="s">
        <v>916</v>
      </c>
      <c r="AA1248" s="38">
        <v>226.45527777839999</v>
      </c>
      <c r="AB1248" s="42" t="s">
        <v>916</v>
      </c>
      <c r="AC1248" s="43" t="s">
        <v>916</v>
      </c>
      <c r="AD1248" s="43" t="s">
        <v>916</v>
      </c>
      <c r="AE1248" s="33" t="s">
        <v>3982</v>
      </c>
      <c r="AF1248" s="35" t="s">
        <v>916</v>
      </c>
      <c r="AG1248" s="44">
        <v>490645.5447222222</v>
      </c>
      <c r="AH1248" s="42" t="s">
        <v>916</v>
      </c>
      <c r="AI1248" s="32" t="e">
        <f>VLOOKUP(A1248,'4月明細'!B:B,1,0)</f>
        <v>#N/A</v>
      </c>
    </row>
    <row r="1249" spans="1:35" ht="19.95" customHeight="1" x14ac:dyDescent="0.3">
      <c r="A1249" s="33" t="s">
        <v>4322</v>
      </c>
      <c r="B1249" s="34">
        <v>46012.516724537039</v>
      </c>
      <c r="C1249" s="34" t="str">
        <f t="shared" si="32"/>
        <v>202512</v>
      </c>
      <c r="D1249" s="35" t="s">
        <v>951</v>
      </c>
      <c r="E1249" s="36" t="s">
        <v>910</v>
      </c>
      <c r="F1249" s="36" t="s">
        <v>1229</v>
      </c>
      <c r="G1249" s="37" t="s">
        <v>4323</v>
      </c>
      <c r="H1249" s="36" t="s">
        <v>4324</v>
      </c>
      <c r="I1249" s="35" t="s">
        <v>4325</v>
      </c>
      <c r="J1249" s="36" t="s">
        <v>1058</v>
      </c>
      <c r="K1249" s="33" t="s">
        <v>916</v>
      </c>
      <c r="L1249" s="35" t="s">
        <v>916</v>
      </c>
      <c r="M1249" s="36" t="s">
        <v>916</v>
      </c>
      <c r="N1249" s="45">
        <v>46022</v>
      </c>
      <c r="O1249" s="36" t="s">
        <v>25</v>
      </c>
      <c r="P1249" s="38">
        <v>9.483275463</v>
      </c>
      <c r="Q1249" s="39" t="s">
        <v>4326</v>
      </c>
      <c r="R1249" s="35" t="s">
        <v>916</v>
      </c>
      <c r="S1249" s="35" t="s">
        <v>4327</v>
      </c>
      <c r="T1249" s="35" t="s">
        <v>1701</v>
      </c>
      <c r="U1249" s="40">
        <v>46013</v>
      </c>
      <c r="V1249" s="41">
        <v>46153.532870370371</v>
      </c>
      <c r="W1249" s="40">
        <v>46012</v>
      </c>
      <c r="X1249" s="35" t="s">
        <v>916</v>
      </c>
      <c r="Y1249" s="35" t="s">
        <v>916</v>
      </c>
      <c r="Z1249" s="35" t="s">
        <v>916</v>
      </c>
      <c r="AA1249" s="38">
        <v>227.59861111199999</v>
      </c>
      <c r="AB1249" s="42" t="s">
        <v>916</v>
      </c>
      <c r="AC1249" s="43" t="s">
        <v>916</v>
      </c>
      <c r="AD1249" s="43" t="s">
        <v>916</v>
      </c>
      <c r="AE1249" s="33" t="s">
        <v>3982</v>
      </c>
      <c r="AF1249" s="35" t="s">
        <v>916</v>
      </c>
      <c r="AG1249" s="44">
        <v>490644.40138888889</v>
      </c>
      <c r="AH1249" s="42" t="s">
        <v>916</v>
      </c>
      <c r="AI1249" s="32" t="e">
        <f>VLOOKUP(A1249,'4月明細'!B:B,1,0)</f>
        <v>#N/A</v>
      </c>
    </row>
    <row r="1250" spans="1:35" ht="19.95" customHeight="1" x14ac:dyDescent="0.3">
      <c r="A1250" s="33" t="s">
        <v>4328</v>
      </c>
      <c r="B1250" s="34">
        <v>46012.511250000003</v>
      </c>
      <c r="C1250" s="34" t="str">
        <f t="shared" si="32"/>
        <v>202512</v>
      </c>
      <c r="D1250" s="35" t="s">
        <v>986</v>
      </c>
      <c r="E1250" s="36" t="s">
        <v>910</v>
      </c>
      <c r="F1250" s="36" t="s">
        <v>1475</v>
      </c>
      <c r="G1250" s="37" t="s">
        <v>4329</v>
      </c>
      <c r="H1250" s="36" t="s">
        <v>1043</v>
      </c>
      <c r="I1250" s="35"/>
      <c r="J1250" s="36" t="s">
        <v>914</v>
      </c>
      <c r="K1250" s="33" t="s">
        <v>916</v>
      </c>
      <c r="L1250" s="35" t="s">
        <v>916</v>
      </c>
      <c r="M1250" s="36" t="s">
        <v>916</v>
      </c>
      <c r="N1250" s="45">
        <v>46022</v>
      </c>
      <c r="O1250" s="36" t="s">
        <v>25</v>
      </c>
      <c r="P1250" s="38">
        <v>9.4887499999999996</v>
      </c>
      <c r="Q1250" s="39" t="s">
        <v>4330</v>
      </c>
      <c r="R1250" s="35" t="s">
        <v>916</v>
      </c>
      <c r="S1250" s="35" t="s">
        <v>3952</v>
      </c>
      <c r="T1250" s="35" t="s">
        <v>1701</v>
      </c>
      <c r="U1250" s="40">
        <v>46013</v>
      </c>
      <c r="V1250" s="41">
        <v>46153.532870370371</v>
      </c>
      <c r="W1250" s="40">
        <v>46012</v>
      </c>
      <c r="X1250" s="35" t="s">
        <v>916</v>
      </c>
      <c r="Y1250" s="35" t="s">
        <v>916</v>
      </c>
      <c r="Z1250" s="35" t="s">
        <v>916</v>
      </c>
      <c r="AA1250" s="38">
        <v>227.73</v>
      </c>
      <c r="AB1250" s="42" t="s">
        <v>916</v>
      </c>
      <c r="AC1250" s="43" t="s">
        <v>916</v>
      </c>
      <c r="AD1250" s="43" t="s">
        <v>916</v>
      </c>
      <c r="AE1250" s="33" t="s">
        <v>3982</v>
      </c>
      <c r="AF1250" s="35" t="s">
        <v>916</v>
      </c>
      <c r="AG1250" s="44">
        <v>490644.27</v>
      </c>
      <c r="AH1250" s="42" t="s">
        <v>916</v>
      </c>
      <c r="AI1250" s="32" t="e">
        <f>VLOOKUP(A1250,'4月明細'!B:B,1,0)</f>
        <v>#N/A</v>
      </c>
    </row>
    <row r="1251" spans="1:35" ht="19.95" customHeight="1" x14ac:dyDescent="0.3">
      <c r="A1251" s="33" t="s">
        <v>4331</v>
      </c>
      <c r="B1251" s="34">
        <v>46012.479409722226</v>
      </c>
      <c r="C1251" s="34" t="str">
        <f t="shared" si="32"/>
        <v>202512</v>
      </c>
      <c r="D1251" s="35" t="s">
        <v>909</v>
      </c>
      <c r="E1251" s="36" t="s">
        <v>910</v>
      </c>
      <c r="F1251" s="36" t="s">
        <v>1975</v>
      </c>
      <c r="G1251" s="37" t="s">
        <v>4332</v>
      </c>
      <c r="H1251" s="36" t="s">
        <v>1079</v>
      </c>
      <c r="I1251" s="35" t="s">
        <v>4333</v>
      </c>
      <c r="J1251" s="36" t="s">
        <v>914</v>
      </c>
      <c r="K1251" s="33" t="s">
        <v>916</v>
      </c>
      <c r="L1251" s="35" t="s">
        <v>916</v>
      </c>
      <c r="M1251" s="36" t="s">
        <v>916</v>
      </c>
      <c r="N1251" s="45">
        <v>46022</v>
      </c>
      <c r="O1251" s="36" t="s">
        <v>25</v>
      </c>
      <c r="P1251" s="38">
        <v>9.5205902778000002</v>
      </c>
      <c r="Q1251" s="39" t="s">
        <v>4334</v>
      </c>
      <c r="R1251" s="35" t="s">
        <v>916</v>
      </c>
      <c r="S1251" s="35" t="s">
        <v>4335</v>
      </c>
      <c r="T1251" s="35" t="s">
        <v>1701</v>
      </c>
      <c r="U1251" s="40">
        <v>46013</v>
      </c>
      <c r="V1251" s="41">
        <v>46153.532870370371</v>
      </c>
      <c r="W1251" s="40">
        <v>46012</v>
      </c>
      <c r="X1251" s="35" t="s">
        <v>916</v>
      </c>
      <c r="Y1251" s="35" t="s">
        <v>916</v>
      </c>
      <c r="Z1251" s="35" t="s">
        <v>916</v>
      </c>
      <c r="AA1251" s="38">
        <v>228.49416666720001</v>
      </c>
      <c r="AB1251" s="42" t="s">
        <v>916</v>
      </c>
      <c r="AC1251" s="43" t="s">
        <v>916</v>
      </c>
      <c r="AD1251" s="43" t="s">
        <v>916</v>
      </c>
      <c r="AE1251" s="33" t="s">
        <v>3982</v>
      </c>
      <c r="AF1251" s="35" t="s">
        <v>916</v>
      </c>
      <c r="AG1251" s="44">
        <v>490643.50583333342</v>
      </c>
      <c r="AH1251" s="42" t="s">
        <v>916</v>
      </c>
      <c r="AI1251" s="32" t="e">
        <f>VLOOKUP(A1251,'4月明細'!B:B,1,0)</f>
        <v>#N/A</v>
      </c>
    </row>
    <row r="1252" spans="1:35" ht="19.95" customHeight="1" x14ac:dyDescent="0.3">
      <c r="A1252" s="33" t="s">
        <v>4336</v>
      </c>
      <c r="B1252" s="34">
        <v>46011.450486111113</v>
      </c>
      <c r="C1252" s="34" t="str">
        <f t="shared" si="32"/>
        <v>202512</v>
      </c>
      <c r="D1252" s="35" t="s">
        <v>951</v>
      </c>
      <c r="E1252" s="36" t="s">
        <v>910</v>
      </c>
      <c r="F1252" s="36" t="s">
        <v>1537</v>
      </c>
      <c r="G1252" s="37" t="s">
        <v>4337</v>
      </c>
      <c r="H1252" s="36" t="s">
        <v>1079</v>
      </c>
      <c r="I1252" s="35"/>
      <c r="J1252" s="36" t="s">
        <v>1058</v>
      </c>
      <c r="K1252" s="33" t="s">
        <v>916</v>
      </c>
      <c r="L1252" s="35" t="s">
        <v>916</v>
      </c>
      <c r="M1252" s="36" t="s">
        <v>916</v>
      </c>
      <c r="N1252" s="45">
        <v>46022</v>
      </c>
      <c r="O1252" s="36" t="s">
        <v>25</v>
      </c>
      <c r="P1252" s="38">
        <v>10.5495138889</v>
      </c>
      <c r="Q1252" s="39" t="s">
        <v>4338</v>
      </c>
      <c r="R1252" s="35" t="s">
        <v>916</v>
      </c>
      <c r="S1252" s="35"/>
      <c r="T1252" s="35" t="s">
        <v>1701</v>
      </c>
      <c r="U1252" s="40">
        <v>46012</v>
      </c>
      <c r="V1252" s="41">
        <v>46153.532870370371</v>
      </c>
      <c r="W1252" s="40">
        <v>46011</v>
      </c>
      <c r="X1252" s="35" t="s">
        <v>916</v>
      </c>
      <c r="Y1252" s="35" t="s">
        <v>916</v>
      </c>
      <c r="Z1252" s="35" t="s">
        <v>916</v>
      </c>
      <c r="AA1252" s="38">
        <v>253.18833333360001</v>
      </c>
      <c r="AB1252" s="42" t="s">
        <v>916</v>
      </c>
      <c r="AC1252" s="43" t="s">
        <v>916</v>
      </c>
      <c r="AD1252" s="43" t="s">
        <v>916</v>
      </c>
      <c r="AE1252" s="33" t="s">
        <v>3982</v>
      </c>
      <c r="AF1252" s="35" t="s">
        <v>916</v>
      </c>
      <c r="AG1252" s="44">
        <v>490618.8116666667</v>
      </c>
      <c r="AH1252" s="42" t="s">
        <v>916</v>
      </c>
      <c r="AI1252" s="32" t="e">
        <f>VLOOKUP(A1252,'4月明細'!B:B,1,0)</f>
        <v>#N/A</v>
      </c>
    </row>
    <row r="1253" spans="1:35" ht="19.95" customHeight="1" x14ac:dyDescent="0.3">
      <c r="A1253" s="33" t="s">
        <v>4339</v>
      </c>
      <c r="B1253" s="34">
        <v>46011.450127314813</v>
      </c>
      <c r="C1253" s="34" t="str">
        <f t="shared" si="32"/>
        <v>202512</v>
      </c>
      <c r="D1253" s="35" t="s">
        <v>951</v>
      </c>
      <c r="E1253" s="36" t="s">
        <v>910</v>
      </c>
      <c r="F1253" s="36" t="s">
        <v>1108</v>
      </c>
      <c r="G1253" s="37" t="s">
        <v>4340</v>
      </c>
      <c r="H1253" s="36" t="s">
        <v>956</v>
      </c>
      <c r="I1253" s="35"/>
      <c r="J1253" s="36" t="s">
        <v>1058</v>
      </c>
      <c r="K1253" s="33" t="s">
        <v>916</v>
      </c>
      <c r="L1253" s="35" t="s">
        <v>916</v>
      </c>
      <c r="M1253" s="36" t="s">
        <v>916</v>
      </c>
      <c r="N1253" s="45">
        <v>46022</v>
      </c>
      <c r="O1253" s="36" t="s">
        <v>25</v>
      </c>
      <c r="P1253" s="38">
        <v>10.5498726852</v>
      </c>
      <c r="Q1253" s="39" t="s">
        <v>4341</v>
      </c>
      <c r="R1253" s="35" t="s">
        <v>916</v>
      </c>
      <c r="S1253" s="35"/>
      <c r="T1253" s="35" t="s">
        <v>1701</v>
      </c>
      <c r="U1253" s="40">
        <v>46012</v>
      </c>
      <c r="V1253" s="41">
        <v>46153.532870370371</v>
      </c>
      <c r="W1253" s="40">
        <v>46011</v>
      </c>
      <c r="X1253" s="35" t="s">
        <v>916</v>
      </c>
      <c r="Y1253" s="35" t="s">
        <v>916</v>
      </c>
      <c r="Z1253" s="35" t="s">
        <v>916</v>
      </c>
      <c r="AA1253" s="38">
        <v>253.19694444480001</v>
      </c>
      <c r="AB1253" s="42" t="s">
        <v>916</v>
      </c>
      <c r="AC1253" s="43" t="s">
        <v>916</v>
      </c>
      <c r="AD1253" s="43" t="s">
        <v>916</v>
      </c>
      <c r="AE1253" s="33" t="s">
        <v>3982</v>
      </c>
      <c r="AF1253" s="35" t="s">
        <v>916</v>
      </c>
      <c r="AG1253" s="44">
        <v>490618.80305555562</v>
      </c>
      <c r="AH1253" s="42" t="s">
        <v>916</v>
      </c>
      <c r="AI1253" s="32" t="e">
        <f>VLOOKUP(A1253,'4月明細'!B:B,1,0)</f>
        <v>#N/A</v>
      </c>
    </row>
    <row r="1254" spans="1:35" ht="19.95" customHeight="1" x14ac:dyDescent="0.3">
      <c r="A1254" s="33" t="s">
        <v>4342</v>
      </c>
      <c r="B1254" s="34">
        <v>46011.449814814812</v>
      </c>
      <c r="C1254" s="34" t="str">
        <f t="shared" si="32"/>
        <v>202512</v>
      </c>
      <c r="D1254" s="35" t="s">
        <v>951</v>
      </c>
      <c r="E1254" s="36" t="s">
        <v>910</v>
      </c>
      <c r="F1254" s="36" t="s">
        <v>1612</v>
      </c>
      <c r="G1254" s="37" t="s">
        <v>4343</v>
      </c>
      <c r="H1254" s="36" t="s">
        <v>4157</v>
      </c>
      <c r="I1254" s="35" t="s">
        <v>4344</v>
      </c>
      <c r="J1254" s="36" t="s">
        <v>914</v>
      </c>
      <c r="K1254" s="33" t="s">
        <v>916</v>
      </c>
      <c r="L1254" s="35" t="s">
        <v>916</v>
      </c>
      <c r="M1254" s="36" t="s">
        <v>916</v>
      </c>
      <c r="N1254" s="45">
        <v>46022</v>
      </c>
      <c r="O1254" s="36" t="s">
        <v>25</v>
      </c>
      <c r="P1254" s="38">
        <v>10.5501851852</v>
      </c>
      <c r="Q1254" s="39" t="s">
        <v>4345</v>
      </c>
      <c r="R1254" s="35" t="s">
        <v>916</v>
      </c>
      <c r="S1254" s="35" t="s">
        <v>4346</v>
      </c>
      <c r="T1254" s="35" t="s">
        <v>1701</v>
      </c>
      <c r="U1254" s="40">
        <v>46012</v>
      </c>
      <c r="V1254" s="41">
        <v>46153.532870370371</v>
      </c>
      <c r="W1254" s="40">
        <v>46011</v>
      </c>
      <c r="X1254" s="35" t="s">
        <v>916</v>
      </c>
      <c r="Y1254" s="35" t="s">
        <v>916</v>
      </c>
      <c r="Z1254" s="35" t="s">
        <v>916</v>
      </c>
      <c r="AA1254" s="38">
        <v>253.2044444448</v>
      </c>
      <c r="AB1254" s="42" t="s">
        <v>916</v>
      </c>
      <c r="AC1254" s="43" t="s">
        <v>916</v>
      </c>
      <c r="AD1254" s="43" t="s">
        <v>916</v>
      </c>
      <c r="AE1254" s="33" t="s">
        <v>3982</v>
      </c>
      <c r="AF1254" s="35" t="s">
        <v>916</v>
      </c>
      <c r="AG1254" s="44">
        <v>490618.79555555561</v>
      </c>
      <c r="AH1254" s="42" t="s">
        <v>916</v>
      </c>
      <c r="AI1254" s="32" t="e">
        <f>VLOOKUP(A1254,'4月明細'!B:B,1,0)</f>
        <v>#N/A</v>
      </c>
    </row>
    <row r="1255" spans="1:35" ht="19.95" customHeight="1" x14ac:dyDescent="0.3">
      <c r="A1255" s="33" t="s">
        <v>4347</v>
      </c>
      <c r="B1255" s="34">
        <v>46010.833958333336</v>
      </c>
      <c r="C1255" s="34" t="str">
        <f t="shared" si="32"/>
        <v>202512</v>
      </c>
      <c r="D1255" s="35" t="s">
        <v>941</v>
      </c>
      <c r="E1255" s="36" t="s">
        <v>942</v>
      </c>
      <c r="F1255" s="36" t="s">
        <v>972</v>
      </c>
      <c r="G1255" s="37" t="s">
        <v>4348</v>
      </c>
      <c r="H1255" s="36" t="s">
        <v>4029</v>
      </c>
      <c r="I1255" s="35"/>
      <c r="J1255" s="36" t="s">
        <v>938</v>
      </c>
      <c r="K1255" s="33" t="s">
        <v>916</v>
      </c>
      <c r="L1255" s="35" t="s">
        <v>916</v>
      </c>
      <c r="M1255" s="36" t="s">
        <v>957</v>
      </c>
      <c r="N1255" s="45">
        <v>46022</v>
      </c>
      <c r="O1255" s="36" t="s">
        <v>25</v>
      </c>
      <c r="P1255" s="38">
        <v>11.1660416667</v>
      </c>
      <c r="Q1255" s="39" t="s">
        <v>4349</v>
      </c>
      <c r="R1255" s="46" t="s">
        <v>3079</v>
      </c>
      <c r="S1255" s="35" t="s">
        <v>4350</v>
      </c>
      <c r="T1255" s="35" t="s">
        <v>1624</v>
      </c>
      <c r="U1255" s="40">
        <v>46011</v>
      </c>
      <c r="V1255" s="41">
        <v>46153.532881944448</v>
      </c>
      <c r="W1255" s="40">
        <v>46011</v>
      </c>
      <c r="X1255" s="35" t="s">
        <v>916</v>
      </c>
      <c r="Y1255" s="35" t="s">
        <v>916</v>
      </c>
      <c r="Z1255" s="35" t="s">
        <v>916</v>
      </c>
      <c r="AA1255" s="38">
        <v>267.98500000080003</v>
      </c>
      <c r="AB1255" s="42" t="s">
        <v>916</v>
      </c>
      <c r="AC1255" s="43" t="s">
        <v>916</v>
      </c>
      <c r="AD1255" s="43" t="s">
        <v>916</v>
      </c>
      <c r="AE1255" s="33" t="s">
        <v>3982</v>
      </c>
      <c r="AF1255" s="35" t="s">
        <v>916</v>
      </c>
      <c r="AG1255" s="44">
        <v>490604.01500000001</v>
      </c>
      <c r="AH1255" s="42" t="s">
        <v>916</v>
      </c>
      <c r="AI1255" s="32" t="e">
        <f>VLOOKUP(A1255,'4月明細'!B:B,1,0)</f>
        <v>#N/A</v>
      </c>
    </row>
    <row r="1256" spans="1:35" ht="19.95" customHeight="1" x14ac:dyDescent="0.3">
      <c r="A1256" s="33" t="s">
        <v>4351</v>
      </c>
      <c r="B1256" s="34">
        <v>46010.648935185185</v>
      </c>
      <c r="C1256" s="34" t="str">
        <f t="shared" si="32"/>
        <v>202512</v>
      </c>
      <c r="D1256" s="35" t="s">
        <v>909</v>
      </c>
      <c r="E1256" s="36" t="s">
        <v>910</v>
      </c>
      <c r="F1256" s="36" t="s">
        <v>1354</v>
      </c>
      <c r="G1256" s="37" t="s">
        <v>4352</v>
      </c>
      <c r="H1256" s="36" t="s">
        <v>4185</v>
      </c>
      <c r="I1256" s="35" t="s">
        <v>4353</v>
      </c>
      <c r="J1256" s="36" t="s">
        <v>929</v>
      </c>
      <c r="K1256" s="33" t="s">
        <v>916</v>
      </c>
      <c r="L1256" s="35" t="s">
        <v>916</v>
      </c>
      <c r="M1256" s="36" t="s">
        <v>916</v>
      </c>
      <c r="N1256" s="45">
        <v>46022</v>
      </c>
      <c r="O1256" s="36" t="s">
        <v>25</v>
      </c>
      <c r="P1256" s="38">
        <v>11.351064814800001</v>
      </c>
      <c r="Q1256" s="39" t="s">
        <v>4354</v>
      </c>
      <c r="R1256" s="35" t="s">
        <v>916</v>
      </c>
      <c r="S1256" s="35"/>
      <c r="T1256" s="35" t="s">
        <v>1701</v>
      </c>
      <c r="U1256" s="40">
        <v>46011</v>
      </c>
      <c r="V1256" s="41">
        <v>46153.532881944448</v>
      </c>
      <c r="W1256" s="40">
        <v>46010</v>
      </c>
      <c r="X1256" s="35" t="s">
        <v>916</v>
      </c>
      <c r="Y1256" s="35" t="s">
        <v>916</v>
      </c>
      <c r="Z1256" s="35" t="s">
        <v>916</v>
      </c>
      <c r="AA1256" s="38">
        <v>272.42555555519999</v>
      </c>
      <c r="AB1256" s="42" t="s">
        <v>916</v>
      </c>
      <c r="AC1256" s="43" t="s">
        <v>916</v>
      </c>
      <c r="AD1256" s="43" t="s">
        <v>916</v>
      </c>
      <c r="AE1256" s="33" t="s">
        <v>3982</v>
      </c>
      <c r="AF1256" s="35" t="s">
        <v>916</v>
      </c>
      <c r="AG1256" s="44">
        <v>490599.57444444438</v>
      </c>
      <c r="AH1256" s="42" t="s">
        <v>916</v>
      </c>
      <c r="AI1256" s="32" t="e">
        <f>VLOOKUP(A1256,'4月明細'!B:B,1,0)</f>
        <v>#N/A</v>
      </c>
    </row>
    <row r="1257" spans="1:35" ht="19.95" customHeight="1" x14ac:dyDescent="0.3">
      <c r="A1257" s="33" t="s">
        <v>4355</v>
      </c>
      <c r="B1257" s="34">
        <v>46010.560694444444</v>
      </c>
      <c r="C1257" s="34" t="str">
        <f t="shared" si="32"/>
        <v>202512</v>
      </c>
      <c r="D1257" s="35" t="s">
        <v>951</v>
      </c>
      <c r="E1257" s="36" t="s">
        <v>910</v>
      </c>
      <c r="F1257" s="36" t="s">
        <v>1145</v>
      </c>
      <c r="G1257" s="37" t="s">
        <v>4356</v>
      </c>
      <c r="H1257" s="36" t="s">
        <v>913</v>
      </c>
      <c r="I1257" s="35"/>
      <c r="J1257" s="36" t="s">
        <v>914</v>
      </c>
      <c r="K1257" s="33" t="s">
        <v>916</v>
      </c>
      <c r="L1257" s="35" t="s">
        <v>916</v>
      </c>
      <c r="M1257" s="36" t="s">
        <v>1135</v>
      </c>
      <c r="N1257" s="45">
        <v>46022</v>
      </c>
      <c r="O1257" s="36" t="s">
        <v>25</v>
      </c>
      <c r="P1257" s="38">
        <v>11.439305555600001</v>
      </c>
      <c r="Q1257" s="39" t="s">
        <v>4357</v>
      </c>
      <c r="R1257" s="35" t="s">
        <v>916</v>
      </c>
      <c r="S1257" s="35"/>
      <c r="T1257" s="35" t="s">
        <v>1701</v>
      </c>
      <c r="U1257" s="40">
        <v>46011</v>
      </c>
      <c r="V1257" s="41">
        <v>46153.532881944448</v>
      </c>
      <c r="W1257" s="40">
        <v>46010</v>
      </c>
      <c r="X1257" s="35" t="s">
        <v>916</v>
      </c>
      <c r="Y1257" s="35" t="s">
        <v>916</v>
      </c>
      <c r="Z1257" s="35" t="s">
        <v>916</v>
      </c>
      <c r="AA1257" s="38">
        <v>274.54333333440002</v>
      </c>
      <c r="AB1257" s="42" t="s">
        <v>916</v>
      </c>
      <c r="AC1257" s="43" t="s">
        <v>916</v>
      </c>
      <c r="AD1257" s="43" t="s">
        <v>916</v>
      </c>
      <c r="AE1257" s="33" t="s">
        <v>3982</v>
      </c>
      <c r="AF1257" s="35" t="s">
        <v>916</v>
      </c>
      <c r="AG1257" s="44">
        <v>490597.45666666672</v>
      </c>
      <c r="AH1257" s="42" t="s">
        <v>916</v>
      </c>
      <c r="AI1257" s="32" t="e">
        <f>VLOOKUP(A1257,'4月明細'!B:B,1,0)</f>
        <v>#N/A</v>
      </c>
    </row>
    <row r="1258" spans="1:35" ht="19.95" customHeight="1" x14ac:dyDescent="0.3">
      <c r="A1258" s="33" t="s">
        <v>4358</v>
      </c>
      <c r="B1258" s="34">
        <v>46010.514247685183</v>
      </c>
      <c r="C1258" s="34" t="str">
        <f t="shared" si="32"/>
        <v>202512</v>
      </c>
      <c r="D1258" s="35" t="s">
        <v>2278</v>
      </c>
      <c r="E1258" s="36" t="s">
        <v>910</v>
      </c>
      <c r="F1258" s="36" t="s">
        <v>1240</v>
      </c>
      <c r="G1258" s="37" t="s">
        <v>4359</v>
      </c>
      <c r="H1258" s="36" t="s">
        <v>3991</v>
      </c>
      <c r="I1258" s="35"/>
      <c r="J1258" s="36" t="s">
        <v>929</v>
      </c>
      <c r="K1258" s="33" t="s">
        <v>916</v>
      </c>
      <c r="L1258" s="35" t="s">
        <v>916</v>
      </c>
      <c r="M1258" s="36" t="s">
        <v>1135</v>
      </c>
      <c r="N1258" s="45">
        <v>46022</v>
      </c>
      <c r="O1258" s="36" t="s">
        <v>25</v>
      </c>
      <c r="P1258" s="38">
        <v>11.485752314799999</v>
      </c>
      <c r="Q1258" s="39" t="s">
        <v>4360</v>
      </c>
      <c r="R1258" s="35" t="s">
        <v>916</v>
      </c>
      <c r="S1258" s="35" t="s">
        <v>4361</v>
      </c>
      <c r="T1258" s="35" t="s">
        <v>1701</v>
      </c>
      <c r="U1258" s="40">
        <v>46011</v>
      </c>
      <c r="V1258" s="41">
        <v>46153.532881944448</v>
      </c>
      <c r="W1258" s="40">
        <v>46010</v>
      </c>
      <c r="X1258" s="35" t="s">
        <v>916</v>
      </c>
      <c r="Y1258" s="35" t="s">
        <v>916</v>
      </c>
      <c r="Z1258" s="35" t="s">
        <v>916</v>
      </c>
      <c r="AA1258" s="38">
        <v>275.65805555520001</v>
      </c>
      <c r="AB1258" s="42" t="s">
        <v>916</v>
      </c>
      <c r="AC1258" s="43" t="s">
        <v>916</v>
      </c>
      <c r="AD1258" s="43" t="s">
        <v>916</v>
      </c>
      <c r="AE1258" s="33" t="s">
        <v>3982</v>
      </c>
      <c r="AF1258" s="35" t="s">
        <v>916</v>
      </c>
      <c r="AG1258" s="44">
        <v>490596.34194444452</v>
      </c>
      <c r="AH1258" s="42" t="s">
        <v>916</v>
      </c>
      <c r="AI1258" s="32" t="e">
        <f>VLOOKUP(A1258,'4月明細'!B:B,1,0)</f>
        <v>#N/A</v>
      </c>
    </row>
    <row r="1259" spans="1:35" ht="19.95" customHeight="1" x14ac:dyDescent="0.3">
      <c r="A1259" s="33" t="s">
        <v>4362</v>
      </c>
      <c r="B1259" s="34">
        <v>46010.478483796294</v>
      </c>
      <c r="C1259" s="34" t="str">
        <f t="shared" si="32"/>
        <v>202512</v>
      </c>
      <c r="D1259" s="35" t="s">
        <v>951</v>
      </c>
      <c r="E1259" s="36" t="s">
        <v>910</v>
      </c>
      <c r="F1259" s="36" t="s">
        <v>1377</v>
      </c>
      <c r="G1259" s="37" t="s">
        <v>4363</v>
      </c>
      <c r="H1259" s="36" t="s">
        <v>4017</v>
      </c>
      <c r="I1259" s="35" t="s">
        <v>4364</v>
      </c>
      <c r="J1259" s="36" t="s">
        <v>929</v>
      </c>
      <c r="K1259" s="33" t="s">
        <v>916</v>
      </c>
      <c r="L1259" s="35" t="s">
        <v>916</v>
      </c>
      <c r="M1259" s="36" t="s">
        <v>1135</v>
      </c>
      <c r="N1259" s="45">
        <v>46022</v>
      </c>
      <c r="O1259" s="36" t="s">
        <v>25</v>
      </c>
      <c r="P1259" s="38">
        <v>11.521516203699999</v>
      </c>
      <c r="Q1259" s="39" t="s">
        <v>4365</v>
      </c>
      <c r="R1259" s="35" t="s">
        <v>916</v>
      </c>
      <c r="S1259" s="35" t="s">
        <v>4366</v>
      </c>
      <c r="T1259" s="35" t="s">
        <v>1701</v>
      </c>
      <c r="U1259" s="40">
        <v>46011</v>
      </c>
      <c r="V1259" s="41">
        <v>46153.532881944448</v>
      </c>
      <c r="W1259" s="40">
        <v>46010</v>
      </c>
      <c r="X1259" s="35" t="s">
        <v>916</v>
      </c>
      <c r="Y1259" s="35" t="s">
        <v>916</v>
      </c>
      <c r="Z1259" s="35" t="s">
        <v>916</v>
      </c>
      <c r="AA1259" s="38">
        <v>276.51638888880001</v>
      </c>
      <c r="AB1259" s="42" t="s">
        <v>916</v>
      </c>
      <c r="AC1259" s="43" t="s">
        <v>916</v>
      </c>
      <c r="AD1259" s="43" t="s">
        <v>916</v>
      </c>
      <c r="AE1259" s="33" t="s">
        <v>3982</v>
      </c>
      <c r="AF1259" s="35" t="s">
        <v>916</v>
      </c>
      <c r="AG1259" s="44">
        <v>490595.48361111118</v>
      </c>
      <c r="AH1259" s="42" t="s">
        <v>916</v>
      </c>
      <c r="AI1259" s="32" t="e">
        <f>VLOOKUP(A1259,'4月明細'!B:B,1,0)</f>
        <v>#N/A</v>
      </c>
    </row>
    <row r="1260" spans="1:35" ht="19.95" customHeight="1" x14ac:dyDescent="0.3">
      <c r="A1260" s="33" t="s">
        <v>4367</v>
      </c>
      <c r="B1260" s="34">
        <v>46010.471724537034</v>
      </c>
      <c r="C1260" s="34" t="str">
        <f t="shared" si="32"/>
        <v>202512</v>
      </c>
      <c r="D1260" s="35" t="s">
        <v>909</v>
      </c>
      <c r="E1260" s="36" t="s">
        <v>910</v>
      </c>
      <c r="F1260" s="36" t="s">
        <v>1975</v>
      </c>
      <c r="G1260" s="37" t="s">
        <v>4368</v>
      </c>
      <c r="H1260" s="36" t="s">
        <v>4023</v>
      </c>
      <c r="I1260" s="35" t="s">
        <v>4369</v>
      </c>
      <c r="J1260" s="36" t="s">
        <v>1058</v>
      </c>
      <c r="K1260" s="33" t="s">
        <v>916</v>
      </c>
      <c r="L1260" s="35" t="s">
        <v>916</v>
      </c>
      <c r="M1260" s="36" t="s">
        <v>1135</v>
      </c>
      <c r="N1260" s="45">
        <v>46022</v>
      </c>
      <c r="O1260" s="36" t="s">
        <v>25</v>
      </c>
      <c r="P1260" s="38">
        <v>11.528275463</v>
      </c>
      <c r="Q1260" s="39" t="s">
        <v>4370</v>
      </c>
      <c r="R1260" s="35" t="s">
        <v>916</v>
      </c>
      <c r="S1260" s="35" t="s">
        <v>4371</v>
      </c>
      <c r="T1260" s="35" t="s">
        <v>1701</v>
      </c>
      <c r="U1260" s="40">
        <v>46011</v>
      </c>
      <c r="V1260" s="41">
        <v>46153.532881944448</v>
      </c>
      <c r="W1260" s="40">
        <v>46010</v>
      </c>
      <c r="X1260" s="35" t="s">
        <v>916</v>
      </c>
      <c r="Y1260" s="35" t="s">
        <v>916</v>
      </c>
      <c r="Z1260" s="35" t="s">
        <v>916</v>
      </c>
      <c r="AA1260" s="38">
        <v>276.678611112</v>
      </c>
      <c r="AB1260" s="42" t="s">
        <v>916</v>
      </c>
      <c r="AC1260" s="43" t="s">
        <v>916</v>
      </c>
      <c r="AD1260" s="43" t="s">
        <v>916</v>
      </c>
      <c r="AE1260" s="33" t="s">
        <v>3982</v>
      </c>
      <c r="AF1260" s="35" t="s">
        <v>916</v>
      </c>
      <c r="AG1260" s="44">
        <v>490595.32138888887</v>
      </c>
      <c r="AH1260" s="42" t="s">
        <v>916</v>
      </c>
      <c r="AI1260" s="32" t="e">
        <f>VLOOKUP(A1260,'4月明細'!B:B,1,0)</f>
        <v>#N/A</v>
      </c>
    </row>
    <row r="1261" spans="1:35" ht="19.95" customHeight="1" x14ac:dyDescent="0.3">
      <c r="A1261" s="33" t="s">
        <v>4372</v>
      </c>
      <c r="B1261" s="34">
        <v>46010.443414351852</v>
      </c>
      <c r="C1261" s="34" t="str">
        <f t="shared" si="32"/>
        <v>202512</v>
      </c>
      <c r="D1261" s="35" t="s">
        <v>2278</v>
      </c>
      <c r="E1261" s="36" t="s">
        <v>942</v>
      </c>
      <c r="F1261" s="36" t="s">
        <v>2165</v>
      </c>
      <c r="G1261" s="37" t="s">
        <v>4373</v>
      </c>
      <c r="H1261" s="36" t="s">
        <v>4029</v>
      </c>
      <c r="I1261" s="35"/>
      <c r="J1261" s="36" t="s">
        <v>945</v>
      </c>
      <c r="K1261" s="33" t="s">
        <v>916</v>
      </c>
      <c r="L1261" s="35" t="s">
        <v>916</v>
      </c>
      <c r="M1261" s="36" t="s">
        <v>916</v>
      </c>
      <c r="N1261" s="45">
        <v>46022</v>
      </c>
      <c r="O1261" s="36" t="s">
        <v>25</v>
      </c>
      <c r="P1261" s="38">
        <v>11.5565856481</v>
      </c>
      <c r="Q1261" s="39" t="s">
        <v>2230</v>
      </c>
      <c r="R1261" s="35" t="s">
        <v>916</v>
      </c>
      <c r="S1261" s="35"/>
      <c r="T1261" s="35" t="s">
        <v>1624</v>
      </c>
      <c r="U1261" s="40">
        <v>46011</v>
      </c>
      <c r="V1261" s="41">
        <v>46153.532881944448</v>
      </c>
      <c r="W1261" s="40">
        <v>46010</v>
      </c>
      <c r="X1261" s="35" t="s">
        <v>916</v>
      </c>
      <c r="Y1261" s="35" t="s">
        <v>916</v>
      </c>
      <c r="Z1261" s="35" t="s">
        <v>916</v>
      </c>
      <c r="AA1261" s="38">
        <v>277.35805555439998</v>
      </c>
      <c r="AB1261" s="42" t="s">
        <v>916</v>
      </c>
      <c r="AC1261" s="43" t="s">
        <v>916</v>
      </c>
      <c r="AD1261" s="43" t="s">
        <v>916</v>
      </c>
      <c r="AE1261" s="33" t="s">
        <v>3982</v>
      </c>
      <c r="AF1261" s="35" t="s">
        <v>916</v>
      </c>
      <c r="AG1261" s="44">
        <v>490594.64194444439</v>
      </c>
      <c r="AH1261" s="42" t="s">
        <v>916</v>
      </c>
      <c r="AI1261" s="32" t="e">
        <f>VLOOKUP(A1261,'4月明細'!B:B,1,0)</f>
        <v>#N/A</v>
      </c>
    </row>
    <row r="1262" spans="1:35" ht="19.95" customHeight="1" x14ac:dyDescent="0.3">
      <c r="A1262" s="33" t="s">
        <v>4374</v>
      </c>
      <c r="B1262" s="34">
        <v>46010.107754629629</v>
      </c>
      <c r="C1262" s="34" t="str">
        <f t="shared" si="32"/>
        <v>202512</v>
      </c>
      <c r="D1262" s="35" t="s">
        <v>1217</v>
      </c>
      <c r="E1262" s="36" t="s">
        <v>942</v>
      </c>
      <c r="F1262" s="36" t="s">
        <v>1295</v>
      </c>
      <c r="G1262" s="37" t="s">
        <v>1721</v>
      </c>
      <c r="H1262" s="36" t="s">
        <v>913</v>
      </c>
      <c r="I1262" s="35"/>
      <c r="J1262" s="36" t="s">
        <v>945</v>
      </c>
      <c r="K1262" s="33" t="s">
        <v>916</v>
      </c>
      <c r="L1262" s="35" t="s">
        <v>916</v>
      </c>
      <c r="M1262" s="36" t="s">
        <v>916</v>
      </c>
      <c r="N1262" s="45">
        <v>46022</v>
      </c>
      <c r="O1262" s="36" t="s">
        <v>25</v>
      </c>
      <c r="P1262" s="38">
        <v>11.8922453704</v>
      </c>
      <c r="Q1262" s="39" t="s">
        <v>4375</v>
      </c>
      <c r="R1262" s="35" t="s">
        <v>916</v>
      </c>
      <c r="S1262" s="35" t="s">
        <v>4376</v>
      </c>
      <c r="T1262" s="35" t="s">
        <v>1701</v>
      </c>
      <c r="U1262" s="40">
        <v>46011</v>
      </c>
      <c r="V1262" s="41">
        <v>46153.532881944448</v>
      </c>
      <c r="W1262" s="40">
        <v>46010</v>
      </c>
      <c r="X1262" s="35" t="s">
        <v>916</v>
      </c>
      <c r="Y1262" s="35" t="s">
        <v>916</v>
      </c>
      <c r="Z1262" s="35" t="s">
        <v>916</v>
      </c>
      <c r="AA1262" s="38">
        <v>285.4138888896</v>
      </c>
      <c r="AB1262" s="42" t="s">
        <v>916</v>
      </c>
      <c r="AC1262" s="43" t="s">
        <v>916</v>
      </c>
      <c r="AD1262" s="43" t="s">
        <v>916</v>
      </c>
      <c r="AE1262" s="33" t="s">
        <v>3982</v>
      </c>
      <c r="AF1262" s="35" t="s">
        <v>916</v>
      </c>
      <c r="AG1262" s="44">
        <v>490586.5861111111</v>
      </c>
      <c r="AH1262" s="42" t="s">
        <v>916</v>
      </c>
      <c r="AI1262" s="32" t="e">
        <f>VLOOKUP(A1262,'4月明細'!B:B,1,0)</f>
        <v>#N/A</v>
      </c>
    </row>
    <row r="1263" spans="1:35" ht="19.95" customHeight="1" x14ac:dyDescent="0.3">
      <c r="A1263" s="33" t="s">
        <v>4377</v>
      </c>
      <c r="B1263" s="34">
        <v>46009.678923611114</v>
      </c>
      <c r="C1263" s="34" t="str">
        <f t="shared" si="32"/>
        <v>202512</v>
      </c>
      <c r="D1263" s="35" t="s">
        <v>909</v>
      </c>
      <c r="E1263" s="36" t="s">
        <v>910</v>
      </c>
      <c r="F1263" s="36" t="s">
        <v>1581</v>
      </c>
      <c r="G1263" s="37" t="s">
        <v>1499</v>
      </c>
      <c r="H1263" s="36" t="s">
        <v>3979</v>
      </c>
      <c r="I1263" s="35" t="s">
        <v>4378</v>
      </c>
      <c r="J1263" s="36" t="s">
        <v>929</v>
      </c>
      <c r="K1263" s="33" t="s">
        <v>916</v>
      </c>
      <c r="L1263" s="35" t="s">
        <v>916</v>
      </c>
      <c r="M1263" s="36" t="s">
        <v>916</v>
      </c>
      <c r="N1263" s="45">
        <v>46022</v>
      </c>
      <c r="O1263" s="36" t="s">
        <v>25</v>
      </c>
      <c r="P1263" s="38">
        <v>12.3210763889</v>
      </c>
      <c r="Q1263" s="39" t="s">
        <v>4379</v>
      </c>
      <c r="R1263" s="35" t="s">
        <v>916</v>
      </c>
      <c r="S1263" s="35"/>
      <c r="T1263" s="35" t="s">
        <v>1701</v>
      </c>
      <c r="U1263" s="40">
        <v>46010</v>
      </c>
      <c r="V1263" s="41">
        <v>46153.532881944448</v>
      </c>
      <c r="W1263" s="40">
        <v>46009</v>
      </c>
      <c r="X1263" s="35" t="s">
        <v>916</v>
      </c>
      <c r="Y1263" s="35" t="s">
        <v>916</v>
      </c>
      <c r="Z1263" s="35" t="s">
        <v>916</v>
      </c>
      <c r="AA1263" s="38">
        <v>295.70583333360003</v>
      </c>
      <c r="AB1263" s="42" t="s">
        <v>916</v>
      </c>
      <c r="AC1263" s="43" t="s">
        <v>916</v>
      </c>
      <c r="AD1263" s="43" t="s">
        <v>916</v>
      </c>
      <c r="AE1263" s="33" t="s">
        <v>3982</v>
      </c>
      <c r="AF1263" s="35" t="s">
        <v>916</v>
      </c>
      <c r="AG1263" s="44">
        <v>490576.29416666669</v>
      </c>
      <c r="AH1263" s="42" t="s">
        <v>916</v>
      </c>
      <c r="AI1263" s="32" t="e">
        <f>VLOOKUP(A1263,'4月明細'!B:B,1,0)</f>
        <v>#N/A</v>
      </c>
    </row>
    <row r="1264" spans="1:35" ht="19.95" customHeight="1" x14ac:dyDescent="0.3">
      <c r="A1264" s="33" t="s">
        <v>4380</v>
      </c>
      <c r="B1264" s="34">
        <v>46009.670752314814</v>
      </c>
      <c r="C1264" s="34" t="str">
        <f t="shared" si="32"/>
        <v>202512</v>
      </c>
      <c r="D1264" s="35" t="s">
        <v>996</v>
      </c>
      <c r="E1264" s="36" t="s">
        <v>910</v>
      </c>
      <c r="F1264" s="36" t="s">
        <v>1282</v>
      </c>
      <c r="G1264" s="37" t="s">
        <v>1905</v>
      </c>
      <c r="H1264" s="36" t="s">
        <v>4162</v>
      </c>
      <c r="I1264" s="35" t="s">
        <v>1362</v>
      </c>
      <c r="J1264" s="36" t="s">
        <v>929</v>
      </c>
      <c r="K1264" s="33" t="s">
        <v>916</v>
      </c>
      <c r="L1264" s="35" t="s">
        <v>916</v>
      </c>
      <c r="M1264" s="36" t="s">
        <v>1135</v>
      </c>
      <c r="N1264" s="45">
        <v>46022</v>
      </c>
      <c r="O1264" s="36" t="s">
        <v>25</v>
      </c>
      <c r="P1264" s="38">
        <v>12.3292476852</v>
      </c>
      <c r="Q1264" s="39" t="s">
        <v>4381</v>
      </c>
      <c r="R1264" s="35" t="s">
        <v>916</v>
      </c>
      <c r="S1264" s="35"/>
      <c r="T1264" s="35" t="s">
        <v>1701</v>
      </c>
      <c r="U1264" s="40">
        <v>46010</v>
      </c>
      <c r="V1264" s="41">
        <v>46153.532881944448</v>
      </c>
      <c r="W1264" s="40">
        <v>46009</v>
      </c>
      <c r="X1264" s="35" t="s">
        <v>916</v>
      </c>
      <c r="Y1264" s="35" t="s">
        <v>916</v>
      </c>
      <c r="Z1264" s="35" t="s">
        <v>916</v>
      </c>
      <c r="AA1264" s="38">
        <v>295.90194444479999</v>
      </c>
      <c r="AB1264" s="42" t="s">
        <v>916</v>
      </c>
      <c r="AC1264" s="43" t="s">
        <v>916</v>
      </c>
      <c r="AD1264" s="43" t="s">
        <v>916</v>
      </c>
      <c r="AE1264" s="33" t="s">
        <v>3982</v>
      </c>
      <c r="AF1264" s="35" t="s">
        <v>916</v>
      </c>
      <c r="AG1264" s="44">
        <v>490576.09805555549</v>
      </c>
      <c r="AH1264" s="42" t="s">
        <v>916</v>
      </c>
      <c r="AI1264" s="32" t="e">
        <f>VLOOKUP(A1264,'4月明細'!B:B,1,0)</f>
        <v>#N/A</v>
      </c>
    </row>
    <row r="1265" spans="1:35" ht="19.95" customHeight="1" x14ac:dyDescent="0.3">
      <c r="A1265" s="33" t="s">
        <v>4382</v>
      </c>
      <c r="B1265" s="34">
        <v>46009.663888888892</v>
      </c>
      <c r="C1265" s="34" t="str">
        <f t="shared" si="32"/>
        <v>202512</v>
      </c>
      <c r="D1265" s="35" t="s">
        <v>996</v>
      </c>
      <c r="E1265" s="36" t="s">
        <v>910</v>
      </c>
      <c r="F1265" s="36" t="s">
        <v>1282</v>
      </c>
      <c r="G1265" s="37" t="s">
        <v>3307</v>
      </c>
      <c r="H1265" s="36" t="s">
        <v>4324</v>
      </c>
      <c r="I1265" s="35" t="s">
        <v>4383</v>
      </c>
      <c r="J1265" s="36" t="s">
        <v>929</v>
      </c>
      <c r="K1265" s="33" t="s">
        <v>916</v>
      </c>
      <c r="L1265" s="35" t="s">
        <v>916</v>
      </c>
      <c r="M1265" s="36" t="s">
        <v>1135</v>
      </c>
      <c r="N1265" s="45">
        <v>46022</v>
      </c>
      <c r="O1265" s="36" t="s">
        <v>25</v>
      </c>
      <c r="P1265" s="38">
        <v>12.336111111099999</v>
      </c>
      <c r="Q1265" s="39" t="s">
        <v>4384</v>
      </c>
      <c r="R1265" s="35" t="s">
        <v>916</v>
      </c>
      <c r="S1265" s="35" t="s">
        <v>4385</v>
      </c>
      <c r="T1265" s="35" t="s">
        <v>1701</v>
      </c>
      <c r="U1265" s="40">
        <v>46010</v>
      </c>
      <c r="V1265" s="41">
        <v>46153.532881944448</v>
      </c>
      <c r="W1265" s="40">
        <v>46009</v>
      </c>
      <c r="X1265" s="35" t="s">
        <v>916</v>
      </c>
      <c r="Y1265" s="35" t="s">
        <v>916</v>
      </c>
      <c r="Z1265" s="35" t="s">
        <v>916</v>
      </c>
      <c r="AA1265" s="38">
        <v>296.06666666640001</v>
      </c>
      <c r="AB1265" s="42" t="s">
        <v>916</v>
      </c>
      <c r="AC1265" s="43" t="s">
        <v>916</v>
      </c>
      <c r="AD1265" s="43" t="s">
        <v>916</v>
      </c>
      <c r="AE1265" s="33" t="s">
        <v>3982</v>
      </c>
      <c r="AF1265" s="35" t="s">
        <v>916</v>
      </c>
      <c r="AG1265" s="44">
        <v>490575.93333333329</v>
      </c>
      <c r="AH1265" s="42" t="s">
        <v>916</v>
      </c>
      <c r="AI1265" s="32" t="e">
        <f>VLOOKUP(A1265,'4月明細'!B:B,1,0)</f>
        <v>#N/A</v>
      </c>
    </row>
    <row r="1266" spans="1:35" ht="19.95" customHeight="1" x14ac:dyDescent="0.3">
      <c r="A1266" s="33" t="s">
        <v>4386</v>
      </c>
      <c r="B1266" s="34">
        <v>46009.653368055559</v>
      </c>
      <c r="C1266" s="34" t="str">
        <f t="shared" si="32"/>
        <v>202512</v>
      </c>
      <c r="D1266" s="35" t="s">
        <v>909</v>
      </c>
      <c r="E1266" s="36" t="s">
        <v>910</v>
      </c>
      <c r="F1266" s="36" t="s">
        <v>1222</v>
      </c>
      <c r="G1266" s="37" t="s">
        <v>1622</v>
      </c>
      <c r="H1266" s="36" t="s">
        <v>1048</v>
      </c>
      <c r="I1266" s="35" t="s">
        <v>4387</v>
      </c>
      <c r="J1266" s="36" t="s">
        <v>929</v>
      </c>
      <c r="K1266" s="33" t="s">
        <v>916</v>
      </c>
      <c r="L1266" s="35" t="s">
        <v>916</v>
      </c>
      <c r="M1266" s="36" t="s">
        <v>1135</v>
      </c>
      <c r="N1266" s="45">
        <v>46022</v>
      </c>
      <c r="O1266" s="36" t="s">
        <v>25</v>
      </c>
      <c r="P1266" s="38">
        <v>12.3466319444</v>
      </c>
      <c r="Q1266" s="39" t="s">
        <v>4388</v>
      </c>
      <c r="R1266" s="35" t="s">
        <v>916</v>
      </c>
      <c r="S1266" s="35" t="s">
        <v>4389</v>
      </c>
      <c r="T1266" s="35" t="s">
        <v>1701</v>
      </c>
      <c r="U1266" s="40">
        <v>46010</v>
      </c>
      <c r="V1266" s="41">
        <v>46153.532881944448</v>
      </c>
      <c r="W1266" s="40">
        <v>46009</v>
      </c>
      <c r="X1266" s="35" t="s">
        <v>916</v>
      </c>
      <c r="Y1266" s="35" t="s">
        <v>916</v>
      </c>
      <c r="Z1266" s="35" t="s">
        <v>916</v>
      </c>
      <c r="AA1266" s="38">
        <v>296.31916666559999</v>
      </c>
      <c r="AB1266" s="42" t="s">
        <v>916</v>
      </c>
      <c r="AC1266" s="43" t="s">
        <v>916</v>
      </c>
      <c r="AD1266" s="43" t="s">
        <v>916</v>
      </c>
      <c r="AE1266" s="33" t="s">
        <v>3982</v>
      </c>
      <c r="AF1266" s="35" t="s">
        <v>916</v>
      </c>
      <c r="AG1266" s="44">
        <v>490575.68083333329</v>
      </c>
      <c r="AH1266" s="42" t="s">
        <v>916</v>
      </c>
      <c r="AI1266" s="32" t="e">
        <f>VLOOKUP(A1266,'4月明細'!B:B,1,0)</f>
        <v>#N/A</v>
      </c>
    </row>
    <row r="1267" spans="1:35" ht="19.95" customHeight="1" x14ac:dyDescent="0.3">
      <c r="A1267" s="33" t="s">
        <v>4390</v>
      </c>
      <c r="B1267" s="34">
        <v>46009.617766203701</v>
      </c>
      <c r="C1267" s="34" t="str">
        <f t="shared" si="32"/>
        <v>202512</v>
      </c>
      <c r="D1267" s="35" t="s">
        <v>1856</v>
      </c>
      <c r="E1267" s="36" t="s">
        <v>942</v>
      </c>
      <c r="F1267" s="36" t="s">
        <v>1276</v>
      </c>
      <c r="G1267" s="37" t="s">
        <v>4391</v>
      </c>
      <c r="H1267" s="36" t="s">
        <v>4240</v>
      </c>
      <c r="I1267" s="35"/>
      <c r="J1267" s="36" t="s">
        <v>938</v>
      </c>
      <c r="K1267" s="33" t="s">
        <v>916</v>
      </c>
      <c r="L1267" s="35" t="s">
        <v>916</v>
      </c>
      <c r="M1267" s="36" t="s">
        <v>916</v>
      </c>
      <c r="N1267" s="45">
        <v>46022</v>
      </c>
      <c r="O1267" s="36" t="s">
        <v>25</v>
      </c>
      <c r="P1267" s="38">
        <v>12.3822337963</v>
      </c>
      <c r="Q1267" s="39" t="s">
        <v>4392</v>
      </c>
      <c r="R1267" s="35" t="s">
        <v>916</v>
      </c>
      <c r="S1267" s="35"/>
      <c r="T1267" s="35" t="s">
        <v>1701</v>
      </c>
      <c r="U1267" s="40">
        <v>46010</v>
      </c>
      <c r="V1267" s="41">
        <v>46153.532881944448</v>
      </c>
      <c r="W1267" s="40">
        <v>46009</v>
      </c>
      <c r="X1267" s="35" t="s">
        <v>916</v>
      </c>
      <c r="Y1267" s="35" t="s">
        <v>916</v>
      </c>
      <c r="Z1267" s="35" t="s">
        <v>916</v>
      </c>
      <c r="AA1267" s="38">
        <v>297.17361111119999</v>
      </c>
      <c r="AB1267" s="42" t="s">
        <v>916</v>
      </c>
      <c r="AC1267" s="43" t="s">
        <v>916</v>
      </c>
      <c r="AD1267" s="43" t="s">
        <v>916</v>
      </c>
      <c r="AE1267" s="33" t="s">
        <v>3982</v>
      </c>
      <c r="AF1267" s="35" t="s">
        <v>916</v>
      </c>
      <c r="AG1267" s="44">
        <v>490574.82638888888</v>
      </c>
      <c r="AH1267" s="42" t="s">
        <v>916</v>
      </c>
      <c r="AI1267" s="32" t="e">
        <f>VLOOKUP(A1267,'4月明細'!B:B,1,0)</f>
        <v>#N/A</v>
      </c>
    </row>
    <row r="1268" spans="1:35" ht="19.95" customHeight="1" x14ac:dyDescent="0.3">
      <c r="A1268" s="33" t="s">
        <v>4393</v>
      </c>
      <c r="B1268" s="34">
        <v>46009.592511574076</v>
      </c>
      <c r="C1268" s="34" t="str">
        <f t="shared" si="32"/>
        <v>202512</v>
      </c>
      <c r="D1268" s="35" t="s">
        <v>909</v>
      </c>
      <c r="E1268" s="36" t="s">
        <v>910</v>
      </c>
      <c r="F1268" s="36" t="s">
        <v>1743</v>
      </c>
      <c r="G1268" s="37" t="s">
        <v>1096</v>
      </c>
      <c r="H1268" s="36" t="s">
        <v>3979</v>
      </c>
      <c r="I1268" s="35"/>
      <c r="J1268" s="36" t="s">
        <v>914</v>
      </c>
      <c r="K1268" s="33" t="s">
        <v>916</v>
      </c>
      <c r="L1268" s="35" t="s">
        <v>916</v>
      </c>
      <c r="M1268" s="36" t="s">
        <v>916</v>
      </c>
      <c r="N1268" s="45">
        <v>46022</v>
      </c>
      <c r="O1268" s="36" t="s">
        <v>25</v>
      </c>
      <c r="P1268" s="38">
        <v>12.4074884259</v>
      </c>
      <c r="Q1268" s="39" t="s">
        <v>4394</v>
      </c>
      <c r="R1268" s="35" t="s">
        <v>916</v>
      </c>
      <c r="S1268" s="35"/>
      <c r="T1268" s="35" t="s">
        <v>1701</v>
      </c>
      <c r="U1268" s="40">
        <v>46010</v>
      </c>
      <c r="V1268" s="41">
        <v>46153.532881944448</v>
      </c>
      <c r="W1268" s="40">
        <v>46009</v>
      </c>
      <c r="X1268" s="35" t="s">
        <v>916</v>
      </c>
      <c r="Y1268" s="35" t="s">
        <v>916</v>
      </c>
      <c r="Z1268" s="35" t="s">
        <v>916</v>
      </c>
      <c r="AA1268" s="38">
        <v>297.77972222160003</v>
      </c>
      <c r="AB1268" s="42" t="s">
        <v>916</v>
      </c>
      <c r="AC1268" s="43" t="s">
        <v>916</v>
      </c>
      <c r="AD1268" s="43" t="s">
        <v>916</v>
      </c>
      <c r="AE1268" s="33" t="s">
        <v>3982</v>
      </c>
      <c r="AF1268" s="35" t="s">
        <v>916</v>
      </c>
      <c r="AG1268" s="44">
        <v>490574.22027777781</v>
      </c>
      <c r="AH1268" s="42" t="s">
        <v>916</v>
      </c>
      <c r="AI1268" s="32" t="e">
        <f>VLOOKUP(A1268,'4月明細'!B:B,1,0)</f>
        <v>#N/A</v>
      </c>
    </row>
    <row r="1269" spans="1:35" ht="19.95" customHeight="1" x14ac:dyDescent="0.3">
      <c r="A1269" s="33" t="s">
        <v>4395</v>
      </c>
      <c r="B1269" s="34">
        <v>46009.588159722225</v>
      </c>
      <c r="C1269" s="34" t="str">
        <f t="shared" si="32"/>
        <v>202512</v>
      </c>
      <c r="D1269" s="35" t="s">
        <v>996</v>
      </c>
      <c r="E1269" s="36" t="s">
        <v>910</v>
      </c>
      <c r="F1269" s="36" t="s">
        <v>1108</v>
      </c>
      <c r="G1269" s="37" t="s">
        <v>4396</v>
      </c>
      <c r="H1269" s="36" t="s">
        <v>4196</v>
      </c>
      <c r="I1269" s="35"/>
      <c r="J1269" s="36" t="s">
        <v>929</v>
      </c>
      <c r="K1269" s="33" t="s">
        <v>916</v>
      </c>
      <c r="L1269" s="35" t="s">
        <v>916</v>
      </c>
      <c r="M1269" s="36" t="s">
        <v>916</v>
      </c>
      <c r="N1269" s="45">
        <v>46022</v>
      </c>
      <c r="O1269" s="36" t="s">
        <v>25</v>
      </c>
      <c r="P1269" s="38">
        <v>12.4118402778</v>
      </c>
      <c r="Q1269" s="39" t="s">
        <v>4397</v>
      </c>
      <c r="R1269" s="35" t="s">
        <v>916</v>
      </c>
      <c r="S1269" s="35" t="s">
        <v>4398</v>
      </c>
      <c r="T1269" s="35" t="s">
        <v>1701</v>
      </c>
      <c r="U1269" s="40">
        <v>46010</v>
      </c>
      <c r="V1269" s="41">
        <v>46153.532881944448</v>
      </c>
      <c r="W1269" s="40">
        <v>46009</v>
      </c>
      <c r="X1269" s="35" t="s">
        <v>916</v>
      </c>
      <c r="Y1269" s="35" t="s">
        <v>916</v>
      </c>
      <c r="Z1269" s="35" t="s">
        <v>916</v>
      </c>
      <c r="AA1269" s="38">
        <v>297.88416666720002</v>
      </c>
      <c r="AB1269" s="42" t="s">
        <v>916</v>
      </c>
      <c r="AC1269" s="43" t="s">
        <v>916</v>
      </c>
      <c r="AD1269" s="43" t="s">
        <v>916</v>
      </c>
      <c r="AE1269" s="33" t="s">
        <v>3982</v>
      </c>
      <c r="AF1269" s="35" t="s">
        <v>916</v>
      </c>
      <c r="AG1269" s="44">
        <v>490574.11583333329</v>
      </c>
      <c r="AH1269" s="42" t="s">
        <v>916</v>
      </c>
      <c r="AI1269" s="32" t="e">
        <f>VLOOKUP(A1269,'4月明細'!B:B,1,0)</f>
        <v>#N/A</v>
      </c>
    </row>
    <row r="1270" spans="1:35" ht="19.95" customHeight="1" x14ac:dyDescent="0.3">
      <c r="A1270" s="33" t="s">
        <v>4399</v>
      </c>
      <c r="B1270" s="34">
        <v>46008.981261574074</v>
      </c>
      <c r="C1270" s="34" t="str">
        <f t="shared" si="32"/>
        <v>202512</v>
      </c>
      <c r="D1270" s="35" t="s">
        <v>2308</v>
      </c>
      <c r="E1270" s="36" t="s">
        <v>1199</v>
      </c>
      <c r="F1270" s="36" t="s">
        <v>1860</v>
      </c>
      <c r="G1270" s="37" t="s">
        <v>4400</v>
      </c>
      <c r="H1270" s="36" t="s">
        <v>4401</v>
      </c>
      <c r="I1270" s="35" t="s">
        <v>4402</v>
      </c>
      <c r="J1270" s="36" t="s">
        <v>938</v>
      </c>
      <c r="K1270" s="33" t="s">
        <v>916</v>
      </c>
      <c r="L1270" s="35" t="s">
        <v>916</v>
      </c>
      <c r="M1270" s="36" t="s">
        <v>916</v>
      </c>
      <c r="N1270" s="45">
        <v>46022</v>
      </c>
      <c r="O1270" s="36" t="s">
        <v>25</v>
      </c>
      <c r="P1270" s="38">
        <v>13.018738425900001</v>
      </c>
      <c r="Q1270" s="39" t="s">
        <v>4403</v>
      </c>
      <c r="R1270" s="35" t="s">
        <v>916</v>
      </c>
      <c r="S1270" s="35" t="s">
        <v>4404</v>
      </c>
      <c r="T1270" s="35" t="s">
        <v>1701</v>
      </c>
      <c r="U1270" s="40">
        <v>46009</v>
      </c>
      <c r="V1270" s="41">
        <v>46153.532881944448</v>
      </c>
      <c r="W1270" s="40">
        <v>46009</v>
      </c>
      <c r="X1270" s="35" t="s">
        <v>916</v>
      </c>
      <c r="Y1270" s="35" t="s">
        <v>916</v>
      </c>
      <c r="Z1270" s="35" t="s">
        <v>916</v>
      </c>
      <c r="AA1270" s="38">
        <v>312.44972222159998</v>
      </c>
      <c r="AB1270" s="42" t="s">
        <v>916</v>
      </c>
      <c r="AC1270" s="43" t="s">
        <v>916</v>
      </c>
      <c r="AD1270" s="43" t="s">
        <v>916</v>
      </c>
      <c r="AE1270" s="33" t="s">
        <v>3982</v>
      </c>
      <c r="AF1270" s="35" t="s">
        <v>916</v>
      </c>
      <c r="AG1270" s="44">
        <v>490559.55027777777</v>
      </c>
      <c r="AH1270" s="42" t="s">
        <v>916</v>
      </c>
      <c r="AI1270" s="32" t="e">
        <f>VLOOKUP(A1270,'4月明細'!B:B,1,0)</f>
        <v>#N/A</v>
      </c>
    </row>
    <row r="1271" spans="1:35" ht="19.95" customHeight="1" x14ac:dyDescent="0.3">
      <c r="A1271" s="33" t="s">
        <v>4405</v>
      </c>
      <c r="B1271" s="34">
        <v>46008.820925925924</v>
      </c>
      <c r="C1271" s="34" t="str">
        <f t="shared" si="32"/>
        <v>202512</v>
      </c>
      <c r="D1271" s="35" t="s">
        <v>1510</v>
      </c>
      <c r="E1271" s="36" t="s">
        <v>942</v>
      </c>
      <c r="F1271" s="36" t="s">
        <v>1076</v>
      </c>
      <c r="G1271" s="37" t="s">
        <v>4406</v>
      </c>
      <c r="H1271" s="36" t="s">
        <v>1079</v>
      </c>
      <c r="I1271" s="35"/>
      <c r="J1271" s="36" t="s">
        <v>945</v>
      </c>
      <c r="K1271" s="33" t="s">
        <v>916</v>
      </c>
      <c r="L1271" s="35" t="s">
        <v>916</v>
      </c>
      <c r="M1271" s="36" t="s">
        <v>957</v>
      </c>
      <c r="N1271" s="45">
        <v>46022</v>
      </c>
      <c r="O1271" s="36" t="s">
        <v>25</v>
      </c>
      <c r="P1271" s="38">
        <v>13.179074074100001</v>
      </c>
      <c r="Q1271" s="39" t="s">
        <v>4407</v>
      </c>
      <c r="R1271" s="35" t="s">
        <v>916</v>
      </c>
      <c r="S1271" s="35"/>
      <c r="T1271" s="35" t="s">
        <v>1701</v>
      </c>
      <c r="U1271" s="40">
        <v>46009</v>
      </c>
      <c r="V1271" s="41">
        <v>46153.532881944448</v>
      </c>
      <c r="W1271" s="40">
        <v>46008</v>
      </c>
      <c r="X1271" s="35" t="s">
        <v>916</v>
      </c>
      <c r="Y1271" s="35" t="s">
        <v>916</v>
      </c>
      <c r="Z1271" s="35" t="s">
        <v>916</v>
      </c>
      <c r="AA1271" s="38">
        <v>316.29777777840002</v>
      </c>
      <c r="AB1271" s="42" t="s">
        <v>916</v>
      </c>
      <c r="AC1271" s="43" t="s">
        <v>916</v>
      </c>
      <c r="AD1271" s="43" t="s">
        <v>916</v>
      </c>
      <c r="AE1271" s="33" t="s">
        <v>3982</v>
      </c>
      <c r="AF1271" s="35" t="s">
        <v>916</v>
      </c>
      <c r="AG1271" s="44">
        <v>490555.70222222217</v>
      </c>
      <c r="AH1271" s="42" t="s">
        <v>916</v>
      </c>
      <c r="AI1271" s="32" t="e">
        <f>VLOOKUP(A1271,'4月明細'!B:B,1,0)</f>
        <v>#N/A</v>
      </c>
    </row>
    <row r="1272" spans="1:35" ht="19.95" customHeight="1" x14ac:dyDescent="0.3">
      <c r="A1272" s="33" t="s">
        <v>4408</v>
      </c>
      <c r="B1272" s="34">
        <v>46008.740902777776</v>
      </c>
      <c r="C1272" s="34" t="str">
        <f t="shared" si="32"/>
        <v>202512</v>
      </c>
      <c r="D1272" s="35" t="s">
        <v>2278</v>
      </c>
      <c r="E1272" s="36" t="s">
        <v>910</v>
      </c>
      <c r="F1272" s="36" t="s">
        <v>1295</v>
      </c>
      <c r="G1272" s="37" t="s">
        <v>4409</v>
      </c>
      <c r="H1272" s="36" t="s">
        <v>913</v>
      </c>
      <c r="I1272" s="35"/>
      <c r="J1272" s="36" t="s">
        <v>929</v>
      </c>
      <c r="K1272" s="33" t="s">
        <v>916</v>
      </c>
      <c r="L1272" s="35" t="s">
        <v>916</v>
      </c>
      <c r="M1272" s="36" t="s">
        <v>957</v>
      </c>
      <c r="N1272" s="45">
        <v>46022</v>
      </c>
      <c r="O1272" s="36" t="s">
        <v>25</v>
      </c>
      <c r="P1272" s="38">
        <v>13.259097222199999</v>
      </c>
      <c r="Q1272" s="39" t="s">
        <v>4410</v>
      </c>
      <c r="R1272" s="35" t="s">
        <v>916</v>
      </c>
      <c r="S1272" s="35" t="s">
        <v>4411</v>
      </c>
      <c r="T1272" s="35" t="s">
        <v>1701</v>
      </c>
      <c r="U1272" s="40">
        <v>46009</v>
      </c>
      <c r="V1272" s="41">
        <v>46153.532881944448</v>
      </c>
      <c r="W1272" s="40">
        <v>46008</v>
      </c>
      <c r="X1272" s="35" t="s">
        <v>916</v>
      </c>
      <c r="Y1272" s="35" t="s">
        <v>916</v>
      </c>
      <c r="Z1272" s="35" t="s">
        <v>916</v>
      </c>
      <c r="AA1272" s="38">
        <v>318.2183333328</v>
      </c>
      <c r="AB1272" s="42" t="s">
        <v>916</v>
      </c>
      <c r="AC1272" s="43" t="s">
        <v>916</v>
      </c>
      <c r="AD1272" s="43" t="s">
        <v>916</v>
      </c>
      <c r="AE1272" s="33" t="s">
        <v>3982</v>
      </c>
      <c r="AF1272" s="35" t="s">
        <v>916</v>
      </c>
      <c r="AG1272" s="44">
        <v>490553.78166666668</v>
      </c>
      <c r="AH1272" s="42" t="s">
        <v>916</v>
      </c>
      <c r="AI1272" s="32" t="e">
        <f>VLOOKUP(A1272,'4月明細'!B:B,1,0)</f>
        <v>#N/A</v>
      </c>
    </row>
    <row r="1273" spans="1:35" ht="19.95" customHeight="1" x14ac:dyDescent="0.3">
      <c r="A1273" s="33" t="s">
        <v>4412</v>
      </c>
      <c r="B1273" s="34">
        <v>46008.515798611108</v>
      </c>
      <c r="C1273" s="34" t="str">
        <f t="shared" si="32"/>
        <v>202512</v>
      </c>
      <c r="D1273" s="35" t="s">
        <v>996</v>
      </c>
      <c r="E1273" s="36" t="s">
        <v>910</v>
      </c>
      <c r="F1273" s="36" t="s">
        <v>1055</v>
      </c>
      <c r="G1273" s="37" t="s">
        <v>4413</v>
      </c>
      <c r="H1273" s="36" t="s">
        <v>3985</v>
      </c>
      <c r="I1273" s="35" t="s">
        <v>4414</v>
      </c>
      <c r="J1273" s="36" t="s">
        <v>914</v>
      </c>
      <c r="K1273" s="33" t="s">
        <v>916</v>
      </c>
      <c r="L1273" s="35" t="s">
        <v>916</v>
      </c>
      <c r="M1273" s="36" t="s">
        <v>916</v>
      </c>
      <c r="N1273" s="45">
        <v>46022</v>
      </c>
      <c r="O1273" s="36" t="s">
        <v>25</v>
      </c>
      <c r="P1273" s="38">
        <v>13.484201388900001</v>
      </c>
      <c r="Q1273" s="39" t="s">
        <v>4415</v>
      </c>
      <c r="R1273" s="35" t="s">
        <v>916</v>
      </c>
      <c r="S1273" s="35" t="s">
        <v>4416</v>
      </c>
      <c r="T1273" s="35" t="s">
        <v>1701</v>
      </c>
      <c r="U1273" s="40">
        <v>46009</v>
      </c>
      <c r="V1273" s="41">
        <v>46153.532881944448</v>
      </c>
      <c r="W1273" s="40">
        <v>46008</v>
      </c>
      <c r="X1273" s="35" t="s">
        <v>916</v>
      </c>
      <c r="Y1273" s="35" t="s">
        <v>916</v>
      </c>
      <c r="Z1273" s="35" t="s">
        <v>916</v>
      </c>
      <c r="AA1273" s="38">
        <v>323.62083333359999</v>
      </c>
      <c r="AB1273" s="42" t="s">
        <v>916</v>
      </c>
      <c r="AC1273" s="43" t="s">
        <v>916</v>
      </c>
      <c r="AD1273" s="43" t="s">
        <v>916</v>
      </c>
      <c r="AE1273" s="33" t="s">
        <v>3982</v>
      </c>
      <c r="AF1273" s="35" t="s">
        <v>916</v>
      </c>
      <c r="AG1273" s="44">
        <v>490548.37916666671</v>
      </c>
      <c r="AH1273" s="42" t="s">
        <v>916</v>
      </c>
      <c r="AI1273" s="32" t="e">
        <f>VLOOKUP(A1273,'4月明細'!B:B,1,0)</f>
        <v>#N/A</v>
      </c>
    </row>
    <row r="1274" spans="1:35" ht="19.95" customHeight="1" x14ac:dyDescent="0.3">
      <c r="A1274" s="33" t="s">
        <v>4417</v>
      </c>
      <c r="B1274" s="34">
        <v>46008.4921412037</v>
      </c>
      <c r="C1274" s="34" t="str">
        <f t="shared" si="32"/>
        <v>202512</v>
      </c>
      <c r="D1274" s="35" t="s">
        <v>996</v>
      </c>
      <c r="E1274" s="36" t="s">
        <v>910</v>
      </c>
      <c r="F1274" s="36" t="s">
        <v>1531</v>
      </c>
      <c r="G1274" s="37" t="s">
        <v>4396</v>
      </c>
      <c r="H1274" s="36" t="s">
        <v>4196</v>
      </c>
      <c r="I1274" s="35"/>
      <c r="J1274" s="36" t="s">
        <v>929</v>
      </c>
      <c r="K1274" s="33" t="s">
        <v>916</v>
      </c>
      <c r="L1274" s="35" t="s">
        <v>916</v>
      </c>
      <c r="M1274" s="36" t="s">
        <v>916</v>
      </c>
      <c r="N1274" s="45">
        <v>46022</v>
      </c>
      <c r="O1274" s="36" t="s">
        <v>25</v>
      </c>
      <c r="P1274" s="38">
        <v>13.507858796300001</v>
      </c>
      <c r="Q1274" s="39" t="s">
        <v>4418</v>
      </c>
      <c r="R1274" s="35" t="s">
        <v>916</v>
      </c>
      <c r="S1274" s="35" t="s">
        <v>4419</v>
      </c>
      <c r="T1274" s="35" t="s">
        <v>1701</v>
      </c>
      <c r="U1274" s="40">
        <v>46009</v>
      </c>
      <c r="V1274" s="41">
        <v>46153.532881944448</v>
      </c>
      <c r="W1274" s="40">
        <v>46008</v>
      </c>
      <c r="X1274" s="35" t="s">
        <v>916</v>
      </c>
      <c r="Y1274" s="35" t="s">
        <v>916</v>
      </c>
      <c r="Z1274" s="35" t="s">
        <v>916</v>
      </c>
      <c r="AA1274" s="38">
        <v>324.18861111119998</v>
      </c>
      <c r="AB1274" s="42" t="s">
        <v>916</v>
      </c>
      <c r="AC1274" s="43" t="s">
        <v>916</v>
      </c>
      <c r="AD1274" s="43" t="s">
        <v>916</v>
      </c>
      <c r="AE1274" s="33" t="s">
        <v>3982</v>
      </c>
      <c r="AF1274" s="35" t="s">
        <v>916</v>
      </c>
      <c r="AG1274" s="44">
        <v>490547.81166666659</v>
      </c>
      <c r="AH1274" s="42" t="s">
        <v>916</v>
      </c>
      <c r="AI1274" s="32" t="e">
        <f>VLOOKUP(A1274,'4月明細'!B:B,1,0)</f>
        <v>#N/A</v>
      </c>
    </row>
    <row r="1275" spans="1:35" ht="19.95" customHeight="1" x14ac:dyDescent="0.3">
      <c r="A1275" s="33" t="s">
        <v>4420</v>
      </c>
      <c r="B1275" s="34">
        <v>46008.426006944443</v>
      </c>
      <c r="C1275" s="34" t="str">
        <f t="shared" si="32"/>
        <v>202512</v>
      </c>
      <c r="D1275" s="35" t="s">
        <v>996</v>
      </c>
      <c r="E1275" s="36" t="s">
        <v>910</v>
      </c>
      <c r="F1275" s="36" t="s">
        <v>1750</v>
      </c>
      <c r="G1275" s="37" t="s">
        <v>1041</v>
      </c>
      <c r="H1275" s="36" t="s">
        <v>1043</v>
      </c>
      <c r="I1275" s="35" t="s">
        <v>4421</v>
      </c>
      <c r="J1275" s="36" t="s">
        <v>914</v>
      </c>
      <c r="K1275" s="33" t="s">
        <v>916</v>
      </c>
      <c r="L1275" s="35" t="s">
        <v>916</v>
      </c>
      <c r="M1275" s="36" t="s">
        <v>916</v>
      </c>
      <c r="N1275" s="45">
        <v>46022</v>
      </c>
      <c r="O1275" s="36" t="s">
        <v>25</v>
      </c>
      <c r="P1275" s="38">
        <v>13.573993055600001</v>
      </c>
      <c r="Q1275" s="39" t="s">
        <v>4422</v>
      </c>
      <c r="R1275" s="35" t="s">
        <v>916</v>
      </c>
      <c r="S1275" s="35"/>
      <c r="T1275" s="35" t="s">
        <v>1701</v>
      </c>
      <c r="U1275" s="40">
        <v>46009</v>
      </c>
      <c r="V1275" s="41">
        <v>46153.532881944448</v>
      </c>
      <c r="W1275" s="40">
        <v>46008</v>
      </c>
      <c r="X1275" s="35" t="s">
        <v>916</v>
      </c>
      <c r="Y1275" s="35" t="s">
        <v>916</v>
      </c>
      <c r="Z1275" s="35" t="s">
        <v>916</v>
      </c>
      <c r="AA1275" s="38">
        <v>325.77583333439998</v>
      </c>
      <c r="AB1275" s="42" t="s">
        <v>916</v>
      </c>
      <c r="AC1275" s="43" t="s">
        <v>916</v>
      </c>
      <c r="AD1275" s="43" t="s">
        <v>916</v>
      </c>
      <c r="AE1275" s="33" t="s">
        <v>3982</v>
      </c>
      <c r="AF1275" s="35" t="s">
        <v>916</v>
      </c>
      <c r="AG1275" s="44">
        <v>490546.22416666668</v>
      </c>
      <c r="AH1275" s="42" t="s">
        <v>916</v>
      </c>
      <c r="AI1275" s="32" t="e">
        <f>VLOOKUP(A1275,'4月明細'!B:B,1,0)</f>
        <v>#N/A</v>
      </c>
    </row>
    <row r="1276" spans="1:35" ht="19.95" customHeight="1" x14ac:dyDescent="0.3">
      <c r="A1276" s="33" t="s">
        <v>4423</v>
      </c>
      <c r="B1276" s="34">
        <v>46007.654016203705</v>
      </c>
      <c r="C1276" s="34" t="str">
        <f t="shared" si="32"/>
        <v>202512</v>
      </c>
      <c r="D1276" s="35" t="s">
        <v>4424</v>
      </c>
      <c r="E1276" s="36" t="s">
        <v>910</v>
      </c>
      <c r="F1276" s="36" t="s">
        <v>1568</v>
      </c>
      <c r="G1276" s="37" t="s">
        <v>1018</v>
      </c>
      <c r="H1276" s="36" t="s">
        <v>4157</v>
      </c>
      <c r="I1276" s="35"/>
      <c r="J1276" s="36" t="s">
        <v>914</v>
      </c>
      <c r="K1276" s="33" t="s">
        <v>916</v>
      </c>
      <c r="L1276" s="35" t="s">
        <v>916</v>
      </c>
      <c r="M1276" s="36" t="s">
        <v>916</v>
      </c>
      <c r="N1276" s="45">
        <v>46022</v>
      </c>
      <c r="O1276" s="36" t="s">
        <v>25</v>
      </c>
      <c r="P1276" s="38">
        <v>14.345983796300001</v>
      </c>
      <c r="Q1276" s="39" t="s">
        <v>4425</v>
      </c>
      <c r="R1276" s="35" t="s">
        <v>916</v>
      </c>
      <c r="S1276" s="35" t="s">
        <v>4426</v>
      </c>
      <c r="T1276" s="35" t="s">
        <v>1701</v>
      </c>
      <c r="U1276" s="40">
        <v>46008</v>
      </c>
      <c r="V1276" s="41">
        <v>46153.532881944448</v>
      </c>
      <c r="W1276" s="40">
        <v>46007</v>
      </c>
      <c r="X1276" s="35" t="s">
        <v>916</v>
      </c>
      <c r="Y1276" s="35" t="s">
        <v>916</v>
      </c>
      <c r="Z1276" s="35" t="s">
        <v>916</v>
      </c>
      <c r="AA1276" s="38">
        <v>344.30361111119998</v>
      </c>
      <c r="AB1276" s="42" t="s">
        <v>916</v>
      </c>
      <c r="AC1276" s="43" t="s">
        <v>916</v>
      </c>
      <c r="AD1276" s="43" t="s">
        <v>916</v>
      </c>
      <c r="AE1276" s="33" t="s">
        <v>3982</v>
      </c>
      <c r="AF1276" s="35" t="s">
        <v>916</v>
      </c>
      <c r="AG1276" s="44">
        <v>490527.69638888887</v>
      </c>
      <c r="AH1276" s="42" t="s">
        <v>916</v>
      </c>
      <c r="AI1276" s="32" t="e">
        <f>VLOOKUP(A1276,'4月明細'!B:B,1,0)</f>
        <v>#N/A</v>
      </c>
    </row>
    <row r="1277" spans="1:35" ht="19.95" customHeight="1" x14ac:dyDescent="0.3">
      <c r="A1277" s="33" t="s">
        <v>4427</v>
      </c>
      <c r="B1277" s="34">
        <v>46007.652581018519</v>
      </c>
      <c r="C1277" s="34" t="str">
        <f t="shared" si="32"/>
        <v>202512</v>
      </c>
      <c r="D1277" s="35" t="s">
        <v>986</v>
      </c>
      <c r="E1277" s="36" t="s">
        <v>910</v>
      </c>
      <c r="F1277" s="36" t="s">
        <v>1581</v>
      </c>
      <c r="G1277" s="37" t="s">
        <v>4428</v>
      </c>
      <c r="H1277" s="36" t="s">
        <v>1048</v>
      </c>
      <c r="I1277" s="35"/>
      <c r="J1277" s="36" t="s">
        <v>914</v>
      </c>
      <c r="K1277" s="33" t="s">
        <v>916</v>
      </c>
      <c r="L1277" s="35" t="s">
        <v>916</v>
      </c>
      <c r="M1277" s="36" t="s">
        <v>916</v>
      </c>
      <c r="N1277" s="45">
        <v>46022</v>
      </c>
      <c r="O1277" s="36" t="s">
        <v>25</v>
      </c>
      <c r="P1277" s="38">
        <v>14.347418981500001</v>
      </c>
      <c r="Q1277" s="39" t="s">
        <v>4429</v>
      </c>
      <c r="R1277" s="35" t="s">
        <v>916</v>
      </c>
      <c r="S1277" s="35" t="s">
        <v>4430</v>
      </c>
      <c r="T1277" s="35" t="s">
        <v>1701</v>
      </c>
      <c r="U1277" s="40">
        <v>46008</v>
      </c>
      <c r="V1277" s="41">
        <v>46153.532881944448</v>
      </c>
      <c r="W1277" s="40">
        <v>46007</v>
      </c>
      <c r="X1277" s="35" t="s">
        <v>916</v>
      </c>
      <c r="Y1277" s="35" t="s">
        <v>916</v>
      </c>
      <c r="Z1277" s="35" t="s">
        <v>916</v>
      </c>
      <c r="AA1277" s="38">
        <v>344.33805555599997</v>
      </c>
      <c r="AB1277" s="42" t="s">
        <v>916</v>
      </c>
      <c r="AC1277" s="43" t="s">
        <v>916</v>
      </c>
      <c r="AD1277" s="43" t="s">
        <v>916</v>
      </c>
      <c r="AE1277" s="33" t="s">
        <v>3982</v>
      </c>
      <c r="AF1277" s="35" t="s">
        <v>916</v>
      </c>
      <c r="AG1277" s="44">
        <v>490527.66194444452</v>
      </c>
      <c r="AH1277" s="42" t="s">
        <v>916</v>
      </c>
      <c r="AI1277" s="32" t="e">
        <f>VLOOKUP(A1277,'4月明細'!B:B,1,0)</f>
        <v>#N/A</v>
      </c>
    </row>
    <row r="1278" spans="1:35" ht="19.95" customHeight="1" x14ac:dyDescent="0.3">
      <c r="A1278" s="33" t="s">
        <v>4431</v>
      </c>
      <c r="B1278" s="34">
        <v>46007.569479166668</v>
      </c>
      <c r="C1278" s="34" t="str">
        <f t="shared" si="32"/>
        <v>202512</v>
      </c>
      <c r="D1278" s="35" t="s">
        <v>951</v>
      </c>
      <c r="E1278" s="36" t="s">
        <v>942</v>
      </c>
      <c r="F1278" s="36" t="s">
        <v>1621</v>
      </c>
      <c r="G1278" s="37" t="s">
        <v>4432</v>
      </c>
      <c r="H1278" s="36" t="s">
        <v>1079</v>
      </c>
      <c r="I1278" s="35"/>
      <c r="J1278" s="36" t="s">
        <v>929</v>
      </c>
      <c r="K1278" s="33" t="s">
        <v>916</v>
      </c>
      <c r="L1278" s="35" t="s">
        <v>916</v>
      </c>
      <c r="M1278" s="36" t="s">
        <v>957</v>
      </c>
      <c r="N1278" s="45">
        <v>46022</v>
      </c>
      <c r="O1278" s="36" t="s">
        <v>25</v>
      </c>
      <c r="P1278" s="38">
        <v>14.430520833299999</v>
      </c>
      <c r="Q1278" s="39" t="s">
        <v>4433</v>
      </c>
      <c r="R1278" s="35" t="s">
        <v>916</v>
      </c>
      <c r="S1278" s="35"/>
      <c r="T1278" s="35" t="s">
        <v>1701</v>
      </c>
      <c r="U1278" s="40">
        <v>46008</v>
      </c>
      <c r="V1278" s="41">
        <v>46153.532881944448</v>
      </c>
      <c r="W1278" s="40">
        <v>46007</v>
      </c>
      <c r="X1278" s="35" t="s">
        <v>916</v>
      </c>
      <c r="Y1278" s="35" t="s">
        <v>916</v>
      </c>
      <c r="Z1278" s="35" t="s">
        <v>916</v>
      </c>
      <c r="AA1278" s="38">
        <v>346.33249999920002</v>
      </c>
      <c r="AB1278" s="42" t="s">
        <v>916</v>
      </c>
      <c r="AC1278" s="43" t="s">
        <v>916</v>
      </c>
      <c r="AD1278" s="43" t="s">
        <v>916</v>
      </c>
      <c r="AE1278" s="33" t="s">
        <v>3982</v>
      </c>
      <c r="AF1278" s="35" t="s">
        <v>916</v>
      </c>
      <c r="AG1278" s="44">
        <v>490525.66749999998</v>
      </c>
      <c r="AH1278" s="42" t="s">
        <v>916</v>
      </c>
      <c r="AI1278" s="32" t="e">
        <f>VLOOKUP(A1278,'4月明細'!B:B,1,0)</f>
        <v>#N/A</v>
      </c>
    </row>
    <row r="1279" spans="1:35" ht="19.95" customHeight="1" x14ac:dyDescent="0.3">
      <c r="A1279" s="33" t="s">
        <v>4434</v>
      </c>
      <c r="B1279" s="34">
        <v>46007.453981481478</v>
      </c>
      <c r="C1279" s="34" t="str">
        <f t="shared" si="32"/>
        <v>202512</v>
      </c>
      <c r="D1279" s="35" t="s">
        <v>951</v>
      </c>
      <c r="E1279" s="36" t="s">
        <v>910</v>
      </c>
      <c r="F1279" s="36" t="s">
        <v>1386</v>
      </c>
      <c r="G1279" s="37" t="s">
        <v>4435</v>
      </c>
      <c r="H1279" s="36" t="s">
        <v>1048</v>
      </c>
      <c r="I1279" s="35" t="s">
        <v>4436</v>
      </c>
      <c r="J1279" s="36" t="s">
        <v>914</v>
      </c>
      <c r="K1279" s="33" t="s">
        <v>916</v>
      </c>
      <c r="L1279" s="35" t="s">
        <v>916</v>
      </c>
      <c r="M1279" s="36" t="s">
        <v>916</v>
      </c>
      <c r="N1279" s="45">
        <v>46022</v>
      </c>
      <c r="O1279" s="36" t="s">
        <v>25</v>
      </c>
      <c r="P1279" s="38">
        <v>14.5460185185</v>
      </c>
      <c r="Q1279" s="39" t="s">
        <v>4437</v>
      </c>
      <c r="R1279" s="35" t="s">
        <v>916</v>
      </c>
      <c r="S1279" s="35" t="s">
        <v>4438</v>
      </c>
      <c r="T1279" s="35" t="s">
        <v>1701</v>
      </c>
      <c r="U1279" s="40">
        <v>46008</v>
      </c>
      <c r="V1279" s="41">
        <v>46153.532881944448</v>
      </c>
      <c r="W1279" s="40">
        <v>46007</v>
      </c>
      <c r="X1279" s="35" t="s">
        <v>916</v>
      </c>
      <c r="Y1279" s="35" t="s">
        <v>916</v>
      </c>
      <c r="Z1279" s="35" t="s">
        <v>916</v>
      </c>
      <c r="AA1279" s="38">
        <v>349.10444444400002</v>
      </c>
      <c r="AB1279" s="42" t="s">
        <v>916</v>
      </c>
      <c r="AC1279" s="43" t="s">
        <v>916</v>
      </c>
      <c r="AD1279" s="43" t="s">
        <v>916</v>
      </c>
      <c r="AE1279" s="33" t="s">
        <v>3982</v>
      </c>
      <c r="AF1279" s="35" t="s">
        <v>916</v>
      </c>
      <c r="AG1279" s="44">
        <v>490522.89555555559</v>
      </c>
      <c r="AH1279" s="42" t="s">
        <v>916</v>
      </c>
      <c r="AI1279" s="32" t="e">
        <f>VLOOKUP(A1279,'4月明細'!B:B,1,0)</f>
        <v>#N/A</v>
      </c>
    </row>
    <row r="1280" spans="1:35" ht="19.95" customHeight="1" x14ac:dyDescent="0.3">
      <c r="A1280" s="33" t="s">
        <v>4439</v>
      </c>
      <c r="B1280" s="34">
        <v>46007.343831018516</v>
      </c>
      <c r="C1280" s="34" t="str">
        <f t="shared" si="32"/>
        <v>202512</v>
      </c>
      <c r="D1280" s="35" t="s">
        <v>1168</v>
      </c>
      <c r="E1280" s="36" t="s">
        <v>942</v>
      </c>
      <c r="F1280" s="36" t="s">
        <v>1531</v>
      </c>
      <c r="G1280" s="37" t="s">
        <v>4440</v>
      </c>
      <c r="H1280" s="36" t="s">
        <v>4060</v>
      </c>
      <c r="I1280" s="35"/>
      <c r="J1280" s="36" t="s">
        <v>945</v>
      </c>
      <c r="K1280" s="33" t="s">
        <v>916</v>
      </c>
      <c r="L1280" s="35" t="s">
        <v>916</v>
      </c>
      <c r="M1280" s="36" t="s">
        <v>957</v>
      </c>
      <c r="N1280" s="45">
        <v>46022</v>
      </c>
      <c r="O1280" s="36" t="s">
        <v>25</v>
      </c>
      <c r="P1280" s="38">
        <v>14.6561689815</v>
      </c>
      <c r="Q1280" s="39" t="s">
        <v>4441</v>
      </c>
      <c r="R1280" s="35" t="s">
        <v>916</v>
      </c>
      <c r="S1280" s="35" t="s">
        <v>4442</v>
      </c>
      <c r="T1280" s="35" t="s">
        <v>1701</v>
      </c>
      <c r="U1280" s="40">
        <v>46008</v>
      </c>
      <c r="V1280" s="41">
        <v>46153.532881944448</v>
      </c>
      <c r="W1280" s="40">
        <v>46007</v>
      </c>
      <c r="X1280" s="35" t="s">
        <v>916</v>
      </c>
      <c r="Y1280" s="35" t="s">
        <v>916</v>
      </c>
      <c r="Z1280" s="35" t="s">
        <v>916</v>
      </c>
      <c r="AA1280" s="38">
        <v>351.748055556</v>
      </c>
      <c r="AB1280" s="42" t="s">
        <v>916</v>
      </c>
      <c r="AC1280" s="43" t="s">
        <v>916</v>
      </c>
      <c r="AD1280" s="43" t="s">
        <v>916</v>
      </c>
      <c r="AE1280" s="33" t="s">
        <v>3982</v>
      </c>
      <c r="AF1280" s="35" t="s">
        <v>916</v>
      </c>
      <c r="AG1280" s="44">
        <v>490520.25194444449</v>
      </c>
      <c r="AH1280" s="42" t="s">
        <v>916</v>
      </c>
      <c r="AI1280" s="32" t="e">
        <f>VLOOKUP(A1280,'4月明細'!B:B,1,0)</f>
        <v>#N/A</v>
      </c>
    </row>
    <row r="1281" spans="1:35" ht="19.95" customHeight="1" x14ac:dyDescent="0.3">
      <c r="A1281" s="33" t="s">
        <v>4443</v>
      </c>
      <c r="B1281" s="34">
        <v>46007.343506944446</v>
      </c>
      <c r="C1281" s="34" t="str">
        <f t="shared" si="32"/>
        <v>202512</v>
      </c>
      <c r="D1281" s="35" t="s">
        <v>1587</v>
      </c>
      <c r="E1281" s="36" t="s">
        <v>942</v>
      </c>
      <c r="F1281" s="36" t="s">
        <v>1423</v>
      </c>
      <c r="G1281" s="37" t="s">
        <v>4444</v>
      </c>
      <c r="H1281" s="36" t="s">
        <v>4060</v>
      </c>
      <c r="I1281" s="35"/>
      <c r="J1281" s="36" t="s">
        <v>945</v>
      </c>
      <c r="K1281" s="33" t="s">
        <v>916</v>
      </c>
      <c r="L1281" s="35" t="s">
        <v>916</v>
      </c>
      <c r="M1281" s="36" t="s">
        <v>957</v>
      </c>
      <c r="N1281" s="45">
        <v>46022</v>
      </c>
      <c r="O1281" s="36" t="s">
        <v>25</v>
      </c>
      <c r="P1281" s="38">
        <v>14.6564930556</v>
      </c>
      <c r="Q1281" s="39" t="s">
        <v>4445</v>
      </c>
      <c r="R1281" s="35" t="s">
        <v>916</v>
      </c>
      <c r="S1281" s="35" t="s">
        <v>4446</v>
      </c>
      <c r="T1281" s="35" t="s">
        <v>1701</v>
      </c>
      <c r="U1281" s="40">
        <v>46008</v>
      </c>
      <c r="V1281" s="41">
        <v>46153.532881944448</v>
      </c>
      <c r="W1281" s="40">
        <v>46007</v>
      </c>
      <c r="X1281" s="35" t="s">
        <v>916</v>
      </c>
      <c r="Y1281" s="35" t="s">
        <v>916</v>
      </c>
      <c r="Z1281" s="35" t="s">
        <v>916</v>
      </c>
      <c r="AA1281" s="38">
        <v>351.75583333439999</v>
      </c>
      <c r="AB1281" s="42" t="s">
        <v>916</v>
      </c>
      <c r="AC1281" s="43" t="s">
        <v>916</v>
      </c>
      <c r="AD1281" s="43" t="s">
        <v>916</v>
      </c>
      <c r="AE1281" s="33" t="s">
        <v>3982</v>
      </c>
      <c r="AF1281" s="35" t="s">
        <v>916</v>
      </c>
      <c r="AG1281" s="44">
        <v>490520.2441666667</v>
      </c>
      <c r="AH1281" s="42" t="s">
        <v>916</v>
      </c>
      <c r="AI1281" s="32" t="e">
        <f>VLOOKUP(A1281,'4月明細'!B:B,1,0)</f>
        <v>#N/A</v>
      </c>
    </row>
    <row r="1282" spans="1:35" ht="19.95" customHeight="1" x14ac:dyDescent="0.3">
      <c r="A1282" s="33" t="s">
        <v>4447</v>
      </c>
      <c r="B1282" s="34">
        <v>46006.79582175926</v>
      </c>
      <c r="C1282" s="34" t="str">
        <f t="shared" si="32"/>
        <v>202512</v>
      </c>
      <c r="D1282" s="35" t="s">
        <v>1510</v>
      </c>
      <c r="E1282" s="36" t="s">
        <v>942</v>
      </c>
      <c r="F1282" s="36" t="s">
        <v>1621</v>
      </c>
      <c r="G1282" s="37" t="s">
        <v>4448</v>
      </c>
      <c r="H1282" s="36" t="s">
        <v>1079</v>
      </c>
      <c r="I1282" s="35"/>
      <c r="J1282" s="36" t="s">
        <v>945</v>
      </c>
      <c r="K1282" s="33" t="s">
        <v>916</v>
      </c>
      <c r="L1282" s="35" t="s">
        <v>916</v>
      </c>
      <c r="M1282" s="36" t="s">
        <v>957</v>
      </c>
      <c r="N1282" s="45">
        <v>46022</v>
      </c>
      <c r="O1282" s="36" t="s">
        <v>25</v>
      </c>
      <c r="P1282" s="38">
        <v>15.204178240699999</v>
      </c>
      <c r="Q1282" s="39" t="s">
        <v>2230</v>
      </c>
      <c r="R1282" s="35" t="s">
        <v>916</v>
      </c>
      <c r="S1282" s="35"/>
      <c r="T1282" s="35" t="s">
        <v>1624</v>
      </c>
      <c r="U1282" s="40">
        <v>46007</v>
      </c>
      <c r="V1282" s="41">
        <v>46153.532881944448</v>
      </c>
      <c r="W1282" s="40">
        <v>46006</v>
      </c>
      <c r="X1282" s="35" t="s">
        <v>916</v>
      </c>
      <c r="Y1282" s="35" t="s">
        <v>916</v>
      </c>
      <c r="Z1282" s="35" t="s">
        <v>916</v>
      </c>
      <c r="AA1282" s="38">
        <v>364.90027777680001</v>
      </c>
      <c r="AB1282" s="42" t="s">
        <v>916</v>
      </c>
      <c r="AC1282" s="43" t="s">
        <v>916</v>
      </c>
      <c r="AD1282" s="43" t="s">
        <v>916</v>
      </c>
      <c r="AE1282" s="33" t="s">
        <v>3982</v>
      </c>
      <c r="AF1282" s="35" t="s">
        <v>916</v>
      </c>
      <c r="AG1282" s="44">
        <v>490507.09972222231</v>
      </c>
      <c r="AH1282" s="42" t="s">
        <v>916</v>
      </c>
      <c r="AI1282" s="32" t="e">
        <f>VLOOKUP(A1282,'4月明細'!B:B,1,0)</f>
        <v>#N/A</v>
      </c>
    </row>
    <row r="1283" spans="1:35" ht="19.95" customHeight="1" x14ac:dyDescent="0.3">
      <c r="A1283" s="33" t="s">
        <v>4449</v>
      </c>
      <c r="B1283" s="34">
        <v>46006.746631944443</v>
      </c>
      <c r="C1283" s="34" t="str">
        <f t="shared" ref="C1283:C1346" si="33">TEXT(B1283,"YYYYMM")</f>
        <v>202512</v>
      </c>
      <c r="D1283" s="35" t="s">
        <v>951</v>
      </c>
      <c r="E1283" s="36" t="s">
        <v>910</v>
      </c>
      <c r="F1283" s="36" t="s">
        <v>1720</v>
      </c>
      <c r="G1283" s="37" t="s">
        <v>4450</v>
      </c>
      <c r="H1283" s="36" t="s">
        <v>1048</v>
      </c>
      <c r="I1283" s="35"/>
      <c r="J1283" s="36" t="s">
        <v>914</v>
      </c>
      <c r="K1283" s="33" t="s">
        <v>916</v>
      </c>
      <c r="L1283" s="35" t="s">
        <v>916</v>
      </c>
      <c r="M1283" s="36" t="s">
        <v>957</v>
      </c>
      <c r="N1283" s="45">
        <v>46022</v>
      </c>
      <c r="O1283" s="36" t="s">
        <v>25</v>
      </c>
      <c r="P1283" s="38">
        <v>15.253368055599999</v>
      </c>
      <c r="Q1283" s="39" t="s">
        <v>4451</v>
      </c>
      <c r="R1283" s="35" t="s">
        <v>916</v>
      </c>
      <c r="S1283" s="35" t="s">
        <v>4452</v>
      </c>
      <c r="T1283" s="35" t="s">
        <v>1701</v>
      </c>
      <c r="U1283" s="40">
        <v>46007</v>
      </c>
      <c r="V1283" s="41">
        <v>46153.532881944448</v>
      </c>
      <c r="W1283" s="40">
        <v>46006</v>
      </c>
      <c r="X1283" s="35" t="s">
        <v>916</v>
      </c>
      <c r="Y1283" s="35" t="s">
        <v>916</v>
      </c>
      <c r="Z1283" s="35" t="s">
        <v>916</v>
      </c>
      <c r="AA1283" s="38">
        <v>366.08083333439998</v>
      </c>
      <c r="AB1283" s="42" t="s">
        <v>916</v>
      </c>
      <c r="AC1283" s="43" t="s">
        <v>916</v>
      </c>
      <c r="AD1283" s="43" t="s">
        <v>916</v>
      </c>
      <c r="AE1283" s="33" t="s">
        <v>3982</v>
      </c>
      <c r="AF1283" s="35" t="s">
        <v>916</v>
      </c>
      <c r="AG1283" s="44">
        <v>490505.91916666669</v>
      </c>
      <c r="AH1283" s="42" t="s">
        <v>916</v>
      </c>
      <c r="AI1283" s="32" t="e">
        <f>VLOOKUP(A1283,'4月明細'!B:B,1,0)</f>
        <v>#N/A</v>
      </c>
    </row>
    <row r="1284" spans="1:35" ht="19.95" customHeight="1" x14ac:dyDescent="0.3">
      <c r="A1284" s="33" t="s">
        <v>4453</v>
      </c>
      <c r="B1284" s="34">
        <v>46006.744849537034</v>
      </c>
      <c r="C1284" s="34" t="str">
        <f t="shared" si="33"/>
        <v>202512</v>
      </c>
      <c r="D1284" s="35" t="s">
        <v>951</v>
      </c>
      <c r="E1284" s="36" t="s">
        <v>910</v>
      </c>
      <c r="F1284" s="36" t="s">
        <v>952</v>
      </c>
      <c r="G1284" s="37" t="s">
        <v>4454</v>
      </c>
      <c r="H1284" s="36" t="s">
        <v>4203</v>
      </c>
      <c r="I1284" s="35"/>
      <c r="J1284" s="36" t="s">
        <v>929</v>
      </c>
      <c r="K1284" s="33" t="s">
        <v>916</v>
      </c>
      <c r="L1284" s="35" t="s">
        <v>916</v>
      </c>
      <c r="M1284" s="36" t="s">
        <v>916</v>
      </c>
      <c r="N1284" s="45">
        <v>46022</v>
      </c>
      <c r="O1284" s="36" t="s">
        <v>25</v>
      </c>
      <c r="P1284" s="38">
        <v>15.255150463</v>
      </c>
      <c r="Q1284" s="39" t="s">
        <v>4455</v>
      </c>
      <c r="R1284" s="35" t="s">
        <v>916</v>
      </c>
      <c r="S1284" s="35" t="s">
        <v>4456</v>
      </c>
      <c r="T1284" s="35" t="s">
        <v>1624</v>
      </c>
      <c r="U1284" s="40">
        <v>46007</v>
      </c>
      <c r="V1284" s="41">
        <v>46153.532881944448</v>
      </c>
      <c r="W1284" s="40">
        <v>46006</v>
      </c>
      <c r="X1284" s="35" t="s">
        <v>916</v>
      </c>
      <c r="Y1284" s="35" t="s">
        <v>916</v>
      </c>
      <c r="Z1284" s="35" t="s">
        <v>916</v>
      </c>
      <c r="AA1284" s="38">
        <v>366.12361111199999</v>
      </c>
      <c r="AB1284" s="42" t="s">
        <v>916</v>
      </c>
      <c r="AC1284" s="43" t="s">
        <v>916</v>
      </c>
      <c r="AD1284" s="43" t="s">
        <v>916</v>
      </c>
      <c r="AE1284" s="33" t="s">
        <v>3982</v>
      </c>
      <c r="AF1284" s="35" t="s">
        <v>916</v>
      </c>
      <c r="AG1284" s="44">
        <v>490505.87638888892</v>
      </c>
      <c r="AH1284" s="42" t="s">
        <v>916</v>
      </c>
      <c r="AI1284" s="32" t="e">
        <f>VLOOKUP(A1284,'4月明細'!B:B,1,0)</f>
        <v>#N/A</v>
      </c>
    </row>
    <row r="1285" spans="1:35" ht="19.95" customHeight="1" x14ac:dyDescent="0.3">
      <c r="A1285" s="33" t="s">
        <v>4457</v>
      </c>
      <c r="B1285" s="34">
        <v>46005.585486111115</v>
      </c>
      <c r="C1285" s="34" t="str">
        <f t="shared" si="33"/>
        <v>202512</v>
      </c>
      <c r="D1285" s="35" t="s">
        <v>951</v>
      </c>
      <c r="E1285" s="36" t="s">
        <v>910</v>
      </c>
      <c r="F1285" s="36" t="s">
        <v>1552</v>
      </c>
      <c r="G1285" s="37" t="s">
        <v>4458</v>
      </c>
      <c r="H1285" s="36" t="s">
        <v>956</v>
      </c>
      <c r="I1285" s="35" t="s">
        <v>4459</v>
      </c>
      <c r="J1285" s="36" t="s">
        <v>929</v>
      </c>
      <c r="K1285" s="33" t="s">
        <v>916</v>
      </c>
      <c r="L1285" s="35" t="s">
        <v>916</v>
      </c>
      <c r="M1285" s="36" t="s">
        <v>957</v>
      </c>
      <c r="N1285" s="45">
        <v>46022</v>
      </c>
      <c r="O1285" s="36" t="s">
        <v>25</v>
      </c>
      <c r="P1285" s="38">
        <v>16.4145138889</v>
      </c>
      <c r="Q1285" s="39" t="s">
        <v>4460</v>
      </c>
      <c r="R1285" s="35" t="s">
        <v>916</v>
      </c>
      <c r="S1285" s="35" t="s">
        <v>4461</v>
      </c>
      <c r="T1285" s="35" t="s">
        <v>1624</v>
      </c>
      <c r="U1285" s="40">
        <v>46006</v>
      </c>
      <c r="V1285" s="41">
        <v>46153.532881944448</v>
      </c>
      <c r="W1285" s="40">
        <v>46005</v>
      </c>
      <c r="X1285" s="35" t="s">
        <v>916</v>
      </c>
      <c r="Y1285" s="35" t="s">
        <v>916</v>
      </c>
      <c r="Z1285" s="35" t="s">
        <v>916</v>
      </c>
      <c r="AA1285" s="38">
        <v>393.94833333359998</v>
      </c>
      <c r="AB1285" s="42" t="s">
        <v>916</v>
      </c>
      <c r="AC1285" s="43" t="s">
        <v>916</v>
      </c>
      <c r="AD1285" s="43" t="s">
        <v>916</v>
      </c>
      <c r="AE1285" s="33" t="s">
        <v>3982</v>
      </c>
      <c r="AF1285" s="35" t="s">
        <v>916</v>
      </c>
      <c r="AG1285" s="44">
        <v>981023.11833333329</v>
      </c>
      <c r="AH1285" s="42" t="s">
        <v>916</v>
      </c>
      <c r="AI1285" s="32" t="e">
        <f>VLOOKUP(A1285,'4月明細'!B:B,1,0)</f>
        <v>#N/A</v>
      </c>
    </row>
    <row r="1286" spans="1:35" ht="19.95" customHeight="1" x14ac:dyDescent="0.3">
      <c r="A1286" s="33" t="s">
        <v>4462</v>
      </c>
      <c r="B1286" s="34">
        <v>46005.661979166667</v>
      </c>
      <c r="C1286" s="34" t="str">
        <f t="shared" si="33"/>
        <v>202512</v>
      </c>
      <c r="D1286" s="35" t="s">
        <v>1952</v>
      </c>
      <c r="E1286" s="36" t="s">
        <v>910</v>
      </c>
      <c r="F1286" s="36" t="s">
        <v>1397</v>
      </c>
      <c r="G1286" s="37" t="s">
        <v>4463</v>
      </c>
      <c r="H1286" s="36" t="s">
        <v>4029</v>
      </c>
      <c r="I1286" s="35" t="s">
        <v>4464</v>
      </c>
      <c r="J1286" s="36" t="s">
        <v>914</v>
      </c>
      <c r="K1286" s="33" t="s">
        <v>916</v>
      </c>
      <c r="L1286" s="35" t="s">
        <v>916</v>
      </c>
      <c r="M1286" s="36" t="s">
        <v>916</v>
      </c>
      <c r="N1286" s="45">
        <v>46022</v>
      </c>
      <c r="O1286" s="36" t="s">
        <v>25</v>
      </c>
      <c r="P1286" s="38">
        <v>16.3380208333</v>
      </c>
      <c r="Q1286" s="39" t="s">
        <v>4465</v>
      </c>
      <c r="R1286" s="35" t="s">
        <v>916</v>
      </c>
      <c r="S1286" s="35" t="s">
        <v>4466</v>
      </c>
      <c r="T1286" s="35" t="s">
        <v>1701</v>
      </c>
      <c r="U1286" s="40">
        <v>46006</v>
      </c>
      <c r="V1286" s="41">
        <v>46153.532881944448</v>
      </c>
      <c r="W1286" s="40">
        <v>46005</v>
      </c>
      <c r="X1286" s="35" t="s">
        <v>916</v>
      </c>
      <c r="Y1286" s="35" t="s">
        <v>916</v>
      </c>
      <c r="Z1286" s="35" t="s">
        <v>916</v>
      </c>
      <c r="AA1286" s="38">
        <v>392.1124999992</v>
      </c>
      <c r="AB1286" s="42" t="s">
        <v>916</v>
      </c>
      <c r="AC1286" s="43" t="s">
        <v>916</v>
      </c>
      <c r="AD1286" s="43" t="s">
        <v>916</v>
      </c>
      <c r="AE1286" s="33" t="s">
        <v>3982</v>
      </c>
      <c r="AF1286" s="35" t="s">
        <v>916</v>
      </c>
      <c r="AG1286" s="44">
        <v>490479.88750000001</v>
      </c>
      <c r="AH1286" s="42" t="s">
        <v>916</v>
      </c>
      <c r="AI1286" s="32" t="e">
        <f>VLOOKUP(A1286,'4月明細'!B:B,1,0)</f>
        <v>#N/A</v>
      </c>
    </row>
    <row r="1287" spans="1:35" ht="19.95" customHeight="1" x14ac:dyDescent="0.3">
      <c r="A1287" s="33" t="s">
        <v>4467</v>
      </c>
      <c r="B1287" s="34">
        <v>46005.58489583333</v>
      </c>
      <c r="C1287" s="34" t="str">
        <f t="shared" si="33"/>
        <v>202512</v>
      </c>
      <c r="D1287" s="35" t="s">
        <v>951</v>
      </c>
      <c r="E1287" s="36" t="s">
        <v>910</v>
      </c>
      <c r="F1287" s="36" t="s">
        <v>2298</v>
      </c>
      <c r="G1287" s="37" t="s">
        <v>4468</v>
      </c>
      <c r="H1287" s="36" t="s">
        <v>4162</v>
      </c>
      <c r="I1287" s="35" t="s">
        <v>4469</v>
      </c>
      <c r="J1287" s="36" t="s">
        <v>914</v>
      </c>
      <c r="K1287" s="33" t="s">
        <v>916</v>
      </c>
      <c r="L1287" s="35" t="s">
        <v>916</v>
      </c>
      <c r="M1287" s="36" t="s">
        <v>916</v>
      </c>
      <c r="N1287" s="45">
        <v>46022</v>
      </c>
      <c r="O1287" s="36" t="s">
        <v>25</v>
      </c>
      <c r="P1287" s="38">
        <v>16.415104166700001</v>
      </c>
      <c r="Q1287" s="39" t="s">
        <v>4470</v>
      </c>
      <c r="R1287" s="35" t="s">
        <v>916</v>
      </c>
      <c r="S1287" s="35" t="s">
        <v>4471</v>
      </c>
      <c r="T1287" s="35" t="s">
        <v>1701</v>
      </c>
      <c r="U1287" s="40">
        <v>46006</v>
      </c>
      <c r="V1287" s="41">
        <v>46153.532881944448</v>
      </c>
      <c r="W1287" s="40">
        <v>46005</v>
      </c>
      <c r="X1287" s="35" t="s">
        <v>916</v>
      </c>
      <c r="Y1287" s="35" t="s">
        <v>916</v>
      </c>
      <c r="Z1287" s="35" t="s">
        <v>916</v>
      </c>
      <c r="AA1287" s="38">
        <v>393.96250000079999</v>
      </c>
      <c r="AB1287" s="42" t="s">
        <v>916</v>
      </c>
      <c r="AC1287" s="43" t="s">
        <v>916</v>
      </c>
      <c r="AD1287" s="43" t="s">
        <v>916</v>
      </c>
      <c r="AE1287" s="33" t="s">
        <v>3982</v>
      </c>
      <c r="AF1287" s="35" t="s">
        <v>916</v>
      </c>
      <c r="AG1287" s="44">
        <v>490478.03749999998</v>
      </c>
      <c r="AH1287" s="42" t="s">
        <v>916</v>
      </c>
      <c r="AI1287" s="32" t="e">
        <f>VLOOKUP(A1287,'4月明細'!B:B,1,0)</f>
        <v>#N/A</v>
      </c>
    </row>
    <row r="1288" spans="1:35" ht="19.95" customHeight="1" x14ac:dyDescent="0.3">
      <c r="A1288" s="33" t="s">
        <v>4472</v>
      </c>
      <c r="B1288" s="34">
        <v>46005.027326388888</v>
      </c>
      <c r="C1288" s="34" t="str">
        <f t="shared" si="33"/>
        <v>202512</v>
      </c>
      <c r="D1288" s="35" t="s">
        <v>1217</v>
      </c>
      <c r="E1288" s="36" t="s">
        <v>942</v>
      </c>
      <c r="F1288" s="36" t="s">
        <v>943</v>
      </c>
      <c r="G1288" s="37" t="s">
        <v>4473</v>
      </c>
      <c r="H1288" s="36" t="s">
        <v>4023</v>
      </c>
      <c r="I1288" s="35"/>
      <c r="J1288" s="36" t="s">
        <v>945</v>
      </c>
      <c r="K1288" s="33" t="s">
        <v>916</v>
      </c>
      <c r="L1288" s="35" t="s">
        <v>916</v>
      </c>
      <c r="M1288" s="36" t="s">
        <v>916</v>
      </c>
      <c r="N1288" s="45">
        <v>46022</v>
      </c>
      <c r="O1288" s="36" t="s">
        <v>25</v>
      </c>
      <c r="P1288" s="38">
        <v>16.972673611099999</v>
      </c>
      <c r="Q1288" s="39" t="s">
        <v>4474</v>
      </c>
      <c r="R1288" s="35" t="s">
        <v>916</v>
      </c>
      <c r="S1288" s="35"/>
      <c r="T1288" s="35" t="s">
        <v>1701</v>
      </c>
      <c r="U1288" s="40">
        <v>46006</v>
      </c>
      <c r="V1288" s="41">
        <v>46153.532881944448</v>
      </c>
      <c r="W1288" s="40">
        <v>46005</v>
      </c>
      <c r="X1288" s="35" t="s">
        <v>916</v>
      </c>
      <c r="Y1288" s="35" t="s">
        <v>916</v>
      </c>
      <c r="Z1288" s="35" t="s">
        <v>916</v>
      </c>
      <c r="AA1288" s="38">
        <v>407.34416666639999</v>
      </c>
      <c r="AB1288" s="42" t="s">
        <v>916</v>
      </c>
      <c r="AC1288" s="43" t="s">
        <v>916</v>
      </c>
      <c r="AD1288" s="43" t="s">
        <v>916</v>
      </c>
      <c r="AE1288" s="33" t="s">
        <v>3982</v>
      </c>
      <c r="AF1288" s="35" t="s">
        <v>916</v>
      </c>
      <c r="AG1288" s="44">
        <v>490464.65583333332</v>
      </c>
      <c r="AH1288" s="42" t="s">
        <v>916</v>
      </c>
      <c r="AI1288" s="32" t="e">
        <f>VLOOKUP(A1288,'4月明細'!B:B,1,0)</f>
        <v>#N/A</v>
      </c>
    </row>
    <row r="1289" spans="1:35" ht="19.95" customHeight="1" x14ac:dyDescent="0.3">
      <c r="A1289" s="33" t="s">
        <v>4475</v>
      </c>
      <c r="B1289" s="34">
        <v>46004.721631944441</v>
      </c>
      <c r="C1289" s="34" t="str">
        <f t="shared" si="33"/>
        <v>202512</v>
      </c>
      <c r="D1289" s="35" t="s">
        <v>986</v>
      </c>
      <c r="E1289" s="36" t="s">
        <v>910</v>
      </c>
      <c r="F1289" s="36" t="s">
        <v>1686</v>
      </c>
      <c r="G1289" s="37" t="s">
        <v>4476</v>
      </c>
      <c r="H1289" s="36" t="s">
        <v>1043</v>
      </c>
      <c r="I1289" s="35"/>
      <c r="J1289" s="36" t="s">
        <v>914</v>
      </c>
      <c r="K1289" s="33" t="s">
        <v>916</v>
      </c>
      <c r="L1289" s="35" t="s">
        <v>916</v>
      </c>
      <c r="M1289" s="36" t="s">
        <v>916</v>
      </c>
      <c r="N1289" s="45">
        <v>46022</v>
      </c>
      <c r="O1289" s="36" t="s">
        <v>25</v>
      </c>
      <c r="P1289" s="38">
        <v>17.278368055600001</v>
      </c>
      <c r="Q1289" s="39" t="s">
        <v>4477</v>
      </c>
      <c r="R1289" s="35" t="s">
        <v>916</v>
      </c>
      <c r="S1289" s="35" t="s">
        <v>4478</v>
      </c>
      <c r="T1289" s="35" t="s">
        <v>1701</v>
      </c>
      <c r="U1289" s="40">
        <v>46005</v>
      </c>
      <c r="V1289" s="41">
        <v>46153.532881944448</v>
      </c>
      <c r="W1289" s="40">
        <v>46004</v>
      </c>
      <c r="X1289" s="35" t="s">
        <v>916</v>
      </c>
      <c r="Y1289" s="35" t="s">
        <v>916</v>
      </c>
      <c r="Z1289" s="35" t="s">
        <v>916</v>
      </c>
      <c r="AA1289" s="38">
        <v>414.68083333440001</v>
      </c>
      <c r="AB1289" s="42" t="s">
        <v>916</v>
      </c>
      <c r="AC1289" s="43" t="s">
        <v>916</v>
      </c>
      <c r="AD1289" s="43" t="s">
        <v>916</v>
      </c>
      <c r="AE1289" s="33" t="s">
        <v>3982</v>
      </c>
      <c r="AF1289" s="35" t="s">
        <v>916</v>
      </c>
      <c r="AG1289" s="44">
        <v>490457.31916666671</v>
      </c>
      <c r="AH1289" s="42" t="s">
        <v>916</v>
      </c>
      <c r="AI1289" s="32" t="e">
        <f>VLOOKUP(A1289,'4月明細'!B:B,1,0)</f>
        <v>#N/A</v>
      </c>
    </row>
    <row r="1290" spans="1:35" ht="19.95" customHeight="1" x14ac:dyDescent="0.3">
      <c r="A1290" s="33" t="s">
        <v>4479</v>
      </c>
      <c r="B1290" s="34">
        <v>46004.687800925924</v>
      </c>
      <c r="C1290" s="34" t="str">
        <f t="shared" si="33"/>
        <v>202512</v>
      </c>
      <c r="D1290" s="35" t="s">
        <v>986</v>
      </c>
      <c r="E1290" s="36" t="s">
        <v>910</v>
      </c>
      <c r="F1290" s="36" t="s">
        <v>1731</v>
      </c>
      <c r="G1290" s="37" t="s">
        <v>4480</v>
      </c>
      <c r="H1290" s="36" t="s">
        <v>4481</v>
      </c>
      <c r="I1290" s="35"/>
      <c r="J1290" s="36" t="s">
        <v>914</v>
      </c>
      <c r="K1290" s="33" t="s">
        <v>916</v>
      </c>
      <c r="L1290" s="35" t="s">
        <v>916</v>
      </c>
      <c r="M1290" s="36" t="s">
        <v>916</v>
      </c>
      <c r="N1290" s="45">
        <v>46022</v>
      </c>
      <c r="O1290" s="36" t="s">
        <v>25</v>
      </c>
      <c r="P1290" s="38">
        <v>17.3121990741</v>
      </c>
      <c r="Q1290" s="39" t="s">
        <v>4482</v>
      </c>
      <c r="R1290" s="35" t="s">
        <v>916</v>
      </c>
      <c r="S1290" s="35"/>
      <c r="T1290" s="35" t="s">
        <v>1701</v>
      </c>
      <c r="U1290" s="40">
        <v>46005</v>
      </c>
      <c r="V1290" s="41">
        <v>46153.532881944448</v>
      </c>
      <c r="W1290" s="40">
        <v>46004</v>
      </c>
      <c r="X1290" s="35" t="s">
        <v>916</v>
      </c>
      <c r="Y1290" s="35" t="s">
        <v>916</v>
      </c>
      <c r="Z1290" s="35" t="s">
        <v>916</v>
      </c>
      <c r="AA1290" s="38">
        <v>415.49277777840001</v>
      </c>
      <c r="AB1290" s="42" t="s">
        <v>916</v>
      </c>
      <c r="AC1290" s="43" t="s">
        <v>916</v>
      </c>
      <c r="AD1290" s="43" t="s">
        <v>916</v>
      </c>
      <c r="AE1290" s="33" t="s">
        <v>3982</v>
      </c>
      <c r="AF1290" s="35" t="s">
        <v>916</v>
      </c>
      <c r="AG1290" s="44">
        <v>490456.50722222228</v>
      </c>
      <c r="AH1290" s="42" t="s">
        <v>916</v>
      </c>
      <c r="AI1290" s="32" t="e">
        <f>VLOOKUP(A1290,'4月明細'!B:B,1,0)</f>
        <v>#N/A</v>
      </c>
    </row>
    <row r="1291" spans="1:35" ht="19.95" customHeight="1" x14ac:dyDescent="0.3">
      <c r="A1291" s="33" t="s">
        <v>4483</v>
      </c>
      <c r="B1291" s="34">
        <v>46004.66747685185</v>
      </c>
      <c r="C1291" s="34" t="str">
        <f t="shared" si="33"/>
        <v>202512</v>
      </c>
      <c r="D1291" s="35" t="s">
        <v>996</v>
      </c>
      <c r="E1291" s="36" t="s">
        <v>910</v>
      </c>
      <c r="F1291" s="36" t="s">
        <v>1095</v>
      </c>
      <c r="G1291" s="37" t="s">
        <v>4484</v>
      </c>
      <c r="H1291" s="36" t="s">
        <v>4007</v>
      </c>
      <c r="I1291" s="35" t="s">
        <v>4485</v>
      </c>
      <c r="J1291" s="36" t="s">
        <v>914</v>
      </c>
      <c r="K1291" s="33" t="s">
        <v>916</v>
      </c>
      <c r="L1291" s="35" t="s">
        <v>916</v>
      </c>
      <c r="M1291" s="36" t="s">
        <v>957</v>
      </c>
      <c r="N1291" s="45">
        <v>46022</v>
      </c>
      <c r="O1291" s="36" t="s">
        <v>25</v>
      </c>
      <c r="P1291" s="38">
        <v>17.332523148100002</v>
      </c>
      <c r="Q1291" s="39" t="s">
        <v>4486</v>
      </c>
      <c r="R1291" s="35" t="s">
        <v>916</v>
      </c>
      <c r="S1291" s="35" t="s">
        <v>4487</v>
      </c>
      <c r="T1291" s="35" t="s">
        <v>1701</v>
      </c>
      <c r="U1291" s="40">
        <v>46005</v>
      </c>
      <c r="V1291" s="41">
        <v>46153.532881944448</v>
      </c>
      <c r="W1291" s="40">
        <v>46004</v>
      </c>
      <c r="X1291" s="35" t="s">
        <v>916</v>
      </c>
      <c r="Y1291" s="35" t="s">
        <v>916</v>
      </c>
      <c r="Z1291" s="35" t="s">
        <v>916</v>
      </c>
      <c r="AA1291" s="38">
        <v>415.98055555439998</v>
      </c>
      <c r="AB1291" s="42" t="s">
        <v>916</v>
      </c>
      <c r="AC1291" s="43" t="s">
        <v>916</v>
      </c>
      <c r="AD1291" s="43" t="s">
        <v>916</v>
      </c>
      <c r="AE1291" s="33" t="s">
        <v>3982</v>
      </c>
      <c r="AF1291" s="35" t="s">
        <v>916</v>
      </c>
      <c r="AG1291" s="44">
        <v>490456.01944444439</v>
      </c>
      <c r="AH1291" s="42" t="s">
        <v>916</v>
      </c>
      <c r="AI1291" s="32" t="e">
        <f>VLOOKUP(A1291,'4月明細'!B:B,1,0)</f>
        <v>#N/A</v>
      </c>
    </row>
    <row r="1292" spans="1:35" ht="19.95" customHeight="1" x14ac:dyDescent="0.3">
      <c r="A1292" s="33" t="s">
        <v>4488</v>
      </c>
      <c r="B1292" s="34">
        <v>46004.540289351855</v>
      </c>
      <c r="C1292" s="34" t="str">
        <f t="shared" si="33"/>
        <v>202512</v>
      </c>
      <c r="D1292" s="35" t="s">
        <v>996</v>
      </c>
      <c r="E1292" s="36" t="s">
        <v>1112</v>
      </c>
      <c r="F1292" s="36" t="s">
        <v>1745</v>
      </c>
      <c r="G1292" s="37" t="s">
        <v>1738</v>
      </c>
      <c r="H1292" s="36" t="s">
        <v>3985</v>
      </c>
      <c r="I1292" s="35"/>
      <c r="J1292" s="36" t="s">
        <v>914</v>
      </c>
      <c r="K1292" s="33" t="s">
        <v>916</v>
      </c>
      <c r="L1292" s="35" t="s">
        <v>916</v>
      </c>
      <c r="M1292" s="36" t="s">
        <v>916</v>
      </c>
      <c r="N1292" s="45">
        <v>46022</v>
      </c>
      <c r="O1292" s="36" t="s">
        <v>25</v>
      </c>
      <c r="P1292" s="38">
        <v>17.4597106481</v>
      </c>
      <c r="Q1292" s="39" t="s">
        <v>4489</v>
      </c>
      <c r="R1292" s="35" t="s">
        <v>916</v>
      </c>
      <c r="S1292" s="35" t="s">
        <v>4490</v>
      </c>
      <c r="T1292" s="35" t="s">
        <v>1701</v>
      </c>
      <c r="U1292" s="40">
        <v>46005</v>
      </c>
      <c r="V1292" s="41">
        <v>46153.532881944448</v>
      </c>
      <c r="W1292" s="40">
        <v>46004</v>
      </c>
      <c r="X1292" s="35" t="s">
        <v>916</v>
      </c>
      <c r="Y1292" s="35" t="s">
        <v>916</v>
      </c>
      <c r="Z1292" s="35" t="s">
        <v>916</v>
      </c>
      <c r="AA1292" s="38">
        <v>419.03305555439999</v>
      </c>
      <c r="AB1292" s="42" t="s">
        <v>916</v>
      </c>
      <c r="AC1292" s="43" t="s">
        <v>916</v>
      </c>
      <c r="AD1292" s="43" t="s">
        <v>916</v>
      </c>
      <c r="AE1292" s="33" t="s">
        <v>3982</v>
      </c>
      <c r="AF1292" s="35" t="s">
        <v>916</v>
      </c>
      <c r="AG1292" s="44">
        <v>490452.96694444452</v>
      </c>
      <c r="AH1292" s="42" t="s">
        <v>916</v>
      </c>
      <c r="AI1292" s="32" t="e">
        <f>VLOOKUP(A1292,'4月明細'!B:B,1,0)</f>
        <v>#N/A</v>
      </c>
    </row>
    <row r="1293" spans="1:35" ht="19.95" customHeight="1" x14ac:dyDescent="0.3">
      <c r="A1293" s="33" t="s">
        <v>4491</v>
      </c>
      <c r="B1293" s="34">
        <v>46004.53765046296</v>
      </c>
      <c r="C1293" s="34" t="str">
        <f t="shared" si="33"/>
        <v>202512</v>
      </c>
      <c r="D1293" s="35" t="s">
        <v>951</v>
      </c>
      <c r="E1293" s="36" t="s">
        <v>910</v>
      </c>
      <c r="F1293" s="36" t="s">
        <v>1521</v>
      </c>
      <c r="G1293" s="37" t="s">
        <v>4492</v>
      </c>
      <c r="H1293" s="36" t="s">
        <v>1048</v>
      </c>
      <c r="I1293" s="35" t="s">
        <v>4493</v>
      </c>
      <c r="J1293" s="36" t="s">
        <v>914</v>
      </c>
      <c r="K1293" s="33" t="s">
        <v>916</v>
      </c>
      <c r="L1293" s="35" t="s">
        <v>916</v>
      </c>
      <c r="M1293" s="36" t="s">
        <v>916</v>
      </c>
      <c r="N1293" s="45">
        <v>46022</v>
      </c>
      <c r="O1293" s="36" t="s">
        <v>25</v>
      </c>
      <c r="P1293" s="38">
        <v>17.462349537000001</v>
      </c>
      <c r="Q1293" s="39" t="s">
        <v>4494</v>
      </c>
      <c r="R1293" s="35" t="s">
        <v>916</v>
      </c>
      <c r="S1293" s="35"/>
      <c r="T1293" s="35" t="s">
        <v>1701</v>
      </c>
      <c r="U1293" s="40">
        <v>46005</v>
      </c>
      <c r="V1293" s="41">
        <v>46153.532881944448</v>
      </c>
      <c r="W1293" s="40">
        <v>46004</v>
      </c>
      <c r="X1293" s="35" t="s">
        <v>916</v>
      </c>
      <c r="Y1293" s="35" t="s">
        <v>916</v>
      </c>
      <c r="Z1293" s="35" t="s">
        <v>916</v>
      </c>
      <c r="AA1293" s="38">
        <v>419.09638888799998</v>
      </c>
      <c r="AB1293" s="42" t="s">
        <v>916</v>
      </c>
      <c r="AC1293" s="43" t="s">
        <v>916</v>
      </c>
      <c r="AD1293" s="43" t="s">
        <v>916</v>
      </c>
      <c r="AE1293" s="33" t="s">
        <v>3982</v>
      </c>
      <c r="AF1293" s="35" t="s">
        <v>916</v>
      </c>
      <c r="AG1293" s="44">
        <v>490452.90361111111</v>
      </c>
      <c r="AH1293" s="42" t="s">
        <v>916</v>
      </c>
      <c r="AI1293" s="32" t="e">
        <f>VLOOKUP(A1293,'4月明細'!B:B,1,0)</f>
        <v>#N/A</v>
      </c>
    </row>
    <row r="1294" spans="1:35" ht="19.95" customHeight="1" x14ac:dyDescent="0.3">
      <c r="A1294" s="33" t="s">
        <v>4495</v>
      </c>
      <c r="B1294" s="34">
        <v>46004.522581018522</v>
      </c>
      <c r="C1294" s="34" t="str">
        <f t="shared" si="33"/>
        <v>202512</v>
      </c>
      <c r="D1294" s="35" t="s">
        <v>986</v>
      </c>
      <c r="E1294" s="36" t="s">
        <v>910</v>
      </c>
      <c r="F1294" s="36" t="s">
        <v>2059</v>
      </c>
      <c r="G1294" s="37" t="s">
        <v>4496</v>
      </c>
      <c r="H1294" s="36" t="s">
        <v>4497</v>
      </c>
      <c r="I1294" s="35"/>
      <c r="J1294" s="36" t="s">
        <v>914</v>
      </c>
      <c r="K1294" s="33" t="s">
        <v>916</v>
      </c>
      <c r="L1294" s="35" t="s">
        <v>916</v>
      </c>
      <c r="M1294" s="36" t="s">
        <v>916</v>
      </c>
      <c r="N1294" s="45">
        <v>46022</v>
      </c>
      <c r="O1294" s="36" t="s">
        <v>25</v>
      </c>
      <c r="P1294" s="38">
        <v>17.477418981500001</v>
      </c>
      <c r="Q1294" s="39" t="s">
        <v>4494</v>
      </c>
      <c r="R1294" s="35" t="s">
        <v>916</v>
      </c>
      <c r="S1294" s="35"/>
      <c r="T1294" s="35" t="s">
        <v>1701</v>
      </c>
      <c r="U1294" s="40">
        <v>46005</v>
      </c>
      <c r="V1294" s="41">
        <v>46153.532881944448</v>
      </c>
      <c r="W1294" s="40">
        <v>46004</v>
      </c>
      <c r="X1294" s="35" t="s">
        <v>916</v>
      </c>
      <c r="Y1294" s="35" t="s">
        <v>916</v>
      </c>
      <c r="Z1294" s="35" t="s">
        <v>916</v>
      </c>
      <c r="AA1294" s="38">
        <v>419.45805555599998</v>
      </c>
      <c r="AB1294" s="42" t="s">
        <v>916</v>
      </c>
      <c r="AC1294" s="43" t="s">
        <v>916</v>
      </c>
      <c r="AD1294" s="43" t="s">
        <v>916</v>
      </c>
      <c r="AE1294" s="33" t="s">
        <v>3982</v>
      </c>
      <c r="AF1294" s="35" t="s">
        <v>916</v>
      </c>
      <c r="AG1294" s="44">
        <v>490452.54194444441</v>
      </c>
      <c r="AH1294" s="42" t="s">
        <v>916</v>
      </c>
      <c r="AI1294" s="32" t="e">
        <f>VLOOKUP(A1294,'4月明細'!B:B,1,0)</f>
        <v>#N/A</v>
      </c>
    </row>
    <row r="1295" spans="1:35" ht="19.95" customHeight="1" x14ac:dyDescent="0.3">
      <c r="A1295" s="33" t="s">
        <v>4498</v>
      </c>
      <c r="B1295" s="34">
        <v>46004.504189814812</v>
      </c>
      <c r="C1295" s="34" t="str">
        <f t="shared" si="33"/>
        <v>202512</v>
      </c>
      <c r="D1295" s="35" t="s">
        <v>986</v>
      </c>
      <c r="E1295" s="36" t="s">
        <v>910</v>
      </c>
      <c r="F1295" s="36" t="s">
        <v>1138</v>
      </c>
      <c r="G1295" s="37" t="s">
        <v>4499</v>
      </c>
      <c r="H1295" s="36" t="s">
        <v>4497</v>
      </c>
      <c r="I1295" s="35"/>
      <c r="J1295" s="36" t="s">
        <v>914</v>
      </c>
      <c r="K1295" s="33" t="s">
        <v>916</v>
      </c>
      <c r="L1295" s="35" t="s">
        <v>916</v>
      </c>
      <c r="M1295" s="36" t="s">
        <v>916</v>
      </c>
      <c r="N1295" s="45">
        <v>46022</v>
      </c>
      <c r="O1295" s="36" t="s">
        <v>25</v>
      </c>
      <c r="P1295" s="38">
        <v>17.4958101852</v>
      </c>
      <c r="Q1295" s="39" t="s">
        <v>4494</v>
      </c>
      <c r="R1295" s="35" t="s">
        <v>916</v>
      </c>
      <c r="S1295" s="35"/>
      <c r="T1295" s="35" t="s">
        <v>1701</v>
      </c>
      <c r="U1295" s="40">
        <v>46005</v>
      </c>
      <c r="V1295" s="41">
        <v>46153.532881944448</v>
      </c>
      <c r="W1295" s="40">
        <v>46004</v>
      </c>
      <c r="X1295" s="35" t="s">
        <v>916</v>
      </c>
      <c r="Y1295" s="35" t="s">
        <v>916</v>
      </c>
      <c r="Z1295" s="35" t="s">
        <v>916</v>
      </c>
      <c r="AA1295" s="38">
        <v>419.8994444448</v>
      </c>
      <c r="AB1295" s="42" t="s">
        <v>916</v>
      </c>
      <c r="AC1295" s="43" t="s">
        <v>916</v>
      </c>
      <c r="AD1295" s="43" t="s">
        <v>916</v>
      </c>
      <c r="AE1295" s="33" t="s">
        <v>3982</v>
      </c>
      <c r="AF1295" s="35" t="s">
        <v>916</v>
      </c>
      <c r="AG1295" s="44">
        <v>490452.10055555549</v>
      </c>
      <c r="AH1295" s="42" t="s">
        <v>916</v>
      </c>
      <c r="AI1295" s="32" t="e">
        <f>VLOOKUP(A1295,'4月明細'!B:B,1,0)</f>
        <v>#N/A</v>
      </c>
    </row>
    <row r="1296" spans="1:35" ht="19.95" customHeight="1" x14ac:dyDescent="0.3">
      <c r="A1296" s="33" t="s">
        <v>4500</v>
      </c>
      <c r="B1296" s="34">
        <v>46004.493437500001</v>
      </c>
      <c r="C1296" s="34" t="str">
        <f t="shared" si="33"/>
        <v>202512</v>
      </c>
      <c r="D1296" s="35" t="s">
        <v>996</v>
      </c>
      <c r="E1296" s="36" t="s">
        <v>910</v>
      </c>
      <c r="F1296" s="36" t="s">
        <v>947</v>
      </c>
      <c r="G1296" s="37" t="s">
        <v>4501</v>
      </c>
      <c r="H1296" s="36" t="s">
        <v>4185</v>
      </c>
      <c r="I1296" s="35"/>
      <c r="J1296" s="36" t="s">
        <v>914</v>
      </c>
      <c r="K1296" s="33" t="s">
        <v>916</v>
      </c>
      <c r="L1296" s="35" t="s">
        <v>916</v>
      </c>
      <c r="M1296" s="36" t="s">
        <v>957</v>
      </c>
      <c r="N1296" s="45">
        <v>46022</v>
      </c>
      <c r="O1296" s="36" t="s">
        <v>25</v>
      </c>
      <c r="P1296" s="38">
        <v>17.506562500000001</v>
      </c>
      <c r="Q1296" s="39" t="s">
        <v>4502</v>
      </c>
      <c r="R1296" s="35" t="s">
        <v>916</v>
      </c>
      <c r="S1296" s="35" t="s">
        <v>4503</v>
      </c>
      <c r="T1296" s="35" t="s">
        <v>1701</v>
      </c>
      <c r="U1296" s="40">
        <v>46005</v>
      </c>
      <c r="V1296" s="41">
        <v>46153.532881944448</v>
      </c>
      <c r="W1296" s="40">
        <v>46004</v>
      </c>
      <c r="X1296" s="35" t="s">
        <v>916</v>
      </c>
      <c r="Y1296" s="35" t="s">
        <v>916</v>
      </c>
      <c r="Z1296" s="35" t="s">
        <v>916</v>
      </c>
      <c r="AA1296" s="38">
        <v>420.15750000000003</v>
      </c>
      <c r="AB1296" s="42" t="s">
        <v>916</v>
      </c>
      <c r="AC1296" s="43" t="s">
        <v>916</v>
      </c>
      <c r="AD1296" s="43" t="s">
        <v>916</v>
      </c>
      <c r="AE1296" s="33" t="s">
        <v>3982</v>
      </c>
      <c r="AF1296" s="35" t="s">
        <v>916</v>
      </c>
      <c r="AG1296" s="44">
        <v>490451.84250000003</v>
      </c>
      <c r="AH1296" s="42" t="s">
        <v>916</v>
      </c>
      <c r="AI1296" s="32" t="e">
        <f>VLOOKUP(A1296,'4月明細'!B:B,1,0)</f>
        <v>#N/A</v>
      </c>
    </row>
    <row r="1297" spans="1:35" ht="19.95" customHeight="1" x14ac:dyDescent="0.3">
      <c r="A1297" s="33" t="s">
        <v>4504</v>
      </c>
      <c r="B1297" s="34">
        <v>46004.491655092592</v>
      </c>
      <c r="C1297" s="34" t="str">
        <f t="shared" si="33"/>
        <v>202512</v>
      </c>
      <c r="D1297" s="35" t="s">
        <v>996</v>
      </c>
      <c r="E1297" s="36" t="s">
        <v>910</v>
      </c>
      <c r="F1297" s="36" t="s">
        <v>947</v>
      </c>
      <c r="G1297" s="37" t="s">
        <v>4505</v>
      </c>
      <c r="H1297" s="36" t="s">
        <v>4185</v>
      </c>
      <c r="I1297" s="35"/>
      <c r="J1297" s="36" t="s">
        <v>914</v>
      </c>
      <c r="K1297" s="33" t="s">
        <v>916</v>
      </c>
      <c r="L1297" s="35" t="s">
        <v>916</v>
      </c>
      <c r="M1297" s="36" t="s">
        <v>957</v>
      </c>
      <c r="N1297" s="45">
        <v>46022</v>
      </c>
      <c r="O1297" s="36" t="s">
        <v>25</v>
      </c>
      <c r="P1297" s="38">
        <v>17.508344907400001</v>
      </c>
      <c r="Q1297" s="39" t="s">
        <v>4506</v>
      </c>
      <c r="R1297" s="35" t="s">
        <v>916</v>
      </c>
      <c r="S1297" s="35"/>
      <c r="T1297" s="35" t="s">
        <v>1701</v>
      </c>
      <c r="U1297" s="40">
        <v>46005</v>
      </c>
      <c r="V1297" s="41">
        <v>46153.532881944448</v>
      </c>
      <c r="W1297" s="40">
        <v>46004</v>
      </c>
      <c r="X1297" s="35" t="s">
        <v>916</v>
      </c>
      <c r="Y1297" s="35" t="s">
        <v>916</v>
      </c>
      <c r="Z1297" s="35" t="s">
        <v>916</v>
      </c>
      <c r="AA1297" s="38">
        <v>420.20027777759998</v>
      </c>
      <c r="AB1297" s="42" t="s">
        <v>916</v>
      </c>
      <c r="AC1297" s="43" t="s">
        <v>916</v>
      </c>
      <c r="AD1297" s="43" t="s">
        <v>916</v>
      </c>
      <c r="AE1297" s="33" t="s">
        <v>3982</v>
      </c>
      <c r="AF1297" s="35" t="s">
        <v>916</v>
      </c>
      <c r="AG1297" s="44">
        <v>490451.7997222222</v>
      </c>
      <c r="AH1297" s="42" t="s">
        <v>916</v>
      </c>
      <c r="AI1297" s="32" t="e">
        <f>VLOOKUP(A1297,'4月明細'!B:B,1,0)</f>
        <v>#N/A</v>
      </c>
    </row>
    <row r="1298" spans="1:35" ht="19.95" customHeight="1" x14ac:dyDescent="0.3">
      <c r="A1298" s="33" t="s">
        <v>4507</v>
      </c>
      <c r="B1298" s="34">
        <v>46004.459791666668</v>
      </c>
      <c r="C1298" s="34" t="str">
        <f t="shared" si="33"/>
        <v>202512</v>
      </c>
      <c r="D1298" s="35" t="s">
        <v>951</v>
      </c>
      <c r="E1298" s="36" t="s">
        <v>910</v>
      </c>
      <c r="F1298" s="36" t="s">
        <v>947</v>
      </c>
      <c r="G1298" s="37" t="s">
        <v>4508</v>
      </c>
      <c r="H1298" s="36" t="s">
        <v>4162</v>
      </c>
      <c r="I1298" s="35" t="s">
        <v>4509</v>
      </c>
      <c r="J1298" s="36" t="s">
        <v>914</v>
      </c>
      <c r="K1298" s="33" t="s">
        <v>916</v>
      </c>
      <c r="L1298" s="35" t="s">
        <v>916</v>
      </c>
      <c r="M1298" s="36" t="s">
        <v>957</v>
      </c>
      <c r="N1298" s="45">
        <v>46022</v>
      </c>
      <c r="O1298" s="36" t="s">
        <v>25</v>
      </c>
      <c r="P1298" s="38">
        <v>17.540208333300001</v>
      </c>
      <c r="Q1298" s="39" t="s">
        <v>4510</v>
      </c>
      <c r="R1298" s="35" t="s">
        <v>916</v>
      </c>
      <c r="S1298" s="35"/>
      <c r="T1298" s="35" t="s">
        <v>1701</v>
      </c>
      <c r="U1298" s="40">
        <v>46005</v>
      </c>
      <c r="V1298" s="41">
        <v>46153.532881944448</v>
      </c>
      <c r="W1298" s="40">
        <v>46004</v>
      </c>
      <c r="X1298" s="35" t="s">
        <v>916</v>
      </c>
      <c r="Y1298" s="35" t="s">
        <v>916</v>
      </c>
      <c r="Z1298" s="35" t="s">
        <v>916</v>
      </c>
      <c r="AA1298" s="38">
        <v>420.96499999920002</v>
      </c>
      <c r="AB1298" s="42" t="s">
        <v>916</v>
      </c>
      <c r="AC1298" s="43" t="s">
        <v>916</v>
      </c>
      <c r="AD1298" s="43" t="s">
        <v>916</v>
      </c>
      <c r="AE1298" s="33" t="s">
        <v>3982</v>
      </c>
      <c r="AF1298" s="35" t="s">
        <v>916</v>
      </c>
      <c r="AG1298" s="44">
        <v>490451.03499999997</v>
      </c>
      <c r="AH1298" s="42" t="s">
        <v>916</v>
      </c>
      <c r="AI1298" s="32" t="e">
        <f>VLOOKUP(A1298,'4月明細'!B:B,1,0)</f>
        <v>#N/A</v>
      </c>
    </row>
    <row r="1299" spans="1:35" ht="19.95" customHeight="1" x14ac:dyDescent="0.3">
      <c r="A1299" s="33" t="s">
        <v>4511</v>
      </c>
      <c r="B1299" s="34">
        <v>46004.061388888891</v>
      </c>
      <c r="C1299" s="34" t="str">
        <f t="shared" si="33"/>
        <v>202512</v>
      </c>
      <c r="D1299" s="35" t="s">
        <v>1217</v>
      </c>
      <c r="E1299" s="36" t="s">
        <v>942</v>
      </c>
      <c r="F1299" s="36" t="s">
        <v>1145</v>
      </c>
      <c r="G1299" s="37" t="s">
        <v>4512</v>
      </c>
      <c r="H1299" s="36" t="s">
        <v>913</v>
      </c>
      <c r="I1299" s="35"/>
      <c r="J1299" s="36" t="s">
        <v>945</v>
      </c>
      <c r="K1299" s="33" t="s">
        <v>916</v>
      </c>
      <c r="L1299" s="35" t="s">
        <v>916</v>
      </c>
      <c r="M1299" s="36" t="s">
        <v>957</v>
      </c>
      <c r="N1299" s="45">
        <v>46022</v>
      </c>
      <c r="O1299" s="36" t="s">
        <v>25</v>
      </c>
      <c r="P1299" s="38">
        <v>17.938611111099998</v>
      </c>
      <c r="Q1299" s="39" t="s">
        <v>4513</v>
      </c>
      <c r="R1299" s="35" t="s">
        <v>916</v>
      </c>
      <c r="S1299" s="35" t="s">
        <v>4514</v>
      </c>
      <c r="T1299" s="35" t="s">
        <v>1701</v>
      </c>
      <c r="U1299" s="40">
        <v>46005</v>
      </c>
      <c r="V1299" s="41">
        <v>46153.532881944448</v>
      </c>
      <c r="W1299" s="40">
        <v>46004</v>
      </c>
      <c r="X1299" s="35" t="s">
        <v>916</v>
      </c>
      <c r="Y1299" s="35" t="s">
        <v>916</v>
      </c>
      <c r="Z1299" s="35" t="s">
        <v>916</v>
      </c>
      <c r="AA1299" s="38">
        <v>430.52666666639999</v>
      </c>
      <c r="AB1299" s="42" t="s">
        <v>916</v>
      </c>
      <c r="AC1299" s="43" t="s">
        <v>916</v>
      </c>
      <c r="AD1299" s="43" t="s">
        <v>916</v>
      </c>
      <c r="AE1299" s="33" t="s">
        <v>3982</v>
      </c>
      <c r="AF1299" s="35" t="s">
        <v>916</v>
      </c>
      <c r="AG1299" s="44">
        <v>490441.47333333333</v>
      </c>
      <c r="AH1299" s="42" t="s">
        <v>916</v>
      </c>
      <c r="AI1299" s="32" t="e">
        <f>VLOOKUP(A1299,'4月明細'!B:B,1,0)</f>
        <v>#N/A</v>
      </c>
    </row>
    <row r="1300" spans="1:35" ht="19.95" customHeight="1" x14ac:dyDescent="0.3">
      <c r="A1300" s="33" t="s">
        <v>4515</v>
      </c>
      <c r="B1300" s="34">
        <v>46003.675659722219</v>
      </c>
      <c r="C1300" s="34" t="str">
        <f t="shared" si="33"/>
        <v>202512</v>
      </c>
      <c r="D1300" s="35" t="s">
        <v>2278</v>
      </c>
      <c r="E1300" s="36" t="s">
        <v>910</v>
      </c>
      <c r="F1300" s="36" t="s">
        <v>1183</v>
      </c>
      <c r="G1300" s="37" t="s">
        <v>4499</v>
      </c>
      <c r="H1300" s="36" t="s">
        <v>1048</v>
      </c>
      <c r="I1300" s="35"/>
      <c r="J1300" s="36" t="s">
        <v>914</v>
      </c>
      <c r="K1300" s="33" t="s">
        <v>916</v>
      </c>
      <c r="L1300" s="35" t="s">
        <v>916</v>
      </c>
      <c r="M1300" s="36" t="s">
        <v>916</v>
      </c>
      <c r="N1300" s="45">
        <v>46022</v>
      </c>
      <c r="O1300" s="36" t="s">
        <v>25</v>
      </c>
      <c r="P1300" s="38">
        <v>18.324340277800001</v>
      </c>
      <c r="Q1300" s="39" t="s">
        <v>4494</v>
      </c>
      <c r="R1300" s="35" t="s">
        <v>916</v>
      </c>
      <c r="S1300" s="35"/>
      <c r="T1300" s="35" t="s">
        <v>1701</v>
      </c>
      <c r="U1300" s="40">
        <v>46004</v>
      </c>
      <c r="V1300" s="41">
        <v>46153.532881944448</v>
      </c>
      <c r="W1300" s="40">
        <v>46003</v>
      </c>
      <c r="X1300" s="35" t="s">
        <v>916</v>
      </c>
      <c r="Y1300" s="35" t="s">
        <v>916</v>
      </c>
      <c r="Z1300" s="35" t="s">
        <v>916</v>
      </c>
      <c r="AA1300" s="38">
        <v>439.7841666672</v>
      </c>
      <c r="AB1300" s="42" t="s">
        <v>916</v>
      </c>
      <c r="AC1300" s="43" t="s">
        <v>916</v>
      </c>
      <c r="AD1300" s="43" t="s">
        <v>916</v>
      </c>
      <c r="AE1300" s="33" t="s">
        <v>3982</v>
      </c>
      <c r="AF1300" s="35" t="s">
        <v>916</v>
      </c>
      <c r="AG1300" s="44">
        <v>490432.21583333332</v>
      </c>
      <c r="AH1300" s="42" t="s">
        <v>916</v>
      </c>
      <c r="AI1300" s="32" t="e">
        <f>VLOOKUP(A1300,'4月明細'!B:B,1,0)</f>
        <v>#N/A</v>
      </c>
    </row>
    <row r="1301" spans="1:35" ht="19.95" customHeight="1" x14ac:dyDescent="0.3">
      <c r="A1301" s="33" t="s">
        <v>4516</v>
      </c>
      <c r="B1301" s="34">
        <v>46003.669594907406</v>
      </c>
      <c r="C1301" s="34" t="str">
        <f t="shared" si="33"/>
        <v>202512</v>
      </c>
      <c r="D1301" s="35" t="s">
        <v>996</v>
      </c>
      <c r="E1301" s="36" t="s">
        <v>910</v>
      </c>
      <c r="F1301" s="36" t="s">
        <v>961</v>
      </c>
      <c r="G1301" s="37" t="s">
        <v>4517</v>
      </c>
      <c r="H1301" s="36" t="s">
        <v>1048</v>
      </c>
      <c r="I1301" s="35"/>
      <c r="J1301" s="36" t="s">
        <v>914</v>
      </c>
      <c r="K1301" s="33" t="s">
        <v>916</v>
      </c>
      <c r="L1301" s="35" t="s">
        <v>916</v>
      </c>
      <c r="M1301" s="36" t="s">
        <v>916</v>
      </c>
      <c r="N1301" s="45">
        <v>46022</v>
      </c>
      <c r="O1301" s="36" t="s">
        <v>25</v>
      </c>
      <c r="P1301" s="38">
        <v>18.3304050926</v>
      </c>
      <c r="Q1301" s="39" t="s">
        <v>4518</v>
      </c>
      <c r="R1301" s="35" t="s">
        <v>916</v>
      </c>
      <c r="S1301" s="35"/>
      <c r="T1301" s="35" t="s">
        <v>1701</v>
      </c>
      <c r="U1301" s="40">
        <v>46004</v>
      </c>
      <c r="V1301" s="41">
        <v>46153.532881944448</v>
      </c>
      <c r="W1301" s="40">
        <v>46003</v>
      </c>
      <c r="X1301" s="35" t="s">
        <v>916</v>
      </c>
      <c r="Y1301" s="35" t="s">
        <v>916</v>
      </c>
      <c r="Z1301" s="35" t="s">
        <v>916</v>
      </c>
      <c r="AA1301" s="38">
        <v>439.92972222240002</v>
      </c>
      <c r="AB1301" s="42" t="s">
        <v>916</v>
      </c>
      <c r="AC1301" s="43" t="s">
        <v>916</v>
      </c>
      <c r="AD1301" s="43" t="s">
        <v>916</v>
      </c>
      <c r="AE1301" s="33" t="s">
        <v>3982</v>
      </c>
      <c r="AF1301" s="35" t="s">
        <v>916</v>
      </c>
      <c r="AG1301" s="44">
        <v>490432.07027777779</v>
      </c>
      <c r="AH1301" s="42" t="s">
        <v>916</v>
      </c>
      <c r="AI1301" s="32" t="e">
        <f>VLOOKUP(A1301,'4月明細'!B:B,1,0)</f>
        <v>#N/A</v>
      </c>
    </row>
    <row r="1302" spans="1:35" ht="19.95" customHeight="1" x14ac:dyDescent="0.3">
      <c r="A1302" s="33" t="s">
        <v>4519</v>
      </c>
      <c r="B1302" s="34">
        <v>46003.663206018522</v>
      </c>
      <c r="C1302" s="34" t="str">
        <f t="shared" si="33"/>
        <v>202512</v>
      </c>
      <c r="D1302" s="35" t="s">
        <v>996</v>
      </c>
      <c r="E1302" s="36" t="s">
        <v>910</v>
      </c>
      <c r="F1302" s="36" t="s">
        <v>1377</v>
      </c>
      <c r="G1302" s="37" t="s">
        <v>4520</v>
      </c>
      <c r="H1302" s="36" t="s">
        <v>4162</v>
      </c>
      <c r="I1302" s="35" t="s">
        <v>4353</v>
      </c>
      <c r="J1302" s="36" t="s">
        <v>914</v>
      </c>
      <c r="K1302" s="33" t="s">
        <v>916</v>
      </c>
      <c r="L1302" s="35" t="s">
        <v>916</v>
      </c>
      <c r="M1302" s="36" t="s">
        <v>916</v>
      </c>
      <c r="N1302" s="45">
        <v>46022</v>
      </c>
      <c r="O1302" s="36" t="s">
        <v>25</v>
      </c>
      <c r="P1302" s="38">
        <v>18.336793981500001</v>
      </c>
      <c r="Q1302" s="39" t="s">
        <v>4521</v>
      </c>
      <c r="R1302" s="35" t="s">
        <v>916</v>
      </c>
      <c r="S1302" s="35" t="s">
        <v>4522</v>
      </c>
      <c r="T1302" s="35" t="s">
        <v>1701</v>
      </c>
      <c r="U1302" s="40">
        <v>46004</v>
      </c>
      <c r="V1302" s="41">
        <v>46153.532881944448</v>
      </c>
      <c r="W1302" s="40">
        <v>46003</v>
      </c>
      <c r="X1302" s="35" t="s">
        <v>916</v>
      </c>
      <c r="Y1302" s="35" t="s">
        <v>916</v>
      </c>
      <c r="Z1302" s="35" t="s">
        <v>916</v>
      </c>
      <c r="AA1302" s="38">
        <v>440.08305555599998</v>
      </c>
      <c r="AB1302" s="42" t="s">
        <v>916</v>
      </c>
      <c r="AC1302" s="43" t="s">
        <v>916</v>
      </c>
      <c r="AD1302" s="43" t="s">
        <v>916</v>
      </c>
      <c r="AE1302" s="33" t="s">
        <v>3982</v>
      </c>
      <c r="AF1302" s="35" t="s">
        <v>916</v>
      </c>
      <c r="AG1302" s="44">
        <v>490431.91694444441</v>
      </c>
      <c r="AH1302" s="42" t="s">
        <v>916</v>
      </c>
      <c r="AI1302" s="32" t="e">
        <f>VLOOKUP(A1302,'4月明細'!B:B,1,0)</f>
        <v>#N/A</v>
      </c>
    </row>
    <row r="1303" spans="1:35" ht="19.95" customHeight="1" x14ac:dyDescent="0.3">
      <c r="A1303" s="33" t="s">
        <v>4523</v>
      </c>
      <c r="B1303" s="34">
        <v>46003.652037037034</v>
      </c>
      <c r="C1303" s="34" t="str">
        <f t="shared" si="33"/>
        <v>202512</v>
      </c>
      <c r="D1303" s="35" t="s">
        <v>986</v>
      </c>
      <c r="E1303" s="36" t="s">
        <v>910</v>
      </c>
      <c r="F1303" s="36" t="s">
        <v>2225</v>
      </c>
      <c r="G1303" s="37" t="s">
        <v>4524</v>
      </c>
      <c r="H1303" s="36" t="s">
        <v>1048</v>
      </c>
      <c r="I1303" s="35"/>
      <c r="J1303" s="36" t="s">
        <v>914</v>
      </c>
      <c r="K1303" s="33" t="s">
        <v>916</v>
      </c>
      <c r="L1303" s="35" t="s">
        <v>916</v>
      </c>
      <c r="M1303" s="36" t="s">
        <v>957</v>
      </c>
      <c r="N1303" s="45">
        <v>46022</v>
      </c>
      <c r="O1303" s="36" t="s">
        <v>25</v>
      </c>
      <c r="P1303" s="38">
        <v>18.347962963000001</v>
      </c>
      <c r="Q1303" s="39" t="s">
        <v>4494</v>
      </c>
      <c r="R1303" s="35" t="s">
        <v>916</v>
      </c>
      <c r="S1303" s="35"/>
      <c r="T1303" s="35" t="s">
        <v>1701</v>
      </c>
      <c r="U1303" s="40">
        <v>46004</v>
      </c>
      <c r="V1303" s="41">
        <v>46153.532881944448</v>
      </c>
      <c r="W1303" s="40">
        <v>46003</v>
      </c>
      <c r="X1303" s="35" t="s">
        <v>916</v>
      </c>
      <c r="Y1303" s="35" t="s">
        <v>916</v>
      </c>
      <c r="Z1303" s="35" t="s">
        <v>916</v>
      </c>
      <c r="AA1303" s="38">
        <v>440.35111111200001</v>
      </c>
      <c r="AB1303" s="42" t="s">
        <v>916</v>
      </c>
      <c r="AC1303" s="43" t="s">
        <v>916</v>
      </c>
      <c r="AD1303" s="43" t="s">
        <v>916</v>
      </c>
      <c r="AE1303" s="33" t="s">
        <v>3982</v>
      </c>
      <c r="AF1303" s="35" t="s">
        <v>916</v>
      </c>
      <c r="AG1303" s="44">
        <v>490431.64888888889</v>
      </c>
      <c r="AH1303" s="42" t="s">
        <v>916</v>
      </c>
      <c r="AI1303" s="32" t="e">
        <f>VLOOKUP(A1303,'4月明細'!B:B,1,0)</f>
        <v>#N/A</v>
      </c>
    </row>
    <row r="1304" spans="1:35" ht="19.95" customHeight="1" x14ac:dyDescent="0.3">
      <c r="A1304" s="33" t="s">
        <v>4525</v>
      </c>
      <c r="B1304" s="34">
        <v>46003.6484837963</v>
      </c>
      <c r="C1304" s="34" t="str">
        <f t="shared" si="33"/>
        <v>202512</v>
      </c>
      <c r="D1304" s="35" t="s">
        <v>2278</v>
      </c>
      <c r="E1304" s="36" t="s">
        <v>910</v>
      </c>
      <c r="F1304" s="36" t="s">
        <v>2501</v>
      </c>
      <c r="G1304" s="37" t="s">
        <v>1096</v>
      </c>
      <c r="H1304" s="36" t="s">
        <v>3979</v>
      </c>
      <c r="I1304" s="35"/>
      <c r="J1304" s="36" t="s">
        <v>914</v>
      </c>
      <c r="K1304" s="33" t="s">
        <v>916</v>
      </c>
      <c r="L1304" s="35" t="s">
        <v>916</v>
      </c>
      <c r="M1304" s="36" t="s">
        <v>917</v>
      </c>
      <c r="N1304" s="45">
        <v>46022</v>
      </c>
      <c r="O1304" s="36" t="s">
        <v>25</v>
      </c>
      <c r="P1304" s="38">
        <v>18.351516203700001</v>
      </c>
      <c r="Q1304" s="39" t="s">
        <v>4526</v>
      </c>
      <c r="R1304" s="35" t="s">
        <v>916</v>
      </c>
      <c r="S1304" s="35"/>
      <c r="T1304" s="35" t="s">
        <v>1701</v>
      </c>
      <c r="U1304" s="40">
        <v>46004</v>
      </c>
      <c r="V1304" s="41">
        <v>46153.532881944448</v>
      </c>
      <c r="W1304" s="40">
        <v>46003</v>
      </c>
      <c r="X1304" s="35" t="s">
        <v>916</v>
      </c>
      <c r="Y1304" s="35" t="s">
        <v>916</v>
      </c>
      <c r="Z1304" s="35" t="s">
        <v>916</v>
      </c>
      <c r="AA1304" s="38">
        <v>440.43638888880002</v>
      </c>
      <c r="AB1304" s="42" t="s">
        <v>916</v>
      </c>
      <c r="AC1304" s="43" t="s">
        <v>916</v>
      </c>
      <c r="AD1304" s="43" t="s">
        <v>916</v>
      </c>
      <c r="AE1304" s="33" t="s">
        <v>3982</v>
      </c>
      <c r="AF1304" s="35" t="s">
        <v>916</v>
      </c>
      <c r="AG1304" s="44">
        <v>490431.56361111108</v>
      </c>
      <c r="AH1304" s="42" t="s">
        <v>916</v>
      </c>
      <c r="AI1304" s="32" t="e">
        <f>VLOOKUP(A1304,'4月明細'!B:B,1,0)</f>
        <v>#N/A</v>
      </c>
    </row>
    <row r="1305" spans="1:35" ht="19.95" customHeight="1" x14ac:dyDescent="0.3">
      <c r="A1305" s="33" t="s">
        <v>4527</v>
      </c>
      <c r="B1305" s="34">
        <v>46002.634166666663</v>
      </c>
      <c r="C1305" s="34" t="str">
        <f t="shared" si="33"/>
        <v>202512</v>
      </c>
      <c r="D1305" s="35" t="s">
        <v>996</v>
      </c>
      <c r="E1305" s="36" t="s">
        <v>910</v>
      </c>
      <c r="F1305" s="36" t="s">
        <v>1032</v>
      </c>
      <c r="G1305" s="37" t="s">
        <v>1041</v>
      </c>
      <c r="H1305" s="36" t="s">
        <v>1043</v>
      </c>
      <c r="I1305" s="35"/>
      <c r="J1305" s="36" t="s">
        <v>914</v>
      </c>
      <c r="K1305" s="33" t="s">
        <v>916</v>
      </c>
      <c r="L1305" s="35" t="s">
        <v>916</v>
      </c>
      <c r="M1305" s="36" t="s">
        <v>916</v>
      </c>
      <c r="N1305" s="45">
        <v>46022</v>
      </c>
      <c r="O1305" s="36" t="s">
        <v>25</v>
      </c>
      <c r="P1305" s="38">
        <v>19.365833333299999</v>
      </c>
      <c r="Q1305" s="39" t="s">
        <v>4528</v>
      </c>
      <c r="R1305" s="35" t="s">
        <v>916</v>
      </c>
      <c r="S1305" s="35" t="s">
        <v>4529</v>
      </c>
      <c r="T1305" s="35" t="s">
        <v>1701</v>
      </c>
      <c r="U1305" s="40">
        <v>46003</v>
      </c>
      <c r="V1305" s="41">
        <v>46153.532893518517</v>
      </c>
      <c r="W1305" s="40">
        <v>46002</v>
      </c>
      <c r="X1305" s="35" t="s">
        <v>916</v>
      </c>
      <c r="Y1305" s="35" t="s">
        <v>916</v>
      </c>
      <c r="Z1305" s="35" t="s">
        <v>916</v>
      </c>
      <c r="AA1305" s="38">
        <v>464.77999999920002</v>
      </c>
      <c r="AB1305" s="42" t="s">
        <v>916</v>
      </c>
      <c r="AC1305" s="43" t="s">
        <v>916</v>
      </c>
      <c r="AD1305" s="43" t="s">
        <v>916</v>
      </c>
      <c r="AE1305" s="33" t="s">
        <v>3982</v>
      </c>
      <c r="AF1305" s="35" t="s">
        <v>916</v>
      </c>
      <c r="AG1305" s="44">
        <v>490407.22</v>
      </c>
      <c r="AH1305" s="42" t="s">
        <v>916</v>
      </c>
      <c r="AI1305" s="32" t="e">
        <f>VLOOKUP(A1305,'4月明細'!B:B,1,0)</f>
        <v>#N/A</v>
      </c>
    </row>
    <row r="1306" spans="1:35" ht="19.95" customHeight="1" x14ac:dyDescent="0.3">
      <c r="A1306" s="33" t="s">
        <v>4530</v>
      </c>
      <c r="B1306" s="34">
        <v>46002.616157407407</v>
      </c>
      <c r="C1306" s="34" t="str">
        <f t="shared" si="33"/>
        <v>202512</v>
      </c>
      <c r="D1306" s="35" t="s">
        <v>1178</v>
      </c>
      <c r="E1306" s="36" t="s">
        <v>910</v>
      </c>
      <c r="F1306" s="36" t="s">
        <v>1564</v>
      </c>
      <c r="G1306" s="37" t="s">
        <v>4531</v>
      </c>
      <c r="H1306" s="36" t="s">
        <v>4185</v>
      </c>
      <c r="I1306" s="35" t="s">
        <v>4532</v>
      </c>
      <c r="J1306" s="36" t="s">
        <v>914</v>
      </c>
      <c r="K1306" s="33" t="s">
        <v>916</v>
      </c>
      <c r="L1306" s="35" t="s">
        <v>916</v>
      </c>
      <c r="M1306" s="36" t="s">
        <v>916</v>
      </c>
      <c r="N1306" s="45">
        <v>46022</v>
      </c>
      <c r="O1306" s="36" t="s">
        <v>25</v>
      </c>
      <c r="P1306" s="38">
        <v>19.383842592600001</v>
      </c>
      <c r="Q1306" s="39" t="s">
        <v>4533</v>
      </c>
      <c r="R1306" s="35" t="s">
        <v>916</v>
      </c>
      <c r="S1306" s="35" t="s">
        <v>4534</v>
      </c>
      <c r="T1306" s="35" t="s">
        <v>1701</v>
      </c>
      <c r="U1306" s="40">
        <v>46003</v>
      </c>
      <c r="V1306" s="41">
        <v>46153.532893518517</v>
      </c>
      <c r="W1306" s="40">
        <v>46002</v>
      </c>
      <c r="X1306" s="35" t="s">
        <v>916</v>
      </c>
      <c r="Y1306" s="35" t="s">
        <v>916</v>
      </c>
      <c r="Z1306" s="35" t="s">
        <v>916</v>
      </c>
      <c r="AA1306" s="38">
        <v>465.21222222239999</v>
      </c>
      <c r="AB1306" s="42" t="s">
        <v>916</v>
      </c>
      <c r="AC1306" s="43" t="s">
        <v>916</v>
      </c>
      <c r="AD1306" s="43" t="s">
        <v>916</v>
      </c>
      <c r="AE1306" s="33" t="s">
        <v>3982</v>
      </c>
      <c r="AF1306" s="35" t="s">
        <v>916</v>
      </c>
      <c r="AG1306" s="44">
        <v>490406.78777777782</v>
      </c>
      <c r="AH1306" s="42" t="s">
        <v>916</v>
      </c>
      <c r="AI1306" s="32" t="e">
        <f>VLOOKUP(A1306,'4月明細'!B:B,1,0)</f>
        <v>#N/A</v>
      </c>
    </row>
    <row r="1307" spans="1:35" ht="19.95" customHeight="1" x14ac:dyDescent="0.3">
      <c r="A1307" s="33" t="s">
        <v>4535</v>
      </c>
      <c r="B1307" s="34">
        <v>46002.571527777778</v>
      </c>
      <c r="C1307" s="34" t="str">
        <f t="shared" si="33"/>
        <v>202512</v>
      </c>
      <c r="D1307" s="35" t="s">
        <v>996</v>
      </c>
      <c r="E1307" s="36" t="s">
        <v>910</v>
      </c>
      <c r="F1307" s="36" t="s">
        <v>1534</v>
      </c>
      <c r="G1307" s="37" t="s">
        <v>3530</v>
      </c>
      <c r="H1307" s="36" t="s">
        <v>3979</v>
      </c>
      <c r="I1307" s="35"/>
      <c r="J1307" s="36" t="s">
        <v>929</v>
      </c>
      <c r="K1307" s="33" t="s">
        <v>916</v>
      </c>
      <c r="L1307" s="35" t="s">
        <v>916</v>
      </c>
      <c r="M1307" s="36" t="s">
        <v>916</v>
      </c>
      <c r="N1307" s="45">
        <v>46022</v>
      </c>
      <c r="O1307" s="36" t="s">
        <v>25</v>
      </c>
      <c r="P1307" s="38">
        <v>19.4284722222</v>
      </c>
      <c r="Q1307" s="39" t="s">
        <v>4536</v>
      </c>
      <c r="R1307" s="35" t="s">
        <v>916</v>
      </c>
      <c r="S1307" s="35"/>
      <c r="T1307" s="35" t="s">
        <v>1701</v>
      </c>
      <c r="U1307" s="40">
        <v>46003</v>
      </c>
      <c r="V1307" s="41">
        <v>46153.532893518517</v>
      </c>
      <c r="W1307" s="40">
        <v>46002</v>
      </c>
      <c r="X1307" s="35" t="s">
        <v>916</v>
      </c>
      <c r="Y1307" s="35" t="s">
        <v>916</v>
      </c>
      <c r="Z1307" s="35" t="s">
        <v>916</v>
      </c>
      <c r="AA1307" s="38">
        <v>466.2833333328</v>
      </c>
      <c r="AB1307" s="42" t="s">
        <v>916</v>
      </c>
      <c r="AC1307" s="43" t="s">
        <v>916</v>
      </c>
      <c r="AD1307" s="43" t="s">
        <v>916</v>
      </c>
      <c r="AE1307" s="33" t="s">
        <v>3982</v>
      </c>
      <c r="AF1307" s="35" t="s">
        <v>916</v>
      </c>
      <c r="AG1307" s="44">
        <v>490405.71666666667</v>
      </c>
      <c r="AH1307" s="42" t="s">
        <v>916</v>
      </c>
      <c r="AI1307" s="32" t="e">
        <f>VLOOKUP(A1307,'4月明細'!B:B,1,0)</f>
        <v>#N/A</v>
      </c>
    </row>
    <row r="1308" spans="1:35" ht="19.95" customHeight="1" x14ac:dyDescent="0.3">
      <c r="A1308" s="33" t="s">
        <v>4537</v>
      </c>
      <c r="B1308" s="34">
        <v>46002.56925925926</v>
      </c>
      <c r="C1308" s="34" t="str">
        <f t="shared" si="33"/>
        <v>202512</v>
      </c>
      <c r="D1308" s="35" t="s">
        <v>996</v>
      </c>
      <c r="E1308" s="36" t="s">
        <v>910</v>
      </c>
      <c r="F1308" s="36" t="s">
        <v>1507</v>
      </c>
      <c r="G1308" s="37" t="s">
        <v>4538</v>
      </c>
      <c r="H1308" s="36" t="s">
        <v>4017</v>
      </c>
      <c r="I1308" s="35"/>
      <c r="J1308" s="36" t="s">
        <v>914</v>
      </c>
      <c r="K1308" s="33" t="s">
        <v>916</v>
      </c>
      <c r="L1308" s="35" t="s">
        <v>916</v>
      </c>
      <c r="M1308" s="36" t="s">
        <v>916</v>
      </c>
      <c r="N1308" s="45">
        <v>46022</v>
      </c>
      <c r="O1308" s="36" t="s">
        <v>25</v>
      </c>
      <c r="P1308" s="38">
        <v>19.430740740699999</v>
      </c>
      <c r="Q1308" s="39" t="s">
        <v>4539</v>
      </c>
      <c r="R1308" s="35" t="s">
        <v>916</v>
      </c>
      <c r="S1308" s="35"/>
      <c r="T1308" s="35" t="s">
        <v>1701</v>
      </c>
      <c r="U1308" s="40">
        <v>46003</v>
      </c>
      <c r="V1308" s="41">
        <v>46153.532893518517</v>
      </c>
      <c r="W1308" s="40">
        <v>46002</v>
      </c>
      <c r="X1308" s="35" t="s">
        <v>916</v>
      </c>
      <c r="Y1308" s="35" t="s">
        <v>916</v>
      </c>
      <c r="Z1308" s="35" t="s">
        <v>916</v>
      </c>
      <c r="AA1308" s="38">
        <v>466.33777777680001</v>
      </c>
      <c r="AB1308" s="42" t="s">
        <v>916</v>
      </c>
      <c r="AC1308" s="43" t="s">
        <v>916</v>
      </c>
      <c r="AD1308" s="43" t="s">
        <v>916</v>
      </c>
      <c r="AE1308" s="33" t="s">
        <v>3982</v>
      </c>
      <c r="AF1308" s="35" t="s">
        <v>916</v>
      </c>
      <c r="AG1308" s="44">
        <v>490405.66222222231</v>
      </c>
      <c r="AH1308" s="42" t="s">
        <v>916</v>
      </c>
      <c r="AI1308" s="32" t="e">
        <f>VLOOKUP(A1308,'4月明細'!B:B,1,0)</f>
        <v>#N/A</v>
      </c>
    </row>
    <row r="1309" spans="1:35" ht="19.95" customHeight="1" x14ac:dyDescent="0.3">
      <c r="A1309" s="33" t="s">
        <v>4540</v>
      </c>
      <c r="B1309" s="34">
        <v>46002.565092592595</v>
      </c>
      <c r="C1309" s="34" t="str">
        <f t="shared" si="33"/>
        <v>202512</v>
      </c>
      <c r="D1309" s="35" t="s">
        <v>909</v>
      </c>
      <c r="E1309" s="36" t="s">
        <v>910</v>
      </c>
      <c r="F1309" s="36" t="s">
        <v>1833</v>
      </c>
      <c r="G1309" s="37" t="s">
        <v>4541</v>
      </c>
      <c r="H1309" s="36" t="s">
        <v>4542</v>
      </c>
      <c r="I1309" s="35" t="s">
        <v>4543</v>
      </c>
      <c r="J1309" s="36" t="s">
        <v>914</v>
      </c>
      <c r="K1309" s="33" t="s">
        <v>916</v>
      </c>
      <c r="L1309" s="35" t="s">
        <v>916</v>
      </c>
      <c r="M1309" s="36" t="s">
        <v>916</v>
      </c>
      <c r="N1309" s="45">
        <v>46022</v>
      </c>
      <c r="O1309" s="36" t="s">
        <v>25</v>
      </c>
      <c r="P1309" s="38">
        <v>19.434907407400001</v>
      </c>
      <c r="Q1309" s="39" t="s">
        <v>4544</v>
      </c>
      <c r="R1309" s="35" t="s">
        <v>916</v>
      </c>
      <c r="S1309" s="35" t="s">
        <v>4545</v>
      </c>
      <c r="T1309" s="35" t="s">
        <v>1701</v>
      </c>
      <c r="U1309" s="40">
        <v>46003</v>
      </c>
      <c r="V1309" s="41">
        <v>46153.532893518517</v>
      </c>
      <c r="W1309" s="40">
        <v>46002</v>
      </c>
      <c r="X1309" s="35" t="s">
        <v>916</v>
      </c>
      <c r="Y1309" s="35" t="s">
        <v>916</v>
      </c>
      <c r="Z1309" s="35" t="s">
        <v>916</v>
      </c>
      <c r="AA1309" s="38">
        <v>466.43777777759999</v>
      </c>
      <c r="AB1309" s="42" t="s">
        <v>916</v>
      </c>
      <c r="AC1309" s="43" t="s">
        <v>916</v>
      </c>
      <c r="AD1309" s="43" t="s">
        <v>916</v>
      </c>
      <c r="AE1309" s="33" t="s">
        <v>3982</v>
      </c>
      <c r="AF1309" s="35" t="s">
        <v>916</v>
      </c>
      <c r="AG1309" s="44">
        <v>490405.56222222227</v>
      </c>
      <c r="AH1309" s="42" t="s">
        <v>916</v>
      </c>
      <c r="AI1309" s="32" t="e">
        <f>VLOOKUP(A1309,'4月明細'!B:B,1,0)</f>
        <v>#N/A</v>
      </c>
    </row>
    <row r="1310" spans="1:35" ht="19.95" customHeight="1" x14ac:dyDescent="0.3">
      <c r="A1310" s="33" t="s">
        <v>4546</v>
      </c>
      <c r="B1310" s="34">
        <v>46002.491365740738</v>
      </c>
      <c r="C1310" s="34" t="str">
        <f t="shared" si="33"/>
        <v>202512</v>
      </c>
      <c r="D1310" s="35" t="s">
        <v>1597</v>
      </c>
      <c r="E1310" s="36" t="s">
        <v>942</v>
      </c>
      <c r="F1310" s="36" t="s">
        <v>1121</v>
      </c>
      <c r="G1310" s="37" t="s">
        <v>4547</v>
      </c>
      <c r="H1310" s="36" t="s">
        <v>4065</v>
      </c>
      <c r="I1310" s="35"/>
      <c r="J1310" s="36" t="s">
        <v>945</v>
      </c>
      <c r="K1310" s="33" t="s">
        <v>916</v>
      </c>
      <c r="L1310" s="35" t="s">
        <v>916</v>
      </c>
      <c r="M1310" s="36" t="s">
        <v>916</v>
      </c>
      <c r="N1310" s="45">
        <v>46022</v>
      </c>
      <c r="O1310" s="36" t="s">
        <v>25</v>
      </c>
      <c r="P1310" s="38">
        <v>19.508634259299999</v>
      </c>
      <c r="Q1310" s="39" t="s">
        <v>4548</v>
      </c>
      <c r="R1310" s="35" t="s">
        <v>916</v>
      </c>
      <c r="S1310" s="35"/>
      <c r="T1310" s="35" t="s">
        <v>1701</v>
      </c>
      <c r="U1310" s="40">
        <v>46003</v>
      </c>
      <c r="V1310" s="41">
        <v>46153.532893518517</v>
      </c>
      <c r="W1310" s="40">
        <v>46002</v>
      </c>
      <c r="X1310" s="35" t="s">
        <v>916</v>
      </c>
      <c r="Y1310" s="35" t="s">
        <v>916</v>
      </c>
      <c r="Z1310" s="35" t="s">
        <v>916</v>
      </c>
      <c r="AA1310" s="38">
        <v>468.20722222320001</v>
      </c>
      <c r="AB1310" s="42" t="s">
        <v>916</v>
      </c>
      <c r="AC1310" s="43" t="s">
        <v>916</v>
      </c>
      <c r="AD1310" s="43" t="s">
        <v>916</v>
      </c>
      <c r="AE1310" s="33" t="s">
        <v>3982</v>
      </c>
      <c r="AF1310" s="35" t="s">
        <v>916</v>
      </c>
      <c r="AG1310" s="44">
        <v>490403.79277777782</v>
      </c>
      <c r="AH1310" s="42" t="s">
        <v>916</v>
      </c>
      <c r="AI1310" s="32" t="e">
        <f>VLOOKUP(A1310,'4月明細'!B:B,1,0)</f>
        <v>#N/A</v>
      </c>
    </row>
    <row r="1311" spans="1:35" ht="19.95" customHeight="1" x14ac:dyDescent="0.3">
      <c r="A1311" s="33" t="s">
        <v>4549</v>
      </c>
      <c r="B1311" s="34">
        <v>46002.440150462964</v>
      </c>
      <c r="C1311" s="34" t="str">
        <f t="shared" si="33"/>
        <v>202512</v>
      </c>
      <c r="D1311" s="35" t="s">
        <v>996</v>
      </c>
      <c r="E1311" s="36" t="s">
        <v>910</v>
      </c>
      <c r="F1311" s="36" t="s">
        <v>1183</v>
      </c>
      <c r="G1311" s="37" t="s">
        <v>1400</v>
      </c>
      <c r="H1311" s="36" t="s">
        <v>3985</v>
      </c>
      <c r="I1311" s="35"/>
      <c r="J1311" s="36" t="s">
        <v>914</v>
      </c>
      <c r="K1311" s="33" t="s">
        <v>916</v>
      </c>
      <c r="L1311" s="35" t="s">
        <v>916</v>
      </c>
      <c r="M1311" s="36" t="s">
        <v>916</v>
      </c>
      <c r="N1311" s="45">
        <v>46022</v>
      </c>
      <c r="O1311" s="36" t="s">
        <v>25</v>
      </c>
      <c r="P1311" s="38">
        <v>19.559849537000002</v>
      </c>
      <c r="Q1311" s="39" t="s">
        <v>4550</v>
      </c>
      <c r="R1311" s="35" t="s">
        <v>916</v>
      </c>
      <c r="S1311" s="35" t="s">
        <v>4551</v>
      </c>
      <c r="T1311" s="35" t="s">
        <v>1701</v>
      </c>
      <c r="U1311" s="40">
        <v>46003</v>
      </c>
      <c r="V1311" s="41">
        <v>46153.532893518517</v>
      </c>
      <c r="W1311" s="40">
        <v>46002</v>
      </c>
      <c r="X1311" s="35" t="s">
        <v>916</v>
      </c>
      <c r="Y1311" s="35" t="s">
        <v>916</v>
      </c>
      <c r="Z1311" s="35" t="s">
        <v>916</v>
      </c>
      <c r="AA1311" s="38">
        <v>469.43638888800001</v>
      </c>
      <c r="AB1311" s="42" t="s">
        <v>916</v>
      </c>
      <c r="AC1311" s="43" t="s">
        <v>916</v>
      </c>
      <c r="AD1311" s="43" t="s">
        <v>916</v>
      </c>
      <c r="AE1311" s="33" t="s">
        <v>3982</v>
      </c>
      <c r="AF1311" s="35" t="s">
        <v>916</v>
      </c>
      <c r="AG1311" s="44">
        <v>490402.56361111108</v>
      </c>
      <c r="AH1311" s="42" t="s">
        <v>916</v>
      </c>
      <c r="AI1311" s="32" t="e">
        <f>VLOOKUP(A1311,'4月明細'!B:B,1,0)</f>
        <v>#N/A</v>
      </c>
    </row>
    <row r="1312" spans="1:35" ht="19.95" customHeight="1" x14ac:dyDescent="0.3">
      <c r="A1312" s="33" t="s">
        <v>4552</v>
      </c>
      <c r="B1312" s="34">
        <v>46002.434814814813</v>
      </c>
      <c r="C1312" s="34" t="str">
        <f t="shared" si="33"/>
        <v>202512</v>
      </c>
      <c r="D1312" s="35" t="s">
        <v>996</v>
      </c>
      <c r="E1312" s="36" t="s">
        <v>910</v>
      </c>
      <c r="F1312" s="36" t="s">
        <v>1341</v>
      </c>
      <c r="G1312" s="37" t="s">
        <v>4553</v>
      </c>
      <c r="H1312" s="36" t="s">
        <v>4185</v>
      </c>
      <c r="I1312" s="35" t="s">
        <v>4554</v>
      </c>
      <c r="J1312" s="36" t="s">
        <v>929</v>
      </c>
      <c r="K1312" s="33" t="s">
        <v>916</v>
      </c>
      <c r="L1312" s="35" t="s">
        <v>916</v>
      </c>
      <c r="M1312" s="36" t="s">
        <v>916</v>
      </c>
      <c r="N1312" s="45">
        <v>46022</v>
      </c>
      <c r="O1312" s="36" t="s">
        <v>25</v>
      </c>
      <c r="P1312" s="38">
        <v>19.565185185200001</v>
      </c>
      <c r="Q1312" s="39" t="s">
        <v>4555</v>
      </c>
      <c r="R1312" s="35" t="s">
        <v>916</v>
      </c>
      <c r="S1312" s="35" t="s">
        <v>4556</v>
      </c>
      <c r="T1312" s="35" t="s">
        <v>1701</v>
      </c>
      <c r="U1312" s="40">
        <v>46003</v>
      </c>
      <c r="V1312" s="41">
        <v>46153.532893518517</v>
      </c>
      <c r="W1312" s="40">
        <v>46002</v>
      </c>
      <c r="X1312" s="35" t="s">
        <v>916</v>
      </c>
      <c r="Y1312" s="35" t="s">
        <v>916</v>
      </c>
      <c r="Z1312" s="35" t="s">
        <v>916</v>
      </c>
      <c r="AA1312" s="38">
        <v>469.56444444480002</v>
      </c>
      <c r="AB1312" s="42" t="s">
        <v>916</v>
      </c>
      <c r="AC1312" s="43" t="s">
        <v>916</v>
      </c>
      <c r="AD1312" s="43" t="s">
        <v>916</v>
      </c>
      <c r="AE1312" s="33" t="s">
        <v>3982</v>
      </c>
      <c r="AF1312" s="35" t="s">
        <v>916</v>
      </c>
      <c r="AG1312" s="44">
        <v>490402.43555555562</v>
      </c>
      <c r="AH1312" s="42" t="s">
        <v>916</v>
      </c>
      <c r="AI1312" s="32" t="e">
        <f>VLOOKUP(A1312,'4月明細'!B:B,1,0)</f>
        <v>#N/A</v>
      </c>
    </row>
    <row r="1313" spans="1:35" ht="19.95" customHeight="1" x14ac:dyDescent="0.3">
      <c r="A1313" s="33" t="s">
        <v>4557</v>
      </c>
      <c r="B1313" s="34">
        <v>46002.42701388889</v>
      </c>
      <c r="C1313" s="34" t="str">
        <f t="shared" si="33"/>
        <v>202512</v>
      </c>
      <c r="D1313" s="35" t="s">
        <v>996</v>
      </c>
      <c r="E1313" s="36" t="s">
        <v>910</v>
      </c>
      <c r="F1313" s="36" t="s">
        <v>911</v>
      </c>
      <c r="G1313" s="37" t="s">
        <v>4558</v>
      </c>
      <c r="H1313" s="36" t="s">
        <v>1043</v>
      </c>
      <c r="I1313" s="35" t="s">
        <v>4559</v>
      </c>
      <c r="J1313" s="36" t="s">
        <v>929</v>
      </c>
      <c r="K1313" s="33" t="s">
        <v>916</v>
      </c>
      <c r="L1313" s="35" t="s">
        <v>916</v>
      </c>
      <c r="M1313" s="36" t="s">
        <v>916</v>
      </c>
      <c r="N1313" s="45">
        <v>46022</v>
      </c>
      <c r="O1313" s="36" t="s">
        <v>25</v>
      </c>
      <c r="P1313" s="38">
        <v>19.572986111100001</v>
      </c>
      <c r="Q1313" s="39" t="s">
        <v>4560</v>
      </c>
      <c r="R1313" s="35" t="s">
        <v>916</v>
      </c>
      <c r="S1313" s="35"/>
      <c r="T1313" s="35" t="s">
        <v>1701</v>
      </c>
      <c r="U1313" s="40">
        <v>46003</v>
      </c>
      <c r="V1313" s="41">
        <v>46153.532893518517</v>
      </c>
      <c r="W1313" s="40">
        <v>46002</v>
      </c>
      <c r="X1313" s="35" t="s">
        <v>916</v>
      </c>
      <c r="Y1313" s="35" t="s">
        <v>916</v>
      </c>
      <c r="Z1313" s="35" t="s">
        <v>916</v>
      </c>
      <c r="AA1313" s="38">
        <v>469.75166666640001</v>
      </c>
      <c r="AB1313" s="42" t="s">
        <v>916</v>
      </c>
      <c r="AC1313" s="43" t="s">
        <v>916</v>
      </c>
      <c r="AD1313" s="43" t="s">
        <v>916</v>
      </c>
      <c r="AE1313" s="33" t="s">
        <v>3982</v>
      </c>
      <c r="AF1313" s="35" t="s">
        <v>916</v>
      </c>
      <c r="AG1313" s="44">
        <v>490402.24833333341</v>
      </c>
      <c r="AH1313" s="42" t="s">
        <v>916</v>
      </c>
      <c r="AI1313" s="32" t="e">
        <f>VLOOKUP(A1313,'4月明細'!B:B,1,0)</f>
        <v>#N/A</v>
      </c>
    </row>
    <row r="1314" spans="1:35" ht="19.95" customHeight="1" x14ac:dyDescent="0.3">
      <c r="A1314" s="33" t="s">
        <v>4561</v>
      </c>
      <c r="B1314" s="34">
        <v>46001.581956018519</v>
      </c>
      <c r="C1314" s="34" t="str">
        <f t="shared" si="33"/>
        <v>202512</v>
      </c>
      <c r="D1314" s="35" t="s">
        <v>996</v>
      </c>
      <c r="E1314" s="36" t="s">
        <v>910</v>
      </c>
      <c r="F1314" s="36" t="s">
        <v>1123</v>
      </c>
      <c r="G1314" s="37" t="s">
        <v>1400</v>
      </c>
      <c r="H1314" s="36" t="s">
        <v>3985</v>
      </c>
      <c r="I1314" s="35"/>
      <c r="J1314" s="36" t="s">
        <v>929</v>
      </c>
      <c r="K1314" s="33" t="s">
        <v>916</v>
      </c>
      <c r="L1314" s="35" t="s">
        <v>916</v>
      </c>
      <c r="M1314" s="36" t="s">
        <v>916</v>
      </c>
      <c r="N1314" s="45">
        <v>46022</v>
      </c>
      <c r="O1314" s="36" t="s">
        <v>25</v>
      </c>
      <c r="P1314" s="38">
        <v>20.418043981499999</v>
      </c>
      <c r="Q1314" s="39" t="s">
        <v>4562</v>
      </c>
      <c r="R1314" s="35" t="s">
        <v>916</v>
      </c>
      <c r="S1314" s="35"/>
      <c r="T1314" s="35" t="s">
        <v>1701</v>
      </c>
      <c r="U1314" s="40">
        <v>46002</v>
      </c>
      <c r="V1314" s="41">
        <v>46153.532893518517</v>
      </c>
      <c r="W1314" s="40">
        <v>46001</v>
      </c>
      <c r="X1314" s="35" t="s">
        <v>916</v>
      </c>
      <c r="Y1314" s="35" t="s">
        <v>916</v>
      </c>
      <c r="Z1314" s="35" t="s">
        <v>916</v>
      </c>
      <c r="AA1314" s="38">
        <v>490.03305555600002</v>
      </c>
      <c r="AB1314" s="42" t="s">
        <v>916</v>
      </c>
      <c r="AC1314" s="43" t="s">
        <v>916</v>
      </c>
      <c r="AD1314" s="43" t="s">
        <v>916</v>
      </c>
      <c r="AE1314" s="33" t="s">
        <v>3982</v>
      </c>
      <c r="AF1314" s="35" t="s">
        <v>916</v>
      </c>
      <c r="AG1314" s="44">
        <v>490381.96694444452</v>
      </c>
      <c r="AH1314" s="42" t="s">
        <v>916</v>
      </c>
      <c r="AI1314" s="32" t="e">
        <f>VLOOKUP(A1314,'4月明細'!B:B,1,0)</f>
        <v>#N/A</v>
      </c>
    </row>
    <row r="1315" spans="1:35" ht="19.95" customHeight="1" x14ac:dyDescent="0.3">
      <c r="A1315" s="33" t="s">
        <v>4563</v>
      </c>
      <c r="B1315" s="34">
        <v>46001.496851851851</v>
      </c>
      <c r="C1315" s="34" t="str">
        <f t="shared" si="33"/>
        <v>202512</v>
      </c>
      <c r="D1315" s="35" t="s">
        <v>941</v>
      </c>
      <c r="E1315" s="36" t="s">
        <v>942</v>
      </c>
      <c r="F1315" s="36" t="s">
        <v>1316</v>
      </c>
      <c r="G1315" s="37" t="s">
        <v>4564</v>
      </c>
      <c r="H1315" s="36" t="s">
        <v>4401</v>
      </c>
      <c r="I1315" s="35"/>
      <c r="J1315" s="36" t="s">
        <v>938</v>
      </c>
      <c r="K1315" s="33" t="s">
        <v>916</v>
      </c>
      <c r="L1315" s="35" t="s">
        <v>916</v>
      </c>
      <c r="M1315" s="36" t="s">
        <v>957</v>
      </c>
      <c r="N1315" s="45">
        <v>46022</v>
      </c>
      <c r="O1315" s="36" t="s">
        <v>25</v>
      </c>
      <c r="P1315" s="38">
        <v>20.503148148099999</v>
      </c>
      <c r="Q1315" s="39" t="s">
        <v>4565</v>
      </c>
      <c r="R1315" s="35" t="s">
        <v>916</v>
      </c>
      <c r="S1315" s="35" t="s">
        <v>4566</v>
      </c>
      <c r="T1315" s="35" t="s">
        <v>1701</v>
      </c>
      <c r="U1315" s="40">
        <v>46002</v>
      </c>
      <c r="V1315" s="41">
        <v>46153.532893518517</v>
      </c>
      <c r="W1315" s="40">
        <v>46001</v>
      </c>
      <c r="X1315" s="35" t="s">
        <v>916</v>
      </c>
      <c r="Y1315" s="35" t="s">
        <v>916</v>
      </c>
      <c r="Z1315" s="35" t="s">
        <v>916</v>
      </c>
      <c r="AA1315" s="38">
        <v>492.07555555440001</v>
      </c>
      <c r="AB1315" s="42" t="s">
        <v>916</v>
      </c>
      <c r="AC1315" s="43" t="s">
        <v>916</v>
      </c>
      <c r="AD1315" s="43" t="s">
        <v>916</v>
      </c>
      <c r="AE1315" s="33" t="s">
        <v>3982</v>
      </c>
      <c r="AF1315" s="35" t="s">
        <v>916</v>
      </c>
      <c r="AG1315" s="44">
        <v>490379.92444444442</v>
      </c>
      <c r="AH1315" s="42" t="s">
        <v>916</v>
      </c>
      <c r="AI1315" s="32" t="e">
        <f>VLOOKUP(A1315,'4月明細'!B:B,1,0)</f>
        <v>#N/A</v>
      </c>
    </row>
    <row r="1316" spans="1:35" ht="19.95" customHeight="1" x14ac:dyDescent="0.3">
      <c r="A1316" s="33" t="s">
        <v>4567</v>
      </c>
      <c r="B1316" s="34">
        <v>46001.433946759258</v>
      </c>
      <c r="C1316" s="34" t="str">
        <f t="shared" si="33"/>
        <v>202512</v>
      </c>
      <c r="D1316" s="35" t="s">
        <v>909</v>
      </c>
      <c r="E1316" s="36" t="s">
        <v>910</v>
      </c>
      <c r="F1316" s="36" t="s">
        <v>1507</v>
      </c>
      <c r="G1316" s="37" t="s">
        <v>4568</v>
      </c>
      <c r="H1316" s="36" t="s">
        <v>3979</v>
      </c>
      <c r="I1316" s="35" t="s">
        <v>4569</v>
      </c>
      <c r="J1316" s="36" t="s">
        <v>914</v>
      </c>
      <c r="K1316" s="33" t="s">
        <v>916</v>
      </c>
      <c r="L1316" s="35" t="s">
        <v>916</v>
      </c>
      <c r="M1316" s="36" t="s">
        <v>957</v>
      </c>
      <c r="N1316" s="45">
        <v>46022</v>
      </c>
      <c r="O1316" s="36" t="s">
        <v>25</v>
      </c>
      <c r="P1316" s="38">
        <v>20.566053240700001</v>
      </c>
      <c r="Q1316" s="39" t="s">
        <v>4570</v>
      </c>
      <c r="R1316" s="35" t="s">
        <v>916</v>
      </c>
      <c r="S1316" s="35"/>
      <c r="T1316" s="35" t="s">
        <v>1701</v>
      </c>
      <c r="U1316" s="40">
        <v>46002</v>
      </c>
      <c r="V1316" s="41">
        <v>46153.532893518517</v>
      </c>
      <c r="W1316" s="40">
        <v>46001</v>
      </c>
      <c r="X1316" s="35" t="s">
        <v>916</v>
      </c>
      <c r="Y1316" s="35" t="s">
        <v>916</v>
      </c>
      <c r="Z1316" s="35" t="s">
        <v>916</v>
      </c>
      <c r="AA1316" s="38">
        <v>493.58527777680001</v>
      </c>
      <c r="AB1316" s="42" t="s">
        <v>916</v>
      </c>
      <c r="AC1316" s="43" t="s">
        <v>916</v>
      </c>
      <c r="AD1316" s="43" t="s">
        <v>916</v>
      </c>
      <c r="AE1316" s="33" t="s">
        <v>3982</v>
      </c>
      <c r="AF1316" s="35" t="s">
        <v>916</v>
      </c>
      <c r="AG1316" s="44">
        <v>490378.41472222231</v>
      </c>
      <c r="AH1316" s="42" t="s">
        <v>916</v>
      </c>
      <c r="AI1316" s="32" t="e">
        <f>VLOOKUP(A1316,'4月明細'!B:B,1,0)</f>
        <v>#N/A</v>
      </c>
    </row>
    <row r="1317" spans="1:35" ht="19.95" customHeight="1" x14ac:dyDescent="0.3">
      <c r="A1317" s="33" t="s">
        <v>4571</v>
      </c>
      <c r="B1317" s="34">
        <v>46001.414687500001</v>
      </c>
      <c r="C1317" s="34" t="str">
        <f t="shared" si="33"/>
        <v>202512</v>
      </c>
      <c r="D1317" s="35" t="s">
        <v>909</v>
      </c>
      <c r="E1317" s="36" t="s">
        <v>910</v>
      </c>
      <c r="F1317" s="36" t="s">
        <v>972</v>
      </c>
      <c r="G1317" s="37" t="s">
        <v>1803</v>
      </c>
      <c r="H1317" s="36" t="s">
        <v>4185</v>
      </c>
      <c r="I1317" s="35" t="s">
        <v>4572</v>
      </c>
      <c r="J1317" s="36" t="s">
        <v>914</v>
      </c>
      <c r="K1317" s="33" t="s">
        <v>916</v>
      </c>
      <c r="L1317" s="35" t="s">
        <v>916</v>
      </c>
      <c r="M1317" s="36" t="s">
        <v>957</v>
      </c>
      <c r="N1317" s="45">
        <v>46022</v>
      </c>
      <c r="O1317" s="36" t="s">
        <v>25</v>
      </c>
      <c r="P1317" s="38">
        <v>20.585312500000001</v>
      </c>
      <c r="Q1317" s="39" t="s">
        <v>4573</v>
      </c>
      <c r="R1317" s="35" t="s">
        <v>916</v>
      </c>
      <c r="S1317" s="35" t="s">
        <v>4574</v>
      </c>
      <c r="T1317" s="35" t="s">
        <v>1701</v>
      </c>
      <c r="U1317" s="40">
        <v>46002</v>
      </c>
      <c r="V1317" s="41">
        <v>46153.532893518517</v>
      </c>
      <c r="W1317" s="40">
        <v>46001</v>
      </c>
      <c r="X1317" s="35" t="s">
        <v>916</v>
      </c>
      <c r="Y1317" s="35" t="s">
        <v>916</v>
      </c>
      <c r="Z1317" s="35" t="s">
        <v>916</v>
      </c>
      <c r="AA1317" s="38">
        <v>494.04750000000001</v>
      </c>
      <c r="AB1317" s="42" t="s">
        <v>916</v>
      </c>
      <c r="AC1317" s="43" t="s">
        <v>916</v>
      </c>
      <c r="AD1317" s="43" t="s">
        <v>916</v>
      </c>
      <c r="AE1317" s="33" t="s">
        <v>3982</v>
      </c>
      <c r="AF1317" s="35" t="s">
        <v>916</v>
      </c>
      <c r="AG1317" s="44">
        <v>490377.95250000001</v>
      </c>
      <c r="AH1317" s="42" t="s">
        <v>916</v>
      </c>
      <c r="AI1317" s="32" t="e">
        <f>VLOOKUP(A1317,'4月明細'!B:B,1,0)</f>
        <v>#N/A</v>
      </c>
    </row>
    <row r="1318" spans="1:35" ht="19.95" customHeight="1" x14ac:dyDescent="0.3">
      <c r="A1318" s="33" t="s">
        <v>4575</v>
      </c>
      <c r="B1318" s="34">
        <v>46001.40421296296</v>
      </c>
      <c r="C1318" s="34" t="str">
        <f t="shared" si="33"/>
        <v>202512</v>
      </c>
      <c r="D1318" s="35" t="s">
        <v>1178</v>
      </c>
      <c r="E1318" s="36" t="s">
        <v>910</v>
      </c>
      <c r="F1318" s="36" t="s">
        <v>1723</v>
      </c>
      <c r="G1318" s="37" t="s">
        <v>4576</v>
      </c>
      <c r="H1318" s="36" t="s">
        <v>4029</v>
      </c>
      <c r="I1318" s="35" t="s">
        <v>4577</v>
      </c>
      <c r="J1318" s="36" t="s">
        <v>914</v>
      </c>
      <c r="K1318" s="33" t="s">
        <v>916</v>
      </c>
      <c r="L1318" s="35" t="s">
        <v>916</v>
      </c>
      <c r="M1318" s="36" t="s">
        <v>957</v>
      </c>
      <c r="N1318" s="45">
        <v>46022</v>
      </c>
      <c r="O1318" s="36" t="s">
        <v>25</v>
      </c>
      <c r="P1318" s="38">
        <v>20.595787037000001</v>
      </c>
      <c r="Q1318" s="39" t="s">
        <v>4578</v>
      </c>
      <c r="R1318" s="35" t="s">
        <v>916</v>
      </c>
      <c r="S1318" s="35" t="s">
        <v>4579</v>
      </c>
      <c r="T1318" s="35" t="s">
        <v>1701</v>
      </c>
      <c r="U1318" s="40">
        <v>46002</v>
      </c>
      <c r="V1318" s="41">
        <v>46153.532893518517</v>
      </c>
      <c r="W1318" s="40">
        <v>46001</v>
      </c>
      <c r="X1318" s="35" t="s">
        <v>916</v>
      </c>
      <c r="Y1318" s="35" t="s">
        <v>916</v>
      </c>
      <c r="Z1318" s="35" t="s">
        <v>916</v>
      </c>
      <c r="AA1318" s="38">
        <v>494.29888888800002</v>
      </c>
      <c r="AB1318" s="42" t="s">
        <v>916</v>
      </c>
      <c r="AC1318" s="43" t="s">
        <v>916</v>
      </c>
      <c r="AD1318" s="43" t="s">
        <v>916</v>
      </c>
      <c r="AE1318" s="33" t="s">
        <v>3982</v>
      </c>
      <c r="AF1318" s="35" t="s">
        <v>916</v>
      </c>
      <c r="AG1318" s="44">
        <v>490377.70111111109</v>
      </c>
      <c r="AH1318" s="42" t="s">
        <v>916</v>
      </c>
      <c r="AI1318" s="32" t="e">
        <f>VLOOKUP(A1318,'4月明細'!B:B,1,0)</f>
        <v>#N/A</v>
      </c>
    </row>
    <row r="1319" spans="1:35" ht="19.95" customHeight="1" x14ac:dyDescent="0.3">
      <c r="A1319" s="33" t="s">
        <v>4580</v>
      </c>
      <c r="B1319" s="34">
        <v>46000.851956018516</v>
      </c>
      <c r="C1319" s="34" t="str">
        <f t="shared" si="33"/>
        <v>202512</v>
      </c>
      <c r="D1319" s="35" t="s">
        <v>960</v>
      </c>
      <c r="E1319" s="36" t="s">
        <v>942</v>
      </c>
      <c r="F1319" s="36" t="s">
        <v>1130</v>
      </c>
      <c r="G1319" s="37" t="s">
        <v>4581</v>
      </c>
      <c r="H1319" s="36" t="s">
        <v>1007</v>
      </c>
      <c r="I1319" s="35"/>
      <c r="J1319" s="36" t="s">
        <v>945</v>
      </c>
      <c r="K1319" s="33" t="s">
        <v>916</v>
      </c>
      <c r="L1319" s="35" t="s">
        <v>916</v>
      </c>
      <c r="M1319" s="36" t="s">
        <v>957</v>
      </c>
      <c r="N1319" s="45">
        <v>46022</v>
      </c>
      <c r="O1319" s="36" t="s">
        <v>25</v>
      </c>
      <c r="P1319" s="38">
        <v>21.148043981499999</v>
      </c>
      <c r="Q1319" s="39" t="s">
        <v>4582</v>
      </c>
      <c r="R1319" s="35" t="s">
        <v>916</v>
      </c>
      <c r="S1319" s="35" t="s">
        <v>4583</v>
      </c>
      <c r="T1319" s="35" t="s">
        <v>1701</v>
      </c>
      <c r="U1319" s="40">
        <v>46001</v>
      </c>
      <c r="V1319" s="41">
        <v>46153.532893518517</v>
      </c>
      <c r="W1319" s="40">
        <v>46001</v>
      </c>
      <c r="X1319" s="35" t="s">
        <v>916</v>
      </c>
      <c r="Y1319" s="35" t="s">
        <v>916</v>
      </c>
      <c r="Z1319" s="35" t="s">
        <v>916</v>
      </c>
      <c r="AA1319" s="38">
        <v>507.553055556</v>
      </c>
      <c r="AB1319" s="42" t="s">
        <v>916</v>
      </c>
      <c r="AC1319" s="43" t="s">
        <v>916</v>
      </c>
      <c r="AD1319" s="43" t="s">
        <v>916</v>
      </c>
      <c r="AE1319" s="33" t="s">
        <v>3982</v>
      </c>
      <c r="AF1319" s="35" t="s">
        <v>916</v>
      </c>
      <c r="AG1319" s="44">
        <v>490380.8666666667</v>
      </c>
      <c r="AH1319" s="42" t="s">
        <v>916</v>
      </c>
      <c r="AI1319" s="32" t="e">
        <f>VLOOKUP(A1319,'4月明細'!B:B,1,0)</f>
        <v>#N/A</v>
      </c>
    </row>
    <row r="1320" spans="1:35" ht="19.95" customHeight="1" x14ac:dyDescent="0.3">
      <c r="A1320" s="33" t="s">
        <v>4584</v>
      </c>
      <c r="B1320" s="34">
        <v>46000.611122685186</v>
      </c>
      <c r="C1320" s="34" t="str">
        <f t="shared" si="33"/>
        <v>202512</v>
      </c>
      <c r="D1320" s="35" t="s">
        <v>909</v>
      </c>
      <c r="E1320" s="36" t="s">
        <v>910</v>
      </c>
      <c r="F1320" s="36" t="s">
        <v>1639</v>
      </c>
      <c r="G1320" s="37" t="s">
        <v>3530</v>
      </c>
      <c r="H1320" s="36" t="s">
        <v>3979</v>
      </c>
      <c r="I1320" s="35" t="s">
        <v>4585</v>
      </c>
      <c r="J1320" s="36" t="s">
        <v>914</v>
      </c>
      <c r="K1320" s="33" t="s">
        <v>916</v>
      </c>
      <c r="L1320" s="35" t="s">
        <v>916</v>
      </c>
      <c r="M1320" s="36" t="s">
        <v>916</v>
      </c>
      <c r="N1320" s="45">
        <v>46022</v>
      </c>
      <c r="O1320" s="36" t="s">
        <v>25</v>
      </c>
      <c r="P1320" s="38">
        <v>21.388877314799998</v>
      </c>
      <c r="Q1320" s="39" t="s">
        <v>4586</v>
      </c>
      <c r="R1320" s="35" t="s">
        <v>916</v>
      </c>
      <c r="S1320" s="35"/>
      <c r="T1320" s="35" t="s">
        <v>1701</v>
      </c>
      <c r="U1320" s="40">
        <v>46001</v>
      </c>
      <c r="V1320" s="41">
        <v>46153.532893518517</v>
      </c>
      <c r="W1320" s="40">
        <v>46000</v>
      </c>
      <c r="X1320" s="35" t="s">
        <v>916</v>
      </c>
      <c r="Y1320" s="35" t="s">
        <v>916</v>
      </c>
      <c r="Z1320" s="35" t="s">
        <v>916</v>
      </c>
      <c r="AA1320" s="38">
        <v>513.33305555519996</v>
      </c>
      <c r="AB1320" s="42" t="s">
        <v>916</v>
      </c>
      <c r="AC1320" s="43" t="s">
        <v>916</v>
      </c>
      <c r="AD1320" s="43" t="s">
        <v>916</v>
      </c>
      <c r="AE1320" s="33" t="s">
        <v>3982</v>
      </c>
      <c r="AF1320" s="35" t="s">
        <v>916</v>
      </c>
      <c r="AG1320" s="44">
        <v>490358.66694444453</v>
      </c>
      <c r="AH1320" s="42" t="s">
        <v>916</v>
      </c>
      <c r="AI1320" s="32" t="e">
        <f>VLOOKUP(A1320,'4月明細'!B:B,1,0)</f>
        <v>#N/A</v>
      </c>
    </row>
    <row r="1321" spans="1:35" ht="19.95" customHeight="1" x14ac:dyDescent="0.3">
      <c r="A1321" s="33" t="s">
        <v>4587</v>
      </c>
      <c r="B1321" s="34">
        <v>46000.583078703705</v>
      </c>
      <c r="C1321" s="34" t="str">
        <f t="shared" si="33"/>
        <v>202512</v>
      </c>
      <c r="D1321" s="35" t="s">
        <v>1856</v>
      </c>
      <c r="E1321" s="36" t="s">
        <v>942</v>
      </c>
      <c r="F1321" s="36" t="s">
        <v>1686</v>
      </c>
      <c r="G1321" s="37" t="s">
        <v>4588</v>
      </c>
      <c r="H1321" s="36" t="s">
        <v>4196</v>
      </c>
      <c r="I1321" s="35"/>
      <c r="J1321" s="36" t="s">
        <v>945</v>
      </c>
      <c r="K1321" s="33" t="s">
        <v>916</v>
      </c>
      <c r="L1321" s="35" t="s">
        <v>916</v>
      </c>
      <c r="M1321" s="36" t="s">
        <v>957</v>
      </c>
      <c r="N1321" s="45">
        <v>46022</v>
      </c>
      <c r="O1321" s="36" t="s">
        <v>25</v>
      </c>
      <c r="P1321" s="38">
        <v>21.4169212963</v>
      </c>
      <c r="Q1321" s="39" t="s">
        <v>4589</v>
      </c>
      <c r="R1321" s="35" t="s">
        <v>916</v>
      </c>
      <c r="S1321" s="35" t="s">
        <v>4590</v>
      </c>
      <c r="T1321" s="35" t="s">
        <v>1701</v>
      </c>
      <c r="U1321" s="40">
        <v>46001</v>
      </c>
      <c r="V1321" s="41">
        <v>46153.532893518517</v>
      </c>
      <c r="W1321" s="40">
        <v>46000</v>
      </c>
      <c r="X1321" s="35" t="s">
        <v>916</v>
      </c>
      <c r="Y1321" s="35" t="s">
        <v>916</v>
      </c>
      <c r="Z1321" s="35" t="s">
        <v>916</v>
      </c>
      <c r="AA1321" s="38">
        <v>514.00611111119997</v>
      </c>
      <c r="AB1321" s="42" t="s">
        <v>916</v>
      </c>
      <c r="AC1321" s="43" t="s">
        <v>916</v>
      </c>
      <c r="AD1321" s="43" t="s">
        <v>916</v>
      </c>
      <c r="AE1321" s="33" t="s">
        <v>3982</v>
      </c>
      <c r="AF1321" s="35" t="s">
        <v>916</v>
      </c>
      <c r="AG1321" s="44">
        <v>490357.99388888892</v>
      </c>
      <c r="AH1321" s="42" t="s">
        <v>916</v>
      </c>
      <c r="AI1321" s="32" t="e">
        <f>VLOOKUP(A1321,'4月明細'!B:B,1,0)</f>
        <v>#N/A</v>
      </c>
    </row>
    <row r="1322" spans="1:35" ht="19.95" customHeight="1" x14ac:dyDescent="0.3">
      <c r="A1322" s="33" t="s">
        <v>4591</v>
      </c>
      <c r="B1322" s="34">
        <v>46000.508171296293</v>
      </c>
      <c r="C1322" s="34" t="str">
        <f t="shared" si="33"/>
        <v>202512</v>
      </c>
      <c r="D1322" s="35" t="s">
        <v>909</v>
      </c>
      <c r="E1322" s="36" t="s">
        <v>910</v>
      </c>
      <c r="F1322" s="36" t="s">
        <v>1397</v>
      </c>
      <c r="G1322" s="37" t="s">
        <v>998</v>
      </c>
      <c r="H1322" s="36" t="s">
        <v>3979</v>
      </c>
      <c r="I1322" s="35" t="s">
        <v>4592</v>
      </c>
      <c r="J1322" s="36" t="s">
        <v>914</v>
      </c>
      <c r="K1322" s="33" t="s">
        <v>916</v>
      </c>
      <c r="L1322" s="35" t="s">
        <v>916</v>
      </c>
      <c r="M1322" s="36" t="s">
        <v>916</v>
      </c>
      <c r="N1322" s="45">
        <v>46022</v>
      </c>
      <c r="O1322" s="36" t="s">
        <v>25</v>
      </c>
      <c r="P1322" s="38">
        <v>21.491828703700001</v>
      </c>
      <c r="Q1322" s="39" t="s">
        <v>4593</v>
      </c>
      <c r="R1322" s="35" t="s">
        <v>916</v>
      </c>
      <c r="S1322" s="35"/>
      <c r="T1322" s="35" t="s">
        <v>1701</v>
      </c>
      <c r="U1322" s="40">
        <v>46001</v>
      </c>
      <c r="V1322" s="41">
        <v>46153.532893518517</v>
      </c>
      <c r="W1322" s="40">
        <v>46000</v>
      </c>
      <c r="X1322" s="35" t="s">
        <v>916</v>
      </c>
      <c r="Y1322" s="35" t="s">
        <v>916</v>
      </c>
      <c r="Z1322" s="35" t="s">
        <v>916</v>
      </c>
      <c r="AA1322" s="38">
        <v>515.80388888879997</v>
      </c>
      <c r="AB1322" s="42" t="s">
        <v>916</v>
      </c>
      <c r="AC1322" s="43" t="s">
        <v>916</v>
      </c>
      <c r="AD1322" s="43" t="s">
        <v>916</v>
      </c>
      <c r="AE1322" s="33" t="s">
        <v>3982</v>
      </c>
      <c r="AF1322" s="35" t="s">
        <v>916</v>
      </c>
      <c r="AG1322" s="44">
        <v>490356.19611111109</v>
      </c>
      <c r="AH1322" s="42" t="s">
        <v>916</v>
      </c>
      <c r="AI1322" s="32" t="e">
        <f>VLOOKUP(A1322,'4月明細'!B:B,1,0)</f>
        <v>#N/A</v>
      </c>
    </row>
    <row r="1323" spans="1:35" ht="19.95" customHeight="1" x14ac:dyDescent="0.3">
      <c r="A1323" s="33" t="s">
        <v>4594</v>
      </c>
      <c r="B1323" s="34">
        <v>46000.455150462964</v>
      </c>
      <c r="C1323" s="34" t="str">
        <f t="shared" si="33"/>
        <v>202512</v>
      </c>
      <c r="D1323" s="35" t="s">
        <v>909</v>
      </c>
      <c r="E1323" s="36" t="s">
        <v>910</v>
      </c>
      <c r="F1323" s="36" t="s">
        <v>1295</v>
      </c>
      <c r="G1323" s="37" t="s">
        <v>4595</v>
      </c>
      <c r="H1323" s="36" t="s">
        <v>956</v>
      </c>
      <c r="I1323" s="35" t="s">
        <v>4596</v>
      </c>
      <c r="J1323" s="36" t="s">
        <v>914</v>
      </c>
      <c r="K1323" s="33" t="s">
        <v>916</v>
      </c>
      <c r="L1323" s="35" t="s">
        <v>916</v>
      </c>
      <c r="M1323" s="36" t="s">
        <v>957</v>
      </c>
      <c r="N1323" s="45">
        <v>46022</v>
      </c>
      <c r="O1323" s="36" t="s">
        <v>25</v>
      </c>
      <c r="P1323" s="38">
        <v>21.544849537000001</v>
      </c>
      <c r="Q1323" s="39" t="s">
        <v>4597</v>
      </c>
      <c r="R1323" s="35" t="s">
        <v>916</v>
      </c>
      <c r="S1323" s="35" t="s">
        <v>4598</v>
      </c>
      <c r="T1323" s="35" t="s">
        <v>1701</v>
      </c>
      <c r="U1323" s="40">
        <v>46001</v>
      </c>
      <c r="V1323" s="41">
        <v>46153.532893518517</v>
      </c>
      <c r="W1323" s="40">
        <v>46000</v>
      </c>
      <c r="X1323" s="35" t="s">
        <v>916</v>
      </c>
      <c r="Y1323" s="35" t="s">
        <v>916</v>
      </c>
      <c r="Z1323" s="35" t="s">
        <v>916</v>
      </c>
      <c r="AA1323" s="38">
        <v>517.076388888</v>
      </c>
      <c r="AB1323" s="42" t="s">
        <v>916</v>
      </c>
      <c r="AC1323" s="43" t="s">
        <v>916</v>
      </c>
      <c r="AD1323" s="43" t="s">
        <v>916</v>
      </c>
      <c r="AE1323" s="33" t="s">
        <v>3982</v>
      </c>
      <c r="AF1323" s="35" t="s">
        <v>916</v>
      </c>
      <c r="AG1323" s="44">
        <v>490354.92361111112</v>
      </c>
      <c r="AH1323" s="42" t="s">
        <v>916</v>
      </c>
      <c r="AI1323" s="32" t="e">
        <f>VLOOKUP(A1323,'4月明細'!B:B,1,0)</f>
        <v>#N/A</v>
      </c>
    </row>
    <row r="1324" spans="1:35" ht="19.95" customHeight="1" x14ac:dyDescent="0.3">
      <c r="A1324" s="33" t="s">
        <v>4599</v>
      </c>
      <c r="B1324" s="34">
        <v>46000.450694444444</v>
      </c>
      <c r="C1324" s="34" t="str">
        <f t="shared" si="33"/>
        <v>202512</v>
      </c>
      <c r="D1324" s="35" t="s">
        <v>996</v>
      </c>
      <c r="E1324" s="36" t="s">
        <v>910</v>
      </c>
      <c r="F1324" s="36" t="s">
        <v>1341</v>
      </c>
      <c r="G1324" s="37" t="s">
        <v>4600</v>
      </c>
      <c r="H1324" s="36" t="s">
        <v>1079</v>
      </c>
      <c r="I1324" s="35"/>
      <c r="J1324" s="36" t="s">
        <v>1058</v>
      </c>
      <c r="K1324" s="33" t="s">
        <v>916</v>
      </c>
      <c r="L1324" s="35" t="s">
        <v>916</v>
      </c>
      <c r="M1324" s="36" t="s">
        <v>957</v>
      </c>
      <c r="N1324" s="45">
        <v>46022</v>
      </c>
      <c r="O1324" s="36" t="s">
        <v>25</v>
      </c>
      <c r="P1324" s="38">
        <v>21.5493055556</v>
      </c>
      <c r="Q1324" s="39" t="s">
        <v>4601</v>
      </c>
      <c r="R1324" s="35" t="s">
        <v>916</v>
      </c>
      <c r="S1324" s="35"/>
      <c r="T1324" s="35" t="s">
        <v>1701</v>
      </c>
      <c r="U1324" s="40">
        <v>46001</v>
      </c>
      <c r="V1324" s="41">
        <v>46153.532893518517</v>
      </c>
      <c r="W1324" s="40">
        <v>46000</v>
      </c>
      <c r="X1324" s="35" t="s">
        <v>916</v>
      </c>
      <c r="Y1324" s="35" t="s">
        <v>916</v>
      </c>
      <c r="Z1324" s="35" t="s">
        <v>916</v>
      </c>
      <c r="AA1324" s="38">
        <v>517.1833333344</v>
      </c>
      <c r="AB1324" s="42" t="s">
        <v>916</v>
      </c>
      <c r="AC1324" s="43" t="s">
        <v>916</v>
      </c>
      <c r="AD1324" s="43" t="s">
        <v>916</v>
      </c>
      <c r="AE1324" s="33" t="s">
        <v>3982</v>
      </c>
      <c r="AF1324" s="35" t="s">
        <v>916</v>
      </c>
      <c r="AG1324" s="44">
        <v>490354.81666666671</v>
      </c>
      <c r="AH1324" s="42" t="s">
        <v>916</v>
      </c>
      <c r="AI1324" s="32" t="e">
        <f>VLOOKUP(A1324,'4月明細'!B:B,1,0)</f>
        <v>#N/A</v>
      </c>
    </row>
    <row r="1325" spans="1:35" ht="19.95" customHeight="1" x14ac:dyDescent="0.3">
      <c r="A1325" s="33" t="s">
        <v>4602</v>
      </c>
      <c r="B1325" s="34">
        <v>46000.372800925928</v>
      </c>
      <c r="C1325" s="34" t="str">
        <f t="shared" si="33"/>
        <v>202512</v>
      </c>
      <c r="D1325" s="35" t="s">
        <v>4603</v>
      </c>
      <c r="E1325" s="36" t="s">
        <v>1112</v>
      </c>
      <c r="F1325" s="36" t="s">
        <v>1423</v>
      </c>
      <c r="G1325" s="37" t="s">
        <v>4604</v>
      </c>
      <c r="H1325" s="36" t="s">
        <v>1184</v>
      </c>
      <c r="I1325" s="35"/>
      <c r="J1325" s="36" t="s">
        <v>945</v>
      </c>
      <c r="K1325" s="33" t="s">
        <v>916</v>
      </c>
      <c r="L1325" s="35" t="s">
        <v>916</v>
      </c>
      <c r="M1325" s="36" t="s">
        <v>957</v>
      </c>
      <c r="N1325" s="45">
        <v>46022</v>
      </c>
      <c r="O1325" s="36" t="s">
        <v>25</v>
      </c>
      <c r="P1325" s="38">
        <v>21.627199074100002</v>
      </c>
      <c r="Q1325" s="39" t="s">
        <v>4605</v>
      </c>
      <c r="R1325" s="35" t="s">
        <v>916</v>
      </c>
      <c r="S1325" s="35"/>
      <c r="T1325" s="35" t="s">
        <v>1701</v>
      </c>
      <c r="U1325" s="40">
        <v>46001</v>
      </c>
      <c r="V1325" s="41">
        <v>46153.532893518517</v>
      </c>
      <c r="W1325" s="40">
        <v>46000</v>
      </c>
      <c r="X1325" s="35" t="s">
        <v>916</v>
      </c>
      <c r="Y1325" s="35" t="s">
        <v>916</v>
      </c>
      <c r="Z1325" s="35" t="s">
        <v>916</v>
      </c>
      <c r="AA1325" s="38">
        <v>519.05277777840001</v>
      </c>
      <c r="AB1325" s="42" t="s">
        <v>916</v>
      </c>
      <c r="AC1325" s="43" t="s">
        <v>916</v>
      </c>
      <c r="AD1325" s="43" t="s">
        <v>916</v>
      </c>
      <c r="AE1325" s="33" t="s">
        <v>3982</v>
      </c>
      <c r="AF1325" s="35" t="s">
        <v>916</v>
      </c>
      <c r="AG1325" s="44">
        <v>490352.94722222222</v>
      </c>
      <c r="AH1325" s="42" t="s">
        <v>916</v>
      </c>
      <c r="AI1325" s="32" t="e">
        <f>VLOOKUP(A1325,'4月明細'!B:B,1,0)</f>
        <v>#N/A</v>
      </c>
    </row>
    <row r="1326" spans="1:35" ht="19.95" customHeight="1" x14ac:dyDescent="0.3">
      <c r="A1326" s="33" t="s">
        <v>4606</v>
      </c>
      <c r="B1326" s="34">
        <v>45999.327997685185</v>
      </c>
      <c r="C1326" s="34" t="str">
        <f t="shared" si="33"/>
        <v>202512</v>
      </c>
      <c r="D1326" s="35" t="s">
        <v>1587</v>
      </c>
      <c r="E1326" s="36" t="s">
        <v>942</v>
      </c>
      <c r="F1326" s="36" t="s">
        <v>1240</v>
      </c>
      <c r="G1326" s="37" t="s">
        <v>4607</v>
      </c>
      <c r="H1326" s="36" t="s">
        <v>3991</v>
      </c>
      <c r="I1326" s="35"/>
      <c r="J1326" s="36" t="s">
        <v>945</v>
      </c>
      <c r="K1326" s="33" t="s">
        <v>916</v>
      </c>
      <c r="L1326" s="35" t="s">
        <v>916</v>
      </c>
      <c r="M1326" s="36" t="s">
        <v>916</v>
      </c>
      <c r="N1326" s="45">
        <v>46022</v>
      </c>
      <c r="O1326" s="36" t="s">
        <v>25</v>
      </c>
      <c r="P1326" s="38">
        <v>22.6720023148</v>
      </c>
      <c r="Q1326" s="39" t="s">
        <v>4608</v>
      </c>
      <c r="R1326" s="35" t="s">
        <v>916</v>
      </c>
      <c r="S1326" s="35"/>
      <c r="T1326" s="35" t="s">
        <v>1701</v>
      </c>
      <c r="U1326" s="40">
        <v>46000</v>
      </c>
      <c r="V1326" s="41">
        <v>46153.532893518517</v>
      </c>
      <c r="W1326" s="40">
        <v>45999</v>
      </c>
      <c r="X1326" s="35" t="s">
        <v>916</v>
      </c>
      <c r="Y1326" s="35" t="s">
        <v>916</v>
      </c>
      <c r="Z1326" s="35" t="s">
        <v>916</v>
      </c>
      <c r="AA1326" s="38">
        <v>544.12805555520004</v>
      </c>
      <c r="AB1326" s="42" t="s">
        <v>916</v>
      </c>
      <c r="AC1326" s="43" t="s">
        <v>916</v>
      </c>
      <c r="AD1326" s="43" t="s">
        <v>916</v>
      </c>
      <c r="AE1326" s="33" t="s">
        <v>3982</v>
      </c>
      <c r="AF1326" s="35" t="s">
        <v>916</v>
      </c>
      <c r="AG1326" s="44">
        <v>980872.98861111118</v>
      </c>
      <c r="AH1326" s="42" t="s">
        <v>916</v>
      </c>
      <c r="AI1326" s="32" t="e">
        <f>VLOOKUP(A1326,'4月明細'!B:B,1,0)</f>
        <v>#N/A</v>
      </c>
    </row>
    <row r="1327" spans="1:35" ht="19.95" customHeight="1" x14ac:dyDescent="0.3">
      <c r="A1327" s="33" t="s">
        <v>4609</v>
      </c>
      <c r="B1327" s="34">
        <v>45998.765636574077</v>
      </c>
      <c r="C1327" s="34" t="str">
        <f t="shared" si="33"/>
        <v>202512</v>
      </c>
      <c r="D1327" s="35" t="s">
        <v>986</v>
      </c>
      <c r="E1327" s="36" t="s">
        <v>910</v>
      </c>
      <c r="F1327" s="36" t="s">
        <v>1967</v>
      </c>
      <c r="G1327" s="37" t="s">
        <v>4610</v>
      </c>
      <c r="H1327" s="36" t="s">
        <v>1079</v>
      </c>
      <c r="I1327" s="35"/>
      <c r="J1327" s="36" t="s">
        <v>914</v>
      </c>
      <c r="K1327" s="33" t="s">
        <v>916</v>
      </c>
      <c r="L1327" s="35" t="s">
        <v>916</v>
      </c>
      <c r="M1327" s="36" t="s">
        <v>916</v>
      </c>
      <c r="N1327" s="45">
        <v>46022</v>
      </c>
      <c r="O1327" s="36" t="s">
        <v>25</v>
      </c>
      <c r="P1327" s="38">
        <v>23.2343634259</v>
      </c>
      <c r="Q1327" s="39" t="s">
        <v>4611</v>
      </c>
      <c r="R1327" s="35" t="s">
        <v>916</v>
      </c>
      <c r="S1327" s="35"/>
      <c r="T1327" s="35" t="s">
        <v>1701</v>
      </c>
      <c r="U1327" s="40">
        <v>45999</v>
      </c>
      <c r="V1327" s="41">
        <v>46153.532893518517</v>
      </c>
      <c r="W1327" s="40">
        <v>45998</v>
      </c>
      <c r="X1327" s="35" t="s">
        <v>916</v>
      </c>
      <c r="Y1327" s="35" t="s">
        <v>916</v>
      </c>
      <c r="Z1327" s="35" t="s">
        <v>916</v>
      </c>
      <c r="AA1327" s="38">
        <v>557.6247222216</v>
      </c>
      <c r="AB1327" s="42" t="s">
        <v>916</v>
      </c>
      <c r="AC1327" s="43" t="s">
        <v>916</v>
      </c>
      <c r="AD1327" s="43" t="s">
        <v>916</v>
      </c>
      <c r="AE1327" s="33" t="s">
        <v>3982</v>
      </c>
      <c r="AF1327" s="35" t="s">
        <v>916</v>
      </c>
      <c r="AG1327" s="44">
        <v>490314.37527777778</v>
      </c>
      <c r="AH1327" s="42" t="s">
        <v>916</v>
      </c>
      <c r="AI1327" s="32" t="e">
        <f>VLOOKUP(A1327,'4月明細'!B:B,1,0)</f>
        <v>#N/A</v>
      </c>
    </row>
    <row r="1328" spans="1:35" ht="19.95" customHeight="1" x14ac:dyDescent="0.3">
      <c r="A1328" s="33" t="s">
        <v>4612</v>
      </c>
      <c r="B1328" s="34">
        <v>45998.764513888891</v>
      </c>
      <c r="C1328" s="34" t="str">
        <f t="shared" si="33"/>
        <v>202512</v>
      </c>
      <c r="D1328" s="35" t="s">
        <v>986</v>
      </c>
      <c r="E1328" s="36" t="s">
        <v>910</v>
      </c>
      <c r="F1328" s="36" t="s">
        <v>1089</v>
      </c>
      <c r="G1328" s="37" t="s">
        <v>4613</v>
      </c>
      <c r="H1328" s="36" t="s">
        <v>1043</v>
      </c>
      <c r="I1328" s="35"/>
      <c r="J1328" s="36" t="s">
        <v>914</v>
      </c>
      <c r="K1328" s="33" t="s">
        <v>916</v>
      </c>
      <c r="L1328" s="35" t="s">
        <v>916</v>
      </c>
      <c r="M1328" s="36" t="s">
        <v>916</v>
      </c>
      <c r="N1328" s="45">
        <v>46022</v>
      </c>
      <c r="O1328" s="36" t="s">
        <v>25</v>
      </c>
      <c r="P1328" s="38">
        <v>23.235486111099998</v>
      </c>
      <c r="Q1328" s="39" t="s">
        <v>4614</v>
      </c>
      <c r="R1328" s="35" t="s">
        <v>916</v>
      </c>
      <c r="S1328" s="35" t="s">
        <v>4615</v>
      </c>
      <c r="T1328" s="35" t="s">
        <v>1701</v>
      </c>
      <c r="U1328" s="40">
        <v>45999</v>
      </c>
      <c r="V1328" s="41">
        <v>46153.532893518517</v>
      </c>
      <c r="W1328" s="40">
        <v>45998</v>
      </c>
      <c r="X1328" s="35" t="s">
        <v>916</v>
      </c>
      <c r="Y1328" s="35" t="s">
        <v>916</v>
      </c>
      <c r="Z1328" s="35" t="s">
        <v>916</v>
      </c>
      <c r="AA1328" s="38">
        <v>557.65166666640005</v>
      </c>
      <c r="AB1328" s="42" t="s">
        <v>916</v>
      </c>
      <c r="AC1328" s="43" t="s">
        <v>916</v>
      </c>
      <c r="AD1328" s="43" t="s">
        <v>916</v>
      </c>
      <c r="AE1328" s="33" t="s">
        <v>3982</v>
      </c>
      <c r="AF1328" s="35" t="s">
        <v>916</v>
      </c>
      <c r="AG1328" s="44">
        <v>490314.34833333333</v>
      </c>
      <c r="AH1328" s="42" t="s">
        <v>916</v>
      </c>
      <c r="AI1328" s="32" t="e">
        <f>VLOOKUP(A1328,'4月明細'!B:B,1,0)</f>
        <v>#N/A</v>
      </c>
    </row>
    <row r="1329" spans="1:35" ht="19.95" customHeight="1" x14ac:dyDescent="0.3">
      <c r="A1329" s="33" t="s">
        <v>4616</v>
      </c>
      <c r="B1329" s="34">
        <v>45998.759467592594</v>
      </c>
      <c r="C1329" s="34" t="str">
        <f t="shared" si="33"/>
        <v>202512</v>
      </c>
      <c r="D1329" s="35" t="s">
        <v>1510</v>
      </c>
      <c r="E1329" s="36" t="s">
        <v>1112</v>
      </c>
      <c r="F1329" s="36" t="s">
        <v>1150</v>
      </c>
      <c r="G1329" s="37" t="s">
        <v>4617</v>
      </c>
      <c r="H1329" s="36" t="s">
        <v>4065</v>
      </c>
      <c r="I1329" s="35"/>
      <c r="J1329" s="36" t="s">
        <v>938</v>
      </c>
      <c r="K1329" s="33" t="s">
        <v>916</v>
      </c>
      <c r="L1329" s="35" t="s">
        <v>916</v>
      </c>
      <c r="M1329" s="36" t="s">
        <v>916</v>
      </c>
      <c r="N1329" s="45">
        <v>46022</v>
      </c>
      <c r="O1329" s="36" t="s">
        <v>25</v>
      </c>
      <c r="P1329" s="38">
        <v>23.2405324074</v>
      </c>
      <c r="Q1329" s="39" t="s">
        <v>4618</v>
      </c>
      <c r="R1329" s="35" t="s">
        <v>916</v>
      </c>
      <c r="S1329" s="35"/>
      <c r="T1329" s="35" t="s">
        <v>1701</v>
      </c>
      <c r="U1329" s="40">
        <v>45999</v>
      </c>
      <c r="V1329" s="41">
        <v>46153.532893518517</v>
      </c>
      <c r="W1329" s="40">
        <v>45998</v>
      </c>
      <c r="X1329" s="35" t="s">
        <v>916</v>
      </c>
      <c r="Y1329" s="35" t="s">
        <v>916</v>
      </c>
      <c r="Z1329" s="35" t="s">
        <v>916</v>
      </c>
      <c r="AA1329" s="38">
        <v>557.77277777760003</v>
      </c>
      <c r="AB1329" s="42" t="s">
        <v>916</v>
      </c>
      <c r="AC1329" s="43" t="s">
        <v>916</v>
      </c>
      <c r="AD1329" s="43" t="s">
        <v>916</v>
      </c>
      <c r="AE1329" s="33" t="s">
        <v>3982</v>
      </c>
      <c r="AF1329" s="35" t="s">
        <v>916</v>
      </c>
      <c r="AG1329" s="44">
        <v>980859.36055555567</v>
      </c>
      <c r="AH1329" s="42" t="s">
        <v>916</v>
      </c>
      <c r="AI1329" s="32" t="e">
        <f>VLOOKUP(A1329,'4月明細'!B:B,1,0)</f>
        <v>#N/A</v>
      </c>
    </row>
    <row r="1330" spans="1:35" ht="19.95" customHeight="1" x14ac:dyDescent="0.3">
      <c r="A1330" s="33" t="s">
        <v>4619</v>
      </c>
      <c r="B1330" s="34">
        <v>45998.141516203701</v>
      </c>
      <c r="C1330" s="34" t="str">
        <f t="shared" si="33"/>
        <v>202512</v>
      </c>
      <c r="D1330" s="35" t="s">
        <v>1217</v>
      </c>
      <c r="E1330" s="36" t="s">
        <v>942</v>
      </c>
      <c r="F1330" s="36" t="s">
        <v>1032</v>
      </c>
      <c r="G1330" s="37" t="s">
        <v>4620</v>
      </c>
      <c r="H1330" s="36" t="s">
        <v>3991</v>
      </c>
      <c r="I1330" s="35"/>
      <c r="J1330" s="36" t="s">
        <v>945</v>
      </c>
      <c r="K1330" s="33" t="s">
        <v>916</v>
      </c>
      <c r="L1330" s="35" t="s">
        <v>916</v>
      </c>
      <c r="M1330" s="36" t="s">
        <v>916</v>
      </c>
      <c r="N1330" s="45">
        <v>46022</v>
      </c>
      <c r="O1330" s="36" t="s">
        <v>25</v>
      </c>
      <c r="P1330" s="38">
        <v>23.8584837963</v>
      </c>
      <c r="Q1330" s="39" t="s">
        <v>4621</v>
      </c>
      <c r="R1330" s="35" t="s">
        <v>916</v>
      </c>
      <c r="S1330" s="35"/>
      <c r="T1330" s="35" t="s">
        <v>1701</v>
      </c>
      <c r="U1330" s="40">
        <v>45999</v>
      </c>
      <c r="V1330" s="41">
        <v>46153.532893518517</v>
      </c>
      <c r="W1330" s="40">
        <v>45998</v>
      </c>
      <c r="X1330" s="35" t="s">
        <v>916</v>
      </c>
      <c r="Y1330" s="35" t="s">
        <v>916</v>
      </c>
      <c r="Z1330" s="35" t="s">
        <v>916</v>
      </c>
      <c r="AA1330" s="38">
        <v>572.60361111120005</v>
      </c>
      <c r="AB1330" s="42" t="s">
        <v>916</v>
      </c>
      <c r="AC1330" s="43" t="s">
        <v>916</v>
      </c>
      <c r="AD1330" s="43" t="s">
        <v>916</v>
      </c>
      <c r="AE1330" s="33" t="s">
        <v>3982</v>
      </c>
      <c r="AF1330" s="35" t="s">
        <v>916</v>
      </c>
      <c r="AG1330" s="44">
        <v>490299.39638888888</v>
      </c>
      <c r="AH1330" s="42" t="s">
        <v>916</v>
      </c>
      <c r="AI1330" s="32" t="e">
        <f>VLOOKUP(A1330,'4月明細'!B:B,1,0)</f>
        <v>#N/A</v>
      </c>
    </row>
    <row r="1331" spans="1:35" ht="19.95" customHeight="1" x14ac:dyDescent="0.3">
      <c r="A1331" s="33" t="s">
        <v>4622</v>
      </c>
      <c r="B1331" s="34">
        <v>45997.625972222224</v>
      </c>
      <c r="C1331" s="34" t="str">
        <f t="shared" si="33"/>
        <v>202512</v>
      </c>
      <c r="D1331" s="35" t="s">
        <v>909</v>
      </c>
      <c r="E1331" s="36" t="s">
        <v>910</v>
      </c>
      <c r="F1331" s="36" t="s">
        <v>1050</v>
      </c>
      <c r="G1331" s="37" t="s">
        <v>1096</v>
      </c>
      <c r="H1331" s="36" t="s">
        <v>3979</v>
      </c>
      <c r="I1331" s="35" t="s">
        <v>4623</v>
      </c>
      <c r="J1331" s="36" t="s">
        <v>914</v>
      </c>
      <c r="K1331" s="33" t="s">
        <v>916</v>
      </c>
      <c r="L1331" s="35" t="s">
        <v>916</v>
      </c>
      <c r="M1331" s="36" t="s">
        <v>917</v>
      </c>
      <c r="N1331" s="45">
        <v>46022</v>
      </c>
      <c r="O1331" s="36" t="s">
        <v>25</v>
      </c>
      <c r="P1331" s="38">
        <v>24.374027777799999</v>
      </c>
      <c r="Q1331" s="39" t="s">
        <v>4624</v>
      </c>
      <c r="R1331" s="35" t="s">
        <v>916</v>
      </c>
      <c r="S1331" s="35"/>
      <c r="T1331" s="35" t="s">
        <v>1701</v>
      </c>
      <c r="U1331" s="40">
        <v>45998</v>
      </c>
      <c r="V1331" s="41">
        <v>46153.532893518517</v>
      </c>
      <c r="W1331" s="40">
        <v>45997</v>
      </c>
      <c r="X1331" s="35" t="s">
        <v>916</v>
      </c>
      <c r="Y1331" s="35" t="s">
        <v>916</v>
      </c>
      <c r="Z1331" s="35" t="s">
        <v>916</v>
      </c>
      <c r="AA1331" s="38">
        <v>584.97666666719999</v>
      </c>
      <c r="AB1331" s="42" t="s">
        <v>916</v>
      </c>
      <c r="AC1331" s="43" t="s">
        <v>916</v>
      </c>
      <c r="AD1331" s="43" t="s">
        <v>916</v>
      </c>
      <c r="AE1331" s="33" t="s">
        <v>3982</v>
      </c>
      <c r="AF1331" s="35" t="s">
        <v>916</v>
      </c>
      <c r="AG1331" s="44">
        <v>490287.02333333337</v>
      </c>
      <c r="AH1331" s="42" t="s">
        <v>916</v>
      </c>
      <c r="AI1331" s="32" t="e">
        <f>VLOOKUP(A1331,'4月明細'!B:B,1,0)</f>
        <v>#N/A</v>
      </c>
    </row>
    <row r="1332" spans="1:35" ht="19.95" customHeight="1" x14ac:dyDescent="0.3">
      <c r="A1332" s="33" t="s">
        <v>4625</v>
      </c>
      <c r="B1332" s="34">
        <v>45997.583171296297</v>
      </c>
      <c r="C1332" s="34" t="str">
        <f t="shared" si="33"/>
        <v>202512</v>
      </c>
      <c r="D1332" s="35" t="s">
        <v>909</v>
      </c>
      <c r="E1332" s="36" t="s">
        <v>910</v>
      </c>
      <c r="F1332" s="36" t="s">
        <v>1237</v>
      </c>
      <c r="G1332" s="37" t="s">
        <v>4626</v>
      </c>
      <c r="H1332" s="36" t="s">
        <v>4162</v>
      </c>
      <c r="I1332" s="35" t="s">
        <v>4627</v>
      </c>
      <c r="J1332" s="36" t="s">
        <v>914</v>
      </c>
      <c r="K1332" s="33" t="s">
        <v>916</v>
      </c>
      <c r="L1332" s="35" t="s">
        <v>916</v>
      </c>
      <c r="M1332" s="36" t="s">
        <v>917</v>
      </c>
      <c r="N1332" s="45">
        <v>46022</v>
      </c>
      <c r="O1332" s="36" t="s">
        <v>25</v>
      </c>
      <c r="P1332" s="38">
        <v>24.416828703699998</v>
      </c>
      <c r="Q1332" s="39" t="s">
        <v>4628</v>
      </c>
      <c r="R1332" s="35" t="s">
        <v>916</v>
      </c>
      <c r="S1332" s="35" t="s">
        <v>4629</v>
      </c>
      <c r="T1332" s="35" t="s">
        <v>1701</v>
      </c>
      <c r="U1332" s="40">
        <v>45998</v>
      </c>
      <c r="V1332" s="41">
        <v>46153.532893518517</v>
      </c>
      <c r="W1332" s="40">
        <v>45997</v>
      </c>
      <c r="X1332" s="35" t="s">
        <v>916</v>
      </c>
      <c r="Y1332" s="35" t="s">
        <v>916</v>
      </c>
      <c r="Z1332" s="35" t="s">
        <v>916</v>
      </c>
      <c r="AA1332" s="38">
        <v>586.00388888880002</v>
      </c>
      <c r="AB1332" s="42" t="s">
        <v>916</v>
      </c>
      <c r="AC1332" s="43" t="s">
        <v>916</v>
      </c>
      <c r="AD1332" s="43" t="s">
        <v>916</v>
      </c>
      <c r="AE1332" s="33" t="s">
        <v>3982</v>
      </c>
      <c r="AF1332" s="35" t="s">
        <v>916</v>
      </c>
      <c r="AG1332" s="44">
        <v>490285.99611111108</v>
      </c>
      <c r="AH1332" s="42" t="s">
        <v>916</v>
      </c>
      <c r="AI1332" s="32" t="e">
        <f>VLOOKUP(A1332,'4月明細'!B:B,1,0)</f>
        <v>#N/A</v>
      </c>
    </row>
    <row r="1333" spans="1:35" ht="19.95" customHeight="1" x14ac:dyDescent="0.3">
      <c r="A1333" s="33" t="s">
        <v>4630</v>
      </c>
      <c r="B1333" s="34">
        <v>45997.462905092594</v>
      </c>
      <c r="C1333" s="34" t="str">
        <f t="shared" si="33"/>
        <v>202512</v>
      </c>
      <c r="D1333" s="35" t="s">
        <v>2278</v>
      </c>
      <c r="E1333" s="36" t="s">
        <v>910</v>
      </c>
      <c r="F1333" s="36" t="s">
        <v>1745</v>
      </c>
      <c r="G1333" s="37" t="s">
        <v>2197</v>
      </c>
      <c r="H1333" s="36" t="s">
        <v>956</v>
      </c>
      <c r="I1333" s="35"/>
      <c r="J1333" s="36" t="s">
        <v>914</v>
      </c>
      <c r="K1333" s="33" t="s">
        <v>916</v>
      </c>
      <c r="L1333" s="35" t="s">
        <v>916</v>
      </c>
      <c r="M1333" s="36" t="s">
        <v>917</v>
      </c>
      <c r="N1333" s="45">
        <v>46022</v>
      </c>
      <c r="O1333" s="36" t="s">
        <v>25</v>
      </c>
      <c r="P1333" s="38">
        <v>24.5370949074</v>
      </c>
      <c r="Q1333" s="39" t="s">
        <v>4631</v>
      </c>
      <c r="R1333" s="35" t="s">
        <v>916</v>
      </c>
      <c r="S1333" s="35" t="s">
        <v>4632</v>
      </c>
      <c r="T1333" s="35" t="s">
        <v>1701</v>
      </c>
      <c r="U1333" s="40">
        <v>45998</v>
      </c>
      <c r="V1333" s="41">
        <v>46153.532893518517</v>
      </c>
      <c r="W1333" s="40">
        <v>45997</v>
      </c>
      <c r="X1333" s="35" t="s">
        <v>916</v>
      </c>
      <c r="Y1333" s="35" t="s">
        <v>916</v>
      </c>
      <c r="Z1333" s="35" t="s">
        <v>916</v>
      </c>
      <c r="AA1333" s="38">
        <v>588.89027777759998</v>
      </c>
      <c r="AB1333" s="42" t="s">
        <v>916</v>
      </c>
      <c r="AC1333" s="43" t="s">
        <v>916</v>
      </c>
      <c r="AD1333" s="43" t="s">
        <v>916</v>
      </c>
      <c r="AE1333" s="33" t="s">
        <v>3982</v>
      </c>
      <c r="AF1333" s="35" t="s">
        <v>916</v>
      </c>
      <c r="AG1333" s="44">
        <v>490283.10972222232</v>
      </c>
      <c r="AH1333" s="42" t="s">
        <v>916</v>
      </c>
      <c r="AI1333" s="32" t="e">
        <f>VLOOKUP(A1333,'4月明細'!B:B,1,0)</f>
        <v>#N/A</v>
      </c>
    </row>
    <row r="1334" spans="1:35" ht="19.95" customHeight="1" x14ac:dyDescent="0.3">
      <c r="A1334" s="33" t="s">
        <v>4633</v>
      </c>
      <c r="B1334" s="34">
        <v>45997.456319444442</v>
      </c>
      <c r="C1334" s="34" t="str">
        <f t="shared" si="33"/>
        <v>202512</v>
      </c>
      <c r="D1334" s="35" t="s">
        <v>2278</v>
      </c>
      <c r="E1334" s="36" t="s">
        <v>910</v>
      </c>
      <c r="F1334" s="36" t="s">
        <v>1564</v>
      </c>
      <c r="G1334" s="37" t="s">
        <v>4634</v>
      </c>
      <c r="H1334" s="36" t="s">
        <v>970</v>
      </c>
      <c r="I1334" s="35"/>
      <c r="J1334" s="36" t="s">
        <v>914</v>
      </c>
      <c r="K1334" s="33" t="s">
        <v>916</v>
      </c>
      <c r="L1334" s="35" t="s">
        <v>916</v>
      </c>
      <c r="M1334" s="36" t="s">
        <v>916</v>
      </c>
      <c r="N1334" s="45">
        <v>46022</v>
      </c>
      <c r="O1334" s="36" t="s">
        <v>25</v>
      </c>
      <c r="P1334" s="38">
        <v>24.543680555600002</v>
      </c>
      <c r="Q1334" s="39" t="s">
        <v>4635</v>
      </c>
      <c r="R1334" s="35" t="s">
        <v>916</v>
      </c>
      <c r="S1334" s="35" t="s">
        <v>4636</v>
      </c>
      <c r="T1334" s="35" t="s">
        <v>1701</v>
      </c>
      <c r="U1334" s="40">
        <v>45998</v>
      </c>
      <c r="V1334" s="41">
        <v>46153.532893518517</v>
      </c>
      <c r="W1334" s="40">
        <v>45997</v>
      </c>
      <c r="X1334" s="35" t="s">
        <v>916</v>
      </c>
      <c r="Y1334" s="35" t="s">
        <v>916</v>
      </c>
      <c r="Z1334" s="35" t="s">
        <v>916</v>
      </c>
      <c r="AA1334" s="38">
        <v>589.04833333440001</v>
      </c>
      <c r="AB1334" s="42" t="s">
        <v>916</v>
      </c>
      <c r="AC1334" s="43" t="s">
        <v>916</v>
      </c>
      <c r="AD1334" s="43" t="s">
        <v>916</v>
      </c>
      <c r="AE1334" s="33" t="s">
        <v>3982</v>
      </c>
      <c r="AF1334" s="35" t="s">
        <v>916</v>
      </c>
      <c r="AG1334" s="44">
        <v>490282.95166666672</v>
      </c>
      <c r="AH1334" s="42" t="s">
        <v>916</v>
      </c>
      <c r="AI1334" s="32" t="e">
        <f>VLOOKUP(A1334,'4月明細'!B:B,1,0)</f>
        <v>#N/A</v>
      </c>
    </row>
    <row r="1335" spans="1:35" ht="19.95" customHeight="1" x14ac:dyDescent="0.3">
      <c r="A1335" s="33" t="s">
        <v>4637</v>
      </c>
      <c r="B1335" s="34">
        <v>45997.134756944448</v>
      </c>
      <c r="C1335" s="34" t="str">
        <f t="shared" si="33"/>
        <v>202512</v>
      </c>
      <c r="D1335" s="35" t="s">
        <v>1217</v>
      </c>
      <c r="E1335" s="36" t="s">
        <v>942</v>
      </c>
      <c r="F1335" s="36" t="s">
        <v>952</v>
      </c>
      <c r="G1335" s="37" t="s">
        <v>4638</v>
      </c>
      <c r="H1335" s="36" t="s">
        <v>913</v>
      </c>
      <c r="I1335" s="35"/>
      <c r="J1335" s="36" t="s">
        <v>945</v>
      </c>
      <c r="K1335" s="33" t="s">
        <v>916</v>
      </c>
      <c r="L1335" s="35" t="s">
        <v>916</v>
      </c>
      <c r="M1335" s="36" t="s">
        <v>916</v>
      </c>
      <c r="N1335" s="45">
        <v>46022</v>
      </c>
      <c r="O1335" s="36" t="s">
        <v>25</v>
      </c>
      <c r="P1335" s="38">
        <v>24.865243055600001</v>
      </c>
      <c r="Q1335" s="39" t="s">
        <v>4639</v>
      </c>
      <c r="R1335" s="35" t="s">
        <v>916</v>
      </c>
      <c r="S1335" s="35"/>
      <c r="T1335" s="35" t="s">
        <v>1701</v>
      </c>
      <c r="U1335" s="40">
        <v>45998</v>
      </c>
      <c r="V1335" s="41">
        <v>46153.532893518517</v>
      </c>
      <c r="W1335" s="40">
        <v>45997</v>
      </c>
      <c r="X1335" s="35" t="s">
        <v>916</v>
      </c>
      <c r="Y1335" s="35" t="s">
        <v>916</v>
      </c>
      <c r="Z1335" s="35" t="s">
        <v>916</v>
      </c>
      <c r="AA1335" s="38">
        <v>596.76583333439999</v>
      </c>
      <c r="AB1335" s="42" t="s">
        <v>916</v>
      </c>
      <c r="AC1335" s="43" t="s">
        <v>916</v>
      </c>
      <c r="AD1335" s="43" t="s">
        <v>916</v>
      </c>
      <c r="AE1335" s="33" t="s">
        <v>3982</v>
      </c>
      <c r="AF1335" s="35" t="s">
        <v>916</v>
      </c>
      <c r="AG1335" s="44">
        <v>490275.23416666657</v>
      </c>
      <c r="AH1335" s="42" t="s">
        <v>916</v>
      </c>
      <c r="AI1335" s="32" t="e">
        <f>VLOOKUP(A1335,'4月明細'!B:B,1,0)</f>
        <v>#N/A</v>
      </c>
    </row>
    <row r="1336" spans="1:35" ht="19.95" customHeight="1" x14ac:dyDescent="0.3">
      <c r="A1336" s="33" t="s">
        <v>4640</v>
      </c>
      <c r="B1336" s="34">
        <v>45996.847210648149</v>
      </c>
      <c r="C1336" s="34" t="str">
        <f t="shared" si="33"/>
        <v>202512</v>
      </c>
      <c r="D1336" s="35" t="s">
        <v>951</v>
      </c>
      <c r="E1336" s="36" t="s">
        <v>910</v>
      </c>
      <c r="F1336" s="36" t="s">
        <v>1423</v>
      </c>
      <c r="G1336" s="37" t="s">
        <v>4641</v>
      </c>
      <c r="H1336" s="36" t="s">
        <v>3985</v>
      </c>
      <c r="I1336" s="35" t="s">
        <v>4642</v>
      </c>
      <c r="J1336" s="36" t="s">
        <v>914</v>
      </c>
      <c r="K1336" s="33" t="s">
        <v>916</v>
      </c>
      <c r="L1336" s="35" t="s">
        <v>916</v>
      </c>
      <c r="M1336" s="36" t="s">
        <v>916</v>
      </c>
      <c r="N1336" s="45">
        <v>46022</v>
      </c>
      <c r="O1336" s="36" t="s">
        <v>25</v>
      </c>
      <c r="P1336" s="38">
        <v>25.152789351900001</v>
      </c>
      <c r="Q1336" s="39" t="s">
        <v>4643</v>
      </c>
      <c r="R1336" s="35" t="s">
        <v>916</v>
      </c>
      <c r="S1336" s="35" t="s">
        <v>4644</v>
      </c>
      <c r="T1336" s="35" t="s">
        <v>1701</v>
      </c>
      <c r="U1336" s="40">
        <v>45997</v>
      </c>
      <c r="V1336" s="41">
        <v>46153.532893518517</v>
      </c>
      <c r="W1336" s="40">
        <v>45997</v>
      </c>
      <c r="X1336" s="35" t="s">
        <v>916</v>
      </c>
      <c r="Y1336" s="35" t="s">
        <v>916</v>
      </c>
      <c r="Z1336" s="35" t="s">
        <v>916</v>
      </c>
      <c r="AA1336" s="38">
        <v>603.66694444560005</v>
      </c>
      <c r="AB1336" s="42" t="s">
        <v>916</v>
      </c>
      <c r="AC1336" s="43" t="s">
        <v>916</v>
      </c>
      <c r="AD1336" s="43" t="s">
        <v>916</v>
      </c>
      <c r="AE1336" s="33" t="s">
        <v>3982</v>
      </c>
      <c r="AF1336" s="35" t="s">
        <v>916</v>
      </c>
      <c r="AG1336" s="44">
        <v>490268.33305555559</v>
      </c>
      <c r="AH1336" s="42" t="s">
        <v>916</v>
      </c>
      <c r="AI1336" s="32" t="e">
        <f>VLOOKUP(A1336,'4月明細'!B:B,1,0)</f>
        <v>#N/A</v>
      </c>
    </row>
    <row r="1337" spans="1:35" ht="19.95" customHeight="1" x14ac:dyDescent="0.3">
      <c r="A1337" s="33" t="s">
        <v>4645</v>
      </c>
      <c r="B1337" s="34">
        <v>45996.846226851849</v>
      </c>
      <c r="C1337" s="34" t="str">
        <f t="shared" si="33"/>
        <v>202512</v>
      </c>
      <c r="D1337" s="35" t="s">
        <v>951</v>
      </c>
      <c r="E1337" s="36" t="s">
        <v>910</v>
      </c>
      <c r="F1337" s="36" t="s">
        <v>1441</v>
      </c>
      <c r="G1337" s="37" t="s">
        <v>4646</v>
      </c>
      <c r="H1337" s="36" t="s">
        <v>4029</v>
      </c>
      <c r="I1337" s="35" t="s">
        <v>4647</v>
      </c>
      <c r="J1337" s="36" t="s">
        <v>1058</v>
      </c>
      <c r="K1337" s="33" t="s">
        <v>916</v>
      </c>
      <c r="L1337" s="35" t="s">
        <v>916</v>
      </c>
      <c r="M1337" s="36" t="s">
        <v>916</v>
      </c>
      <c r="N1337" s="45">
        <v>46022</v>
      </c>
      <c r="O1337" s="36" t="s">
        <v>25</v>
      </c>
      <c r="P1337" s="38">
        <v>25.153773148100001</v>
      </c>
      <c r="Q1337" s="39" t="s">
        <v>4648</v>
      </c>
      <c r="R1337" s="35" t="s">
        <v>916</v>
      </c>
      <c r="S1337" s="35"/>
      <c r="T1337" s="35" t="s">
        <v>1701</v>
      </c>
      <c r="U1337" s="40">
        <v>45997</v>
      </c>
      <c r="V1337" s="41">
        <v>46153.532893518517</v>
      </c>
      <c r="W1337" s="40">
        <v>45997</v>
      </c>
      <c r="X1337" s="35" t="s">
        <v>916</v>
      </c>
      <c r="Y1337" s="35" t="s">
        <v>916</v>
      </c>
      <c r="Z1337" s="35" t="s">
        <v>916</v>
      </c>
      <c r="AA1337" s="38">
        <v>603.69055555440002</v>
      </c>
      <c r="AB1337" s="42" t="s">
        <v>916</v>
      </c>
      <c r="AC1337" s="43" t="s">
        <v>916</v>
      </c>
      <c r="AD1337" s="43" t="s">
        <v>916</v>
      </c>
      <c r="AE1337" s="33" t="s">
        <v>3982</v>
      </c>
      <c r="AF1337" s="35" t="s">
        <v>916</v>
      </c>
      <c r="AG1337" s="44">
        <v>490268.30944444449</v>
      </c>
      <c r="AH1337" s="42" t="s">
        <v>916</v>
      </c>
      <c r="AI1337" s="32" t="e">
        <f>VLOOKUP(A1337,'4月明細'!B:B,1,0)</f>
        <v>#N/A</v>
      </c>
    </row>
    <row r="1338" spans="1:35" ht="19.95" customHeight="1" x14ac:dyDescent="0.3">
      <c r="A1338" s="33" t="s">
        <v>4649</v>
      </c>
      <c r="B1338" s="34">
        <v>45996.710925925923</v>
      </c>
      <c r="C1338" s="34" t="str">
        <f t="shared" si="33"/>
        <v>202512</v>
      </c>
      <c r="D1338" s="35" t="s">
        <v>1198</v>
      </c>
      <c r="E1338" s="36" t="s">
        <v>1199</v>
      </c>
      <c r="F1338" s="36" t="s">
        <v>1243</v>
      </c>
      <c r="G1338" s="37" t="s">
        <v>4650</v>
      </c>
      <c r="H1338" s="36" t="s">
        <v>4267</v>
      </c>
      <c r="I1338" s="35" t="s">
        <v>4651</v>
      </c>
      <c r="J1338" s="36" t="s">
        <v>938</v>
      </c>
      <c r="K1338" s="33" t="s">
        <v>916</v>
      </c>
      <c r="L1338" s="35" t="s">
        <v>916</v>
      </c>
      <c r="M1338" s="36" t="s">
        <v>957</v>
      </c>
      <c r="N1338" s="45">
        <v>46022</v>
      </c>
      <c r="O1338" s="36" t="s">
        <v>25</v>
      </c>
      <c r="P1338" s="38">
        <v>25.2890740741</v>
      </c>
      <c r="Q1338" s="39" t="s">
        <v>4652</v>
      </c>
      <c r="R1338" s="35" t="s">
        <v>916</v>
      </c>
      <c r="S1338" s="35" t="s">
        <v>4653</v>
      </c>
      <c r="T1338" s="35" t="s">
        <v>1701</v>
      </c>
      <c r="U1338" s="40">
        <v>45997</v>
      </c>
      <c r="V1338" s="41">
        <v>46153.532893518517</v>
      </c>
      <c r="W1338" s="40">
        <v>45996</v>
      </c>
      <c r="X1338" s="35" t="s">
        <v>916</v>
      </c>
      <c r="Y1338" s="35" t="s">
        <v>916</v>
      </c>
      <c r="Z1338" s="35" t="s">
        <v>916</v>
      </c>
      <c r="AA1338" s="38">
        <v>606.9377777784</v>
      </c>
      <c r="AB1338" s="42" t="s">
        <v>916</v>
      </c>
      <c r="AC1338" s="43" t="s">
        <v>916</v>
      </c>
      <c r="AD1338" s="43" t="s">
        <v>916</v>
      </c>
      <c r="AE1338" s="33" t="s">
        <v>3982</v>
      </c>
      <c r="AF1338" s="35" t="s">
        <v>916</v>
      </c>
      <c r="AG1338" s="44">
        <v>490265.06222222222</v>
      </c>
      <c r="AH1338" s="42" t="s">
        <v>916</v>
      </c>
      <c r="AI1338" s="32" t="e">
        <f>VLOOKUP(A1338,'4月明細'!B:B,1,0)</f>
        <v>#N/A</v>
      </c>
    </row>
    <row r="1339" spans="1:35" ht="19.95" customHeight="1" x14ac:dyDescent="0.3">
      <c r="A1339" s="33" t="s">
        <v>4654</v>
      </c>
      <c r="B1339" s="34">
        <v>45996.654409722221</v>
      </c>
      <c r="C1339" s="34" t="str">
        <f t="shared" si="33"/>
        <v>202512</v>
      </c>
      <c r="D1339" s="35" t="s">
        <v>996</v>
      </c>
      <c r="E1339" s="36" t="s">
        <v>910</v>
      </c>
      <c r="F1339" s="36" t="s">
        <v>2614</v>
      </c>
      <c r="G1339" s="37" t="s">
        <v>4655</v>
      </c>
      <c r="H1339" s="36" t="s">
        <v>3985</v>
      </c>
      <c r="I1339" s="35"/>
      <c r="J1339" s="36" t="s">
        <v>914</v>
      </c>
      <c r="K1339" s="33" t="s">
        <v>916</v>
      </c>
      <c r="L1339" s="35" t="s">
        <v>916</v>
      </c>
      <c r="M1339" s="36" t="s">
        <v>957</v>
      </c>
      <c r="N1339" s="45">
        <v>46022</v>
      </c>
      <c r="O1339" s="36" t="s">
        <v>25</v>
      </c>
      <c r="P1339" s="38">
        <v>25.3455902778</v>
      </c>
      <c r="Q1339" s="39" t="s">
        <v>4656</v>
      </c>
      <c r="R1339" s="35" t="s">
        <v>916</v>
      </c>
      <c r="S1339" s="35"/>
      <c r="T1339" s="35" t="s">
        <v>1701</v>
      </c>
      <c r="U1339" s="40">
        <v>45997</v>
      </c>
      <c r="V1339" s="41">
        <v>46153.532893518517</v>
      </c>
      <c r="W1339" s="40">
        <v>45996</v>
      </c>
      <c r="X1339" s="35" t="s">
        <v>916</v>
      </c>
      <c r="Y1339" s="35" t="s">
        <v>916</v>
      </c>
      <c r="Z1339" s="35" t="s">
        <v>916</v>
      </c>
      <c r="AA1339" s="38">
        <v>608.29416666719999</v>
      </c>
      <c r="AB1339" s="42" t="s">
        <v>916</v>
      </c>
      <c r="AC1339" s="43" t="s">
        <v>916</v>
      </c>
      <c r="AD1339" s="43" t="s">
        <v>916</v>
      </c>
      <c r="AE1339" s="33" t="s">
        <v>3982</v>
      </c>
      <c r="AF1339" s="35" t="s">
        <v>916</v>
      </c>
      <c r="AG1339" s="44">
        <v>490263.70583333331</v>
      </c>
      <c r="AH1339" s="42" t="s">
        <v>916</v>
      </c>
      <c r="AI1339" s="32" t="e">
        <f>VLOOKUP(A1339,'4月明細'!B:B,1,0)</f>
        <v>#N/A</v>
      </c>
    </row>
    <row r="1340" spans="1:35" ht="19.95" customHeight="1" x14ac:dyDescent="0.3">
      <c r="A1340" s="33" t="s">
        <v>4657</v>
      </c>
      <c r="B1340" s="34">
        <v>45996.578958333332</v>
      </c>
      <c r="C1340" s="34" t="str">
        <f t="shared" si="33"/>
        <v>202512</v>
      </c>
      <c r="D1340" s="35" t="s">
        <v>909</v>
      </c>
      <c r="E1340" s="36" t="s">
        <v>910</v>
      </c>
      <c r="F1340" s="36" t="s">
        <v>1282</v>
      </c>
      <c r="G1340" s="37" t="s">
        <v>4658</v>
      </c>
      <c r="H1340" s="36" t="s">
        <v>4029</v>
      </c>
      <c r="I1340" s="35" t="s">
        <v>4659</v>
      </c>
      <c r="J1340" s="36" t="s">
        <v>914</v>
      </c>
      <c r="K1340" s="33" t="s">
        <v>916</v>
      </c>
      <c r="L1340" s="35" t="s">
        <v>916</v>
      </c>
      <c r="M1340" s="36" t="s">
        <v>923</v>
      </c>
      <c r="N1340" s="45">
        <v>46022</v>
      </c>
      <c r="O1340" s="36" t="s">
        <v>25</v>
      </c>
      <c r="P1340" s="38">
        <v>25.421041666699999</v>
      </c>
      <c r="Q1340" s="39" t="s">
        <v>4660</v>
      </c>
      <c r="R1340" s="35" t="s">
        <v>916</v>
      </c>
      <c r="S1340" s="35" t="s">
        <v>4661</v>
      </c>
      <c r="T1340" s="35" t="s">
        <v>1701</v>
      </c>
      <c r="U1340" s="40">
        <v>45997</v>
      </c>
      <c r="V1340" s="41">
        <v>46153.532893518517</v>
      </c>
      <c r="W1340" s="40">
        <v>45996</v>
      </c>
      <c r="X1340" s="35" t="s">
        <v>916</v>
      </c>
      <c r="Y1340" s="35" t="s">
        <v>916</v>
      </c>
      <c r="Z1340" s="35" t="s">
        <v>916</v>
      </c>
      <c r="AA1340" s="38">
        <v>610.10500000080003</v>
      </c>
      <c r="AB1340" s="42" t="s">
        <v>916</v>
      </c>
      <c r="AC1340" s="43" t="s">
        <v>916</v>
      </c>
      <c r="AD1340" s="43" t="s">
        <v>916</v>
      </c>
      <c r="AE1340" s="33" t="s">
        <v>3982</v>
      </c>
      <c r="AF1340" s="35" t="s">
        <v>916</v>
      </c>
      <c r="AG1340" s="44">
        <v>490261.89500000002</v>
      </c>
      <c r="AH1340" s="42" t="s">
        <v>916</v>
      </c>
      <c r="AI1340" s="32" t="e">
        <f>VLOOKUP(A1340,'4月明細'!B:B,1,0)</f>
        <v>#N/A</v>
      </c>
    </row>
    <row r="1341" spans="1:35" ht="19.95" customHeight="1" x14ac:dyDescent="0.3">
      <c r="A1341" s="33" t="s">
        <v>4662</v>
      </c>
      <c r="B1341" s="34">
        <v>45996.524884259263</v>
      </c>
      <c r="C1341" s="34" t="str">
        <f t="shared" si="33"/>
        <v>202512</v>
      </c>
      <c r="D1341" s="35" t="s">
        <v>909</v>
      </c>
      <c r="E1341" s="36" t="s">
        <v>910</v>
      </c>
      <c r="F1341" s="36" t="s">
        <v>2043</v>
      </c>
      <c r="G1341" s="37" t="s">
        <v>4663</v>
      </c>
      <c r="H1341" s="36" t="s">
        <v>4029</v>
      </c>
      <c r="I1341" s="35" t="s">
        <v>4664</v>
      </c>
      <c r="J1341" s="36" t="s">
        <v>914</v>
      </c>
      <c r="K1341" s="33" t="s">
        <v>916</v>
      </c>
      <c r="L1341" s="35" t="s">
        <v>916</v>
      </c>
      <c r="M1341" s="36" t="s">
        <v>916</v>
      </c>
      <c r="N1341" s="45">
        <v>46022</v>
      </c>
      <c r="O1341" s="36" t="s">
        <v>25</v>
      </c>
      <c r="P1341" s="38">
        <v>25.475115740700002</v>
      </c>
      <c r="Q1341" s="39" t="s">
        <v>4665</v>
      </c>
      <c r="R1341" s="35" t="s">
        <v>916</v>
      </c>
      <c r="S1341" s="35"/>
      <c r="T1341" s="35" t="s">
        <v>1701</v>
      </c>
      <c r="U1341" s="40">
        <v>45997</v>
      </c>
      <c r="V1341" s="41">
        <v>46153.532893518517</v>
      </c>
      <c r="W1341" s="40">
        <v>45996</v>
      </c>
      <c r="X1341" s="35" t="s">
        <v>916</v>
      </c>
      <c r="Y1341" s="35" t="s">
        <v>916</v>
      </c>
      <c r="Z1341" s="35" t="s">
        <v>916</v>
      </c>
      <c r="AA1341" s="38">
        <v>611.40277777680001</v>
      </c>
      <c r="AB1341" s="42" t="s">
        <v>916</v>
      </c>
      <c r="AC1341" s="43" t="s">
        <v>916</v>
      </c>
      <c r="AD1341" s="43" t="s">
        <v>916</v>
      </c>
      <c r="AE1341" s="33" t="s">
        <v>3982</v>
      </c>
      <c r="AF1341" s="35" t="s">
        <v>916</v>
      </c>
      <c r="AG1341" s="44">
        <v>490260.59722222219</v>
      </c>
      <c r="AH1341" s="42" t="s">
        <v>916</v>
      </c>
      <c r="AI1341" s="32" t="e">
        <f>VLOOKUP(A1341,'4月明細'!B:B,1,0)</f>
        <v>#N/A</v>
      </c>
    </row>
    <row r="1342" spans="1:35" ht="19.95" customHeight="1" x14ac:dyDescent="0.3">
      <c r="A1342" s="33" t="s">
        <v>4666</v>
      </c>
      <c r="B1342" s="34">
        <v>45996.514074074075</v>
      </c>
      <c r="C1342" s="34" t="str">
        <f t="shared" si="33"/>
        <v>202512</v>
      </c>
      <c r="D1342" s="35" t="s">
        <v>909</v>
      </c>
      <c r="E1342" s="36" t="s">
        <v>910</v>
      </c>
      <c r="F1342" s="36" t="s">
        <v>1768</v>
      </c>
      <c r="G1342" s="37" t="s">
        <v>4667</v>
      </c>
      <c r="H1342" s="36" t="s">
        <v>4162</v>
      </c>
      <c r="I1342" s="35" t="s">
        <v>4668</v>
      </c>
      <c r="J1342" s="36" t="s">
        <v>914</v>
      </c>
      <c r="K1342" s="33" t="s">
        <v>916</v>
      </c>
      <c r="L1342" s="35" t="s">
        <v>916</v>
      </c>
      <c r="M1342" s="36" t="s">
        <v>916</v>
      </c>
      <c r="N1342" s="45">
        <v>46022</v>
      </c>
      <c r="O1342" s="36" t="s">
        <v>25</v>
      </c>
      <c r="P1342" s="38">
        <v>25.485925925899998</v>
      </c>
      <c r="Q1342" s="39" t="s">
        <v>4669</v>
      </c>
      <c r="R1342" s="35" t="s">
        <v>916</v>
      </c>
      <c r="S1342" s="35"/>
      <c r="T1342" s="35" t="s">
        <v>1701</v>
      </c>
      <c r="U1342" s="40">
        <v>45997</v>
      </c>
      <c r="V1342" s="41">
        <v>46153.532893518517</v>
      </c>
      <c r="W1342" s="40">
        <v>45996</v>
      </c>
      <c r="X1342" s="35" t="s">
        <v>916</v>
      </c>
      <c r="Y1342" s="35" t="s">
        <v>916</v>
      </c>
      <c r="Z1342" s="35" t="s">
        <v>916</v>
      </c>
      <c r="AA1342" s="38">
        <v>611.66222222160002</v>
      </c>
      <c r="AB1342" s="42" t="s">
        <v>916</v>
      </c>
      <c r="AC1342" s="43" t="s">
        <v>916</v>
      </c>
      <c r="AD1342" s="43" t="s">
        <v>916</v>
      </c>
      <c r="AE1342" s="33" t="s">
        <v>3982</v>
      </c>
      <c r="AF1342" s="35" t="s">
        <v>916</v>
      </c>
      <c r="AG1342" s="44">
        <v>490260.33777777781</v>
      </c>
      <c r="AH1342" s="42" t="s">
        <v>916</v>
      </c>
      <c r="AI1342" s="32" t="e">
        <f>VLOOKUP(A1342,'4月明細'!B:B,1,0)</f>
        <v>#N/A</v>
      </c>
    </row>
    <row r="1343" spans="1:35" ht="19.95" customHeight="1" x14ac:dyDescent="0.3">
      <c r="A1343" s="33" t="s">
        <v>4670</v>
      </c>
      <c r="B1343" s="34">
        <v>45996.510740740741</v>
      </c>
      <c r="C1343" s="34" t="str">
        <f t="shared" si="33"/>
        <v>202512</v>
      </c>
      <c r="D1343" s="35" t="s">
        <v>996</v>
      </c>
      <c r="E1343" s="36" t="s">
        <v>1112</v>
      </c>
      <c r="F1343" s="36" t="s">
        <v>2300</v>
      </c>
      <c r="G1343" s="37" t="s">
        <v>4117</v>
      </c>
      <c r="H1343" s="36" t="s">
        <v>913</v>
      </c>
      <c r="I1343" s="35"/>
      <c r="J1343" s="36" t="s">
        <v>914</v>
      </c>
      <c r="K1343" s="33" t="s">
        <v>916</v>
      </c>
      <c r="L1343" s="35" t="s">
        <v>916</v>
      </c>
      <c r="M1343" s="36" t="s">
        <v>916</v>
      </c>
      <c r="N1343" s="45">
        <v>46022</v>
      </c>
      <c r="O1343" s="36" t="s">
        <v>25</v>
      </c>
      <c r="P1343" s="38">
        <v>25.489259259299999</v>
      </c>
      <c r="Q1343" s="39" t="s">
        <v>4671</v>
      </c>
      <c r="R1343" s="35" t="s">
        <v>916</v>
      </c>
      <c r="S1343" s="35" t="s">
        <v>4672</v>
      </c>
      <c r="T1343" s="35" t="s">
        <v>1701</v>
      </c>
      <c r="U1343" s="40">
        <v>45997</v>
      </c>
      <c r="V1343" s="41">
        <v>46153.532893518517</v>
      </c>
      <c r="W1343" s="40">
        <v>45996</v>
      </c>
      <c r="X1343" s="35" t="s">
        <v>916</v>
      </c>
      <c r="Y1343" s="35" t="s">
        <v>916</v>
      </c>
      <c r="Z1343" s="35" t="s">
        <v>916</v>
      </c>
      <c r="AA1343" s="38">
        <v>611.74222222319997</v>
      </c>
      <c r="AB1343" s="42" t="s">
        <v>916</v>
      </c>
      <c r="AC1343" s="43" t="s">
        <v>916</v>
      </c>
      <c r="AD1343" s="43" t="s">
        <v>916</v>
      </c>
      <c r="AE1343" s="33" t="s">
        <v>3982</v>
      </c>
      <c r="AF1343" s="35" t="s">
        <v>916</v>
      </c>
      <c r="AG1343" s="44">
        <v>490260.25777777779</v>
      </c>
      <c r="AH1343" s="42" t="s">
        <v>916</v>
      </c>
      <c r="AI1343" s="32" t="e">
        <f>VLOOKUP(A1343,'4月明細'!B:B,1,0)</f>
        <v>#N/A</v>
      </c>
    </row>
    <row r="1344" spans="1:35" ht="19.95" customHeight="1" x14ac:dyDescent="0.3">
      <c r="A1344" s="33" t="s">
        <v>4673</v>
      </c>
      <c r="B1344" s="34">
        <v>45996.107604166667</v>
      </c>
      <c r="C1344" s="34" t="str">
        <f t="shared" si="33"/>
        <v>202512</v>
      </c>
      <c r="D1344" s="35" t="s">
        <v>1217</v>
      </c>
      <c r="E1344" s="36" t="s">
        <v>942</v>
      </c>
      <c r="F1344" s="36" t="s">
        <v>2080</v>
      </c>
      <c r="G1344" s="37" t="s">
        <v>4674</v>
      </c>
      <c r="H1344" s="36" t="s">
        <v>913</v>
      </c>
      <c r="I1344" s="35"/>
      <c r="J1344" s="36" t="s">
        <v>945</v>
      </c>
      <c r="K1344" s="33" t="s">
        <v>916</v>
      </c>
      <c r="L1344" s="35" t="s">
        <v>916</v>
      </c>
      <c r="M1344" s="36" t="s">
        <v>916</v>
      </c>
      <c r="N1344" s="45">
        <v>46022</v>
      </c>
      <c r="O1344" s="36" t="s">
        <v>25</v>
      </c>
      <c r="P1344" s="38">
        <v>25.8923958333</v>
      </c>
      <c r="Q1344" s="39" t="s">
        <v>4675</v>
      </c>
      <c r="R1344" s="35" t="s">
        <v>916</v>
      </c>
      <c r="S1344" s="35" t="s">
        <v>4676</v>
      </c>
      <c r="T1344" s="35" t="s">
        <v>1701</v>
      </c>
      <c r="U1344" s="40">
        <v>45997</v>
      </c>
      <c r="V1344" s="41">
        <v>46153.532893518517</v>
      </c>
      <c r="W1344" s="40">
        <v>45996</v>
      </c>
      <c r="X1344" s="35" t="s">
        <v>916</v>
      </c>
      <c r="Y1344" s="35" t="s">
        <v>916</v>
      </c>
      <c r="Z1344" s="35" t="s">
        <v>916</v>
      </c>
      <c r="AA1344" s="38">
        <v>621.4174999992</v>
      </c>
      <c r="AB1344" s="42" t="s">
        <v>916</v>
      </c>
      <c r="AC1344" s="43" t="s">
        <v>916</v>
      </c>
      <c r="AD1344" s="43" t="s">
        <v>916</v>
      </c>
      <c r="AE1344" s="33" t="s">
        <v>3982</v>
      </c>
      <c r="AF1344" s="35" t="s">
        <v>916</v>
      </c>
      <c r="AG1344" s="44">
        <v>490250.58250000002</v>
      </c>
      <c r="AH1344" s="42" t="s">
        <v>916</v>
      </c>
      <c r="AI1344" s="32" t="e">
        <f>VLOOKUP(A1344,'4月明細'!B:B,1,0)</f>
        <v>#N/A</v>
      </c>
    </row>
    <row r="1345" spans="1:35" ht="19.95" customHeight="1" x14ac:dyDescent="0.3">
      <c r="A1345" s="33" t="s">
        <v>4677</v>
      </c>
      <c r="B1345" s="34">
        <v>45995.601921296293</v>
      </c>
      <c r="C1345" s="34" t="str">
        <f t="shared" si="33"/>
        <v>202512</v>
      </c>
      <c r="D1345" s="35" t="s">
        <v>996</v>
      </c>
      <c r="E1345" s="36" t="s">
        <v>910</v>
      </c>
      <c r="F1345" s="36" t="s">
        <v>1748</v>
      </c>
      <c r="G1345" s="37" t="s">
        <v>4678</v>
      </c>
      <c r="H1345" s="36" t="s">
        <v>1079</v>
      </c>
      <c r="I1345" s="35"/>
      <c r="J1345" s="36" t="s">
        <v>929</v>
      </c>
      <c r="K1345" s="33" t="s">
        <v>916</v>
      </c>
      <c r="L1345" s="35" t="s">
        <v>916</v>
      </c>
      <c r="M1345" s="36" t="s">
        <v>957</v>
      </c>
      <c r="N1345" s="45">
        <v>46022</v>
      </c>
      <c r="O1345" s="36" t="s">
        <v>25</v>
      </c>
      <c r="P1345" s="38">
        <v>26.398078703700001</v>
      </c>
      <c r="Q1345" s="39" t="s">
        <v>4679</v>
      </c>
      <c r="R1345" s="35" t="s">
        <v>916</v>
      </c>
      <c r="S1345" s="35" t="s">
        <v>4680</v>
      </c>
      <c r="T1345" s="35" t="s">
        <v>1701</v>
      </c>
      <c r="U1345" s="40">
        <v>45996</v>
      </c>
      <c r="V1345" s="41">
        <v>46153.532893518517</v>
      </c>
      <c r="W1345" s="40">
        <v>45995</v>
      </c>
      <c r="X1345" s="35" t="s">
        <v>916</v>
      </c>
      <c r="Y1345" s="35" t="s">
        <v>916</v>
      </c>
      <c r="Z1345" s="35" t="s">
        <v>916</v>
      </c>
      <c r="AA1345" s="38">
        <v>633.55388888879997</v>
      </c>
      <c r="AB1345" s="42" t="s">
        <v>916</v>
      </c>
      <c r="AC1345" s="43" t="s">
        <v>916</v>
      </c>
      <c r="AD1345" s="43" t="s">
        <v>916</v>
      </c>
      <c r="AE1345" s="33" t="s">
        <v>3982</v>
      </c>
      <c r="AF1345" s="35" t="s">
        <v>916</v>
      </c>
      <c r="AG1345" s="44">
        <v>490238.44611111109</v>
      </c>
      <c r="AH1345" s="42" t="s">
        <v>916</v>
      </c>
      <c r="AI1345" s="32" t="e">
        <f>VLOOKUP(A1345,'4月明細'!B:B,1,0)</f>
        <v>#N/A</v>
      </c>
    </row>
    <row r="1346" spans="1:35" ht="19.95" customHeight="1" x14ac:dyDescent="0.3">
      <c r="A1346" s="33" t="s">
        <v>4681</v>
      </c>
      <c r="B1346" s="34">
        <v>45995.560300925928</v>
      </c>
      <c r="C1346" s="34" t="str">
        <f t="shared" si="33"/>
        <v>202512</v>
      </c>
      <c r="D1346" s="35" t="s">
        <v>996</v>
      </c>
      <c r="E1346" s="36" t="s">
        <v>1112</v>
      </c>
      <c r="F1346" s="36" t="s">
        <v>1253</v>
      </c>
      <c r="G1346" s="37" t="s">
        <v>4682</v>
      </c>
      <c r="H1346" s="36" t="s">
        <v>4683</v>
      </c>
      <c r="I1346" s="35"/>
      <c r="J1346" s="36" t="s">
        <v>929</v>
      </c>
      <c r="K1346" s="33" t="s">
        <v>916</v>
      </c>
      <c r="L1346" s="35" t="s">
        <v>916</v>
      </c>
      <c r="M1346" s="36" t="s">
        <v>957</v>
      </c>
      <c r="N1346" s="45">
        <v>46022</v>
      </c>
      <c r="O1346" s="36" t="s">
        <v>25</v>
      </c>
      <c r="P1346" s="38">
        <v>26.439699074100002</v>
      </c>
      <c r="Q1346" s="39" t="s">
        <v>4684</v>
      </c>
      <c r="R1346" s="35" t="s">
        <v>916</v>
      </c>
      <c r="S1346" s="35" t="s">
        <v>4685</v>
      </c>
      <c r="T1346" s="35" t="s">
        <v>1701</v>
      </c>
      <c r="U1346" s="40">
        <v>45996</v>
      </c>
      <c r="V1346" s="41">
        <v>46153.532893518517</v>
      </c>
      <c r="W1346" s="40">
        <v>45995</v>
      </c>
      <c r="X1346" s="35" t="s">
        <v>916</v>
      </c>
      <c r="Y1346" s="35" t="s">
        <v>916</v>
      </c>
      <c r="Z1346" s="35" t="s">
        <v>916</v>
      </c>
      <c r="AA1346" s="38">
        <v>634.55277777840001</v>
      </c>
      <c r="AB1346" s="42" t="s">
        <v>916</v>
      </c>
      <c r="AC1346" s="43" t="s">
        <v>916</v>
      </c>
      <c r="AD1346" s="43" t="s">
        <v>916</v>
      </c>
      <c r="AE1346" s="33" t="s">
        <v>3982</v>
      </c>
      <c r="AF1346" s="35" t="s">
        <v>916</v>
      </c>
      <c r="AG1346" s="44">
        <v>490237.44722222222</v>
      </c>
      <c r="AH1346" s="42" t="s">
        <v>916</v>
      </c>
      <c r="AI1346" s="32" t="e">
        <f>VLOOKUP(A1346,'4月明細'!B:B,1,0)</f>
        <v>#N/A</v>
      </c>
    </row>
    <row r="1347" spans="1:35" ht="19.95" customHeight="1" x14ac:dyDescent="0.3">
      <c r="A1347" s="33" t="s">
        <v>4686</v>
      </c>
      <c r="B1347" s="34">
        <v>45995.493726851855</v>
      </c>
      <c r="C1347" s="34" t="str">
        <f t="shared" ref="C1347:C1410" si="34">TEXT(B1347,"YYYYMM")</f>
        <v>202512</v>
      </c>
      <c r="D1347" s="35" t="s">
        <v>2278</v>
      </c>
      <c r="E1347" s="36" t="s">
        <v>910</v>
      </c>
      <c r="F1347" s="36" t="s">
        <v>1133</v>
      </c>
      <c r="G1347" s="37" t="s">
        <v>4687</v>
      </c>
      <c r="H1347" s="36" t="s">
        <v>1079</v>
      </c>
      <c r="I1347" s="35"/>
      <c r="J1347" s="36" t="s">
        <v>945</v>
      </c>
      <c r="K1347" s="33" t="s">
        <v>916</v>
      </c>
      <c r="L1347" s="35" t="s">
        <v>916</v>
      </c>
      <c r="M1347" s="36" t="s">
        <v>957</v>
      </c>
      <c r="N1347" s="45">
        <v>46022</v>
      </c>
      <c r="O1347" s="36" t="s">
        <v>25</v>
      </c>
      <c r="P1347" s="38">
        <v>26.5062731481</v>
      </c>
      <c r="Q1347" s="39" t="s">
        <v>4688</v>
      </c>
      <c r="R1347" s="35" t="s">
        <v>916</v>
      </c>
      <c r="S1347" s="35"/>
      <c r="T1347" s="35" t="s">
        <v>1701</v>
      </c>
      <c r="U1347" s="40">
        <v>45996</v>
      </c>
      <c r="V1347" s="41">
        <v>46153.532893518517</v>
      </c>
      <c r="W1347" s="40">
        <v>45995</v>
      </c>
      <c r="X1347" s="35" t="s">
        <v>916</v>
      </c>
      <c r="Y1347" s="35" t="s">
        <v>916</v>
      </c>
      <c r="Z1347" s="35" t="s">
        <v>916</v>
      </c>
      <c r="AA1347" s="38">
        <v>636.15055555439994</v>
      </c>
      <c r="AB1347" s="42" t="s">
        <v>916</v>
      </c>
      <c r="AC1347" s="43" t="s">
        <v>916</v>
      </c>
      <c r="AD1347" s="43" t="s">
        <v>916</v>
      </c>
      <c r="AE1347" s="33" t="s">
        <v>3982</v>
      </c>
      <c r="AF1347" s="35" t="s">
        <v>916</v>
      </c>
      <c r="AG1347" s="44">
        <v>490235.84944444441</v>
      </c>
      <c r="AH1347" s="42" t="s">
        <v>916</v>
      </c>
      <c r="AI1347" s="32" t="e">
        <f>VLOOKUP(A1347,'4月明細'!B:B,1,0)</f>
        <v>#N/A</v>
      </c>
    </row>
    <row r="1348" spans="1:35" ht="19.95" customHeight="1" x14ac:dyDescent="0.3">
      <c r="A1348" s="33" t="s">
        <v>4689</v>
      </c>
      <c r="B1348" s="34">
        <v>45994.844178240739</v>
      </c>
      <c r="C1348" s="34" t="str">
        <f t="shared" si="34"/>
        <v>202512</v>
      </c>
      <c r="D1348" s="35" t="s">
        <v>951</v>
      </c>
      <c r="E1348" s="36" t="s">
        <v>910</v>
      </c>
      <c r="F1348" s="36" t="s">
        <v>1675</v>
      </c>
      <c r="G1348" s="37" t="s">
        <v>4690</v>
      </c>
      <c r="H1348" s="36" t="s">
        <v>4065</v>
      </c>
      <c r="I1348" s="35" t="s">
        <v>4691</v>
      </c>
      <c r="J1348" s="36" t="s">
        <v>938</v>
      </c>
      <c r="K1348" s="33" t="s">
        <v>916</v>
      </c>
      <c r="L1348" s="35" t="s">
        <v>916</v>
      </c>
      <c r="M1348" s="36" t="s">
        <v>916</v>
      </c>
      <c r="N1348" s="45">
        <v>46022</v>
      </c>
      <c r="O1348" s="36" t="s">
        <v>25</v>
      </c>
      <c r="P1348" s="38">
        <v>27.1558217593</v>
      </c>
      <c r="Q1348" s="39" t="s">
        <v>4692</v>
      </c>
      <c r="R1348" s="35" t="s">
        <v>916</v>
      </c>
      <c r="S1348" s="35" t="s">
        <v>4693</v>
      </c>
      <c r="T1348" s="35" t="s">
        <v>1701</v>
      </c>
      <c r="U1348" s="40">
        <v>45995</v>
      </c>
      <c r="V1348" s="41">
        <v>46153.532893518517</v>
      </c>
      <c r="W1348" s="40">
        <v>45995</v>
      </c>
      <c r="X1348" s="35" t="s">
        <v>916</v>
      </c>
      <c r="Y1348" s="35" t="s">
        <v>916</v>
      </c>
      <c r="Z1348" s="35" t="s">
        <v>916</v>
      </c>
      <c r="AA1348" s="38">
        <v>651.73972222320003</v>
      </c>
      <c r="AB1348" s="42" t="s">
        <v>916</v>
      </c>
      <c r="AC1348" s="43" t="s">
        <v>916</v>
      </c>
      <c r="AD1348" s="43" t="s">
        <v>916</v>
      </c>
      <c r="AE1348" s="33" t="s">
        <v>3982</v>
      </c>
      <c r="AF1348" s="35" t="s">
        <v>916</v>
      </c>
      <c r="AG1348" s="44">
        <v>490220.26027777779</v>
      </c>
      <c r="AH1348" s="42" t="s">
        <v>916</v>
      </c>
      <c r="AI1348" s="32" t="e">
        <f>VLOOKUP(A1348,'4月明細'!B:B,1,0)</f>
        <v>#N/A</v>
      </c>
    </row>
    <row r="1349" spans="1:35" ht="19.95" customHeight="1" x14ac:dyDescent="0.3">
      <c r="A1349" s="33" t="s">
        <v>4694</v>
      </c>
      <c r="B1349" s="34">
        <v>45994.843240740738</v>
      </c>
      <c r="C1349" s="34" t="str">
        <f t="shared" si="34"/>
        <v>202512</v>
      </c>
      <c r="D1349" s="35" t="s">
        <v>951</v>
      </c>
      <c r="E1349" s="36" t="s">
        <v>910</v>
      </c>
      <c r="F1349" s="36" t="s">
        <v>2550</v>
      </c>
      <c r="G1349" s="37" t="s">
        <v>4695</v>
      </c>
      <c r="H1349" s="36" t="s">
        <v>3985</v>
      </c>
      <c r="I1349" s="35"/>
      <c r="J1349" s="36" t="s">
        <v>914</v>
      </c>
      <c r="K1349" s="33" t="s">
        <v>916</v>
      </c>
      <c r="L1349" s="35" t="s">
        <v>916</v>
      </c>
      <c r="M1349" s="36" t="s">
        <v>916</v>
      </c>
      <c r="N1349" s="45">
        <v>46022</v>
      </c>
      <c r="O1349" s="36" t="s">
        <v>25</v>
      </c>
      <c r="P1349" s="38">
        <v>27.156759259299999</v>
      </c>
      <c r="Q1349" s="39" t="s">
        <v>4696</v>
      </c>
      <c r="R1349" s="35" t="s">
        <v>916</v>
      </c>
      <c r="S1349" s="35" t="s">
        <v>4697</v>
      </c>
      <c r="T1349" s="35" t="s">
        <v>1701</v>
      </c>
      <c r="U1349" s="40">
        <v>45995</v>
      </c>
      <c r="V1349" s="41">
        <v>46153.532893518517</v>
      </c>
      <c r="W1349" s="40">
        <v>45995</v>
      </c>
      <c r="X1349" s="35" t="s">
        <v>916</v>
      </c>
      <c r="Y1349" s="35" t="s">
        <v>916</v>
      </c>
      <c r="Z1349" s="35" t="s">
        <v>916</v>
      </c>
      <c r="AA1349" s="38">
        <v>651.76222222319996</v>
      </c>
      <c r="AB1349" s="42" t="s">
        <v>916</v>
      </c>
      <c r="AC1349" s="43" t="s">
        <v>916</v>
      </c>
      <c r="AD1349" s="43" t="s">
        <v>916</v>
      </c>
      <c r="AE1349" s="33" t="s">
        <v>3982</v>
      </c>
      <c r="AF1349" s="35" t="s">
        <v>916</v>
      </c>
      <c r="AG1349" s="44">
        <v>490220.23777777777</v>
      </c>
      <c r="AH1349" s="42" t="s">
        <v>916</v>
      </c>
      <c r="AI1349" s="32" t="e">
        <f>VLOOKUP(A1349,'4月明細'!B:B,1,0)</f>
        <v>#N/A</v>
      </c>
    </row>
    <row r="1350" spans="1:35" ht="19.95" customHeight="1" x14ac:dyDescent="0.3">
      <c r="A1350" s="33" t="s">
        <v>4698</v>
      </c>
      <c r="B1350" s="34">
        <v>45994.842777777776</v>
      </c>
      <c r="C1350" s="34" t="str">
        <f t="shared" si="34"/>
        <v>202512</v>
      </c>
      <c r="D1350" s="35" t="s">
        <v>951</v>
      </c>
      <c r="E1350" s="36" t="s">
        <v>910</v>
      </c>
      <c r="F1350" s="36" t="s">
        <v>1377</v>
      </c>
      <c r="G1350" s="37" t="s">
        <v>4699</v>
      </c>
      <c r="H1350" s="36" t="s">
        <v>3996</v>
      </c>
      <c r="I1350" s="35" t="s">
        <v>4700</v>
      </c>
      <c r="J1350" s="36" t="s">
        <v>914</v>
      </c>
      <c r="K1350" s="33" t="s">
        <v>916</v>
      </c>
      <c r="L1350" s="35" t="s">
        <v>916</v>
      </c>
      <c r="M1350" s="36" t="s">
        <v>916</v>
      </c>
      <c r="N1350" s="45">
        <v>46022</v>
      </c>
      <c r="O1350" s="36" t="s">
        <v>25</v>
      </c>
      <c r="P1350" s="38">
        <v>27.157222222200001</v>
      </c>
      <c r="Q1350" s="39" t="s">
        <v>4701</v>
      </c>
      <c r="R1350" s="35" t="s">
        <v>916</v>
      </c>
      <c r="S1350" s="35" t="s">
        <v>4702</v>
      </c>
      <c r="T1350" s="35" t="s">
        <v>1701</v>
      </c>
      <c r="U1350" s="40">
        <v>45995</v>
      </c>
      <c r="V1350" s="41">
        <v>46153.532893518517</v>
      </c>
      <c r="W1350" s="40">
        <v>45995</v>
      </c>
      <c r="X1350" s="35" t="s">
        <v>916</v>
      </c>
      <c r="Y1350" s="35" t="s">
        <v>916</v>
      </c>
      <c r="Z1350" s="35" t="s">
        <v>916</v>
      </c>
      <c r="AA1350" s="38">
        <v>651.77333333280001</v>
      </c>
      <c r="AB1350" s="42" t="s">
        <v>916</v>
      </c>
      <c r="AC1350" s="43" t="s">
        <v>916</v>
      </c>
      <c r="AD1350" s="43" t="s">
        <v>916</v>
      </c>
      <c r="AE1350" s="33" t="s">
        <v>3982</v>
      </c>
      <c r="AF1350" s="35" t="s">
        <v>916</v>
      </c>
      <c r="AG1350" s="44">
        <v>490220.22666666668</v>
      </c>
      <c r="AH1350" s="42" t="s">
        <v>916</v>
      </c>
      <c r="AI1350" s="32" t="e">
        <f>VLOOKUP(A1350,'4月明細'!B:B,1,0)</f>
        <v>#N/A</v>
      </c>
    </row>
    <row r="1351" spans="1:35" ht="19.95" customHeight="1" x14ac:dyDescent="0.3">
      <c r="A1351" s="33" t="s">
        <v>4703</v>
      </c>
      <c r="B1351" s="34">
        <v>45994.714398148149</v>
      </c>
      <c r="C1351" s="34" t="str">
        <f t="shared" si="34"/>
        <v>202512</v>
      </c>
      <c r="D1351" s="35" t="s">
        <v>996</v>
      </c>
      <c r="E1351" s="36" t="s">
        <v>910</v>
      </c>
      <c r="F1351" s="36" t="s">
        <v>1975</v>
      </c>
      <c r="G1351" s="37" t="s">
        <v>4704</v>
      </c>
      <c r="H1351" s="36" t="s">
        <v>3985</v>
      </c>
      <c r="I1351" s="35"/>
      <c r="J1351" s="36" t="s">
        <v>929</v>
      </c>
      <c r="K1351" s="33" t="s">
        <v>916</v>
      </c>
      <c r="L1351" s="35" t="s">
        <v>916</v>
      </c>
      <c r="M1351" s="36" t="s">
        <v>916</v>
      </c>
      <c r="N1351" s="45">
        <v>46022</v>
      </c>
      <c r="O1351" s="36" t="s">
        <v>25</v>
      </c>
      <c r="P1351" s="38">
        <v>27.285601851900001</v>
      </c>
      <c r="Q1351" s="39" t="s">
        <v>4705</v>
      </c>
      <c r="R1351" s="35" t="s">
        <v>916</v>
      </c>
      <c r="S1351" s="35" t="s">
        <v>4706</v>
      </c>
      <c r="T1351" s="35" t="s">
        <v>1701</v>
      </c>
      <c r="U1351" s="40">
        <v>45995</v>
      </c>
      <c r="V1351" s="41">
        <v>46153.532893518517</v>
      </c>
      <c r="W1351" s="40">
        <v>45994</v>
      </c>
      <c r="X1351" s="35" t="s">
        <v>916</v>
      </c>
      <c r="Y1351" s="35" t="s">
        <v>916</v>
      </c>
      <c r="Z1351" s="35" t="s">
        <v>916</v>
      </c>
      <c r="AA1351" s="38">
        <v>654.85444444560005</v>
      </c>
      <c r="AB1351" s="42" t="s">
        <v>916</v>
      </c>
      <c r="AC1351" s="43" t="s">
        <v>916</v>
      </c>
      <c r="AD1351" s="43" t="s">
        <v>916</v>
      </c>
      <c r="AE1351" s="33" t="s">
        <v>3982</v>
      </c>
      <c r="AF1351" s="35" t="s">
        <v>916</v>
      </c>
      <c r="AG1351" s="44">
        <v>490217.14555555559</v>
      </c>
      <c r="AH1351" s="42" t="s">
        <v>916</v>
      </c>
      <c r="AI1351" s="32" t="e">
        <f>VLOOKUP(A1351,'4月明細'!B:B,1,0)</f>
        <v>#N/A</v>
      </c>
    </row>
    <row r="1352" spans="1:35" ht="19.95" customHeight="1" x14ac:dyDescent="0.3">
      <c r="A1352" s="33" t="s">
        <v>4707</v>
      </c>
      <c r="B1352" s="34">
        <v>45994.525925925926</v>
      </c>
      <c r="C1352" s="34" t="str">
        <f t="shared" si="34"/>
        <v>202512</v>
      </c>
      <c r="D1352" s="35" t="s">
        <v>996</v>
      </c>
      <c r="E1352" s="36" t="s">
        <v>910</v>
      </c>
      <c r="F1352" s="36" t="s">
        <v>1507</v>
      </c>
      <c r="G1352" s="37" t="s">
        <v>1041</v>
      </c>
      <c r="H1352" s="36" t="s">
        <v>1043</v>
      </c>
      <c r="I1352" s="35" t="s">
        <v>4708</v>
      </c>
      <c r="J1352" s="36" t="s">
        <v>914</v>
      </c>
      <c r="K1352" s="33" t="s">
        <v>916</v>
      </c>
      <c r="L1352" s="35" t="s">
        <v>916</v>
      </c>
      <c r="M1352" s="36" t="s">
        <v>957</v>
      </c>
      <c r="N1352" s="45">
        <v>46022</v>
      </c>
      <c r="O1352" s="36" t="s">
        <v>25</v>
      </c>
      <c r="P1352" s="38">
        <v>27.474074074099999</v>
      </c>
      <c r="Q1352" s="39" t="s">
        <v>4709</v>
      </c>
      <c r="R1352" s="35" t="s">
        <v>916</v>
      </c>
      <c r="S1352" s="35" t="s">
        <v>4710</v>
      </c>
      <c r="T1352" s="35" t="s">
        <v>1701</v>
      </c>
      <c r="U1352" s="40">
        <v>45995</v>
      </c>
      <c r="V1352" s="41">
        <v>46153.532893518517</v>
      </c>
      <c r="W1352" s="40">
        <v>45994</v>
      </c>
      <c r="X1352" s="35" t="s">
        <v>916</v>
      </c>
      <c r="Y1352" s="35" t="s">
        <v>916</v>
      </c>
      <c r="Z1352" s="35" t="s">
        <v>916</v>
      </c>
      <c r="AA1352" s="38">
        <v>659.37777777839995</v>
      </c>
      <c r="AB1352" s="42" t="s">
        <v>916</v>
      </c>
      <c r="AC1352" s="43" t="s">
        <v>916</v>
      </c>
      <c r="AD1352" s="43" t="s">
        <v>916</v>
      </c>
      <c r="AE1352" s="33" t="s">
        <v>3982</v>
      </c>
      <c r="AF1352" s="35" t="s">
        <v>916</v>
      </c>
      <c r="AG1352" s="44">
        <v>490212.62222222221</v>
      </c>
      <c r="AH1352" s="42" t="s">
        <v>916</v>
      </c>
      <c r="AI1352" s="32" t="e">
        <f>VLOOKUP(A1352,'4月明細'!B:B,1,0)</f>
        <v>#N/A</v>
      </c>
    </row>
    <row r="1353" spans="1:35" ht="19.95" customHeight="1" x14ac:dyDescent="0.3">
      <c r="A1353" s="33" t="s">
        <v>4711</v>
      </c>
      <c r="B1353" s="34">
        <v>45994.041932870372</v>
      </c>
      <c r="C1353" s="34" t="str">
        <f t="shared" si="34"/>
        <v>202512</v>
      </c>
      <c r="D1353" s="35" t="s">
        <v>1510</v>
      </c>
      <c r="E1353" s="36" t="s">
        <v>942</v>
      </c>
      <c r="F1353" s="36" t="s">
        <v>1591</v>
      </c>
      <c r="G1353" s="37" t="s">
        <v>4712</v>
      </c>
      <c r="H1353" s="36" t="s">
        <v>913</v>
      </c>
      <c r="I1353" s="35"/>
      <c r="J1353" s="36" t="s">
        <v>929</v>
      </c>
      <c r="K1353" s="33" t="s">
        <v>916</v>
      </c>
      <c r="L1353" s="35" t="s">
        <v>916</v>
      </c>
      <c r="M1353" s="36" t="s">
        <v>957</v>
      </c>
      <c r="N1353" s="45">
        <v>46022</v>
      </c>
      <c r="O1353" s="36" t="s">
        <v>25</v>
      </c>
      <c r="P1353" s="38">
        <v>27.9580671296</v>
      </c>
      <c r="Q1353" s="39" t="s">
        <v>4713</v>
      </c>
      <c r="R1353" s="35" t="s">
        <v>916</v>
      </c>
      <c r="S1353" s="35"/>
      <c r="T1353" s="35" t="s">
        <v>1701</v>
      </c>
      <c r="U1353" s="40">
        <v>45995</v>
      </c>
      <c r="V1353" s="41">
        <v>46153.532893518517</v>
      </c>
      <c r="W1353" s="40">
        <v>45994</v>
      </c>
      <c r="X1353" s="35" t="s">
        <v>916</v>
      </c>
      <c r="Y1353" s="35" t="s">
        <v>916</v>
      </c>
      <c r="Z1353" s="35" t="s">
        <v>916</v>
      </c>
      <c r="AA1353" s="38">
        <v>670.99361111040002</v>
      </c>
      <c r="AB1353" s="42" t="s">
        <v>916</v>
      </c>
      <c r="AC1353" s="43" t="s">
        <v>916</v>
      </c>
      <c r="AD1353" s="43" t="s">
        <v>916</v>
      </c>
      <c r="AE1353" s="33" t="s">
        <v>3982</v>
      </c>
      <c r="AF1353" s="35" t="s">
        <v>916</v>
      </c>
      <c r="AG1353" s="44">
        <v>490201.00638888893</v>
      </c>
      <c r="AH1353" s="42" t="s">
        <v>916</v>
      </c>
      <c r="AI1353" s="32" t="e">
        <f>VLOOKUP(A1353,'4月明細'!B:B,1,0)</f>
        <v>#N/A</v>
      </c>
    </row>
    <row r="1354" spans="1:35" ht="19.95" customHeight="1" x14ac:dyDescent="0.3">
      <c r="A1354" s="33" t="s">
        <v>4714</v>
      </c>
      <c r="B1354" s="34">
        <v>45993.885312500002</v>
      </c>
      <c r="C1354" s="34" t="str">
        <f t="shared" si="34"/>
        <v>202512</v>
      </c>
      <c r="D1354" s="35" t="s">
        <v>941</v>
      </c>
      <c r="E1354" s="36" t="s">
        <v>942</v>
      </c>
      <c r="F1354" s="36" t="s">
        <v>1341</v>
      </c>
      <c r="G1354" s="37" t="s">
        <v>4715</v>
      </c>
      <c r="H1354" s="36" t="s">
        <v>913</v>
      </c>
      <c r="I1354" s="35"/>
      <c r="J1354" s="36" t="s">
        <v>945</v>
      </c>
      <c r="K1354" s="33" t="s">
        <v>916</v>
      </c>
      <c r="L1354" s="35" t="s">
        <v>916</v>
      </c>
      <c r="M1354" s="36" t="s">
        <v>957</v>
      </c>
      <c r="N1354" s="45">
        <v>46022</v>
      </c>
      <c r="O1354" s="36" t="s">
        <v>25</v>
      </c>
      <c r="P1354" s="38">
        <v>28.114687499999999</v>
      </c>
      <c r="Q1354" s="39" t="s">
        <v>4716</v>
      </c>
      <c r="R1354" s="35" t="s">
        <v>916</v>
      </c>
      <c r="S1354" s="35" t="s">
        <v>4717</v>
      </c>
      <c r="T1354" s="35" t="s">
        <v>1701</v>
      </c>
      <c r="U1354" s="40">
        <v>45994</v>
      </c>
      <c r="V1354" s="41">
        <v>46153.532905092594</v>
      </c>
      <c r="W1354" s="40">
        <v>45994</v>
      </c>
      <c r="X1354" s="35" t="s">
        <v>916</v>
      </c>
      <c r="Y1354" s="35" t="s">
        <v>916</v>
      </c>
      <c r="Z1354" s="35" t="s">
        <v>916</v>
      </c>
      <c r="AA1354" s="38">
        <v>674.75250000000005</v>
      </c>
      <c r="AB1354" s="42" t="s">
        <v>916</v>
      </c>
      <c r="AC1354" s="43" t="s">
        <v>916</v>
      </c>
      <c r="AD1354" s="43" t="s">
        <v>916</v>
      </c>
      <c r="AE1354" s="33" t="s">
        <v>3982</v>
      </c>
      <c r="AF1354" s="35" t="s">
        <v>916</v>
      </c>
      <c r="AG1354" s="44">
        <v>490197.24749999988</v>
      </c>
      <c r="AH1354" s="42" t="s">
        <v>916</v>
      </c>
      <c r="AI1354" s="32" t="e">
        <f>VLOOKUP(A1354,'4月明細'!B:B,1,0)</f>
        <v>#N/A</v>
      </c>
    </row>
    <row r="1355" spans="1:35" ht="19.95" customHeight="1" x14ac:dyDescent="0.3">
      <c r="A1355" s="33" t="s">
        <v>4718</v>
      </c>
      <c r="B1355" s="34">
        <v>45993.712881944448</v>
      </c>
      <c r="C1355" s="34" t="str">
        <f t="shared" si="34"/>
        <v>202512</v>
      </c>
      <c r="D1355" s="35" t="s">
        <v>941</v>
      </c>
      <c r="E1355" s="36" t="s">
        <v>942</v>
      </c>
      <c r="F1355" s="36" t="s">
        <v>1060</v>
      </c>
      <c r="G1355" s="37" t="s">
        <v>4719</v>
      </c>
      <c r="H1355" s="36" t="s">
        <v>913</v>
      </c>
      <c r="I1355" s="35"/>
      <c r="J1355" s="36" t="s">
        <v>945</v>
      </c>
      <c r="K1355" s="33" t="s">
        <v>916</v>
      </c>
      <c r="L1355" s="35" t="s">
        <v>916</v>
      </c>
      <c r="M1355" s="36" t="s">
        <v>916</v>
      </c>
      <c r="N1355" s="45">
        <v>46022</v>
      </c>
      <c r="O1355" s="36" t="s">
        <v>25</v>
      </c>
      <c r="P1355" s="38">
        <v>28.287118055600001</v>
      </c>
      <c r="Q1355" s="39" t="s">
        <v>4720</v>
      </c>
      <c r="R1355" s="35" t="s">
        <v>916</v>
      </c>
      <c r="S1355" s="35"/>
      <c r="T1355" s="35" t="s">
        <v>1701</v>
      </c>
      <c r="U1355" s="40">
        <v>45994</v>
      </c>
      <c r="V1355" s="41">
        <v>46153.532905092594</v>
      </c>
      <c r="W1355" s="40">
        <v>45993</v>
      </c>
      <c r="X1355" s="35" t="s">
        <v>916</v>
      </c>
      <c r="Y1355" s="35" t="s">
        <v>916</v>
      </c>
      <c r="Z1355" s="35" t="s">
        <v>916</v>
      </c>
      <c r="AA1355" s="38">
        <v>678.89083333439999</v>
      </c>
      <c r="AB1355" s="42" t="s">
        <v>916</v>
      </c>
      <c r="AC1355" s="43" t="s">
        <v>916</v>
      </c>
      <c r="AD1355" s="43" t="s">
        <v>916</v>
      </c>
      <c r="AE1355" s="33" t="s">
        <v>3982</v>
      </c>
      <c r="AF1355" s="35" t="s">
        <v>916</v>
      </c>
      <c r="AG1355" s="44">
        <v>490193.10916666657</v>
      </c>
      <c r="AH1355" s="42" t="s">
        <v>916</v>
      </c>
      <c r="AI1355" s="32" t="e">
        <f>VLOOKUP(A1355,'4月明細'!B:B,1,0)</f>
        <v>#N/A</v>
      </c>
    </row>
    <row r="1356" spans="1:35" ht="19.95" customHeight="1" x14ac:dyDescent="0.3">
      <c r="A1356" s="33" t="s">
        <v>4721</v>
      </c>
      <c r="B1356" s="34">
        <v>45993.571828703702</v>
      </c>
      <c r="C1356" s="34" t="str">
        <f t="shared" si="34"/>
        <v>202512</v>
      </c>
      <c r="D1356" s="35" t="s">
        <v>2278</v>
      </c>
      <c r="E1356" s="36" t="s">
        <v>910</v>
      </c>
      <c r="F1356" s="36" t="s">
        <v>1870</v>
      </c>
      <c r="G1356" s="37" t="s">
        <v>4722</v>
      </c>
      <c r="H1356" s="36" t="s">
        <v>4065</v>
      </c>
      <c r="I1356" s="35" t="s">
        <v>4723</v>
      </c>
      <c r="J1356" s="36" t="s">
        <v>914</v>
      </c>
      <c r="K1356" s="33" t="s">
        <v>916</v>
      </c>
      <c r="L1356" s="35" t="s">
        <v>916</v>
      </c>
      <c r="M1356" s="36" t="s">
        <v>916</v>
      </c>
      <c r="N1356" s="45">
        <v>46022</v>
      </c>
      <c r="O1356" s="36" t="s">
        <v>25</v>
      </c>
      <c r="P1356" s="38">
        <v>28.4281712963</v>
      </c>
      <c r="Q1356" s="39" t="s">
        <v>4724</v>
      </c>
      <c r="R1356" s="35" t="s">
        <v>916</v>
      </c>
      <c r="S1356" s="35" t="s">
        <v>4725</v>
      </c>
      <c r="T1356" s="35" t="s">
        <v>1701</v>
      </c>
      <c r="U1356" s="40">
        <v>45994</v>
      </c>
      <c r="V1356" s="41">
        <v>46153.532905092594</v>
      </c>
      <c r="W1356" s="40">
        <v>45993</v>
      </c>
      <c r="X1356" s="35" t="s">
        <v>916</v>
      </c>
      <c r="Y1356" s="35" t="s">
        <v>916</v>
      </c>
      <c r="Z1356" s="35" t="s">
        <v>916</v>
      </c>
      <c r="AA1356" s="38">
        <v>682.27611111119995</v>
      </c>
      <c r="AB1356" s="42" t="s">
        <v>916</v>
      </c>
      <c r="AC1356" s="43" t="s">
        <v>916</v>
      </c>
      <c r="AD1356" s="43" t="s">
        <v>916</v>
      </c>
      <c r="AE1356" s="33" t="s">
        <v>3982</v>
      </c>
      <c r="AF1356" s="35" t="s">
        <v>916</v>
      </c>
      <c r="AG1356" s="44">
        <v>490189.72388888901</v>
      </c>
      <c r="AH1356" s="42" t="s">
        <v>916</v>
      </c>
      <c r="AI1356" s="32" t="e">
        <f>VLOOKUP(A1356,'4月明細'!B:B,1,0)</f>
        <v>#N/A</v>
      </c>
    </row>
    <row r="1357" spans="1:35" ht="19.95" customHeight="1" x14ac:dyDescent="0.3">
      <c r="A1357" s="33" t="s">
        <v>4726</v>
      </c>
      <c r="B1357" s="34">
        <v>45993.413738425923</v>
      </c>
      <c r="C1357" s="34" t="str">
        <f t="shared" si="34"/>
        <v>202512</v>
      </c>
      <c r="D1357" s="35" t="s">
        <v>1856</v>
      </c>
      <c r="E1357" s="36" t="s">
        <v>942</v>
      </c>
      <c r="F1357" s="36" t="s">
        <v>911</v>
      </c>
      <c r="G1357" s="37" t="s">
        <v>4727</v>
      </c>
      <c r="H1357" s="36" t="s">
        <v>913</v>
      </c>
      <c r="I1357" s="35"/>
      <c r="J1357" s="36" t="s">
        <v>929</v>
      </c>
      <c r="K1357" s="33" t="s">
        <v>916</v>
      </c>
      <c r="L1357" s="35" t="s">
        <v>916</v>
      </c>
      <c r="M1357" s="36" t="s">
        <v>916</v>
      </c>
      <c r="N1357" s="45">
        <v>46022</v>
      </c>
      <c r="O1357" s="36" t="s">
        <v>25</v>
      </c>
      <c r="P1357" s="38">
        <v>28.5862615741</v>
      </c>
      <c r="Q1357" s="39" t="s">
        <v>4728</v>
      </c>
      <c r="R1357" s="35" t="s">
        <v>916</v>
      </c>
      <c r="S1357" s="35" t="s">
        <v>4729</v>
      </c>
      <c r="T1357" s="35" t="s">
        <v>1701</v>
      </c>
      <c r="U1357" s="40">
        <v>45994</v>
      </c>
      <c r="V1357" s="41">
        <v>46153.532905092594</v>
      </c>
      <c r="W1357" s="40">
        <v>45993</v>
      </c>
      <c r="X1357" s="35" t="s">
        <v>916</v>
      </c>
      <c r="Y1357" s="35" t="s">
        <v>916</v>
      </c>
      <c r="Z1357" s="35" t="s">
        <v>916</v>
      </c>
      <c r="AA1357" s="38">
        <v>686.07027777840005</v>
      </c>
      <c r="AB1357" s="42" t="s">
        <v>916</v>
      </c>
      <c r="AC1357" s="43" t="s">
        <v>916</v>
      </c>
      <c r="AD1357" s="43" t="s">
        <v>916</v>
      </c>
      <c r="AE1357" s="33" t="s">
        <v>3982</v>
      </c>
      <c r="AF1357" s="35" t="s">
        <v>916</v>
      </c>
      <c r="AG1357" s="44">
        <v>490185.92972222232</v>
      </c>
      <c r="AH1357" s="42" t="s">
        <v>916</v>
      </c>
      <c r="AI1357" s="32" t="e">
        <f>VLOOKUP(A1357,'4月明細'!B:B,1,0)</f>
        <v>#N/A</v>
      </c>
    </row>
    <row r="1358" spans="1:35" ht="19.95" customHeight="1" x14ac:dyDescent="0.3">
      <c r="A1358" s="33" t="s">
        <v>4730</v>
      </c>
      <c r="B1358" s="34">
        <v>45993.413587962961</v>
      </c>
      <c r="C1358" s="34" t="str">
        <f t="shared" si="34"/>
        <v>202512</v>
      </c>
      <c r="D1358" s="35" t="s">
        <v>951</v>
      </c>
      <c r="E1358" s="36" t="s">
        <v>910</v>
      </c>
      <c r="F1358" s="36" t="s">
        <v>4731</v>
      </c>
      <c r="G1358" s="37" t="s">
        <v>4732</v>
      </c>
      <c r="H1358" s="36" t="s">
        <v>4267</v>
      </c>
      <c r="I1358" s="35" t="s">
        <v>4733</v>
      </c>
      <c r="J1358" s="36" t="s">
        <v>938</v>
      </c>
      <c r="K1358" s="33" t="s">
        <v>916</v>
      </c>
      <c r="L1358" s="35" t="s">
        <v>916</v>
      </c>
      <c r="M1358" s="36" t="s">
        <v>916</v>
      </c>
      <c r="N1358" s="45">
        <v>46022</v>
      </c>
      <c r="O1358" s="36" t="s">
        <v>25</v>
      </c>
      <c r="P1358" s="38">
        <v>28.586412036999999</v>
      </c>
      <c r="Q1358" s="39" t="s">
        <v>4734</v>
      </c>
      <c r="R1358" s="35" t="s">
        <v>916</v>
      </c>
      <c r="S1358" s="35" t="s">
        <v>4735</v>
      </c>
      <c r="T1358" s="35" t="s">
        <v>1701</v>
      </c>
      <c r="U1358" s="40">
        <v>45994</v>
      </c>
      <c r="V1358" s="41">
        <v>46153.532905092594</v>
      </c>
      <c r="W1358" s="40">
        <v>45993</v>
      </c>
      <c r="X1358" s="35" t="s">
        <v>916</v>
      </c>
      <c r="Y1358" s="35" t="s">
        <v>916</v>
      </c>
      <c r="Z1358" s="35" t="s">
        <v>916</v>
      </c>
      <c r="AA1358" s="38">
        <v>686.07388888800006</v>
      </c>
      <c r="AB1358" s="42" t="s">
        <v>916</v>
      </c>
      <c r="AC1358" s="43" t="s">
        <v>916</v>
      </c>
      <c r="AD1358" s="43" t="s">
        <v>916</v>
      </c>
      <c r="AE1358" s="33" t="s">
        <v>3982</v>
      </c>
      <c r="AF1358" s="35" t="s">
        <v>916</v>
      </c>
      <c r="AG1358" s="44">
        <v>490185.92611111118</v>
      </c>
      <c r="AH1358" s="42" t="s">
        <v>916</v>
      </c>
      <c r="AI1358" s="32" t="e">
        <f>VLOOKUP(A1358,'4月明細'!B:B,1,0)</f>
        <v>#N/A</v>
      </c>
    </row>
    <row r="1359" spans="1:35" ht="19.95" customHeight="1" x14ac:dyDescent="0.3">
      <c r="A1359" s="33" t="s">
        <v>4736</v>
      </c>
      <c r="B1359" s="34">
        <v>45992.762754629628</v>
      </c>
      <c r="C1359" s="34" t="str">
        <f t="shared" si="34"/>
        <v>202512</v>
      </c>
      <c r="D1359" s="35" t="s">
        <v>1510</v>
      </c>
      <c r="E1359" s="36" t="s">
        <v>942</v>
      </c>
      <c r="F1359" s="36" t="s">
        <v>1076</v>
      </c>
      <c r="G1359" s="37" t="s">
        <v>4737</v>
      </c>
      <c r="H1359" s="36" t="s">
        <v>913</v>
      </c>
      <c r="I1359" s="35"/>
      <c r="J1359" s="36" t="s">
        <v>945</v>
      </c>
      <c r="K1359" s="33" t="s">
        <v>916</v>
      </c>
      <c r="L1359" s="35" t="s">
        <v>916</v>
      </c>
      <c r="M1359" s="36" t="s">
        <v>916</v>
      </c>
      <c r="N1359" s="45">
        <v>46022</v>
      </c>
      <c r="O1359" s="36" t="s">
        <v>25</v>
      </c>
      <c r="P1359" s="38">
        <v>29.2372453704</v>
      </c>
      <c r="Q1359" s="39" t="s">
        <v>4738</v>
      </c>
      <c r="R1359" s="35" t="s">
        <v>916</v>
      </c>
      <c r="S1359" s="35"/>
      <c r="T1359" s="35" t="s">
        <v>1701</v>
      </c>
      <c r="U1359" s="40">
        <v>45993</v>
      </c>
      <c r="V1359" s="41">
        <v>46153.532905092594</v>
      </c>
      <c r="W1359" s="40">
        <v>45992</v>
      </c>
      <c r="X1359" s="35" t="s">
        <v>916</v>
      </c>
      <c r="Y1359" s="35" t="s">
        <v>916</v>
      </c>
      <c r="Z1359" s="35" t="s">
        <v>916</v>
      </c>
      <c r="AA1359" s="38">
        <v>701.69388888959998</v>
      </c>
      <c r="AB1359" s="42" t="s">
        <v>916</v>
      </c>
      <c r="AC1359" s="43" t="s">
        <v>916</v>
      </c>
      <c r="AD1359" s="43" t="s">
        <v>916</v>
      </c>
      <c r="AE1359" s="33" t="s">
        <v>3982</v>
      </c>
      <c r="AF1359" s="35" t="s">
        <v>916</v>
      </c>
      <c r="AG1359" s="44">
        <v>490170.30611111119</v>
      </c>
      <c r="AH1359" s="42" t="s">
        <v>916</v>
      </c>
      <c r="AI1359" s="32" t="e">
        <f>VLOOKUP(A1359,'4月明細'!B:B,1,0)</f>
        <v>#N/A</v>
      </c>
    </row>
    <row r="1360" spans="1:35" ht="19.95" customHeight="1" x14ac:dyDescent="0.3">
      <c r="A1360" s="33" t="s">
        <v>4739</v>
      </c>
      <c r="B1360" s="34">
        <v>45992.762523148151</v>
      </c>
      <c r="C1360" s="34" t="str">
        <f t="shared" si="34"/>
        <v>202512</v>
      </c>
      <c r="D1360" s="35" t="s">
        <v>1510</v>
      </c>
      <c r="E1360" s="36" t="s">
        <v>942</v>
      </c>
      <c r="F1360" s="36" t="s">
        <v>2080</v>
      </c>
      <c r="G1360" s="37" t="s">
        <v>4737</v>
      </c>
      <c r="H1360" s="36" t="s">
        <v>913</v>
      </c>
      <c r="I1360" s="35"/>
      <c r="J1360" s="36" t="s">
        <v>945</v>
      </c>
      <c r="K1360" s="33" t="s">
        <v>916</v>
      </c>
      <c r="L1360" s="35" t="s">
        <v>916</v>
      </c>
      <c r="M1360" s="36" t="s">
        <v>916</v>
      </c>
      <c r="N1360" s="45">
        <v>46022</v>
      </c>
      <c r="O1360" s="36" t="s">
        <v>25</v>
      </c>
      <c r="P1360" s="38">
        <v>29.2374768518</v>
      </c>
      <c r="Q1360" s="39" t="s">
        <v>4740</v>
      </c>
      <c r="R1360" s="35" t="s">
        <v>916</v>
      </c>
      <c r="S1360" s="35" t="s">
        <v>4741</v>
      </c>
      <c r="T1360" s="35" t="s">
        <v>1701</v>
      </c>
      <c r="U1360" s="40">
        <v>45993</v>
      </c>
      <c r="V1360" s="41">
        <v>46153.532905092594</v>
      </c>
      <c r="W1360" s="40">
        <v>45992</v>
      </c>
      <c r="X1360" s="35" t="s">
        <v>916</v>
      </c>
      <c r="Y1360" s="35" t="s">
        <v>916</v>
      </c>
      <c r="Z1360" s="35" t="s">
        <v>916</v>
      </c>
      <c r="AA1360" s="38">
        <v>701.69944444320004</v>
      </c>
      <c r="AB1360" s="42" t="s">
        <v>916</v>
      </c>
      <c r="AC1360" s="43" t="s">
        <v>916</v>
      </c>
      <c r="AD1360" s="43" t="s">
        <v>916</v>
      </c>
      <c r="AE1360" s="33" t="s">
        <v>3982</v>
      </c>
      <c r="AF1360" s="35" t="s">
        <v>916</v>
      </c>
      <c r="AG1360" s="44">
        <v>490170.30055555562</v>
      </c>
      <c r="AH1360" s="42" t="s">
        <v>916</v>
      </c>
      <c r="AI1360" s="32" t="e">
        <f>VLOOKUP(A1360,'4月明細'!B:B,1,0)</f>
        <v>#N/A</v>
      </c>
    </row>
    <row r="1361" spans="1:35" ht="19.95" customHeight="1" x14ac:dyDescent="0.3">
      <c r="A1361" s="33" t="s">
        <v>4742</v>
      </c>
      <c r="B1361" s="34">
        <v>45992.595347222225</v>
      </c>
      <c r="C1361" s="34" t="str">
        <f t="shared" si="34"/>
        <v>202512</v>
      </c>
      <c r="D1361" s="35" t="s">
        <v>909</v>
      </c>
      <c r="E1361" s="36" t="s">
        <v>910</v>
      </c>
      <c r="F1361" s="36" t="s">
        <v>947</v>
      </c>
      <c r="G1361" s="37" t="s">
        <v>4743</v>
      </c>
      <c r="H1361" s="36" t="s">
        <v>4162</v>
      </c>
      <c r="I1361" s="35"/>
      <c r="J1361" s="36" t="s">
        <v>1058</v>
      </c>
      <c r="K1361" s="33" t="s">
        <v>916</v>
      </c>
      <c r="L1361" s="35" t="s">
        <v>916</v>
      </c>
      <c r="M1361" s="36" t="s">
        <v>916</v>
      </c>
      <c r="N1361" s="45">
        <v>46022</v>
      </c>
      <c r="O1361" s="36" t="s">
        <v>25</v>
      </c>
      <c r="P1361" s="38">
        <v>29.404652777799999</v>
      </c>
      <c r="Q1361" s="39" t="s">
        <v>4744</v>
      </c>
      <c r="R1361" s="35" t="s">
        <v>916</v>
      </c>
      <c r="S1361" s="35" t="s">
        <v>4745</v>
      </c>
      <c r="T1361" s="35" t="s">
        <v>1701</v>
      </c>
      <c r="U1361" s="40">
        <v>45993</v>
      </c>
      <c r="V1361" s="41">
        <v>46153.532905092594</v>
      </c>
      <c r="W1361" s="40">
        <v>45992</v>
      </c>
      <c r="X1361" s="35" t="s">
        <v>916</v>
      </c>
      <c r="Y1361" s="35" t="s">
        <v>916</v>
      </c>
      <c r="Z1361" s="35" t="s">
        <v>916</v>
      </c>
      <c r="AA1361" s="38">
        <v>705.71166666720001</v>
      </c>
      <c r="AB1361" s="42" t="s">
        <v>916</v>
      </c>
      <c r="AC1361" s="43" t="s">
        <v>916</v>
      </c>
      <c r="AD1361" s="43" t="s">
        <v>916</v>
      </c>
      <c r="AE1361" s="33" t="s">
        <v>3982</v>
      </c>
      <c r="AF1361" s="35" t="s">
        <v>916</v>
      </c>
      <c r="AG1361" s="44">
        <v>490166.28833333339</v>
      </c>
      <c r="AH1361" s="42" t="s">
        <v>916</v>
      </c>
      <c r="AI1361" s="32" t="e">
        <f>VLOOKUP(A1361,'4月明細'!B:B,1,0)</f>
        <v>#N/A</v>
      </c>
    </row>
    <row r="1362" spans="1:35" ht="19.95" customHeight="1" x14ac:dyDescent="0.3">
      <c r="A1362" s="33" t="s">
        <v>4746</v>
      </c>
      <c r="B1362" s="34">
        <v>45992.461747685185</v>
      </c>
      <c r="C1362" s="34" t="str">
        <f t="shared" si="34"/>
        <v>202512</v>
      </c>
      <c r="D1362" s="35" t="s">
        <v>1360</v>
      </c>
      <c r="E1362" s="36" t="s">
        <v>910</v>
      </c>
      <c r="F1362" s="36" t="s">
        <v>1108</v>
      </c>
      <c r="G1362" s="37" t="s">
        <v>4747</v>
      </c>
      <c r="H1362" s="36" t="s">
        <v>4060</v>
      </c>
      <c r="I1362" s="35" t="s">
        <v>1362</v>
      </c>
      <c r="J1362" s="36" t="s">
        <v>1058</v>
      </c>
      <c r="K1362" s="33" t="s">
        <v>916</v>
      </c>
      <c r="L1362" s="35" t="s">
        <v>916</v>
      </c>
      <c r="M1362" s="36" t="s">
        <v>916</v>
      </c>
      <c r="N1362" s="45">
        <v>46022</v>
      </c>
      <c r="O1362" s="36" t="s">
        <v>25</v>
      </c>
      <c r="P1362" s="38">
        <v>29.538252314800001</v>
      </c>
      <c r="Q1362" s="39" t="s">
        <v>4748</v>
      </c>
      <c r="R1362" s="35" t="s">
        <v>916</v>
      </c>
      <c r="S1362" s="35"/>
      <c r="T1362" s="35" t="s">
        <v>1701</v>
      </c>
      <c r="U1362" s="40">
        <v>45993</v>
      </c>
      <c r="V1362" s="41">
        <v>46153.532905092594</v>
      </c>
      <c r="W1362" s="40">
        <v>45992</v>
      </c>
      <c r="X1362" s="35" t="s">
        <v>916</v>
      </c>
      <c r="Y1362" s="35" t="s">
        <v>916</v>
      </c>
      <c r="Z1362" s="35" t="s">
        <v>916</v>
      </c>
      <c r="AA1362" s="38">
        <v>708.9180555552</v>
      </c>
      <c r="AB1362" s="42" t="s">
        <v>916</v>
      </c>
      <c r="AC1362" s="43" t="s">
        <v>916</v>
      </c>
      <c r="AD1362" s="43" t="s">
        <v>916</v>
      </c>
      <c r="AE1362" s="33" t="s">
        <v>3982</v>
      </c>
      <c r="AF1362" s="35" t="s">
        <v>916</v>
      </c>
      <c r="AG1362" s="44">
        <v>490163.08194444439</v>
      </c>
      <c r="AH1362" s="42" t="s">
        <v>916</v>
      </c>
      <c r="AI1362" s="32" t="e">
        <f>VLOOKUP(A1362,'4月明細'!B:B,1,0)</f>
        <v>#N/A</v>
      </c>
    </row>
    <row r="1363" spans="1:35" ht="19.95" customHeight="1" x14ac:dyDescent="0.3">
      <c r="A1363" s="33" t="s">
        <v>4749</v>
      </c>
      <c r="B1363" s="34">
        <v>45991.742731481485</v>
      </c>
      <c r="C1363" s="34" t="str">
        <f t="shared" si="34"/>
        <v>202511</v>
      </c>
      <c r="D1363" s="35" t="s">
        <v>909</v>
      </c>
      <c r="E1363" s="36" t="s">
        <v>910</v>
      </c>
      <c r="F1363" s="36" t="s">
        <v>1123</v>
      </c>
      <c r="G1363" s="37" t="s">
        <v>4750</v>
      </c>
      <c r="H1363" s="36" t="s">
        <v>3979</v>
      </c>
      <c r="I1363" s="35" t="s">
        <v>4751</v>
      </c>
      <c r="J1363" s="36" t="s">
        <v>929</v>
      </c>
      <c r="K1363" s="33" t="s">
        <v>916</v>
      </c>
      <c r="L1363" s="35" t="s">
        <v>916</v>
      </c>
      <c r="M1363" s="36" t="s">
        <v>916</v>
      </c>
      <c r="N1363" s="45">
        <v>46022</v>
      </c>
      <c r="O1363" s="36" t="s">
        <v>25</v>
      </c>
      <c r="P1363" s="38">
        <v>30.257268518499998</v>
      </c>
      <c r="Q1363" s="39" t="s">
        <v>4752</v>
      </c>
      <c r="R1363" s="35" t="s">
        <v>916</v>
      </c>
      <c r="S1363" s="35"/>
      <c r="T1363" s="35" t="s">
        <v>1624</v>
      </c>
      <c r="U1363" s="40">
        <v>45992</v>
      </c>
      <c r="V1363" s="41">
        <v>46153.532905092594</v>
      </c>
      <c r="W1363" s="40">
        <v>45991</v>
      </c>
      <c r="X1363" s="35" t="s">
        <v>916</v>
      </c>
      <c r="Y1363" s="35" t="s">
        <v>916</v>
      </c>
      <c r="Z1363" s="35" t="s">
        <v>916</v>
      </c>
      <c r="AA1363" s="38">
        <v>726.17444444399996</v>
      </c>
      <c r="AB1363" s="42" t="s">
        <v>916</v>
      </c>
      <c r="AC1363" s="43" t="s">
        <v>916</v>
      </c>
      <c r="AD1363" s="43" t="s">
        <v>916</v>
      </c>
      <c r="AE1363" s="33" t="s">
        <v>3982</v>
      </c>
      <c r="AF1363" s="35" t="s">
        <v>916</v>
      </c>
      <c r="AG1363" s="44">
        <v>490145.82555555552</v>
      </c>
      <c r="AH1363" s="42" t="s">
        <v>916</v>
      </c>
      <c r="AI1363" s="32" t="e">
        <f>VLOOKUP(A1363,'4月明細'!B:B,1,0)</f>
        <v>#N/A</v>
      </c>
    </row>
    <row r="1364" spans="1:35" ht="19.95" customHeight="1" x14ac:dyDescent="0.3">
      <c r="A1364" s="33" t="s">
        <v>4753</v>
      </c>
      <c r="B1364" s="34">
        <v>45991.711446759262</v>
      </c>
      <c r="C1364" s="34" t="str">
        <f t="shared" si="34"/>
        <v>202511</v>
      </c>
      <c r="D1364" s="35" t="s">
        <v>909</v>
      </c>
      <c r="E1364" s="36" t="s">
        <v>910</v>
      </c>
      <c r="F1364" s="36" t="s">
        <v>1021</v>
      </c>
      <c r="G1364" s="37" t="s">
        <v>1096</v>
      </c>
      <c r="H1364" s="36" t="s">
        <v>3979</v>
      </c>
      <c r="I1364" s="35" t="s">
        <v>4754</v>
      </c>
      <c r="J1364" s="36" t="s">
        <v>914</v>
      </c>
      <c r="K1364" s="33" t="s">
        <v>916</v>
      </c>
      <c r="L1364" s="35" t="s">
        <v>916</v>
      </c>
      <c r="M1364" s="36" t="s">
        <v>916</v>
      </c>
      <c r="N1364" s="45">
        <v>46022</v>
      </c>
      <c r="O1364" s="36" t="s">
        <v>25</v>
      </c>
      <c r="P1364" s="38">
        <v>30.288553240700001</v>
      </c>
      <c r="Q1364" s="39" t="s">
        <v>4755</v>
      </c>
      <c r="R1364" s="35" t="s">
        <v>916</v>
      </c>
      <c r="S1364" s="35"/>
      <c r="T1364" s="35" t="s">
        <v>1624</v>
      </c>
      <c r="U1364" s="40">
        <v>45992</v>
      </c>
      <c r="V1364" s="41">
        <v>46153.532905092594</v>
      </c>
      <c r="W1364" s="40">
        <v>45991</v>
      </c>
      <c r="X1364" s="35" t="s">
        <v>916</v>
      </c>
      <c r="Y1364" s="35" t="s">
        <v>916</v>
      </c>
      <c r="Z1364" s="35" t="s">
        <v>916</v>
      </c>
      <c r="AA1364" s="38">
        <v>726.92527777680004</v>
      </c>
      <c r="AB1364" s="42" t="s">
        <v>916</v>
      </c>
      <c r="AC1364" s="43" t="s">
        <v>916</v>
      </c>
      <c r="AD1364" s="43" t="s">
        <v>916</v>
      </c>
      <c r="AE1364" s="33" t="s">
        <v>3982</v>
      </c>
      <c r="AF1364" s="35" t="s">
        <v>916</v>
      </c>
      <c r="AG1364" s="44">
        <v>490145.07472222223</v>
      </c>
      <c r="AH1364" s="42" t="s">
        <v>916</v>
      </c>
      <c r="AI1364" s="32" t="e">
        <f>VLOOKUP(A1364,'4月明細'!B:B,1,0)</f>
        <v>#N/A</v>
      </c>
    </row>
    <row r="1365" spans="1:35" ht="19.95" customHeight="1" x14ac:dyDescent="0.3">
      <c r="A1365" s="33" t="s">
        <v>4756</v>
      </c>
      <c r="B1365" s="34">
        <v>45991.628368055557</v>
      </c>
      <c r="C1365" s="34" t="str">
        <f t="shared" si="34"/>
        <v>202511</v>
      </c>
      <c r="D1365" s="35" t="s">
        <v>996</v>
      </c>
      <c r="E1365" s="36" t="s">
        <v>910</v>
      </c>
      <c r="F1365" s="36" t="s">
        <v>1568</v>
      </c>
      <c r="G1365" s="37" t="s">
        <v>1041</v>
      </c>
      <c r="H1365" s="36" t="s">
        <v>1043</v>
      </c>
      <c r="I1365" s="35"/>
      <c r="J1365" s="36" t="s">
        <v>914</v>
      </c>
      <c r="K1365" s="33" t="s">
        <v>916</v>
      </c>
      <c r="L1365" s="35" t="s">
        <v>916</v>
      </c>
      <c r="M1365" s="36" t="s">
        <v>916</v>
      </c>
      <c r="N1365" s="45">
        <v>46022</v>
      </c>
      <c r="O1365" s="36" t="s">
        <v>25</v>
      </c>
      <c r="P1365" s="38">
        <v>30.371631944400001</v>
      </c>
      <c r="Q1365" s="39" t="s">
        <v>4757</v>
      </c>
      <c r="R1365" s="35" t="s">
        <v>916</v>
      </c>
      <c r="S1365" s="35" t="s">
        <v>4758</v>
      </c>
      <c r="T1365" s="35" t="s">
        <v>1624</v>
      </c>
      <c r="U1365" s="40">
        <v>45992</v>
      </c>
      <c r="V1365" s="41">
        <v>46153.532905092594</v>
      </c>
      <c r="W1365" s="40">
        <v>45991</v>
      </c>
      <c r="X1365" s="35" t="s">
        <v>916</v>
      </c>
      <c r="Y1365" s="35" t="s">
        <v>916</v>
      </c>
      <c r="Z1365" s="35" t="s">
        <v>916</v>
      </c>
      <c r="AA1365" s="38">
        <v>728.91916666559996</v>
      </c>
      <c r="AB1365" s="42" t="s">
        <v>916</v>
      </c>
      <c r="AC1365" s="43" t="s">
        <v>916</v>
      </c>
      <c r="AD1365" s="43" t="s">
        <v>916</v>
      </c>
      <c r="AE1365" s="33" t="s">
        <v>3982</v>
      </c>
      <c r="AF1365" s="35" t="s">
        <v>916</v>
      </c>
      <c r="AG1365" s="44">
        <v>490143.08083333343</v>
      </c>
      <c r="AH1365" s="42" t="s">
        <v>916</v>
      </c>
      <c r="AI1365" s="32" t="e">
        <f>VLOOKUP(A1365,'4月明細'!B:B,1,0)</f>
        <v>#N/A</v>
      </c>
    </row>
    <row r="1366" spans="1:35" ht="19.95" customHeight="1" x14ac:dyDescent="0.3">
      <c r="A1366" s="33" t="s">
        <v>4759</v>
      </c>
      <c r="B1366" s="34">
        <v>45991.624120370368</v>
      </c>
      <c r="C1366" s="34" t="str">
        <f t="shared" si="34"/>
        <v>202511</v>
      </c>
      <c r="D1366" s="35" t="s">
        <v>909</v>
      </c>
      <c r="E1366" s="36" t="s">
        <v>910</v>
      </c>
      <c r="F1366" s="36" t="s">
        <v>1552</v>
      </c>
      <c r="G1366" s="37" t="s">
        <v>4760</v>
      </c>
      <c r="H1366" s="36" t="s">
        <v>956</v>
      </c>
      <c r="I1366" s="35" t="s">
        <v>4761</v>
      </c>
      <c r="J1366" s="36" t="s">
        <v>914</v>
      </c>
      <c r="K1366" s="33" t="s">
        <v>916</v>
      </c>
      <c r="L1366" s="35" t="s">
        <v>916</v>
      </c>
      <c r="M1366" s="36" t="s">
        <v>916</v>
      </c>
      <c r="N1366" s="45">
        <v>46022</v>
      </c>
      <c r="O1366" s="36" t="s">
        <v>25</v>
      </c>
      <c r="P1366" s="38">
        <v>30.3758796296</v>
      </c>
      <c r="Q1366" s="39" t="s">
        <v>4762</v>
      </c>
      <c r="R1366" s="35" t="s">
        <v>916</v>
      </c>
      <c r="S1366" s="35" t="s">
        <v>4763</v>
      </c>
      <c r="T1366" s="35" t="s">
        <v>1624</v>
      </c>
      <c r="U1366" s="40">
        <v>45992</v>
      </c>
      <c r="V1366" s="41">
        <v>46153.532905092594</v>
      </c>
      <c r="W1366" s="40">
        <v>45991</v>
      </c>
      <c r="X1366" s="35" t="s">
        <v>916</v>
      </c>
      <c r="Y1366" s="35" t="s">
        <v>916</v>
      </c>
      <c r="Z1366" s="35" t="s">
        <v>916</v>
      </c>
      <c r="AA1366" s="38">
        <v>729.02111111040006</v>
      </c>
      <c r="AB1366" s="42" t="s">
        <v>916</v>
      </c>
      <c r="AC1366" s="43" t="s">
        <v>916</v>
      </c>
      <c r="AD1366" s="43" t="s">
        <v>916</v>
      </c>
      <c r="AE1366" s="33" t="s">
        <v>3982</v>
      </c>
      <c r="AF1366" s="35" t="s">
        <v>916</v>
      </c>
      <c r="AG1366" s="44">
        <v>490142.97888888902</v>
      </c>
      <c r="AH1366" s="42" t="s">
        <v>916</v>
      </c>
      <c r="AI1366" s="32" t="e">
        <f>VLOOKUP(A1366,'4月明細'!B:B,1,0)</f>
        <v>#N/A</v>
      </c>
    </row>
    <row r="1367" spans="1:35" ht="19.95" customHeight="1" x14ac:dyDescent="0.3">
      <c r="A1367" s="33" t="s">
        <v>4764</v>
      </c>
      <c r="B1367" s="34">
        <v>45991.568425925929</v>
      </c>
      <c r="C1367" s="34" t="str">
        <f t="shared" si="34"/>
        <v>202511</v>
      </c>
      <c r="D1367" s="35" t="s">
        <v>909</v>
      </c>
      <c r="E1367" s="36" t="s">
        <v>910</v>
      </c>
      <c r="F1367" s="36" t="s">
        <v>1207</v>
      </c>
      <c r="G1367" s="37" t="s">
        <v>1725</v>
      </c>
      <c r="H1367" s="36" t="s">
        <v>4065</v>
      </c>
      <c r="I1367" s="35" t="s">
        <v>4765</v>
      </c>
      <c r="J1367" s="36" t="s">
        <v>914</v>
      </c>
      <c r="K1367" s="33" t="s">
        <v>916</v>
      </c>
      <c r="L1367" s="35" t="s">
        <v>916</v>
      </c>
      <c r="M1367" s="36" t="s">
        <v>916</v>
      </c>
      <c r="N1367" s="45">
        <v>46022</v>
      </c>
      <c r="O1367" s="36" t="s">
        <v>25</v>
      </c>
      <c r="P1367" s="38">
        <v>30.431574074099998</v>
      </c>
      <c r="Q1367" s="39" t="s">
        <v>4766</v>
      </c>
      <c r="R1367" s="35" t="s">
        <v>916</v>
      </c>
      <c r="S1367" s="35" t="s">
        <v>4767</v>
      </c>
      <c r="T1367" s="35" t="s">
        <v>1624</v>
      </c>
      <c r="U1367" s="40">
        <v>45992</v>
      </c>
      <c r="V1367" s="41">
        <v>46153.532905092594</v>
      </c>
      <c r="W1367" s="40">
        <v>45991</v>
      </c>
      <c r="X1367" s="35" t="s">
        <v>916</v>
      </c>
      <c r="Y1367" s="35" t="s">
        <v>916</v>
      </c>
      <c r="Z1367" s="35" t="s">
        <v>916</v>
      </c>
      <c r="AA1367" s="38">
        <v>730.35777777839996</v>
      </c>
      <c r="AB1367" s="42" t="s">
        <v>916</v>
      </c>
      <c r="AC1367" s="43" t="s">
        <v>916</v>
      </c>
      <c r="AD1367" s="43" t="s">
        <v>916</v>
      </c>
      <c r="AE1367" s="33" t="s">
        <v>3982</v>
      </c>
      <c r="AF1367" s="35" t="s">
        <v>916</v>
      </c>
      <c r="AG1367" s="44">
        <v>490141.64222222217</v>
      </c>
      <c r="AH1367" s="42" t="s">
        <v>916</v>
      </c>
      <c r="AI1367" s="32" t="e">
        <f>VLOOKUP(A1367,'4月明細'!B:B,1,0)</f>
        <v>#N/A</v>
      </c>
    </row>
    <row r="1368" spans="1:35" ht="19.95" customHeight="1" x14ac:dyDescent="0.3">
      <c r="A1368" s="33" t="s">
        <v>4768</v>
      </c>
      <c r="B1368" s="34">
        <v>45991.528784722221</v>
      </c>
      <c r="C1368" s="34" t="str">
        <f t="shared" si="34"/>
        <v>202511</v>
      </c>
      <c r="D1368" s="35" t="s">
        <v>4769</v>
      </c>
      <c r="E1368" s="36" t="s">
        <v>910</v>
      </c>
      <c r="F1368" s="36" t="s">
        <v>1227</v>
      </c>
      <c r="G1368" s="37" t="s">
        <v>4770</v>
      </c>
      <c r="H1368" s="36" t="s">
        <v>1043</v>
      </c>
      <c r="I1368" s="35" t="s">
        <v>4771</v>
      </c>
      <c r="J1368" s="36" t="s">
        <v>914</v>
      </c>
      <c r="K1368" s="33" t="s">
        <v>916</v>
      </c>
      <c r="L1368" s="35" t="s">
        <v>916</v>
      </c>
      <c r="M1368" s="36" t="s">
        <v>916</v>
      </c>
      <c r="N1368" s="45">
        <v>46022</v>
      </c>
      <c r="O1368" s="36" t="s">
        <v>25</v>
      </c>
      <c r="P1368" s="38">
        <v>30.471215277799999</v>
      </c>
      <c r="Q1368" s="39" t="s">
        <v>4772</v>
      </c>
      <c r="R1368" s="35" t="s">
        <v>916</v>
      </c>
      <c r="S1368" s="35" t="s">
        <v>4773</v>
      </c>
      <c r="T1368" s="35" t="s">
        <v>1624</v>
      </c>
      <c r="U1368" s="40">
        <v>45992</v>
      </c>
      <c r="V1368" s="41">
        <v>46153.532905092594</v>
      </c>
      <c r="W1368" s="40">
        <v>45991</v>
      </c>
      <c r="X1368" s="35" t="s">
        <v>916</v>
      </c>
      <c r="Y1368" s="35" t="s">
        <v>916</v>
      </c>
      <c r="Z1368" s="35" t="s">
        <v>916</v>
      </c>
      <c r="AA1368" s="38">
        <v>731.30916666719997</v>
      </c>
      <c r="AB1368" s="42" t="s">
        <v>916</v>
      </c>
      <c r="AC1368" s="43" t="s">
        <v>916</v>
      </c>
      <c r="AD1368" s="43" t="s">
        <v>916</v>
      </c>
      <c r="AE1368" s="33" t="s">
        <v>3982</v>
      </c>
      <c r="AF1368" s="35" t="s">
        <v>916</v>
      </c>
      <c r="AG1368" s="44">
        <v>490140.69083333341</v>
      </c>
      <c r="AH1368" s="42" t="s">
        <v>916</v>
      </c>
      <c r="AI1368" s="32" t="e">
        <f>VLOOKUP(A1368,'4月明細'!B:B,1,0)</f>
        <v>#N/A</v>
      </c>
    </row>
    <row r="1369" spans="1:35" ht="19.95" customHeight="1" x14ac:dyDescent="0.3">
      <c r="A1369" s="33" t="s">
        <v>4774</v>
      </c>
      <c r="B1369" s="34">
        <v>45990.883657407408</v>
      </c>
      <c r="C1369" s="34" t="str">
        <f t="shared" si="34"/>
        <v>202511</v>
      </c>
      <c r="D1369" s="35" t="s">
        <v>2624</v>
      </c>
      <c r="E1369" s="36" t="s">
        <v>942</v>
      </c>
      <c r="F1369" s="36" t="s">
        <v>1634</v>
      </c>
      <c r="G1369" s="37" t="s">
        <v>4775</v>
      </c>
      <c r="H1369" s="36" t="s">
        <v>913</v>
      </c>
      <c r="I1369" s="35"/>
      <c r="J1369" s="36" t="s">
        <v>945</v>
      </c>
      <c r="K1369" s="33" t="s">
        <v>916</v>
      </c>
      <c r="L1369" s="35" t="s">
        <v>916</v>
      </c>
      <c r="M1369" s="36" t="s">
        <v>916</v>
      </c>
      <c r="N1369" s="45">
        <v>46022</v>
      </c>
      <c r="O1369" s="36" t="s">
        <v>25</v>
      </c>
      <c r="P1369" s="38">
        <v>31.116342592599999</v>
      </c>
      <c r="Q1369" s="39" t="s">
        <v>4776</v>
      </c>
      <c r="R1369" s="35" t="s">
        <v>916</v>
      </c>
      <c r="S1369" s="35"/>
      <c r="T1369" s="35" t="s">
        <v>1624</v>
      </c>
      <c r="U1369" s="40">
        <v>45991</v>
      </c>
      <c r="V1369" s="41">
        <v>46153.532905092594</v>
      </c>
      <c r="W1369" s="40">
        <v>45991</v>
      </c>
      <c r="X1369" s="35" t="s">
        <v>916</v>
      </c>
      <c r="Y1369" s="35" t="s">
        <v>916</v>
      </c>
      <c r="Z1369" s="35" t="s">
        <v>916</v>
      </c>
      <c r="AA1369" s="38">
        <v>746.79222222240003</v>
      </c>
      <c r="AB1369" s="42" t="s">
        <v>916</v>
      </c>
      <c r="AC1369" s="43" t="s">
        <v>916</v>
      </c>
      <c r="AD1369" s="43" t="s">
        <v>916</v>
      </c>
      <c r="AE1369" s="33" t="s">
        <v>3982</v>
      </c>
      <c r="AF1369" s="35" t="s">
        <v>916</v>
      </c>
      <c r="AG1369" s="44">
        <v>490125.2077777778</v>
      </c>
      <c r="AH1369" s="42" t="s">
        <v>916</v>
      </c>
      <c r="AI1369" s="32" t="e">
        <f>VLOOKUP(A1369,'4月明細'!B:B,1,0)</f>
        <v>#N/A</v>
      </c>
    </row>
    <row r="1370" spans="1:35" ht="19.95" customHeight="1" x14ac:dyDescent="0.3">
      <c r="A1370" s="33" t="s">
        <v>4777</v>
      </c>
      <c r="B1370" s="34">
        <v>45990.581365740742</v>
      </c>
      <c r="C1370" s="34" t="str">
        <f t="shared" si="34"/>
        <v>202511</v>
      </c>
      <c r="D1370" s="35" t="s">
        <v>996</v>
      </c>
      <c r="E1370" s="36" t="s">
        <v>910</v>
      </c>
      <c r="F1370" s="36" t="s">
        <v>1017</v>
      </c>
      <c r="G1370" s="37" t="s">
        <v>4778</v>
      </c>
      <c r="H1370" s="36" t="s">
        <v>4185</v>
      </c>
      <c r="I1370" s="35"/>
      <c r="J1370" s="36" t="s">
        <v>929</v>
      </c>
      <c r="K1370" s="33" t="s">
        <v>916</v>
      </c>
      <c r="L1370" s="35" t="s">
        <v>916</v>
      </c>
      <c r="M1370" s="36" t="s">
        <v>916</v>
      </c>
      <c r="N1370" s="45">
        <v>46022</v>
      </c>
      <c r="O1370" s="36" t="s">
        <v>25</v>
      </c>
      <c r="P1370" s="38">
        <v>31.418634259299999</v>
      </c>
      <c r="Q1370" s="39" t="s">
        <v>4779</v>
      </c>
      <c r="R1370" s="35" t="s">
        <v>916</v>
      </c>
      <c r="S1370" s="35"/>
      <c r="T1370" s="35" t="s">
        <v>1624</v>
      </c>
      <c r="U1370" s="40">
        <v>45991</v>
      </c>
      <c r="V1370" s="41">
        <v>46153.532905092594</v>
      </c>
      <c r="W1370" s="40">
        <v>45990</v>
      </c>
      <c r="X1370" s="35" t="s">
        <v>916</v>
      </c>
      <c r="Y1370" s="35" t="s">
        <v>916</v>
      </c>
      <c r="Z1370" s="35" t="s">
        <v>916</v>
      </c>
      <c r="AA1370" s="38">
        <v>754.04722222320004</v>
      </c>
      <c r="AB1370" s="42" t="s">
        <v>916</v>
      </c>
      <c r="AC1370" s="43" t="s">
        <v>916</v>
      </c>
      <c r="AD1370" s="43" t="s">
        <v>916</v>
      </c>
      <c r="AE1370" s="33" t="s">
        <v>3982</v>
      </c>
      <c r="AF1370" s="35" t="s">
        <v>916</v>
      </c>
      <c r="AG1370" s="44">
        <v>490117.9527777778</v>
      </c>
      <c r="AH1370" s="42" t="s">
        <v>916</v>
      </c>
      <c r="AI1370" s="32" t="e">
        <f>VLOOKUP(A1370,'4月明細'!B:B,1,0)</f>
        <v>#N/A</v>
      </c>
    </row>
    <row r="1371" spans="1:35" ht="19.95" customHeight="1" x14ac:dyDescent="0.3">
      <c r="A1371" s="33" t="s">
        <v>4780</v>
      </c>
      <c r="B1371" s="34">
        <v>45990.504548611112</v>
      </c>
      <c r="C1371" s="34" t="str">
        <f t="shared" si="34"/>
        <v>202511</v>
      </c>
      <c r="D1371" s="35" t="s">
        <v>4781</v>
      </c>
      <c r="E1371" s="36" t="s">
        <v>910</v>
      </c>
      <c r="F1371" s="36" t="s">
        <v>1010</v>
      </c>
      <c r="G1371" s="37" t="s">
        <v>4782</v>
      </c>
      <c r="H1371" s="36" t="s">
        <v>4023</v>
      </c>
      <c r="I1371" s="35"/>
      <c r="J1371" s="36" t="s">
        <v>914</v>
      </c>
      <c r="K1371" s="33" t="s">
        <v>916</v>
      </c>
      <c r="L1371" s="35" t="s">
        <v>916</v>
      </c>
      <c r="M1371" s="36" t="s">
        <v>916</v>
      </c>
      <c r="N1371" s="45">
        <v>46022</v>
      </c>
      <c r="O1371" s="36" t="s">
        <v>25</v>
      </c>
      <c r="P1371" s="38">
        <v>31.495451388900001</v>
      </c>
      <c r="Q1371" s="39" t="s">
        <v>4783</v>
      </c>
      <c r="R1371" s="35" t="s">
        <v>916</v>
      </c>
      <c r="S1371" s="35"/>
      <c r="T1371" s="35" t="s">
        <v>1624</v>
      </c>
      <c r="U1371" s="40">
        <v>45991</v>
      </c>
      <c r="V1371" s="41">
        <v>46153.532905092594</v>
      </c>
      <c r="W1371" s="40">
        <v>45990</v>
      </c>
      <c r="X1371" s="35" t="s">
        <v>916</v>
      </c>
      <c r="Y1371" s="35" t="s">
        <v>916</v>
      </c>
      <c r="Z1371" s="35" t="s">
        <v>916</v>
      </c>
      <c r="AA1371" s="38">
        <v>755.89083333359997</v>
      </c>
      <c r="AB1371" s="42" t="s">
        <v>916</v>
      </c>
      <c r="AC1371" s="43" t="s">
        <v>916</v>
      </c>
      <c r="AD1371" s="43" t="s">
        <v>916</v>
      </c>
      <c r="AE1371" s="33" t="s">
        <v>3982</v>
      </c>
      <c r="AF1371" s="35" t="s">
        <v>916</v>
      </c>
      <c r="AG1371" s="44">
        <v>490116.10916666669</v>
      </c>
      <c r="AH1371" s="42" t="s">
        <v>916</v>
      </c>
      <c r="AI1371" s="32" t="e">
        <f>VLOOKUP(A1371,'4月明細'!B:B,1,0)</f>
        <v>#N/A</v>
      </c>
    </row>
    <row r="1372" spans="1:35" ht="19.95" customHeight="1" x14ac:dyDescent="0.3">
      <c r="A1372" s="33" t="s">
        <v>4784</v>
      </c>
      <c r="B1372" s="34">
        <v>45990.430543981478</v>
      </c>
      <c r="C1372" s="34" t="str">
        <f t="shared" si="34"/>
        <v>202511</v>
      </c>
      <c r="D1372" s="35" t="s">
        <v>951</v>
      </c>
      <c r="E1372" s="36" t="s">
        <v>910</v>
      </c>
      <c r="F1372" s="36" t="s">
        <v>2841</v>
      </c>
      <c r="G1372" s="37" t="s">
        <v>4785</v>
      </c>
      <c r="H1372" s="36" t="s">
        <v>1352</v>
      </c>
      <c r="I1372" s="35" t="s">
        <v>4786</v>
      </c>
      <c r="J1372" s="36" t="s">
        <v>938</v>
      </c>
      <c r="K1372" s="33" t="s">
        <v>916</v>
      </c>
      <c r="L1372" s="35" t="s">
        <v>916</v>
      </c>
      <c r="M1372" s="36" t="s">
        <v>1135</v>
      </c>
      <c r="N1372" s="45">
        <v>46022</v>
      </c>
      <c r="O1372" s="36" t="s">
        <v>25</v>
      </c>
      <c r="P1372" s="38">
        <v>31.569456018499999</v>
      </c>
      <c r="Q1372" s="39" t="s">
        <v>4787</v>
      </c>
      <c r="R1372" s="35" t="s">
        <v>916</v>
      </c>
      <c r="S1372" s="35" t="s">
        <v>4788</v>
      </c>
      <c r="T1372" s="35" t="s">
        <v>1624</v>
      </c>
      <c r="U1372" s="40">
        <v>45991</v>
      </c>
      <c r="V1372" s="41">
        <v>46153.532905092594</v>
      </c>
      <c r="W1372" s="40">
        <v>45990</v>
      </c>
      <c r="X1372" s="35" t="s">
        <v>916</v>
      </c>
      <c r="Y1372" s="35" t="s">
        <v>916</v>
      </c>
      <c r="Z1372" s="35" t="s">
        <v>916</v>
      </c>
      <c r="AA1372" s="38">
        <v>757.66694444400002</v>
      </c>
      <c r="AB1372" s="42" t="s">
        <v>916</v>
      </c>
      <c r="AC1372" s="43" t="s">
        <v>916</v>
      </c>
      <c r="AD1372" s="43" t="s">
        <v>916</v>
      </c>
      <c r="AE1372" s="33" t="s">
        <v>3982</v>
      </c>
      <c r="AF1372" s="35" t="s">
        <v>916</v>
      </c>
      <c r="AG1372" s="44">
        <v>490114.33305555559</v>
      </c>
      <c r="AH1372" s="42" t="s">
        <v>916</v>
      </c>
      <c r="AI1372" s="32" t="e">
        <f>VLOOKUP(A1372,'4月明細'!B:B,1,0)</f>
        <v>#N/A</v>
      </c>
    </row>
    <row r="1373" spans="1:35" ht="19.95" customHeight="1" x14ac:dyDescent="0.3">
      <c r="A1373" s="33" t="s">
        <v>4789</v>
      </c>
      <c r="B1373" s="34">
        <v>45989.628587962965</v>
      </c>
      <c r="C1373" s="34" t="str">
        <f t="shared" si="34"/>
        <v>202511</v>
      </c>
      <c r="D1373" s="35" t="s">
        <v>951</v>
      </c>
      <c r="E1373" s="36" t="s">
        <v>910</v>
      </c>
      <c r="F1373" s="36" t="s">
        <v>1639</v>
      </c>
      <c r="G1373" s="37" t="s">
        <v>4790</v>
      </c>
      <c r="H1373" s="36" t="s">
        <v>4023</v>
      </c>
      <c r="I1373" s="35" t="s">
        <v>4791</v>
      </c>
      <c r="J1373" s="36" t="s">
        <v>914</v>
      </c>
      <c r="K1373" s="33" t="s">
        <v>916</v>
      </c>
      <c r="L1373" s="35" t="s">
        <v>916</v>
      </c>
      <c r="M1373" s="36" t="s">
        <v>916</v>
      </c>
      <c r="N1373" s="45">
        <v>46022</v>
      </c>
      <c r="O1373" s="36" t="s">
        <v>25</v>
      </c>
      <c r="P1373" s="38">
        <v>32.371412036999999</v>
      </c>
      <c r="Q1373" s="39" t="s">
        <v>4792</v>
      </c>
      <c r="R1373" s="35" t="s">
        <v>916</v>
      </c>
      <c r="S1373" s="35"/>
      <c r="T1373" s="35" t="s">
        <v>1624</v>
      </c>
      <c r="U1373" s="40">
        <v>45990</v>
      </c>
      <c r="V1373" s="41">
        <v>46153.532905092594</v>
      </c>
      <c r="W1373" s="40">
        <v>45989</v>
      </c>
      <c r="X1373" s="35" t="s">
        <v>916</v>
      </c>
      <c r="Y1373" s="35" t="s">
        <v>916</v>
      </c>
      <c r="Z1373" s="35" t="s">
        <v>916</v>
      </c>
      <c r="AA1373" s="38">
        <v>776.91388888799997</v>
      </c>
      <c r="AB1373" s="42" t="s">
        <v>916</v>
      </c>
      <c r="AC1373" s="43" t="s">
        <v>916</v>
      </c>
      <c r="AD1373" s="43" t="s">
        <v>916</v>
      </c>
      <c r="AE1373" s="33" t="s">
        <v>3982</v>
      </c>
      <c r="AF1373" s="35" t="s">
        <v>916</v>
      </c>
      <c r="AG1373" s="44">
        <v>490095.0861111111</v>
      </c>
      <c r="AH1373" s="42" t="s">
        <v>916</v>
      </c>
      <c r="AI1373" s="32" t="e">
        <f>VLOOKUP(A1373,'4月明細'!B:B,1,0)</f>
        <v>#N/A</v>
      </c>
    </row>
    <row r="1374" spans="1:35" ht="19.95" customHeight="1" x14ac:dyDescent="0.3">
      <c r="A1374" s="33" t="s">
        <v>4793</v>
      </c>
      <c r="B1374" s="34">
        <v>45989.628171296295</v>
      </c>
      <c r="C1374" s="34" t="str">
        <f t="shared" si="34"/>
        <v>202511</v>
      </c>
      <c r="D1374" s="35" t="s">
        <v>2278</v>
      </c>
      <c r="E1374" s="36" t="s">
        <v>910</v>
      </c>
      <c r="F1374" s="36" t="s">
        <v>1783</v>
      </c>
      <c r="G1374" s="37" t="s">
        <v>4794</v>
      </c>
      <c r="H1374" s="36" t="s">
        <v>4196</v>
      </c>
      <c r="I1374" s="35"/>
      <c r="J1374" s="36" t="s">
        <v>914</v>
      </c>
      <c r="K1374" s="33" t="s">
        <v>916</v>
      </c>
      <c r="L1374" s="35" t="s">
        <v>916</v>
      </c>
      <c r="M1374" s="36" t="s">
        <v>916</v>
      </c>
      <c r="N1374" s="45">
        <v>46022</v>
      </c>
      <c r="O1374" s="36" t="s">
        <v>25</v>
      </c>
      <c r="P1374" s="38">
        <v>32.371828703699997</v>
      </c>
      <c r="Q1374" s="39" t="s">
        <v>4795</v>
      </c>
      <c r="R1374" s="35" t="s">
        <v>916</v>
      </c>
      <c r="S1374" s="35" t="s">
        <v>4796</v>
      </c>
      <c r="T1374" s="35" t="s">
        <v>1624</v>
      </c>
      <c r="U1374" s="40">
        <v>45990</v>
      </c>
      <c r="V1374" s="41">
        <v>46153.532905092594</v>
      </c>
      <c r="W1374" s="40">
        <v>45989</v>
      </c>
      <c r="X1374" s="35" t="s">
        <v>916</v>
      </c>
      <c r="Y1374" s="35" t="s">
        <v>916</v>
      </c>
      <c r="Z1374" s="35" t="s">
        <v>916</v>
      </c>
      <c r="AA1374" s="38">
        <v>776.92388888879998</v>
      </c>
      <c r="AB1374" s="42" t="s">
        <v>916</v>
      </c>
      <c r="AC1374" s="43" t="s">
        <v>916</v>
      </c>
      <c r="AD1374" s="43" t="s">
        <v>916</v>
      </c>
      <c r="AE1374" s="33" t="s">
        <v>3982</v>
      </c>
      <c r="AF1374" s="35" t="s">
        <v>916</v>
      </c>
      <c r="AG1374" s="44">
        <v>490095.07611111109</v>
      </c>
      <c r="AH1374" s="42" t="s">
        <v>916</v>
      </c>
      <c r="AI1374" s="32" t="e">
        <f>VLOOKUP(A1374,'4月明細'!B:B,1,0)</f>
        <v>#N/A</v>
      </c>
    </row>
    <row r="1375" spans="1:35" ht="19.95" customHeight="1" x14ac:dyDescent="0.3">
      <c r="A1375" s="33" t="s">
        <v>4797</v>
      </c>
      <c r="B1375" s="34">
        <v>45989.534375000003</v>
      </c>
      <c r="C1375" s="34" t="str">
        <f t="shared" si="34"/>
        <v>202511</v>
      </c>
      <c r="D1375" s="35" t="s">
        <v>951</v>
      </c>
      <c r="E1375" s="36" t="s">
        <v>910</v>
      </c>
      <c r="F1375" s="36" t="s">
        <v>964</v>
      </c>
      <c r="G1375" s="37" t="s">
        <v>4798</v>
      </c>
      <c r="H1375" s="36" t="s">
        <v>970</v>
      </c>
      <c r="I1375" s="35" t="s">
        <v>4799</v>
      </c>
      <c r="J1375" s="36" t="s">
        <v>1058</v>
      </c>
      <c r="K1375" s="33" t="s">
        <v>916</v>
      </c>
      <c r="L1375" s="35" t="s">
        <v>916</v>
      </c>
      <c r="M1375" s="36" t="s">
        <v>916</v>
      </c>
      <c r="N1375" s="45">
        <v>46022</v>
      </c>
      <c r="O1375" s="36" t="s">
        <v>25</v>
      </c>
      <c r="P1375" s="38">
        <v>32.465625000000003</v>
      </c>
      <c r="Q1375" s="39" t="s">
        <v>4800</v>
      </c>
      <c r="R1375" s="35" t="s">
        <v>916</v>
      </c>
      <c r="S1375" s="35" t="s">
        <v>4801</v>
      </c>
      <c r="T1375" s="35" t="s">
        <v>1624</v>
      </c>
      <c r="U1375" s="40">
        <v>45990</v>
      </c>
      <c r="V1375" s="41">
        <v>46153.532905092594</v>
      </c>
      <c r="W1375" s="40">
        <v>45989</v>
      </c>
      <c r="X1375" s="35" t="s">
        <v>916</v>
      </c>
      <c r="Y1375" s="35" t="s">
        <v>916</v>
      </c>
      <c r="Z1375" s="35" t="s">
        <v>916</v>
      </c>
      <c r="AA1375" s="38">
        <v>779.17499999999995</v>
      </c>
      <c r="AB1375" s="42" t="s">
        <v>916</v>
      </c>
      <c r="AC1375" s="43" t="s">
        <v>916</v>
      </c>
      <c r="AD1375" s="43" t="s">
        <v>916</v>
      </c>
      <c r="AE1375" s="33" t="s">
        <v>3982</v>
      </c>
      <c r="AF1375" s="35" t="s">
        <v>916</v>
      </c>
      <c r="AG1375" s="44">
        <v>490092.82500000001</v>
      </c>
      <c r="AH1375" s="42" t="s">
        <v>916</v>
      </c>
      <c r="AI1375" s="32" t="e">
        <f>VLOOKUP(A1375,'4月明細'!B:B,1,0)</f>
        <v>#N/A</v>
      </c>
    </row>
    <row r="1376" spans="1:35" ht="19.95" customHeight="1" x14ac:dyDescent="0.3">
      <c r="A1376" s="33" t="s">
        <v>4802</v>
      </c>
      <c r="B1376" s="34">
        <v>45989.533391203702</v>
      </c>
      <c r="C1376" s="34" t="str">
        <f t="shared" si="34"/>
        <v>202511</v>
      </c>
      <c r="D1376" s="35" t="s">
        <v>2278</v>
      </c>
      <c r="E1376" s="36" t="s">
        <v>910</v>
      </c>
      <c r="F1376" s="36" t="s">
        <v>1833</v>
      </c>
      <c r="G1376" s="37" t="s">
        <v>4803</v>
      </c>
      <c r="H1376" s="36" t="s">
        <v>4804</v>
      </c>
      <c r="I1376" s="35" t="s">
        <v>4805</v>
      </c>
      <c r="J1376" s="36" t="s">
        <v>914</v>
      </c>
      <c r="K1376" s="33" t="s">
        <v>916</v>
      </c>
      <c r="L1376" s="35" t="s">
        <v>916</v>
      </c>
      <c r="M1376" s="36" t="s">
        <v>916</v>
      </c>
      <c r="N1376" s="45">
        <v>46022</v>
      </c>
      <c r="O1376" s="36" t="s">
        <v>25</v>
      </c>
      <c r="P1376" s="38">
        <v>32.466608796300001</v>
      </c>
      <c r="Q1376" s="39" t="s">
        <v>4806</v>
      </c>
      <c r="R1376" s="35" t="s">
        <v>916</v>
      </c>
      <c r="S1376" s="35" t="s">
        <v>4807</v>
      </c>
      <c r="T1376" s="35" t="s">
        <v>1624</v>
      </c>
      <c r="U1376" s="40">
        <v>45990</v>
      </c>
      <c r="V1376" s="41">
        <v>46153.532905092594</v>
      </c>
      <c r="W1376" s="40">
        <v>45989</v>
      </c>
      <c r="X1376" s="35" t="s">
        <v>916</v>
      </c>
      <c r="Y1376" s="35" t="s">
        <v>916</v>
      </c>
      <c r="Z1376" s="35" t="s">
        <v>916</v>
      </c>
      <c r="AA1376" s="38">
        <v>779.19861111119997</v>
      </c>
      <c r="AB1376" s="42" t="s">
        <v>916</v>
      </c>
      <c r="AC1376" s="43" t="s">
        <v>916</v>
      </c>
      <c r="AD1376" s="43" t="s">
        <v>916</v>
      </c>
      <c r="AE1376" s="33" t="s">
        <v>3982</v>
      </c>
      <c r="AF1376" s="35" t="s">
        <v>916</v>
      </c>
      <c r="AG1376" s="44">
        <v>490092.80138888891</v>
      </c>
      <c r="AH1376" s="42" t="s">
        <v>916</v>
      </c>
      <c r="AI1376" s="32" t="e">
        <f>VLOOKUP(A1376,'4月明細'!B:B,1,0)</f>
        <v>#N/A</v>
      </c>
    </row>
    <row r="1377" spans="1:35" ht="19.95" customHeight="1" x14ac:dyDescent="0.3">
      <c r="A1377" s="33" t="s">
        <v>4808</v>
      </c>
      <c r="B1377" s="34">
        <v>45989.512453703705</v>
      </c>
      <c r="C1377" s="34" t="str">
        <f t="shared" si="34"/>
        <v>202511</v>
      </c>
      <c r="D1377" s="35" t="s">
        <v>996</v>
      </c>
      <c r="E1377" s="36" t="s">
        <v>910</v>
      </c>
      <c r="F1377" s="36" t="s">
        <v>1870</v>
      </c>
      <c r="G1377" s="37" t="s">
        <v>4809</v>
      </c>
      <c r="H1377" s="36" t="s">
        <v>970</v>
      </c>
      <c r="I1377" s="35" t="s">
        <v>4810</v>
      </c>
      <c r="J1377" s="36" t="s">
        <v>914</v>
      </c>
      <c r="K1377" s="33" t="s">
        <v>916</v>
      </c>
      <c r="L1377" s="35" t="s">
        <v>916</v>
      </c>
      <c r="M1377" s="36" t="s">
        <v>916</v>
      </c>
      <c r="N1377" s="45">
        <v>46022</v>
      </c>
      <c r="O1377" s="36" t="s">
        <v>25</v>
      </c>
      <c r="P1377" s="38">
        <v>32.487546296300003</v>
      </c>
      <c r="Q1377" s="39" t="s">
        <v>4811</v>
      </c>
      <c r="R1377" s="35" t="s">
        <v>916</v>
      </c>
      <c r="S1377" s="35" t="s">
        <v>4812</v>
      </c>
      <c r="T1377" s="35" t="s">
        <v>1624</v>
      </c>
      <c r="U1377" s="40">
        <v>45990</v>
      </c>
      <c r="V1377" s="41">
        <v>46153.532905092594</v>
      </c>
      <c r="W1377" s="40">
        <v>45989</v>
      </c>
      <c r="X1377" s="35" t="s">
        <v>916</v>
      </c>
      <c r="Y1377" s="35" t="s">
        <v>916</v>
      </c>
      <c r="Z1377" s="35" t="s">
        <v>916</v>
      </c>
      <c r="AA1377" s="38">
        <v>779.70111111120002</v>
      </c>
      <c r="AB1377" s="42" t="s">
        <v>916</v>
      </c>
      <c r="AC1377" s="43" t="s">
        <v>916</v>
      </c>
      <c r="AD1377" s="43" t="s">
        <v>916</v>
      </c>
      <c r="AE1377" s="33" t="s">
        <v>3982</v>
      </c>
      <c r="AF1377" s="35" t="s">
        <v>916</v>
      </c>
      <c r="AG1377" s="44">
        <v>490092.29888888891</v>
      </c>
      <c r="AH1377" s="42" t="s">
        <v>916</v>
      </c>
      <c r="AI1377" s="32" t="e">
        <f>VLOOKUP(A1377,'4月明細'!B:B,1,0)</f>
        <v>#N/A</v>
      </c>
    </row>
    <row r="1378" spans="1:35" ht="19.95" customHeight="1" x14ac:dyDescent="0.3">
      <c r="A1378" s="33" t="s">
        <v>4813</v>
      </c>
      <c r="B1378" s="34">
        <v>45989.502627314818</v>
      </c>
      <c r="C1378" s="34" t="str">
        <f t="shared" si="34"/>
        <v>202511</v>
      </c>
      <c r="D1378" s="35" t="s">
        <v>2278</v>
      </c>
      <c r="E1378" s="36" t="s">
        <v>910</v>
      </c>
      <c r="F1378" s="36" t="s">
        <v>1606</v>
      </c>
      <c r="G1378" s="37" t="s">
        <v>4814</v>
      </c>
      <c r="H1378" s="36" t="s">
        <v>3979</v>
      </c>
      <c r="I1378" s="35"/>
      <c r="J1378" s="36" t="s">
        <v>914</v>
      </c>
      <c r="K1378" s="33" t="s">
        <v>916</v>
      </c>
      <c r="L1378" s="35" t="s">
        <v>916</v>
      </c>
      <c r="M1378" s="36" t="s">
        <v>916</v>
      </c>
      <c r="N1378" s="45">
        <v>46022</v>
      </c>
      <c r="O1378" s="36" t="s">
        <v>25</v>
      </c>
      <c r="P1378" s="38">
        <v>32.497372685199998</v>
      </c>
      <c r="Q1378" s="39" t="s">
        <v>4815</v>
      </c>
      <c r="R1378" s="35" t="s">
        <v>916</v>
      </c>
      <c r="S1378" s="35"/>
      <c r="T1378" s="35" t="s">
        <v>1624</v>
      </c>
      <c r="U1378" s="40">
        <v>45990</v>
      </c>
      <c r="V1378" s="41">
        <v>46153.532905092594</v>
      </c>
      <c r="W1378" s="40">
        <v>45989</v>
      </c>
      <c r="X1378" s="35" t="s">
        <v>916</v>
      </c>
      <c r="Y1378" s="35" t="s">
        <v>916</v>
      </c>
      <c r="Z1378" s="35" t="s">
        <v>916</v>
      </c>
      <c r="AA1378" s="38">
        <v>779.93694444480002</v>
      </c>
      <c r="AB1378" s="42" t="s">
        <v>916</v>
      </c>
      <c r="AC1378" s="43" t="s">
        <v>916</v>
      </c>
      <c r="AD1378" s="43" t="s">
        <v>916</v>
      </c>
      <c r="AE1378" s="33" t="s">
        <v>3982</v>
      </c>
      <c r="AF1378" s="35" t="s">
        <v>916</v>
      </c>
      <c r="AG1378" s="44">
        <v>490092.06305555563</v>
      </c>
      <c r="AH1378" s="42" t="s">
        <v>916</v>
      </c>
      <c r="AI1378" s="32" t="e">
        <f>VLOOKUP(A1378,'4月明細'!B:B,1,0)</f>
        <v>#N/A</v>
      </c>
    </row>
    <row r="1379" spans="1:35" ht="19.95" customHeight="1" x14ac:dyDescent="0.3">
      <c r="A1379" s="33" t="s">
        <v>4816</v>
      </c>
      <c r="B1379" s="34">
        <v>45989.423564814817</v>
      </c>
      <c r="C1379" s="34" t="str">
        <f t="shared" si="34"/>
        <v>202511</v>
      </c>
      <c r="D1379" s="35" t="s">
        <v>4817</v>
      </c>
      <c r="E1379" s="36" t="s">
        <v>942</v>
      </c>
      <c r="F1379" s="36" t="s">
        <v>964</v>
      </c>
      <c r="G1379" s="37" t="s">
        <v>4818</v>
      </c>
      <c r="H1379" s="36" t="s">
        <v>4185</v>
      </c>
      <c r="I1379" s="35"/>
      <c r="J1379" s="36" t="s">
        <v>1058</v>
      </c>
      <c r="K1379" s="33" t="s">
        <v>916</v>
      </c>
      <c r="L1379" s="35" t="s">
        <v>916</v>
      </c>
      <c r="M1379" s="36" t="s">
        <v>916</v>
      </c>
      <c r="N1379" s="45">
        <v>46022</v>
      </c>
      <c r="O1379" s="36" t="s">
        <v>25</v>
      </c>
      <c r="P1379" s="38">
        <v>32.576435185199998</v>
      </c>
      <c r="Q1379" s="39" t="s">
        <v>4819</v>
      </c>
      <c r="R1379" s="35" t="s">
        <v>916</v>
      </c>
      <c r="S1379" s="35"/>
      <c r="T1379" s="35" t="s">
        <v>1624</v>
      </c>
      <c r="U1379" s="40">
        <v>45990</v>
      </c>
      <c r="V1379" s="41">
        <v>46153.532905092594</v>
      </c>
      <c r="W1379" s="40">
        <v>45989</v>
      </c>
      <c r="X1379" s="35" t="s">
        <v>916</v>
      </c>
      <c r="Y1379" s="35" t="s">
        <v>916</v>
      </c>
      <c r="Z1379" s="35" t="s">
        <v>916</v>
      </c>
      <c r="AA1379" s="38">
        <v>781.83444444480006</v>
      </c>
      <c r="AB1379" s="42" t="s">
        <v>916</v>
      </c>
      <c r="AC1379" s="43" t="s">
        <v>916</v>
      </c>
      <c r="AD1379" s="43" t="s">
        <v>916</v>
      </c>
      <c r="AE1379" s="33" t="s">
        <v>3982</v>
      </c>
      <c r="AF1379" s="35" t="s">
        <v>916</v>
      </c>
      <c r="AG1379" s="44">
        <v>490090.16555555549</v>
      </c>
      <c r="AH1379" s="42" t="s">
        <v>916</v>
      </c>
      <c r="AI1379" s="32" t="e">
        <f>VLOOKUP(A1379,'4月明細'!B:B,1,0)</f>
        <v>#N/A</v>
      </c>
    </row>
    <row r="1380" spans="1:35" ht="19.95" customHeight="1" x14ac:dyDescent="0.3">
      <c r="A1380" s="33" t="s">
        <v>4820</v>
      </c>
      <c r="B1380" s="34">
        <v>45988.975821759261</v>
      </c>
      <c r="C1380" s="34" t="str">
        <f t="shared" si="34"/>
        <v>202511</v>
      </c>
      <c r="D1380" s="35" t="s">
        <v>960</v>
      </c>
      <c r="E1380" s="36" t="s">
        <v>942</v>
      </c>
      <c r="F1380" s="36" t="s">
        <v>1924</v>
      </c>
      <c r="G1380" s="37" t="s">
        <v>4821</v>
      </c>
      <c r="H1380" s="36" t="s">
        <v>970</v>
      </c>
      <c r="I1380" s="35"/>
      <c r="J1380" s="36" t="s">
        <v>929</v>
      </c>
      <c r="K1380" s="33" t="s">
        <v>916</v>
      </c>
      <c r="L1380" s="35" t="s">
        <v>916</v>
      </c>
      <c r="M1380" s="36" t="s">
        <v>916</v>
      </c>
      <c r="N1380" s="45">
        <v>46022</v>
      </c>
      <c r="O1380" s="36" t="s">
        <v>25</v>
      </c>
      <c r="P1380" s="38">
        <v>33.024178240700003</v>
      </c>
      <c r="Q1380" s="39" t="s">
        <v>4822</v>
      </c>
      <c r="R1380" s="35" t="s">
        <v>916</v>
      </c>
      <c r="S1380" s="35"/>
      <c r="T1380" s="35" t="s">
        <v>1624</v>
      </c>
      <c r="U1380" s="40">
        <v>45989</v>
      </c>
      <c r="V1380" s="41">
        <v>46153.532905092594</v>
      </c>
      <c r="W1380" s="40">
        <v>45989</v>
      </c>
      <c r="X1380" s="35" t="s">
        <v>916</v>
      </c>
      <c r="Y1380" s="35" t="s">
        <v>916</v>
      </c>
      <c r="Z1380" s="35" t="s">
        <v>916</v>
      </c>
      <c r="AA1380" s="38">
        <v>792.58027777680002</v>
      </c>
      <c r="AB1380" s="42" t="s">
        <v>916</v>
      </c>
      <c r="AC1380" s="43" t="s">
        <v>916</v>
      </c>
      <c r="AD1380" s="43" t="s">
        <v>916</v>
      </c>
      <c r="AE1380" s="33" t="s">
        <v>3982</v>
      </c>
      <c r="AF1380" s="35" t="s">
        <v>916</v>
      </c>
      <c r="AG1380" s="44">
        <v>490079.41972222232</v>
      </c>
      <c r="AH1380" s="42" t="s">
        <v>916</v>
      </c>
      <c r="AI1380" s="32" t="e">
        <f>VLOOKUP(A1380,'4月明細'!B:B,1,0)</f>
        <v>#N/A</v>
      </c>
    </row>
    <row r="1381" spans="1:35" ht="19.95" customHeight="1" x14ac:dyDescent="0.3">
      <c r="A1381" s="33" t="s">
        <v>4823</v>
      </c>
      <c r="B1381" s="34">
        <v>45988.741122685184</v>
      </c>
      <c r="C1381" s="34" t="str">
        <f t="shared" si="34"/>
        <v>202511</v>
      </c>
      <c r="D1381" s="35" t="s">
        <v>941</v>
      </c>
      <c r="E1381" s="36" t="s">
        <v>942</v>
      </c>
      <c r="F1381" s="36" t="s">
        <v>1344</v>
      </c>
      <c r="G1381" s="37" t="s">
        <v>4824</v>
      </c>
      <c r="H1381" s="36" t="s">
        <v>913</v>
      </c>
      <c r="I1381" s="35"/>
      <c r="J1381" s="36" t="s">
        <v>938</v>
      </c>
      <c r="K1381" s="33" t="s">
        <v>916</v>
      </c>
      <c r="L1381" s="35" t="s">
        <v>916</v>
      </c>
      <c r="M1381" s="36" t="s">
        <v>916</v>
      </c>
      <c r="N1381" s="45">
        <v>46022</v>
      </c>
      <c r="O1381" s="36" t="s">
        <v>25</v>
      </c>
      <c r="P1381" s="38">
        <v>33.258877314800003</v>
      </c>
      <c r="Q1381" s="39" t="s">
        <v>4825</v>
      </c>
      <c r="R1381" s="35" t="s">
        <v>916</v>
      </c>
      <c r="S1381" s="35" t="s">
        <v>4826</v>
      </c>
      <c r="T1381" s="35" t="s">
        <v>1624</v>
      </c>
      <c r="U1381" s="40">
        <v>45989</v>
      </c>
      <c r="V1381" s="41">
        <v>46153.532905092594</v>
      </c>
      <c r="W1381" s="40">
        <v>45988</v>
      </c>
      <c r="X1381" s="35" t="s">
        <v>916</v>
      </c>
      <c r="Y1381" s="35" t="s">
        <v>916</v>
      </c>
      <c r="Z1381" s="35" t="s">
        <v>916</v>
      </c>
      <c r="AA1381" s="38">
        <v>798.21305555519996</v>
      </c>
      <c r="AB1381" s="42" t="s">
        <v>916</v>
      </c>
      <c r="AC1381" s="43" t="s">
        <v>916</v>
      </c>
      <c r="AD1381" s="43" t="s">
        <v>916</v>
      </c>
      <c r="AE1381" s="33" t="s">
        <v>3982</v>
      </c>
      <c r="AF1381" s="35" t="s">
        <v>916</v>
      </c>
      <c r="AG1381" s="44">
        <v>490073.78694444452</v>
      </c>
      <c r="AH1381" s="42" t="s">
        <v>916</v>
      </c>
      <c r="AI1381" s="32" t="e">
        <f>VLOOKUP(A1381,'4月明細'!B:B,1,0)</f>
        <v>#N/A</v>
      </c>
    </row>
    <row r="1382" spans="1:35" ht="19.95" customHeight="1" x14ac:dyDescent="0.3">
      <c r="A1382" s="33" t="s">
        <v>4827</v>
      </c>
      <c r="B1382" s="34">
        <v>45988.740312499998</v>
      </c>
      <c r="C1382" s="34" t="str">
        <f t="shared" si="34"/>
        <v>202511</v>
      </c>
      <c r="D1382" s="35" t="s">
        <v>941</v>
      </c>
      <c r="E1382" s="36" t="s">
        <v>942</v>
      </c>
      <c r="F1382" s="36" t="s">
        <v>1568</v>
      </c>
      <c r="G1382" s="37" t="s">
        <v>4828</v>
      </c>
      <c r="H1382" s="36" t="s">
        <v>4023</v>
      </c>
      <c r="I1382" s="35"/>
      <c r="J1382" s="36" t="s">
        <v>916</v>
      </c>
      <c r="K1382" s="33" t="s">
        <v>916</v>
      </c>
      <c r="L1382" s="35" t="s">
        <v>916</v>
      </c>
      <c r="M1382" s="36" t="s">
        <v>916</v>
      </c>
      <c r="N1382" s="45">
        <v>46022</v>
      </c>
      <c r="O1382" s="36" t="s">
        <v>25</v>
      </c>
      <c r="P1382" s="38">
        <v>33.259687499999998</v>
      </c>
      <c r="Q1382" s="39" t="s">
        <v>4829</v>
      </c>
      <c r="R1382" s="35" t="s">
        <v>916</v>
      </c>
      <c r="S1382" s="35"/>
      <c r="T1382" s="35" t="s">
        <v>1701</v>
      </c>
      <c r="U1382" s="40">
        <v>45989</v>
      </c>
      <c r="V1382" s="41">
        <v>46153.532905092594</v>
      </c>
      <c r="W1382" s="40">
        <v>45988</v>
      </c>
      <c r="X1382" s="35" t="s">
        <v>916</v>
      </c>
      <c r="Y1382" s="35" t="s">
        <v>916</v>
      </c>
      <c r="Z1382" s="35" t="s">
        <v>916</v>
      </c>
      <c r="AA1382" s="38">
        <v>798.23249999999996</v>
      </c>
      <c r="AB1382" s="42" t="s">
        <v>916</v>
      </c>
      <c r="AC1382" s="43" t="s">
        <v>916</v>
      </c>
      <c r="AD1382" s="43" t="s">
        <v>916</v>
      </c>
      <c r="AE1382" s="33" t="s">
        <v>3982</v>
      </c>
      <c r="AF1382" s="35" t="s">
        <v>916</v>
      </c>
      <c r="AG1382" s="44">
        <v>490073.76750000002</v>
      </c>
      <c r="AH1382" s="42" t="s">
        <v>916</v>
      </c>
      <c r="AI1382" s="32" t="e">
        <f>VLOOKUP(A1382,'4月明細'!B:B,1,0)</f>
        <v>#N/A</v>
      </c>
    </row>
    <row r="1383" spans="1:35" ht="19.95" customHeight="1" x14ac:dyDescent="0.3">
      <c r="A1383" s="33" t="s">
        <v>4830</v>
      </c>
      <c r="B1383" s="34">
        <v>45988.641145833331</v>
      </c>
      <c r="C1383" s="34" t="str">
        <f t="shared" si="34"/>
        <v>202511</v>
      </c>
      <c r="D1383" s="35" t="s">
        <v>996</v>
      </c>
      <c r="E1383" s="36" t="s">
        <v>910</v>
      </c>
      <c r="F1383" s="36" t="s">
        <v>1693</v>
      </c>
      <c r="G1383" s="37" t="s">
        <v>1979</v>
      </c>
      <c r="H1383" s="36" t="s">
        <v>970</v>
      </c>
      <c r="I1383" s="35"/>
      <c r="J1383" s="36" t="s">
        <v>914</v>
      </c>
      <c r="K1383" s="33" t="s">
        <v>916</v>
      </c>
      <c r="L1383" s="35" t="s">
        <v>916</v>
      </c>
      <c r="M1383" s="36" t="s">
        <v>916</v>
      </c>
      <c r="N1383" s="45">
        <v>46022</v>
      </c>
      <c r="O1383" s="36" t="s">
        <v>25</v>
      </c>
      <c r="P1383" s="38">
        <v>33.358854166699999</v>
      </c>
      <c r="Q1383" s="39" t="s">
        <v>4831</v>
      </c>
      <c r="R1383" s="35" t="s">
        <v>916</v>
      </c>
      <c r="S1383" s="35"/>
      <c r="T1383" s="35" t="s">
        <v>1701</v>
      </c>
      <c r="U1383" s="40">
        <v>45989</v>
      </c>
      <c r="V1383" s="41">
        <v>46153.532905092594</v>
      </c>
      <c r="W1383" s="40">
        <v>45988</v>
      </c>
      <c r="X1383" s="35" t="s">
        <v>916</v>
      </c>
      <c r="Y1383" s="35" t="s">
        <v>916</v>
      </c>
      <c r="Z1383" s="35" t="s">
        <v>916</v>
      </c>
      <c r="AA1383" s="38">
        <v>800.61250000079997</v>
      </c>
      <c r="AB1383" s="42" t="s">
        <v>916</v>
      </c>
      <c r="AC1383" s="43" t="s">
        <v>916</v>
      </c>
      <c r="AD1383" s="43" t="s">
        <v>916</v>
      </c>
      <c r="AE1383" s="33" t="s">
        <v>3982</v>
      </c>
      <c r="AF1383" s="35" t="s">
        <v>916</v>
      </c>
      <c r="AG1383" s="44">
        <v>490071.38750000013</v>
      </c>
      <c r="AH1383" s="42" t="s">
        <v>916</v>
      </c>
      <c r="AI1383" s="32" t="e">
        <f>VLOOKUP(A1383,'4月明細'!B:B,1,0)</f>
        <v>#N/A</v>
      </c>
    </row>
    <row r="1384" spans="1:35" ht="19.95" customHeight="1" x14ac:dyDescent="0.3">
      <c r="A1384" s="33" t="s">
        <v>4832</v>
      </c>
      <c r="B1384" s="34">
        <v>45988.511574074073</v>
      </c>
      <c r="C1384" s="34" t="str">
        <f t="shared" si="34"/>
        <v>202511</v>
      </c>
      <c r="D1384" s="35" t="s">
        <v>996</v>
      </c>
      <c r="E1384" s="36" t="s">
        <v>910</v>
      </c>
      <c r="F1384" s="36" t="s">
        <v>1634</v>
      </c>
      <c r="G1384" s="37" t="s">
        <v>4833</v>
      </c>
      <c r="H1384" s="36" t="s">
        <v>4029</v>
      </c>
      <c r="I1384" s="35"/>
      <c r="J1384" s="36" t="s">
        <v>914</v>
      </c>
      <c r="K1384" s="33" t="s">
        <v>916</v>
      </c>
      <c r="L1384" s="35" t="s">
        <v>916</v>
      </c>
      <c r="M1384" s="36" t="s">
        <v>916</v>
      </c>
      <c r="N1384" s="45">
        <v>46022</v>
      </c>
      <c r="O1384" s="36" t="s">
        <v>25</v>
      </c>
      <c r="P1384" s="38">
        <v>33.488425925900003</v>
      </c>
      <c r="Q1384" s="39" t="s">
        <v>4834</v>
      </c>
      <c r="R1384" s="35" t="s">
        <v>916</v>
      </c>
      <c r="S1384" s="35"/>
      <c r="T1384" s="35" t="s">
        <v>1701</v>
      </c>
      <c r="U1384" s="40">
        <v>45989</v>
      </c>
      <c r="V1384" s="41">
        <v>46153.532905092594</v>
      </c>
      <c r="W1384" s="40">
        <v>45988</v>
      </c>
      <c r="X1384" s="35" t="s">
        <v>916</v>
      </c>
      <c r="Y1384" s="35" t="s">
        <v>916</v>
      </c>
      <c r="Z1384" s="35" t="s">
        <v>916</v>
      </c>
      <c r="AA1384" s="38">
        <v>803.72222222159996</v>
      </c>
      <c r="AB1384" s="42" t="s">
        <v>916</v>
      </c>
      <c r="AC1384" s="43" t="s">
        <v>916</v>
      </c>
      <c r="AD1384" s="43" t="s">
        <v>916</v>
      </c>
      <c r="AE1384" s="33" t="s">
        <v>3982</v>
      </c>
      <c r="AF1384" s="35" t="s">
        <v>916</v>
      </c>
      <c r="AG1384" s="44">
        <v>490068.27777777793</v>
      </c>
      <c r="AH1384" s="42" t="s">
        <v>916</v>
      </c>
      <c r="AI1384" s="32" t="e">
        <f>VLOOKUP(A1384,'4月明細'!B:B,1,0)</f>
        <v>#N/A</v>
      </c>
    </row>
    <row r="1385" spans="1:35" ht="19.95" customHeight="1" x14ac:dyDescent="0.3">
      <c r="A1385" s="33" t="s">
        <v>4835</v>
      </c>
      <c r="B1385" s="34">
        <v>45987.856863425928</v>
      </c>
      <c r="C1385" s="34" t="str">
        <f t="shared" si="34"/>
        <v>202511</v>
      </c>
      <c r="D1385" s="35" t="s">
        <v>960</v>
      </c>
      <c r="E1385" s="36" t="s">
        <v>942</v>
      </c>
      <c r="F1385" s="36" t="s">
        <v>1222</v>
      </c>
      <c r="G1385" s="37" t="s">
        <v>4117</v>
      </c>
      <c r="H1385" s="36" t="s">
        <v>913</v>
      </c>
      <c r="I1385" s="35"/>
      <c r="J1385" s="36" t="s">
        <v>945</v>
      </c>
      <c r="K1385" s="33" t="s">
        <v>916</v>
      </c>
      <c r="L1385" s="35" t="s">
        <v>916</v>
      </c>
      <c r="M1385" s="36" t="s">
        <v>916</v>
      </c>
      <c r="N1385" s="45">
        <v>46022</v>
      </c>
      <c r="O1385" s="36" t="s">
        <v>25</v>
      </c>
      <c r="P1385" s="38">
        <v>34.143136574099998</v>
      </c>
      <c r="Q1385" s="39" t="s">
        <v>4836</v>
      </c>
      <c r="R1385" s="35" t="s">
        <v>916</v>
      </c>
      <c r="S1385" s="35" t="s">
        <v>4837</v>
      </c>
      <c r="T1385" s="35" t="s">
        <v>1701</v>
      </c>
      <c r="U1385" s="40">
        <v>45988</v>
      </c>
      <c r="V1385" s="41">
        <v>46153.532905092594</v>
      </c>
      <c r="W1385" s="40">
        <v>45988</v>
      </c>
      <c r="X1385" s="35" t="s">
        <v>916</v>
      </c>
      <c r="Y1385" s="35" t="s">
        <v>916</v>
      </c>
      <c r="Z1385" s="35" t="s">
        <v>916</v>
      </c>
      <c r="AA1385" s="38">
        <v>819.43527777839995</v>
      </c>
      <c r="AB1385" s="42" t="s">
        <v>916</v>
      </c>
      <c r="AC1385" s="43" t="s">
        <v>916</v>
      </c>
      <c r="AD1385" s="43" t="s">
        <v>916</v>
      </c>
      <c r="AE1385" s="33" t="s">
        <v>3982</v>
      </c>
      <c r="AF1385" s="35" t="s">
        <v>916</v>
      </c>
      <c r="AG1385" s="44">
        <v>490052.56472222222</v>
      </c>
      <c r="AH1385" s="42" t="s">
        <v>916</v>
      </c>
      <c r="AI1385" s="32" t="e">
        <f>VLOOKUP(A1385,'4月明細'!B:B,1,0)</f>
        <v>#N/A</v>
      </c>
    </row>
    <row r="1386" spans="1:35" ht="19.95" customHeight="1" x14ac:dyDescent="0.3">
      <c r="A1386" s="33" t="s">
        <v>4838</v>
      </c>
      <c r="B1386" s="34">
        <v>45987.742719907408</v>
      </c>
      <c r="C1386" s="34" t="str">
        <f t="shared" si="34"/>
        <v>202511</v>
      </c>
      <c r="D1386" s="35" t="s">
        <v>996</v>
      </c>
      <c r="E1386" s="36" t="s">
        <v>910</v>
      </c>
      <c r="F1386" s="36" t="s">
        <v>1479</v>
      </c>
      <c r="G1386" s="37" t="s">
        <v>4839</v>
      </c>
      <c r="H1386" s="36" t="s">
        <v>4185</v>
      </c>
      <c r="I1386" s="35"/>
      <c r="J1386" s="36" t="s">
        <v>914</v>
      </c>
      <c r="K1386" s="33" t="s">
        <v>916</v>
      </c>
      <c r="L1386" s="35" t="s">
        <v>916</v>
      </c>
      <c r="M1386" s="36" t="s">
        <v>1039</v>
      </c>
      <c r="N1386" s="45">
        <v>46022</v>
      </c>
      <c r="O1386" s="36" t="s">
        <v>25</v>
      </c>
      <c r="P1386" s="38">
        <v>34.257280092599999</v>
      </c>
      <c r="Q1386" s="39" t="s">
        <v>4840</v>
      </c>
      <c r="R1386" s="35" t="s">
        <v>916</v>
      </c>
      <c r="S1386" s="35"/>
      <c r="T1386" s="35" t="s">
        <v>1624</v>
      </c>
      <c r="U1386" s="40">
        <v>45988</v>
      </c>
      <c r="V1386" s="41">
        <v>46153.532905092594</v>
      </c>
      <c r="W1386" s="40">
        <v>45987</v>
      </c>
      <c r="X1386" s="35" t="s">
        <v>916</v>
      </c>
      <c r="Y1386" s="35" t="s">
        <v>916</v>
      </c>
      <c r="Z1386" s="35" t="s">
        <v>916</v>
      </c>
      <c r="AA1386" s="38">
        <v>822.17472222239996</v>
      </c>
      <c r="AB1386" s="42" t="s">
        <v>916</v>
      </c>
      <c r="AC1386" s="43" t="s">
        <v>916</v>
      </c>
      <c r="AD1386" s="43" t="s">
        <v>916</v>
      </c>
      <c r="AE1386" s="33" t="s">
        <v>3982</v>
      </c>
      <c r="AF1386" s="35" t="s">
        <v>916</v>
      </c>
      <c r="AG1386" s="44">
        <v>490049.8252777778</v>
      </c>
      <c r="AH1386" s="42" t="s">
        <v>916</v>
      </c>
      <c r="AI1386" s="32" t="e">
        <f>VLOOKUP(A1386,'4月明細'!B:B,1,0)</f>
        <v>#N/A</v>
      </c>
    </row>
    <row r="1387" spans="1:35" ht="19.95" customHeight="1" x14ac:dyDescent="0.3">
      <c r="A1387" s="33" t="s">
        <v>4841</v>
      </c>
      <c r="B1387" s="34">
        <v>45987.726273148146</v>
      </c>
      <c r="C1387" s="34" t="str">
        <f t="shared" si="34"/>
        <v>202511</v>
      </c>
      <c r="D1387" s="35" t="s">
        <v>960</v>
      </c>
      <c r="E1387" s="36" t="s">
        <v>942</v>
      </c>
      <c r="F1387" s="36" t="s">
        <v>1285</v>
      </c>
      <c r="G1387" s="37" t="s">
        <v>4842</v>
      </c>
      <c r="H1387" s="36" t="s">
        <v>1079</v>
      </c>
      <c r="I1387" s="35"/>
      <c r="J1387" s="36" t="s">
        <v>945</v>
      </c>
      <c r="K1387" s="33" t="s">
        <v>916</v>
      </c>
      <c r="L1387" s="35" t="s">
        <v>916</v>
      </c>
      <c r="M1387" s="36" t="s">
        <v>1039</v>
      </c>
      <c r="N1387" s="45">
        <v>46022</v>
      </c>
      <c r="O1387" s="36" t="s">
        <v>25</v>
      </c>
      <c r="P1387" s="38">
        <v>34.273726851900001</v>
      </c>
      <c r="Q1387" s="39" t="s">
        <v>4843</v>
      </c>
      <c r="R1387" s="35" t="s">
        <v>916</v>
      </c>
      <c r="S1387" s="35" t="s">
        <v>4844</v>
      </c>
      <c r="T1387" s="35" t="s">
        <v>1701</v>
      </c>
      <c r="U1387" s="40">
        <v>45988</v>
      </c>
      <c r="V1387" s="41">
        <v>46153.532905092594</v>
      </c>
      <c r="W1387" s="40">
        <v>45987</v>
      </c>
      <c r="X1387" s="35" t="s">
        <v>916</v>
      </c>
      <c r="Y1387" s="35" t="s">
        <v>916</v>
      </c>
      <c r="Z1387" s="35" t="s">
        <v>916</v>
      </c>
      <c r="AA1387" s="38">
        <v>822.56944444559997</v>
      </c>
      <c r="AB1387" s="42" t="s">
        <v>916</v>
      </c>
      <c r="AC1387" s="43" t="s">
        <v>916</v>
      </c>
      <c r="AD1387" s="43" t="s">
        <v>916</v>
      </c>
      <c r="AE1387" s="33" t="s">
        <v>3982</v>
      </c>
      <c r="AF1387" s="35" t="s">
        <v>916</v>
      </c>
      <c r="AG1387" s="44">
        <v>490049.43055555562</v>
      </c>
      <c r="AH1387" s="42" t="s">
        <v>916</v>
      </c>
      <c r="AI1387" s="32" t="e">
        <f>VLOOKUP(A1387,'4月明細'!B:B,1,0)</f>
        <v>#N/A</v>
      </c>
    </row>
    <row r="1388" spans="1:35" ht="19.95" customHeight="1" x14ac:dyDescent="0.3">
      <c r="A1388" s="33" t="s">
        <v>4845</v>
      </c>
      <c r="B1388" s="34">
        <v>45987.725740740738</v>
      </c>
      <c r="C1388" s="34" t="str">
        <f t="shared" si="34"/>
        <v>202511</v>
      </c>
      <c r="D1388" s="35" t="s">
        <v>960</v>
      </c>
      <c r="E1388" s="36" t="s">
        <v>942</v>
      </c>
      <c r="F1388" s="36" t="s">
        <v>1441</v>
      </c>
      <c r="G1388" s="37" t="s">
        <v>4846</v>
      </c>
      <c r="H1388" s="36" t="s">
        <v>913</v>
      </c>
      <c r="I1388" s="35"/>
      <c r="J1388" s="36" t="s">
        <v>945</v>
      </c>
      <c r="K1388" s="33" t="s">
        <v>916</v>
      </c>
      <c r="L1388" s="35" t="s">
        <v>916</v>
      </c>
      <c r="M1388" s="36" t="s">
        <v>1039</v>
      </c>
      <c r="N1388" s="45">
        <v>46022</v>
      </c>
      <c r="O1388" s="36" t="s">
        <v>25</v>
      </c>
      <c r="P1388" s="38">
        <v>34.274259259300003</v>
      </c>
      <c r="Q1388" s="39" t="s">
        <v>4847</v>
      </c>
      <c r="R1388" s="35" t="s">
        <v>916</v>
      </c>
      <c r="S1388" s="35"/>
      <c r="T1388" s="35" t="s">
        <v>1701</v>
      </c>
      <c r="U1388" s="40">
        <v>45988</v>
      </c>
      <c r="V1388" s="41">
        <v>46153.532905092594</v>
      </c>
      <c r="W1388" s="40">
        <v>45987</v>
      </c>
      <c r="X1388" s="35" t="s">
        <v>916</v>
      </c>
      <c r="Y1388" s="35" t="s">
        <v>916</v>
      </c>
      <c r="Z1388" s="35" t="s">
        <v>916</v>
      </c>
      <c r="AA1388" s="38">
        <v>822.58222222320001</v>
      </c>
      <c r="AB1388" s="42" t="s">
        <v>916</v>
      </c>
      <c r="AC1388" s="43" t="s">
        <v>916</v>
      </c>
      <c r="AD1388" s="43" t="s">
        <v>916</v>
      </c>
      <c r="AE1388" s="33" t="s">
        <v>3982</v>
      </c>
      <c r="AF1388" s="35" t="s">
        <v>916</v>
      </c>
      <c r="AG1388" s="44">
        <v>490049.41777777782</v>
      </c>
      <c r="AH1388" s="42" t="s">
        <v>916</v>
      </c>
      <c r="AI1388" s="32" t="e">
        <f>VLOOKUP(A1388,'4月明細'!B:B,1,0)</f>
        <v>#N/A</v>
      </c>
    </row>
    <row r="1389" spans="1:35" ht="19.95" customHeight="1" x14ac:dyDescent="0.3">
      <c r="A1389" s="33" t="s">
        <v>4848</v>
      </c>
      <c r="B1389" s="34">
        <v>45987.724699074075</v>
      </c>
      <c r="C1389" s="34" t="str">
        <f t="shared" si="34"/>
        <v>202511</v>
      </c>
      <c r="D1389" s="35" t="s">
        <v>2278</v>
      </c>
      <c r="E1389" s="36" t="s">
        <v>910</v>
      </c>
      <c r="F1389" s="36" t="s">
        <v>1479</v>
      </c>
      <c r="G1389" s="37" t="s">
        <v>4849</v>
      </c>
      <c r="H1389" s="36" t="s">
        <v>4185</v>
      </c>
      <c r="I1389" s="35"/>
      <c r="J1389" s="36" t="s">
        <v>929</v>
      </c>
      <c r="K1389" s="33" t="s">
        <v>916</v>
      </c>
      <c r="L1389" s="35" t="s">
        <v>916</v>
      </c>
      <c r="M1389" s="36" t="s">
        <v>1039</v>
      </c>
      <c r="N1389" s="45">
        <v>46022</v>
      </c>
      <c r="O1389" s="36" t="s">
        <v>25</v>
      </c>
      <c r="P1389" s="38">
        <v>34.275300925899998</v>
      </c>
      <c r="Q1389" s="39" t="s">
        <v>4850</v>
      </c>
      <c r="R1389" s="35" t="s">
        <v>916</v>
      </c>
      <c r="S1389" s="35" t="s">
        <v>4851</v>
      </c>
      <c r="T1389" s="35" t="s">
        <v>1701</v>
      </c>
      <c r="U1389" s="40">
        <v>45988</v>
      </c>
      <c r="V1389" s="41">
        <v>46153.532905092594</v>
      </c>
      <c r="W1389" s="40">
        <v>45987</v>
      </c>
      <c r="X1389" s="35" t="s">
        <v>916</v>
      </c>
      <c r="Y1389" s="35" t="s">
        <v>916</v>
      </c>
      <c r="Z1389" s="35" t="s">
        <v>916</v>
      </c>
      <c r="AA1389" s="38">
        <v>822.60722222159995</v>
      </c>
      <c r="AB1389" s="42" t="s">
        <v>916</v>
      </c>
      <c r="AC1389" s="43" t="s">
        <v>916</v>
      </c>
      <c r="AD1389" s="43" t="s">
        <v>916</v>
      </c>
      <c r="AE1389" s="33" t="s">
        <v>3982</v>
      </c>
      <c r="AF1389" s="35" t="s">
        <v>916</v>
      </c>
      <c r="AG1389" s="44">
        <v>490049.3927777778</v>
      </c>
      <c r="AH1389" s="42" t="s">
        <v>916</v>
      </c>
      <c r="AI1389" s="32" t="e">
        <f>VLOOKUP(A1389,'4月明細'!B:B,1,0)</f>
        <v>#N/A</v>
      </c>
    </row>
    <row r="1390" spans="1:35" ht="19.95" customHeight="1" x14ac:dyDescent="0.3">
      <c r="A1390" s="33" t="s">
        <v>4852</v>
      </c>
      <c r="B1390" s="34">
        <v>45987.485046296293</v>
      </c>
      <c r="C1390" s="34" t="str">
        <f t="shared" si="34"/>
        <v>202511</v>
      </c>
      <c r="D1390" s="35" t="s">
        <v>996</v>
      </c>
      <c r="E1390" s="36" t="s">
        <v>910</v>
      </c>
      <c r="F1390" s="36" t="s">
        <v>1441</v>
      </c>
      <c r="G1390" s="37" t="s">
        <v>4853</v>
      </c>
      <c r="H1390" s="36" t="s">
        <v>970</v>
      </c>
      <c r="I1390" s="35"/>
      <c r="J1390" s="36" t="s">
        <v>914</v>
      </c>
      <c r="K1390" s="33" t="s">
        <v>916</v>
      </c>
      <c r="L1390" s="35" t="s">
        <v>916</v>
      </c>
      <c r="M1390" s="36" t="s">
        <v>1039</v>
      </c>
      <c r="N1390" s="45">
        <v>46022</v>
      </c>
      <c r="O1390" s="36" t="s">
        <v>25</v>
      </c>
      <c r="P1390" s="38">
        <v>34.514953703700002</v>
      </c>
      <c r="Q1390" s="39" t="s">
        <v>4854</v>
      </c>
      <c r="R1390" s="35" t="s">
        <v>916</v>
      </c>
      <c r="S1390" s="35"/>
      <c r="T1390" s="35" t="s">
        <v>1701</v>
      </c>
      <c r="U1390" s="40">
        <v>45988</v>
      </c>
      <c r="V1390" s="41">
        <v>46153.532905092594</v>
      </c>
      <c r="W1390" s="40">
        <v>45987</v>
      </c>
      <c r="X1390" s="35" t="s">
        <v>916</v>
      </c>
      <c r="Y1390" s="35" t="s">
        <v>916</v>
      </c>
      <c r="Z1390" s="35" t="s">
        <v>916</v>
      </c>
      <c r="AA1390" s="38">
        <v>828.35888888880004</v>
      </c>
      <c r="AB1390" s="42" t="s">
        <v>916</v>
      </c>
      <c r="AC1390" s="43" t="s">
        <v>916</v>
      </c>
      <c r="AD1390" s="43" t="s">
        <v>916</v>
      </c>
      <c r="AE1390" s="33" t="s">
        <v>3982</v>
      </c>
      <c r="AF1390" s="35" t="s">
        <v>916</v>
      </c>
      <c r="AG1390" s="44">
        <v>490043.64111111121</v>
      </c>
      <c r="AH1390" s="42" t="s">
        <v>916</v>
      </c>
      <c r="AI1390" s="32" t="e">
        <f>VLOOKUP(A1390,'4月明細'!B:B,1,0)</f>
        <v>#N/A</v>
      </c>
    </row>
    <row r="1391" spans="1:35" ht="19.95" customHeight="1" x14ac:dyDescent="0.3">
      <c r="A1391" s="33" t="s">
        <v>4855</v>
      </c>
      <c r="B1391" s="34">
        <v>45987.476134259261</v>
      </c>
      <c r="C1391" s="34" t="str">
        <f t="shared" si="34"/>
        <v>202511</v>
      </c>
      <c r="D1391" s="35" t="s">
        <v>909</v>
      </c>
      <c r="E1391" s="36" t="s">
        <v>910</v>
      </c>
      <c r="F1391" s="36" t="s">
        <v>1581</v>
      </c>
      <c r="G1391" s="37" t="s">
        <v>4856</v>
      </c>
      <c r="H1391" s="36" t="s">
        <v>4804</v>
      </c>
      <c r="I1391" s="35" t="s">
        <v>4857</v>
      </c>
      <c r="J1391" s="36" t="s">
        <v>914</v>
      </c>
      <c r="K1391" s="33" t="s">
        <v>916</v>
      </c>
      <c r="L1391" s="35" t="s">
        <v>916</v>
      </c>
      <c r="M1391" s="36" t="s">
        <v>1039</v>
      </c>
      <c r="N1391" s="45">
        <v>46022</v>
      </c>
      <c r="O1391" s="36" t="s">
        <v>25</v>
      </c>
      <c r="P1391" s="38">
        <v>34.523865740700003</v>
      </c>
      <c r="Q1391" s="39" t="s">
        <v>4858</v>
      </c>
      <c r="R1391" s="35" t="s">
        <v>916</v>
      </c>
      <c r="S1391" s="35"/>
      <c r="T1391" s="35" t="s">
        <v>1701</v>
      </c>
      <c r="U1391" s="40">
        <v>45988</v>
      </c>
      <c r="V1391" s="41">
        <v>46153.532905092594</v>
      </c>
      <c r="W1391" s="40">
        <v>45987</v>
      </c>
      <c r="X1391" s="35" t="s">
        <v>916</v>
      </c>
      <c r="Y1391" s="35" t="s">
        <v>916</v>
      </c>
      <c r="Z1391" s="35" t="s">
        <v>916</v>
      </c>
      <c r="AA1391" s="38">
        <v>828.57277777679997</v>
      </c>
      <c r="AB1391" s="42" t="s">
        <v>916</v>
      </c>
      <c r="AC1391" s="43" t="s">
        <v>916</v>
      </c>
      <c r="AD1391" s="43" t="s">
        <v>916</v>
      </c>
      <c r="AE1391" s="33" t="s">
        <v>3982</v>
      </c>
      <c r="AF1391" s="35" t="s">
        <v>916</v>
      </c>
      <c r="AG1391" s="44">
        <v>490043.42722222232</v>
      </c>
      <c r="AH1391" s="42" t="s">
        <v>916</v>
      </c>
      <c r="AI1391" s="32" t="e">
        <f>VLOOKUP(A1391,'4月明細'!B:B,1,0)</f>
        <v>#N/A</v>
      </c>
    </row>
    <row r="1392" spans="1:35" ht="19.95" customHeight="1" x14ac:dyDescent="0.3">
      <c r="A1392" s="33" t="s">
        <v>4859</v>
      </c>
      <c r="B1392" s="34">
        <v>45987.438275462962</v>
      </c>
      <c r="C1392" s="34" t="str">
        <f t="shared" si="34"/>
        <v>202511</v>
      </c>
      <c r="D1392" s="35" t="s">
        <v>996</v>
      </c>
      <c r="E1392" s="36" t="s">
        <v>910</v>
      </c>
      <c r="F1392" s="36" t="s">
        <v>981</v>
      </c>
      <c r="G1392" s="37" t="s">
        <v>3307</v>
      </c>
      <c r="H1392" s="36" t="s">
        <v>4324</v>
      </c>
      <c r="I1392" s="35" t="s">
        <v>4860</v>
      </c>
      <c r="J1392" s="36" t="s">
        <v>914</v>
      </c>
      <c r="K1392" s="33" t="s">
        <v>916</v>
      </c>
      <c r="L1392" s="35" t="s">
        <v>916</v>
      </c>
      <c r="M1392" s="36" t="s">
        <v>1039</v>
      </c>
      <c r="N1392" s="45">
        <v>46022</v>
      </c>
      <c r="O1392" s="36" t="s">
        <v>25</v>
      </c>
      <c r="P1392" s="38">
        <v>34.561724537000003</v>
      </c>
      <c r="Q1392" s="39" t="s">
        <v>4861</v>
      </c>
      <c r="R1392" s="35" t="s">
        <v>916</v>
      </c>
      <c r="S1392" s="35" t="s">
        <v>4862</v>
      </c>
      <c r="T1392" s="35" t="s">
        <v>1701</v>
      </c>
      <c r="U1392" s="40">
        <v>45988</v>
      </c>
      <c r="V1392" s="41">
        <v>46153.532905092594</v>
      </c>
      <c r="W1392" s="40">
        <v>45987</v>
      </c>
      <c r="X1392" s="35" t="s">
        <v>916</v>
      </c>
      <c r="Y1392" s="35" t="s">
        <v>916</v>
      </c>
      <c r="Z1392" s="35" t="s">
        <v>916</v>
      </c>
      <c r="AA1392" s="38">
        <v>829.48138888799997</v>
      </c>
      <c r="AB1392" s="42" t="s">
        <v>916</v>
      </c>
      <c r="AC1392" s="43" t="s">
        <v>916</v>
      </c>
      <c r="AD1392" s="43" t="s">
        <v>916</v>
      </c>
      <c r="AE1392" s="33" t="s">
        <v>3982</v>
      </c>
      <c r="AF1392" s="35" t="s">
        <v>916</v>
      </c>
      <c r="AG1392" s="44">
        <v>490042.5186111111</v>
      </c>
      <c r="AH1392" s="42" t="s">
        <v>916</v>
      </c>
      <c r="AI1392" s="32" t="e">
        <f>VLOOKUP(A1392,'4月明細'!B:B,1,0)</f>
        <v>#N/A</v>
      </c>
    </row>
    <row r="1393" spans="1:35" ht="19.95" customHeight="1" x14ac:dyDescent="0.3">
      <c r="A1393" s="33" t="s">
        <v>4863</v>
      </c>
      <c r="B1393" s="34">
        <v>45986.645127314812</v>
      </c>
      <c r="C1393" s="34" t="str">
        <f t="shared" si="34"/>
        <v>202511</v>
      </c>
      <c r="D1393" s="35" t="s">
        <v>909</v>
      </c>
      <c r="E1393" s="36" t="s">
        <v>910</v>
      </c>
      <c r="F1393" s="36" t="s">
        <v>1227</v>
      </c>
      <c r="G1393" s="37" t="s">
        <v>1096</v>
      </c>
      <c r="H1393" s="36" t="s">
        <v>3979</v>
      </c>
      <c r="I1393" s="35" t="s">
        <v>4864</v>
      </c>
      <c r="J1393" s="36" t="s">
        <v>929</v>
      </c>
      <c r="K1393" s="33" t="s">
        <v>916</v>
      </c>
      <c r="L1393" s="35" t="s">
        <v>916</v>
      </c>
      <c r="M1393" s="36" t="s">
        <v>916</v>
      </c>
      <c r="N1393" s="45">
        <v>46022</v>
      </c>
      <c r="O1393" s="36" t="s">
        <v>25</v>
      </c>
      <c r="P1393" s="38">
        <v>35.3548726852</v>
      </c>
      <c r="Q1393" s="39" t="s">
        <v>4865</v>
      </c>
      <c r="R1393" s="35" t="s">
        <v>916</v>
      </c>
      <c r="S1393" s="35"/>
      <c r="T1393" s="35" t="s">
        <v>1701</v>
      </c>
      <c r="U1393" s="40">
        <v>45987</v>
      </c>
      <c r="V1393" s="41">
        <v>46153.532905092594</v>
      </c>
      <c r="W1393" s="40">
        <v>45986</v>
      </c>
      <c r="X1393" s="35" t="s">
        <v>916</v>
      </c>
      <c r="Y1393" s="35" t="s">
        <v>916</v>
      </c>
      <c r="Z1393" s="35" t="s">
        <v>916</v>
      </c>
      <c r="AA1393" s="38">
        <v>848.51694444479995</v>
      </c>
      <c r="AB1393" s="42" t="s">
        <v>916</v>
      </c>
      <c r="AC1393" s="43" t="s">
        <v>916</v>
      </c>
      <c r="AD1393" s="43" t="s">
        <v>916</v>
      </c>
      <c r="AE1393" s="33" t="s">
        <v>3982</v>
      </c>
      <c r="AF1393" s="35" t="s">
        <v>916</v>
      </c>
      <c r="AG1393" s="44">
        <v>490023.48305555561</v>
      </c>
      <c r="AH1393" s="42" t="s">
        <v>916</v>
      </c>
      <c r="AI1393" s="32" t="e">
        <f>VLOOKUP(A1393,'4月明細'!B:B,1,0)</f>
        <v>#N/A</v>
      </c>
    </row>
    <row r="1394" spans="1:35" ht="19.95" customHeight="1" x14ac:dyDescent="0.3">
      <c r="A1394" s="33" t="s">
        <v>4866</v>
      </c>
      <c r="B1394" s="34">
        <v>45986.531469907408</v>
      </c>
      <c r="C1394" s="34" t="str">
        <f t="shared" si="34"/>
        <v>202511</v>
      </c>
      <c r="D1394" s="35" t="s">
        <v>909</v>
      </c>
      <c r="E1394" s="36" t="s">
        <v>910</v>
      </c>
      <c r="F1394" s="36" t="s">
        <v>1225</v>
      </c>
      <c r="G1394" s="37" t="s">
        <v>4867</v>
      </c>
      <c r="H1394" s="36" t="s">
        <v>4007</v>
      </c>
      <c r="I1394" s="35" t="s">
        <v>2113</v>
      </c>
      <c r="J1394" s="36" t="s">
        <v>914</v>
      </c>
      <c r="K1394" s="33" t="s">
        <v>916</v>
      </c>
      <c r="L1394" s="35" t="s">
        <v>916</v>
      </c>
      <c r="M1394" s="36" t="s">
        <v>916</v>
      </c>
      <c r="N1394" s="45">
        <v>46022</v>
      </c>
      <c r="O1394" s="36" t="s">
        <v>25</v>
      </c>
      <c r="P1394" s="38">
        <v>35.468530092599998</v>
      </c>
      <c r="Q1394" s="39" t="s">
        <v>4868</v>
      </c>
      <c r="R1394" s="35" t="s">
        <v>916</v>
      </c>
      <c r="S1394" s="35" t="s">
        <v>4869</v>
      </c>
      <c r="T1394" s="35" t="s">
        <v>1701</v>
      </c>
      <c r="U1394" s="40">
        <v>45987</v>
      </c>
      <c r="V1394" s="41">
        <v>46153.532905092594</v>
      </c>
      <c r="W1394" s="40">
        <v>45986</v>
      </c>
      <c r="X1394" s="35" t="s">
        <v>916</v>
      </c>
      <c r="Y1394" s="35" t="s">
        <v>916</v>
      </c>
      <c r="Z1394" s="35" t="s">
        <v>916</v>
      </c>
      <c r="AA1394" s="38">
        <v>851.24472222240001</v>
      </c>
      <c r="AB1394" s="42" t="s">
        <v>916</v>
      </c>
      <c r="AC1394" s="43" t="s">
        <v>916</v>
      </c>
      <c r="AD1394" s="43" t="s">
        <v>916</v>
      </c>
      <c r="AE1394" s="33" t="s">
        <v>3982</v>
      </c>
      <c r="AF1394" s="35" t="s">
        <v>916</v>
      </c>
      <c r="AG1394" s="44">
        <v>490020.75527777779</v>
      </c>
      <c r="AH1394" s="42" t="s">
        <v>916</v>
      </c>
      <c r="AI1394" s="32" t="e">
        <f>VLOOKUP(A1394,'4月明細'!B:B,1,0)</f>
        <v>#N/A</v>
      </c>
    </row>
    <row r="1395" spans="1:35" ht="19.95" customHeight="1" x14ac:dyDescent="0.3">
      <c r="A1395" s="33" t="s">
        <v>4870</v>
      </c>
      <c r="B1395" s="34">
        <v>45986.516365740739</v>
      </c>
      <c r="C1395" s="34" t="str">
        <f t="shared" si="34"/>
        <v>202511</v>
      </c>
      <c r="D1395" s="35" t="s">
        <v>996</v>
      </c>
      <c r="E1395" s="36" t="s">
        <v>910</v>
      </c>
      <c r="F1395" s="36" t="s">
        <v>1240</v>
      </c>
      <c r="G1395" s="37" t="s">
        <v>4871</v>
      </c>
      <c r="H1395" s="36" t="s">
        <v>1079</v>
      </c>
      <c r="I1395" s="35" t="s">
        <v>4872</v>
      </c>
      <c r="J1395" s="36" t="s">
        <v>914</v>
      </c>
      <c r="K1395" s="33" t="s">
        <v>916</v>
      </c>
      <c r="L1395" s="35" t="s">
        <v>916</v>
      </c>
      <c r="M1395" s="36" t="s">
        <v>916</v>
      </c>
      <c r="N1395" s="45">
        <v>46022</v>
      </c>
      <c r="O1395" s="36" t="s">
        <v>25</v>
      </c>
      <c r="P1395" s="38">
        <v>35.483634259299997</v>
      </c>
      <c r="Q1395" s="39" t="s">
        <v>4873</v>
      </c>
      <c r="R1395" s="35" t="s">
        <v>916</v>
      </c>
      <c r="S1395" s="35" t="s">
        <v>4874</v>
      </c>
      <c r="T1395" s="35" t="s">
        <v>1701</v>
      </c>
      <c r="U1395" s="40">
        <v>45987</v>
      </c>
      <c r="V1395" s="41">
        <v>46153.532905092594</v>
      </c>
      <c r="W1395" s="40">
        <v>45986</v>
      </c>
      <c r="X1395" s="35" t="s">
        <v>916</v>
      </c>
      <c r="Y1395" s="35" t="s">
        <v>916</v>
      </c>
      <c r="Z1395" s="35" t="s">
        <v>916</v>
      </c>
      <c r="AA1395" s="38">
        <v>851.60722222319998</v>
      </c>
      <c r="AB1395" s="42" t="s">
        <v>916</v>
      </c>
      <c r="AC1395" s="43" t="s">
        <v>916</v>
      </c>
      <c r="AD1395" s="43" t="s">
        <v>916</v>
      </c>
      <c r="AE1395" s="33" t="s">
        <v>3982</v>
      </c>
      <c r="AF1395" s="35" t="s">
        <v>916</v>
      </c>
      <c r="AG1395" s="44">
        <v>490020.39277777768</v>
      </c>
      <c r="AH1395" s="42" t="s">
        <v>916</v>
      </c>
      <c r="AI1395" s="32" t="e">
        <f>VLOOKUP(A1395,'4月明細'!B:B,1,0)</f>
        <v>#N/A</v>
      </c>
    </row>
    <row r="1396" spans="1:35" ht="19.95" customHeight="1" x14ac:dyDescent="0.3">
      <c r="A1396" s="33" t="s">
        <v>4875</v>
      </c>
      <c r="B1396" s="34">
        <v>45986.372060185182</v>
      </c>
      <c r="C1396" s="34" t="str">
        <f t="shared" si="34"/>
        <v>202511</v>
      </c>
      <c r="D1396" s="35" t="s">
        <v>2278</v>
      </c>
      <c r="E1396" s="36" t="s">
        <v>910</v>
      </c>
      <c r="F1396" s="36" t="s">
        <v>1068</v>
      </c>
      <c r="G1396" s="37" t="s">
        <v>4876</v>
      </c>
      <c r="H1396" s="36" t="s">
        <v>4877</v>
      </c>
      <c r="I1396" s="35"/>
      <c r="J1396" s="36" t="s">
        <v>929</v>
      </c>
      <c r="K1396" s="33" t="s">
        <v>916</v>
      </c>
      <c r="L1396" s="35" t="s">
        <v>916</v>
      </c>
      <c r="M1396" s="36" t="s">
        <v>916</v>
      </c>
      <c r="N1396" s="45">
        <v>46022</v>
      </c>
      <c r="O1396" s="36" t="s">
        <v>25</v>
      </c>
      <c r="P1396" s="38">
        <v>35.627939814800001</v>
      </c>
      <c r="Q1396" s="39" t="s">
        <v>4878</v>
      </c>
      <c r="R1396" s="35" t="s">
        <v>916</v>
      </c>
      <c r="S1396" s="35"/>
      <c r="T1396" s="35" t="s">
        <v>1701</v>
      </c>
      <c r="U1396" s="40">
        <v>45987</v>
      </c>
      <c r="V1396" s="41">
        <v>46153.532905092594</v>
      </c>
      <c r="W1396" s="40">
        <v>45986</v>
      </c>
      <c r="X1396" s="35" t="s">
        <v>916</v>
      </c>
      <c r="Y1396" s="35" t="s">
        <v>916</v>
      </c>
      <c r="Z1396" s="35" t="s">
        <v>916</v>
      </c>
      <c r="AA1396" s="38">
        <v>855.07055555520003</v>
      </c>
      <c r="AB1396" s="42" t="s">
        <v>916</v>
      </c>
      <c r="AC1396" s="43" t="s">
        <v>916</v>
      </c>
      <c r="AD1396" s="43" t="s">
        <v>916</v>
      </c>
      <c r="AE1396" s="33" t="s">
        <v>3982</v>
      </c>
      <c r="AF1396" s="35" t="s">
        <v>916</v>
      </c>
      <c r="AG1396" s="44">
        <v>490016.92944444448</v>
      </c>
      <c r="AH1396" s="42" t="s">
        <v>916</v>
      </c>
      <c r="AI1396" s="32" t="e">
        <f>VLOOKUP(A1396,'4月明細'!B:B,1,0)</f>
        <v>#N/A</v>
      </c>
    </row>
    <row r="1397" spans="1:35" ht="19.95" customHeight="1" x14ac:dyDescent="0.3">
      <c r="A1397" s="33" t="s">
        <v>4879</v>
      </c>
      <c r="B1397" s="34">
        <v>45985.707002314812</v>
      </c>
      <c r="C1397" s="34" t="str">
        <f t="shared" si="34"/>
        <v>202511</v>
      </c>
      <c r="D1397" s="35" t="s">
        <v>951</v>
      </c>
      <c r="E1397" s="36" t="s">
        <v>910</v>
      </c>
      <c r="F1397" s="36" t="s">
        <v>1350</v>
      </c>
      <c r="G1397" s="37" t="s">
        <v>4880</v>
      </c>
      <c r="H1397" s="36" t="s">
        <v>3985</v>
      </c>
      <c r="I1397" s="35"/>
      <c r="J1397" s="36" t="s">
        <v>929</v>
      </c>
      <c r="K1397" s="33" t="s">
        <v>916</v>
      </c>
      <c r="L1397" s="35" t="s">
        <v>916</v>
      </c>
      <c r="M1397" s="36" t="s">
        <v>916</v>
      </c>
      <c r="N1397" s="45">
        <v>46022</v>
      </c>
      <c r="O1397" s="36" t="s">
        <v>25</v>
      </c>
      <c r="P1397" s="38">
        <v>36.2929976852</v>
      </c>
      <c r="Q1397" s="39" t="s">
        <v>4881</v>
      </c>
      <c r="R1397" s="35" t="s">
        <v>916</v>
      </c>
      <c r="S1397" s="35"/>
      <c r="T1397" s="35" t="s">
        <v>1701</v>
      </c>
      <c r="U1397" s="40">
        <v>45986</v>
      </c>
      <c r="V1397" s="41">
        <v>46153.532905092594</v>
      </c>
      <c r="W1397" s="40">
        <v>45985</v>
      </c>
      <c r="X1397" s="35" t="s">
        <v>916</v>
      </c>
      <c r="Y1397" s="35" t="s">
        <v>916</v>
      </c>
      <c r="Z1397" s="35" t="s">
        <v>916</v>
      </c>
      <c r="AA1397" s="38">
        <v>871.03194444480005</v>
      </c>
      <c r="AB1397" s="42" t="s">
        <v>916</v>
      </c>
      <c r="AC1397" s="43" t="s">
        <v>916</v>
      </c>
      <c r="AD1397" s="43" t="s">
        <v>916</v>
      </c>
      <c r="AE1397" s="33" t="s">
        <v>3982</v>
      </c>
      <c r="AF1397" s="35" t="s">
        <v>916</v>
      </c>
      <c r="AG1397" s="44">
        <v>490000.9680555556</v>
      </c>
      <c r="AH1397" s="42" t="s">
        <v>916</v>
      </c>
      <c r="AI1397" s="32" t="e">
        <f>VLOOKUP(A1397,'4月明細'!B:B,1,0)</f>
        <v>#N/A</v>
      </c>
    </row>
    <row r="1398" spans="1:35" ht="19.95" customHeight="1" x14ac:dyDescent="0.3">
      <c r="A1398" s="33" t="s">
        <v>4882</v>
      </c>
      <c r="B1398" s="34">
        <v>45985.659699074073</v>
      </c>
      <c r="C1398" s="34" t="str">
        <f t="shared" si="34"/>
        <v>202511</v>
      </c>
      <c r="D1398" s="35" t="s">
        <v>996</v>
      </c>
      <c r="E1398" s="36" t="s">
        <v>910</v>
      </c>
      <c r="F1398" s="36" t="s">
        <v>1507</v>
      </c>
      <c r="G1398" s="37" t="s">
        <v>4883</v>
      </c>
      <c r="H1398" s="36" t="s">
        <v>1043</v>
      </c>
      <c r="I1398" s="35" t="s">
        <v>4884</v>
      </c>
      <c r="J1398" s="36" t="s">
        <v>929</v>
      </c>
      <c r="K1398" s="33" t="s">
        <v>916</v>
      </c>
      <c r="L1398" s="35" t="s">
        <v>916</v>
      </c>
      <c r="M1398" s="36" t="s">
        <v>916</v>
      </c>
      <c r="N1398" s="45">
        <v>46022</v>
      </c>
      <c r="O1398" s="36" t="s">
        <v>25</v>
      </c>
      <c r="P1398" s="38">
        <v>36.340300925900003</v>
      </c>
      <c r="Q1398" s="39" t="s">
        <v>4885</v>
      </c>
      <c r="R1398" s="35" t="s">
        <v>916</v>
      </c>
      <c r="S1398" s="35" t="s">
        <v>4886</v>
      </c>
      <c r="T1398" s="35" t="s">
        <v>1701</v>
      </c>
      <c r="U1398" s="40">
        <v>45986</v>
      </c>
      <c r="V1398" s="41">
        <v>46153.532905092594</v>
      </c>
      <c r="W1398" s="40">
        <v>45985</v>
      </c>
      <c r="X1398" s="35" t="s">
        <v>916</v>
      </c>
      <c r="Y1398" s="35" t="s">
        <v>916</v>
      </c>
      <c r="Z1398" s="35" t="s">
        <v>916</v>
      </c>
      <c r="AA1398" s="38">
        <v>872.16722222160001</v>
      </c>
      <c r="AB1398" s="42" t="s">
        <v>916</v>
      </c>
      <c r="AC1398" s="43" t="s">
        <v>916</v>
      </c>
      <c r="AD1398" s="43" t="s">
        <v>916</v>
      </c>
      <c r="AE1398" s="33" t="s">
        <v>3982</v>
      </c>
      <c r="AF1398" s="35" t="s">
        <v>916</v>
      </c>
      <c r="AG1398" s="44">
        <v>489999.8327777778</v>
      </c>
      <c r="AH1398" s="42" t="s">
        <v>916</v>
      </c>
      <c r="AI1398" s="32" t="e">
        <f>VLOOKUP(A1398,'4月明細'!B:B,1,0)</f>
        <v>#N/A</v>
      </c>
    </row>
    <row r="1399" spans="1:35" ht="19.95" customHeight="1" x14ac:dyDescent="0.3">
      <c r="A1399" s="33" t="s">
        <v>4887</v>
      </c>
      <c r="B1399" s="34">
        <v>45985.607314814813</v>
      </c>
      <c r="C1399" s="34" t="str">
        <f t="shared" si="34"/>
        <v>202511</v>
      </c>
      <c r="D1399" s="35" t="s">
        <v>909</v>
      </c>
      <c r="E1399" s="36" t="s">
        <v>910</v>
      </c>
      <c r="F1399" s="36" t="s">
        <v>2300</v>
      </c>
      <c r="G1399" s="37" t="s">
        <v>4888</v>
      </c>
      <c r="H1399" s="36" t="s">
        <v>4017</v>
      </c>
      <c r="I1399" s="35" t="s">
        <v>4889</v>
      </c>
      <c r="J1399" s="36" t="s">
        <v>914</v>
      </c>
      <c r="K1399" s="33" t="s">
        <v>916</v>
      </c>
      <c r="L1399" s="35" t="s">
        <v>916</v>
      </c>
      <c r="M1399" s="36" t="s">
        <v>916</v>
      </c>
      <c r="N1399" s="45">
        <v>46022</v>
      </c>
      <c r="O1399" s="36" t="s">
        <v>25</v>
      </c>
      <c r="P1399" s="38">
        <v>36.392685185200001</v>
      </c>
      <c r="Q1399" s="39" t="s">
        <v>4890</v>
      </c>
      <c r="R1399" s="35" t="s">
        <v>916</v>
      </c>
      <c r="S1399" s="35" t="s">
        <v>4891</v>
      </c>
      <c r="T1399" s="35" t="s">
        <v>1701</v>
      </c>
      <c r="U1399" s="40">
        <v>45986</v>
      </c>
      <c r="V1399" s="41">
        <v>46153.532905092594</v>
      </c>
      <c r="W1399" s="40">
        <v>45985</v>
      </c>
      <c r="X1399" s="35" t="s">
        <v>916</v>
      </c>
      <c r="Y1399" s="35" t="s">
        <v>916</v>
      </c>
      <c r="Z1399" s="35" t="s">
        <v>916</v>
      </c>
      <c r="AA1399" s="38">
        <v>873.42444444479997</v>
      </c>
      <c r="AB1399" s="42" t="s">
        <v>916</v>
      </c>
      <c r="AC1399" s="43" t="s">
        <v>916</v>
      </c>
      <c r="AD1399" s="43" t="s">
        <v>916</v>
      </c>
      <c r="AE1399" s="33" t="s">
        <v>3982</v>
      </c>
      <c r="AF1399" s="35" t="s">
        <v>916</v>
      </c>
      <c r="AG1399" s="44">
        <v>489998.57555555552</v>
      </c>
      <c r="AH1399" s="42" t="s">
        <v>916</v>
      </c>
      <c r="AI1399" s="32" t="e">
        <f>VLOOKUP(A1399,'4月明細'!B:B,1,0)</f>
        <v>#N/A</v>
      </c>
    </row>
    <row r="1400" spans="1:35" ht="19.95" customHeight="1" x14ac:dyDescent="0.3">
      <c r="A1400" s="33" t="s">
        <v>4892</v>
      </c>
      <c r="B1400" s="34">
        <v>45985.50708333333</v>
      </c>
      <c r="C1400" s="34" t="str">
        <f t="shared" si="34"/>
        <v>202511</v>
      </c>
      <c r="D1400" s="35" t="s">
        <v>951</v>
      </c>
      <c r="E1400" s="36" t="s">
        <v>910</v>
      </c>
      <c r="F1400" s="36" t="s">
        <v>1799</v>
      </c>
      <c r="G1400" s="37" t="s">
        <v>4893</v>
      </c>
      <c r="H1400" s="36" t="s">
        <v>3985</v>
      </c>
      <c r="I1400" s="35"/>
      <c r="J1400" s="36" t="s">
        <v>1058</v>
      </c>
      <c r="K1400" s="33" t="s">
        <v>916</v>
      </c>
      <c r="L1400" s="35" t="s">
        <v>916</v>
      </c>
      <c r="M1400" s="36" t="s">
        <v>916</v>
      </c>
      <c r="N1400" s="45">
        <v>46022</v>
      </c>
      <c r="O1400" s="36" t="s">
        <v>25</v>
      </c>
      <c r="P1400" s="38">
        <v>36.492916666699998</v>
      </c>
      <c r="Q1400" s="39" t="s">
        <v>4894</v>
      </c>
      <c r="R1400" s="35" t="s">
        <v>916</v>
      </c>
      <c r="S1400" s="35"/>
      <c r="T1400" s="35" t="s">
        <v>1701</v>
      </c>
      <c r="U1400" s="40">
        <v>45986</v>
      </c>
      <c r="V1400" s="41">
        <v>46153.532905092594</v>
      </c>
      <c r="W1400" s="40">
        <v>45985</v>
      </c>
      <c r="X1400" s="35" t="s">
        <v>916</v>
      </c>
      <c r="Y1400" s="35" t="s">
        <v>916</v>
      </c>
      <c r="Z1400" s="35" t="s">
        <v>916</v>
      </c>
      <c r="AA1400" s="38">
        <v>875.83000000080006</v>
      </c>
      <c r="AB1400" s="42" t="s">
        <v>916</v>
      </c>
      <c r="AC1400" s="43" t="s">
        <v>916</v>
      </c>
      <c r="AD1400" s="43" t="s">
        <v>916</v>
      </c>
      <c r="AE1400" s="33" t="s">
        <v>3982</v>
      </c>
      <c r="AF1400" s="35" t="s">
        <v>916</v>
      </c>
      <c r="AG1400" s="44">
        <v>489996.17</v>
      </c>
      <c r="AH1400" s="42" t="s">
        <v>916</v>
      </c>
      <c r="AI1400" s="32" t="e">
        <f>VLOOKUP(A1400,'4月明細'!B:B,1,0)</f>
        <v>#N/A</v>
      </c>
    </row>
    <row r="1401" spans="1:35" ht="19.95" customHeight="1" x14ac:dyDescent="0.3">
      <c r="A1401" s="33" t="s">
        <v>4895</v>
      </c>
      <c r="B1401" s="34">
        <v>45985.482002314813</v>
      </c>
      <c r="C1401" s="34" t="str">
        <f t="shared" si="34"/>
        <v>202511</v>
      </c>
      <c r="D1401" s="35" t="s">
        <v>951</v>
      </c>
      <c r="E1401" s="36" t="s">
        <v>910</v>
      </c>
      <c r="F1401" s="36" t="s">
        <v>1621</v>
      </c>
      <c r="G1401" s="37" t="s">
        <v>4896</v>
      </c>
      <c r="H1401" s="36" t="s">
        <v>3985</v>
      </c>
      <c r="I1401" s="35"/>
      <c r="J1401" s="36" t="s">
        <v>1058</v>
      </c>
      <c r="K1401" s="33" t="s">
        <v>916</v>
      </c>
      <c r="L1401" s="35" t="s">
        <v>916</v>
      </c>
      <c r="M1401" s="36" t="s">
        <v>916</v>
      </c>
      <c r="N1401" s="45">
        <v>46022</v>
      </c>
      <c r="O1401" s="36" t="s">
        <v>25</v>
      </c>
      <c r="P1401" s="38">
        <v>36.517997685200001</v>
      </c>
      <c r="Q1401" s="39" t="s">
        <v>4897</v>
      </c>
      <c r="R1401" s="35" t="s">
        <v>916</v>
      </c>
      <c r="S1401" s="35"/>
      <c r="T1401" s="35" t="s">
        <v>1701</v>
      </c>
      <c r="U1401" s="40">
        <v>45986</v>
      </c>
      <c r="V1401" s="41">
        <v>46153.532905092594</v>
      </c>
      <c r="W1401" s="40">
        <v>45985</v>
      </c>
      <c r="X1401" s="35" t="s">
        <v>916</v>
      </c>
      <c r="Y1401" s="35" t="s">
        <v>916</v>
      </c>
      <c r="Z1401" s="35" t="s">
        <v>916</v>
      </c>
      <c r="AA1401" s="38">
        <v>876.43194444480002</v>
      </c>
      <c r="AB1401" s="42" t="s">
        <v>916</v>
      </c>
      <c r="AC1401" s="43" t="s">
        <v>916</v>
      </c>
      <c r="AD1401" s="43" t="s">
        <v>916</v>
      </c>
      <c r="AE1401" s="33" t="s">
        <v>3982</v>
      </c>
      <c r="AF1401" s="35" t="s">
        <v>916</v>
      </c>
      <c r="AG1401" s="44">
        <v>489995.56805555557</v>
      </c>
      <c r="AH1401" s="42" t="s">
        <v>916</v>
      </c>
      <c r="AI1401" s="32" t="e">
        <f>VLOOKUP(A1401,'4月明細'!B:B,1,0)</f>
        <v>#N/A</v>
      </c>
    </row>
    <row r="1402" spans="1:35" ht="19.95" customHeight="1" x14ac:dyDescent="0.3">
      <c r="A1402" s="33" t="s">
        <v>4898</v>
      </c>
      <c r="B1402" s="34">
        <v>45985.423541666663</v>
      </c>
      <c r="C1402" s="34" t="str">
        <f t="shared" si="34"/>
        <v>202511</v>
      </c>
      <c r="D1402" s="35" t="s">
        <v>996</v>
      </c>
      <c r="E1402" s="36" t="s">
        <v>910</v>
      </c>
      <c r="F1402" s="36" t="s">
        <v>1870</v>
      </c>
      <c r="G1402" s="37" t="s">
        <v>3504</v>
      </c>
      <c r="H1402" s="36" t="s">
        <v>970</v>
      </c>
      <c r="I1402" s="35" t="s">
        <v>4899</v>
      </c>
      <c r="J1402" s="36" t="s">
        <v>914</v>
      </c>
      <c r="K1402" s="33" t="s">
        <v>916</v>
      </c>
      <c r="L1402" s="35" t="s">
        <v>916</v>
      </c>
      <c r="M1402" s="36" t="s">
        <v>916</v>
      </c>
      <c r="N1402" s="45">
        <v>46022</v>
      </c>
      <c r="O1402" s="36" t="s">
        <v>25</v>
      </c>
      <c r="P1402" s="38">
        <v>36.576458333300003</v>
      </c>
      <c r="Q1402" s="39" t="s">
        <v>4900</v>
      </c>
      <c r="R1402" s="35" t="s">
        <v>916</v>
      </c>
      <c r="S1402" s="35" t="s">
        <v>4901</v>
      </c>
      <c r="T1402" s="35" t="s">
        <v>1701</v>
      </c>
      <c r="U1402" s="40">
        <v>45986</v>
      </c>
      <c r="V1402" s="41">
        <v>46153.532905092594</v>
      </c>
      <c r="W1402" s="40">
        <v>45985</v>
      </c>
      <c r="X1402" s="35" t="s">
        <v>916</v>
      </c>
      <c r="Y1402" s="35" t="s">
        <v>916</v>
      </c>
      <c r="Z1402" s="35" t="s">
        <v>916</v>
      </c>
      <c r="AA1402" s="38">
        <v>877.83499999920002</v>
      </c>
      <c r="AB1402" s="42" t="s">
        <v>916</v>
      </c>
      <c r="AC1402" s="43" t="s">
        <v>916</v>
      </c>
      <c r="AD1402" s="43" t="s">
        <v>916</v>
      </c>
      <c r="AE1402" s="33" t="s">
        <v>3982</v>
      </c>
      <c r="AF1402" s="35" t="s">
        <v>916</v>
      </c>
      <c r="AG1402" s="44">
        <v>489994.16527777782</v>
      </c>
      <c r="AH1402" s="42" t="s">
        <v>916</v>
      </c>
      <c r="AI1402" s="32" t="e">
        <f>VLOOKUP(A1402,'4月明細'!B:B,1,0)</f>
        <v>#N/A</v>
      </c>
    </row>
    <row r="1403" spans="1:35" ht="19.95" customHeight="1" x14ac:dyDescent="0.3">
      <c r="A1403" s="33" t="s">
        <v>4902</v>
      </c>
      <c r="B1403" s="34">
        <v>45984.833807870367</v>
      </c>
      <c r="C1403" s="34" t="str">
        <f t="shared" si="34"/>
        <v>202511</v>
      </c>
      <c r="D1403" s="35" t="s">
        <v>1829</v>
      </c>
      <c r="E1403" s="36" t="s">
        <v>1112</v>
      </c>
      <c r="F1403" s="36" t="s">
        <v>1479</v>
      </c>
      <c r="G1403" s="37" t="s">
        <v>4903</v>
      </c>
      <c r="H1403" s="36" t="s">
        <v>4185</v>
      </c>
      <c r="I1403" s="35" t="s">
        <v>4904</v>
      </c>
      <c r="J1403" s="36" t="s">
        <v>945</v>
      </c>
      <c r="K1403" s="33" t="s">
        <v>916</v>
      </c>
      <c r="L1403" s="35" t="s">
        <v>916</v>
      </c>
      <c r="M1403" s="36" t="s">
        <v>916</v>
      </c>
      <c r="N1403" s="45">
        <v>46022</v>
      </c>
      <c r="O1403" s="36" t="s">
        <v>25</v>
      </c>
      <c r="P1403" s="38">
        <v>37.166192129599999</v>
      </c>
      <c r="Q1403" s="39" t="s">
        <v>4905</v>
      </c>
      <c r="R1403" s="35" t="s">
        <v>916</v>
      </c>
      <c r="S1403" s="35"/>
      <c r="T1403" s="35" t="s">
        <v>1701</v>
      </c>
      <c r="U1403" s="40">
        <v>45985</v>
      </c>
      <c r="V1403" s="41">
        <v>46153.532905092594</v>
      </c>
      <c r="W1403" s="40">
        <v>45985</v>
      </c>
      <c r="X1403" s="35" t="s">
        <v>916</v>
      </c>
      <c r="Y1403" s="35" t="s">
        <v>916</v>
      </c>
      <c r="Z1403" s="35" t="s">
        <v>916</v>
      </c>
      <c r="AA1403" s="38">
        <v>891.98861111040003</v>
      </c>
      <c r="AB1403" s="42" t="s">
        <v>916</v>
      </c>
      <c r="AC1403" s="43" t="s">
        <v>916</v>
      </c>
      <c r="AD1403" s="43" t="s">
        <v>916</v>
      </c>
      <c r="AE1403" s="33" t="s">
        <v>3982</v>
      </c>
      <c r="AF1403" s="35" t="s">
        <v>916</v>
      </c>
      <c r="AG1403" s="44">
        <v>489980.01138888887</v>
      </c>
      <c r="AH1403" s="42" t="s">
        <v>916</v>
      </c>
      <c r="AI1403" s="32" t="e">
        <f>VLOOKUP(A1403,'4月明細'!B:B,1,0)</f>
        <v>#N/A</v>
      </c>
    </row>
    <row r="1404" spans="1:35" ht="19.95" customHeight="1" x14ac:dyDescent="0.3">
      <c r="A1404" s="33" t="s">
        <v>4906</v>
      </c>
      <c r="B1404" s="34">
        <v>45984.709976851853</v>
      </c>
      <c r="C1404" s="34" t="str">
        <f t="shared" si="34"/>
        <v>202511</v>
      </c>
      <c r="D1404" s="35" t="s">
        <v>1198</v>
      </c>
      <c r="E1404" s="36" t="s">
        <v>1199</v>
      </c>
      <c r="F1404" s="36" t="s">
        <v>1243</v>
      </c>
      <c r="G1404" s="37" t="s">
        <v>4907</v>
      </c>
      <c r="H1404" s="36" t="s">
        <v>4683</v>
      </c>
      <c r="I1404" s="35" t="s">
        <v>4908</v>
      </c>
      <c r="J1404" s="36" t="s">
        <v>938</v>
      </c>
      <c r="K1404" s="33" t="s">
        <v>916</v>
      </c>
      <c r="L1404" s="35" t="s">
        <v>916</v>
      </c>
      <c r="M1404" s="36" t="s">
        <v>916</v>
      </c>
      <c r="N1404" s="45">
        <v>46022</v>
      </c>
      <c r="O1404" s="36" t="s">
        <v>25</v>
      </c>
      <c r="P1404" s="38">
        <v>37.290023148099998</v>
      </c>
      <c r="Q1404" s="39" t="s">
        <v>4909</v>
      </c>
      <c r="R1404" s="35" t="s">
        <v>916</v>
      </c>
      <c r="S1404" s="35" t="s">
        <v>4910</v>
      </c>
      <c r="T1404" s="35" t="s">
        <v>1701</v>
      </c>
      <c r="U1404" s="40">
        <v>45985</v>
      </c>
      <c r="V1404" s="41">
        <v>46153.532905092594</v>
      </c>
      <c r="W1404" s="40">
        <v>45984</v>
      </c>
      <c r="X1404" s="35" t="s">
        <v>916</v>
      </c>
      <c r="Y1404" s="35" t="s">
        <v>916</v>
      </c>
      <c r="Z1404" s="35" t="s">
        <v>916</v>
      </c>
      <c r="AA1404" s="38">
        <v>894.9605555544</v>
      </c>
      <c r="AB1404" s="42" t="s">
        <v>916</v>
      </c>
      <c r="AC1404" s="43" t="s">
        <v>916</v>
      </c>
      <c r="AD1404" s="43" t="s">
        <v>916</v>
      </c>
      <c r="AE1404" s="33" t="s">
        <v>3982</v>
      </c>
      <c r="AF1404" s="35" t="s">
        <v>916</v>
      </c>
      <c r="AG1404" s="44">
        <v>489977.03944444453</v>
      </c>
      <c r="AH1404" s="42" t="s">
        <v>916</v>
      </c>
      <c r="AI1404" s="32" t="e">
        <f>VLOOKUP(A1404,'4月明細'!B:B,1,0)</f>
        <v>#N/A</v>
      </c>
    </row>
    <row r="1405" spans="1:35" ht="19.95" customHeight="1" x14ac:dyDescent="0.3">
      <c r="A1405" s="33" t="s">
        <v>4911</v>
      </c>
      <c r="B1405" s="34">
        <v>45984.69872685185</v>
      </c>
      <c r="C1405" s="34" t="str">
        <f t="shared" si="34"/>
        <v>202511</v>
      </c>
      <c r="D1405" s="35" t="s">
        <v>909</v>
      </c>
      <c r="E1405" s="36" t="s">
        <v>910</v>
      </c>
      <c r="F1405" s="36" t="s">
        <v>1010</v>
      </c>
      <c r="G1405" s="37" t="s">
        <v>4912</v>
      </c>
      <c r="H1405" s="36" t="s">
        <v>1007</v>
      </c>
      <c r="I1405" s="35" t="s">
        <v>4913</v>
      </c>
      <c r="J1405" s="36" t="s">
        <v>929</v>
      </c>
      <c r="K1405" s="33" t="s">
        <v>916</v>
      </c>
      <c r="L1405" s="35" t="s">
        <v>916</v>
      </c>
      <c r="M1405" s="36" t="s">
        <v>916</v>
      </c>
      <c r="N1405" s="45">
        <v>46022</v>
      </c>
      <c r="O1405" s="36" t="s">
        <v>25</v>
      </c>
      <c r="P1405" s="38">
        <v>37.301273148100002</v>
      </c>
      <c r="Q1405" s="39" t="s">
        <v>4914</v>
      </c>
      <c r="R1405" s="35" t="s">
        <v>916</v>
      </c>
      <c r="S1405" s="35" t="s">
        <v>4915</v>
      </c>
      <c r="T1405" s="35" t="s">
        <v>1701</v>
      </c>
      <c r="U1405" s="40">
        <v>45985</v>
      </c>
      <c r="V1405" s="41">
        <v>46153.532905092594</v>
      </c>
      <c r="W1405" s="40">
        <v>45984</v>
      </c>
      <c r="X1405" s="35" t="s">
        <v>916</v>
      </c>
      <c r="Y1405" s="35" t="s">
        <v>916</v>
      </c>
      <c r="Z1405" s="35" t="s">
        <v>916</v>
      </c>
      <c r="AA1405" s="38">
        <v>895.23055555439998</v>
      </c>
      <c r="AB1405" s="42" t="s">
        <v>916</v>
      </c>
      <c r="AC1405" s="43" t="s">
        <v>916</v>
      </c>
      <c r="AD1405" s="43" t="s">
        <v>916</v>
      </c>
      <c r="AE1405" s="33" t="s">
        <v>3982</v>
      </c>
      <c r="AF1405" s="35" t="s">
        <v>916</v>
      </c>
      <c r="AG1405" s="44">
        <v>489976.76944444439</v>
      </c>
      <c r="AH1405" s="42" t="s">
        <v>916</v>
      </c>
      <c r="AI1405" s="32" t="e">
        <f>VLOOKUP(A1405,'4月明細'!B:B,1,0)</f>
        <v>#N/A</v>
      </c>
    </row>
    <row r="1406" spans="1:35" ht="19.95" customHeight="1" x14ac:dyDescent="0.3">
      <c r="A1406" s="33" t="s">
        <v>4916</v>
      </c>
      <c r="B1406" s="34">
        <v>45984.678263888891</v>
      </c>
      <c r="C1406" s="34" t="str">
        <f t="shared" si="34"/>
        <v>202511</v>
      </c>
      <c r="D1406" s="35" t="s">
        <v>1840</v>
      </c>
      <c r="E1406" s="36" t="s">
        <v>942</v>
      </c>
      <c r="F1406" s="36" t="s">
        <v>1564</v>
      </c>
      <c r="G1406" s="37" t="s">
        <v>4917</v>
      </c>
      <c r="H1406" s="36" t="s">
        <v>913</v>
      </c>
      <c r="I1406" s="35"/>
      <c r="J1406" s="36" t="s">
        <v>945</v>
      </c>
      <c r="K1406" s="33" t="s">
        <v>916</v>
      </c>
      <c r="L1406" s="35" t="s">
        <v>916</v>
      </c>
      <c r="M1406" s="36" t="s">
        <v>916</v>
      </c>
      <c r="N1406" s="45">
        <v>46022</v>
      </c>
      <c r="O1406" s="36" t="s">
        <v>25</v>
      </c>
      <c r="P1406" s="38">
        <v>37.321736111100002</v>
      </c>
      <c r="Q1406" s="39" t="s">
        <v>4918</v>
      </c>
      <c r="R1406" s="35" t="s">
        <v>916</v>
      </c>
      <c r="S1406" s="35"/>
      <c r="T1406" s="35" t="s">
        <v>1701</v>
      </c>
      <c r="U1406" s="40">
        <v>45985</v>
      </c>
      <c r="V1406" s="41">
        <v>46153.532905092594</v>
      </c>
      <c r="W1406" s="40">
        <v>45984</v>
      </c>
      <c r="X1406" s="35" t="s">
        <v>916</v>
      </c>
      <c r="Y1406" s="35" t="s">
        <v>916</v>
      </c>
      <c r="Z1406" s="35" t="s">
        <v>916</v>
      </c>
      <c r="AA1406" s="38">
        <v>895.72166666639998</v>
      </c>
      <c r="AB1406" s="42" t="s">
        <v>916</v>
      </c>
      <c r="AC1406" s="43" t="s">
        <v>916</v>
      </c>
      <c r="AD1406" s="43" t="s">
        <v>916</v>
      </c>
      <c r="AE1406" s="33" t="s">
        <v>3982</v>
      </c>
      <c r="AF1406" s="35" t="s">
        <v>916</v>
      </c>
      <c r="AG1406" s="44">
        <v>489976.27833333338</v>
      </c>
      <c r="AH1406" s="42" t="s">
        <v>916</v>
      </c>
      <c r="AI1406" s="32" t="e">
        <f>VLOOKUP(A1406,'4月明細'!B:B,1,0)</f>
        <v>#N/A</v>
      </c>
    </row>
    <row r="1407" spans="1:35" ht="19.95" customHeight="1" x14ac:dyDescent="0.3">
      <c r="A1407" s="33" t="s">
        <v>4919</v>
      </c>
      <c r="B1407" s="34">
        <v>45984.66909722222</v>
      </c>
      <c r="C1407" s="34" t="str">
        <f t="shared" si="34"/>
        <v>202511</v>
      </c>
      <c r="D1407" s="35" t="s">
        <v>909</v>
      </c>
      <c r="E1407" s="36" t="s">
        <v>910</v>
      </c>
      <c r="F1407" s="36" t="s">
        <v>1260</v>
      </c>
      <c r="G1407" s="37" t="s">
        <v>4920</v>
      </c>
      <c r="H1407" s="36" t="s">
        <v>1007</v>
      </c>
      <c r="I1407" s="35" t="s">
        <v>4921</v>
      </c>
      <c r="J1407" s="36" t="s">
        <v>929</v>
      </c>
      <c r="K1407" s="33" t="s">
        <v>916</v>
      </c>
      <c r="L1407" s="35" t="s">
        <v>916</v>
      </c>
      <c r="M1407" s="36" t="s">
        <v>916</v>
      </c>
      <c r="N1407" s="45">
        <v>46022</v>
      </c>
      <c r="O1407" s="36" t="s">
        <v>25</v>
      </c>
      <c r="P1407" s="38">
        <v>37.330902777799999</v>
      </c>
      <c r="Q1407" s="39" t="s">
        <v>4922</v>
      </c>
      <c r="R1407" s="35" t="s">
        <v>916</v>
      </c>
      <c r="S1407" s="35" t="s">
        <v>4923</v>
      </c>
      <c r="T1407" s="35" t="s">
        <v>1701</v>
      </c>
      <c r="U1407" s="40">
        <v>45985</v>
      </c>
      <c r="V1407" s="41">
        <v>46153.532905092594</v>
      </c>
      <c r="W1407" s="40">
        <v>45984</v>
      </c>
      <c r="X1407" s="35" t="s">
        <v>916</v>
      </c>
      <c r="Y1407" s="35" t="s">
        <v>916</v>
      </c>
      <c r="Z1407" s="35" t="s">
        <v>916</v>
      </c>
      <c r="AA1407" s="38">
        <v>895.94166666720002</v>
      </c>
      <c r="AB1407" s="42" t="s">
        <v>916</v>
      </c>
      <c r="AC1407" s="43" t="s">
        <v>916</v>
      </c>
      <c r="AD1407" s="43" t="s">
        <v>916</v>
      </c>
      <c r="AE1407" s="33" t="s">
        <v>3982</v>
      </c>
      <c r="AF1407" s="35" t="s">
        <v>916</v>
      </c>
      <c r="AG1407" s="44">
        <v>489976.05833333329</v>
      </c>
      <c r="AH1407" s="42" t="s">
        <v>916</v>
      </c>
      <c r="AI1407" s="32" t="e">
        <f>VLOOKUP(A1407,'4月明細'!B:B,1,0)</f>
        <v>#N/A</v>
      </c>
    </row>
    <row r="1408" spans="1:35" ht="19.95" customHeight="1" x14ac:dyDescent="0.3">
      <c r="A1408" s="33" t="s">
        <v>4924</v>
      </c>
      <c r="B1408" s="34">
        <v>45984.652488425927</v>
      </c>
      <c r="C1408" s="34" t="str">
        <f t="shared" si="34"/>
        <v>202511</v>
      </c>
      <c r="D1408" s="35" t="s">
        <v>909</v>
      </c>
      <c r="E1408" s="36" t="s">
        <v>910</v>
      </c>
      <c r="F1408" s="36" t="s">
        <v>1203</v>
      </c>
      <c r="G1408" s="37" t="s">
        <v>3708</v>
      </c>
      <c r="H1408" s="36" t="s">
        <v>4065</v>
      </c>
      <c r="I1408" s="35" t="s">
        <v>4925</v>
      </c>
      <c r="J1408" s="36" t="s">
        <v>929</v>
      </c>
      <c r="K1408" s="33" t="s">
        <v>916</v>
      </c>
      <c r="L1408" s="35" t="s">
        <v>916</v>
      </c>
      <c r="M1408" s="36" t="s">
        <v>916</v>
      </c>
      <c r="N1408" s="45">
        <v>46022</v>
      </c>
      <c r="O1408" s="36" t="s">
        <v>25</v>
      </c>
      <c r="P1408" s="38">
        <v>37.347511574099997</v>
      </c>
      <c r="Q1408" s="39" t="s">
        <v>4926</v>
      </c>
      <c r="R1408" s="35" t="s">
        <v>916</v>
      </c>
      <c r="S1408" s="35" t="s">
        <v>4927</v>
      </c>
      <c r="T1408" s="35" t="s">
        <v>1701</v>
      </c>
      <c r="U1408" s="40">
        <v>45985</v>
      </c>
      <c r="V1408" s="41">
        <v>46153.532916666663</v>
      </c>
      <c r="W1408" s="40">
        <v>45984</v>
      </c>
      <c r="X1408" s="35" t="s">
        <v>916</v>
      </c>
      <c r="Y1408" s="35" t="s">
        <v>916</v>
      </c>
      <c r="Z1408" s="35" t="s">
        <v>916</v>
      </c>
      <c r="AA1408" s="38">
        <v>896.34027777840004</v>
      </c>
      <c r="AB1408" s="42" t="s">
        <v>916</v>
      </c>
      <c r="AC1408" s="43" t="s">
        <v>916</v>
      </c>
      <c r="AD1408" s="43" t="s">
        <v>916</v>
      </c>
      <c r="AE1408" s="33" t="s">
        <v>3982</v>
      </c>
      <c r="AF1408" s="35" t="s">
        <v>916</v>
      </c>
      <c r="AG1408" s="44">
        <v>489975.65972222219</v>
      </c>
      <c r="AH1408" s="42" t="s">
        <v>916</v>
      </c>
      <c r="AI1408" s="32" t="e">
        <f>VLOOKUP(A1408,'4月明細'!B:B,1,0)</f>
        <v>#N/A</v>
      </c>
    </row>
    <row r="1409" spans="1:35" ht="19.95" customHeight="1" x14ac:dyDescent="0.3">
      <c r="A1409" s="33" t="s">
        <v>4928</v>
      </c>
      <c r="B1409" s="34">
        <v>45984.636666666665</v>
      </c>
      <c r="C1409" s="34" t="str">
        <f t="shared" si="34"/>
        <v>202511</v>
      </c>
      <c r="D1409" s="35" t="s">
        <v>909</v>
      </c>
      <c r="E1409" s="36" t="s">
        <v>910</v>
      </c>
      <c r="F1409" s="36" t="s">
        <v>1232</v>
      </c>
      <c r="G1409" s="37" t="s">
        <v>4929</v>
      </c>
      <c r="H1409" s="36" t="s">
        <v>4804</v>
      </c>
      <c r="I1409" s="35" t="s">
        <v>4930</v>
      </c>
      <c r="J1409" s="36" t="s">
        <v>929</v>
      </c>
      <c r="K1409" s="33" t="s">
        <v>916</v>
      </c>
      <c r="L1409" s="35" t="s">
        <v>916</v>
      </c>
      <c r="M1409" s="36" t="s">
        <v>916</v>
      </c>
      <c r="N1409" s="45">
        <v>46022</v>
      </c>
      <c r="O1409" s="36" t="s">
        <v>25</v>
      </c>
      <c r="P1409" s="38">
        <v>37.363333333299998</v>
      </c>
      <c r="Q1409" s="39" t="s">
        <v>4931</v>
      </c>
      <c r="R1409" s="35" t="s">
        <v>916</v>
      </c>
      <c r="S1409" s="35" t="s">
        <v>4932</v>
      </c>
      <c r="T1409" s="35" t="s">
        <v>1701</v>
      </c>
      <c r="U1409" s="40">
        <v>45985</v>
      </c>
      <c r="V1409" s="41">
        <v>46153.532916666663</v>
      </c>
      <c r="W1409" s="40">
        <v>45984</v>
      </c>
      <c r="X1409" s="35" t="s">
        <v>916</v>
      </c>
      <c r="Y1409" s="35" t="s">
        <v>916</v>
      </c>
      <c r="Z1409" s="35" t="s">
        <v>916</v>
      </c>
      <c r="AA1409" s="38">
        <v>896.71999999920001</v>
      </c>
      <c r="AB1409" s="42" t="s">
        <v>916</v>
      </c>
      <c r="AC1409" s="43" t="s">
        <v>916</v>
      </c>
      <c r="AD1409" s="43" t="s">
        <v>916</v>
      </c>
      <c r="AE1409" s="33" t="s">
        <v>3982</v>
      </c>
      <c r="AF1409" s="35" t="s">
        <v>916</v>
      </c>
      <c r="AG1409" s="44">
        <v>489975.28</v>
      </c>
      <c r="AH1409" s="42" t="s">
        <v>916</v>
      </c>
      <c r="AI1409" s="32" t="e">
        <f>VLOOKUP(A1409,'4月明細'!B:B,1,0)</f>
        <v>#N/A</v>
      </c>
    </row>
    <row r="1410" spans="1:35" ht="19.95" customHeight="1" x14ac:dyDescent="0.3">
      <c r="A1410" s="33" t="s">
        <v>4933</v>
      </c>
      <c r="B1410" s="34">
        <v>45984.561527777776</v>
      </c>
      <c r="C1410" s="34" t="str">
        <f t="shared" si="34"/>
        <v>202511</v>
      </c>
      <c r="D1410" s="35" t="s">
        <v>951</v>
      </c>
      <c r="E1410" s="36" t="s">
        <v>910</v>
      </c>
      <c r="F1410" s="36" t="s">
        <v>1479</v>
      </c>
      <c r="G1410" s="37" t="s">
        <v>4934</v>
      </c>
      <c r="H1410" s="36" t="s">
        <v>1007</v>
      </c>
      <c r="I1410" s="35" t="s">
        <v>4935</v>
      </c>
      <c r="J1410" s="36" t="s">
        <v>914</v>
      </c>
      <c r="K1410" s="33" t="s">
        <v>916</v>
      </c>
      <c r="L1410" s="35" t="s">
        <v>916</v>
      </c>
      <c r="M1410" s="36" t="s">
        <v>916</v>
      </c>
      <c r="N1410" s="45">
        <v>46022</v>
      </c>
      <c r="O1410" s="36" t="s">
        <v>25</v>
      </c>
      <c r="P1410" s="38">
        <v>37.438472222199998</v>
      </c>
      <c r="Q1410" s="39" t="s">
        <v>4936</v>
      </c>
      <c r="R1410" s="35" t="s">
        <v>916</v>
      </c>
      <c r="S1410" s="35"/>
      <c r="T1410" s="35" t="s">
        <v>1701</v>
      </c>
      <c r="U1410" s="40">
        <v>45985</v>
      </c>
      <c r="V1410" s="41">
        <v>46153.532916666663</v>
      </c>
      <c r="W1410" s="40">
        <v>45984</v>
      </c>
      <c r="X1410" s="35" t="s">
        <v>916</v>
      </c>
      <c r="Y1410" s="35" t="s">
        <v>916</v>
      </c>
      <c r="Z1410" s="35" t="s">
        <v>916</v>
      </c>
      <c r="AA1410" s="38">
        <v>898.52333333280001</v>
      </c>
      <c r="AB1410" s="42" t="s">
        <v>916</v>
      </c>
      <c r="AC1410" s="43" t="s">
        <v>916</v>
      </c>
      <c r="AD1410" s="43" t="s">
        <v>916</v>
      </c>
      <c r="AE1410" s="33" t="s">
        <v>3982</v>
      </c>
      <c r="AF1410" s="35" t="s">
        <v>916</v>
      </c>
      <c r="AG1410" s="44">
        <v>489973.47666666668</v>
      </c>
      <c r="AH1410" s="42" t="s">
        <v>916</v>
      </c>
      <c r="AI1410" s="32" t="e">
        <f>VLOOKUP(A1410,'4月明細'!B:B,1,0)</f>
        <v>#N/A</v>
      </c>
    </row>
    <row r="1411" spans="1:35" ht="19.95" customHeight="1" x14ac:dyDescent="0.3">
      <c r="A1411" s="33" t="s">
        <v>4937</v>
      </c>
      <c r="B1411" s="34">
        <v>45984.526400462964</v>
      </c>
      <c r="C1411" s="34" t="str">
        <f t="shared" ref="C1411:C1474" si="35">TEXT(B1411,"YYYYMM")</f>
        <v>202511</v>
      </c>
      <c r="D1411" s="35" t="s">
        <v>951</v>
      </c>
      <c r="E1411" s="36" t="s">
        <v>910</v>
      </c>
      <c r="F1411" s="36" t="s">
        <v>1479</v>
      </c>
      <c r="G1411" s="37" t="s">
        <v>4938</v>
      </c>
      <c r="H1411" s="36" t="s">
        <v>1043</v>
      </c>
      <c r="I1411" s="35" t="s">
        <v>4939</v>
      </c>
      <c r="J1411" s="36" t="s">
        <v>914</v>
      </c>
      <c r="K1411" s="33" t="s">
        <v>916</v>
      </c>
      <c r="L1411" s="35" t="s">
        <v>916</v>
      </c>
      <c r="M1411" s="36" t="s">
        <v>917</v>
      </c>
      <c r="N1411" s="45">
        <v>46022</v>
      </c>
      <c r="O1411" s="36" t="s">
        <v>25</v>
      </c>
      <c r="P1411" s="38">
        <v>37.473599536999998</v>
      </c>
      <c r="Q1411" s="39" t="s">
        <v>1357</v>
      </c>
      <c r="R1411" s="35" t="s">
        <v>916</v>
      </c>
      <c r="S1411" s="35"/>
      <c r="T1411" s="35" t="s">
        <v>1701</v>
      </c>
      <c r="U1411" s="40">
        <v>45985</v>
      </c>
      <c r="V1411" s="41">
        <v>46153.532916666663</v>
      </c>
      <c r="W1411" s="40">
        <v>45984</v>
      </c>
      <c r="X1411" s="35" t="s">
        <v>916</v>
      </c>
      <c r="Y1411" s="35" t="s">
        <v>916</v>
      </c>
      <c r="Z1411" s="35" t="s">
        <v>916</v>
      </c>
      <c r="AA1411" s="38">
        <v>899.36638888799996</v>
      </c>
      <c r="AB1411" s="42" t="s">
        <v>916</v>
      </c>
      <c r="AC1411" s="43" t="s">
        <v>916</v>
      </c>
      <c r="AD1411" s="43" t="s">
        <v>916</v>
      </c>
      <c r="AE1411" s="33" t="s">
        <v>3982</v>
      </c>
      <c r="AF1411" s="35" t="s">
        <v>916</v>
      </c>
      <c r="AG1411" s="44">
        <v>489972.63361111109</v>
      </c>
      <c r="AH1411" s="42" t="s">
        <v>916</v>
      </c>
      <c r="AI1411" s="32" t="e">
        <f>VLOOKUP(A1411,'4月明細'!B:B,1,0)</f>
        <v>#N/A</v>
      </c>
    </row>
    <row r="1412" spans="1:35" ht="19.95" customHeight="1" x14ac:dyDescent="0.3">
      <c r="A1412" s="33" t="s">
        <v>4940</v>
      </c>
      <c r="B1412" s="34">
        <v>45984.480752314812</v>
      </c>
      <c r="C1412" s="34" t="str">
        <f t="shared" si="35"/>
        <v>202511</v>
      </c>
      <c r="D1412" s="35" t="s">
        <v>951</v>
      </c>
      <c r="E1412" s="36" t="s">
        <v>910</v>
      </c>
      <c r="F1412" s="36" t="s">
        <v>1240</v>
      </c>
      <c r="G1412" s="37" t="s">
        <v>4941</v>
      </c>
      <c r="H1412" s="36" t="s">
        <v>3985</v>
      </c>
      <c r="I1412" s="35"/>
      <c r="J1412" s="36" t="s">
        <v>929</v>
      </c>
      <c r="K1412" s="33" t="s">
        <v>916</v>
      </c>
      <c r="L1412" s="35" t="s">
        <v>916</v>
      </c>
      <c r="M1412" s="36" t="s">
        <v>916</v>
      </c>
      <c r="N1412" s="45">
        <v>46022</v>
      </c>
      <c r="O1412" s="36" t="s">
        <v>25</v>
      </c>
      <c r="P1412" s="38">
        <v>37.5192476852</v>
      </c>
      <c r="Q1412" s="39" t="s">
        <v>4942</v>
      </c>
      <c r="R1412" s="35" t="s">
        <v>916</v>
      </c>
      <c r="S1412" s="35"/>
      <c r="T1412" s="35" t="s">
        <v>1701</v>
      </c>
      <c r="U1412" s="40">
        <v>45985</v>
      </c>
      <c r="V1412" s="41">
        <v>46153.532916666663</v>
      </c>
      <c r="W1412" s="40">
        <v>45984</v>
      </c>
      <c r="X1412" s="35" t="s">
        <v>916</v>
      </c>
      <c r="Y1412" s="35" t="s">
        <v>916</v>
      </c>
      <c r="Z1412" s="35" t="s">
        <v>916</v>
      </c>
      <c r="AA1412" s="38">
        <v>900.4619444448</v>
      </c>
      <c r="AB1412" s="42" t="s">
        <v>916</v>
      </c>
      <c r="AC1412" s="43" t="s">
        <v>916</v>
      </c>
      <c r="AD1412" s="43" t="s">
        <v>916</v>
      </c>
      <c r="AE1412" s="33" t="s">
        <v>3982</v>
      </c>
      <c r="AF1412" s="35" t="s">
        <v>916</v>
      </c>
      <c r="AG1412" s="44">
        <v>489971.53805555549</v>
      </c>
      <c r="AH1412" s="42" t="s">
        <v>916</v>
      </c>
      <c r="AI1412" s="32" t="e">
        <f>VLOOKUP(A1412,'4月明細'!B:B,1,0)</f>
        <v>#N/A</v>
      </c>
    </row>
    <row r="1413" spans="1:35" ht="19.95" customHeight="1" x14ac:dyDescent="0.3">
      <c r="A1413" s="33" t="s">
        <v>4943</v>
      </c>
      <c r="B1413" s="34">
        <v>45984.508287037039</v>
      </c>
      <c r="C1413" s="34" t="str">
        <f t="shared" si="35"/>
        <v>202511</v>
      </c>
      <c r="D1413" s="35" t="s">
        <v>1952</v>
      </c>
      <c r="E1413" s="36" t="s">
        <v>910</v>
      </c>
      <c r="F1413" s="36" t="s">
        <v>1461</v>
      </c>
      <c r="G1413" s="37" t="s">
        <v>4944</v>
      </c>
      <c r="H1413" s="36" t="s">
        <v>970</v>
      </c>
      <c r="I1413" s="35" t="s">
        <v>4945</v>
      </c>
      <c r="J1413" s="36" t="s">
        <v>929</v>
      </c>
      <c r="K1413" s="33" t="s">
        <v>916</v>
      </c>
      <c r="L1413" s="35" t="s">
        <v>916</v>
      </c>
      <c r="M1413" s="36" t="s">
        <v>916</v>
      </c>
      <c r="N1413" s="45">
        <v>46022</v>
      </c>
      <c r="O1413" s="36" t="s">
        <v>25</v>
      </c>
      <c r="P1413" s="38">
        <v>37.491712962999998</v>
      </c>
      <c r="Q1413" s="39" t="s">
        <v>4946</v>
      </c>
      <c r="R1413" s="35" t="s">
        <v>916</v>
      </c>
      <c r="S1413" s="35"/>
      <c r="T1413" s="35" t="s">
        <v>1701</v>
      </c>
      <c r="U1413" s="40">
        <v>45985</v>
      </c>
      <c r="V1413" s="41">
        <v>46153.532916666663</v>
      </c>
      <c r="W1413" s="40">
        <v>45984</v>
      </c>
      <c r="X1413" s="35" t="s">
        <v>916</v>
      </c>
      <c r="Y1413" s="35" t="s">
        <v>916</v>
      </c>
      <c r="Z1413" s="35" t="s">
        <v>916</v>
      </c>
      <c r="AA1413" s="38">
        <v>899.80111111199994</v>
      </c>
      <c r="AB1413" s="42" t="s">
        <v>916</v>
      </c>
      <c r="AC1413" s="43" t="s">
        <v>916</v>
      </c>
      <c r="AD1413" s="43" t="s">
        <v>916</v>
      </c>
      <c r="AE1413" s="33" t="s">
        <v>3982</v>
      </c>
      <c r="AF1413" s="35" t="s">
        <v>916</v>
      </c>
      <c r="AG1413" s="44">
        <v>489972.19888888887</v>
      </c>
      <c r="AH1413" s="42" t="s">
        <v>916</v>
      </c>
      <c r="AI1413" s="32" t="e">
        <f>VLOOKUP(A1413,'4月明細'!B:B,1,0)</f>
        <v>#N/A</v>
      </c>
    </row>
    <row r="1414" spans="1:35" ht="19.95" customHeight="1" x14ac:dyDescent="0.3">
      <c r="A1414" s="33" t="s">
        <v>4947</v>
      </c>
      <c r="B1414" s="34">
        <v>45984.476527777777</v>
      </c>
      <c r="C1414" s="34" t="str">
        <f t="shared" si="35"/>
        <v>202511</v>
      </c>
      <c r="D1414" s="35" t="s">
        <v>951</v>
      </c>
      <c r="E1414" s="36" t="s">
        <v>910</v>
      </c>
      <c r="F1414" s="36" t="s">
        <v>1222</v>
      </c>
      <c r="G1414" s="37" t="s">
        <v>4948</v>
      </c>
      <c r="H1414" s="36" t="s">
        <v>970</v>
      </c>
      <c r="I1414" s="35"/>
      <c r="J1414" s="36" t="s">
        <v>929</v>
      </c>
      <c r="K1414" s="33" t="s">
        <v>916</v>
      </c>
      <c r="L1414" s="35" t="s">
        <v>916</v>
      </c>
      <c r="M1414" s="36" t="s">
        <v>916</v>
      </c>
      <c r="N1414" s="45">
        <v>46022</v>
      </c>
      <c r="O1414" s="36" t="s">
        <v>25</v>
      </c>
      <c r="P1414" s="38">
        <v>37.523472222199999</v>
      </c>
      <c r="Q1414" s="39" t="s">
        <v>1357</v>
      </c>
      <c r="R1414" s="35" t="s">
        <v>916</v>
      </c>
      <c r="S1414" s="35"/>
      <c r="T1414" s="35" t="s">
        <v>1701</v>
      </c>
      <c r="U1414" s="40">
        <v>45985</v>
      </c>
      <c r="V1414" s="41">
        <v>46153.532916666663</v>
      </c>
      <c r="W1414" s="40">
        <v>45984</v>
      </c>
      <c r="X1414" s="35" t="s">
        <v>916</v>
      </c>
      <c r="Y1414" s="35" t="s">
        <v>916</v>
      </c>
      <c r="Z1414" s="35" t="s">
        <v>916</v>
      </c>
      <c r="AA1414" s="38">
        <v>900.56333333279997</v>
      </c>
      <c r="AB1414" s="42" t="s">
        <v>916</v>
      </c>
      <c r="AC1414" s="43" t="s">
        <v>916</v>
      </c>
      <c r="AD1414" s="43" t="s">
        <v>916</v>
      </c>
      <c r="AE1414" s="33" t="s">
        <v>3982</v>
      </c>
      <c r="AF1414" s="35" t="s">
        <v>916</v>
      </c>
      <c r="AG1414" s="44">
        <v>489971.43666666659</v>
      </c>
      <c r="AH1414" s="42" t="s">
        <v>916</v>
      </c>
      <c r="AI1414" s="32" t="e">
        <f>VLOOKUP(A1414,'4月明細'!B:B,1,0)</f>
        <v>#N/A</v>
      </c>
    </row>
    <row r="1415" spans="1:35" ht="19.95" customHeight="1" x14ac:dyDescent="0.3">
      <c r="A1415" s="33" t="s">
        <v>4949</v>
      </c>
      <c r="B1415" s="34">
        <v>45984.469571759262</v>
      </c>
      <c r="C1415" s="34" t="str">
        <f t="shared" si="35"/>
        <v>202511</v>
      </c>
      <c r="D1415" s="35" t="s">
        <v>4950</v>
      </c>
      <c r="E1415" s="36" t="s">
        <v>910</v>
      </c>
      <c r="F1415" s="36" t="s">
        <v>961</v>
      </c>
      <c r="G1415" s="37" t="s">
        <v>4951</v>
      </c>
      <c r="H1415" s="36" t="s">
        <v>1043</v>
      </c>
      <c r="I1415" s="35" t="s">
        <v>4952</v>
      </c>
      <c r="J1415" s="36" t="s">
        <v>914</v>
      </c>
      <c r="K1415" s="33" t="s">
        <v>916</v>
      </c>
      <c r="L1415" s="35" t="s">
        <v>916</v>
      </c>
      <c r="M1415" s="36" t="s">
        <v>917</v>
      </c>
      <c r="N1415" s="45">
        <v>46022</v>
      </c>
      <c r="O1415" s="36" t="s">
        <v>25</v>
      </c>
      <c r="P1415" s="38">
        <v>37.530428240699997</v>
      </c>
      <c r="Q1415" s="39" t="s">
        <v>1357</v>
      </c>
      <c r="R1415" s="35" t="s">
        <v>916</v>
      </c>
      <c r="S1415" s="35"/>
      <c r="T1415" s="35" t="s">
        <v>1701</v>
      </c>
      <c r="U1415" s="40">
        <v>45985</v>
      </c>
      <c r="V1415" s="41">
        <v>46153.532916666663</v>
      </c>
      <c r="W1415" s="40">
        <v>45984</v>
      </c>
      <c r="X1415" s="35" t="s">
        <v>916</v>
      </c>
      <c r="Y1415" s="35" t="s">
        <v>916</v>
      </c>
      <c r="Z1415" s="35" t="s">
        <v>916</v>
      </c>
      <c r="AA1415" s="38">
        <v>900.73027777679999</v>
      </c>
      <c r="AB1415" s="42" t="s">
        <v>916</v>
      </c>
      <c r="AC1415" s="43" t="s">
        <v>916</v>
      </c>
      <c r="AD1415" s="43" t="s">
        <v>916</v>
      </c>
      <c r="AE1415" s="33" t="s">
        <v>3982</v>
      </c>
      <c r="AF1415" s="35" t="s">
        <v>916</v>
      </c>
      <c r="AG1415" s="44">
        <v>489971.26972222218</v>
      </c>
      <c r="AH1415" s="42" t="s">
        <v>916</v>
      </c>
      <c r="AI1415" s="32" t="e">
        <f>VLOOKUP(A1415,'4月明細'!B:B,1,0)</f>
        <v>#N/A</v>
      </c>
    </row>
    <row r="1416" spans="1:35" ht="19.95" customHeight="1" x14ac:dyDescent="0.3">
      <c r="A1416" s="33" t="s">
        <v>4953</v>
      </c>
      <c r="B1416" s="34">
        <v>45984.468171296299</v>
      </c>
      <c r="C1416" s="34" t="str">
        <f t="shared" si="35"/>
        <v>202511</v>
      </c>
      <c r="D1416" s="35" t="s">
        <v>4950</v>
      </c>
      <c r="E1416" s="36" t="s">
        <v>910</v>
      </c>
      <c r="F1416" s="36" t="s">
        <v>1123</v>
      </c>
      <c r="G1416" s="37" t="s">
        <v>4954</v>
      </c>
      <c r="H1416" s="36" t="s">
        <v>1043</v>
      </c>
      <c r="I1416" s="35"/>
      <c r="J1416" s="36" t="s">
        <v>929</v>
      </c>
      <c r="K1416" s="33" t="s">
        <v>916</v>
      </c>
      <c r="L1416" s="35" t="s">
        <v>916</v>
      </c>
      <c r="M1416" s="36" t="s">
        <v>917</v>
      </c>
      <c r="N1416" s="45">
        <v>46022</v>
      </c>
      <c r="O1416" s="36" t="s">
        <v>25</v>
      </c>
      <c r="P1416" s="38">
        <v>37.5318287037</v>
      </c>
      <c r="Q1416" s="39" t="s">
        <v>1357</v>
      </c>
      <c r="R1416" s="35" t="s">
        <v>916</v>
      </c>
      <c r="S1416" s="35"/>
      <c r="T1416" s="35" t="s">
        <v>1701</v>
      </c>
      <c r="U1416" s="40">
        <v>45985</v>
      </c>
      <c r="V1416" s="41">
        <v>46153.532916666663</v>
      </c>
      <c r="W1416" s="40">
        <v>45984</v>
      </c>
      <c r="X1416" s="35" t="s">
        <v>916</v>
      </c>
      <c r="Y1416" s="35" t="s">
        <v>916</v>
      </c>
      <c r="Z1416" s="35" t="s">
        <v>916</v>
      </c>
      <c r="AA1416" s="38">
        <v>900.76388888880001</v>
      </c>
      <c r="AB1416" s="42" t="s">
        <v>916</v>
      </c>
      <c r="AC1416" s="43" t="s">
        <v>916</v>
      </c>
      <c r="AD1416" s="43" t="s">
        <v>916</v>
      </c>
      <c r="AE1416" s="33" t="s">
        <v>3982</v>
      </c>
      <c r="AF1416" s="35" t="s">
        <v>916</v>
      </c>
      <c r="AG1416" s="44">
        <v>489971.23611111112</v>
      </c>
      <c r="AH1416" s="42" t="s">
        <v>916</v>
      </c>
      <c r="AI1416" s="32" t="e">
        <f>VLOOKUP(A1416,'4月明細'!B:B,1,0)</f>
        <v>#N/A</v>
      </c>
    </row>
    <row r="1417" spans="1:35" ht="19.95" customHeight="1" x14ac:dyDescent="0.3">
      <c r="A1417" s="33" t="s">
        <v>4955</v>
      </c>
      <c r="B1417" s="34">
        <v>45984.466041666667</v>
      </c>
      <c r="C1417" s="34" t="str">
        <f t="shared" si="35"/>
        <v>202511</v>
      </c>
      <c r="D1417" s="35" t="s">
        <v>4424</v>
      </c>
      <c r="E1417" s="36" t="s">
        <v>910</v>
      </c>
      <c r="F1417" s="36" t="s">
        <v>1017</v>
      </c>
      <c r="G1417" s="37" t="s">
        <v>4956</v>
      </c>
      <c r="H1417" s="36" t="s">
        <v>1043</v>
      </c>
      <c r="I1417" s="35" t="s">
        <v>4957</v>
      </c>
      <c r="J1417" s="36" t="s">
        <v>929</v>
      </c>
      <c r="K1417" s="33" t="s">
        <v>916</v>
      </c>
      <c r="L1417" s="35" t="s">
        <v>916</v>
      </c>
      <c r="M1417" s="36" t="s">
        <v>916</v>
      </c>
      <c r="N1417" s="45">
        <v>46022</v>
      </c>
      <c r="O1417" s="36" t="s">
        <v>25</v>
      </c>
      <c r="P1417" s="38">
        <v>37.533958333299999</v>
      </c>
      <c r="Q1417" s="39" t="s">
        <v>1357</v>
      </c>
      <c r="R1417" s="35" t="s">
        <v>916</v>
      </c>
      <c r="S1417" s="35"/>
      <c r="T1417" s="35" t="s">
        <v>1701</v>
      </c>
      <c r="U1417" s="40">
        <v>45985</v>
      </c>
      <c r="V1417" s="41">
        <v>46153.532916666663</v>
      </c>
      <c r="W1417" s="40">
        <v>45984</v>
      </c>
      <c r="X1417" s="35" t="s">
        <v>916</v>
      </c>
      <c r="Y1417" s="35" t="s">
        <v>916</v>
      </c>
      <c r="Z1417" s="35" t="s">
        <v>916</v>
      </c>
      <c r="AA1417" s="38">
        <v>900.81499999920004</v>
      </c>
      <c r="AB1417" s="42" t="s">
        <v>916</v>
      </c>
      <c r="AC1417" s="43" t="s">
        <v>916</v>
      </c>
      <c r="AD1417" s="43" t="s">
        <v>916</v>
      </c>
      <c r="AE1417" s="33" t="s">
        <v>3982</v>
      </c>
      <c r="AF1417" s="35" t="s">
        <v>916</v>
      </c>
      <c r="AG1417" s="44">
        <v>489971.185</v>
      </c>
      <c r="AH1417" s="42" t="s">
        <v>916</v>
      </c>
      <c r="AI1417" s="32" t="e">
        <f>VLOOKUP(A1417,'4月明細'!B:B,1,0)</f>
        <v>#N/A</v>
      </c>
    </row>
    <row r="1418" spans="1:35" ht="19.95" customHeight="1" x14ac:dyDescent="0.3">
      <c r="A1418" s="33" t="s">
        <v>4958</v>
      </c>
      <c r="B1418" s="34">
        <v>45983.750358796293</v>
      </c>
      <c r="C1418" s="34" t="str">
        <f t="shared" si="35"/>
        <v>202511</v>
      </c>
      <c r="D1418" s="35" t="s">
        <v>2624</v>
      </c>
      <c r="E1418" s="36" t="s">
        <v>942</v>
      </c>
      <c r="F1418" s="36" t="s">
        <v>947</v>
      </c>
      <c r="G1418" s="37" t="s">
        <v>4959</v>
      </c>
      <c r="H1418" s="36" t="s">
        <v>913</v>
      </c>
      <c r="I1418" s="35"/>
      <c r="J1418" s="36" t="s">
        <v>945</v>
      </c>
      <c r="K1418" s="33" t="s">
        <v>916</v>
      </c>
      <c r="L1418" s="35" t="s">
        <v>916</v>
      </c>
      <c r="M1418" s="36" t="s">
        <v>916</v>
      </c>
      <c r="N1418" s="45">
        <v>46022</v>
      </c>
      <c r="O1418" s="36" t="s">
        <v>25</v>
      </c>
      <c r="P1418" s="38">
        <v>38.249641203700001</v>
      </c>
      <c r="Q1418" s="39" t="s">
        <v>4960</v>
      </c>
      <c r="R1418" s="35" t="s">
        <v>916</v>
      </c>
      <c r="S1418" s="35"/>
      <c r="T1418" s="35" t="s">
        <v>1701</v>
      </c>
      <c r="U1418" s="40">
        <v>45984</v>
      </c>
      <c r="V1418" s="41">
        <v>46153.532916666663</v>
      </c>
      <c r="W1418" s="40">
        <v>45983</v>
      </c>
      <c r="X1418" s="35" t="s">
        <v>916</v>
      </c>
      <c r="Y1418" s="35" t="s">
        <v>916</v>
      </c>
      <c r="Z1418" s="35" t="s">
        <v>916</v>
      </c>
      <c r="AA1418" s="38">
        <v>917.99138888879997</v>
      </c>
      <c r="AB1418" s="42" t="s">
        <v>916</v>
      </c>
      <c r="AC1418" s="43" t="s">
        <v>916</v>
      </c>
      <c r="AD1418" s="43" t="s">
        <v>916</v>
      </c>
      <c r="AE1418" s="33" t="s">
        <v>3982</v>
      </c>
      <c r="AF1418" s="35" t="s">
        <v>916</v>
      </c>
      <c r="AG1418" s="44">
        <v>489954.00861111109</v>
      </c>
      <c r="AH1418" s="42" t="s">
        <v>916</v>
      </c>
      <c r="AI1418" s="32" t="e">
        <f>VLOOKUP(A1418,'4月明細'!B:B,1,0)</f>
        <v>#N/A</v>
      </c>
    </row>
    <row r="1419" spans="1:35" ht="19.95" customHeight="1" x14ac:dyDescent="0.3">
      <c r="A1419" s="33" t="s">
        <v>4961</v>
      </c>
      <c r="B1419" s="34">
        <v>45983.73097222222</v>
      </c>
      <c r="C1419" s="34" t="str">
        <f t="shared" si="35"/>
        <v>202511</v>
      </c>
      <c r="D1419" s="35" t="s">
        <v>909</v>
      </c>
      <c r="E1419" s="36" t="s">
        <v>910</v>
      </c>
      <c r="F1419" s="36" t="s">
        <v>1021</v>
      </c>
      <c r="G1419" s="37" t="s">
        <v>4962</v>
      </c>
      <c r="H1419" s="36" t="s">
        <v>3985</v>
      </c>
      <c r="I1419" s="35" t="s">
        <v>4963</v>
      </c>
      <c r="J1419" s="36" t="s">
        <v>929</v>
      </c>
      <c r="K1419" s="33" t="s">
        <v>916</v>
      </c>
      <c r="L1419" s="35" t="s">
        <v>916</v>
      </c>
      <c r="M1419" s="36" t="s">
        <v>916</v>
      </c>
      <c r="N1419" s="45">
        <v>46022</v>
      </c>
      <c r="O1419" s="36" t="s">
        <v>25</v>
      </c>
      <c r="P1419" s="38">
        <v>38.269027777799998</v>
      </c>
      <c r="Q1419" s="39" t="s">
        <v>4964</v>
      </c>
      <c r="R1419" s="35" t="s">
        <v>916</v>
      </c>
      <c r="S1419" s="35" t="s">
        <v>4965</v>
      </c>
      <c r="T1419" s="35" t="s">
        <v>1701</v>
      </c>
      <c r="U1419" s="40">
        <v>45984</v>
      </c>
      <c r="V1419" s="41">
        <v>46153.532916666663</v>
      </c>
      <c r="W1419" s="40">
        <v>45983</v>
      </c>
      <c r="X1419" s="35" t="s">
        <v>916</v>
      </c>
      <c r="Y1419" s="35" t="s">
        <v>916</v>
      </c>
      <c r="Z1419" s="35" t="s">
        <v>916</v>
      </c>
      <c r="AA1419" s="38">
        <v>918.45666666720001</v>
      </c>
      <c r="AB1419" s="42" t="s">
        <v>916</v>
      </c>
      <c r="AC1419" s="43" t="s">
        <v>916</v>
      </c>
      <c r="AD1419" s="43" t="s">
        <v>916</v>
      </c>
      <c r="AE1419" s="33" t="s">
        <v>3982</v>
      </c>
      <c r="AF1419" s="35" t="s">
        <v>916</v>
      </c>
      <c r="AG1419" s="44">
        <v>489953.54333333328</v>
      </c>
      <c r="AH1419" s="42" t="s">
        <v>916</v>
      </c>
      <c r="AI1419" s="32" t="e">
        <f>VLOOKUP(A1419,'4月明細'!B:B,1,0)</f>
        <v>#N/A</v>
      </c>
    </row>
    <row r="1420" spans="1:35" ht="19.95" customHeight="1" x14ac:dyDescent="0.3">
      <c r="A1420" s="33" t="s">
        <v>4966</v>
      </c>
      <c r="B1420" s="34">
        <v>45983.685243055559</v>
      </c>
      <c r="C1420" s="34" t="str">
        <f t="shared" si="35"/>
        <v>202511</v>
      </c>
      <c r="D1420" s="35" t="s">
        <v>3875</v>
      </c>
      <c r="E1420" s="36" t="s">
        <v>1112</v>
      </c>
      <c r="F1420" s="36" t="s">
        <v>1564</v>
      </c>
      <c r="G1420" s="37" t="s">
        <v>4967</v>
      </c>
      <c r="H1420" s="36" t="s">
        <v>1007</v>
      </c>
      <c r="I1420" s="35" t="s">
        <v>4968</v>
      </c>
      <c r="J1420" s="36" t="s">
        <v>929</v>
      </c>
      <c r="K1420" s="33" t="s">
        <v>916</v>
      </c>
      <c r="L1420" s="35" t="s">
        <v>916</v>
      </c>
      <c r="M1420" s="36" t="s">
        <v>916</v>
      </c>
      <c r="N1420" s="45">
        <v>46022</v>
      </c>
      <c r="O1420" s="36" t="s">
        <v>25</v>
      </c>
      <c r="P1420" s="38">
        <v>38.314756944400003</v>
      </c>
      <c r="Q1420" s="39" t="s">
        <v>4969</v>
      </c>
      <c r="R1420" s="35" t="s">
        <v>916</v>
      </c>
      <c r="S1420" s="35"/>
      <c r="T1420" s="35" t="s">
        <v>1701</v>
      </c>
      <c r="U1420" s="40">
        <v>45984</v>
      </c>
      <c r="V1420" s="41">
        <v>46153.532916666663</v>
      </c>
      <c r="W1420" s="40">
        <v>45983</v>
      </c>
      <c r="X1420" s="35" t="s">
        <v>916</v>
      </c>
      <c r="Y1420" s="35" t="s">
        <v>916</v>
      </c>
      <c r="Z1420" s="35" t="s">
        <v>916</v>
      </c>
      <c r="AA1420" s="38">
        <v>919.55416666559995</v>
      </c>
      <c r="AB1420" s="42" t="s">
        <v>916</v>
      </c>
      <c r="AC1420" s="43" t="s">
        <v>916</v>
      </c>
      <c r="AD1420" s="43" t="s">
        <v>916</v>
      </c>
      <c r="AE1420" s="33" t="s">
        <v>3982</v>
      </c>
      <c r="AF1420" s="35" t="s">
        <v>916</v>
      </c>
      <c r="AG1420" s="44">
        <v>489952.4458333333</v>
      </c>
      <c r="AH1420" s="42" t="s">
        <v>916</v>
      </c>
      <c r="AI1420" s="32" t="e">
        <f>VLOOKUP(A1420,'4月明細'!B:B,1,0)</f>
        <v>#N/A</v>
      </c>
    </row>
    <row r="1421" spans="1:35" ht="19.95" customHeight="1" x14ac:dyDescent="0.3">
      <c r="A1421" s="33" t="s">
        <v>4970</v>
      </c>
      <c r="B1421" s="34">
        <v>45983.640243055554</v>
      </c>
      <c r="C1421" s="34" t="str">
        <f t="shared" si="35"/>
        <v>202511</v>
      </c>
      <c r="D1421" s="35" t="s">
        <v>909</v>
      </c>
      <c r="E1421" s="36" t="s">
        <v>910</v>
      </c>
      <c r="F1421" s="36" t="s">
        <v>1260</v>
      </c>
      <c r="G1421" s="37" t="s">
        <v>4971</v>
      </c>
      <c r="H1421" s="36" t="s">
        <v>1007</v>
      </c>
      <c r="I1421" s="35" t="s">
        <v>4972</v>
      </c>
      <c r="J1421" s="36" t="s">
        <v>914</v>
      </c>
      <c r="K1421" s="33" t="s">
        <v>916</v>
      </c>
      <c r="L1421" s="35" t="s">
        <v>916</v>
      </c>
      <c r="M1421" s="36" t="s">
        <v>916</v>
      </c>
      <c r="N1421" s="45">
        <v>46022</v>
      </c>
      <c r="O1421" s="36" t="s">
        <v>25</v>
      </c>
      <c r="P1421" s="38">
        <v>38.359756944399997</v>
      </c>
      <c r="Q1421" s="39" t="s">
        <v>4973</v>
      </c>
      <c r="R1421" s="35" t="s">
        <v>916</v>
      </c>
      <c r="S1421" s="35"/>
      <c r="T1421" s="35" t="s">
        <v>1701</v>
      </c>
      <c r="U1421" s="40">
        <v>45984</v>
      </c>
      <c r="V1421" s="41">
        <v>46153.532916666663</v>
      </c>
      <c r="W1421" s="40">
        <v>45983</v>
      </c>
      <c r="X1421" s="35" t="s">
        <v>916</v>
      </c>
      <c r="Y1421" s="35" t="s">
        <v>916</v>
      </c>
      <c r="Z1421" s="35" t="s">
        <v>916</v>
      </c>
      <c r="AA1421" s="38">
        <v>920.63416666559999</v>
      </c>
      <c r="AB1421" s="42" t="s">
        <v>916</v>
      </c>
      <c r="AC1421" s="43" t="s">
        <v>916</v>
      </c>
      <c r="AD1421" s="43" t="s">
        <v>916</v>
      </c>
      <c r="AE1421" s="33" t="s">
        <v>3982</v>
      </c>
      <c r="AF1421" s="35" t="s">
        <v>916</v>
      </c>
      <c r="AG1421" s="44">
        <v>489951.36583333329</v>
      </c>
      <c r="AH1421" s="42" t="s">
        <v>916</v>
      </c>
      <c r="AI1421" s="32" t="e">
        <f>VLOOKUP(A1421,'4月明細'!B:B,1,0)</f>
        <v>#N/A</v>
      </c>
    </row>
    <row r="1422" spans="1:35" ht="19.95" customHeight="1" x14ac:dyDescent="0.3">
      <c r="A1422" s="33" t="s">
        <v>4974</v>
      </c>
      <c r="B1422" s="34">
        <v>45983.423391203702</v>
      </c>
      <c r="C1422" s="34" t="str">
        <f t="shared" si="35"/>
        <v>202511</v>
      </c>
      <c r="D1422" s="35" t="s">
        <v>4975</v>
      </c>
      <c r="E1422" s="36" t="s">
        <v>1112</v>
      </c>
      <c r="F1422" s="36" t="s">
        <v>1004</v>
      </c>
      <c r="G1422" s="37" t="s">
        <v>4976</v>
      </c>
      <c r="H1422" s="36" t="s">
        <v>1184</v>
      </c>
      <c r="I1422" s="35"/>
      <c r="J1422" s="36" t="s">
        <v>929</v>
      </c>
      <c r="K1422" s="33" t="s">
        <v>916</v>
      </c>
      <c r="L1422" s="35" t="s">
        <v>916</v>
      </c>
      <c r="M1422" s="36" t="s">
        <v>916</v>
      </c>
      <c r="N1422" s="45">
        <v>46022</v>
      </c>
      <c r="O1422" s="36" t="s">
        <v>25</v>
      </c>
      <c r="P1422" s="38">
        <v>38.5766087963</v>
      </c>
      <c r="Q1422" s="39" t="s">
        <v>4977</v>
      </c>
      <c r="R1422" s="35" t="s">
        <v>916</v>
      </c>
      <c r="S1422" s="35"/>
      <c r="T1422" s="35" t="s">
        <v>1701</v>
      </c>
      <c r="U1422" s="40">
        <v>45984</v>
      </c>
      <c r="V1422" s="41">
        <v>46153.532916666663</v>
      </c>
      <c r="W1422" s="40">
        <v>45983</v>
      </c>
      <c r="X1422" s="35" t="s">
        <v>916</v>
      </c>
      <c r="Y1422" s="35" t="s">
        <v>916</v>
      </c>
      <c r="Z1422" s="35" t="s">
        <v>916</v>
      </c>
      <c r="AA1422" s="38">
        <v>925.83861111119995</v>
      </c>
      <c r="AB1422" s="42" t="s">
        <v>916</v>
      </c>
      <c r="AC1422" s="43" t="s">
        <v>916</v>
      </c>
      <c r="AD1422" s="43" t="s">
        <v>916</v>
      </c>
      <c r="AE1422" s="33" t="s">
        <v>3982</v>
      </c>
      <c r="AF1422" s="35" t="s">
        <v>916</v>
      </c>
      <c r="AG1422" s="44">
        <v>489946.16138888901</v>
      </c>
      <c r="AH1422" s="42" t="s">
        <v>916</v>
      </c>
      <c r="AI1422" s="32" t="e">
        <f>VLOOKUP(A1422,'4月明細'!B:B,1,0)</f>
        <v>#N/A</v>
      </c>
    </row>
    <row r="1423" spans="1:35" ht="19.95" customHeight="1" x14ac:dyDescent="0.3">
      <c r="A1423" s="33" t="s">
        <v>4978</v>
      </c>
      <c r="B1423" s="34">
        <v>45983.420370370368</v>
      </c>
      <c r="C1423" s="34" t="str">
        <f t="shared" si="35"/>
        <v>202511</v>
      </c>
      <c r="D1423" s="35" t="s">
        <v>1217</v>
      </c>
      <c r="E1423" s="36" t="s">
        <v>942</v>
      </c>
      <c r="F1423" s="36" t="s">
        <v>1386</v>
      </c>
      <c r="G1423" s="37" t="s">
        <v>4117</v>
      </c>
      <c r="H1423" s="36" t="s">
        <v>913</v>
      </c>
      <c r="I1423" s="35"/>
      <c r="J1423" s="36" t="s">
        <v>945</v>
      </c>
      <c r="K1423" s="33" t="s">
        <v>916</v>
      </c>
      <c r="L1423" s="35" t="s">
        <v>916</v>
      </c>
      <c r="M1423" s="36" t="s">
        <v>916</v>
      </c>
      <c r="N1423" s="45">
        <v>46022</v>
      </c>
      <c r="O1423" s="36" t="s">
        <v>25</v>
      </c>
      <c r="P1423" s="38">
        <v>38.579629629599999</v>
      </c>
      <c r="Q1423" s="39" t="s">
        <v>4979</v>
      </c>
      <c r="R1423" s="35" t="s">
        <v>916</v>
      </c>
      <c r="S1423" s="35"/>
      <c r="T1423" s="35" t="s">
        <v>1701</v>
      </c>
      <c r="U1423" s="40">
        <v>45984</v>
      </c>
      <c r="V1423" s="41">
        <v>46153.532916666663</v>
      </c>
      <c r="W1423" s="40">
        <v>45983</v>
      </c>
      <c r="X1423" s="35" t="s">
        <v>916</v>
      </c>
      <c r="Y1423" s="35" t="s">
        <v>916</v>
      </c>
      <c r="Z1423" s="35" t="s">
        <v>916</v>
      </c>
      <c r="AA1423" s="38">
        <v>925.91111111040004</v>
      </c>
      <c r="AB1423" s="42" t="s">
        <v>916</v>
      </c>
      <c r="AC1423" s="43" t="s">
        <v>916</v>
      </c>
      <c r="AD1423" s="43" t="s">
        <v>916</v>
      </c>
      <c r="AE1423" s="33" t="s">
        <v>3982</v>
      </c>
      <c r="AF1423" s="35" t="s">
        <v>916</v>
      </c>
      <c r="AG1423" s="44">
        <v>489946.08888888889</v>
      </c>
      <c r="AH1423" s="42" t="s">
        <v>916</v>
      </c>
      <c r="AI1423" s="32" t="e">
        <f>VLOOKUP(A1423,'4月明細'!B:B,1,0)</f>
        <v>#N/A</v>
      </c>
    </row>
    <row r="1424" spans="1:35" ht="19.95" customHeight="1" x14ac:dyDescent="0.3">
      <c r="A1424" s="33" t="s">
        <v>4980</v>
      </c>
      <c r="B1424" s="34">
        <v>45983.419456018521</v>
      </c>
      <c r="C1424" s="34" t="str">
        <f t="shared" si="35"/>
        <v>202511</v>
      </c>
      <c r="D1424" s="35" t="s">
        <v>1217</v>
      </c>
      <c r="E1424" s="36" t="s">
        <v>942</v>
      </c>
      <c r="F1424" s="36" t="s">
        <v>1386</v>
      </c>
      <c r="G1424" s="37" t="s">
        <v>4981</v>
      </c>
      <c r="H1424" s="36" t="s">
        <v>1184</v>
      </c>
      <c r="I1424" s="35"/>
      <c r="J1424" s="36" t="s">
        <v>945</v>
      </c>
      <c r="K1424" s="33" t="s">
        <v>916</v>
      </c>
      <c r="L1424" s="35" t="s">
        <v>916</v>
      </c>
      <c r="M1424" s="36" t="s">
        <v>916</v>
      </c>
      <c r="N1424" s="45">
        <v>46022</v>
      </c>
      <c r="O1424" s="36" t="s">
        <v>25</v>
      </c>
      <c r="P1424" s="38">
        <v>38.5805439815</v>
      </c>
      <c r="Q1424" s="39" t="s">
        <v>4977</v>
      </c>
      <c r="R1424" s="35" t="s">
        <v>916</v>
      </c>
      <c r="S1424" s="35"/>
      <c r="T1424" s="35" t="s">
        <v>1701</v>
      </c>
      <c r="U1424" s="40">
        <v>45984</v>
      </c>
      <c r="V1424" s="41">
        <v>46153.532916666663</v>
      </c>
      <c r="W1424" s="40">
        <v>45983</v>
      </c>
      <c r="X1424" s="35" t="s">
        <v>916</v>
      </c>
      <c r="Y1424" s="35" t="s">
        <v>916</v>
      </c>
      <c r="Z1424" s="35" t="s">
        <v>916</v>
      </c>
      <c r="AA1424" s="38">
        <v>925.933055556</v>
      </c>
      <c r="AB1424" s="42" t="s">
        <v>916</v>
      </c>
      <c r="AC1424" s="43" t="s">
        <v>916</v>
      </c>
      <c r="AD1424" s="43" t="s">
        <v>916</v>
      </c>
      <c r="AE1424" s="33" t="s">
        <v>3982</v>
      </c>
      <c r="AF1424" s="35" t="s">
        <v>916</v>
      </c>
      <c r="AG1424" s="44">
        <v>489946.06694444449</v>
      </c>
      <c r="AH1424" s="42" t="s">
        <v>916</v>
      </c>
      <c r="AI1424" s="32" t="e">
        <f>VLOOKUP(A1424,'4月明細'!B:B,1,0)</f>
        <v>#N/A</v>
      </c>
    </row>
    <row r="1425" spans="1:35" ht="19.95" customHeight="1" x14ac:dyDescent="0.3">
      <c r="A1425" s="33" t="s">
        <v>4982</v>
      </c>
      <c r="B1425" s="34">
        <v>45983.234594907408</v>
      </c>
      <c r="C1425" s="34" t="str">
        <f t="shared" si="35"/>
        <v>202511</v>
      </c>
      <c r="D1425" s="35" t="s">
        <v>1217</v>
      </c>
      <c r="E1425" s="36" t="s">
        <v>942</v>
      </c>
      <c r="F1425" s="36" t="s">
        <v>1588</v>
      </c>
      <c r="G1425" s="37" t="s">
        <v>4983</v>
      </c>
      <c r="H1425" s="36" t="s">
        <v>913</v>
      </c>
      <c r="I1425" s="35"/>
      <c r="J1425" s="36" t="s">
        <v>945</v>
      </c>
      <c r="K1425" s="33" t="s">
        <v>916</v>
      </c>
      <c r="L1425" s="35" t="s">
        <v>916</v>
      </c>
      <c r="M1425" s="36" t="s">
        <v>916</v>
      </c>
      <c r="N1425" s="45">
        <v>46022</v>
      </c>
      <c r="O1425" s="36" t="s">
        <v>25</v>
      </c>
      <c r="P1425" s="38">
        <v>38.765405092599998</v>
      </c>
      <c r="Q1425" s="39" t="s">
        <v>4984</v>
      </c>
      <c r="R1425" s="35" t="s">
        <v>916</v>
      </c>
      <c r="S1425" s="35"/>
      <c r="T1425" s="35" t="s">
        <v>1701</v>
      </c>
      <c r="U1425" s="40">
        <v>45984</v>
      </c>
      <c r="V1425" s="41">
        <v>46153.532916666663</v>
      </c>
      <c r="W1425" s="40">
        <v>45983</v>
      </c>
      <c r="X1425" s="35" t="s">
        <v>916</v>
      </c>
      <c r="Y1425" s="35" t="s">
        <v>916</v>
      </c>
      <c r="Z1425" s="35" t="s">
        <v>916</v>
      </c>
      <c r="AA1425" s="38">
        <v>930.36972222240001</v>
      </c>
      <c r="AB1425" s="42" t="s">
        <v>916</v>
      </c>
      <c r="AC1425" s="43" t="s">
        <v>916</v>
      </c>
      <c r="AD1425" s="43" t="s">
        <v>916</v>
      </c>
      <c r="AE1425" s="33" t="s">
        <v>3982</v>
      </c>
      <c r="AF1425" s="35" t="s">
        <v>916</v>
      </c>
      <c r="AG1425" s="44">
        <v>489941.63027777779</v>
      </c>
      <c r="AH1425" s="42" t="s">
        <v>916</v>
      </c>
      <c r="AI1425" s="32" t="e">
        <f>VLOOKUP(A1425,'4月明細'!B:B,1,0)</f>
        <v>#N/A</v>
      </c>
    </row>
    <row r="1426" spans="1:35" ht="19.95" customHeight="1" x14ac:dyDescent="0.3">
      <c r="A1426" s="33" t="s">
        <v>4985</v>
      </c>
      <c r="B1426" s="34">
        <v>45982.645810185182</v>
      </c>
      <c r="C1426" s="34" t="str">
        <f t="shared" si="35"/>
        <v>202511</v>
      </c>
      <c r="D1426" s="35" t="s">
        <v>1747</v>
      </c>
      <c r="E1426" s="36" t="s">
        <v>942</v>
      </c>
      <c r="F1426" s="36" t="s">
        <v>1581</v>
      </c>
      <c r="G1426" s="37" t="s">
        <v>4986</v>
      </c>
      <c r="H1426" s="36" t="s">
        <v>970</v>
      </c>
      <c r="I1426" s="35"/>
      <c r="J1426" s="36" t="s">
        <v>938</v>
      </c>
      <c r="K1426" s="33" t="s">
        <v>916</v>
      </c>
      <c r="L1426" s="35" t="s">
        <v>916</v>
      </c>
      <c r="M1426" s="36" t="s">
        <v>1039</v>
      </c>
      <c r="N1426" s="45">
        <v>46022</v>
      </c>
      <c r="O1426" s="36" t="s">
        <v>25</v>
      </c>
      <c r="P1426" s="38">
        <v>39.354189814800002</v>
      </c>
      <c r="Q1426" s="39" t="s">
        <v>4987</v>
      </c>
      <c r="R1426" s="35" t="s">
        <v>916</v>
      </c>
      <c r="S1426" s="35"/>
      <c r="T1426" s="35" t="s">
        <v>1701</v>
      </c>
      <c r="U1426" s="40">
        <v>45983</v>
      </c>
      <c r="V1426" s="41">
        <v>46153.532916666663</v>
      </c>
      <c r="W1426" s="40">
        <v>45982</v>
      </c>
      <c r="X1426" s="35" t="s">
        <v>916</v>
      </c>
      <c r="Y1426" s="35" t="s">
        <v>916</v>
      </c>
      <c r="Z1426" s="35" t="s">
        <v>916</v>
      </c>
      <c r="AA1426" s="38">
        <v>944.50055555519998</v>
      </c>
      <c r="AB1426" s="42" t="s">
        <v>916</v>
      </c>
      <c r="AC1426" s="43" t="s">
        <v>916</v>
      </c>
      <c r="AD1426" s="43" t="s">
        <v>916</v>
      </c>
      <c r="AE1426" s="33" t="s">
        <v>3982</v>
      </c>
      <c r="AF1426" s="35" t="s">
        <v>916</v>
      </c>
      <c r="AG1426" s="44">
        <v>489927.49944444437</v>
      </c>
      <c r="AH1426" s="42" t="s">
        <v>916</v>
      </c>
      <c r="AI1426" s="32" t="e">
        <f>VLOOKUP(A1426,'4月明細'!B:B,1,0)</f>
        <v>#N/A</v>
      </c>
    </row>
    <row r="1427" spans="1:35" ht="19.95" customHeight="1" x14ac:dyDescent="0.3">
      <c r="A1427" s="33" t="s">
        <v>4988</v>
      </c>
      <c r="B1427" s="34">
        <v>45982.613206018519</v>
      </c>
      <c r="C1427" s="34" t="str">
        <f t="shared" si="35"/>
        <v>202511</v>
      </c>
      <c r="D1427" s="35" t="s">
        <v>909</v>
      </c>
      <c r="E1427" s="36" t="s">
        <v>910</v>
      </c>
      <c r="F1427" s="36" t="s">
        <v>1354</v>
      </c>
      <c r="G1427" s="37" t="s">
        <v>4989</v>
      </c>
      <c r="H1427" s="36" t="s">
        <v>4990</v>
      </c>
      <c r="I1427" s="35" t="s">
        <v>4991</v>
      </c>
      <c r="J1427" s="36" t="s">
        <v>914</v>
      </c>
      <c r="K1427" s="33" t="s">
        <v>916</v>
      </c>
      <c r="L1427" s="35" t="s">
        <v>916</v>
      </c>
      <c r="M1427" s="36" t="s">
        <v>1039</v>
      </c>
      <c r="N1427" s="45">
        <v>46022</v>
      </c>
      <c r="O1427" s="36" t="s">
        <v>25</v>
      </c>
      <c r="P1427" s="38">
        <v>39.386793981499999</v>
      </c>
      <c r="Q1427" s="39" t="s">
        <v>4992</v>
      </c>
      <c r="R1427" s="35" t="s">
        <v>916</v>
      </c>
      <c r="S1427" s="35"/>
      <c r="T1427" s="35" t="s">
        <v>1624</v>
      </c>
      <c r="U1427" s="40">
        <v>45983</v>
      </c>
      <c r="V1427" s="41">
        <v>46153.532916666663</v>
      </c>
      <c r="W1427" s="40">
        <v>45982</v>
      </c>
      <c r="X1427" s="35" t="s">
        <v>916</v>
      </c>
      <c r="Y1427" s="35" t="s">
        <v>916</v>
      </c>
      <c r="Z1427" s="35" t="s">
        <v>916</v>
      </c>
      <c r="AA1427" s="38">
        <v>945.28305555600002</v>
      </c>
      <c r="AB1427" s="42" t="s">
        <v>916</v>
      </c>
      <c r="AC1427" s="43" t="s">
        <v>916</v>
      </c>
      <c r="AD1427" s="43" t="s">
        <v>916</v>
      </c>
      <c r="AE1427" s="33" t="s">
        <v>3982</v>
      </c>
      <c r="AF1427" s="35" t="s">
        <v>916</v>
      </c>
      <c r="AG1427" s="44">
        <v>489926.71694444452</v>
      </c>
      <c r="AH1427" s="42" t="s">
        <v>916</v>
      </c>
      <c r="AI1427" s="32" t="e">
        <f>VLOOKUP(A1427,'4月明細'!B:B,1,0)</f>
        <v>#N/A</v>
      </c>
    </row>
    <row r="1428" spans="1:35" ht="19.95" customHeight="1" x14ac:dyDescent="0.3">
      <c r="A1428" s="33" t="s">
        <v>4993</v>
      </c>
      <c r="B1428" s="34">
        <v>45982.590509259258</v>
      </c>
      <c r="C1428" s="34" t="str">
        <f t="shared" si="35"/>
        <v>202511</v>
      </c>
      <c r="D1428" s="35" t="s">
        <v>996</v>
      </c>
      <c r="E1428" s="36" t="s">
        <v>910</v>
      </c>
      <c r="F1428" s="36" t="s">
        <v>1870</v>
      </c>
      <c r="G1428" s="37" t="s">
        <v>3504</v>
      </c>
      <c r="H1428" s="36" t="s">
        <v>970</v>
      </c>
      <c r="I1428" s="35" t="s">
        <v>4994</v>
      </c>
      <c r="J1428" s="36" t="s">
        <v>914</v>
      </c>
      <c r="K1428" s="33" t="s">
        <v>916</v>
      </c>
      <c r="L1428" s="35" t="s">
        <v>916</v>
      </c>
      <c r="M1428" s="36" t="s">
        <v>916</v>
      </c>
      <c r="N1428" s="45">
        <v>46022</v>
      </c>
      <c r="O1428" s="36" t="s">
        <v>25</v>
      </c>
      <c r="P1428" s="38">
        <v>39.409490740700001</v>
      </c>
      <c r="Q1428" s="39" t="s">
        <v>4995</v>
      </c>
      <c r="R1428" s="35" t="s">
        <v>916</v>
      </c>
      <c r="S1428" s="35" t="s">
        <v>4996</v>
      </c>
      <c r="T1428" s="35" t="s">
        <v>1701</v>
      </c>
      <c r="U1428" s="40">
        <v>45983</v>
      </c>
      <c r="V1428" s="41">
        <v>46153.532916666663</v>
      </c>
      <c r="W1428" s="40">
        <v>45982</v>
      </c>
      <c r="X1428" s="35" t="s">
        <v>916</v>
      </c>
      <c r="Y1428" s="35" t="s">
        <v>916</v>
      </c>
      <c r="Z1428" s="35" t="s">
        <v>916</v>
      </c>
      <c r="AA1428" s="38">
        <v>945.82777777679996</v>
      </c>
      <c r="AB1428" s="42" t="s">
        <v>916</v>
      </c>
      <c r="AC1428" s="43" t="s">
        <v>916</v>
      </c>
      <c r="AD1428" s="43" t="s">
        <v>916</v>
      </c>
      <c r="AE1428" s="33" t="s">
        <v>3982</v>
      </c>
      <c r="AF1428" s="35" t="s">
        <v>916</v>
      </c>
      <c r="AG1428" s="44">
        <v>489926.1722222222</v>
      </c>
      <c r="AH1428" s="42" t="s">
        <v>916</v>
      </c>
      <c r="AI1428" s="32" t="e">
        <f>VLOOKUP(A1428,'4月明細'!B:B,1,0)</f>
        <v>#N/A</v>
      </c>
    </row>
    <row r="1429" spans="1:35" ht="19.95" customHeight="1" x14ac:dyDescent="0.3">
      <c r="A1429" s="33" t="s">
        <v>4997</v>
      </c>
      <c r="B1429" s="34">
        <v>45982.53869212963</v>
      </c>
      <c r="C1429" s="34" t="str">
        <f t="shared" si="35"/>
        <v>202511</v>
      </c>
      <c r="D1429" s="35" t="s">
        <v>909</v>
      </c>
      <c r="E1429" s="36" t="s">
        <v>910</v>
      </c>
      <c r="F1429" s="36" t="s">
        <v>1060</v>
      </c>
      <c r="G1429" s="37" t="s">
        <v>4998</v>
      </c>
      <c r="H1429" s="36" t="s">
        <v>3985</v>
      </c>
      <c r="I1429" s="35" t="s">
        <v>4999</v>
      </c>
      <c r="J1429" s="36" t="s">
        <v>914</v>
      </c>
      <c r="K1429" s="33" t="s">
        <v>916</v>
      </c>
      <c r="L1429" s="35" t="s">
        <v>916</v>
      </c>
      <c r="M1429" s="36" t="s">
        <v>916</v>
      </c>
      <c r="N1429" s="45">
        <v>46022</v>
      </c>
      <c r="O1429" s="36" t="s">
        <v>25</v>
      </c>
      <c r="P1429" s="38">
        <v>39.461307870399999</v>
      </c>
      <c r="Q1429" s="39" t="s">
        <v>5000</v>
      </c>
      <c r="R1429" s="35" t="s">
        <v>916</v>
      </c>
      <c r="S1429" s="35"/>
      <c r="T1429" s="35" t="s">
        <v>1701</v>
      </c>
      <c r="U1429" s="40">
        <v>45983</v>
      </c>
      <c r="V1429" s="41">
        <v>46153.532916666663</v>
      </c>
      <c r="W1429" s="40">
        <v>45982</v>
      </c>
      <c r="X1429" s="35" t="s">
        <v>916</v>
      </c>
      <c r="Y1429" s="35" t="s">
        <v>916</v>
      </c>
      <c r="Z1429" s="35" t="s">
        <v>916</v>
      </c>
      <c r="AA1429" s="38">
        <v>947.07138888960003</v>
      </c>
      <c r="AB1429" s="42" t="s">
        <v>916</v>
      </c>
      <c r="AC1429" s="43" t="s">
        <v>916</v>
      </c>
      <c r="AD1429" s="43" t="s">
        <v>916</v>
      </c>
      <c r="AE1429" s="33" t="s">
        <v>3982</v>
      </c>
      <c r="AF1429" s="35" t="s">
        <v>916</v>
      </c>
      <c r="AG1429" s="44">
        <v>489924.92861111113</v>
      </c>
      <c r="AH1429" s="42" t="s">
        <v>916</v>
      </c>
      <c r="AI1429" s="32" t="e">
        <f>VLOOKUP(A1429,'4月明細'!B:B,1,0)</f>
        <v>#N/A</v>
      </c>
    </row>
    <row r="1430" spans="1:35" ht="19.95" customHeight="1" x14ac:dyDescent="0.3">
      <c r="A1430" s="33" t="s">
        <v>5001</v>
      </c>
      <c r="B1430" s="34">
        <v>45982.523090277777</v>
      </c>
      <c r="C1430" s="34" t="str">
        <f t="shared" si="35"/>
        <v>202511</v>
      </c>
      <c r="D1430" s="35" t="s">
        <v>996</v>
      </c>
      <c r="E1430" s="36" t="s">
        <v>910</v>
      </c>
      <c r="F1430" s="36" t="s">
        <v>1419</v>
      </c>
      <c r="G1430" s="37" t="s">
        <v>1979</v>
      </c>
      <c r="H1430" s="36" t="s">
        <v>970</v>
      </c>
      <c r="I1430" s="35" t="s">
        <v>5002</v>
      </c>
      <c r="J1430" s="36" t="s">
        <v>914</v>
      </c>
      <c r="K1430" s="33" t="s">
        <v>916</v>
      </c>
      <c r="L1430" s="35" t="s">
        <v>916</v>
      </c>
      <c r="M1430" s="36" t="s">
        <v>916</v>
      </c>
      <c r="N1430" s="45">
        <v>46022</v>
      </c>
      <c r="O1430" s="36" t="s">
        <v>25</v>
      </c>
      <c r="P1430" s="38">
        <v>39.476909722199998</v>
      </c>
      <c r="Q1430" s="39" t="s">
        <v>5003</v>
      </c>
      <c r="R1430" s="35" t="s">
        <v>916</v>
      </c>
      <c r="S1430" s="35" t="s">
        <v>5004</v>
      </c>
      <c r="T1430" s="35" t="s">
        <v>1701</v>
      </c>
      <c r="U1430" s="40">
        <v>45983</v>
      </c>
      <c r="V1430" s="41">
        <v>46153.532916666663</v>
      </c>
      <c r="W1430" s="40">
        <v>45982</v>
      </c>
      <c r="X1430" s="35" t="s">
        <v>916</v>
      </c>
      <c r="Y1430" s="35" t="s">
        <v>916</v>
      </c>
      <c r="Z1430" s="35" t="s">
        <v>916</v>
      </c>
      <c r="AA1430" s="38">
        <v>947.44583333280002</v>
      </c>
      <c r="AB1430" s="42" t="s">
        <v>916</v>
      </c>
      <c r="AC1430" s="43" t="s">
        <v>916</v>
      </c>
      <c r="AD1430" s="43" t="s">
        <v>916</v>
      </c>
      <c r="AE1430" s="33" t="s">
        <v>3982</v>
      </c>
      <c r="AF1430" s="35" t="s">
        <v>916</v>
      </c>
      <c r="AG1430" s="44">
        <v>489924.55416666658</v>
      </c>
      <c r="AH1430" s="42" t="s">
        <v>916</v>
      </c>
      <c r="AI1430" s="32" t="e">
        <f>VLOOKUP(A1430,'4月明細'!B:B,1,0)</f>
        <v>#N/A</v>
      </c>
    </row>
    <row r="1431" spans="1:35" ht="19.95" customHeight="1" x14ac:dyDescent="0.3">
      <c r="A1431" s="33" t="s">
        <v>5005</v>
      </c>
      <c r="B1431" s="34">
        <v>45981.90053240741</v>
      </c>
      <c r="C1431" s="34" t="str">
        <f t="shared" si="35"/>
        <v>202511</v>
      </c>
      <c r="D1431" s="35" t="s">
        <v>1168</v>
      </c>
      <c r="E1431" s="36" t="s">
        <v>942</v>
      </c>
      <c r="F1431" s="36" t="s">
        <v>1213</v>
      </c>
      <c r="G1431" s="37" t="s">
        <v>5006</v>
      </c>
      <c r="H1431" s="36" t="s">
        <v>913</v>
      </c>
      <c r="I1431" s="35"/>
      <c r="J1431" s="36" t="s">
        <v>945</v>
      </c>
      <c r="K1431" s="33" t="s">
        <v>916</v>
      </c>
      <c r="L1431" s="35" t="s">
        <v>916</v>
      </c>
      <c r="M1431" s="36" t="s">
        <v>916</v>
      </c>
      <c r="N1431" s="45">
        <v>46022</v>
      </c>
      <c r="O1431" s="36" t="s">
        <v>25</v>
      </c>
      <c r="P1431" s="38">
        <v>40.0994675926</v>
      </c>
      <c r="Q1431" s="39" t="s">
        <v>1328</v>
      </c>
      <c r="R1431" s="35" t="s">
        <v>916</v>
      </c>
      <c r="S1431" s="35"/>
      <c r="T1431" s="35" t="s">
        <v>1701</v>
      </c>
      <c r="U1431" s="40">
        <v>45982</v>
      </c>
      <c r="V1431" s="41">
        <v>46153.532916666663</v>
      </c>
      <c r="W1431" s="40">
        <v>45982</v>
      </c>
      <c r="X1431" s="35" t="s">
        <v>916</v>
      </c>
      <c r="Y1431" s="35" t="s">
        <v>916</v>
      </c>
      <c r="Z1431" s="35" t="s">
        <v>916</v>
      </c>
      <c r="AA1431" s="38">
        <v>962.38722222240006</v>
      </c>
      <c r="AB1431" s="42" t="s">
        <v>916</v>
      </c>
      <c r="AC1431" s="43" t="s">
        <v>916</v>
      </c>
      <c r="AD1431" s="43" t="s">
        <v>916</v>
      </c>
      <c r="AE1431" s="33" t="s">
        <v>3982</v>
      </c>
      <c r="AF1431" s="35" t="s">
        <v>916</v>
      </c>
      <c r="AG1431" s="44">
        <v>489909.61277777777</v>
      </c>
      <c r="AH1431" s="42" t="s">
        <v>916</v>
      </c>
      <c r="AI1431" s="32" t="e">
        <f>VLOOKUP(A1431,'4月明細'!B:B,1,0)</f>
        <v>#N/A</v>
      </c>
    </row>
    <row r="1432" spans="1:35" ht="19.95" customHeight="1" x14ac:dyDescent="0.3">
      <c r="A1432" s="33" t="s">
        <v>5007</v>
      </c>
      <c r="B1432" s="34">
        <v>45981.880601851852</v>
      </c>
      <c r="C1432" s="34" t="str">
        <f t="shared" si="35"/>
        <v>202511</v>
      </c>
      <c r="D1432" s="35" t="s">
        <v>5008</v>
      </c>
      <c r="E1432" s="36" t="s">
        <v>942</v>
      </c>
      <c r="F1432" s="36" t="s">
        <v>1967</v>
      </c>
      <c r="G1432" s="37" t="s">
        <v>5009</v>
      </c>
      <c r="H1432" s="36" t="s">
        <v>970</v>
      </c>
      <c r="I1432" s="35"/>
      <c r="J1432" s="36" t="s">
        <v>945</v>
      </c>
      <c r="K1432" s="33" t="s">
        <v>916</v>
      </c>
      <c r="L1432" s="35" t="s">
        <v>916</v>
      </c>
      <c r="M1432" s="36" t="s">
        <v>916</v>
      </c>
      <c r="N1432" s="45">
        <v>46022</v>
      </c>
      <c r="O1432" s="36" t="s">
        <v>25</v>
      </c>
      <c r="P1432" s="38">
        <v>40.119398148099997</v>
      </c>
      <c r="Q1432" s="39" t="s">
        <v>5010</v>
      </c>
      <c r="R1432" s="35" t="s">
        <v>916</v>
      </c>
      <c r="S1432" s="35"/>
      <c r="T1432" s="35" t="s">
        <v>1701</v>
      </c>
      <c r="U1432" s="40">
        <v>45982</v>
      </c>
      <c r="V1432" s="41">
        <v>46153.532916666663</v>
      </c>
      <c r="W1432" s="40">
        <v>45982</v>
      </c>
      <c r="X1432" s="35" t="s">
        <v>916</v>
      </c>
      <c r="Y1432" s="35" t="s">
        <v>916</v>
      </c>
      <c r="Z1432" s="35" t="s">
        <v>916</v>
      </c>
      <c r="AA1432" s="38">
        <v>962.86555555439998</v>
      </c>
      <c r="AB1432" s="42" t="s">
        <v>916</v>
      </c>
      <c r="AC1432" s="43" t="s">
        <v>916</v>
      </c>
      <c r="AD1432" s="43" t="s">
        <v>916</v>
      </c>
      <c r="AE1432" s="33" t="s">
        <v>3982</v>
      </c>
      <c r="AF1432" s="35" t="s">
        <v>916</v>
      </c>
      <c r="AG1432" s="44">
        <v>489909.13444444438</v>
      </c>
      <c r="AH1432" s="42" t="s">
        <v>916</v>
      </c>
      <c r="AI1432" s="32" t="e">
        <f>VLOOKUP(A1432,'4月明細'!B:B,1,0)</f>
        <v>#N/A</v>
      </c>
    </row>
    <row r="1433" spans="1:35" ht="19.95" customHeight="1" x14ac:dyDescent="0.3">
      <c r="A1433" s="33" t="s">
        <v>5011</v>
      </c>
      <c r="B1433" s="34">
        <v>45981.859606481485</v>
      </c>
      <c r="C1433" s="34" t="str">
        <f t="shared" si="35"/>
        <v>202511</v>
      </c>
      <c r="D1433" s="35" t="s">
        <v>1510</v>
      </c>
      <c r="E1433" s="36" t="s">
        <v>942</v>
      </c>
      <c r="F1433" s="36" t="s">
        <v>1000</v>
      </c>
      <c r="G1433" s="37" t="s">
        <v>5012</v>
      </c>
      <c r="H1433" s="36" t="s">
        <v>970</v>
      </c>
      <c r="I1433" s="35"/>
      <c r="J1433" s="36" t="s">
        <v>945</v>
      </c>
      <c r="K1433" s="33" t="s">
        <v>916</v>
      </c>
      <c r="L1433" s="35" t="s">
        <v>916</v>
      </c>
      <c r="M1433" s="36" t="s">
        <v>916</v>
      </c>
      <c r="N1433" s="45">
        <v>46022</v>
      </c>
      <c r="O1433" s="36" t="s">
        <v>25</v>
      </c>
      <c r="P1433" s="38">
        <v>40.140393518499998</v>
      </c>
      <c r="Q1433" s="39" t="s">
        <v>5013</v>
      </c>
      <c r="R1433" s="35" t="s">
        <v>916</v>
      </c>
      <c r="S1433" s="35"/>
      <c r="T1433" s="35" t="s">
        <v>1701</v>
      </c>
      <c r="U1433" s="40">
        <v>45982</v>
      </c>
      <c r="V1433" s="41">
        <v>46153.532916666663</v>
      </c>
      <c r="W1433" s="40">
        <v>45982</v>
      </c>
      <c r="X1433" s="35" t="s">
        <v>916</v>
      </c>
      <c r="Y1433" s="35" t="s">
        <v>916</v>
      </c>
      <c r="Z1433" s="35" t="s">
        <v>916</v>
      </c>
      <c r="AA1433" s="38">
        <v>963.36944444400001</v>
      </c>
      <c r="AB1433" s="42" t="s">
        <v>916</v>
      </c>
      <c r="AC1433" s="43" t="s">
        <v>916</v>
      </c>
      <c r="AD1433" s="43" t="s">
        <v>916</v>
      </c>
      <c r="AE1433" s="33" t="s">
        <v>3982</v>
      </c>
      <c r="AF1433" s="35" t="s">
        <v>916</v>
      </c>
      <c r="AG1433" s="44">
        <v>489908.63055555557</v>
      </c>
      <c r="AH1433" s="42" t="s">
        <v>916</v>
      </c>
      <c r="AI1433" s="32" t="e">
        <f>VLOOKUP(A1433,'4月明細'!B:B,1,0)</f>
        <v>#N/A</v>
      </c>
    </row>
    <row r="1434" spans="1:35" ht="19.95" customHeight="1" x14ac:dyDescent="0.3">
      <c r="A1434" s="33" t="s">
        <v>5014</v>
      </c>
      <c r="B1434" s="34">
        <v>45981.859131944446</v>
      </c>
      <c r="C1434" s="34" t="str">
        <f t="shared" si="35"/>
        <v>202511</v>
      </c>
      <c r="D1434" s="35" t="s">
        <v>1510</v>
      </c>
      <c r="E1434" s="36" t="s">
        <v>942</v>
      </c>
      <c r="F1434" s="36" t="s">
        <v>911</v>
      </c>
      <c r="G1434" s="37" t="s">
        <v>5015</v>
      </c>
      <c r="H1434" s="36" t="s">
        <v>913</v>
      </c>
      <c r="I1434" s="35"/>
      <c r="J1434" s="36" t="s">
        <v>945</v>
      </c>
      <c r="K1434" s="33" t="s">
        <v>916</v>
      </c>
      <c r="L1434" s="35" t="s">
        <v>916</v>
      </c>
      <c r="M1434" s="36" t="s">
        <v>916</v>
      </c>
      <c r="N1434" s="45">
        <v>46022</v>
      </c>
      <c r="O1434" s="36" t="s">
        <v>25</v>
      </c>
      <c r="P1434" s="38">
        <v>40.140868055600002</v>
      </c>
      <c r="Q1434" s="39" t="s">
        <v>5016</v>
      </c>
      <c r="R1434" s="35" t="s">
        <v>916</v>
      </c>
      <c r="S1434" s="35"/>
      <c r="T1434" s="35" t="s">
        <v>1701</v>
      </c>
      <c r="U1434" s="40">
        <v>45982</v>
      </c>
      <c r="V1434" s="41">
        <v>46153.532916666663</v>
      </c>
      <c r="W1434" s="40">
        <v>45982</v>
      </c>
      <c r="X1434" s="35" t="s">
        <v>916</v>
      </c>
      <c r="Y1434" s="35" t="s">
        <v>916</v>
      </c>
      <c r="Z1434" s="35" t="s">
        <v>916</v>
      </c>
      <c r="AA1434" s="38">
        <v>963.38083333439999</v>
      </c>
      <c r="AB1434" s="42" t="s">
        <v>916</v>
      </c>
      <c r="AC1434" s="43" t="s">
        <v>916</v>
      </c>
      <c r="AD1434" s="43" t="s">
        <v>916</v>
      </c>
      <c r="AE1434" s="33" t="s">
        <v>3982</v>
      </c>
      <c r="AF1434" s="35" t="s">
        <v>916</v>
      </c>
      <c r="AG1434" s="44">
        <v>489908.6191666667</v>
      </c>
      <c r="AH1434" s="42" t="s">
        <v>916</v>
      </c>
      <c r="AI1434" s="32" t="e">
        <f>VLOOKUP(A1434,'4月明細'!B:B,1,0)</f>
        <v>#N/A</v>
      </c>
    </row>
    <row r="1435" spans="1:35" ht="19.95" customHeight="1" x14ac:dyDescent="0.3">
      <c r="A1435" s="33" t="s">
        <v>5017</v>
      </c>
      <c r="B1435" s="34">
        <v>45981.858726851853</v>
      </c>
      <c r="C1435" s="34" t="str">
        <f t="shared" si="35"/>
        <v>202511</v>
      </c>
      <c r="D1435" s="35" t="s">
        <v>1510</v>
      </c>
      <c r="E1435" s="36" t="s">
        <v>942</v>
      </c>
      <c r="F1435" s="36" t="s">
        <v>964</v>
      </c>
      <c r="G1435" s="37" t="s">
        <v>5018</v>
      </c>
      <c r="H1435" s="36" t="s">
        <v>970</v>
      </c>
      <c r="I1435" s="35"/>
      <c r="J1435" s="36" t="s">
        <v>945</v>
      </c>
      <c r="K1435" s="33" t="s">
        <v>916</v>
      </c>
      <c r="L1435" s="35" t="s">
        <v>916</v>
      </c>
      <c r="M1435" s="36" t="s">
        <v>916</v>
      </c>
      <c r="N1435" s="45">
        <v>46022</v>
      </c>
      <c r="O1435" s="36" t="s">
        <v>25</v>
      </c>
      <c r="P1435" s="38">
        <v>40.141273148099998</v>
      </c>
      <c r="Q1435" s="39" t="s">
        <v>5019</v>
      </c>
      <c r="R1435" s="35" t="s">
        <v>916</v>
      </c>
      <c r="S1435" s="35"/>
      <c r="T1435" s="35" t="s">
        <v>1701</v>
      </c>
      <c r="U1435" s="40">
        <v>45982</v>
      </c>
      <c r="V1435" s="41">
        <v>46153.532916666663</v>
      </c>
      <c r="W1435" s="40">
        <v>45982</v>
      </c>
      <c r="X1435" s="35" t="s">
        <v>916</v>
      </c>
      <c r="Y1435" s="35" t="s">
        <v>916</v>
      </c>
      <c r="Z1435" s="35" t="s">
        <v>916</v>
      </c>
      <c r="AA1435" s="38">
        <v>963.39055555439995</v>
      </c>
      <c r="AB1435" s="42" t="s">
        <v>916</v>
      </c>
      <c r="AC1435" s="43" t="s">
        <v>916</v>
      </c>
      <c r="AD1435" s="43" t="s">
        <v>916</v>
      </c>
      <c r="AE1435" s="33" t="s">
        <v>3982</v>
      </c>
      <c r="AF1435" s="35" t="s">
        <v>916</v>
      </c>
      <c r="AG1435" s="44">
        <v>489908.60944444448</v>
      </c>
      <c r="AH1435" s="42" t="s">
        <v>916</v>
      </c>
      <c r="AI1435" s="32" t="e">
        <f>VLOOKUP(A1435,'4月明細'!B:B,1,0)</f>
        <v>#N/A</v>
      </c>
    </row>
    <row r="1436" spans="1:35" ht="19.95" customHeight="1" x14ac:dyDescent="0.3">
      <c r="A1436" s="33" t="s">
        <v>5020</v>
      </c>
      <c r="B1436" s="34">
        <v>45981.765856481485</v>
      </c>
      <c r="C1436" s="34" t="str">
        <f t="shared" si="35"/>
        <v>202511</v>
      </c>
      <c r="D1436" s="35" t="s">
        <v>1168</v>
      </c>
      <c r="E1436" s="36" t="s">
        <v>942</v>
      </c>
      <c r="F1436" s="36" t="s">
        <v>1591</v>
      </c>
      <c r="G1436" s="37" t="s">
        <v>5021</v>
      </c>
      <c r="H1436" s="36" t="s">
        <v>913</v>
      </c>
      <c r="I1436" s="35"/>
      <c r="J1436" s="36" t="s">
        <v>945</v>
      </c>
      <c r="K1436" s="33" t="s">
        <v>916</v>
      </c>
      <c r="L1436" s="35" t="s">
        <v>916</v>
      </c>
      <c r="M1436" s="36" t="s">
        <v>916</v>
      </c>
      <c r="N1436" s="45">
        <v>46022</v>
      </c>
      <c r="O1436" s="36" t="s">
        <v>25</v>
      </c>
      <c r="P1436" s="38">
        <v>40.234143518499998</v>
      </c>
      <c r="Q1436" s="39" t="s">
        <v>5022</v>
      </c>
      <c r="R1436" s="35" t="s">
        <v>916</v>
      </c>
      <c r="S1436" s="35"/>
      <c r="T1436" s="35" t="s">
        <v>1701</v>
      </c>
      <c r="U1436" s="40">
        <v>45982</v>
      </c>
      <c r="V1436" s="41">
        <v>46153.532916666663</v>
      </c>
      <c r="W1436" s="40">
        <v>45981</v>
      </c>
      <c r="X1436" s="35" t="s">
        <v>916</v>
      </c>
      <c r="Y1436" s="35" t="s">
        <v>916</v>
      </c>
      <c r="Z1436" s="35" t="s">
        <v>916</v>
      </c>
      <c r="AA1436" s="38">
        <v>965.61944444400001</v>
      </c>
      <c r="AB1436" s="42" t="s">
        <v>916</v>
      </c>
      <c r="AC1436" s="43" t="s">
        <v>916</v>
      </c>
      <c r="AD1436" s="43" t="s">
        <v>916</v>
      </c>
      <c r="AE1436" s="33" t="s">
        <v>3982</v>
      </c>
      <c r="AF1436" s="35" t="s">
        <v>916</v>
      </c>
      <c r="AG1436" s="44">
        <v>489906.38055555557</v>
      </c>
      <c r="AH1436" s="42" t="s">
        <v>916</v>
      </c>
      <c r="AI1436" s="32" t="e">
        <f>VLOOKUP(A1436,'4月明細'!B:B,1,0)</f>
        <v>#N/A</v>
      </c>
    </row>
    <row r="1437" spans="1:35" ht="19.95" customHeight="1" x14ac:dyDescent="0.3">
      <c r="A1437" s="33" t="s">
        <v>5023</v>
      </c>
      <c r="B1437" s="34">
        <v>45981.706724537034</v>
      </c>
      <c r="C1437" s="34" t="str">
        <f t="shared" si="35"/>
        <v>202511</v>
      </c>
      <c r="D1437" s="35" t="s">
        <v>1510</v>
      </c>
      <c r="E1437" s="36" t="s">
        <v>942</v>
      </c>
      <c r="F1437" s="36" t="s">
        <v>1830</v>
      </c>
      <c r="G1437" s="37" t="s">
        <v>5024</v>
      </c>
      <c r="H1437" s="36" t="s">
        <v>913</v>
      </c>
      <c r="I1437" s="35"/>
      <c r="J1437" s="36" t="s">
        <v>945</v>
      </c>
      <c r="K1437" s="33" t="s">
        <v>916</v>
      </c>
      <c r="L1437" s="35" t="s">
        <v>916</v>
      </c>
      <c r="M1437" s="36" t="s">
        <v>916</v>
      </c>
      <c r="N1437" s="45">
        <v>46022</v>
      </c>
      <c r="O1437" s="36" t="s">
        <v>25</v>
      </c>
      <c r="P1437" s="38">
        <v>40.293275463000001</v>
      </c>
      <c r="Q1437" s="39" t="s">
        <v>5025</v>
      </c>
      <c r="R1437" s="35" t="s">
        <v>916</v>
      </c>
      <c r="S1437" s="35"/>
      <c r="T1437" s="35" t="s">
        <v>1701</v>
      </c>
      <c r="U1437" s="40">
        <v>45982</v>
      </c>
      <c r="V1437" s="41">
        <v>46153.532916666663</v>
      </c>
      <c r="W1437" s="40">
        <v>45981</v>
      </c>
      <c r="X1437" s="35" t="s">
        <v>916</v>
      </c>
      <c r="Y1437" s="35" t="s">
        <v>916</v>
      </c>
      <c r="Z1437" s="35" t="s">
        <v>916</v>
      </c>
      <c r="AA1437" s="38">
        <v>967.03861111200001</v>
      </c>
      <c r="AB1437" s="42" t="s">
        <v>916</v>
      </c>
      <c r="AC1437" s="43" t="s">
        <v>916</v>
      </c>
      <c r="AD1437" s="43" t="s">
        <v>916</v>
      </c>
      <c r="AE1437" s="33" t="s">
        <v>3982</v>
      </c>
      <c r="AF1437" s="35" t="s">
        <v>916</v>
      </c>
      <c r="AG1437" s="44">
        <v>489904.96138888889</v>
      </c>
      <c r="AH1437" s="42" t="s">
        <v>916</v>
      </c>
      <c r="AI1437" s="32" t="e">
        <f>VLOOKUP(A1437,'4月明細'!B:B,1,0)</f>
        <v>#N/A</v>
      </c>
    </row>
    <row r="1438" spans="1:35" ht="19.95" customHeight="1" x14ac:dyDescent="0.3">
      <c r="A1438" s="33" t="s">
        <v>5026</v>
      </c>
      <c r="B1438" s="34">
        <v>45981.677499999998</v>
      </c>
      <c r="C1438" s="34" t="str">
        <f t="shared" si="35"/>
        <v>202511</v>
      </c>
      <c r="D1438" s="35" t="s">
        <v>996</v>
      </c>
      <c r="E1438" s="36" t="s">
        <v>910</v>
      </c>
      <c r="F1438" s="36" t="s">
        <v>1546</v>
      </c>
      <c r="G1438" s="37" t="s">
        <v>1550</v>
      </c>
      <c r="H1438" s="36" t="s">
        <v>3985</v>
      </c>
      <c r="I1438" s="35" t="s">
        <v>5027</v>
      </c>
      <c r="J1438" s="36" t="s">
        <v>914</v>
      </c>
      <c r="K1438" s="33" t="s">
        <v>916</v>
      </c>
      <c r="L1438" s="35" t="s">
        <v>916</v>
      </c>
      <c r="M1438" s="36" t="s">
        <v>916</v>
      </c>
      <c r="N1438" s="45">
        <v>46022</v>
      </c>
      <c r="O1438" s="36" t="s">
        <v>25</v>
      </c>
      <c r="P1438" s="38">
        <v>40.322499999999998</v>
      </c>
      <c r="Q1438" s="39" t="s">
        <v>5028</v>
      </c>
      <c r="R1438" s="35" t="s">
        <v>916</v>
      </c>
      <c r="S1438" s="35" t="s">
        <v>5029</v>
      </c>
      <c r="T1438" s="35" t="s">
        <v>1701</v>
      </c>
      <c r="U1438" s="40">
        <v>45982</v>
      </c>
      <c r="V1438" s="41">
        <v>46153.532916666663</v>
      </c>
      <c r="W1438" s="40">
        <v>45981</v>
      </c>
      <c r="X1438" s="35" t="s">
        <v>916</v>
      </c>
      <c r="Y1438" s="35" t="s">
        <v>916</v>
      </c>
      <c r="Z1438" s="35" t="s">
        <v>916</v>
      </c>
      <c r="AA1438" s="38">
        <v>967.74</v>
      </c>
      <c r="AB1438" s="42" t="s">
        <v>916</v>
      </c>
      <c r="AC1438" s="43" t="s">
        <v>916</v>
      </c>
      <c r="AD1438" s="43" t="s">
        <v>916</v>
      </c>
      <c r="AE1438" s="33" t="s">
        <v>3982</v>
      </c>
      <c r="AF1438" s="35" t="s">
        <v>916</v>
      </c>
      <c r="AG1438" s="44">
        <v>489904.26</v>
      </c>
      <c r="AH1438" s="42" t="s">
        <v>916</v>
      </c>
      <c r="AI1438" s="32" t="e">
        <f>VLOOKUP(A1438,'4月明細'!B:B,1,0)</f>
        <v>#N/A</v>
      </c>
    </row>
    <row r="1439" spans="1:35" ht="19.95" customHeight="1" x14ac:dyDescent="0.3">
      <c r="A1439" s="33" t="s">
        <v>5030</v>
      </c>
      <c r="B1439" s="34">
        <v>45981.612002314818</v>
      </c>
      <c r="C1439" s="34" t="str">
        <f t="shared" si="35"/>
        <v>202511</v>
      </c>
      <c r="D1439" s="35" t="s">
        <v>5031</v>
      </c>
      <c r="E1439" s="36" t="s">
        <v>910</v>
      </c>
      <c r="F1439" s="36" t="s">
        <v>1588</v>
      </c>
      <c r="G1439" s="37" t="s">
        <v>5032</v>
      </c>
      <c r="H1439" s="36" t="s">
        <v>3985</v>
      </c>
      <c r="I1439" s="35"/>
      <c r="J1439" s="36" t="s">
        <v>914</v>
      </c>
      <c r="K1439" s="33" t="s">
        <v>916</v>
      </c>
      <c r="L1439" s="35" t="s">
        <v>916</v>
      </c>
      <c r="M1439" s="36" t="s">
        <v>916</v>
      </c>
      <c r="N1439" s="45">
        <v>46022</v>
      </c>
      <c r="O1439" s="36" t="s">
        <v>25</v>
      </c>
      <c r="P1439" s="38">
        <v>40.387997685199998</v>
      </c>
      <c r="Q1439" s="39" t="s">
        <v>5033</v>
      </c>
      <c r="R1439" s="35" t="s">
        <v>916</v>
      </c>
      <c r="S1439" s="35"/>
      <c r="T1439" s="35" t="s">
        <v>1701</v>
      </c>
      <c r="U1439" s="40">
        <v>45982</v>
      </c>
      <c r="V1439" s="41">
        <v>46153.532916666663</v>
      </c>
      <c r="W1439" s="40">
        <v>45981</v>
      </c>
      <c r="X1439" s="35" t="s">
        <v>916</v>
      </c>
      <c r="Y1439" s="35" t="s">
        <v>916</v>
      </c>
      <c r="Z1439" s="35" t="s">
        <v>916</v>
      </c>
      <c r="AA1439" s="38">
        <v>969.31194444480002</v>
      </c>
      <c r="AB1439" s="42" t="s">
        <v>916</v>
      </c>
      <c r="AC1439" s="43" t="s">
        <v>916</v>
      </c>
      <c r="AD1439" s="43" t="s">
        <v>916</v>
      </c>
      <c r="AE1439" s="33" t="s">
        <v>3982</v>
      </c>
      <c r="AF1439" s="35" t="s">
        <v>916</v>
      </c>
      <c r="AG1439" s="44">
        <v>489902.68805555563</v>
      </c>
      <c r="AH1439" s="42" t="s">
        <v>916</v>
      </c>
      <c r="AI1439" s="32" t="e">
        <f>VLOOKUP(A1439,'4月明細'!B:B,1,0)</f>
        <v>#N/A</v>
      </c>
    </row>
    <row r="1440" spans="1:35" ht="19.95" customHeight="1" x14ac:dyDescent="0.3">
      <c r="A1440" s="33" t="s">
        <v>5034</v>
      </c>
      <c r="B1440" s="34">
        <v>45981.587280092594</v>
      </c>
      <c r="C1440" s="34" t="str">
        <f t="shared" si="35"/>
        <v>202511</v>
      </c>
      <c r="D1440" s="35" t="s">
        <v>2278</v>
      </c>
      <c r="E1440" s="36" t="s">
        <v>910</v>
      </c>
      <c r="F1440" s="36" t="s">
        <v>1890</v>
      </c>
      <c r="G1440" s="37" t="s">
        <v>5035</v>
      </c>
      <c r="H1440" s="36" t="s">
        <v>1079</v>
      </c>
      <c r="I1440" s="35"/>
      <c r="J1440" s="36" t="s">
        <v>914</v>
      </c>
      <c r="K1440" s="33" t="s">
        <v>916</v>
      </c>
      <c r="L1440" s="35" t="s">
        <v>916</v>
      </c>
      <c r="M1440" s="36" t="s">
        <v>916</v>
      </c>
      <c r="N1440" s="45">
        <v>46022</v>
      </c>
      <c r="O1440" s="36" t="s">
        <v>25</v>
      </c>
      <c r="P1440" s="38">
        <v>40.412719907400003</v>
      </c>
      <c r="Q1440" s="39" t="s">
        <v>5036</v>
      </c>
      <c r="R1440" s="35" t="s">
        <v>916</v>
      </c>
      <c r="S1440" s="35"/>
      <c r="T1440" s="35" t="s">
        <v>1701</v>
      </c>
      <c r="U1440" s="40">
        <v>45982</v>
      </c>
      <c r="V1440" s="41">
        <v>46153.532916666663</v>
      </c>
      <c r="W1440" s="40">
        <v>45981</v>
      </c>
      <c r="X1440" s="35" t="s">
        <v>916</v>
      </c>
      <c r="Y1440" s="35" t="s">
        <v>916</v>
      </c>
      <c r="Z1440" s="35" t="s">
        <v>916</v>
      </c>
      <c r="AA1440" s="38">
        <v>969.90527777759996</v>
      </c>
      <c r="AB1440" s="42" t="s">
        <v>916</v>
      </c>
      <c r="AC1440" s="43" t="s">
        <v>916</v>
      </c>
      <c r="AD1440" s="43" t="s">
        <v>916</v>
      </c>
      <c r="AE1440" s="33" t="s">
        <v>3982</v>
      </c>
      <c r="AF1440" s="35" t="s">
        <v>916</v>
      </c>
      <c r="AG1440" s="44">
        <v>489902.09472222219</v>
      </c>
      <c r="AH1440" s="42" t="s">
        <v>916</v>
      </c>
      <c r="AI1440" s="32" t="e">
        <f>VLOOKUP(A1440,'4月明細'!B:B,1,0)</f>
        <v>#N/A</v>
      </c>
    </row>
    <row r="1441" spans="1:35" ht="19.95" customHeight="1" x14ac:dyDescent="0.3">
      <c r="A1441" s="33" t="s">
        <v>5037</v>
      </c>
      <c r="B1441" s="34">
        <v>45981.541979166665</v>
      </c>
      <c r="C1441" s="34" t="str">
        <f t="shared" si="35"/>
        <v>202511</v>
      </c>
      <c r="D1441" s="35" t="s">
        <v>996</v>
      </c>
      <c r="E1441" s="36" t="s">
        <v>910</v>
      </c>
      <c r="F1441" s="36" t="s">
        <v>2298</v>
      </c>
      <c r="G1441" s="37" t="s">
        <v>5038</v>
      </c>
      <c r="H1441" s="36" t="s">
        <v>4162</v>
      </c>
      <c r="I1441" s="35"/>
      <c r="J1441" s="36" t="s">
        <v>914</v>
      </c>
      <c r="K1441" s="33" t="s">
        <v>916</v>
      </c>
      <c r="L1441" s="35" t="s">
        <v>916</v>
      </c>
      <c r="M1441" s="36" t="s">
        <v>1039</v>
      </c>
      <c r="N1441" s="45">
        <v>46022</v>
      </c>
      <c r="O1441" s="36" t="s">
        <v>25</v>
      </c>
      <c r="P1441" s="38">
        <v>40.458020833299997</v>
      </c>
      <c r="Q1441" s="39" t="s">
        <v>5039</v>
      </c>
      <c r="R1441" s="35" t="s">
        <v>916</v>
      </c>
      <c r="S1441" s="35"/>
      <c r="T1441" s="35" t="s">
        <v>1701</v>
      </c>
      <c r="U1441" s="40">
        <v>45982</v>
      </c>
      <c r="V1441" s="41">
        <v>46153.532916666663</v>
      </c>
      <c r="W1441" s="40">
        <v>45981</v>
      </c>
      <c r="X1441" s="35" t="s">
        <v>916</v>
      </c>
      <c r="Y1441" s="35" t="s">
        <v>916</v>
      </c>
      <c r="Z1441" s="35" t="s">
        <v>916</v>
      </c>
      <c r="AA1441" s="38">
        <v>970.99249999920005</v>
      </c>
      <c r="AB1441" s="42" t="s">
        <v>916</v>
      </c>
      <c r="AC1441" s="43" t="s">
        <v>916</v>
      </c>
      <c r="AD1441" s="43" t="s">
        <v>916</v>
      </c>
      <c r="AE1441" s="33" t="s">
        <v>3982</v>
      </c>
      <c r="AF1441" s="35" t="s">
        <v>916</v>
      </c>
      <c r="AG1441" s="44">
        <v>489901.00750000012</v>
      </c>
      <c r="AH1441" s="42" t="s">
        <v>916</v>
      </c>
      <c r="AI1441" s="32" t="e">
        <f>VLOOKUP(A1441,'4月明細'!B:B,1,0)</f>
        <v>#N/A</v>
      </c>
    </row>
    <row r="1442" spans="1:35" ht="19.95" customHeight="1" x14ac:dyDescent="0.3">
      <c r="A1442" s="33" t="s">
        <v>5040</v>
      </c>
      <c r="B1442" s="34">
        <v>45981.435590277775</v>
      </c>
      <c r="C1442" s="34" t="str">
        <f t="shared" si="35"/>
        <v>202511</v>
      </c>
      <c r="D1442" s="35" t="s">
        <v>951</v>
      </c>
      <c r="E1442" s="36" t="s">
        <v>910</v>
      </c>
      <c r="F1442" s="36" t="s">
        <v>1138</v>
      </c>
      <c r="G1442" s="37" t="s">
        <v>5041</v>
      </c>
      <c r="H1442" s="36" t="s">
        <v>4185</v>
      </c>
      <c r="I1442" s="35" t="s">
        <v>5042</v>
      </c>
      <c r="J1442" s="36" t="s">
        <v>914</v>
      </c>
      <c r="K1442" s="33" t="s">
        <v>916</v>
      </c>
      <c r="L1442" s="35" t="s">
        <v>916</v>
      </c>
      <c r="M1442" s="36" t="s">
        <v>1039</v>
      </c>
      <c r="N1442" s="45">
        <v>46022</v>
      </c>
      <c r="O1442" s="36" t="s">
        <v>25</v>
      </c>
      <c r="P1442" s="38">
        <v>40.564409722199997</v>
      </c>
      <c r="Q1442" s="39" t="s">
        <v>5043</v>
      </c>
      <c r="R1442" s="35" t="s">
        <v>916</v>
      </c>
      <c r="S1442" s="35" t="s">
        <v>5044</v>
      </c>
      <c r="T1442" s="35" t="s">
        <v>1701</v>
      </c>
      <c r="U1442" s="40">
        <v>45982</v>
      </c>
      <c r="V1442" s="41">
        <v>46153.532916666663</v>
      </c>
      <c r="W1442" s="40">
        <v>45981</v>
      </c>
      <c r="X1442" s="35" t="s">
        <v>916</v>
      </c>
      <c r="Y1442" s="35" t="s">
        <v>916</v>
      </c>
      <c r="Z1442" s="35" t="s">
        <v>916</v>
      </c>
      <c r="AA1442" s="38">
        <v>973.54583333280004</v>
      </c>
      <c r="AB1442" s="42" t="s">
        <v>916</v>
      </c>
      <c r="AC1442" s="43" t="s">
        <v>916</v>
      </c>
      <c r="AD1442" s="43" t="s">
        <v>916</v>
      </c>
      <c r="AE1442" s="33" t="s">
        <v>3982</v>
      </c>
      <c r="AF1442" s="35" t="s">
        <v>916</v>
      </c>
      <c r="AG1442" s="44">
        <v>489898.45416666672</v>
      </c>
      <c r="AH1442" s="42" t="s">
        <v>916</v>
      </c>
      <c r="AI1442" s="32" t="e">
        <f>VLOOKUP(A1442,'4月明細'!B:B,1,0)</f>
        <v>#N/A</v>
      </c>
    </row>
    <row r="1443" spans="1:35" ht="19.95" customHeight="1" x14ac:dyDescent="0.3">
      <c r="A1443" s="33" t="s">
        <v>5045</v>
      </c>
      <c r="B1443" s="34">
        <v>45981.435162037036</v>
      </c>
      <c r="C1443" s="34" t="str">
        <f t="shared" si="35"/>
        <v>202511</v>
      </c>
      <c r="D1443" s="35" t="s">
        <v>951</v>
      </c>
      <c r="E1443" s="36" t="s">
        <v>910</v>
      </c>
      <c r="F1443" s="36" t="s">
        <v>1350</v>
      </c>
      <c r="G1443" s="37" t="s">
        <v>5046</v>
      </c>
      <c r="H1443" s="36" t="s">
        <v>970</v>
      </c>
      <c r="I1443" s="35"/>
      <c r="J1443" s="36" t="s">
        <v>914</v>
      </c>
      <c r="K1443" s="33" t="s">
        <v>916</v>
      </c>
      <c r="L1443" s="35" t="s">
        <v>916</v>
      </c>
      <c r="M1443" s="36" t="s">
        <v>1039</v>
      </c>
      <c r="N1443" s="45">
        <v>46022</v>
      </c>
      <c r="O1443" s="36" t="s">
        <v>25</v>
      </c>
      <c r="P1443" s="38">
        <v>40.564837963000002</v>
      </c>
      <c r="Q1443" s="39" t="s">
        <v>5047</v>
      </c>
      <c r="R1443" s="35" t="s">
        <v>916</v>
      </c>
      <c r="S1443" s="35"/>
      <c r="T1443" s="35" t="s">
        <v>1701</v>
      </c>
      <c r="U1443" s="40">
        <v>45982</v>
      </c>
      <c r="V1443" s="41">
        <v>46153.532916666663</v>
      </c>
      <c r="W1443" s="40">
        <v>45981</v>
      </c>
      <c r="X1443" s="35" t="s">
        <v>916</v>
      </c>
      <c r="Y1443" s="35" t="s">
        <v>916</v>
      </c>
      <c r="Z1443" s="35" t="s">
        <v>916</v>
      </c>
      <c r="AA1443" s="38">
        <v>973.55611111200005</v>
      </c>
      <c r="AB1443" s="42" t="s">
        <v>916</v>
      </c>
      <c r="AC1443" s="43" t="s">
        <v>916</v>
      </c>
      <c r="AD1443" s="43" t="s">
        <v>916</v>
      </c>
      <c r="AE1443" s="33" t="s">
        <v>3982</v>
      </c>
      <c r="AF1443" s="35" t="s">
        <v>916</v>
      </c>
      <c r="AG1443" s="44">
        <v>489898.44388888893</v>
      </c>
      <c r="AH1443" s="42" t="s">
        <v>916</v>
      </c>
      <c r="AI1443" s="32" t="e">
        <f>VLOOKUP(A1443,'4月明細'!B:B,1,0)</f>
        <v>#N/A</v>
      </c>
    </row>
    <row r="1444" spans="1:35" ht="19.95" customHeight="1" x14ac:dyDescent="0.3">
      <c r="A1444" s="33" t="s">
        <v>5048</v>
      </c>
      <c r="B1444" s="34">
        <v>45981.43472222222</v>
      </c>
      <c r="C1444" s="34" t="str">
        <f t="shared" si="35"/>
        <v>202511</v>
      </c>
      <c r="D1444" s="35" t="s">
        <v>951</v>
      </c>
      <c r="E1444" s="36" t="s">
        <v>910</v>
      </c>
      <c r="F1444" s="36" t="s">
        <v>1581</v>
      </c>
      <c r="G1444" s="37" t="s">
        <v>5049</v>
      </c>
      <c r="H1444" s="36" t="s">
        <v>970</v>
      </c>
      <c r="I1444" s="35"/>
      <c r="J1444" s="36" t="s">
        <v>914</v>
      </c>
      <c r="K1444" s="33" t="s">
        <v>916</v>
      </c>
      <c r="L1444" s="35" t="s">
        <v>916</v>
      </c>
      <c r="M1444" s="36" t="s">
        <v>1039</v>
      </c>
      <c r="N1444" s="45">
        <v>46022</v>
      </c>
      <c r="O1444" s="36" t="s">
        <v>25</v>
      </c>
      <c r="P1444" s="38">
        <v>40.565277777799999</v>
      </c>
      <c r="Q1444" s="39" t="s">
        <v>5047</v>
      </c>
      <c r="R1444" s="35" t="s">
        <v>916</v>
      </c>
      <c r="S1444" s="35"/>
      <c r="T1444" s="35" t="s">
        <v>1701</v>
      </c>
      <c r="U1444" s="40">
        <v>45982</v>
      </c>
      <c r="V1444" s="41">
        <v>46153.532916666663</v>
      </c>
      <c r="W1444" s="40">
        <v>45981</v>
      </c>
      <c r="X1444" s="35" t="s">
        <v>916</v>
      </c>
      <c r="Y1444" s="35" t="s">
        <v>916</v>
      </c>
      <c r="Z1444" s="35" t="s">
        <v>916</v>
      </c>
      <c r="AA1444" s="38">
        <v>973.56666666720002</v>
      </c>
      <c r="AB1444" s="42" t="s">
        <v>916</v>
      </c>
      <c r="AC1444" s="43" t="s">
        <v>916</v>
      </c>
      <c r="AD1444" s="43" t="s">
        <v>916</v>
      </c>
      <c r="AE1444" s="33" t="s">
        <v>3982</v>
      </c>
      <c r="AF1444" s="35" t="s">
        <v>916</v>
      </c>
      <c r="AG1444" s="44">
        <v>489898.43333333329</v>
      </c>
      <c r="AH1444" s="42" t="s">
        <v>916</v>
      </c>
      <c r="AI1444" s="32" t="e">
        <f>VLOOKUP(A1444,'4月明細'!B:B,1,0)</f>
        <v>#N/A</v>
      </c>
    </row>
    <row r="1445" spans="1:35" ht="19.95" customHeight="1" x14ac:dyDescent="0.3">
      <c r="A1445" s="33" t="s">
        <v>5050</v>
      </c>
      <c r="B1445" s="34">
        <v>45980.753750000003</v>
      </c>
      <c r="C1445" s="34" t="str">
        <f t="shared" si="35"/>
        <v>202511</v>
      </c>
      <c r="D1445" s="35" t="s">
        <v>2278</v>
      </c>
      <c r="E1445" s="36" t="s">
        <v>910</v>
      </c>
      <c r="F1445" s="36" t="s">
        <v>1748</v>
      </c>
      <c r="G1445" s="37" t="s">
        <v>5051</v>
      </c>
      <c r="H1445" s="36" t="s">
        <v>1352</v>
      </c>
      <c r="I1445" s="35"/>
      <c r="J1445" s="36" t="s">
        <v>929</v>
      </c>
      <c r="K1445" s="33" t="s">
        <v>916</v>
      </c>
      <c r="L1445" s="35" t="s">
        <v>916</v>
      </c>
      <c r="M1445" s="36" t="s">
        <v>916</v>
      </c>
      <c r="N1445" s="45">
        <v>46022</v>
      </c>
      <c r="O1445" s="36" t="s">
        <v>25</v>
      </c>
      <c r="P1445" s="38">
        <v>41.246250000000003</v>
      </c>
      <c r="Q1445" s="39" t="s">
        <v>5052</v>
      </c>
      <c r="R1445" s="35" t="s">
        <v>916</v>
      </c>
      <c r="S1445" s="35"/>
      <c r="T1445" s="35" t="s">
        <v>1701</v>
      </c>
      <c r="U1445" s="40">
        <v>45981</v>
      </c>
      <c r="V1445" s="41">
        <v>46153.532916666663</v>
      </c>
      <c r="W1445" s="40">
        <v>45980</v>
      </c>
      <c r="X1445" s="35" t="s">
        <v>916</v>
      </c>
      <c r="Y1445" s="35" t="s">
        <v>916</v>
      </c>
      <c r="Z1445" s="35" t="s">
        <v>916</v>
      </c>
      <c r="AA1445" s="38">
        <v>989.91</v>
      </c>
      <c r="AB1445" s="42" t="s">
        <v>916</v>
      </c>
      <c r="AC1445" s="43" t="s">
        <v>916</v>
      </c>
      <c r="AD1445" s="43" t="s">
        <v>916</v>
      </c>
      <c r="AE1445" s="33" t="s">
        <v>3982</v>
      </c>
      <c r="AF1445" s="35" t="s">
        <v>916</v>
      </c>
      <c r="AG1445" s="44">
        <v>489882.09</v>
      </c>
      <c r="AH1445" s="42" t="s">
        <v>916</v>
      </c>
      <c r="AI1445" s="32" t="e">
        <f>VLOOKUP(A1445,'4月明細'!B:B,1,0)</f>
        <v>#N/A</v>
      </c>
    </row>
    <row r="1446" spans="1:35" ht="19.95" customHeight="1" x14ac:dyDescent="0.3">
      <c r="A1446" s="33" t="s">
        <v>5053</v>
      </c>
      <c r="B1446" s="34">
        <v>45980.590729166666</v>
      </c>
      <c r="C1446" s="34" t="str">
        <f t="shared" si="35"/>
        <v>202511</v>
      </c>
      <c r="D1446" s="35" t="s">
        <v>996</v>
      </c>
      <c r="E1446" s="36" t="s">
        <v>910</v>
      </c>
      <c r="F1446" s="36" t="s">
        <v>2043</v>
      </c>
      <c r="G1446" s="37" t="s">
        <v>5054</v>
      </c>
      <c r="H1446" s="36" t="s">
        <v>4162</v>
      </c>
      <c r="I1446" s="35"/>
      <c r="J1446" s="36" t="s">
        <v>914</v>
      </c>
      <c r="K1446" s="33" t="s">
        <v>916</v>
      </c>
      <c r="L1446" s="35" t="s">
        <v>916</v>
      </c>
      <c r="M1446" s="36" t="s">
        <v>1039</v>
      </c>
      <c r="N1446" s="45">
        <v>46022</v>
      </c>
      <c r="O1446" s="36" t="s">
        <v>25</v>
      </c>
      <c r="P1446" s="38">
        <v>41.409270833299999</v>
      </c>
      <c r="Q1446" s="39" t="s">
        <v>5055</v>
      </c>
      <c r="R1446" s="35" t="s">
        <v>916</v>
      </c>
      <c r="S1446" s="35"/>
      <c r="T1446" s="35" t="s">
        <v>1701</v>
      </c>
      <c r="U1446" s="40">
        <v>45981</v>
      </c>
      <c r="V1446" s="41">
        <v>46153.532916666663</v>
      </c>
      <c r="W1446" s="40">
        <v>45980</v>
      </c>
      <c r="X1446" s="35" t="s">
        <v>916</v>
      </c>
      <c r="Y1446" s="35" t="s">
        <v>916</v>
      </c>
      <c r="Z1446" s="35" t="s">
        <v>916</v>
      </c>
      <c r="AA1446" s="38">
        <v>993.82249999919998</v>
      </c>
      <c r="AB1446" s="42" t="s">
        <v>916</v>
      </c>
      <c r="AC1446" s="43" t="s">
        <v>916</v>
      </c>
      <c r="AD1446" s="43" t="s">
        <v>916</v>
      </c>
      <c r="AE1446" s="33" t="s">
        <v>3982</v>
      </c>
      <c r="AF1446" s="35" t="s">
        <v>916</v>
      </c>
      <c r="AG1446" s="44">
        <v>489878.17749999999</v>
      </c>
      <c r="AH1446" s="42" t="s">
        <v>916</v>
      </c>
      <c r="AI1446" s="32" t="e">
        <f>VLOOKUP(A1446,'4月明細'!B:B,1,0)</f>
        <v>#N/A</v>
      </c>
    </row>
    <row r="1447" spans="1:35" ht="19.95" customHeight="1" x14ac:dyDescent="0.3">
      <c r="A1447" s="33" t="s">
        <v>5056</v>
      </c>
      <c r="B1447" s="34">
        <v>45980.572025462963</v>
      </c>
      <c r="C1447" s="34" t="str">
        <f t="shared" si="35"/>
        <v>202511</v>
      </c>
      <c r="D1447" s="35" t="s">
        <v>996</v>
      </c>
      <c r="E1447" s="36" t="s">
        <v>910</v>
      </c>
      <c r="F1447" s="36" t="s">
        <v>1227</v>
      </c>
      <c r="G1447" s="37" t="s">
        <v>4045</v>
      </c>
      <c r="H1447" s="36" t="s">
        <v>1043</v>
      </c>
      <c r="I1447" s="35" t="s">
        <v>5057</v>
      </c>
      <c r="J1447" s="36" t="s">
        <v>914</v>
      </c>
      <c r="K1447" s="33" t="s">
        <v>916</v>
      </c>
      <c r="L1447" s="35" t="s">
        <v>916</v>
      </c>
      <c r="M1447" s="36" t="s">
        <v>916</v>
      </c>
      <c r="N1447" s="45">
        <v>46022</v>
      </c>
      <c r="O1447" s="36" t="s">
        <v>25</v>
      </c>
      <c r="P1447" s="38">
        <v>41.427974536999997</v>
      </c>
      <c r="Q1447" s="39" t="s">
        <v>5058</v>
      </c>
      <c r="R1447" s="35" t="s">
        <v>916</v>
      </c>
      <c r="S1447" s="35" t="s">
        <v>5059</v>
      </c>
      <c r="T1447" s="35" t="s">
        <v>1701</v>
      </c>
      <c r="U1447" s="40">
        <v>45981</v>
      </c>
      <c r="V1447" s="41">
        <v>46153.532916666663</v>
      </c>
      <c r="W1447" s="40">
        <v>45980</v>
      </c>
      <c r="X1447" s="35" t="s">
        <v>916</v>
      </c>
      <c r="Y1447" s="35" t="s">
        <v>916</v>
      </c>
      <c r="Z1447" s="35" t="s">
        <v>916</v>
      </c>
      <c r="AA1447" s="38">
        <v>994.27138888800005</v>
      </c>
      <c r="AB1447" s="42" t="s">
        <v>916</v>
      </c>
      <c r="AC1447" s="43" t="s">
        <v>916</v>
      </c>
      <c r="AD1447" s="43" t="s">
        <v>916</v>
      </c>
      <c r="AE1447" s="33" t="s">
        <v>3982</v>
      </c>
      <c r="AF1447" s="35" t="s">
        <v>916</v>
      </c>
      <c r="AG1447" s="44">
        <v>489877.72861111112</v>
      </c>
      <c r="AH1447" s="42" t="s">
        <v>916</v>
      </c>
      <c r="AI1447" s="32" t="e">
        <f>VLOOKUP(A1447,'4月明細'!B:B,1,0)</f>
        <v>#N/A</v>
      </c>
    </row>
    <row r="1448" spans="1:35" ht="19.95" customHeight="1" x14ac:dyDescent="0.3">
      <c r="A1448" s="33" t="s">
        <v>5060</v>
      </c>
      <c r="B1448" s="34">
        <v>45980.565960648149</v>
      </c>
      <c r="C1448" s="34" t="str">
        <f t="shared" si="35"/>
        <v>202511</v>
      </c>
      <c r="D1448" s="35" t="s">
        <v>996</v>
      </c>
      <c r="E1448" s="36" t="s">
        <v>910</v>
      </c>
      <c r="F1448" s="36" t="s">
        <v>1227</v>
      </c>
      <c r="G1448" s="37" t="s">
        <v>3432</v>
      </c>
      <c r="H1448" s="36" t="s">
        <v>3979</v>
      </c>
      <c r="I1448" s="35"/>
      <c r="J1448" s="36" t="s">
        <v>914</v>
      </c>
      <c r="K1448" s="33" t="s">
        <v>916</v>
      </c>
      <c r="L1448" s="35" t="s">
        <v>916</v>
      </c>
      <c r="M1448" s="36" t="s">
        <v>916</v>
      </c>
      <c r="N1448" s="45">
        <v>46022</v>
      </c>
      <c r="O1448" s="36" t="s">
        <v>25</v>
      </c>
      <c r="P1448" s="38">
        <v>41.434039351899997</v>
      </c>
      <c r="Q1448" s="39" t="s">
        <v>5058</v>
      </c>
      <c r="R1448" s="35" t="s">
        <v>916</v>
      </c>
      <c r="S1448" s="35"/>
      <c r="T1448" s="35" t="s">
        <v>1701</v>
      </c>
      <c r="U1448" s="40">
        <v>45981</v>
      </c>
      <c r="V1448" s="41">
        <v>46153.532916666663</v>
      </c>
      <c r="W1448" s="40">
        <v>45980</v>
      </c>
      <c r="X1448" s="35" t="s">
        <v>916</v>
      </c>
      <c r="Y1448" s="35" t="s">
        <v>916</v>
      </c>
      <c r="Z1448" s="35" t="s">
        <v>916</v>
      </c>
      <c r="AA1448" s="38">
        <v>994.41694444560005</v>
      </c>
      <c r="AB1448" s="42" t="s">
        <v>916</v>
      </c>
      <c r="AC1448" s="43" t="s">
        <v>916</v>
      </c>
      <c r="AD1448" s="43" t="s">
        <v>916</v>
      </c>
      <c r="AE1448" s="33" t="s">
        <v>3982</v>
      </c>
      <c r="AF1448" s="35" t="s">
        <v>916</v>
      </c>
      <c r="AG1448" s="44">
        <v>489877.58305555559</v>
      </c>
      <c r="AH1448" s="42" t="s">
        <v>916</v>
      </c>
      <c r="AI1448" s="32" t="e">
        <f>VLOOKUP(A1448,'4月明細'!B:B,1,0)</f>
        <v>#N/A</v>
      </c>
    </row>
    <row r="1449" spans="1:35" ht="19.95" customHeight="1" x14ac:dyDescent="0.3">
      <c r="A1449" s="33" t="s">
        <v>5061</v>
      </c>
      <c r="B1449" s="34">
        <v>45980.559629629628</v>
      </c>
      <c r="C1449" s="34" t="str">
        <f t="shared" si="35"/>
        <v>202511</v>
      </c>
      <c r="D1449" s="35" t="s">
        <v>996</v>
      </c>
      <c r="E1449" s="36" t="s">
        <v>910</v>
      </c>
      <c r="F1449" s="36" t="s">
        <v>1285</v>
      </c>
      <c r="G1449" s="37" t="s">
        <v>5062</v>
      </c>
      <c r="H1449" s="36" t="s">
        <v>970</v>
      </c>
      <c r="I1449" s="35" t="s">
        <v>5063</v>
      </c>
      <c r="J1449" s="36" t="s">
        <v>914</v>
      </c>
      <c r="K1449" s="33" t="s">
        <v>916</v>
      </c>
      <c r="L1449" s="35" t="s">
        <v>916</v>
      </c>
      <c r="M1449" s="36" t="s">
        <v>1039</v>
      </c>
      <c r="N1449" s="45">
        <v>46022</v>
      </c>
      <c r="O1449" s="36" t="s">
        <v>25</v>
      </c>
      <c r="P1449" s="38">
        <v>41.440370370399997</v>
      </c>
      <c r="Q1449" s="39" t="s">
        <v>5064</v>
      </c>
      <c r="R1449" s="35" t="s">
        <v>916</v>
      </c>
      <c r="S1449" s="35"/>
      <c r="T1449" s="35" t="s">
        <v>1701</v>
      </c>
      <c r="U1449" s="40">
        <v>45981</v>
      </c>
      <c r="V1449" s="41">
        <v>46153.532916666663</v>
      </c>
      <c r="W1449" s="40">
        <v>45980</v>
      </c>
      <c r="X1449" s="35" t="s">
        <v>916</v>
      </c>
      <c r="Y1449" s="35" t="s">
        <v>916</v>
      </c>
      <c r="Z1449" s="35" t="s">
        <v>916</v>
      </c>
      <c r="AA1449" s="38">
        <v>994.56888888959998</v>
      </c>
      <c r="AB1449" s="42" t="s">
        <v>916</v>
      </c>
      <c r="AC1449" s="43" t="s">
        <v>916</v>
      </c>
      <c r="AD1449" s="43" t="s">
        <v>916</v>
      </c>
      <c r="AE1449" s="33" t="s">
        <v>3982</v>
      </c>
      <c r="AF1449" s="35" t="s">
        <v>916</v>
      </c>
      <c r="AG1449" s="44">
        <v>489877.43111111119</v>
      </c>
      <c r="AH1449" s="42" t="s">
        <v>916</v>
      </c>
      <c r="AI1449" s="32" t="e">
        <f>VLOOKUP(A1449,'4月明細'!B:B,1,0)</f>
        <v>#N/A</v>
      </c>
    </row>
    <row r="1450" spans="1:35" ht="19.95" customHeight="1" x14ac:dyDescent="0.3">
      <c r="A1450" s="33" t="s">
        <v>5065</v>
      </c>
      <c r="B1450" s="34">
        <v>45980.52244212963</v>
      </c>
      <c r="C1450" s="34" t="str">
        <f t="shared" si="35"/>
        <v>202511</v>
      </c>
      <c r="D1450" s="35" t="s">
        <v>951</v>
      </c>
      <c r="E1450" s="36" t="s">
        <v>910</v>
      </c>
      <c r="F1450" s="36" t="s">
        <v>964</v>
      </c>
      <c r="G1450" s="37" t="s">
        <v>5066</v>
      </c>
      <c r="H1450" s="36" t="s">
        <v>970</v>
      </c>
      <c r="I1450" s="35" t="s">
        <v>5067</v>
      </c>
      <c r="J1450" s="36" t="s">
        <v>1058</v>
      </c>
      <c r="K1450" s="33" t="s">
        <v>916</v>
      </c>
      <c r="L1450" s="35" t="s">
        <v>916</v>
      </c>
      <c r="M1450" s="36" t="s">
        <v>916</v>
      </c>
      <c r="N1450" s="45">
        <v>46022</v>
      </c>
      <c r="O1450" s="36" t="s">
        <v>25</v>
      </c>
      <c r="P1450" s="38">
        <v>41.477557870399998</v>
      </c>
      <c r="Q1450" s="39" t="s">
        <v>5068</v>
      </c>
      <c r="R1450" s="35" t="s">
        <v>916</v>
      </c>
      <c r="S1450" s="35" t="s">
        <v>4801</v>
      </c>
      <c r="T1450" s="35" t="s">
        <v>1701</v>
      </c>
      <c r="U1450" s="40">
        <v>45981</v>
      </c>
      <c r="V1450" s="41">
        <v>46153.532916666663</v>
      </c>
      <c r="W1450" s="40">
        <v>45980</v>
      </c>
      <c r="X1450" s="35" t="s">
        <v>916</v>
      </c>
      <c r="Y1450" s="35" t="s">
        <v>916</v>
      </c>
      <c r="Z1450" s="35" t="s">
        <v>916</v>
      </c>
      <c r="AA1450" s="38">
        <v>995.46138888960002</v>
      </c>
      <c r="AB1450" s="42" t="s">
        <v>916</v>
      </c>
      <c r="AC1450" s="43" t="s">
        <v>916</v>
      </c>
      <c r="AD1450" s="43" t="s">
        <v>916</v>
      </c>
      <c r="AE1450" s="33" t="s">
        <v>3982</v>
      </c>
      <c r="AF1450" s="35" t="s">
        <v>916</v>
      </c>
      <c r="AG1450" s="44">
        <v>489876.53861111111</v>
      </c>
      <c r="AH1450" s="42" t="s">
        <v>916</v>
      </c>
      <c r="AI1450" s="32" t="e">
        <f>VLOOKUP(A1450,'4月明細'!B:B,1,0)</f>
        <v>#N/A</v>
      </c>
    </row>
    <row r="1451" spans="1:35" ht="19.95" customHeight="1" x14ac:dyDescent="0.3">
      <c r="A1451" s="33" t="s">
        <v>5069</v>
      </c>
      <c r="B1451" s="34">
        <v>45980.432152777779</v>
      </c>
      <c r="C1451" s="34" t="str">
        <f t="shared" si="35"/>
        <v>202511</v>
      </c>
      <c r="D1451" s="35" t="s">
        <v>1747</v>
      </c>
      <c r="E1451" s="36" t="s">
        <v>942</v>
      </c>
      <c r="F1451" s="36" t="s">
        <v>1121</v>
      </c>
      <c r="G1451" s="37" t="s">
        <v>5070</v>
      </c>
      <c r="H1451" s="36" t="s">
        <v>913</v>
      </c>
      <c r="I1451" s="35"/>
      <c r="J1451" s="36" t="s">
        <v>945</v>
      </c>
      <c r="K1451" s="33" t="s">
        <v>916</v>
      </c>
      <c r="L1451" s="35" t="s">
        <v>916</v>
      </c>
      <c r="M1451" s="36" t="s">
        <v>916</v>
      </c>
      <c r="N1451" s="45">
        <v>46022</v>
      </c>
      <c r="O1451" s="36" t="s">
        <v>25</v>
      </c>
      <c r="P1451" s="38">
        <v>41.567847222200001</v>
      </c>
      <c r="Q1451" s="39" t="s">
        <v>5071</v>
      </c>
      <c r="R1451" s="35" t="s">
        <v>916</v>
      </c>
      <c r="S1451" s="35"/>
      <c r="T1451" s="35" t="s">
        <v>1701</v>
      </c>
      <c r="U1451" s="40">
        <v>45981</v>
      </c>
      <c r="V1451" s="41">
        <v>46153.532916666663</v>
      </c>
      <c r="W1451" s="40">
        <v>45980</v>
      </c>
      <c r="X1451" s="35" t="s">
        <v>916</v>
      </c>
      <c r="Y1451" s="35" t="s">
        <v>916</v>
      </c>
      <c r="Z1451" s="35" t="s">
        <v>916</v>
      </c>
      <c r="AA1451" s="38">
        <v>997.62833333280003</v>
      </c>
      <c r="AB1451" s="42" t="s">
        <v>916</v>
      </c>
      <c r="AC1451" s="43" t="s">
        <v>916</v>
      </c>
      <c r="AD1451" s="43" t="s">
        <v>916</v>
      </c>
      <c r="AE1451" s="33" t="s">
        <v>3982</v>
      </c>
      <c r="AF1451" s="35" t="s">
        <v>916</v>
      </c>
      <c r="AG1451" s="44">
        <v>489874.3716666667</v>
      </c>
      <c r="AH1451" s="42" t="s">
        <v>916</v>
      </c>
      <c r="AI1451" s="32" t="e">
        <f>VLOOKUP(A1451,'4月明細'!B:B,1,0)</f>
        <v>#N/A</v>
      </c>
    </row>
    <row r="1452" spans="1:35" ht="19.95" customHeight="1" x14ac:dyDescent="0.3">
      <c r="A1452" s="33" t="s">
        <v>5072</v>
      </c>
      <c r="B1452" s="34">
        <v>45980.409247685187</v>
      </c>
      <c r="C1452" s="34" t="str">
        <f t="shared" si="35"/>
        <v>202511</v>
      </c>
      <c r="D1452" s="35" t="s">
        <v>2278</v>
      </c>
      <c r="E1452" s="36" t="s">
        <v>910</v>
      </c>
      <c r="F1452" s="36" t="s">
        <v>1950</v>
      </c>
      <c r="G1452" s="37" t="s">
        <v>5073</v>
      </c>
      <c r="H1452" s="36" t="s">
        <v>4185</v>
      </c>
      <c r="I1452" s="35"/>
      <c r="J1452" s="36" t="s">
        <v>1058</v>
      </c>
      <c r="K1452" s="33" t="s">
        <v>916</v>
      </c>
      <c r="L1452" s="35" t="s">
        <v>916</v>
      </c>
      <c r="M1452" s="36" t="s">
        <v>916</v>
      </c>
      <c r="N1452" s="45">
        <v>46022</v>
      </c>
      <c r="O1452" s="36" t="s">
        <v>25</v>
      </c>
      <c r="P1452" s="38">
        <v>41.5907523148</v>
      </c>
      <c r="Q1452" s="39" t="s">
        <v>5074</v>
      </c>
      <c r="R1452" s="35" t="s">
        <v>916</v>
      </c>
      <c r="S1452" s="35" t="s">
        <v>5075</v>
      </c>
      <c r="T1452" s="35" t="s">
        <v>1701</v>
      </c>
      <c r="U1452" s="40">
        <v>45981</v>
      </c>
      <c r="V1452" s="41">
        <v>46153.532916666663</v>
      </c>
      <c r="W1452" s="40">
        <v>45980</v>
      </c>
      <c r="X1452" s="35" t="s">
        <v>916</v>
      </c>
      <c r="Y1452" s="35" t="s">
        <v>916</v>
      </c>
      <c r="Z1452" s="35" t="s">
        <v>916</v>
      </c>
      <c r="AA1452" s="38">
        <v>998.17805555519999</v>
      </c>
      <c r="AB1452" s="42" t="s">
        <v>916</v>
      </c>
      <c r="AC1452" s="43" t="s">
        <v>916</v>
      </c>
      <c r="AD1452" s="43" t="s">
        <v>916</v>
      </c>
      <c r="AE1452" s="33" t="s">
        <v>3982</v>
      </c>
      <c r="AF1452" s="35" t="s">
        <v>916</v>
      </c>
      <c r="AG1452" s="44">
        <v>489873.8219444445</v>
      </c>
      <c r="AH1452" s="42" t="s">
        <v>916</v>
      </c>
      <c r="AI1452" s="32" t="e">
        <f>VLOOKUP(A1452,'4月明細'!B:B,1,0)</f>
        <v>#N/A</v>
      </c>
    </row>
    <row r="1453" spans="1:35" ht="19.95" customHeight="1" x14ac:dyDescent="0.3">
      <c r="A1453" s="33" t="s">
        <v>5076</v>
      </c>
      <c r="B1453" s="34">
        <v>45980.400902777779</v>
      </c>
      <c r="C1453" s="34" t="str">
        <f t="shared" si="35"/>
        <v>202511</v>
      </c>
      <c r="D1453" s="35" t="s">
        <v>1360</v>
      </c>
      <c r="E1453" s="36" t="s">
        <v>910</v>
      </c>
      <c r="F1453" s="36" t="s">
        <v>1010</v>
      </c>
      <c r="G1453" s="37" t="s">
        <v>5077</v>
      </c>
      <c r="H1453" s="36" t="s">
        <v>4007</v>
      </c>
      <c r="I1453" s="35" t="s">
        <v>5078</v>
      </c>
      <c r="J1453" s="36" t="s">
        <v>929</v>
      </c>
      <c r="K1453" s="33" t="s">
        <v>916</v>
      </c>
      <c r="L1453" s="35" t="s">
        <v>916</v>
      </c>
      <c r="M1453" s="36" t="s">
        <v>916</v>
      </c>
      <c r="N1453" s="45">
        <v>46022</v>
      </c>
      <c r="O1453" s="36" t="s">
        <v>25</v>
      </c>
      <c r="P1453" s="38">
        <v>41.599097222200001</v>
      </c>
      <c r="Q1453" s="39" t="s">
        <v>5079</v>
      </c>
      <c r="R1453" s="35" t="s">
        <v>916</v>
      </c>
      <c r="S1453" s="35" t="s">
        <v>5080</v>
      </c>
      <c r="T1453" s="35" t="s">
        <v>1701</v>
      </c>
      <c r="U1453" s="40">
        <v>45981</v>
      </c>
      <c r="V1453" s="41">
        <v>46153.532916666663</v>
      </c>
      <c r="W1453" s="40">
        <v>45980</v>
      </c>
      <c r="X1453" s="35" t="s">
        <v>916</v>
      </c>
      <c r="Y1453" s="35" t="s">
        <v>916</v>
      </c>
      <c r="Z1453" s="35" t="s">
        <v>916</v>
      </c>
      <c r="AA1453" s="38">
        <v>998.37833333280003</v>
      </c>
      <c r="AB1453" s="42" t="s">
        <v>916</v>
      </c>
      <c r="AC1453" s="43" t="s">
        <v>916</v>
      </c>
      <c r="AD1453" s="43" t="s">
        <v>916</v>
      </c>
      <c r="AE1453" s="33" t="s">
        <v>3982</v>
      </c>
      <c r="AF1453" s="35" t="s">
        <v>916</v>
      </c>
      <c r="AG1453" s="44">
        <v>489873.6216666667</v>
      </c>
      <c r="AH1453" s="42" t="s">
        <v>916</v>
      </c>
      <c r="AI1453" s="32" t="e">
        <f>VLOOKUP(A1453,'4月明細'!B:B,1,0)</f>
        <v>#N/A</v>
      </c>
    </row>
    <row r="1454" spans="1:35" ht="19.95" customHeight="1" x14ac:dyDescent="0.3">
      <c r="A1454" s="33" t="s">
        <v>5081</v>
      </c>
      <c r="B1454" s="34">
        <v>45980.387731481482</v>
      </c>
      <c r="C1454" s="34" t="str">
        <f t="shared" si="35"/>
        <v>202511</v>
      </c>
      <c r="D1454" s="35" t="s">
        <v>996</v>
      </c>
      <c r="E1454" s="36" t="s">
        <v>910</v>
      </c>
      <c r="F1454" s="36" t="s">
        <v>3066</v>
      </c>
      <c r="G1454" s="37" t="s">
        <v>5082</v>
      </c>
      <c r="H1454" s="36" t="s">
        <v>5083</v>
      </c>
      <c r="I1454" s="35" t="s">
        <v>5084</v>
      </c>
      <c r="J1454" s="36" t="s">
        <v>938</v>
      </c>
      <c r="K1454" s="33" t="s">
        <v>916</v>
      </c>
      <c r="L1454" s="35" t="s">
        <v>916</v>
      </c>
      <c r="M1454" s="36" t="s">
        <v>916</v>
      </c>
      <c r="N1454" s="45">
        <v>46022</v>
      </c>
      <c r="O1454" s="36" t="s">
        <v>25</v>
      </c>
      <c r="P1454" s="38">
        <v>41.612268518500002</v>
      </c>
      <c r="Q1454" s="39" t="s">
        <v>5085</v>
      </c>
      <c r="R1454" s="35" t="s">
        <v>916</v>
      </c>
      <c r="S1454" s="35"/>
      <c r="T1454" s="35" t="s">
        <v>1624</v>
      </c>
      <c r="U1454" s="40">
        <v>45981</v>
      </c>
      <c r="V1454" s="41">
        <v>46153.532916666663</v>
      </c>
      <c r="W1454" s="40">
        <v>45980</v>
      </c>
      <c r="X1454" s="35" t="s">
        <v>916</v>
      </c>
      <c r="Y1454" s="35" t="s">
        <v>916</v>
      </c>
      <c r="Z1454" s="35" t="s">
        <v>916</v>
      </c>
      <c r="AA1454" s="38">
        <v>998.69444444400006</v>
      </c>
      <c r="AB1454" s="42" t="s">
        <v>916</v>
      </c>
      <c r="AC1454" s="43" t="s">
        <v>916</v>
      </c>
      <c r="AD1454" s="43" t="s">
        <v>916</v>
      </c>
      <c r="AE1454" s="33" t="s">
        <v>3982</v>
      </c>
      <c r="AF1454" s="35" t="s">
        <v>916</v>
      </c>
      <c r="AG1454" s="44">
        <v>980418.50583333336</v>
      </c>
      <c r="AH1454" s="42" t="s">
        <v>916</v>
      </c>
      <c r="AI1454" s="32" t="e">
        <f>VLOOKUP(A1454,'4月明細'!B:B,1,0)</f>
        <v>#N/A</v>
      </c>
    </row>
    <row r="1455" spans="1:35" ht="19.95" customHeight="1" x14ac:dyDescent="0.3">
      <c r="A1455" s="33" t="s">
        <v>5086</v>
      </c>
      <c r="B1455" s="34">
        <v>45979.750497685185</v>
      </c>
      <c r="C1455" s="34" t="str">
        <f t="shared" si="35"/>
        <v>202511</v>
      </c>
      <c r="D1455" s="35" t="s">
        <v>1510</v>
      </c>
      <c r="E1455" s="36" t="s">
        <v>942</v>
      </c>
      <c r="F1455" s="36" t="s">
        <v>1537</v>
      </c>
      <c r="G1455" s="37" t="s">
        <v>5087</v>
      </c>
      <c r="H1455" s="36" t="s">
        <v>4007</v>
      </c>
      <c r="I1455" s="35"/>
      <c r="J1455" s="36" t="s">
        <v>945</v>
      </c>
      <c r="K1455" s="33" t="s">
        <v>916</v>
      </c>
      <c r="L1455" s="35" t="s">
        <v>916</v>
      </c>
      <c r="M1455" s="36" t="s">
        <v>916</v>
      </c>
      <c r="N1455" s="45">
        <v>46022</v>
      </c>
      <c r="O1455" s="36" t="s">
        <v>25</v>
      </c>
      <c r="P1455" s="38">
        <v>42.249502314799997</v>
      </c>
      <c r="Q1455" s="39" t="s">
        <v>5088</v>
      </c>
      <c r="R1455" s="35" t="s">
        <v>916</v>
      </c>
      <c r="S1455" s="35" t="s">
        <v>5089</v>
      </c>
      <c r="T1455" s="35" t="s">
        <v>1701</v>
      </c>
      <c r="U1455" s="40">
        <v>45980</v>
      </c>
      <c r="V1455" s="41">
        <v>46153.532916666663</v>
      </c>
      <c r="W1455" s="40">
        <v>45979</v>
      </c>
      <c r="X1455" s="35" t="s">
        <v>916</v>
      </c>
      <c r="Y1455" s="35" t="s">
        <v>916</v>
      </c>
      <c r="Z1455" s="35" t="s">
        <v>916</v>
      </c>
      <c r="AA1455" s="38">
        <v>1013.9880555552</v>
      </c>
      <c r="AB1455" s="42" t="s">
        <v>916</v>
      </c>
      <c r="AC1455" s="43" t="s">
        <v>916</v>
      </c>
      <c r="AD1455" s="43" t="s">
        <v>916</v>
      </c>
      <c r="AE1455" s="33" t="s">
        <v>3982</v>
      </c>
      <c r="AF1455" s="35" t="s">
        <v>916</v>
      </c>
      <c r="AG1455" s="44">
        <v>489858.01194444438</v>
      </c>
      <c r="AH1455" s="42" t="s">
        <v>916</v>
      </c>
      <c r="AI1455" s="32" t="e">
        <f>VLOOKUP(A1455,'4月明細'!B:B,1,0)</f>
        <v>#N/A</v>
      </c>
    </row>
    <row r="1456" spans="1:35" ht="19.95" customHeight="1" x14ac:dyDescent="0.3">
      <c r="A1456" s="33" t="s">
        <v>5090</v>
      </c>
      <c r="B1456" s="34">
        <v>45979.697557870371</v>
      </c>
      <c r="C1456" s="34" t="str">
        <f t="shared" si="35"/>
        <v>202511</v>
      </c>
      <c r="D1456" s="35" t="s">
        <v>1360</v>
      </c>
      <c r="E1456" s="36" t="s">
        <v>910</v>
      </c>
      <c r="F1456" s="36" t="s">
        <v>2169</v>
      </c>
      <c r="G1456" s="37" t="s">
        <v>1622</v>
      </c>
      <c r="H1456" s="36" t="s">
        <v>1048</v>
      </c>
      <c r="I1456" s="35" t="s">
        <v>5091</v>
      </c>
      <c r="J1456" s="36" t="s">
        <v>929</v>
      </c>
      <c r="K1456" s="33" t="s">
        <v>916</v>
      </c>
      <c r="L1456" s="35" t="s">
        <v>916</v>
      </c>
      <c r="M1456" s="36" t="s">
        <v>916</v>
      </c>
      <c r="N1456" s="45">
        <v>46022</v>
      </c>
      <c r="O1456" s="36" t="s">
        <v>25</v>
      </c>
      <c r="P1456" s="38">
        <v>42.302442129600003</v>
      </c>
      <c r="Q1456" s="39" t="s">
        <v>5092</v>
      </c>
      <c r="R1456" s="35" t="s">
        <v>916</v>
      </c>
      <c r="S1456" s="35" t="s">
        <v>5093</v>
      </c>
      <c r="T1456" s="35" t="s">
        <v>1701</v>
      </c>
      <c r="U1456" s="40">
        <v>45980</v>
      </c>
      <c r="V1456" s="41">
        <v>46153.532916666663</v>
      </c>
      <c r="W1456" s="40">
        <v>45979</v>
      </c>
      <c r="X1456" s="35" t="s">
        <v>916</v>
      </c>
      <c r="Y1456" s="35" t="s">
        <v>916</v>
      </c>
      <c r="Z1456" s="35" t="s">
        <v>916</v>
      </c>
      <c r="AA1456" s="38">
        <v>1015.2586111104</v>
      </c>
      <c r="AB1456" s="42" t="s">
        <v>916</v>
      </c>
      <c r="AC1456" s="43" t="s">
        <v>916</v>
      </c>
      <c r="AD1456" s="43" t="s">
        <v>916</v>
      </c>
      <c r="AE1456" s="33" t="s">
        <v>3982</v>
      </c>
      <c r="AF1456" s="35" t="s">
        <v>916</v>
      </c>
      <c r="AG1456" s="44">
        <v>489856.74138888891</v>
      </c>
      <c r="AH1456" s="42" t="s">
        <v>916</v>
      </c>
      <c r="AI1456" s="32" t="e">
        <f>VLOOKUP(A1456,'4月明細'!B:B,1,0)</f>
        <v>#N/A</v>
      </c>
    </row>
    <row r="1457" spans="1:35" ht="19.95" customHeight="1" x14ac:dyDescent="0.3">
      <c r="A1457" s="33" t="s">
        <v>5094</v>
      </c>
      <c r="B1457" s="34">
        <v>45979.546412037038</v>
      </c>
      <c r="C1457" s="34" t="str">
        <f t="shared" si="35"/>
        <v>202511</v>
      </c>
      <c r="D1457" s="35" t="s">
        <v>1360</v>
      </c>
      <c r="E1457" s="36" t="s">
        <v>910</v>
      </c>
      <c r="F1457" s="36" t="s">
        <v>1260</v>
      </c>
      <c r="G1457" s="37" t="s">
        <v>5095</v>
      </c>
      <c r="H1457" s="36" t="s">
        <v>970</v>
      </c>
      <c r="I1457" s="35" t="s">
        <v>1362</v>
      </c>
      <c r="J1457" s="36" t="s">
        <v>938</v>
      </c>
      <c r="K1457" s="33" t="s">
        <v>916</v>
      </c>
      <c r="L1457" s="35" t="s">
        <v>916</v>
      </c>
      <c r="M1457" s="36" t="s">
        <v>916</v>
      </c>
      <c r="N1457" s="45">
        <v>46022</v>
      </c>
      <c r="O1457" s="36" t="s">
        <v>25</v>
      </c>
      <c r="P1457" s="38">
        <v>42.453587962999997</v>
      </c>
      <c r="Q1457" s="39" t="s">
        <v>5096</v>
      </c>
      <c r="R1457" s="35" t="s">
        <v>916</v>
      </c>
      <c r="S1457" s="35"/>
      <c r="T1457" s="35" t="s">
        <v>1701</v>
      </c>
      <c r="U1457" s="40">
        <v>45980</v>
      </c>
      <c r="V1457" s="41">
        <v>46153.532916666663</v>
      </c>
      <c r="W1457" s="40">
        <v>45979</v>
      </c>
      <c r="X1457" s="35" t="s">
        <v>916</v>
      </c>
      <c r="Y1457" s="35" t="s">
        <v>916</v>
      </c>
      <c r="Z1457" s="35" t="s">
        <v>916</v>
      </c>
      <c r="AA1457" s="38">
        <v>1018.886111112</v>
      </c>
      <c r="AB1457" s="42" t="s">
        <v>916</v>
      </c>
      <c r="AC1457" s="43" t="s">
        <v>916</v>
      </c>
      <c r="AD1457" s="43" t="s">
        <v>916</v>
      </c>
      <c r="AE1457" s="33" t="s">
        <v>3982</v>
      </c>
      <c r="AF1457" s="35" t="s">
        <v>916</v>
      </c>
      <c r="AG1457" s="44">
        <v>489853.11388888891</v>
      </c>
      <c r="AH1457" s="42" t="s">
        <v>916</v>
      </c>
      <c r="AI1457" s="32" t="e">
        <f>VLOOKUP(A1457,'4月明細'!B:B,1,0)</f>
        <v>#N/A</v>
      </c>
    </row>
    <row r="1458" spans="1:35" ht="19.95" customHeight="1" x14ac:dyDescent="0.3">
      <c r="A1458" s="33" t="s">
        <v>5097</v>
      </c>
      <c r="B1458" s="34">
        <v>45979.477511574078</v>
      </c>
      <c r="C1458" s="34" t="str">
        <f t="shared" si="35"/>
        <v>202511</v>
      </c>
      <c r="D1458" s="35" t="s">
        <v>996</v>
      </c>
      <c r="E1458" s="36" t="s">
        <v>910</v>
      </c>
      <c r="F1458" s="36" t="s">
        <v>1130</v>
      </c>
      <c r="G1458" s="37" t="s">
        <v>5098</v>
      </c>
      <c r="H1458" s="36" t="s">
        <v>913</v>
      </c>
      <c r="I1458" s="35"/>
      <c r="J1458" s="36" t="s">
        <v>945</v>
      </c>
      <c r="K1458" s="33" t="s">
        <v>916</v>
      </c>
      <c r="L1458" s="35" t="s">
        <v>916</v>
      </c>
      <c r="M1458" s="36" t="s">
        <v>916</v>
      </c>
      <c r="N1458" s="45">
        <v>46022</v>
      </c>
      <c r="O1458" s="36" t="s">
        <v>25</v>
      </c>
      <c r="P1458" s="38">
        <v>42.522488425900001</v>
      </c>
      <c r="Q1458" s="39" t="s">
        <v>5099</v>
      </c>
      <c r="R1458" s="35" t="s">
        <v>916</v>
      </c>
      <c r="S1458" s="35"/>
      <c r="T1458" s="35" t="s">
        <v>1701</v>
      </c>
      <c r="U1458" s="40">
        <v>45980</v>
      </c>
      <c r="V1458" s="41">
        <v>46153.532916666663</v>
      </c>
      <c r="W1458" s="40">
        <v>45979</v>
      </c>
      <c r="X1458" s="35" t="s">
        <v>916</v>
      </c>
      <c r="Y1458" s="35" t="s">
        <v>916</v>
      </c>
      <c r="Z1458" s="35" t="s">
        <v>916</v>
      </c>
      <c r="AA1458" s="38">
        <v>1020.5397222216</v>
      </c>
      <c r="AB1458" s="42" t="s">
        <v>916</v>
      </c>
      <c r="AC1458" s="43" t="s">
        <v>916</v>
      </c>
      <c r="AD1458" s="43" t="s">
        <v>916</v>
      </c>
      <c r="AE1458" s="33" t="s">
        <v>3982</v>
      </c>
      <c r="AF1458" s="35" t="s">
        <v>916</v>
      </c>
      <c r="AG1458" s="44">
        <v>489851.46027777769</v>
      </c>
      <c r="AH1458" s="42" t="s">
        <v>916</v>
      </c>
      <c r="AI1458" s="32" t="e">
        <f>VLOOKUP(A1458,'4月明細'!B:B,1,0)</f>
        <v>#N/A</v>
      </c>
    </row>
    <row r="1459" spans="1:35" ht="19.95" customHeight="1" x14ac:dyDescent="0.3">
      <c r="A1459" s="33" t="s">
        <v>5100</v>
      </c>
      <c r="B1459" s="34">
        <v>45978.958391203705</v>
      </c>
      <c r="C1459" s="34" t="str">
        <f t="shared" si="35"/>
        <v>202511</v>
      </c>
      <c r="D1459" s="35" t="s">
        <v>1829</v>
      </c>
      <c r="E1459" s="36" t="s">
        <v>942</v>
      </c>
      <c r="F1459" s="36" t="s">
        <v>1572</v>
      </c>
      <c r="G1459" s="37" t="s">
        <v>5101</v>
      </c>
      <c r="H1459" s="36" t="s">
        <v>5102</v>
      </c>
      <c r="I1459" s="35"/>
      <c r="J1459" s="36" t="s">
        <v>945</v>
      </c>
      <c r="K1459" s="33" t="s">
        <v>916</v>
      </c>
      <c r="L1459" s="35" t="s">
        <v>916</v>
      </c>
      <c r="M1459" s="36" t="s">
        <v>916</v>
      </c>
      <c r="N1459" s="45">
        <v>46022</v>
      </c>
      <c r="O1459" s="36" t="s">
        <v>25</v>
      </c>
      <c r="P1459" s="38">
        <v>43.041608796299997</v>
      </c>
      <c r="Q1459" s="39" t="s">
        <v>5103</v>
      </c>
      <c r="R1459" s="35" t="s">
        <v>916</v>
      </c>
      <c r="S1459" s="35"/>
      <c r="T1459" s="35" t="s">
        <v>1701</v>
      </c>
      <c r="U1459" s="40">
        <v>45979</v>
      </c>
      <c r="V1459" s="41">
        <v>46153.532916666663</v>
      </c>
      <c r="W1459" s="40">
        <v>45979</v>
      </c>
      <c r="X1459" s="35" t="s">
        <v>916</v>
      </c>
      <c r="Y1459" s="35" t="s">
        <v>916</v>
      </c>
      <c r="Z1459" s="35" t="s">
        <v>916</v>
      </c>
      <c r="AA1459" s="38">
        <v>1032.9986111112</v>
      </c>
      <c r="AB1459" s="42" t="s">
        <v>916</v>
      </c>
      <c r="AC1459" s="43" t="s">
        <v>916</v>
      </c>
      <c r="AD1459" s="43" t="s">
        <v>916</v>
      </c>
      <c r="AE1459" s="33" t="s">
        <v>3982</v>
      </c>
      <c r="AF1459" s="35" t="s">
        <v>916</v>
      </c>
      <c r="AG1459" s="44">
        <v>489839.00138888892</v>
      </c>
      <c r="AH1459" s="42" t="s">
        <v>916</v>
      </c>
      <c r="AI1459" s="32" t="e">
        <f>VLOOKUP(A1459,'4月明細'!B:B,1,0)</f>
        <v>#N/A</v>
      </c>
    </row>
    <row r="1460" spans="1:35" ht="19.95" customHeight="1" x14ac:dyDescent="0.3">
      <c r="A1460" s="33" t="s">
        <v>5104</v>
      </c>
      <c r="B1460" s="34">
        <v>45978.938530092593</v>
      </c>
      <c r="C1460" s="34" t="str">
        <f t="shared" si="35"/>
        <v>202511</v>
      </c>
      <c r="D1460" s="35" t="s">
        <v>960</v>
      </c>
      <c r="E1460" s="36" t="s">
        <v>942</v>
      </c>
      <c r="F1460" s="36" t="s">
        <v>1017</v>
      </c>
      <c r="G1460" s="37" t="s">
        <v>5105</v>
      </c>
      <c r="H1460" s="36" t="s">
        <v>5106</v>
      </c>
      <c r="I1460" s="35"/>
      <c r="J1460" s="36" t="s">
        <v>938</v>
      </c>
      <c r="K1460" s="33" t="s">
        <v>916</v>
      </c>
      <c r="L1460" s="35" t="s">
        <v>916</v>
      </c>
      <c r="M1460" s="36" t="s">
        <v>916</v>
      </c>
      <c r="N1460" s="45">
        <v>46022</v>
      </c>
      <c r="O1460" s="36" t="s">
        <v>25</v>
      </c>
      <c r="P1460" s="38">
        <v>43.061469907400003</v>
      </c>
      <c r="Q1460" s="39" t="s">
        <v>5107</v>
      </c>
      <c r="R1460" s="35" t="s">
        <v>916</v>
      </c>
      <c r="S1460" s="35"/>
      <c r="T1460" s="35" t="s">
        <v>1701</v>
      </c>
      <c r="U1460" s="40">
        <v>45979</v>
      </c>
      <c r="V1460" s="41">
        <v>46153.532916666663</v>
      </c>
      <c r="W1460" s="40">
        <v>45979</v>
      </c>
      <c r="X1460" s="35" t="s">
        <v>916</v>
      </c>
      <c r="Y1460" s="35" t="s">
        <v>916</v>
      </c>
      <c r="Z1460" s="35" t="s">
        <v>916</v>
      </c>
      <c r="AA1460" s="38">
        <v>1033.4752777776</v>
      </c>
      <c r="AB1460" s="42" t="s">
        <v>916</v>
      </c>
      <c r="AC1460" s="43" t="s">
        <v>916</v>
      </c>
      <c r="AD1460" s="43" t="s">
        <v>916</v>
      </c>
      <c r="AE1460" s="33" t="s">
        <v>3982</v>
      </c>
      <c r="AF1460" s="35" t="s">
        <v>916</v>
      </c>
      <c r="AG1460" s="44">
        <v>489838.52472222218</v>
      </c>
      <c r="AH1460" s="42" t="s">
        <v>916</v>
      </c>
      <c r="AI1460" s="32" t="e">
        <f>VLOOKUP(A1460,'4月明細'!B:B,1,0)</f>
        <v>#N/A</v>
      </c>
    </row>
    <row r="1461" spans="1:35" ht="19.95" customHeight="1" x14ac:dyDescent="0.3">
      <c r="A1461" s="33" t="s">
        <v>5108</v>
      </c>
      <c r="B1461" s="34">
        <v>45978.691365740742</v>
      </c>
      <c r="C1461" s="34" t="str">
        <f t="shared" si="35"/>
        <v>202511</v>
      </c>
      <c r="D1461" s="35" t="s">
        <v>5109</v>
      </c>
      <c r="E1461" s="36" t="s">
        <v>1112</v>
      </c>
      <c r="F1461" s="36" t="s">
        <v>1419</v>
      </c>
      <c r="G1461" s="37" t="s">
        <v>5110</v>
      </c>
      <c r="H1461" s="36" t="s">
        <v>1048</v>
      </c>
      <c r="I1461" s="35"/>
      <c r="J1461" s="36" t="s">
        <v>945</v>
      </c>
      <c r="K1461" s="33" t="s">
        <v>916</v>
      </c>
      <c r="L1461" s="35" t="s">
        <v>916</v>
      </c>
      <c r="M1461" s="36" t="s">
        <v>916</v>
      </c>
      <c r="N1461" s="45">
        <v>46022</v>
      </c>
      <c r="O1461" s="36" t="s">
        <v>25</v>
      </c>
      <c r="P1461" s="38">
        <v>43.3086342593</v>
      </c>
      <c r="Q1461" s="39" t="s">
        <v>5111</v>
      </c>
      <c r="R1461" s="35" t="s">
        <v>916</v>
      </c>
      <c r="S1461" s="35" t="s">
        <v>5112</v>
      </c>
      <c r="T1461" s="35" t="s">
        <v>1701</v>
      </c>
      <c r="U1461" s="40">
        <v>45979</v>
      </c>
      <c r="V1461" s="41">
        <v>46153.532916666663</v>
      </c>
      <c r="W1461" s="40">
        <v>45978</v>
      </c>
      <c r="X1461" s="35" t="s">
        <v>916</v>
      </c>
      <c r="Y1461" s="35" t="s">
        <v>916</v>
      </c>
      <c r="Z1461" s="35" t="s">
        <v>916</v>
      </c>
      <c r="AA1461" s="38">
        <v>1039.4072222232001</v>
      </c>
      <c r="AB1461" s="42" t="s">
        <v>916</v>
      </c>
      <c r="AC1461" s="43" t="s">
        <v>916</v>
      </c>
      <c r="AD1461" s="43" t="s">
        <v>916</v>
      </c>
      <c r="AE1461" s="33" t="s">
        <v>3982</v>
      </c>
      <c r="AF1461" s="35" t="s">
        <v>916</v>
      </c>
      <c r="AG1461" s="44">
        <v>489832.59277777781</v>
      </c>
      <c r="AH1461" s="42" t="s">
        <v>916</v>
      </c>
      <c r="AI1461" s="32" t="e">
        <f>VLOOKUP(A1461,'4月明細'!B:B,1,0)</f>
        <v>#N/A</v>
      </c>
    </row>
    <row r="1462" spans="1:35" ht="19.95" customHeight="1" x14ac:dyDescent="0.3">
      <c r="A1462" s="33" t="s">
        <v>5113</v>
      </c>
      <c r="B1462" s="34">
        <v>45978.528009259258</v>
      </c>
      <c r="C1462" s="34" t="str">
        <f t="shared" si="35"/>
        <v>202511</v>
      </c>
      <c r="D1462" s="35" t="s">
        <v>996</v>
      </c>
      <c r="E1462" s="36" t="s">
        <v>910</v>
      </c>
      <c r="F1462" s="36" t="s">
        <v>1612</v>
      </c>
      <c r="G1462" s="37" t="s">
        <v>3432</v>
      </c>
      <c r="H1462" s="36" t="s">
        <v>3979</v>
      </c>
      <c r="I1462" s="35"/>
      <c r="J1462" s="36" t="s">
        <v>914</v>
      </c>
      <c r="K1462" s="33" t="s">
        <v>916</v>
      </c>
      <c r="L1462" s="35" t="s">
        <v>916</v>
      </c>
      <c r="M1462" s="36" t="s">
        <v>916</v>
      </c>
      <c r="N1462" s="45">
        <v>46022</v>
      </c>
      <c r="O1462" s="36" t="s">
        <v>25</v>
      </c>
      <c r="P1462" s="38">
        <v>43.471990740700001</v>
      </c>
      <c r="Q1462" s="39" t="s">
        <v>5114</v>
      </c>
      <c r="R1462" s="35" t="s">
        <v>916</v>
      </c>
      <c r="S1462" s="35"/>
      <c r="T1462" s="35" t="s">
        <v>1701</v>
      </c>
      <c r="U1462" s="40">
        <v>45979</v>
      </c>
      <c r="V1462" s="41">
        <v>46153.532916666663</v>
      </c>
      <c r="W1462" s="40">
        <v>45978</v>
      </c>
      <c r="X1462" s="35" t="s">
        <v>916</v>
      </c>
      <c r="Y1462" s="35" t="s">
        <v>916</v>
      </c>
      <c r="Z1462" s="35" t="s">
        <v>916</v>
      </c>
      <c r="AA1462" s="38">
        <v>1043.3277777768001</v>
      </c>
      <c r="AB1462" s="42" t="s">
        <v>916</v>
      </c>
      <c r="AC1462" s="43" t="s">
        <v>916</v>
      </c>
      <c r="AD1462" s="43" t="s">
        <v>916</v>
      </c>
      <c r="AE1462" s="33" t="s">
        <v>3982</v>
      </c>
      <c r="AF1462" s="35" t="s">
        <v>916</v>
      </c>
      <c r="AG1462" s="44">
        <v>489828.6722222222</v>
      </c>
      <c r="AH1462" s="42" t="s">
        <v>916</v>
      </c>
      <c r="AI1462" s="32" t="e">
        <f>VLOOKUP(A1462,'4月明細'!B:B,1,0)</f>
        <v>#N/A</v>
      </c>
    </row>
    <row r="1463" spans="1:35" ht="19.95" customHeight="1" x14ac:dyDescent="0.3">
      <c r="A1463" s="33" t="s">
        <v>5115</v>
      </c>
      <c r="B1463" s="34">
        <v>45978.510879629626</v>
      </c>
      <c r="C1463" s="34" t="str">
        <f t="shared" si="35"/>
        <v>202511</v>
      </c>
      <c r="D1463" s="35" t="s">
        <v>5116</v>
      </c>
      <c r="E1463" s="36" t="s">
        <v>910</v>
      </c>
      <c r="F1463" s="36" t="s">
        <v>1145</v>
      </c>
      <c r="G1463" s="37" t="s">
        <v>5117</v>
      </c>
      <c r="H1463" s="36" t="s">
        <v>970</v>
      </c>
      <c r="I1463" s="35"/>
      <c r="J1463" s="36" t="s">
        <v>914</v>
      </c>
      <c r="K1463" s="33" t="s">
        <v>916</v>
      </c>
      <c r="L1463" s="35" t="s">
        <v>916</v>
      </c>
      <c r="M1463" s="36" t="s">
        <v>916</v>
      </c>
      <c r="N1463" s="45">
        <v>46022</v>
      </c>
      <c r="O1463" s="36" t="s">
        <v>25</v>
      </c>
      <c r="P1463" s="38">
        <v>43.489120370400002</v>
      </c>
      <c r="Q1463" s="39" t="s">
        <v>5118</v>
      </c>
      <c r="R1463" s="35" t="s">
        <v>916</v>
      </c>
      <c r="S1463" s="35" t="s">
        <v>5119</v>
      </c>
      <c r="T1463" s="35" t="s">
        <v>1701</v>
      </c>
      <c r="U1463" s="40">
        <v>45979</v>
      </c>
      <c r="V1463" s="41">
        <v>46153.532916666663</v>
      </c>
      <c r="W1463" s="40">
        <v>45978</v>
      </c>
      <c r="X1463" s="35" t="s">
        <v>916</v>
      </c>
      <c r="Y1463" s="35" t="s">
        <v>916</v>
      </c>
      <c r="Z1463" s="35" t="s">
        <v>916</v>
      </c>
      <c r="AA1463" s="38">
        <v>1043.7388888896</v>
      </c>
      <c r="AB1463" s="42" t="s">
        <v>916</v>
      </c>
      <c r="AC1463" s="43" t="s">
        <v>916</v>
      </c>
      <c r="AD1463" s="43" t="s">
        <v>916</v>
      </c>
      <c r="AE1463" s="33" t="s">
        <v>3982</v>
      </c>
      <c r="AF1463" s="35" t="s">
        <v>916</v>
      </c>
      <c r="AG1463" s="44">
        <v>489828.26111111109</v>
      </c>
      <c r="AH1463" s="42" t="s">
        <v>916</v>
      </c>
      <c r="AI1463" s="32" t="e">
        <f>VLOOKUP(A1463,'4月明細'!B:B,1,0)</f>
        <v>#N/A</v>
      </c>
    </row>
    <row r="1464" spans="1:35" ht="19.95" customHeight="1" x14ac:dyDescent="0.3">
      <c r="A1464" s="33" t="s">
        <v>5120</v>
      </c>
      <c r="B1464" s="34">
        <v>45978.500324074077</v>
      </c>
      <c r="C1464" s="34" t="str">
        <f t="shared" si="35"/>
        <v>202511</v>
      </c>
      <c r="D1464" s="35" t="s">
        <v>996</v>
      </c>
      <c r="E1464" s="36" t="s">
        <v>910</v>
      </c>
      <c r="F1464" s="36" t="s">
        <v>1341</v>
      </c>
      <c r="G1464" s="37" t="s">
        <v>1041</v>
      </c>
      <c r="H1464" s="36" t="s">
        <v>1043</v>
      </c>
      <c r="I1464" s="35"/>
      <c r="J1464" s="36" t="s">
        <v>914</v>
      </c>
      <c r="K1464" s="33" t="s">
        <v>916</v>
      </c>
      <c r="L1464" s="35" t="s">
        <v>916</v>
      </c>
      <c r="M1464" s="36" t="s">
        <v>916</v>
      </c>
      <c r="N1464" s="45">
        <v>46022</v>
      </c>
      <c r="O1464" s="36" t="s">
        <v>25</v>
      </c>
      <c r="P1464" s="38">
        <v>43.4996759259</v>
      </c>
      <c r="Q1464" s="39" t="s">
        <v>5121</v>
      </c>
      <c r="R1464" s="35" t="s">
        <v>916</v>
      </c>
      <c r="S1464" s="35" t="s">
        <v>5122</v>
      </c>
      <c r="T1464" s="35" t="s">
        <v>1701</v>
      </c>
      <c r="U1464" s="40">
        <v>45979</v>
      </c>
      <c r="V1464" s="41">
        <v>46153.532916666663</v>
      </c>
      <c r="W1464" s="40">
        <v>45978</v>
      </c>
      <c r="X1464" s="35" t="s">
        <v>916</v>
      </c>
      <c r="Y1464" s="35" t="s">
        <v>916</v>
      </c>
      <c r="Z1464" s="35" t="s">
        <v>916</v>
      </c>
      <c r="AA1464" s="38">
        <v>1043.9922222216001</v>
      </c>
      <c r="AB1464" s="42" t="s">
        <v>916</v>
      </c>
      <c r="AC1464" s="43" t="s">
        <v>916</v>
      </c>
      <c r="AD1464" s="43" t="s">
        <v>916</v>
      </c>
      <c r="AE1464" s="33" t="s">
        <v>3982</v>
      </c>
      <c r="AF1464" s="35" t="s">
        <v>916</v>
      </c>
      <c r="AG1464" s="44">
        <v>489828.00777777768</v>
      </c>
      <c r="AH1464" s="42" t="s">
        <v>916</v>
      </c>
      <c r="AI1464" s="32" t="e">
        <f>VLOOKUP(A1464,'4月明細'!B:B,1,0)</f>
        <v>#N/A</v>
      </c>
    </row>
    <row r="1465" spans="1:35" ht="19.95" customHeight="1" x14ac:dyDescent="0.3">
      <c r="A1465" s="33" t="s">
        <v>5123</v>
      </c>
      <c r="B1465" s="34">
        <v>45978.481944444444</v>
      </c>
      <c r="C1465" s="34" t="str">
        <f t="shared" si="35"/>
        <v>202511</v>
      </c>
      <c r="D1465" s="35" t="s">
        <v>909</v>
      </c>
      <c r="E1465" s="36" t="s">
        <v>910</v>
      </c>
      <c r="F1465" s="36" t="s">
        <v>1792</v>
      </c>
      <c r="G1465" s="37" t="s">
        <v>5124</v>
      </c>
      <c r="H1465" s="36" t="s">
        <v>1352</v>
      </c>
      <c r="I1465" s="35" t="s">
        <v>5125</v>
      </c>
      <c r="J1465" s="36" t="s">
        <v>914</v>
      </c>
      <c r="K1465" s="33" t="s">
        <v>916</v>
      </c>
      <c r="L1465" s="35" t="s">
        <v>916</v>
      </c>
      <c r="M1465" s="36" t="s">
        <v>916</v>
      </c>
      <c r="N1465" s="45">
        <v>46022</v>
      </c>
      <c r="O1465" s="36" t="s">
        <v>25</v>
      </c>
      <c r="P1465" s="38">
        <v>43.5180555556</v>
      </c>
      <c r="Q1465" s="39" t="s">
        <v>5126</v>
      </c>
      <c r="R1465" s="35" t="s">
        <v>916</v>
      </c>
      <c r="S1465" s="35" t="s">
        <v>5127</v>
      </c>
      <c r="T1465" s="35" t="s">
        <v>1701</v>
      </c>
      <c r="U1465" s="40">
        <v>45979</v>
      </c>
      <c r="V1465" s="41">
        <v>46153.532916666663</v>
      </c>
      <c r="W1465" s="40">
        <v>45978</v>
      </c>
      <c r="X1465" s="35" t="s">
        <v>916</v>
      </c>
      <c r="Y1465" s="35" t="s">
        <v>916</v>
      </c>
      <c r="Z1465" s="35" t="s">
        <v>916</v>
      </c>
      <c r="AA1465" s="38">
        <v>1044.4333333344</v>
      </c>
      <c r="AB1465" s="42" t="s">
        <v>916</v>
      </c>
      <c r="AC1465" s="43" t="s">
        <v>916</v>
      </c>
      <c r="AD1465" s="43" t="s">
        <v>916</v>
      </c>
      <c r="AE1465" s="33" t="s">
        <v>3982</v>
      </c>
      <c r="AF1465" s="35" t="s">
        <v>916</v>
      </c>
      <c r="AG1465" s="44">
        <v>489827.56666666671</v>
      </c>
      <c r="AH1465" s="42" t="s">
        <v>916</v>
      </c>
      <c r="AI1465" s="32" t="e">
        <f>VLOOKUP(A1465,'4月明細'!B:B,1,0)</f>
        <v>#N/A</v>
      </c>
    </row>
    <row r="1466" spans="1:35" ht="19.95" customHeight="1" x14ac:dyDescent="0.3">
      <c r="A1466" s="33" t="s">
        <v>5128</v>
      </c>
      <c r="B1466" s="34">
        <v>45978.474641203706</v>
      </c>
      <c r="C1466" s="34" t="str">
        <f t="shared" si="35"/>
        <v>202511</v>
      </c>
      <c r="D1466" s="35" t="s">
        <v>5129</v>
      </c>
      <c r="E1466" s="36" t="s">
        <v>942</v>
      </c>
      <c r="F1466" s="36" t="s">
        <v>1121</v>
      </c>
      <c r="G1466" s="37" t="s">
        <v>5130</v>
      </c>
      <c r="H1466" s="36" t="s">
        <v>5083</v>
      </c>
      <c r="I1466" s="35" t="s">
        <v>5131</v>
      </c>
      <c r="J1466" s="36" t="s">
        <v>914</v>
      </c>
      <c r="K1466" s="33" t="s">
        <v>916</v>
      </c>
      <c r="L1466" s="35" t="s">
        <v>916</v>
      </c>
      <c r="M1466" s="36" t="s">
        <v>916</v>
      </c>
      <c r="N1466" s="45">
        <v>46022</v>
      </c>
      <c r="O1466" s="36" t="s">
        <v>25</v>
      </c>
      <c r="P1466" s="38">
        <v>43.525358796299997</v>
      </c>
      <c r="Q1466" s="39" t="s">
        <v>5132</v>
      </c>
      <c r="R1466" s="35" t="s">
        <v>916</v>
      </c>
      <c r="S1466" s="35" t="s">
        <v>5133</v>
      </c>
      <c r="T1466" s="35" t="s">
        <v>1701</v>
      </c>
      <c r="U1466" s="40">
        <v>45979</v>
      </c>
      <c r="V1466" s="41">
        <v>46153.532916666663</v>
      </c>
      <c r="W1466" s="40">
        <v>45978</v>
      </c>
      <c r="X1466" s="35" t="s">
        <v>916</v>
      </c>
      <c r="Y1466" s="35" t="s">
        <v>916</v>
      </c>
      <c r="Z1466" s="35" t="s">
        <v>916</v>
      </c>
      <c r="AA1466" s="38">
        <v>1044.6086111111999</v>
      </c>
      <c r="AB1466" s="42" t="s">
        <v>916</v>
      </c>
      <c r="AC1466" s="43" t="s">
        <v>916</v>
      </c>
      <c r="AD1466" s="43" t="s">
        <v>916</v>
      </c>
      <c r="AE1466" s="33" t="s">
        <v>3982</v>
      </c>
      <c r="AF1466" s="35" t="s">
        <v>916</v>
      </c>
      <c r="AG1466" s="44">
        <v>489827.39138888888</v>
      </c>
      <c r="AH1466" s="42" t="s">
        <v>916</v>
      </c>
      <c r="AI1466" s="32" t="e">
        <f>VLOOKUP(A1466,'4月明細'!B:B,1,0)</f>
        <v>#N/A</v>
      </c>
    </row>
    <row r="1467" spans="1:35" ht="19.95" customHeight="1" x14ac:dyDescent="0.3">
      <c r="A1467" s="33" t="s">
        <v>5134</v>
      </c>
      <c r="B1467" s="34">
        <v>45978.475543981483</v>
      </c>
      <c r="C1467" s="34" t="str">
        <f t="shared" si="35"/>
        <v>202511</v>
      </c>
      <c r="D1467" s="35" t="s">
        <v>3875</v>
      </c>
      <c r="E1467" s="36" t="s">
        <v>942</v>
      </c>
      <c r="F1467" s="36" t="s">
        <v>1121</v>
      </c>
      <c r="G1467" s="37" t="s">
        <v>5135</v>
      </c>
      <c r="H1467" s="36" t="s">
        <v>913</v>
      </c>
      <c r="I1467" s="35"/>
      <c r="J1467" s="36" t="s">
        <v>929</v>
      </c>
      <c r="K1467" s="33" t="s">
        <v>916</v>
      </c>
      <c r="L1467" s="35" t="s">
        <v>916</v>
      </c>
      <c r="M1467" s="36" t="s">
        <v>916</v>
      </c>
      <c r="N1467" s="45">
        <v>46022</v>
      </c>
      <c r="O1467" s="36" t="s">
        <v>25</v>
      </c>
      <c r="P1467" s="38">
        <v>43.524456018499997</v>
      </c>
      <c r="Q1467" s="39" t="s">
        <v>5136</v>
      </c>
      <c r="R1467" s="35" t="s">
        <v>916</v>
      </c>
      <c r="S1467" s="35"/>
      <c r="T1467" s="35" t="s">
        <v>1701</v>
      </c>
      <c r="U1467" s="40">
        <v>45979</v>
      </c>
      <c r="V1467" s="41">
        <v>46153.532916666663</v>
      </c>
      <c r="W1467" s="40">
        <v>45978</v>
      </c>
      <c r="X1467" s="35" t="s">
        <v>916</v>
      </c>
      <c r="Y1467" s="35" t="s">
        <v>916</v>
      </c>
      <c r="Z1467" s="35" t="s">
        <v>916</v>
      </c>
      <c r="AA1467" s="38">
        <v>1044.586944444</v>
      </c>
      <c r="AB1467" s="42" t="s">
        <v>916</v>
      </c>
      <c r="AC1467" s="43" t="s">
        <v>916</v>
      </c>
      <c r="AD1467" s="43" t="s">
        <v>916</v>
      </c>
      <c r="AE1467" s="33" t="s">
        <v>3982</v>
      </c>
      <c r="AF1467" s="35" t="s">
        <v>916</v>
      </c>
      <c r="AG1467" s="44">
        <v>489827.4130555556</v>
      </c>
      <c r="AH1467" s="42" t="s">
        <v>916</v>
      </c>
      <c r="AI1467" s="32" t="e">
        <f>VLOOKUP(A1467,'4月明細'!B:B,1,0)</f>
        <v>#N/A</v>
      </c>
    </row>
    <row r="1468" spans="1:35" ht="19.95" customHeight="1" x14ac:dyDescent="0.3">
      <c r="A1468" s="33" t="s">
        <v>5137</v>
      </c>
      <c r="B1468" s="34">
        <v>45978.473379629628</v>
      </c>
      <c r="C1468" s="34" t="str">
        <f t="shared" si="35"/>
        <v>202511</v>
      </c>
      <c r="D1468" s="35" t="s">
        <v>2953</v>
      </c>
      <c r="E1468" s="36" t="s">
        <v>910</v>
      </c>
      <c r="F1468" s="36" t="s">
        <v>1145</v>
      </c>
      <c r="G1468" s="37" t="s">
        <v>5138</v>
      </c>
      <c r="H1468" s="36" t="s">
        <v>4023</v>
      </c>
      <c r="I1468" s="35"/>
      <c r="J1468" s="36" t="s">
        <v>914</v>
      </c>
      <c r="K1468" s="33" t="s">
        <v>916</v>
      </c>
      <c r="L1468" s="35" t="s">
        <v>916</v>
      </c>
      <c r="M1468" s="36" t="s">
        <v>916</v>
      </c>
      <c r="N1468" s="45">
        <v>46022</v>
      </c>
      <c r="O1468" s="36" t="s">
        <v>25</v>
      </c>
      <c r="P1468" s="38">
        <v>43.526620370400003</v>
      </c>
      <c r="Q1468" s="39" t="s">
        <v>5139</v>
      </c>
      <c r="R1468" s="35" t="s">
        <v>916</v>
      </c>
      <c r="S1468" s="35" t="s">
        <v>5140</v>
      </c>
      <c r="T1468" s="35" t="s">
        <v>1701</v>
      </c>
      <c r="U1468" s="40">
        <v>45979</v>
      </c>
      <c r="V1468" s="41">
        <v>46153.532916666663</v>
      </c>
      <c r="W1468" s="40">
        <v>45978</v>
      </c>
      <c r="X1468" s="35" t="s">
        <v>916</v>
      </c>
      <c r="Y1468" s="35" t="s">
        <v>916</v>
      </c>
      <c r="Z1468" s="35" t="s">
        <v>916</v>
      </c>
      <c r="AA1468" s="38">
        <v>1044.6388888895999</v>
      </c>
      <c r="AB1468" s="42" t="s">
        <v>916</v>
      </c>
      <c r="AC1468" s="43" t="s">
        <v>916</v>
      </c>
      <c r="AD1468" s="43" t="s">
        <v>916</v>
      </c>
      <c r="AE1468" s="33" t="s">
        <v>3982</v>
      </c>
      <c r="AF1468" s="35" t="s">
        <v>916</v>
      </c>
      <c r="AG1468" s="44">
        <v>489827.36111111112</v>
      </c>
      <c r="AH1468" s="42" t="s">
        <v>916</v>
      </c>
      <c r="AI1468" s="32" t="e">
        <f>VLOOKUP(A1468,'4月明細'!B:B,1,0)</f>
        <v>#N/A</v>
      </c>
    </row>
    <row r="1469" spans="1:35" ht="19.95" customHeight="1" x14ac:dyDescent="0.3">
      <c r="A1469" s="33" t="s">
        <v>5141</v>
      </c>
      <c r="B1469" s="34">
        <v>45978.460277777776</v>
      </c>
      <c r="C1469" s="34" t="str">
        <f t="shared" si="35"/>
        <v>202511</v>
      </c>
      <c r="D1469" s="35" t="s">
        <v>909</v>
      </c>
      <c r="E1469" s="36" t="s">
        <v>910</v>
      </c>
      <c r="F1469" s="36" t="s">
        <v>1748</v>
      </c>
      <c r="G1469" s="37" t="s">
        <v>5142</v>
      </c>
      <c r="H1469" s="36" t="s">
        <v>4185</v>
      </c>
      <c r="I1469" s="35" t="s">
        <v>5143</v>
      </c>
      <c r="J1469" s="36" t="s">
        <v>914</v>
      </c>
      <c r="K1469" s="33" t="s">
        <v>916</v>
      </c>
      <c r="L1469" s="35" t="s">
        <v>916</v>
      </c>
      <c r="M1469" s="36" t="s">
        <v>916</v>
      </c>
      <c r="N1469" s="45">
        <v>46022</v>
      </c>
      <c r="O1469" s="36" t="s">
        <v>25</v>
      </c>
      <c r="P1469" s="38">
        <v>43.539722222199998</v>
      </c>
      <c r="Q1469" s="39" t="s">
        <v>5144</v>
      </c>
      <c r="R1469" s="35" t="s">
        <v>916</v>
      </c>
      <c r="S1469" s="35"/>
      <c r="T1469" s="35" t="s">
        <v>1701</v>
      </c>
      <c r="U1469" s="40">
        <v>45979</v>
      </c>
      <c r="V1469" s="41">
        <v>46153.532916666663</v>
      </c>
      <c r="W1469" s="40">
        <v>45978</v>
      </c>
      <c r="X1469" s="35" t="s">
        <v>916</v>
      </c>
      <c r="Y1469" s="35" t="s">
        <v>916</v>
      </c>
      <c r="Z1469" s="35" t="s">
        <v>916</v>
      </c>
      <c r="AA1469" s="38">
        <v>1044.9533333328</v>
      </c>
      <c r="AB1469" s="42" t="s">
        <v>916</v>
      </c>
      <c r="AC1469" s="43" t="s">
        <v>916</v>
      </c>
      <c r="AD1469" s="43" t="s">
        <v>916</v>
      </c>
      <c r="AE1469" s="33" t="s">
        <v>3982</v>
      </c>
      <c r="AF1469" s="35" t="s">
        <v>916</v>
      </c>
      <c r="AG1469" s="44">
        <v>489827.04666666657</v>
      </c>
      <c r="AH1469" s="42" t="s">
        <v>916</v>
      </c>
      <c r="AI1469" s="32" t="e">
        <f>VLOOKUP(A1469,'4月明細'!B:B,1,0)</f>
        <v>#N/A</v>
      </c>
    </row>
    <row r="1470" spans="1:35" ht="19.95" customHeight="1" x14ac:dyDescent="0.3">
      <c r="A1470" s="33" t="s">
        <v>5145</v>
      </c>
      <c r="B1470" s="34">
        <v>45977.676226851851</v>
      </c>
      <c r="C1470" s="34" t="str">
        <f t="shared" si="35"/>
        <v>202511</v>
      </c>
      <c r="D1470" s="35" t="s">
        <v>909</v>
      </c>
      <c r="E1470" s="36" t="s">
        <v>910</v>
      </c>
      <c r="F1470" s="36" t="s">
        <v>1050</v>
      </c>
      <c r="G1470" s="37" t="s">
        <v>5146</v>
      </c>
      <c r="H1470" s="36" t="s">
        <v>1079</v>
      </c>
      <c r="I1470" s="35" t="s">
        <v>5147</v>
      </c>
      <c r="J1470" s="36" t="s">
        <v>914</v>
      </c>
      <c r="K1470" s="33" t="s">
        <v>916</v>
      </c>
      <c r="L1470" s="35" t="s">
        <v>916</v>
      </c>
      <c r="M1470" s="36" t="s">
        <v>916</v>
      </c>
      <c r="N1470" s="45">
        <v>46022</v>
      </c>
      <c r="O1470" s="36" t="s">
        <v>25</v>
      </c>
      <c r="P1470" s="38">
        <v>44.323773148100003</v>
      </c>
      <c r="Q1470" s="39" t="s">
        <v>5148</v>
      </c>
      <c r="R1470" s="35" t="s">
        <v>916</v>
      </c>
      <c r="S1470" s="35" t="s">
        <v>5149</v>
      </c>
      <c r="T1470" s="35" t="s">
        <v>1701</v>
      </c>
      <c r="U1470" s="40">
        <v>45978</v>
      </c>
      <c r="V1470" s="41">
        <v>46153.53292824074</v>
      </c>
      <c r="W1470" s="40">
        <v>45977</v>
      </c>
      <c r="X1470" s="35" t="s">
        <v>916</v>
      </c>
      <c r="Y1470" s="35" t="s">
        <v>916</v>
      </c>
      <c r="Z1470" s="35" t="s">
        <v>916</v>
      </c>
      <c r="AA1470" s="38">
        <v>1063.7705555544001</v>
      </c>
      <c r="AB1470" s="42" t="s">
        <v>916</v>
      </c>
      <c r="AC1470" s="43" t="s">
        <v>916</v>
      </c>
      <c r="AD1470" s="43" t="s">
        <v>916</v>
      </c>
      <c r="AE1470" s="33" t="s">
        <v>3982</v>
      </c>
      <c r="AF1470" s="35" t="s">
        <v>916</v>
      </c>
      <c r="AG1470" s="44">
        <v>489808.22944444441</v>
      </c>
      <c r="AH1470" s="42" t="s">
        <v>916</v>
      </c>
      <c r="AI1470" s="32" t="e">
        <f>VLOOKUP(A1470,'4月明細'!B:B,1,0)</f>
        <v>#N/A</v>
      </c>
    </row>
    <row r="1471" spans="1:35" ht="19.95" customHeight="1" x14ac:dyDescent="0.3">
      <c r="A1471" s="33" t="s">
        <v>5150</v>
      </c>
      <c r="B1471" s="34">
        <v>45977.587233796294</v>
      </c>
      <c r="C1471" s="34" t="str">
        <f t="shared" si="35"/>
        <v>202511</v>
      </c>
      <c r="D1471" s="35" t="s">
        <v>909</v>
      </c>
      <c r="E1471" s="36" t="s">
        <v>910</v>
      </c>
      <c r="F1471" s="36" t="s">
        <v>1260</v>
      </c>
      <c r="G1471" s="37" t="s">
        <v>5151</v>
      </c>
      <c r="H1471" s="36" t="s">
        <v>4157</v>
      </c>
      <c r="I1471" s="35" t="s">
        <v>5152</v>
      </c>
      <c r="J1471" s="36" t="s">
        <v>929</v>
      </c>
      <c r="K1471" s="33" t="s">
        <v>916</v>
      </c>
      <c r="L1471" s="35" t="s">
        <v>916</v>
      </c>
      <c r="M1471" s="36" t="s">
        <v>916</v>
      </c>
      <c r="N1471" s="45">
        <v>46022</v>
      </c>
      <c r="O1471" s="36" t="s">
        <v>25</v>
      </c>
      <c r="P1471" s="38">
        <v>44.412766203700002</v>
      </c>
      <c r="Q1471" s="39" t="s">
        <v>1071</v>
      </c>
      <c r="R1471" s="35" t="s">
        <v>916</v>
      </c>
      <c r="S1471" s="35" t="s">
        <v>5153</v>
      </c>
      <c r="T1471" s="35" t="s">
        <v>1701</v>
      </c>
      <c r="U1471" s="40">
        <v>45978</v>
      </c>
      <c r="V1471" s="41">
        <v>46153.53292824074</v>
      </c>
      <c r="W1471" s="40">
        <v>45977</v>
      </c>
      <c r="X1471" s="35" t="s">
        <v>916</v>
      </c>
      <c r="Y1471" s="35" t="s">
        <v>916</v>
      </c>
      <c r="Z1471" s="35" t="s">
        <v>916</v>
      </c>
      <c r="AA1471" s="38">
        <v>1065.9063888887999</v>
      </c>
      <c r="AB1471" s="42" t="s">
        <v>916</v>
      </c>
      <c r="AC1471" s="43" t="s">
        <v>916</v>
      </c>
      <c r="AD1471" s="43" t="s">
        <v>916</v>
      </c>
      <c r="AE1471" s="33" t="s">
        <v>3982</v>
      </c>
      <c r="AF1471" s="35" t="s">
        <v>916</v>
      </c>
      <c r="AG1471" s="44">
        <v>489806.09361111122</v>
      </c>
      <c r="AH1471" s="42" t="s">
        <v>916</v>
      </c>
      <c r="AI1471" s="32" t="e">
        <f>VLOOKUP(A1471,'4月明細'!B:B,1,0)</f>
        <v>#N/A</v>
      </c>
    </row>
    <row r="1472" spans="1:35" ht="19.95" customHeight="1" x14ac:dyDescent="0.3">
      <c r="A1472" s="33" t="s">
        <v>5154</v>
      </c>
      <c r="B1472" s="34">
        <v>45977.546724537038</v>
      </c>
      <c r="C1472" s="34" t="str">
        <f t="shared" si="35"/>
        <v>202511</v>
      </c>
      <c r="D1472" s="35" t="s">
        <v>951</v>
      </c>
      <c r="E1472" s="36" t="s">
        <v>910</v>
      </c>
      <c r="F1472" s="36" t="s">
        <v>1768</v>
      </c>
      <c r="G1472" s="37" t="s">
        <v>5155</v>
      </c>
      <c r="H1472" s="36" t="s">
        <v>956</v>
      </c>
      <c r="I1472" s="35"/>
      <c r="J1472" s="36" t="s">
        <v>914</v>
      </c>
      <c r="K1472" s="33" t="s">
        <v>916</v>
      </c>
      <c r="L1472" s="35" t="s">
        <v>916</v>
      </c>
      <c r="M1472" s="36" t="s">
        <v>916</v>
      </c>
      <c r="N1472" s="45">
        <v>46022</v>
      </c>
      <c r="O1472" s="36" t="s">
        <v>25</v>
      </c>
      <c r="P1472" s="38">
        <v>44.453275462999997</v>
      </c>
      <c r="Q1472" s="39" t="s">
        <v>1739</v>
      </c>
      <c r="R1472" s="35" t="s">
        <v>916</v>
      </c>
      <c r="S1472" s="35" t="s">
        <v>5156</v>
      </c>
      <c r="T1472" s="35" t="s">
        <v>1701</v>
      </c>
      <c r="U1472" s="40">
        <v>45978</v>
      </c>
      <c r="V1472" s="41">
        <v>46153.53292824074</v>
      </c>
      <c r="W1472" s="40">
        <v>45977</v>
      </c>
      <c r="X1472" s="35" t="s">
        <v>916</v>
      </c>
      <c r="Y1472" s="35" t="s">
        <v>916</v>
      </c>
      <c r="Z1472" s="35" t="s">
        <v>916</v>
      </c>
      <c r="AA1472" s="38">
        <v>1066.878611112</v>
      </c>
      <c r="AB1472" s="42" t="s">
        <v>916</v>
      </c>
      <c r="AC1472" s="43" t="s">
        <v>916</v>
      </c>
      <c r="AD1472" s="43" t="s">
        <v>916</v>
      </c>
      <c r="AE1472" s="33" t="s">
        <v>3982</v>
      </c>
      <c r="AF1472" s="35" t="s">
        <v>916</v>
      </c>
      <c r="AG1472" s="44">
        <v>489805.12138888892</v>
      </c>
      <c r="AH1472" s="42" t="s">
        <v>916</v>
      </c>
      <c r="AI1472" s="32" t="e">
        <f>VLOOKUP(A1472,'4月明細'!B:B,1,0)</f>
        <v>#N/A</v>
      </c>
    </row>
    <row r="1473" spans="1:35" ht="19.95" customHeight="1" x14ac:dyDescent="0.3">
      <c r="A1473" s="33" t="s">
        <v>5157</v>
      </c>
      <c r="B1473" s="34">
        <v>45977.524224537039</v>
      </c>
      <c r="C1473" s="34" t="str">
        <f t="shared" si="35"/>
        <v>202511</v>
      </c>
      <c r="D1473" s="35" t="s">
        <v>1360</v>
      </c>
      <c r="E1473" s="36" t="s">
        <v>910</v>
      </c>
      <c r="F1473" s="36" t="s">
        <v>1295</v>
      </c>
      <c r="G1473" s="37" t="s">
        <v>5158</v>
      </c>
      <c r="H1473" s="36" t="s">
        <v>3991</v>
      </c>
      <c r="I1473" s="35" t="s">
        <v>5159</v>
      </c>
      <c r="J1473" s="36" t="s">
        <v>1058</v>
      </c>
      <c r="K1473" s="33" t="s">
        <v>916</v>
      </c>
      <c r="L1473" s="35" t="s">
        <v>916</v>
      </c>
      <c r="M1473" s="36" t="s">
        <v>916</v>
      </c>
      <c r="N1473" s="45">
        <v>46022</v>
      </c>
      <c r="O1473" s="36" t="s">
        <v>25</v>
      </c>
      <c r="P1473" s="38">
        <v>44.475775462999998</v>
      </c>
      <c r="Q1473" s="39" t="s">
        <v>1366</v>
      </c>
      <c r="R1473" s="35" t="s">
        <v>916</v>
      </c>
      <c r="S1473" s="35" t="s">
        <v>5160</v>
      </c>
      <c r="T1473" s="35" t="s">
        <v>1701</v>
      </c>
      <c r="U1473" s="40">
        <v>45978</v>
      </c>
      <c r="V1473" s="41">
        <v>46153.53292824074</v>
      </c>
      <c r="W1473" s="40">
        <v>45977</v>
      </c>
      <c r="X1473" s="35" t="s">
        <v>916</v>
      </c>
      <c r="Y1473" s="35" t="s">
        <v>916</v>
      </c>
      <c r="Z1473" s="35" t="s">
        <v>916</v>
      </c>
      <c r="AA1473" s="38">
        <v>1067.418611112</v>
      </c>
      <c r="AB1473" s="42" t="s">
        <v>916</v>
      </c>
      <c r="AC1473" s="43" t="s">
        <v>916</v>
      </c>
      <c r="AD1473" s="43" t="s">
        <v>916</v>
      </c>
      <c r="AE1473" s="33" t="s">
        <v>3982</v>
      </c>
      <c r="AF1473" s="35" t="s">
        <v>916</v>
      </c>
      <c r="AG1473" s="44">
        <v>489804.58138888888</v>
      </c>
      <c r="AH1473" s="42" t="s">
        <v>916</v>
      </c>
      <c r="AI1473" s="32" t="e">
        <f>VLOOKUP(A1473,'4月明細'!B:B,1,0)</f>
        <v>#N/A</v>
      </c>
    </row>
    <row r="1474" spans="1:35" ht="19.95" customHeight="1" x14ac:dyDescent="0.3">
      <c r="A1474" s="33" t="s">
        <v>5161</v>
      </c>
      <c r="B1474" s="34">
        <v>45976.669849537036</v>
      </c>
      <c r="C1474" s="34" t="str">
        <f t="shared" si="35"/>
        <v>202511</v>
      </c>
      <c r="D1474" s="35" t="s">
        <v>909</v>
      </c>
      <c r="E1474" s="36" t="s">
        <v>910</v>
      </c>
      <c r="F1474" s="36" t="s">
        <v>1253</v>
      </c>
      <c r="G1474" s="37" t="s">
        <v>3298</v>
      </c>
      <c r="H1474" s="36" t="s">
        <v>4065</v>
      </c>
      <c r="I1474" s="35" t="s">
        <v>5162</v>
      </c>
      <c r="J1474" s="36" t="s">
        <v>1058</v>
      </c>
      <c r="K1474" s="33" t="s">
        <v>916</v>
      </c>
      <c r="L1474" s="35" t="s">
        <v>916</v>
      </c>
      <c r="M1474" s="36" t="s">
        <v>916</v>
      </c>
      <c r="N1474" s="45">
        <v>46022</v>
      </c>
      <c r="O1474" s="36" t="s">
        <v>25</v>
      </c>
      <c r="P1474" s="38">
        <v>45.330150463000003</v>
      </c>
      <c r="Q1474" s="39" t="s">
        <v>5163</v>
      </c>
      <c r="R1474" s="35" t="s">
        <v>916</v>
      </c>
      <c r="S1474" s="35" t="s">
        <v>5164</v>
      </c>
      <c r="T1474" s="35" t="s">
        <v>1701</v>
      </c>
      <c r="U1474" s="40">
        <v>45977</v>
      </c>
      <c r="V1474" s="41">
        <v>46153.53292824074</v>
      </c>
      <c r="W1474" s="40">
        <v>45976</v>
      </c>
      <c r="X1474" s="35" t="s">
        <v>916</v>
      </c>
      <c r="Y1474" s="35" t="s">
        <v>916</v>
      </c>
      <c r="Z1474" s="35" t="s">
        <v>916</v>
      </c>
      <c r="AA1474" s="38">
        <v>1087.9236111119999</v>
      </c>
      <c r="AB1474" s="42" t="s">
        <v>916</v>
      </c>
      <c r="AC1474" s="43" t="s">
        <v>916</v>
      </c>
      <c r="AD1474" s="43" t="s">
        <v>916</v>
      </c>
      <c r="AE1474" s="33" t="s">
        <v>3982</v>
      </c>
      <c r="AF1474" s="35" t="s">
        <v>916</v>
      </c>
      <c r="AG1474" s="44">
        <v>489784.07638888888</v>
      </c>
      <c r="AH1474" s="42" t="s">
        <v>916</v>
      </c>
      <c r="AI1474" s="32" t="e">
        <f>VLOOKUP(A1474,'4月明細'!B:B,1,0)</f>
        <v>#N/A</v>
      </c>
    </row>
    <row r="1475" spans="1:35" ht="19.95" customHeight="1" x14ac:dyDescent="0.3">
      <c r="A1475" s="33" t="s">
        <v>5165</v>
      </c>
      <c r="B1475" s="34">
        <v>45976.649074074077</v>
      </c>
      <c r="C1475" s="34" t="str">
        <f t="shared" ref="C1475:C1538" si="36">TEXT(B1475,"YYYYMM")</f>
        <v>202511</v>
      </c>
      <c r="D1475" s="35" t="s">
        <v>951</v>
      </c>
      <c r="E1475" s="36" t="s">
        <v>910</v>
      </c>
      <c r="F1475" s="36" t="s">
        <v>1010</v>
      </c>
      <c r="G1475" s="37" t="s">
        <v>5166</v>
      </c>
      <c r="H1475" s="36" t="s">
        <v>1079</v>
      </c>
      <c r="I1475" s="35" t="s">
        <v>5167</v>
      </c>
      <c r="J1475" s="36" t="s">
        <v>914</v>
      </c>
      <c r="K1475" s="33" t="s">
        <v>916</v>
      </c>
      <c r="L1475" s="35" t="s">
        <v>916</v>
      </c>
      <c r="M1475" s="36" t="s">
        <v>916</v>
      </c>
      <c r="N1475" s="45">
        <v>46022</v>
      </c>
      <c r="O1475" s="36" t="s">
        <v>25</v>
      </c>
      <c r="P1475" s="38">
        <v>45.3509259259</v>
      </c>
      <c r="Q1475" s="39" t="s">
        <v>5168</v>
      </c>
      <c r="R1475" s="35" t="s">
        <v>916</v>
      </c>
      <c r="S1475" s="35" t="s">
        <v>5169</v>
      </c>
      <c r="T1475" s="35" t="s">
        <v>1701</v>
      </c>
      <c r="U1475" s="40">
        <v>45977</v>
      </c>
      <c r="V1475" s="41">
        <v>46153.53292824074</v>
      </c>
      <c r="W1475" s="40">
        <v>45976</v>
      </c>
      <c r="X1475" s="35" t="s">
        <v>916</v>
      </c>
      <c r="Y1475" s="35" t="s">
        <v>916</v>
      </c>
      <c r="Z1475" s="35" t="s">
        <v>916</v>
      </c>
      <c r="AA1475" s="38">
        <v>1088.4222222215999</v>
      </c>
      <c r="AB1475" s="42" t="s">
        <v>916</v>
      </c>
      <c r="AC1475" s="43" t="s">
        <v>916</v>
      </c>
      <c r="AD1475" s="43" t="s">
        <v>916</v>
      </c>
      <c r="AE1475" s="33" t="s">
        <v>3982</v>
      </c>
      <c r="AF1475" s="35" t="s">
        <v>916</v>
      </c>
      <c r="AG1475" s="44">
        <v>489783.5777777778</v>
      </c>
      <c r="AH1475" s="42" t="s">
        <v>916</v>
      </c>
      <c r="AI1475" s="32" t="e">
        <f>VLOOKUP(A1475,'4月明細'!B:B,1,0)</f>
        <v>#N/A</v>
      </c>
    </row>
    <row r="1476" spans="1:35" ht="19.95" customHeight="1" x14ac:dyDescent="0.3">
      <c r="A1476" s="33" t="s">
        <v>5170</v>
      </c>
      <c r="B1476" s="34">
        <v>45976.598078703704</v>
      </c>
      <c r="C1476" s="34" t="str">
        <f t="shared" si="36"/>
        <v>202511</v>
      </c>
      <c r="D1476" s="35" t="s">
        <v>951</v>
      </c>
      <c r="E1476" s="36" t="s">
        <v>910</v>
      </c>
      <c r="F1476" s="36" t="s">
        <v>1870</v>
      </c>
      <c r="G1476" s="37" t="s">
        <v>5171</v>
      </c>
      <c r="H1476" s="36" t="s">
        <v>970</v>
      </c>
      <c r="I1476" s="35" t="s">
        <v>5172</v>
      </c>
      <c r="J1476" s="36" t="s">
        <v>914</v>
      </c>
      <c r="K1476" s="33" t="s">
        <v>916</v>
      </c>
      <c r="L1476" s="35" t="s">
        <v>916</v>
      </c>
      <c r="M1476" s="36" t="s">
        <v>916</v>
      </c>
      <c r="N1476" s="45">
        <v>46022</v>
      </c>
      <c r="O1476" s="36" t="s">
        <v>25</v>
      </c>
      <c r="P1476" s="38">
        <v>45.401921296300003</v>
      </c>
      <c r="Q1476" s="39" t="s">
        <v>5173</v>
      </c>
      <c r="R1476" s="35" t="s">
        <v>916</v>
      </c>
      <c r="S1476" s="35" t="s">
        <v>5174</v>
      </c>
      <c r="T1476" s="35" t="s">
        <v>1701</v>
      </c>
      <c r="U1476" s="40">
        <v>45977</v>
      </c>
      <c r="V1476" s="41">
        <v>46153.53292824074</v>
      </c>
      <c r="W1476" s="40">
        <v>45976</v>
      </c>
      <c r="X1476" s="35" t="s">
        <v>916</v>
      </c>
      <c r="Y1476" s="35" t="s">
        <v>916</v>
      </c>
      <c r="Z1476" s="35" t="s">
        <v>916</v>
      </c>
      <c r="AA1476" s="38">
        <v>1089.6461111112001</v>
      </c>
      <c r="AB1476" s="42" t="s">
        <v>916</v>
      </c>
      <c r="AC1476" s="43" t="s">
        <v>916</v>
      </c>
      <c r="AD1476" s="43" t="s">
        <v>916</v>
      </c>
      <c r="AE1476" s="33" t="s">
        <v>3982</v>
      </c>
      <c r="AF1476" s="35" t="s">
        <v>916</v>
      </c>
      <c r="AG1476" s="44">
        <v>489782.3538888889</v>
      </c>
      <c r="AH1476" s="42" t="s">
        <v>916</v>
      </c>
      <c r="AI1476" s="32" t="e">
        <f>VLOOKUP(A1476,'4月明細'!B:B,1,0)</f>
        <v>#N/A</v>
      </c>
    </row>
    <row r="1477" spans="1:35" ht="19.95" customHeight="1" x14ac:dyDescent="0.3">
      <c r="A1477" s="33" t="s">
        <v>5175</v>
      </c>
      <c r="B1477" s="34">
        <v>45976.591157407405</v>
      </c>
      <c r="C1477" s="34" t="str">
        <f t="shared" si="36"/>
        <v>202511</v>
      </c>
      <c r="D1477" s="35" t="s">
        <v>951</v>
      </c>
      <c r="E1477" s="36" t="s">
        <v>910</v>
      </c>
      <c r="F1477" s="36" t="s">
        <v>1870</v>
      </c>
      <c r="G1477" s="37" t="s">
        <v>5176</v>
      </c>
      <c r="H1477" s="36" t="s">
        <v>4007</v>
      </c>
      <c r="I1477" s="35" t="s">
        <v>5177</v>
      </c>
      <c r="J1477" s="36" t="s">
        <v>914</v>
      </c>
      <c r="K1477" s="33" t="s">
        <v>916</v>
      </c>
      <c r="L1477" s="35" t="s">
        <v>916</v>
      </c>
      <c r="M1477" s="36" t="s">
        <v>916</v>
      </c>
      <c r="N1477" s="45">
        <v>46022</v>
      </c>
      <c r="O1477" s="36" t="s">
        <v>25</v>
      </c>
      <c r="P1477" s="38">
        <v>45.408842592600003</v>
      </c>
      <c r="Q1477" s="39" t="s">
        <v>5178</v>
      </c>
      <c r="R1477" s="35" t="s">
        <v>916</v>
      </c>
      <c r="S1477" s="35" t="s">
        <v>5179</v>
      </c>
      <c r="T1477" s="35" t="s">
        <v>1701</v>
      </c>
      <c r="U1477" s="40">
        <v>45977</v>
      </c>
      <c r="V1477" s="41">
        <v>46153.53292824074</v>
      </c>
      <c r="W1477" s="40">
        <v>45976</v>
      </c>
      <c r="X1477" s="35" t="s">
        <v>916</v>
      </c>
      <c r="Y1477" s="35" t="s">
        <v>916</v>
      </c>
      <c r="Z1477" s="35" t="s">
        <v>916</v>
      </c>
      <c r="AA1477" s="38">
        <v>1089.8122222223999</v>
      </c>
      <c r="AB1477" s="42" t="s">
        <v>916</v>
      </c>
      <c r="AC1477" s="43" t="s">
        <v>916</v>
      </c>
      <c r="AD1477" s="43" t="s">
        <v>916</v>
      </c>
      <c r="AE1477" s="33" t="s">
        <v>3982</v>
      </c>
      <c r="AF1477" s="35" t="s">
        <v>916</v>
      </c>
      <c r="AG1477" s="44">
        <v>489782.18777777778</v>
      </c>
      <c r="AH1477" s="42" t="s">
        <v>916</v>
      </c>
      <c r="AI1477" s="32" t="e">
        <f>VLOOKUP(A1477,'4月明細'!B:B,1,0)</f>
        <v>#N/A</v>
      </c>
    </row>
    <row r="1478" spans="1:35" ht="19.95" customHeight="1" x14ac:dyDescent="0.3">
      <c r="A1478" s="33" t="s">
        <v>5180</v>
      </c>
      <c r="B1478" s="34">
        <v>45976.550474537034</v>
      </c>
      <c r="C1478" s="34" t="str">
        <f t="shared" si="36"/>
        <v>202511</v>
      </c>
      <c r="D1478" s="35" t="s">
        <v>1587</v>
      </c>
      <c r="E1478" s="36" t="s">
        <v>942</v>
      </c>
      <c r="F1478" s="36" t="s">
        <v>1121</v>
      </c>
      <c r="G1478" s="37" t="s">
        <v>5181</v>
      </c>
      <c r="H1478" s="36" t="s">
        <v>4023</v>
      </c>
      <c r="I1478" s="35"/>
      <c r="J1478" s="36" t="s">
        <v>1058</v>
      </c>
      <c r="K1478" s="33" t="s">
        <v>916</v>
      </c>
      <c r="L1478" s="35" t="s">
        <v>916</v>
      </c>
      <c r="M1478" s="36" t="s">
        <v>916</v>
      </c>
      <c r="N1478" s="45">
        <v>46022</v>
      </c>
      <c r="O1478" s="36" t="s">
        <v>25</v>
      </c>
      <c r="P1478" s="38">
        <v>45.449525463000001</v>
      </c>
      <c r="Q1478" s="39" t="s">
        <v>5182</v>
      </c>
      <c r="R1478" s="35" t="s">
        <v>916</v>
      </c>
      <c r="S1478" s="35" t="s">
        <v>5183</v>
      </c>
      <c r="T1478" s="35" t="s">
        <v>1701</v>
      </c>
      <c r="U1478" s="40">
        <v>45977</v>
      </c>
      <c r="V1478" s="41">
        <v>46153.53292824074</v>
      </c>
      <c r="W1478" s="40">
        <v>45976</v>
      </c>
      <c r="X1478" s="35" t="s">
        <v>916</v>
      </c>
      <c r="Y1478" s="35" t="s">
        <v>916</v>
      </c>
      <c r="Z1478" s="35" t="s">
        <v>916</v>
      </c>
      <c r="AA1478" s="38">
        <v>1090.7886111119999</v>
      </c>
      <c r="AB1478" s="42" t="s">
        <v>916</v>
      </c>
      <c r="AC1478" s="43" t="s">
        <v>916</v>
      </c>
      <c r="AD1478" s="43" t="s">
        <v>916</v>
      </c>
      <c r="AE1478" s="33" t="s">
        <v>3982</v>
      </c>
      <c r="AF1478" s="35" t="s">
        <v>916</v>
      </c>
      <c r="AG1478" s="44">
        <v>489781.21138888889</v>
      </c>
      <c r="AH1478" s="42" t="s">
        <v>916</v>
      </c>
      <c r="AI1478" s="32" t="e">
        <f>VLOOKUP(A1478,'4月明細'!B:B,1,0)</f>
        <v>#N/A</v>
      </c>
    </row>
    <row r="1479" spans="1:35" ht="19.95" customHeight="1" x14ac:dyDescent="0.3">
      <c r="A1479" s="33" t="s">
        <v>5184</v>
      </c>
      <c r="B1479" s="34">
        <v>45976.49324074074</v>
      </c>
      <c r="C1479" s="34" t="str">
        <f t="shared" si="36"/>
        <v>202511</v>
      </c>
      <c r="D1479" s="35" t="s">
        <v>909</v>
      </c>
      <c r="E1479" s="36" t="s">
        <v>910</v>
      </c>
      <c r="F1479" s="36" t="s">
        <v>1938</v>
      </c>
      <c r="G1479" s="37" t="s">
        <v>5185</v>
      </c>
      <c r="H1479" s="36" t="s">
        <v>4481</v>
      </c>
      <c r="I1479" s="35" t="s">
        <v>5186</v>
      </c>
      <c r="J1479" s="36" t="s">
        <v>914</v>
      </c>
      <c r="K1479" s="33" t="s">
        <v>916</v>
      </c>
      <c r="L1479" s="35" t="s">
        <v>916</v>
      </c>
      <c r="M1479" s="36" t="s">
        <v>916</v>
      </c>
      <c r="N1479" s="45">
        <v>46022</v>
      </c>
      <c r="O1479" s="36" t="s">
        <v>25</v>
      </c>
      <c r="P1479" s="38">
        <v>45.506759259299997</v>
      </c>
      <c r="Q1479" s="39" t="s">
        <v>5187</v>
      </c>
      <c r="R1479" s="35" t="s">
        <v>916</v>
      </c>
      <c r="S1479" s="35" t="s">
        <v>5188</v>
      </c>
      <c r="T1479" s="35" t="s">
        <v>1701</v>
      </c>
      <c r="U1479" s="40">
        <v>45977</v>
      </c>
      <c r="V1479" s="41">
        <v>46153.53292824074</v>
      </c>
      <c r="W1479" s="40">
        <v>45976</v>
      </c>
      <c r="X1479" s="35" t="s">
        <v>916</v>
      </c>
      <c r="Y1479" s="35" t="s">
        <v>916</v>
      </c>
      <c r="Z1479" s="35" t="s">
        <v>916</v>
      </c>
      <c r="AA1479" s="38">
        <v>1092.1622222231999</v>
      </c>
      <c r="AB1479" s="42" t="s">
        <v>916</v>
      </c>
      <c r="AC1479" s="43" t="s">
        <v>916</v>
      </c>
      <c r="AD1479" s="43" t="s">
        <v>916</v>
      </c>
      <c r="AE1479" s="33" t="s">
        <v>3982</v>
      </c>
      <c r="AF1479" s="35" t="s">
        <v>916</v>
      </c>
      <c r="AG1479" s="44">
        <v>489779.83777777769</v>
      </c>
      <c r="AH1479" s="42" t="s">
        <v>916</v>
      </c>
      <c r="AI1479" s="32" t="e">
        <f>VLOOKUP(A1479,'4月明細'!B:B,1,0)</f>
        <v>#N/A</v>
      </c>
    </row>
    <row r="1480" spans="1:35" ht="19.95" customHeight="1" x14ac:dyDescent="0.3">
      <c r="A1480" s="33" t="s">
        <v>5189</v>
      </c>
      <c r="B1480" s="34">
        <v>45975.623206018521</v>
      </c>
      <c r="C1480" s="34" t="str">
        <f t="shared" si="36"/>
        <v>202511</v>
      </c>
      <c r="D1480" s="35" t="s">
        <v>909</v>
      </c>
      <c r="E1480" s="36" t="s">
        <v>910</v>
      </c>
      <c r="F1480" s="36" t="s">
        <v>2300</v>
      </c>
      <c r="G1480" s="37" t="s">
        <v>5190</v>
      </c>
      <c r="H1480" s="36" t="s">
        <v>4023</v>
      </c>
      <c r="I1480" s="35" t="s">
        <v>5191</v>
      </c>
      <c r="J1480" s="36" t="s">
        <v>914</v>
      </c>
      <c r="K1480" s="33" t="s">
        <v>916</v>
      </c>
      <c r="L1480" s="35" t="s">
        <v>916</v>
      </c>
      <c r="M1480" s="36" t="s">
        <v>917</v>
      </c>
      <c r="N1480" s="45">
        <v>46022</v>
      </c>
      <c r="O1480" s="36" t="s">
        <v>25</v>
      </c>
      <c r="P1480" s="38">
        <v>46.376793981500001</v>
      </c>
      <c r="Q1480" s="39" t="s">
        <v>5192</v>
      </c>
      <c r="R1480" s="35" t="s">
        <v>916</v>
      </c>
      <c r="S1480" s="35"/>
      <c r="T1480" s="35" t="s">
        <v>1701</v>
      </c>
      <c r="U1480" s="40">
        <v>45976</v>
      </c>
      <c r="V1480" s="41">
        <v>46153.53292824074</v>
      </c>
      <c r="W1480" s="40">
        <v>45975</v>
      </c>
      <c r="X1480" s="35" t="s">
        <v>916</v>
      </c>
      <c r="Y1480" s="35" t="s">
        <v>916</v>
      </c>
      <c r="Z1480" s="35" t="s">
        <v>916</v>
      </c>
      <c r="AA1480" s="38">
        <v>1113.0430555559999</v>
      </c>
      <c r="AB1480" s="42" t="s">
        <v>916</v>
      </c>
      <c r="AC1480" s="43" t="s">
        <v>916</v>
      </c>
      <c r="AD1480" s="43" t="s">
        <v>916</v>
      </c>
      <c r="AE1480" s="33" t="s">
        <v>3982</v>
      </c>
      <c r="AF1480" s="35" t="s">
        <v>916</v>
      </c>
      <c r="AG1480" s="44">
        <v>489758.95694444439</v>
      </c>
      <c r="AH1480" s="42" t="s">
        <v>916</v>
      </c>
      <c r="AI1480" s="32" t="e">
        <f>VLOOKUP(A1480,'4月明細'!B:B,1,0)</f>
        <v>#N/A</v>
      </c>
    </row>
    <row r="1481" spans="1:35" ht="19.95" customHeight="1" x14ac:dyDescent="0.3">
      <c r="A1481" s="33" t="s">
        <v>5193</v>
      </c>
      <c r="B1481" s="34">
        <v>45975.600347222222</v>
      </c>
      <c r="C1481" s="34" t="str">
        <f t="shared" si="36"/>
        <v>202511</v>
      </c>
      <c r="D1481" s="35" t="s">
        <v>996</v>
      </c>
      <c r="E1481" s="36" t="s">
        <v>910</v>
      </c>
      <c r="F1481" s="36" t="s">
        <v>1890</v>
      </c>
      <c r="G1481" s="37" t="s">
        <v>5194</v>
      </c>
      <c r="H1481" s="36" t="s">
        <v>3979</v>
      </c>
      <c r="I1481" s="35"/>
      <c r="J1481" s="36" t="s">
        <v>914</v>
      </c>
      <c r="K1481" s="33" t="s">
        <v>916</v>
      </c>
      <c r="L1481" s="35" t="s">
        <v>916</v>
      </c>
      <c r="M1481" s="36" t="s">
        <v>917</v>
      </c>
      <c r="N1481" s="45">
        <v>46022</v>
      </c>
      <c r="O1481" s="36" t="s">
        <v>25</v>
      </c>
      <c r="P1481" s="38">
        <v>46.3996527778</v>
      </c>
      <c r="Q1481" s="39" t="s">
        <v>5195</v>
      </c>
      <c r="R1481" s="35" t="s">
        <v>916</v>
      </c>
      <c r="S1481" s="35"/>
      <c r="T1481" s="35" t="s">
        <v>1701</v>
      </c>
      <c r="U1481" s="40">
        <v>45976</v>
      </c>
      <c r="V1481" s="41">
        <v>46153.53292824074</v>
      </c>
      <c r="W1481" s="40">
        <v>45975</v>
      </c>
      <c r="X1481" s="35" t="s">
        <v>916</v>
      </c>
      <c r="Y1481" s="35" t="s">
        <v>916</v>
      </c>
      <c r="Z1481" s="35" t="s">
        <v>916</v>
      </c>
      <c r="AA1481" s="38">
        <v>1113.5916666671999</v>
      </c>
      <c r="AB1481" s="42" t="s">
        <v>916</v>
      </c>
      <c r="AC1481" s="43" t="s">
        <v>916</v>
      </c>
      <c r="AD1481" s="43" t="s">
        <v>916</v>
      </c>
      <c r="AE1481" s="33" t="s">
        <v>3982</v>
      </c>
      <c r="AF1481" s="35" t="s">
        <v>916</v>
      </c>
      <c r="AG1481" s="44">
        <v>489758.40833333333</v>
      </c>
      <c r="AH1481" s="42" t="s">
        <v>916</v>
      </c>
      <c r="AI1481" s="32" t="e">
        <f>VLOOKUP(A1481,'4月明細'!B:B,1,0)</f>
        <v>#N/A</v>
      </c>
    </row>
    <row r="1482" spans="1:35" ht="19.95" customHeight="1" x14ac:dyDescent="0.3">
      <c r="A1482" s="33" t="s">
        <v>5196</v>
      </c>
      <c r="B1482" s="34">
        <v>45975.537986111114</v>
      </c>
      <c r="C1482" s="34" t="str">
        <f t="shared" si="36"/>
        <v>202511</v>
      </c>
      <c r="D1482" s="35" t="s">
        <v>996</v>
      </c>
      <c r="E1482" s="36" t="s">
        <v>910</v>
      </c>
      <c r="F1482" s="36" t="s">
        <v>1723</v>
      </c>
      <c r="G1482" s="37" t="s">
        <v>5197</v>
      </c>
      <c r="H1482" s="36" t="s">
        <v>4185</v>
      </c>
      <c r="I1482" s="35"/>
      <c r="J1482" s="36" t="s">
        <v>914</v>
      </c>
      <c r="K1482" s="33" t="s">
        <v>916</v>
      </c>
      <c r="L1482" s="35" t="s">
        <v>916</v>
      </c>
      <c r="M1482" s="36" t="s">
        <v>917</v>
      </c>
      <c r="N1482" s="45">
        <v>46022</v>
      </c>
      <c r="O1482" s="36" t="s">
        <v>25</v>
      </c>
      <c r="P1482" s="38">
        <v>46.462013888900003</v>
      </c>
      <c r="Q1482" s="39" t="s">
        <v>5198</v>
      </c>
      <c r="R1482" s="35" t="s">
        <v>916</v>
      </c>
      <c r="S1482" s="35"/>
      <c r="T1482" s="35" t="s">
        <v>1701</v>
      </c>
      <c r="U1482" s="40">
        <v>45976</v>
      </c>
      <c r="V1482" s="41">
        <v>46153.53292824074</v>
      </c>
      <c r="W1482" s="40">
        <v>45975</v>
      </c>
      <c r="X1482" s="35" t="s">
        <v>916</v>
      </c>
      <c r="Y1482" s="35" t="s">
        <v>916</v>
      </c>
      <c r="Z1482" s="35" t="s">
        <v>916</v>
      </c>
      <c r="AA1482" s="38">
        <v>1115.0883333336001</v>
      </c>
      <c r="AB1482" s="42" t="s">
        <v>916</v>
      </c>
      <c r="AC1482" s="43" t="s">
        <v>916</v>
      </c>
      <c r="AD1482" s="43" t="s">
        <v>916</v>
      </c>
      <c r="AE1482" s="33" t="s">
        <v>3982</v>
      </c>
      <c r="AF1482" s="35" t="s">
        <v>916</v>
      </c>
      <c r="AG1482" s="44">
        <v>489756.91166666662</v>
      </c>
      <c r="AH1482" s="42" t="s">
        <v>916</v>
      </c>
      <c r="AI1482" s="32" t="e">
        <f>VLOOKUP(A1482,'4月明細'!B:B,1,0)</f>
        <v>#N/A</v>
      </c>
    </row>
    <row r="1483" spans="1:35" ht="19.95" customHeight="1" x14ac:dyDescent="0.3">
      <c r="A1483" s="33" t="s">
        <v>5199</v>
      </c>
      <c r="B1483" s="34">
        <v>45974.658414351848</v>
      </c>
      <c r="C1483" s="34" t="str">
        <f t="shared" si="36"/>
        <v>202511</v>
      </c>
      <c r="D1483" s="35" t="s">
        <v>909</v>
      </c>
      <c r="E1483" s="36" t="s">
        <v>910</v>
      </c>
      <c r="F1483" s="36" t="s">
        <v>1770</v>
      </c>
      <c r="G1483" s="37" t="s">
        <v>5200</v>
      </c>
      <c r="H1483" s="36" t="s">
        <v>4162</v>
      </c>
      <c r="I1483" s="35" t="s">
        <v>5201</v>
      </c>
      <c r="J1483" s="36" t="s">
        <v>929</v>
      </c>
      <c r="K1483" s="33" t="s">
        <v>916</v>
      </c>
      <c r="L1483" s="35" t="s">
        <v>916</v>
      </c>
      <c r="M1483" s="36" t="s">
        <v>916</v>
      </c>
      <c r="N1483" s="45">
        <v>46022</v>
      </c>
      <c r="O1483" s="36" t="s">
        <v>25</v>
      </c>
      <c r="P1483" s="38">
        <v>47.341585648100001</v>
      </c>
      <c r="Q1483" s="39" t="s">
        <v>5202</v>
      </c>
      <c r="R1483" s="35" t="s">
        <v>916</v>
      </c>
      <c r="S1483" s="35" t="s">
        <v>5203</v>
      </c>
      <c r="T1483" s="35" t="s">
        <v>1701</v>
      </c>
      <c r="U1483" s="40">
        <v>45975</v>
      </c>
      <c r="V1483" s="41">
        <v>46153.53292824074</v>
      </c>
      <c r="W1483" s="40">
        <v>45974</v>
      </c>
      <c r="X1483" s="35" t="s">
        <v>916</v>
      </c>
      <c r="Y1483" s="35" t="s">
        <v>916</v>
      </c>
      <c r="Z1483" s="35" t="s">
        <v>916</v>
      </c>
      <c r="AA1483" s="38">
        <v>1136.1980555544001</v>
      </c>
      <c r="AB1483" s="42" t="s">
        <v>916</v>
      </c>
      <c r="AC1483" s="43" t="s">
        <v>916</v>
      </c>
      <c r="AD1483" s="43" t="s">
        <v>916</v>
      </c>
      <c r="AE1483" s="33" t="s">
        <v>3982</v>
      </c>
      <c r="AF1483" s="35" t="s">
        <v>916</v>
      </c>
      <c r="AG1483" s="44">
        <v>489735.80194444442</v>
      </c>
      <c r="AH1483" s="42" t="s">
        <v>916</v>
      </c>
      <c r="AI1483" s="32" t="e">
        <f>VLOOKUP(A1483,'4月明細'!B:B,1,0)</f>
        <v>#N/A</v>
      </c>
    </row>
    <row r="1484" spans="1:35" ht="19.95" customHeight="1" x14ac:dyDescent="0.3">
      <c r="A1484" s="33" t="s">
        <v>5204</v>
      </c>
      <c r="B1484" s="34">
        <v>45974.61309027778</v>
      </c>
      <c r="C1484" s="34" t="str">
        <f t="shared" si="36"/>
        <v>202511</v>
      </c>
      <c r="D1484" s="35" t="s">
        <v>951</v>
      </c>
      <c r="E1484" s="36" t="s">
        <v>910</v>
      </c>
      <c r="F1484" s="36" t="s">
        <v>1338</v>
      </c>
      <c r="G1484" s="37" t="s">
        <v>5205</v>
      </c>
      <c r="H1484" s="36" t="s">
        <v>1043</v>
      </c>
      <c r="I1484" s="35" t="s">
        <v>5206</v>
      </c>
      <c r="J1484" s="36" t="s">
        <v>914</v>
      </c>
      <c r="K1484" s="33" t="s">
        <v>916</v>
      </c>
      <c r="L1484" s="35" t="s">
        <v>916</v>
      </c>
      <c r="M1484" s="36" t="s">
        <v>916</v>
      </c>
      <c r="N1484" s="45">
        <v>46022</v>
      </c>
      <c r="O1484" s="36" t="s">
        <v>25</v>
      </c>
      <c r="P1484" s="38">
        <v>47.386909722200002</v>
      </c>
      <c r="Q1484" s="39" t="s">
        <v>5207</v>
      </c>
      <c r="R1484" s="35" t="s">
        <v>916</v>
      </c>
      <c r="S1484" s="35" t="s">
        <v>5208</v>
      </c>
      <c r="T1484" s="35" t="s">
        <v>1701</v>
      </c>
      <c r="U1484" s="40">
        <v>45975</v>
      </c>
      <c r="V1484" s="41">
        <v>46153.53292824074</v>
      </c>
      <c r="W1484" s="40">
        <v>45974</v>
      </c>
      <c r="X1484" s="35" t="s">
        <v>916</v>
      </c>
      <c r="Y1484" s="35" t="s">
        <v>916</v>
      </c>
      <c r="Z1484" s="35" t="s">
        <v>916</v>
      </c>
      <c r="AA1484" s="38">
        <v>1137.2858333327999</v>
      </c>
      <c r="AB1484" s="42" t="s">
        <v>916</v>
      </c>
      <c r="AC1484" s="43" t="s">
        <v>916</v>
      </c>
      <c r="AD1484" s="43" t="s">
        <v>916</v>
      </c>
      <c r="AE1484" s="33" t="s">
        <v>3982</v>
      </c>
      <c r="AF1484" s="35" t="s">
        <v>916</v>
      </c>
      <c r="AG1484" s="44">
        <v>489734.71416666661</v>
      </c>
      <c r="AH1484" s="42" t="s">
        <v>916</v>
      </c>
      <c r="AI1484" s="32" t="e">
        <f>VLOOKUP(A1484,'4月明細'!B:B,1,0)</f>
        <v>#N/A</v>
      </c>
    </row>
    <row r="1485" spans="1:35" ht="19.95" customHeight="1" x14ac:dyDescent="0.3">
      <c r="A1485" s="33" t="s">
        <v>5209</v>
      </c>
      <c r="B1485" s="34">
        <v>45974.601875</v>
      </c>
      <c r="C1485" s="34" t="str">
        <f t="shared" si="36"/>
        <v>202511</v>
      </c>
      <c r="D1485" s="35" t="s">
        <v>909</v>
      </c>
      <c r="E1485" s="36" t="s">
        <v>910</v>
      </c>
      <c r="F1485" s="36" t="s">
        <v>1123</v>
      </c>
      <c r="G1485" s="37" t="s">
        <v>1096</v>
      </c>
      <c r="H1485" s="36" t="s">
        <v>3979</v>
      </c>
      <c r="I1485" s="35" t="s">
        <v>5210</v>
      </c>
      <c r="J1485" s="36" t="s">
        <v>929</v>
      </c>
      <c r="K1485" s="33" t="s">
        <v>916</v>
      </c>
      <c r="L1485" s="35" t="s">
        <v>916</v>
      </c>
      <c r="M1485" s="36" t="s">
        <v>916</v>
      </c>
      <c r="N1485" s="45">
        <v>46022</v>
      </c>
      <c r="O1485" s="36" t="s">
        <v>25</v>
      </c>
      <c r="P1485" s="38">
        <v>47.398125</v>
      </c>
      <c r="Q1485" s="39" t="s">
        <v>5211</v>
      </c>
      <c r="R1485" s="35" t="s">
        <v>916</v>
      </c>
      <c r="S1485" s="35"/>
      <c r="T1485" s="35" t="s">
        <v>1701</v>
      </c>
      <c r="U1485" s="40">
        <v>45975</v>
      </c>
      <c r="V1485" s="41">
        <v>46153.53292824074</v>
      </c>
      <c r="W1485" s="40">
        <v>45974</v>
      </c>
      <c r="X1485" s="35" t="s">
        <v>916</v>
      </c>
      <c r="Y1485" s="35" t="s">
        <v>916</v>
      </c>
      <c r="Z1485" s="35" t="s">
        <v>916</v>
      </c>
      <c r="AA1485" s="38">
        <v>1137.5550000000001</v>
      </c>
      <c r="AB1485" s="42" t="s">
        <v>916</v>
      </c>
      <c r="AC1485" s="43" t="s">
        <v>916</v>
      </c>
      <c r="AD1485" s="43" t="s">
        <v>916</v>
      </c>
      <c r="AE1485" s="33" t="s">
        <v>3982</v>
      </c>
      <c r="AF1485" s="35" t="s">
        <v>916</v>
      </c>
      <c r="AG1485" s="44">
        <v>489734.44500000001</v>
      </c>
      <c r="AH1485" s="42" t="s">
        <v>916</v>
      </c>
      <c r="AI1485" s="32" t="e">
        <f>VLOOKUP(A1485,'4月明細'!B:B,1,0)</f>
        <v>#N/A</v>
      </c>
    </row>
    <row r="1486" spans="1:35" ht="19.95" customHeight="1" x14ac:dyDescent="0.3">
      <c r="A1486" s="33" t="s">
        <v>5212</v>
      </c>
      <c r="B1486" s="34">
        <v>45974.559560185182</v>
      </c>
      <c r="C1486" s="34" t="str">
        <f t="shared" si="36"/>
        <v>202511</v>
      </c>
      <c r="D1486" s="35" t="s">
        <v>996</v>
      </c>
      <c r="E1486" s="36" t="s">
        <v>910</v>
      </c>
      <c r="F1486" s="36" t="s">
        <v>952</v>
      </c>
      <c r="G1486" s="37" t="s">
        <v>1096</v>
      </c>
      <c r="H1486" s="36" t="s">
        <v>3979</v>
      </c>
      <c r="I1486" s="35"/>
      <c r="J1486" s="36" t="s">
        <v>914</v>
      </c>
      <c r="K1486" s="33" t="s">
        <v>916</v>
      </c>
      <c r="L1486" s="35" t="s">
        <v>916</v>
      </c>
      <c r="M1486" s="36" t="s">
        <v>916</v>
      </c>
      <c r="N1486" s="45">
        <v>46022</v>
      </c>
      <c r="O1486" s="36" t="s">
        <v>25</v>
      </c>
      <c r="P1486" s="38">
        <v>47.440439814800001</v>
      </c>
      <c r="Q1486" s="39" t="s">
        <v>5213</v>
      </c>
      <c r="R1486" s="35" t="s">
        <v>916</v>
      </c>
      <c r="S1486" s="35"/>
      <c r="T1486" s="35" t="s">
        <v>1701</v>
      </c>
      <c r="U1486" s="40">
        <v>45975</v>
      </c>
      <c r="V1486" s="41">
        <v>46153.53292824074</v>
      </c>
      <c r="W1486" s="40">
        <v>45974</v>
      </c>
      <c r="X1486" s="35" t="s">
        <v>916</v>
      </c>
      <c r="Y1486" s="35" t="s">
        <v>916</v>
      </c>
      <c r="Z1486" s="35" t="s">
        <v>916</v>
      </c>
      <c r="AA1486" s="38">
        <v>1138.5705555551999</v>
      </c>
      <c r="AB1486" s="42" t="s">
        <v>916</v>
      </c>
      <c r="AC1486" s="43" t="s">
        <v>916</v>
      </c>
      <c r="AD1486" s="43" t="s">
        <v>916</v>
      </c>
      <c r="AE1486" s="33" t="s">
        <v>3982</v>
      </c>
      <c r="AF1486" s="35" t="s">
        <v>916</v>
      </c>
      <c r="AG1486" s="44">
        <v>489733.42944444448</v>
      </c>
      <c r="AH1486" s="42" t="s">
        <v>916</v>
      </c>
      <c r="AI1486" s="32" t="e">
        <f>VLOOKUP(A1486,'4月明細'!B:B,1,0)</f>
        <v>#N/A</v>
      </c>
    </row>
    <row r="1487" spans="1:35" ht="19.95" customHeight="1" x14ac:dyDescent="0.3">
      <c r="A1487" s="33" t="s">
        <v>5214</v>
      </c>
      <c r="B1487" s="34">
        <v>45974.501979166664</v>
      </c>
      <c r="C1487" s="34" t="str">
        <f t="shared" si="36"/>
        <v>202511</v>
      </c>
      <c r="D1487" s="35" t="s">
        <v>909</v>
      </c>
      <c r="E1487" s="36" t="s">
        <v>910</v>
      </c>
      <c r="F1487" s="36" t="s">
        <v>964</v>
      </c>
      <c r="G1487" s="37" t="s">
        <v>5215</v>
      </c>
      <c r="H1487" s="36" t="s">
        <v>3985</v>
      </c>
      <c r="I1487" s="35" t="s">
        <v>5216</v>
      </c>
      <c r="J1487" s="36" t="s">
        <v>914</v>
      </c>
      <c r="K1487" s="33" t="s">
        <v>916</v>
      </c>
      <c r="L1487" s="35" t="s">
        <v>916</v>
      </c>
      <c r="M1487" s="36" t="s">
        <v>916</v>
      </c>
      <c r="N1487" s="45">
        <v>46022</v>
      </c>
      <c r="O1487" s="36" t="s">
        <v>25</v>
      </c>
      <c r="P1487" s="38">
        <v>47.498020833299996</v>
      </c>
      <c r="Q1487" s="39" t="s">
        <v>5217</v>
      </c>
      <c r="R1487" s="35" t="s">
        <v>916</v>
      </c>
      <c r="S1487" s="35" t="s">
        <v>5218</v>
      </c>
      <c r="T1487" s="35" t="s">
        <v>1701</v>
      </c>
      <c r="U1487" s="40">
        <v>45975</v>
      </c>
      <c r="V1487" s="41">
        <v>46153.53292824074</v>
      </c>
      <c r="W1487" s="40">
        <v>45974</v>
      </c>
      <c r="X1487" s="35" t="s">
        <v>916</v>
      </c>
      <c r="Y1487" s="35" t="s">
        <v>916</v>
      </c>
      <c r="Z1487" s="35" t="s">
        <v>916</v>
      </c>
      <c r="AA1487" s="38">
        <v>1139.9524999992</v>
      </c>
      <c r="AB1487" s="42" t="s">
        <v>916</v>
      </c>
      <c r="AC1487" s="43" t="s">
        <v>916</v>
      </c>
      <c r="AD1487" s="43" t="s">
        <v>916</v>
      </c>
      <c r="AE1487" s="33" t="s">
        <v>3982</v>
      </c>
      <c r="AF1487" s="35" t="s">
        <v>916</v>
      </c>
      <c r="AG1487" s="44">
        <v>489732.04749999999</v>
      </c>
      <c r="AH1487" s="42" t="s">
        <v>916</v>
      </c>
      <c r="AI1487" s="32" t="e">
        <f>VLOOKUP(A1487,'4月明細'!B:B,1,0)</f>
        <v>#N/A</v>
      </c>
    </row>
    <row r="1488" spans="1:35" ht="19.95" customHeight="1" x14ac:dyDescent="0.3">
      <c r="A1488" s="33" t="s">
        <v>5219</v>
      </c>
      <c r="B1488" s="34">
        <v>45974.481400462966</v>
      </c>
      <c r="C1488" s="34" t="str">
        <f t="shared" si="36"/>
        <v>202511</v>
      </c>
      <c r="D1488" s="35" t="s">
        <v>996</v>
      </c>
      <c r="E1488" s="36" t="s">
        <v>910</v>
      </c>
      <c r="F1488" s="36" t="s">
        <v>1731</v>
      </c>
      <c r="G1488" s="37" t="s">
        <v>3307</v>
      </c>
      <c r="H1488" s="36" t="s">
        <v>4324</v>
      </c>
      <c r="I1488" s="35" t="s">
        <v>5220</v>
      </c>
      <c r="J1488" s="36" t="s">
        <v>914</v>
      </c>
      <c r="K1488" s="33" t="s">
        <v>916</v>
      </c>
      <c r="L1488" s="35" t="s">
        <v>916</v>
      </c>
      <c r="M1488" s="36" t="s">
        <v>916</v>
      </c>
      <c r="N1488" s="45">
        <v>46022</v>
      </c>
      <c r="O1488" s="36" t="s">
        <v>25</v>
      </c>
      <c r="P1488" s="38">
        <v>47.518599537</v>
      </c>
      <c r="Q1488" s="39" t="s">
        <v>5221</v>
      </c>
      <c r="R1488" s="35" t="s">
        <v>916</v>
      </c>
      <c r="S1488" s="35" t="s">
        <v>5222</v>
      </c>
      <c r="T1488" s="35" t="s">
        <v>1701</v>
      </c>
      <c r="U1488" s="40">
        <v>45975</v>
      </c>
      <c r="V1488" s="41">
        <v>46153.53292824074</v>
      </c>
      <c r="W1488" s="40">
        <v>45974</v>
      </c>
      <c r="X1488" s="35" t="s">
        <v>916</v>
      </c>
      <c r="Y1488" s="35" t="s">
        <v>916</v>
      </c>
      <c r="Z1488" s="35" t="s">
        <v>916</v>
      </c>
      <c r="AA1488" s="38">
        <v>1140.446388888</v>
      </c>
      <c r="AB1488" s="42" t="s">
        <v>916</v>
      </c>
      <c r="AC1488" s="43" t="s">
        <v>916</v>
      </c>
      <c r="AD1488" s="43" t="s">
        <v>916</v>
      </c>
      <c r="AE1488" s="33" t="s">
        <v>3982</v>
      </c>
      <c r="AF1488" s="35" t="s">
        <v>916</v>
      </c>
      <c r="AG1488" s="44">
        <v>489731.55361111113</v>
      </c>
      <c r="AH1488" s="42" t="s">
        <v>916</v>
      </c>
      <c r="AI1488" s="32" t="e">
        <f>VLOOKUP(A1488,'4月明細'!B:B,1,0)</f>
        <v>#N/A</v>
      </c>
    </row>
    <row r="1489" spans="1:35" ht="19.95" customHeight="1" x14ac:dyDescent="0.3">
      <c r="A1489" s="33" t="s">
        <v>5223</v>
      </c>
      <c r="B1489" s="34">
        <v>45974.440763888888</v>
      </c>
      <c r="C1489" s="34" t="str">
        <f t="shared" si="36"/>
        <v>202511</v>
      </c>
      <c r="D1489" s="35" t="s">
        <v>909</v>
      </c>
      <c r="E1489" s="36" t="s">
        <v>910</v>
      </c>
      <c r="F1489" s="36" t="s">
        <v>1377</v>
      </c>
      <c r="G1489" s="37" t="s">
        <v>927</v>
      </c>
      <c r="H1489" s="36" t="s">
        <v>3979</v>
      </c>
      <c r="I1489" s="35" t="s">
        <v>5224</v>
      </c>
      <c r="J1489" s="36" t="s">
        <v>914</v>
      </c>
      <c r="K1489" s="33" t="s">
        <v>916</v>
      </c>
      <c r="L1489" s="35" t="s">
        <v>916</v>
      </c>
      <c r="M1489" s="36" t="s">
        <v>916</v>
      </c>
      <c r="N1489" s="45">
        <v>46022</v>
      </c>
      <c r="O1489" s="36" t="s">
        <v>25</v>
      </c>
      <c r="P1489" s="38">
        <v>47.559236111099999</v>
      </c>
      <c r="Q1489" s="39" t="s">
        <v>5225</v>
      </c>
      <c r="R1489" s="35" t="s">
        <v>916</v>
      </c>
      <c r="S1489" s="35"/>
      <c r="T1489" s="35" t="s">
        <v>1701</v>
      </c>
      <c r="U1489" s="40">
        <v>45975</v>
      </c>
      <c r="V1489" s="41">
        <v>46153.53292824074</v>
      </c>
      <c r="W1489" s="40">
        <v>45974</v>
      </c>
      <c r="X1489" s="35" t="s">
        <v>916</v>
      </c>
      <c r="Y1489" s="35" t="s">
        <v>916</v>
      </c>
      <c r="Z1489" s="35" t="s">
        <v>916</v>
      </c>
      <c r="AA1489" s="38">
        <v>1141.4216666663999</v>
      </c>
      <c r="AB1489" s="42" t="s">
        <v>916</v>
      </c>
      <c r="AC1489" s="43" t="s">
        <v>916</v>
      </c>
      <c r="AD1489" s="43" t="s">
        <v>916</v>
      </c>
      <c r="AE1489" s="33" t="s">
        <v>3982</v>
      </c>
      <c r="AF1489" s="35" t="s">
        <v>916</v>
      </c>
      <c r="AG1489" s="44">
        <v>489730.57833333331</v>
      </c>
      <c r="AH1489" s="42" t="s">
        <v>916</v>
      </c>
      <c r="AI1489" s="32" t="e">
        <f>VLOOKUP(A1489,'4月明細'!B:B,1,0)</f>
        <v>#N/A</v>
      </c>
    </row>
    <row r="1490" spans="1:35" ht="19.95" customHeight="1" x14ac:dyDescent="0.3">
      <c r="A1490" s="33" t="s">
        <v>5226</v>
      </c>
      <c r="B1490" s="34">
        <v>45973.710324074076</v>
      </c>
      <c r="C1490" s="34" t="str">
        <f t="shared" si="36"/>
        <v>202511</v>
      </c>
      <c r="D1490" s="35" t="s">
        <v>996</v>
      </c>
      <c r="E1490" s="36" t="s">
        <v>910</v>
      </c>
      <c r="F1490" s="36" t="s">
        <v>1130</v>
      </c>
      <c r="G1490" s="37" t="s">
        <v>1480</v>
      </c>
      <c r="H1490" s="36" t="s">
        <v>970</v>
      </c>
      <c r="I1490" s="35" t="s">
        <v>5227</v>
      </c>
      <c r="J1490" s="36" t="s">
        <v>929</v>
      </c>
      <c r="K1490" s="33" t="s">
        <v>916</v>
      </c>
      <c r="L1490" s="35" t="s">
        <v>916</v>
      </c>
      <c r="M1490" s="36" t="s">
        <v>916</v>
      </c>
      <c r="N1490" s="45">
        <v>46022</v>
      </c>
      <c r="O1490" s="36" t="s">
        <v>25</v>
      </c>
      <c r="P1490" s="38">
        <v>48.289675925899999</v>
      </c>
      <c r="Q1490" s="39" t="s">
        <v>5228</v>
      </c>
      <c r="R1490" s="35" t="s">
        <v>916</v>
      </c>
      <c r="S1490" s="35" t="s">
        <v>5229</v>
      </c>
      <c r="T1490" s="35" t="s">
        <v>1701</v>
      </c>
      <c r="U1490" s="40">
        <v>45974</v>
      </c>
      <c r="V1490" s="41">
        <v>46153.53292824074</v>
      </c>
      <c r="W1490" s="40">
        <v>45973</v>
      </c>
      <c r="X1490" s="35" t="s">
        <v>916</v>
      </c>
      <c r="Y1490" s="35" t="s">
        <v>916</v>
      </c>
      <c r="Z1490" s="35" t="s">
        <v>916</v>
      </c>
      <c r="AA1490" s="38">
        <v>1158.9522222216001</v>
      </c>
      <c r="AB1490" s="42" t="s">
        <v>916</v>
      </c>
      <c r="AC1490" s="43" t="s">
        <v>916</v>
      </c>
      <c r="AD1490" s="43" t="s">
        <v>916</v>
      </c>
      <c r="AE1490" s="33" t="s">
        <v>3982</v>
      </c>
      <c r="AF1490" s="35" t="s">
        <v>916</v>
      </c>
      <c r="AG1490" s="44">
        <v>489713.04777777783</v>
      </c>
      <c r="AH1490" s="42" t="s">
        <v>916</v>
      </c>
      <c r="AI1490" s="32" t="e">
        <f>VLOOKUP(A1490,'4月明細'!B:B,1,0)</f>
        <v>#N/A</v>
      </c>
    </row>
    <row r="1491" spans="1:35" ht="19.95" customHeight="1" x14ac:dyDescent="0.3">
      <c r="A1491" s="33" t="s">
        <v>5230</v>
      </c>
      <c r="B1491" s="34">
        <v>45973.679432870369</v>
      </c>
      <c r="C1491" s="34" t="str">
        <f t="shared" si="36"/>
        <v>202511</v>
      </c>
      <c r="D1491" s="35" t="s">
        <v>1360</v>
      </c>
      <c r="E1491" s="36" t="s">
        <v>910</v>
      </c>
      <c r="F1491" s="36" t="s">
        <v>1392</v>
      </c>
      <c r="G1491" s="37" t="s">
        <v>5231</v>
      </c>
      <c r="H1491" s="36" t="s">
        <v>4162</v>
      </c>
      <c r="I1491" s="35" t="s">
        <v>5232</v>
      </c>
      <c r="J1491" s="36" t="s">
        <v>929</v>
      </c>
      <c r="K1491" s="33" t="s">
        <v>916</v>
      </c>
      <c r="L1491" s="35" t="s">
        <v>916</v>
      </c>
      <c r="M1491" s="36" t="s">
        <v>916</v>
      </c>
      <c r="N1491" s="45">
        <v>46022</v>
      </c>
      <c r="O1491" s="36" t="s">
        <v>25</v>
      </c>
      <c r="P1491" s="38">
        <v>48.320567129600001</v>
      </c>
      <c r="Q1491" s="39" t="s">
        <v>5233</v>
      </c>
      <c r="R1491" s="35" t="s">
        <v>916</v>
      </c>
      <c r="S1491" s="35"/>
      <c r="T1491" s="35" t="s">
        <v>1701</v>
      </c>
      <c r="U1491" s="40">
        <v>45974</v>
      </c>
      <c r="V1491" s="41">
        <v>46153.53292824074</v>
      </c>
      <c r="W1491" s="40">
        <v>45973</v>
      </c>
      <c r="X1491" s="35" t="s">
        <v>916</v>
      </c>
      <c r="Y1491" s="35" t="s">
        <v>916</v>
      </c>
      <c r="Z1491" s="35" t="s">
        <v>916</v>
      </c>
      <c r="AA1491" s="38">
        <v>1159.6936111104001</v>
      </c>
      <c r="AB1491" s="42" t="s">
        <v>916</v>
      </c>
      <c r="AC1491" s="43" t="s">
        <v>916</v>
      </c>
      <c r="AD1491" s="43" t="s">
        <v>916</v>
      </c>
      <c r="AE1491" s="33" t="s">
        <v>3982</v>
      </c>
      <c r="AF1491" s="35" t="s">
        <v>916</v>
      </c>
      <c r="AG1491" s="44">
        <v>489712.30638888897</v>
      </c>
      <c r="AH1491" s="42" t="s">
        <v>916</v>
      </c>
      <c r="AI1491" s="32" t="e">
        <f>VLOOKUP(A1491,'4月明細'!B:B,1,0)</f>
        <v>#N/A</v>
      </c>
    </row>
    <row r="1492" spans="1:35" ht="19.95" customHeight="1" x14ac:dyDescent="0.3">
      <c r="A1492" s="33" t="s">
        <v>5234</v>
      </c>
      <c r="B1492" s="34">
        <v>45973.657685185186</v>
      </c>
      <c r="C1492" s="34" t="str">
        <f t="shared" si="36"/>
        <v>202511</v>
      </c>
      <c r="D1492" s="35" t="s">
        <v>996</v>
      </c>
      <c r="E1492" s="36" t="s">
        <v>910</v>
      </c>
      <c r="F1492" s="36" t="s">
        <v>1229</v>
      </c>
      <c r="G1492" s="37" t="s">
        <v>5235</v>
      </c>
      <c r="H1492" s="36" t="s">
        <v>970</v>
      </c>
      <c r="I1492" s="35" t="s">
        <v>5236</v>
      </c>
      <c r="J1492" s="36" t="s">
        <v>929</v>
      </c>
      <c r="K1492" s="33" t="s">
        <v>916</v>
      </c>
      <c r="L1492" s="35" t="s">
        <v>916</v>
      </c>
      <c r="M1492" s="36" t="s">
        <v>917</v>
      </c>
      <c r="N1492" s="45">
        <v>46022</v>
      </c>
      <c r="O1492" s="36" t="s">
        <v>25</v>
      </c>
      <c r="P1492" s="38">
        <v>48.342314814799998</v>
      </c>
      <c r="Q1492" s="39" t="s">
        <v>5237</v>
      </c>
      <c r="R1492" s="35" t="s">
        <v>916</v>
      </c>
      <c r="S1492" s="35"/>
      <c r="T1492" s="35" t="s">
        <v>1701</v>
      </c>
      <c r="U1492" s="40">
        <v>45974</v>
      </c>
      <c r="V1492" s="41">
        <v>46153.53292824074</v>
      </c>
      <c r="W1492" s="40">
        <v>45973</v>
      </c>
      <c r="X1492" s="35" t="s">
        <v>916</v>
      </c>
      <c r="Y1492" s="35" t="s">
        <v>916</v>
      </c>
      <c r="Z1492" s="35" t="s">
        <v>916</v>
      </c>
      <c r="AA1492" s="38">
        <v>1160.2155555551999</v>
      </c>
      <c r="AB1492" s="42" t="s">
        <v>916</v>
      </c>
      <c r="AC1492" s="43" t="s">
        <v>916</v>
      </c>
      <c r="AD1492" s="43" t="s">
        <v>916</v>
      </c>
      <c r="AE1492" s="33" t="s">
        <v>3982</v>
      </c>
      <c r="AF1492" s="35" t="s">
        <v>916</v>
      </c>
      <c r="AG1492" s="44">
        <v>489711.78444444452</v>
      </c>
      <c r="AH1492" s="42" t="s">
        <v>916</v>
      </c>
      <c r="AI1492" s="32" t="e">
        <f>VLOOKUP(A1492,'4月明細'!B:B,1,0)</f>
        <v>#N/A</v>
      </c>
    </row>
    <row r="1493" spans="1:35" ht="19.95" customHeight="1" x14ac:dyDescent="0.3">
      <c r="A1493" s="33" t="s">
        <v>5238</v>
      </c>
      <c r="B1493" s="34">
        <v>45973.555775462963</v>
      </c>
      <c r="C1493" s="34" t="str">
        <f t="shared" si="36"/>
        <v>202511</v>
      </c>
      <c r="D1493" s="35" t="s">
        <v>951</v>
      </c>
      <c r="E1493" s="36" t="s">
        <v>910</v>
      </c>
      <c r="F1493" s="36" t="s">
        <v>2501</v>
      </c>
      <c r="G1493" s="37" t="s">
        <v>5239</v>
      </c>
      <c r="H1493" s="36" t="s">
        <v>4060</v>
      </c>
      <c r="I1493" s="35" t="s">
        <v>5240</v>
      </c>
      <c r="J1493" s="36" t="s">
        <v>1058</v>
      </c>
      <c r="K1493" s="33" t="s">
        <v>916</v>
      </c>
      <c r="L1493" s="35" t="s">
        <v>916</v>
      </c>
      <c r="M1493" s="36" t="s">
        <v>1039</v>
      </c>
      <c r="N1493" s="45">
        <v>46022</v>
      </c>
      <c r="O1493" s="36" t="s">
        <v>25</v>
      </c>
      <c r="P1493" s="38">
        <v>48.444224536999997</v>
      </c>
      <c r="Q1493" s="39" t="s">
        <v>5241</v>
      </c>
      <c r="R1493" s="35" t="s">
        <v>916</v>
      </c>
      <c r="S1493" s="35"/>
      <c r="T1493" s="35" t="s">
        <v>1701</v>
      </c>
      <c r="U1493" s="40">
        <v>45974</v>
      </c>
      <c r="V1493" s="41">
        <v>46153.53292824074</v>
      </c>
      <c r="W1493" s="40">
        <v>45973</v>
      </c>
      <c r="X1493" s="35" t="s">
        <v>916</v>
      </c>
      <c r="Y1493" s="35" t="s">
        <v>916</v>
      </c>
      <c r="Z1493" s="35" t="s">
        <v>916</v>
      </c>
      <c r="AA1493" s="38">
        <v>1162.6613888879999</v>
      </c>
      <c r="AB1493" s="42" t="s">
        <v>916</v>
      </c>
      <c r="AC1493" s="43" t="s">
        <v>916</v>
      </c>
      <c r="AD1493" s="43" t="s">
        <v>916</v>
      </c>
      <c r="AE1493" s="33" t="s">
        <v>3982</v>
      </c>
      <c r="AF1493" s="35" t="s">
        <v>916</v>
      </c>
      <c r="AG1493" s="44">
        <v>489709.3386111111</v>
      </c>
      <c r="AH1493" s="42" t="s">
        <v>916</v>
      </c>
      <c r="AI1493" s="32" t="e">
        <f>VLOOKUP(A1493,'4月明細'!B:B,1,0)</f>
        <v>#N/A</v>
      </c>
    </row>
    <row r="1494" spans="1:35" ht="19.95" customHeight="1" x14ac:dyDescent="0.3">
      <c r="A1494" s="33" t="s">
        <v>5242</v>
      </c>
      <c r="B1494" s="34">
        <v>45973.487604166665</v>
      </c>
      <c r="C1494" s="34" t="str">
        <f t="shared" si="36"/>
        <v>202511</v>
      </c>
      <c r="D1494" s="35" t="s">
        <v>996</v>
      </c>
      <c r="E1494" s="36" t="s">
        <v>910</v>
      </c>
      <c r="F1494" s="36" t="s">
        <v>1050</v>
      </c>
      <c r="G1494" s="37" t="s">
        <v>1041</v>
      </c>
      <c r="H1494" s="36" t="s">
        <v>1043</v>
      </c>
      <c r="I1494" s="35"/>
      <c r="J1494" s="36" t="s">
        <v>914</v>
      </c>
      <c r="K1494" s="33" t="s">
        <v>916</v>
      </c>
      <c r="L1494" s="35" t="s">
        <v>916</v>
      </c>
      <c r="M1494" s="36" t="s">
        <v>1039</v>
      </c>
      <c r="N1494" s="45">
        <v>46022</v>
      </c>
      <c r="O1494" s="36" t="s">
        <v>25</v>
      </c>
      <c r="P1494" s="38">
        <v>48.512395833299998</v>
      </c>
      <c r="Q1494" s="39" t="s">
        <v>5243</v>
      </c>
      <c r="R1494" s="35" t="s">
        <v>916</v>
      </c>
      <c r="S1494" s="35"/>
      <c r="T1494" s="35" t="s">
        <v>1701</v>
      </c>
      <c r="U1494" s="40">
        <v>45974</v>
      </c>
      <c r="V1494" s="41">
        <v>46153.53292824074</v>
      </c>
      <c r="W1494" s="40">
        <v>45973</v>
      </c>
      <c r="X1494" s="35" t="s">
        <v>916</v>
      </c>
      <c r="Y1494" s="35" t="s">
        <v>916</v>
      </c>
      <c r="Z1494" s="35" t="s">
        <v>916</v>
      </c>
      <c r="AA1494" s="38">
        <v>1164.2974999992</v>
      </c>
      <c r="AB1494" s="42" t="s">
        <v>916</v>
      </c>
      <c r="AC1494" s="43" t="s">
        <v>916</v>
      </c>
      <c r="AD1494" s="43" t="s">
        <v>916</v>
      </c>
      <c r="AE1494" s="33" t="s">
        <v>3982</v>
      </c>
      <c r="AF1494" s="35" t="s">
        <v>916</v>
      </c>
      <c r="AG1494" s="44">
        <v>489707.70250000001</v>
      </c>
      <c r="AH1494" s="42" t="s">
        <v>916</v>
      </c>
      <c r="AI1494" s="32" t="e">
        <f>VLOOKUP(A1494,'4月明細'!B:B,1,0)</f>
        <v>#N/A</v>
      </c>
    </row>
    <row r="1495" spans="1:35" ht="19.95" customHeight="1" x14ac:dyDescent="0.3">
      <c r="A1495" s="33" t="s">
        <v>5244</v>
      </c>
      <c r="B1495" s="34">
        <v>45973.476550925923</v>
      </c>
      <c r="C1495" s="34" t="str">
        <f t="shared" si="36"/>
        <v>202511</v>
      </c>
      <c r="D1495" s="35" t="s">
        <v>996</v>
      </c>
      <c r="E1495" s="36" t="s">
        <v>910</v>
      </c>
      <c r="F1495" s="36" t="s">
        <v>1060</v>
      </c>
      <c r="G1495" s="37" t="s">
        <v>5117</v>
      </c>
      <c r="H1495" s="36" t="s">
        <v>970</v>
      </c>
      <c r="I1495" s="35" t="s">
        <v>5245</v>
      </c>
      <c r="J1495" s="36" t="s">
        <v>914</v>
      </c>
      <c r="K1495" s="33" t="s">
        <v>916</v>
      </c>
      <c r="L1495" s="35" t="s">
        <v>916</v>
      </c>
      <c r="M1495" s="36" t="s">
        <v>916</v>
      </c>
      <c r="N1495" s="45">
        <v>46022</v>
      </c>
      <c r="O1495" s="36" t="s">
        <v>25</v>
      </c>
      <c r="P1495" s="38">
        <v>48.5234490741</v>
      </c>
      <c r="Q1495" s="39" t="s">
        <v>5246</v>
      </c>
      <c r="R1495" s="35" t="s">
        <v>916</v>
      </c>
      <c r="S1495" s="35" t="s">
        <v>5247</v>
      </c>
      <c r="T1495" s="35" t="s">
        <v>1701</v>
      </c>
      <c r="U1495" s="40">
        <v>45974</v>
      </c>
      <c r="V1495" s="41">
        <v>46153.53292824074</v>
      </c>
      <c r="W1495" s="40">
        <v>45973</v>
      </c>
      <c r="X1495" s="35" t="s">
        <v>916</v>
      </c>
      <c r="Y1495" s="35" t="s">
        <v>916</v>
      </c>
      <c r="Z1495" s="35" t="s">
        <v>916</v>
      </c>
      <c r="AA1495" s="38">
        <v>1164.5627777784</v>
      </c>
      <c r="AB1495" s="42" t="s">
        <v>916</v>
      </c>
      <c r="AC1495" s="43" t="s">
        <v>916</v>
      </c>
      <c r="AD1495" s="43" t="s">
        <v>916</v>
      </c>
      <c r="AE1495" s="33" t="s">
        <v>3982</v>
      </c>
      <c r="AF1495" s="35" t="s">
        <v>916</v>
      </c>
      <c r="AG1495" s="44">
        <v>489707.43722222222</v>
      </c>
      <c r="AH1495" s="42" t="s">
        <v>916</v>
      </c>
      <c r="AI1495" s="32" t="e">
        <f>VLOOKUP(A1495,'4月明細'!B:B,1,0)</f>
        <v>#N/A</v>
      </c>
    </row>
    <row r="1496" spans="1:35" ht="19.95" customHeight="1" x14ac:dyDescent="0.3">
      <c r="A1496" s="33" t="s">
        <v>5248</v>
      </c>
      <c r="B1496" s="34">
        <v>45973.343715277777</v>
      </c>
      <c r="C1496" s="34" t="str">
        <f t="shared" si="36"/>
        <v>202511</v>
      </c>
      <c r="D1496" s="35" t="s">
        <v>1587</v>
      </c>
      <c r="E1496" s="36" t="s">
        <v>942</v>
      </c>
      <c r="F1496" s="36" t="s">
        <v>2501</v>
      </c>
      <c r="G1496" s="37" t="s">
        <v>5249</v>
      </c>
      <c r="H1496" s="36" t="s">
        <v>4107</v>
      </c>
      <c r="I1496" s="35"/>
      <c r="J1496" s="36" t="s">
        <v>945</v>
      </c>
      <c r="K1496" s="33" t="s">
        <v>916</v>
      </c>
      <c r="L1496" s="35" t="s">
        <v>916</v>
      </c>
      <c r="M1496" s="36" t="s">
        <v>1039</v>
      </c>
      <c r="N1496" s="45">
        <v>46022</v>
      </c>
      <c r="O1496" s="36" t="s">
        <v>25</v>
      </c>
      <c r="P1496" s="38">
        <v>48.656284722199999</v>
      </c>
      <c r="Q1496" s="39" t="s">
        <v>5241</v>
      </c>
      <c r="R1496" s="35" t="s">
        <v>916</v>
      </c>
      <c r="S1496" s="35"/>
      <c r="T1496" s="35" t="s">
        <v>1701</v>
      </c>
      <c r="U1496" s="40">
        <v>45974</v>
      </c>
      <c r="V1496" s="41">
        <v>46153.53292824074</v>
      </c>
      <c r="W1496" s="40">
        <v>45973</v>
      </c>
      <c r="X1496" s="35" t="s">
        <v>916</v>
      </c>
      <c r="Y1496" s="35" t="s">
        <v>916</v>
      </c>
      <c r="Z1496" s="35" t="s">
        <v>916</v>
      </c>
      <c r="AA1496" s="38">
        <v>1167.7508333328001</v>
      </c>
      <c r="AB1496" s="42" t="s">
        <v>916</v>
      </c>
      <c r="AC1496" s="43" t="s">
        <v>916</v>
      </c>
      <c r="AD1496" s="43" t="s">
        <v>916</v>
      </c>
      <c r="AE1496" s="33" t="s">
        <v>3982</v>
      </c>
      <c r="AF1496" s="35" t="s">
        <v>916</v>
      </c>
      <c r="AG1496" s="44">
        <v>489704.24916666659</v>
      </c>
      <c r="AH1496" s="42" t="s">
        <v>916</v>
      </c>
      <c r="AI1496" s="32" t="e">
        <f>VLOOKUP(A1496,'4月明細'!B:B,1,0)</f>
        <v>#N/A</v>
      </c>
    </row>
    <row r="1497" spans="1:35" ht="19.95" customHeight="1" x14ac:dyDescent="0.3">
      <c r="A1497" s="33" t="s">
        <v>5250</v>
      </c>
      <c r="B1497" s="34">
        <v>45972.638310185182</v>
      </c>
      <c r="C1497" s="34" t="str">
        <f t="shared" si="36"/>
        <v>202511</v>
      </c>
      <c r="D1497" s="35" t="s">
        <v>996</v>
      </c>
      <c r="E1497" s="36" t="s">
        <v>910</v>
      </c>
      <c r="F1497" s="36" t="s">
        <v>2043</v>
      </c>
      <c r="G1497" s="37" t="s">
        <v>5251</v>
      </c>
      <c r="H1497" s="36" t="s">
        <v>1048</v>
      </c>
      <c r="I1497" s="35" t="s">
        <v>5252</v>
      </c>
      <c r="J1497" s="36" t="s">
        <v>929</v>
      </c>
      <c r="K1497" s="33" t="s">
        <v>916</v>
      </c>
      <c r="L1497" s="35" t="s">
        <v>916</v>
      </c>
      <c r="M1497" s="36" t="s">
        <v>916</v>
      </c>
      <c r="N1497" s="45">
        <v>46022</v>
      </c>
      <c r="O1497" s="36" t="s">
        <v>25</v>
      </c>
      <c r="P1497" s="38">
        <v>49.361689814800002</v>
      </c>
      <c r="Q1497" s="39" t="s">
        <v>5253</v>
      </c>
      <c r="R1497" s="35" t="s">
        <v>916</v>
      </c>
      <c r="S1497" s="35"/>
      <c r="T1497" s="35" t="s">
        <v>1701</v>
      </c>
      <c r="U1497" s="40">
        <v>45973</v>
      </c>
      <c r="V1497" s="41">
        <v>46153.53292824074</v>
      </c>
      <c r="W1497" s="40">
        <v>45972</v>
      </c>
      <c r="X1497" s="35" t="s">
        <v>916</v>
      </c>
      <c r="Y1497" s="35" t="s">
        <v>916</v>
      </c>
      <c r="Z1497" s="35" t="s">
        <v>916</v>
      </c>
      <c r="AA1497" s="38">
        <v>1184.6805555552</v>
      </c>
      <c r="AB1497" s="42" t="s">
        <v>916</v>
      </c>
      <c r="AC1497" s="43" t="s">
        <v>916</v>
      </c>
      <c r="AD1497" s="43" t="s">
        <v>916</v>
      </c>
      <c r="AE1497" s="33" t="s">
        <v>3982</v>
      </c>
      <c r="AF1497" s="35" t="s">
        <v>916</v>
      </c>
      <c r="AG1497" s="44">
        <v>489687.3194444445</v>
      </c>
      <c r="AH1497" s="42" t="s">
        <v>916</v>
      </c>
      <c r="AI1497" s="32" t="e">
        <f>VLOOKUP(A1497,'4月明細'!B:B,1,0)</f>
        <v>#N/A</v>
      </c>
    </row>
    <row r="1498" spans="1:35" ht="19.95" customHeight="1" x14ac:dyDescent="0.3">
      <c r="A1498" s="33" t="s">
        <v>5254</v>
      </c>
      <c r="B1498" s="34">
        <v>45972.611631944441</v>
      </c>
      <c r="C1498" s="34" t="str">
        <f t="shared" si="36"/>
        <v>202511</v>
      </c>
      <c r="D1498" s="35" t="s">
        <v>996</v>
      </c>
      <c r="E1498" s="36" t="s">
        <v>910</v>
      </c>
      <c r="F1498" s="36" t="s">
        <v>1282</v>
      </c>
      <c r="G1498" s="37" t="s">
        <v>1096</v>
      </c>
      <c r="H1498" s="36" t="s">
        <v>3979</v>
      </c>
      <c r="I1498" s="35"/>
      <c r="J1498" s="36" t="s">
        <v>929</v>
      </c>
      <c r="K1498" s="33" t="s">
        <v>916</v>
      </c>
      <c r="L1498" s="35" t="s">
        <v>916</v>
      </c>
      <c r="M1498" s="36" t="s">
        <v>923</v>
      </c>
      <c r="N1498" s="45">
        <v>46022</v>
      </c>
      <c r="O1498" s="36" t="s">
        <v>25</v>
      </c>
      <c r="P1498" s="38">
        <v>49.388368055599997</v>
      </c>
      <c r="Q1498" s="39" t="s">
        <v>5255</v>
      </c>
      <c r="R1498" s="35" t="s">
        <v>916</v>
      </c>
      <c r="S1498" s="35"/>
      <c r="T1498" s="35" t="s">
        <v>1701</v>
      </c>
      <c r="U1498" s="40">
        <v>45973</v>
      </c>
      <c r="V1498" s="41">
        <v>46153.53292824074</v>
      </c>
      <c r="W1498" s="40">
        <v>45972</v>
      </c>
      <c r="X1498" s="35" t="s">
        <v>916</v>
      </c>
      <c r="Y1498" s="35" t="s">
        <v>916</v>
      </c>
      <c r="Z1498" s="35" t="s">
        <v>916</v>
      </c>
      <c r="AA1498" s="38">
        <v>1185.3208333344</v>
      </c>
      <c r="AB1498" s="42" t="s">
        <v>916</v>
      </c>
      <c r="AC1498" s="43" t="s">
        <v>916</v>
      </c>
      <c r="AD1498" s="43" t="s">
        <v>916</v>
      </c>
      <c r="AE1498" s="33" t="s">
        <v>3982</v>
      </c>
      <c r="AF1498" s="35" t="s">
        <v>916</v>
      </c>
      <c r="AG1498" s="44">
        <v>489686.6791666667</v>
      </c>
      <c r="AH1498" s="42" t="s">
        <v>916</v>
      </c>
      <c r="AI1498" s="32" t="e">
        <f>VLOOKUP(A1498,'4月明細'!B:B,1,0)</f>
        <v>#N/A</v>
      </c>
    </row>
    <row r="1499" spans="1:35" ht="19.95" customHeight="1" x14ac:dyDescent="0.3">
      <c r="A1499" s="33" t="s">
        <v>5256</v>
      </c>
      <c r="B1499" s="34">
        <v>45972.534548611111</v>
      </c>
      <c r="C1499" s="34" t="str">
        <f t="shared" si="36"/>
        <v>202511</v>
      </c>
      <c r="D1499" s="35" t="s">
        <v>1360</v>
      </c>
      <c r="E1499" s="36" t="s">
        <v>910</v>
      </c>
      <c r="F1499" s="36" t="s">
        <v>1179</v>
      </c>
      <c r="G1499" s="37" t="s">
        <v>5257</v>
      </c>
      <c r="H1499" s="36" t="s">
        <v>1079</v>
      </c>
      <c r="I1499" s="35" t="s">
        <v>1362</v>
      </c>
      <c r="J1499" s="36" t="s">
        <v>929</v>
      </c>
      <c r="K1499" s="33" t="s">
        <v>916</v>
      </c>
      <c r="L1499" s="35" t="s">
        <v>916</v>
      </c>
      <c r="M1499" s="36" t="s">
        <v>916</v>
      </c>
      <c r="N1499" s="45">
        <v>46022</v>
      </c>
      <c r="O1499" s="36" t="s">
        <v>25</v>
      </c>
      <c r="P1499" s="38">
        <v>49.4654513889</v>
      </c>
      <c r="Q1499" s="39" t="s">
        <v>5258</v>
      </c>
      <c r="R1499" s="35" t="s">
        <v>916</v>
      </c>
      <c r="S1499" s="35" t="s">
        <v>5259</v>
      </c>
      <c r="T1499" s="35" t="s">
        <v>1701</v>
      </c>
      <c r="U1499" s="40">
        <v>45973</v>
      </c>
      <c r="V1499" s="41">
        <v>46153.53292824074</v>
      </c>
      <c r="W1499" s="40">
        <v>45972</v>
      </c>
      <c r="X1499" s="35" t="s">
        <v>916</v>
      </c>
      <c r="Y1499" s="35" t="s">
        <v>916</v>
      </c>
      <c r="Z1499" s="35" t="s">
        <v>916</v>
      </c>
      <c r="AA1499" s="38">
        <v>1187.1708333336001</v>
      </c>
      <c r="AB1499" s="42" t="s">
        <v>916</v>
      </c>
      <c r="AC1499" s="43" t="s">
        <v>916</v>
      </c>
      <c r="AD1499" s="43" t="s">
        <v>916</v>
      </c>
      <c r="AE1499" s="33" t="s">
        <v>3982</v>
      </c>
      <c r="AF1499" s="35" t="s">
        <v>916</v>
      </c>
      <c r="AG1499" s="44">
        <v>489684.82916666672</v>
      </c>
      <c r="AH1499" s="42" t="s">
        <v>916</v>
      </c>
      <c r="AI1499" s="32" t="e">
        <f>VLOOKUP(A1499,'4月明細'!B:B,1,0)</f>
        <v>#N/A</v>
      </c>
    </row>
    <row r="1500" spans="1:35" ht="19.95" customHeight="1" x14ac:dyDescent="0.3">
      <c r="A1500" s="33" t="s">
        <v>5260</v>
      </c>
      <c r="B1500" s="34">
        <v>45972.505381944444</v>
      </c>
      <c r="C1500" s="34" t="str">
        <f t="shared" si="36"/>
        <v>202511</v>
      </c>
      <c r="D1500" s="35" t="s">
        <v>996</v>
      </c>
      <c r="E1500" s="36" t="s">
        <v>910</v>
      </c>
      <c r="F1500" s="36" t="s">
        <v>1386</v>
      </c>
      <c r="G1500" s="37" t="s">
        <v>5261</v>
      </c>
      <c r="H1500" s="36" t="s">
        <v>3985</v>
      </c>
      <c r="I1500" s="35"/>
      <c r="J1500" s="36" t="s">
        <v>914</v>
      </c>
      <c r="K1500" s="33" t="s">
        <v>916</v>
      </c>
      <c r="L1500" s="35" t="s">
        <v>916</v>
      </c>
      <c r="M1500" s="36" t="s">
        <v>916</v>
      </c>
      <c r="N1500" s="45">
        <v>46022</v>
      </c>
      <c r="O1500" s="36" t="s">
        <v>25</v>
      </c>
      <c r="P1500" s="38">
        <v>49.4946180556</v>
      </c>
      <c r="Q1500" s="39" t="s">
        <v>5262</v>
      </c>
      <c r="R1500" s="35" t="s">
        <v>916</v>
      </c>
      <c r="S1500" s="35" t="s">
        <v>5263</v>
      </c>
      <c r="T1500" s="35" t="s">
        <v>1701</v>
      </c>
      <c r="U1500" s="40">
        <v>45973</v>
      </c>
      <c r="V1500" s="41">
        <v>46153.53292824074</v>
      </c>
      <c r="W1500" s="40">
        <v>45972</v>
      </c>
      <c r="X1500" s="35" t="s">
        <v>916</v>
      </c>
      <c r="Y1500" s="35" t="s">
        <v>916</v>
      </c>
      <c r="Z1500" s="35" t="s">
        <v>916</v>
      </c>
      <c r="AA1500" s="38">
        <v>1187.8708333344</v>
      </c>
      <c r="AB1500" s="42" t="s">
        <v>916</v>
      </c>
      <c r="AC1500" s="43" t="s">
        <v>916</v>
      </c>
      <c r="AD1500" s="43" t="s">
        <v>916</v>
      </c>
      <c r="AE1500" s="33" t="s">
        <v>3982</v>
      </c>
      <c r="AF1500" s="35" t="s">
        <v>916</v>
      </c>
      <c r="AG1500" s="44">
        <v>489684.12916666671</v>
      </c>
      <c r="AH1500" s="42" t="s">
        <v>916</v>
      </c>
      <c r="AI1500" s="32" t="e">
        <f>VLOOKUP(A1500,'4月明細'!B:B,1,0)</f>
        <v>#N/A</v>
      </c>
    </row>
    <row r="1501" spans="1:35" ht="19.95" customHeight="1" x14ac:dyDescent="0.3">
      <c r="A1501" s="33" t="s">
        <v>5264</v>
      </c>
      <c r="B1501" s="34">
        <v>45972.486006944448</v>
      </c>
      <c r="C1501" s="34" t="str">
        <f t="shared" si="36"/>
        <v>202511</v>
      </c>
      <c r="D1501" s="35" t="s">
        <v>996</v>
      </c>
      <c r="E1501" s="36" t="s">
        <v>910</v>
      </c>
      <c r="F1501" s="36" t="s">
        <v>1213</v>
      </c>
      <c r="G1501" s="37" t="s">
        <v>5265</v>
      </c>
      <c r="H1501" s="36" t="s">
        <v>3985</v>
      </c>
      <c r="I1501" s="35"/>
      <c r="J1501" s="36" t="s">
        <v>914</v>
      </c>
      <c r="K1501" s="33" t="s">
        <v>916</v>
      </c>
      <c r="L1501" s="35" t="s">
        <v>916</v>
      </c>
      <c r="M1501" s="36" t="s">
        <v>916</v>
      </c>
      <c r="N1501" s="45">
        <v>46022</v>
      </c>
      <c r="O1501" s="36" t="s">
        <v>25</v>
      </c>
      <c r="P1501" s="38">
        <v>49.513993055599997</v>
      </c>
      <c r="Q1501" s="39" t="s">
        <v>5266</v>
      </c>
      <c r="R1501" s="35" t="s">
        <v>916</v>
      </c>
      <c r="S1501" s="35" t="s">
        <v>5267</v>
      </c>
      <c r="T1501" s="35" t="s">
        <v>1701</v>
      </c>
      <c r="U1501" s="40">
        <v>45973</v>
      </c>
      <c r="V1501" s="41">
        <v>46153.53292824074</v>
      </c>
      <c r="W1501" s="40">
        <v>45972</v>
      </c>
      <c r="X1501" s="35" t="s">
        <v>916</v>
      </c>
      <c r="Y1501" s="35" t="s">
        <v>916</v>
      </c>
      <c r="Z1501" s="35" t="s">
        <v>916</v>
      </c>
      <c r="AA1501" s="38">
        <v>1188.3358333343999</v>
      </c>
      <c r="AB1501" s="42" t="s">
        <v>916</v>
      </c>
      <c r="AC1501" s="43" t="s">
        <v>916</v>
      </c>
      <c r="AD1501" s="43" t="s">
        <v>916</v>
      </c>
      <c r="AE1501" s="33" t="s">
        <v>3982</v>
      </c>
      <c r="AF1501" s="35" t="s">
        <v>916</v>
      </c>
      <c r="AG1501" s="44">
        <v>489683.66416666668</v>
      </c>
      <c r="AH1501" s="42" t="s">
        <v>916</v>
      </c>
      <c r="AI1501" s="32" t="e">
        <f>VLOOKUP(A1501,'4月明細'!B:B,1,0)</f>
        <v>#N/A</v>
      </c>
    </row>
    <row r="1502" spans="1:35" ht="19.95" customHeight="1" x14ac:dyDescent="0.3">
      <c r="A1502" s="33" t="s">
        <v>5268</v>
      </c>
      <c r="B1502" s="34">
        <v>45972.457488425927</v>
      </c>
      <c r="C1502" s="34" t="str">
        <f t="shared" si="36"/>
        <v>202511</v>
      </c>
      <c r="D1502" s="35" t="s">
        <v>996</v>
      </c>
      <c r="E1502" s="36" t="s">
        <v>910</v>
      </c>
      <c r="F1502" s="36" t="s">
        <v>1588</v>
      </c>
      <c r="G1502" s="37" t="s">
        <v>5269</v>
      </c>
      <c r="H1502" s="36" t="s">
        <v>970</v>
      </c>
      <c r="I1502" s="35" t="s">
        <v>5270</v>
      </c>
      <c r="J1502" s="36" t="s">
        <v>914</v>
      </c>
      <c r="K1502" s="33" t="s">
        <v>916</v>
      </c>
      <c r="L1502" s="35" t="s">
        <v>916</v>
      </c>
      <c r="M1502" s="36" t="s">
        <v>916</v>
      </c>
      <c r="N1502" s="45">
        <v>46022</v>
      </c>
      <c r="O1502" s="36" t="s">
        <v>25</v>
      </c>
      <c r="P1502" s="38">
        <v>49.542511574099997</v>
      </c>
      <c r="Q1502" s="39" t="s">
        <v>5271</v>
      </c>
      <c r="R1502" s="35" t="s">
        <v>916</v>
      </c>
      <c r="S1502" s="35" t="s">
        <v>5272</v>
      </c>
      <c r="T1502" s="35" t="s">
        <v>1701</v>
      </c>
      <c r="U1502" s="40">
        <v>45973</v>
      </c>
      <c r="V1502" s="41">
        <v>46153.53292824074</v>
      </c>
      <c r="W1502" s="40">
        <v>45972</v>
      </c>
      <c r="X1502" s="35" t="s">
        <v>916</v>
      </c>
      <c r="Y1502" s="35" t="s">
        <v>916</v>
      </c>
      <c r="Z1502" s="35" t="s">
        <v>916</v>
      </c>
      <c r="AA1502" s="38">
        <v>1189.0202777784</v>
      </c>
      <c r="AB1502" s="42" t="s">
        <v>916</v>
      </c>
      <c r="AC1502" s="43" t="s">
        <v>916</v>
      </c>
      <c r="AD1502" s="43" t="s">
        <v>916</v>
      </c>
      <c r="AE1502" s="33" t="s">
        <v>3982</v>
      </c>
      <c r="AF1502" s="35" t="s">
        <v>916</v>
      </c>
      <c r="AG1502" s="44">
        <v>489682.97972222231</v>
      </c>
      <c r="AH1502" s="42" t="s">
        <v>916</v>
      </c>
      <c r="AI1502" s="32" t="e">
        <f>VLOOKUP(A1502,'4月明細'!B:B,1,0)</f>
        <v>#N/A</v>
      </c>
    </row>
    <row r="1503" spans="1:35" ht="19.95" customHeight="1" x14ac:dyDescent="0.3">
      <c r="A1503" s="33" t="s">
        <v>5273</v>
      </c>
      <c r="B1503" s="34">
        <v>45971.602349537039</v>
      </c>
      <c r="C1503" s="34" t="str">
        <f t="shared" si="36"/>
        <v>202511</v>
      </c>
      <c r="D1503" s="35" t="s">
        <v>909</v>
      </c>
      <c r="E1503" s="36" t="s">
        <v>910</v>
      </c>
      <c r="F1503" s="36" t="s">
        <v>1004</v>
      </c>
      <c r="G1503" s="37" t="s">
        <v>5274</v>
      </c>
      <c r="H1503" s="36" t="s">
        <v>1048</v>
      </c>
      <c r="I1503" s="35" t="s">
        <v>5275</v>
      </c>
      <c r="J1503" s="36" t="s">
        <v>929</v>
      </c>
      <c r="K1503" s="33" t="s">
        <v>916</v>
      </c>
      <c r="L1503" s="35" t="s">
        <v>916</v>
      </c>
      <c r="M1503" s="36" t="s">
        <v>916</v>
      </c>
      <c r="N1503" s="45">
        <v>46022</v>
      </c>
      <c r="O1503" s="36" t="s">
        <v>25</v>
      </c>
      <c r="P1503" s="38">
        <v>50.397650462999998</v>
      </c>
      <c r="Q1503" s="39" t="s">
        <v>5276</v>
      </c>
      <c r="R1503" s="35" t="s">
        <v>916</v>
      </c>
      <c r="S1503" s="35" t="s">
        <v>5277</v>
      </c>
      <c r="T1503" s="35" t="s">
        <v>1701</v>
      </c>
      <c r="U1503" s="40">
        <v>45972</v>
      </c>
      <c r="V1503" s="41">
        <v>46153.53292824074</v>
      </c>
      <c r="W1503" s="40">
        <v>45971</v>
      </c>
      <c r="X1503" s="35" t="s">
        <v>916</v>
      </c>
      <c r="Y1503" s="35" t="s">
        <v>916</v>
      </c>
      <c r="Z1503" s="35" t="s">
        <v>916</v>
      </c>
      <c r="AA1503" s="38">
        <v>1209.543611112</v>
      </c>
      <c r="AB1503" s="42" t="s">
        <v>916</v>
      </c>
      <c r="AC1503" s="43" t="s">
        <v>916</v>
      </c>
      <c r="AD1503" s="43" t="s">
        <v>916</v>
      </c>
      <c r="AE1503" s="33" t="s">
        <v>3982</v>
      </c>
      <c r="AF1503" s="35" t="s">
        <v>916</v>
      </c>
      <c r="AG1503" s="44">
        <v>489662.45638888888</v>
      </c>
      <c r="AH1503" s="42" t="s">
        <v>916</v>
      </c>
      <c r="AI1503" s="32" t="e">
        <f>VLOOKUP(A1503,'4月明細'!B:B,1,0)</f>
        <v>#N/A</v>
      </c>
    </row>
    <row r="1504" spans="1:35" ht="19.95" customHeight="1" x14ac:dyDescent="0.3">
      <c r="A1504" s="33" t="s">
        <v>5278</v>
      </c>
      <c r="B1504" s="34">
        <v>45971.554942129631</v>
      </c>
      <c r="C1504" s="34" t="str">
        <f t="shared" si="36"/>
        <v>202511</v>
      </c>
      <c r="D1504" s="35" t="s">
        <v>3875</v>
      </c>
      <c r="E1504" s="36" t="s">
        <v>942</v>
      </c>
      <c r="F1504" s="36" t="s">
        <v>1713</v>
      </c>
      <c r="G1504" s="37" t="s">
        <v>5279</v>
      </c>
      <c r="H1504" s="36" t="s">
        <v>913</v>
      </c>
      <c r="I1504" s="35"/>
      <c r="J1504" s="36" t="s">
        <v>929</v>
      </c>
      <c r="K1504" s="33" t="s">
        <v>916</v>
      </c>
      <c r="L1504" s="35" t="s">
        <v>916</v>
      </c>
      <c r="M1504" s="36" t="s">
        <v>916</v>
      </c>
      <c r="N1504" s="45">
        <v>46022</v>
      </c>
      <c r="O1504" s="36" t="s">
        <v>25</v>
      </c>
      <c r="P1504" s="38">
        <v>50.445057870399999</v>
      </c>
      <c r="Q1504" s="39" t="s">
        <v>5280</v>
      </c>
      <c r="R1504" s="35" t="s">
        <v>916</v>
      </c>
      <c r="S1504" s="35" t="s">
        <v>5281</v>
      </c>
      <c r="T1504" s="35" t="s">
        <v>1701</v>
      </c>
      <c r="U1504" s="40">
        <v>45972</v>
      </c>
      <c r="V1504" s="41">
        <v>46153.53292824074</v>
      </c>
      <c r="W1504" s="40">
        <v>45971</v>
      </c>
      <c r="X1504" s="35" t="s">
        <v>916</v>
      </c>
      <c r="Y1504" s="35" t="s">
        <v>916</v>
      </c>
      <c r="Z1504" s="35" t="s">
        <v>916</v>
      </c>
      <c r="AA1504" s="38">
        <v>1210.6813888895999</v>
      </c>
      <c r="AB1504" s="42" t="s">
        <v>916</v>
      </c>
      <c r="AC1504" s="43" t="s">
        <v>916</v>
      </c>
      <c r="AD1504" s="43" t="s">
        <v>916</v>
      </c>
      <c r="AE1504" s="33" t="s">
        <v>3982</v>
      </c>
      <c r="AF1504" s="35" t="s">
        <v>916</v>
      </c>
      <c r="AG1504" s="44">
        <v>489661.31861111108</v>
      </c>
      <c r="AH1504" s="42" t="s">
        <v>916</v>
      </c>
      <c r="AI1504" s="32" t="e">
        <f>VLOOKUP(A1504,'4月明細'!B:B,1,0)</f>
        <v>#N/A</v>
      </c>
    </row>
    <row r="1505" spans="1:35" ht="19.95" customHeight="1" x14ac:dyDescent="0.3">
      <c r="A1505" s="33" t="s">
        <v>5282</v>
      </c>
      <c r="B1505" s="34">
        <v>45971.554189814815</v>
      </c>
      <c r="C1505" s="34" t="str">
        <f t="shared" si="36"/>
        <v>202511</v>
      </c>
      <c r="D1505" s="35" t="s">
        <v>3875</v>
      </c>
      <c r="E1505" s="36" t="s">
        <v>942</v>
      </c>
      <c r="F1505" s="36" t="s">
        <v>1612</v>
      </c>
      <c r="G1505" s="37" t="s">
        <v>4737</v>
      </c>
      <c r="H1505" s="36" t="s">
        <v>913</v>
      </c>
      <c r="I1505" s="35"/>
      <c r="J1505" s="36" t="s">
        <v>945</v>
      </c>
      <c r="K1505" s="33" t="s">
        <v>916</v>
      </c>
      <c r="L1505" s="35" t="s">
        <v>916</v>
      </c>
      <c r="M1505" s="36" t="s">
        <v>916</v>
      </c>
      <c r="N1505" s="45">
        <v>46022</v>
      </c>
      <c r="O1505" s="36" t="s">
        <v>25</v>
      </c>
      <c r="P1505" s="38">
        <v>50.445810185200003</v>
      </c>
      <c r="Q1505" s="39" t="s">
        <v>5283</v>
      </c>
      <c r="R1505" s="35" t="s">
        <v>916</v>
      </c>
      <c r="S1505" s="35" t="s">
        <v>5284</v>
      </c>
      <c r="T1505" s="35" t="s">
        <v>1701</v>
      </c>
      <c r="U1505" s="40">
        <v>45972</v>
      </c>
      <c r="V1505" s="41">
        <v>46153.53292824074</v>
      </c>
      <c r="W1505" s="40">
        <v>45971</v>
      </c>
      <c r="X1505" s="35" t="s">
        <v>916</v>
      </c>
      <c r="Y1505" s="35" t="s">
        <v>916</v>
      </c>
      <c r="Z1505" s="35" t="s">
        <v>916</v>
      </c>
      <c r="AA1505" s="38">
        <v>1210.6994444448001</v>
      </c>
      <c r="AB1505" s="42" t="s">
        <v>916</v>
      </c>
      <c r="AC1505" s="43" t="s">
        <v>916</v>
      </c>
      <c r="AD1505" s="43" t="s">
        <v>916</v>
      </c>
      <c r="AE1505" s="33" t="s">
        <v>3982</v>
      </c>
      <c r="AF1505" s="35" t="s">
        <v>916</v>
      </c>
      <c r="AG1505" s="44">
        <v>489661.30055555562</v>
      </c>
      <c r="AH1505" s="42" t="s">
        <v>916</v>
      </c>
      <c r="AI1505" s="32" t="e">
        <f>VLOOKUP(A1505,'4月明細'!B:B,1,0)</f>
        <v>#N/A</v>
      </c>
    </row>
    <row r="1506" spans="1:35" ht="19.95" customHeight="1" x14ac:dyDescent="0.3">
      <c r="A1506" s="33" t="s">
        <v>5285</v>
      </c>
      <c r="B1506" s="34">
        <v>45971.471342592595</v>
      </c>
      <c r="C1506" s="34" t="str">
        <f t="shared" si="36"/>
        <v>202511</v>
      </c>
      <c r="D1506" s="35" t="s">
        <v>1747</v>
      </c>
      <c r="E1506" s="36" t="s">
        <v>942</v>
      </c>
      <c r="F1506" s="36" t="s">
        <v>1010</v>
      </c>
      <c r="G1506" s="37" t="s">
        <v>5286</v>
      </c>
      <c r="H1506" s="36" t="s">
        <v>1079</v>
      </c>
      <c r="I1506" s="35"/>
      <c r="J1506" s="36" t="s">
        <v>945</v>
      </c>
      <c r="K1506" s="33" t="s">
        <v>916</v>
      </c>
      <c r="L1506" s="35" t="s">
        <v>916</v>
      </c>
      <c r="M1506" s="36" t="s">
        <v>916</v>
      </c>
      <c r="N1506" s="45">
        <v>46022</v>
      </c>
      <c r="O1506" s="36" t="s">
        <v>25</v>
      </c>
      <c r="P1506" s="38">
        <v>50.528657407399997</v>
      </c>
      <c r="Q1506" s="39" t="s">
        <v>5287</v>
      </c>
      <c r="R1506" s="35" t="s">
        <v>916</v>
      </c>
      <c r="S1506" s="35"/>
      <c r="T1506" s="35" t="s">
        <v>1701</v>
      </c>
      <c r="U1506" s="40">
        <v>45972</v>
      </c>
      <c r="V1506" s="41">
        <v>46153.53292824074</v>
      </c>
      <c r="W1506" s="40">
        <v>45971</v>
      </c>
      <c r="X1506" s="35" t="s">
        <v>916</v>
      </c>
      <c r="Y1506" s="35" t="s">
        <v>916</v>
      </c>
      <c r="Z1506" s="35" t="s">
        <v>916</v>
      </c>
      <c r="AA1506" s="38">
        <v>1212.6877777776001</v>
      </c>
      <c r="AB1506" s="42" t="s">
        <v>916</v>
      </c>
      <c r="AC1506" s="43" t="s">
        <v>916</v>
      </c>
      <c r="AD1506" s="43" t="s">
        <v>916</v>
      </c>
      <c r="AE1506" s="33" t="s">
        <v>3982</v>
      </c>
      <c r="AF1506" s="35" t="s">
        <v>916</v>
      </c>
      <c r="AG1506" s="44">
        <v>489659.31222222227</v>
      </c>
      <c r="AH1506" s="42" t="s">
        <v>916</v>
      </c>
      <c r="AI1506" s="32" t="e">
        <f>VLOOKUP(A1506,'4月明細'!B:B,1,0)</f>
        <v>#N/A</v>
      </c>
    </row>
    <row r="1507" spans="1:35" ht="19.95" customHeight="1" x14ac:dyDescent="0.3">
      <c r="A1507" s="33" t="s">
        <v>5288</v>
      </c>
      <c r="B1507" s="34">
        <v>45971.461643518516</v>
      </c>
      <c r="C1507" s="34" t="str">
        <f t="shared" si="36"/>
        <v>202511</v>
      </c>
      <c r="D1507" s="35" t="s">
        <v>909</v>
      </c>
      <c r="E1507" s="36" t="s">
        <v>910</v>
      </c>
      <c r="F1507" s="36" t="s">
        <v>1232</v>
      </c>
      <c r="G1507" s="37" t="s">
        <v>5289</v>
      </c>
      <c r="H1507" s="36" t="s">
        <v>3985</v>
      </c>
      <c r="I1507" s="35" t="s">
        <v>5290</v>
      </c>
      <c r="J1507" s="36" t="s">
        <v>929</v>
      </c>
      <c r="K1507" s="33" t="s">
        <v>916</v>
      </c>
      <c r="L1507" s="35" t="s">
        <v>916</v>
      </c>
      <c r="M1507" s="36" t="s">
        <v>916</v>
      </c>
      <c r="N1507" s="45">
        <v>46022</v>
      </c>
      <c r="O1507" s="36" t="s">
        <v>25</v>
      </c>
      <c r="P1507" s="38">
        <v>50.538356481500003</v>
      </c>
      <c r="Q1507" s="39" t="s">
        <v>5291</v>
      </c>
      <c r="R1507" s="35" t="s">
        <v>916</v>
      </c>
      <c r="S1507" s="35" t="s">
        <v>5292</v>
      </c>
      <c r="T1507" s="35" t="s">
        <v>1701</v>
      </c>
      <c r="U1507" s="40">
        <v>45972</v>
      </c>
      <c r="V1507" s="41">
        <v>46153.53292824074</v>
      </c>
      <c r="W1507" s="40">
        <v>45971</v>
      </c>
      <c r="X1507" s="35" t="s">
        <v>916</v>
      </c>
      <c r="Y1507" s="35" t="s">
        <v>916</v>
      </c>
      <c r="Z1507" s="35" t="s">
        <v>916</v>
      </c>
      <c r="AA1507" s="38">
        <v>1212.920555556</v>
      </c>
      <c r="AB1507" s="42" t="s">
        <v>916</v>
      </c>
      <c r="AC1507" s="43" t="s">
        <v>916</v>
      </c>
      <c r="AD1507" s="43" t="s">
        <v>916</v>
      </c>
      <c r="AE1507" s="33" t="s">
        <v>3982</v>
      </c>
      <c r="AF1507" s="35" t="s">
        <v>916</v>
      </c>
      <c r="AG1507" s="44">
        <v>489659.07944444451</v>
      </c>
      <c r="AH1507" s="42" t="s">
        <v>916</v>
      </c>
      <c r="AI1507" s="32" t="e">
        <f>VLOOKUP(A1507,'4月明細'!B:B,1,0)</f>
        <v>#N/A</v>
      </c>
    </row>
    <row r="1508" spans="1:35" ht="19.95" customHeight="1" x14ac:dyDescent="0.3">
      <c r="A1508" s="33" t="s">
        <v>5293</v>
      </c>
      <c r="B1508" s="34">
        <v>45971.432708333334</v>
      </c>
      <c r="C1508" s="34" t="str">
        <f t="shared" si="36"/>
        <v>202511</v>
      </c>
      <c r="D1508" s="35" t="s">
        <v>909</v>
      </c>
      <c r="E1508" s="36" t="s">
        <v>910</v>
      </c>
      <c r="F1508" s="36" t="s">
        <v>1792</v>
      </c>
      <c r="G1508" s="37" t="s">
        <v>5294</v>
      </c>
      <c r="H1508" s="36" t="s">
        <v>4065</v>
      </c>
      <c r="I1508" s="35" t="s">
        <v>5295</v>
      </c>
      <c r="J1508" s="36" t="s">
        <v>914</v>
      </c>
      <c r="K1508" s="33" t="s">
        <v>916</v>
      </c>
      <c r="L1508" s="35" t="s">
        <v>916</v>
      </c>
      <c r="M1508" s="36" t="s">
        <v>916</v>
      </c>
      <c r="N1508" s="45">
        <v>46022</v>
      </c>
      <c r="O1508" s="36" t="s">
        <v>25</v>
      </c>
      <c r="P1508" s="38">
        <v>50.567291666700001</v>
      </c>
      <c r="Q1508" s="39" t="s">
        <v>5296</v>
      </c>
      <c r="R1508" s="35" t="s">
        <v>916</v>
      </c>
      <c r="S1508" s="35" t="s">
        <v>5297</v>
      </c>
      <c r="T1508" s="35" t="s">
        <v>1701</v>
      </c>
      <c r="U1508" s="40">
        <v>45972</v>
      </c>
      <c r="V1508" s="41">
        <v>46153.53292824074</v>
      </c>
      <c r="W1508" s="40">
        <v>45971</v>
      </c>
      <c r="X1508" s="35" t="s">
        <v>916</v>
      </c>
      <c r="Y1508" s="35" t="s">
        <v>916</v>
      </c>
      <c r="Z1508" s="35" t="s">
        <v>916</v>
      </c>
      <c r="AA1508" s="38">
        <v>1213.6150000007999</v>
      </c>
      <c r="AB1508" s="42" t="s">
        <v>916</v>
      </c>
      <c r="AC1508" s="43" t="s">
        <v>916</v>
      </c>
      <c r="AD1508" s="43" t="s">
        <v>916</v>
      </c>
      <c r="AE1508" s="33" t="s">
        <v>3982</v>
      </c>
      <c r="AF1508" s="35" t="s">
        <v>916</v>
      </c>
      <c r="AG1508" s="44">
        <v>489658.38500000001</v>
      </c>
      <c r="AH1508" s="42" t="s">
        <v>916</v>
      </c>
      <c r="AI1508" s="32" t="e">
        <f>VLOOKUP(A1508,'4月明細'!B:B,1,0)</f>
        <v>#N/A</v>
      </c>
    </row>
    <row r="1509" spans="1:35" ht="19.95" customHeight="1" x14ac:dyDescent="0.3">
      <c r="A1509" s="33" t="s">
        <v>5298</v>
      </c>
      <c r="B1509" s="34">
        <v>45971.367025462961</v>
      </c>
      <c r="C1509" s="34" t="str">
        <f t="shared" si="36"/>
        <v>202511</v>
      </c>
      <c r="D1509" s="35" t="s">
        <v>1747</v>
      </c>
      <c r="E1509" s="36" t="s">
        <v>910</v>
      </c>
      <c r="F1509" s="36" t="s">
        <v>1686</v>
      </c>
      <c r="G1509" s="37" t="s">
        <v>5299</v>
      </c>
      <c r="H1509" s="36" t="s">
        <v>913</v>
      </c>
      <c r="I1509" s="35"/>
      <c r="J1509" s="36" t="s">
        <v>938</v>
      </c>
      <c r="K1509" s="33" t="s">
        <v>916</v>
      </c>
      <c r="L1509" s="35" t="s">
        <v>916</v>
      </c>
      <c r="M1509" s="36" t="s">
        <v>916</v>
      </c>
      <c r="N1509" s="45">
        <v>46022</v>
      </c>
      <c r="O1509" s="36" t="s">
        <v>25</v>
      </c>
      <c r="P1509" s="38">
        <v>50.632974537000003</v>
      </c>
      <c r="Q1509" s="39" t="s">
        <v>2230</v>
      </c>
      <c r="R1509" s="35" t="s">
        <v>916</v>
      </c>
      <c r="S1509" s="35"/>
      <c r="T1509" s="35" t="s">
        <v>1701</v>
      </c>
      <c r="U1509" s="40">
        <v>45972</v>
      </c>
      <c r="V1509" s="41">
        <v>46153.53292824074</v>
      </c>
      <c r="W1509" s="40">
        <v>45971</v>
      </c>
      <c r="X1509" s="35" t="s">
        <v>916</v>
      </c>
      <c r="Y1509" s="35" t="s">
        <v>916</v>
      </c>
      <c r="Z1509" s="35" t="s">
        <v>916</v>
      </c>
      <c r="AA1509" s="38">
        <v>1215.1913888879999</v>
      </c>
      <c r="AB1509" s="42" t="s">
        <v>916</v>
      </c>
      <c r="AC1509" s="43" t="s">
        <v>916</v>
      </c>
      <c r="AD1509" s="43" t="s">
        <v>916</v>
      </c>
      <c r="AE1509" s="33" t="s">
        <v>3982</v>
      </c>
      <c r="AF1509" s="35" t="s">
        <v>916</v>
      </c>
      <c r="AG1509" s="44">
        <v>489656.80861111108</v>
      </c>
      <c r="AH1509" s="42" t="s">
        <v>916</v>
      </c>
      <c r="AI1509" s="32" t="e">
        <f>VLOOKUP(A1509,'4月明細'!B:B,1,0)</f>
        <v>#N/A</v>
      </c>
    </row>
    <row r="1510" spans="1:35" ht="19.95" customHeight="1" x14ac:dyDescent="0.3">
      <c r="A1510" s="33" t="s">
        <v>5300</v>
      </c>
      <c r="B1510" s="34">
        <v>45970.789895833332</v>
      </c>
      <c r="C1510" s="34" t="str">
        <f t="shared" si="36"/>
        <v>202511</v>
      </c>
      <c r="D1510" s="35" t="s">
        <v>5301</v>
      </c>
      <c r="E1510" s="36" t="s">
        <v>942</v>
      </c>
      <c r="F1510" s="36" t="s">
        <v>1686</v>
      </c>
      <c r="G1510" s="37" t="s">
        <v>5302</v>
      </c>
      <c r="H1510" s="36" t="s">
        <v>913</v>
      </c>
      <c r="I1510" s="35"/>
      <c r="J1510" s="36" t="s">
        <v>945</v>
      </c>
      <c r="K1510" s="33" t="s">
        <v>916</v>
      </c>
      <c r="L1510" s="35" t="s">
        <v>916</v>
      </c>
      <c r="M1510" s="36" t="s">
        <v>916</v>
      </c>
      <c r="N1510" s="45">
        <v>46022</v>
      </c>
      <c r="O1510" s="36" t="s">
        <v>25</v>
      </c>
      <c r="P1510" s="38">
        <v>51.210104166699999</v>
      </c>
      <c r="Q1510" s="39" t="s">
        <v>5303</v>
      </c>
      <c r="R1510" s="35" t="s">
        <v>916</v>
      </c>
      <c r="S1510" s="35" t="s">
        <v>5304</v>
      </c>
      <c r="T1510" s="35" t="s">
        <v>1701</v>
      </c>
      <c r="U1510" s="40">
        <v>45971</v>
      </c>
      <c r="V1510" s="41">
        <v>46153.53292824074</v>
      </c>
      <c r="W1510" s="40">
        <v>45970</v>
      </c>
      <c r="X1510" s="35" t="s">
        <v>916</v>
      </c>
      <c r="Y1510" s="35" t="s">
        <v>916</v>
      </c>
      <c r="Z1510" s="35" t="s">
        <v>916</v>
      </c>
      <c r="AA1510" s="38">
        <v>1229.0425000007999</v>
      </c>
      <c r="AB1510" s="42" t="s">
        <v>916</v>
      </c>
      <c r="AC1510" s="43" t="s">
        <v>916</v>
      </c>
      <c r="AD1510" s="43" t="s">
        <v>916</v>
      </c>
      <c r="AE1510" s="33" t="s">
        <v>3982</v>
      </c>
      <c r="AF1510" s="35" t="s">
        <v>916</v>
      </c>
      <c r="AG1510" s="44">
        <v>489642.95750000002</v>
      </c>
      <c r="AH1510" s="42" t="s">
        <v>916</v>
      </c>
      <c r="AI1510" s="32" t="e">
        <f>VLOOKUP(A1510,'4月明細'!B:B,1,0)</f>
        <v>#N/A</v>
      </c>
    </row>
    <row r="1511" spans="1:35" ht="19.95" customHeight="1" x14ac:dyDescent="0.3">
      <c r="A1511" s="33" t="s">
        <v>5305</v>
      </c>
      <c r="B1511" s="34">
        <v>45970.771192129629</v>
      </c>
      <c r="C1511" s="34" t="str">
        <f t="shared" si="36"/>
        <v>202511</v>
      </c>
      <c r="D1511" s="35" t="s">
        <v>4769</v>
      </c>
      <c r="E1511" s="36" t="s">
        <v>942</v>
      </c>
      <c r="F1511" s="36" t="s">
        <v>1686</v>
      </c>
      <c r="G1511" s="37" t="s">
        <v>5306</v>
      </c>
      <c r="H1511" s="36" t="s">
        <v>913</v>
      </c>
      <c r="I1511" s="35"/>
      <c r="J1511" s="36" t="s">
        <v>945</v>
      </c>
      <c r="K1511" s="33" t="s">
        <v>916</v>
      </c>
      <c r="L1511" s="35" t="s">
        <v>916</v>
      </c>
      <c r="M1511" s="36" t="s">
        <v>916</v>
      </c>
      <c r="N1511" s="45">
        <v>46022</v>
      </c>
      <c r="O1511" s="36" t="s">
        <v>25</v>
      </c>
      <c r="P1511" s="38">
        <v>51.228807870399997</v>
      </c>
      <c r="Q1511" s="39" t="s">
        <v>2230</v>
      </c>
      <c r="R1511" s="35" t="s">
        <v>916</v>
      </c>
      <c r="S1511" s="35"/>
      <c r="T1511" s="35" t="s">
        <v>1701</v>
      </c>
      <c r="U1511" s="40">
        <v>45971</v>
      </c>
      <c r="V1511" s="41">
        <v>46153.53292824074</v>
      </c>
      <c r="W1511" s="40">
        <v>45970</v>
      </c>
      <c r="X1511" s="35" t="s">
        <v>916</v>
      </c>
      <c r="Y1511" s="35" t="s">
        <v>916</v>
      </c>
      <c r="Z1511" s="35" t="s">
        <v>916</v>
      </c>
      <c r="AA1511" s="38">
        <v>1229.4913888896001</v>
      </c>
      <c r="AB1511" s="42" t="s">
        <v>916</v>
      </c>
      <c r="AC1511" s="43" t="s">
        <v>916</v>
      </c>
      <c r="AD1511" s="43" t="s">
        <v>916</v>
      </c>
      <c r="AE1511" s="33" t="s">
        <v>3982</v>
      </c>
      <c r="AF1511" s="35" t="s">
        <v>916</v>
      </c>
      <c r="AG1511" s="44">
        <v>489642.50861111109</v>
      </c>
      <c r="AH1511" s="42" t="s">
        <v>916</v>
      </c>
      <c r="AI1511" s="32" t="e">
        <f>VLOOKUP(A1511,'4月明細'!B:B,1,0)</f>
        <v>#N/A</v>
      </c>
    </row>
    <row r="1512" spans="1:35" ht="19.95" customHeight="1" x14ac:dyDescent="0.3">
      <c r="A1512" s="33" t="s">
        <v>5307</v>
      </c>
      <c r="B1512" s="34">
        <v>45970.675671296296</v>
      </c>
      <c r="C1512" s="34" t="str">
        <f t="shared" si="36"/>
        <v>202511</v>
      </c>
      <c r="D1512" s="35" t="s">
        <v>4769</v>
      </c>
      <c r="E1512" s="36" t="s">
        <v>910</v>
      </c>
      <c r="F1512" s="36" t="s">
        <v>1531</v>
      </c>
      <c r="G1512" s="37" t="s">
        <v>1041</v>
      </c>
      <c r="H1512" s="36" t="s">
        <v>1043</v>
      </c>
      <c r="I1512" s="35" t="s">
        <v>5308</v>
      </c>
      <c r="J1512" s="36" t="s">
        <v>929</v>
      </c>
      <c r="K1512" s="33" t="s">
        <v>916</v>
      </c>
      <c r="L1512" s="35" t="s">
        <v>916</v>
      </c>
      <c r="M1512" s="36" t="s">
        <v>1039</v>
      </c>
      <c r="N1512" s="45">
        <v>46022</v>
      </c>
      <c r="O1512" s="36" t="s">
        <v>25</v>
      </c>
      <c r="P1512" s="38">
        <v>51.324328703699997</v>
      </c>
      <c r="Q1512" s="39" t="s">
        <v>3931</v>
      </c>
      <c r="R1512" s="35" t="s">
        <v>916</v>
      </c>
      <c r="S1512" s="35"/>
      <c r="T1512" s="35" t="s">
        <v>1701</v>
      </c>
      <c r="U1512" s="40">
        <v>45971</v>
      </c>
      <c r="V1512" s="41">
        <v>46153.53292824074</v>
      </c>
      <c r="W1512" s="40">
        <v>45970</v>
      </c>
      <c r="X1512" s="35" t="s">
        <v>916</v>
      </c>
      <c r="Y1512" s="35" t="s">
        <v>916</v>
      </c>
      <c r="Z1512" s="35" t="s">
        <v>916</v>
      </c>
      <c r="AA1512" s="38">
        <v>1231.7838888888</v>
      </c>
      <c r="AB1512" s="42" t="s">
        <v>916</v>
      </c>
      <c r="AC1512" s="43" t="s">
        <v>916</v>
      </c>
      <c r="AD1512" s="43" t="s">
        <v>916</v>
      </c>
      <c r="AE1512" s="33" t="s">
        <v>3982</v>
      </c>
      <c r="AF1512" s="35" t="s">
        <v>916</v>
      </c>
      <c r="AG1512" s="44">
        <v>489640.21611111111</v>
      </c>
      <c r="AH1512" s="42" t="s">
        <v>916</v>
      </c>
      <c r="AI1512" s="32" t="e">
        <f>VLOOKUP(A1512,'4月明細'!B:B,1,0)</f>
        <v>#N/A</v>
      </c>
    </row>
    <row r="1513" spans="1:35" ht="19.95" customHeight="1" x14ac:dyDescent="0.3">
      <c r="A1513" s="33" t="s">
        <v>5309</v>
      </c>
      <c r="B1513" s="34">
        <v>45970.625254629631</v>
      </c>
      <c r="C1513" s="34" t="str">
        <f t="shared" si="36"/>
        <v>202511</v>
      </c>
      <c r="D1513" s="35" t="s">
        <v>5008</v>
      </c>
      <c r="E1513" s="36" t="s">
        <v>1112</v>
      </c>
      <c r="F1513" s="36" t="s">
        <v>1612</v>
      </c>
      <c r="G1513" s="37" t="s">
        <v>5310</v>
      </c>
      <c r="H1513" s="36" t="s">
        <v>913</v>
      </c>
      <c r="I1513" s="35"/>
      <c r="J1513" s="36" t="s">
        <v>945</v>
      </c>
      <c r="K1513" s="33" t="s">
        <v>916</v>
      </c>
      <c r="L1513" s="35" t="s">
        <v>916</v>
      </c>
      <c r="M1513" s="36" t="s">
        <v>1039</v>
      </c>
      <c r="N1513" s="45">
        <v>46022</v>
      </c>
      <c r="O1513" s="36" t="s">
        <v>25</v>
      </c>
      <c r="P1513" s="38">
        <v>51.374745370399999</v>
      </c>
      <c r="Q1513" s="39" t="s">
        <v>5311</v>
      </c>
      <c r="R1513" s="35" t="s">
        <v>916</v>
      </c>
      <c r="S1513" s="35"/>
      <c r="T1513" s="35" t="s">
        <v>1701</v>
      </c>
      <c r="U1513" s="40">
        <v>45971</v>
      </c>
      <c r="V1513" s="41">
        <v>46153.53292824074</v>
      </c>
      <c r="W1513" s="40">
        <v>45970</v>
      </c>
      <c r="X1513" s="35" t="s">
        <v>916</v>
      </c>
      <c r="Y1513" s="35" t="s">
        <v>916</v>
      </c>
      <c r="Z1513" s="35" t="s">
        <v>916</v>
      </c>
      <c r="AA1513" s="38">
        <v>1232.9938888895999</v>
      </c>
      <c r="AB1513" s="42" t="s">
        <v>916</v>
      </c>
      <c r="AC1513" s="43" t="s">
        <v>916</v>
      </c>
      <c r="AD1513" s="43" t="s">
        <v>916</v>
      </c>
      <c r="AE1513" s="33" t="s">
        <v>3982</v>
      </c>
      <c r="AF1513" s="35" t="s">
        <v>916</v>
      </c>
      <c r="AG1513" s="44">
        <v>489639.00611111108</v>
      </c>
      <c r="AH1513" s="42" t="s">
        <v>916</v>
      </c>
      <c r="AI1513" s="32" t="e">
        <f>VLOOKUP(A1513,'4月明細'!B:B,1,0)</f>
        <v>#N/A</v>
      </c>
    </row>
    <row r="1514" spans="1:35" ht="19.95" customHeight="1" x14ac:dyDescent="0.3">
      <c r="A1514" s="33" t="s">
        <v>5312</v>
      </c>
      <c r="B1514" s="34">
        <v>45970.575439814813</v>
      </c>
      <c r="C1514" s="34" t="str">
        <f t="shared" si="36"/>
        <v>202511</v>
      </c>
      <c r="D1514" s="35" t="s">
        <v>4769</v>
      </c>
      <c r="E1514" s="36" t="s">
        <v>910</v>
      </c>
      <c r="F1514" s="36" t="s">
        <v>1765</v>
      </c>
      <c r="G1514" s="37" t="s">
        <v>5313</v>
      </c>
      <c r="H1514" s="36" t="s">
        <v>4007</v>
      </c>
      <c r="I1514" s="35" t="s">
        <v>5314</v>
      </c>
      <c r="J1514" s="36" t="s">
        <v>914</v>
      </c>
      <c r="K1514" s="33" t="s">
        <v>916</v>
      </c>
      <c r="L1514" s="35" t="s">
        <v>916</v>
      </c>
      <c r="M1514" s="36" t="s">
        <v>917</v>
      </c>
      <c r="N1514" s="45">
        <v>46022</v>
      </c>
      <c r="O1514" s="36" t="s">
        <v>25</v>
      </c>
      <c r="P1514" s="38">
        <v>51.424560185200001</v>
      </c>
      <c r="Q1514" s="39" t="s">
        <v>5315</v>
      </c>
      <c r="R1514" s="35" t="s">
        <v>916</v>
      </c>
      <c r="S1514" s="35" t="s">
        <v>5316</v>
      </c>
      <c r="T1514" s="35" t="s">
        <v>1701</v>
      </c>
      <c r="U1514" s="40">
        <v>45971</v>
      </c>
      <c r="V1514" s="41">
        <v>46153.53292824074</v>
      </c>
      <c r="W1514" s="40">
        <v>45970</v>
      </c>
      <c r="X1514" s="35" t="s">
        <v>916</v>
      </c>
      <c r="Y1514" s="35" t="s">
        <v>916</v>
      </c>
      <c r="Z1514" s="35" t="s">
        <v>916</v>
      </c>
      <c r="AA1514" s="38">
        <v>1234.1894444448001</v>
      </c>
      <c r="AB1514" s="42" t="s">
        <v>916</v>
      </c>
      <c r="AC1514" s="43" t="s">
        <v>916</v>
      </c>
      <c r="AD1514" s="43" t="s">
        <v>916</v>
      </c>
      <c r="AE1514" s="33" t="s">
        <v>3982</v>
      </c>
      <c r="AF1514" s="35" t="s">
        <v>916</v>
      </c>
      <c r="AG1514" s="44">
        <v>489637.81055555562</v>
      </c>
      <c r="AH1514" s="42" t="s">
        <v>916</v>
      </c>
      <c r="AI1514" s="32" t="e">
        <f>VLOOKUP(A1514,'4月明細'!B:B,1,0)</f>
        <v>#N/A</v>
      </c>
    </row>
    <row r="1515" spans="1:35" ht="19.95" customHeight="1" x14ac:dyDescent="0.3">
      <c r="A1515" s="33" t="s">
        <v>5317</v>
      </c>
      <c r="B1515" s="34">
        <v>45970.519930555558</v>
      </c>
      <c r="C1515" s="34" t="str">
        <f t="shared" si="36"/>
        <v>202511</v>
      </c>
      <c r="D1515" s="35" t="s">
        <v>4769</v>
      </c>
      <c r="E1515" s="36" t="s">
        <v>910</v>
      </c>
      <c r="F1515" s="36" t="s">
        <v>2298</v>
      </c>
      <c r="G1515" s="37" t="s">
        <v>5318</v>
      </c>
      <c r="H1515" s="36" t="s">
        <v>1043</v>
      </c>
      <c r="I1515" s="35" t="s">
        <v>5319</v>
      </c>
      <c r="J1515" s="36" t="s">
        <v>914</v>
      </c>
      <c r="K1515" s="33" t="s">
        <v>916</v>
      </c>
      <c r="L1515" s="35" t="s">
        <v>916</v>
      </c>
      <c r="M1515" s="36" t="s">
        <v>917</v>
      </c>
      <c r="N1515" s="45">
        <v>46022</v>
      </c>
      <c r="O1515" s="36" t="s">
        <v>25</v>
      </c>
      <c r="P1515" s="38">
        <v>51.480069444400002</v>
      </c>
      <c r="Q1515" s="39" t="s">
        <v>5320</v>
      </c>
      <c r="R1515" s="35" t="s">
        <v>916</v>
      </c>
      <c r="S1515" s="35"/>
      <c r="T1515" s="35" t="s">
        <v>1701</v>
      </c>
      <c r="U1515" s="40">
        <v>45971</v>
      </c>
      <c r="V1515" s="41">
        <v>46153.53292824074</v>
      </c>
      <c r="W1515" s="40">
        <v>45970</v>
      </c>
      <c r="X1515" s="35" t="s">
        <v>916</v>
      </c>
      <c r="Y1515" s="35" t="s">
        <v>916</v>
      </c>
      <c r="Z1515" s="35" t="s">
        <v>916</v>
      </c>
      <c r="AA1515" s="38">
        <v>1235.5216666655999</v>
      </c>
      <c r="AB1515" s="42" t="s">
        <v>916</v>
      </c>
      <c r="AC1515" s="43" t="s">
        <v>916</v>
      </c>
      <c r="AD1515" s="43" t="s">
        <v>916</v>
      </c>
      <c r="AE1515" s="33" t="s">
        <v>3982</v>
      </c>
      <c r="AF1515" s="35" t="s">
        <v>916</v>
      </c>
      <c r="AG1515" s="44">
        <v>489636.47833333327</v>
      </c>
      <c r="AH1515" s="42" t="s">
        <v>916</v>
      </c>
      <c r="AI1515" s="32" t="e">
        <f>VLOOKUP(A1515,'4月明細'!B:B,1,0)</f>
        <v>#N/A</v>
      </c>
    </row>
    <row r="1516" spans="1:35" ht="19.95" customHeight="1" x14ac:dyDescent="0.3">
      <c r="A1516" s="33" t="s">
        <v>5321</v>
      </c>
      <c r="B1516" s="34">
        <v>45970.512546296297</v>
      </c>
      <c r="C1516" s="34" t="str">
        <f t="shared" si="36"/>
        <v>202511</v>
      </c>
      <c r="D1516" s="35" t="s">
        <v>4769</v>
      </c>
      <c r="E1516" s="36" t="s">
        <v>910</v>
      </c>
      <c r="F1516" s="36" t="s">
        <v>1240</v>
      </c>
      <c r="G1516" s="37" t="s">
        <v>5322</v>
      </c>
      <c r="H1516" s="36" t="s">
        <v>4060</v>
      </c>
      <c r="I1516" s="35" t="s">
        <v>5323</v>
      </c>
      <c r="J1516" s="36" t="s">
        <v>914</v>
      </c>
      <c r="K1516" s="33" t="s">
        <v>916</v>
      </c>
      <c r="L1516" s="35" t="s">
        <v>916</v>
      </c>
      <c r="M1516" s="36" t="s">
        <v>916</v>
      </c>
      <c r="N1516" s="45">
        <v>46022</v>
      </c>
      <c r="O1516" s="36" t="s">
        <v>25</v>
      </c>
      <c r="P1516" s="38">
        <v>51.487453703699998</v>
      </c>
      <c r="Q1516" s="39" t="s">
        <v>5324</v>
      </c>
      <c r="R1516" s="35" t="s">
        <v>916</v>
      </c>
      <c r="S1516" s="35"/>
      <c r="T1516" s="35" t="s">
        <v>1701</v>
      </c>
      <c r="U1516" s="40">
        <v>45971</v>
      </c>
      <c r="V1516" s="41">
        <v>46153.53292824074</v>
      </c>
      <c r="W1516" s="40">
        <v>45970</v>
      </c>
      <c r="X1516" s="35" t="s">
        <v>916</v>
      </c>
      <c r="Y1516" s="35" t="s">
        <v>916</v>
      </c>
      <c r="Z1516" s="35" t="s">
        <v>916</v>
      </c>
      <c r="AA1516" s="38">
        <v>1235.6988888888</v>
      </c>
      <c r="AB1516" s="42" t="s">
        <v>916</v>
      </c>
      <c r="AC1516" s="43" t="s">
        <v>916</v>
      </c>
      <c r="AD1516" s="43" t="s">
        <v>916</v>
      </c>
      <c r="AE1516" s="33" t="s">
        <v>3982</v>
      </c>
      <c r="AF1516" s="35" t="s">
        <v>916</v>
      </c>
      <c r="AG1516" s="44">
        <v>489636.30111111113</v>
      </c>
      <c r="AH1516" s="42" t="s">
        <v>916</v>
      </c>
      <c r="AI1516" s="32" t="e">
        <f>VLOOKUP(A1516,'4月明細'!B:B,1,0)</f>
        <v>#N/A</v>
      </c>
    </row>
    <row r="1517" spans="1:35" ht="19.95" customHeight="1" x14ac:dyDescent="0.3">
      <c r="A1517" s="33" t="s">
        <v>5325</v>
      </c>
      <c r="B1517" s="34">
        <v>45969.841956018521</v>
      </c>
      <c r="C1517" s="34" t="str">
        <f t="shared" si="36"/>
        <v>202511</v>
      </c>
      <c r="D1517" s="35" t="s">
        <v>5008</v>
      </c>
      <c r="E1517" s="36" t="s">
        <v>942</v>
      </c>
      <c r="F1517" s="36" t="s">
        <v>952</v>
      </c>
      <c r="G1517" s="37" t="s">
        <v>5326</v>
      </c>
      <c r="H1517" s="36" t="s">
        <v>913</v>
      </c>
      <c r="I1517" s="35"/>
      <c r="J1517" s="36" t="s">
        <v>945</v>
      </c>
      <c r="K1517" s="33" t="s">
        <v>916</v>
      </c>
      <c r="L1517" s="35" t="s">
        <v>916</v>
      </c>
      <c r="M1517" s="36" t="s">
        <v>916</v>
      </c>
      <c r="N1517" s="45">
        <v>46022</v>
      </c>
      <c r="O1517" s="36" t="s">
        <v>25</v>
      </c>
      <c r="P1517" s="38">
        <v>52.158043981500001</v>
      </c>
      <c r="Q1517" s="39" t="s">
        <v>5327</v>
      </c>
      <c r="R1517" s="35" t="s">
        <v>916</v>
      </c>
      <c r="S1517" s="35"/>
      <c r="T1517" s="35" t="s">
        <v>1701</v>
      </c>
      <c r="U1517" s="40">
        <v>45970</v>
      </c>
      <c r="V1517" s="41">
        <v>46153.53292824074</v>
      </c>
      <c r="W1517" s="40">
        <v>45970</v>
      </c>
      <c r="X1517" s="35" t="s">
        <v>916</v>
      </c>
      <c r="Y1517" s="35" t="s">
        <v>916</v>
      </c>
      <c r="Z1517" s="35" t="s">
        <v>916</v>
      </c>
      <c r="AA1517" s="38">
        <v>1251.7930555559999</v>
      </c>
      <c r="AB1517" s="42" t="s">
        <v>916</v>
      </c>
      <c r="AC1517" s="43" t="s">
        <v>916</v>
      </c>
      <c r="AD1517" s="43" t="s">
        <v>916</v>
      </c>
      <c r="AE1517" s="33" t="s">
        <v>3982</v>
      </c>
      <c r="AF1517" s="35" t="s">
        <v>916</v>
      </c>
      <c r="AG1517" s="44">
        <v>489620.20694444439</v>
      </c>
      <c r="AH1517" s="42" t="s">
        <v>916</v>
      </c>
      <c r="AI1517" s="32" t="e">
        <f>VLOOKUP(A1517,'4月明細'!B:B,1,0)</f>
        <v>#N/A</v>
      </c>
    </row>
    <row r="1518" spans="1:35" ht="19.95" customHeight="1" x14ac:dyDescent="0.3">
      <c r="A1518" s="33" t="s">
        <v>5328</v>
      </c>
      <c r="B1518" s="34">
        <v>45969.838680555556</v>
      </c>
      <c r="C1518" s="34" t="str">
        <f t="shared" si="36"/>
        <v>202511</v>
      </c>
      <c r="D1518" s="35" t="s">
        <v>5008</v>
      </c>
      <c r="E1518" s="36" t="s">
        <v>942</v>
      </c>
      <c r="F1518" s="36" t="s">
        <v>1203</v>
      </c>
      <c r="G1518" s="37" t="s">
        <v>5329</v>
      </c>
      <c r="H1518" s="36" t="s">
        <v>913</v>
      </c>
      <c r="I1518" s="35"/>
      <c r="J1518" s="36" t="s">
        <v>945</v>
      </c>
      <c r="K1518" s="33" t="s">
        <v>916</v>
      </c>
      <c r="L1518" s="35" t="s">
        <v>916</v>
      </c>
      <c r="M1518" s="36" t="s">
        <v>916</v>
      </c>
      <c r="N1518" s="45">
        <v>46022</v>
      </c>
      <c r="O1518" s="36" t="s">
        <v>25</v>
      </c>
      <c r="P1518" s="38">
        <v>52.1613194444</v>
      </c>
      <c r="Q1518" s="39" t="s">
        <v>5330</v>
      </c>
      <c r="R1518" s="35" t="s">
        <v>916</v>
      </c>
      <c r="S1518" s="35"/>
      <c r="T1518" s="35" t="s">
        <v>1701</v>
      </c>
      <c r="U1518" s="40">
        <v>45970</v>
      </c>
      <c r="V1518" s="41">
        <v>46153.53292824074</v>
      </c>
      <c r="W1518" s="40">
        <v>45970</v>
      </c>
      <c r="X1518" s="35" t="s">
        <v>916</v>
      </c>
      <c r="Y1518" s="35" t="s">
        <v>916</v>
      </c>
      <c r="Z1518" s="35" t="s">
        <v>916</v>
      </c>
      <c r="AA1518" s="38">
        <v>1251.8716666656001</v>
      </c>
      <c r="AB1518" s="42" t="s">
        <v>916</v>
      </c>
      <c r="AC1518" s="43" t="s">
        <v>916</v>
      </c>
      <c r="AD1518" s="43" t="s">
        <v>916</v>
      </c>
      <c r="AE1518" s="33" t="s">
        <v>3982</v>
      </c>
      <c r="AF1518" s="35" t="s">
        <v>916</v>
      </c>
      <c r="AG1518" s="44">
        <v>489620.12833333341</v>
      </c>
      <c r="AH1518" s="42" t="s">
        <v>916</v>
      </c>
      <c r="AI1518" s="32" t="e">
        <f>VLOOKUP(A1518,'4月明細'!B:B,1,0)</f>
        <v>#N/A</v>
      </c>
    </row>
    <row r="1519" spans="1:35" ht="19.95" customHeight="1" x14ac:dyDescent="0.3">
      <c r="A1519" s="33" t="s">
        <v>5331</v>
      </c>
      <c r="B1519" s="34">
        <v>45969.831701388888</v>
      </c>
      <c r="C1519" s="34" t="str">
        <f t="shared" si="36"/>
        <v>202511</v>
      </c>
      <c r="D1519" s="35" t="s">
        <v>5008</v>
      </c>
      <c r="E1519" s="36" t="s">
        <v>1112</v>
      </c>
      <c r="F1519" s="36" t="s">
        <v>1150</v>
      </c>
      <c r="G1519" s="37" t="s">
        <v>5332</v>
      </c>
      <c r="H1519" s="36" t="s">
        <v>4185</v>
      </c>
      <c r="I1519" s="35"/>
      <c r="J1519" s="36" t="s">
        <v>938</v>
      </c>
      <c r="K1519" s="33" t="s">
        <v>916</v>
      </c>
      <c r="L1519" s="35" t="s">
        <v>916</v>
      </c>
      <c r="M1519" s="36" t="s">
        <v>916</v>
      </c>
      <c r="N1519" s="45">
        <v>46022</v>
      </c>
      <c r="O1519" s="36" t="s">
        <v>25</v>
      </c>
      <c r="P1519" s="38">
        <v>52.168298611099999</v>
      </c>
      <c r="Q1519" s="39" t="s">
        <v>5333</v>
      </c>
      <c r="R1519" s="35" t="s">
        <v>916</v>
      </c>
      <c r="S1519" s="35" t="s">
        <v>5334</v>
      </c>
      <c r="T1519" s="35" t="s">
        <v>1701</v>
      </c>
      <c r="U1519" s="40">
        <v>45970</v>
      </c>
      <c r="V1519" s="41">
        <v>46153.53292824074</v>
      </c>
      <c r="W1519" s="40">
        <v>45969</v>
      </c>
      <c r="X1519" s="35" t="s">
        <v>916</v>
      </c>
      <c r="Y1519" s="35" t="s">
        <v>916</v>
      </c>
      <c r="Z1519" s="35" t="s">
        <v>916</v>
      </c>
      <c r="AA1519" s="38">
        <v>1252.0391666664</v>
      </c>
      <c r="AB1519" s="42" t="s">
        <v>916</v>
      </c>
      <c r="AC1519" s="43" t="s">
        <v>916</v>
      </c>
      <c r="AD1519" s="43" t="s">
        <v>916</v>
      </c>
      <c r="AE1519" s="33" t="s">
        <v>3982</v>
      </c>
      <c r="AF1519" s="35" t="s">
        <v>916</v>
      </c>
      <c r="AG1519" s="44">
        <v>489619.96083333332</v>
      </c>
      <c r="AH1519" s="42" t="s">
        <v>916</v>
      </c>
      <c r="AI1519" s="32" t="e">
        <f>VLOOKUP(A1519,'4月明細'!B:B,1,0)</f>
        <v>#N/A</v>
      </c>
    </row>
    <row r="1520" spans="1:35" ht="19.95" customHeight="1" x14ac:dyDescent="0.3">
      <c r="A1520" s="33" t="s">
        <v>5335</v>
      </c>
      <c r="B1520" s="34">
        <v>45969.588206018518</v>
      </c>
      <c r="C1520" s="34" t="str">
        <f t="shared" si="36"/>
        <v>202511</v>
      </c>
      <c r="D1520" s="35" t="s">
        <v>909</v>
      </c>
      <c r="E1520" s="36" t="s">
        <v>910</v>
      </c>
      <c r="F1520" s="36" t="s">
        <v>2501</v>
      </c>
      <c r="G1520" s="37" t="s">
        <v>5336</v>
      </c>
      <c r="H1520" s="36" t="s">
        <v>3985</v>
      </c>
      <c r="I1520" s="35" t="s">
        <v>5337</v>
      </c>
      <c r="J1520" s="36" t="s">
        <v>914</v>
      </c>
      <c r="K1520" s="33" t="s">
        <v>916</v>
      </c>
      <c r="L1520" s="35" t="s">
        <v>916</v>
      </c>
      <c r="M1520" s="36" t="s">
        <v>916</v>
      </c>
      <c r="N1520" s="45">
        <v>46022</v>
      </c>
      <c r="O1520" s="36" t="s">
        <v>25</v>
      </c>
      <c r="P1520" s="38">
        <v>52.411793981499997</v>
      </c>
      <c r="Q1520" s="39" t="s">
        <v>5338</v>
      </c>
      <c r="R1520" s="35" t="s">
        <v>916</v>
      </c>
      <c r="S1520" s="35"/>
      <c r="T1520" s="35" t="s">
        <v>1701</v>
      </c>
      <c r="U1520" s="40">
        <v>45970</v>
      </c>
      <c r="V1520" s="41">
        <v>46153.53292824074</v>
      </c>
      <c r="W1520" s="40">
        <v>45969</v>
      </c>
      <c r="X1520" s="35" t="s">
        <v>916</v>
      </c>
      <c r="Y1520" s="35" t="s">
        <v>916</v>
      </c>
      <c r="Z1520" s="35" t="s">
        <v>916</v>
      </c>
      <c r="AA1520" s="38">
        <v>1257.883055556</v>
      </c>
      <c r="AB1520" s="42" t="s">
        <v>916</v>
      </c>
      <c r="AC1520" s="43" t="s">
        <v>916</v>
      </c>
      <c r="AD1520" s="43" t="s">
        <v>916</v>
      </c>
      <c r="AE1520" s="33" t="s">
        <v>3982</v>
      </c>
      <c r="AF1520" s="35" t="s">
        <v>916</v>
      </c>
      <c r="AG1520" s="44">
        <v>489614.11694444442</v>
      </c>
      <c r="AH1520" s="42" t="s">
        <v>916</v>
      </c>
      <c r="AI1520" s="32" t="e">
        <f>VLOOKUP(A1520,'4月明細'!B:B,1,0)</f>
        <v>#N/A</v>
      </c>
    </row>
    <row r="1521" spans="1:35" ht="19.95" customHeight="1" x14ac:dyDescent="0.3">
      <c r="A1521" s="33" t="s">
        <v>5339</v>
      </c>
      <c r="B1521" s="34">
        <v>45969.582962962966</v>
      </c>
      <c r="C1521" s="34" t="str">
        <f t="shared" si="36"/>
        <v>202511</v>
      </c>
      <c r="D1521" s="35" t="s">
        <v>909</v>
      </c>
      <c r="E1521" s="36" t="s">
        <v>910</v>
      </c>
      <c r="F1521" s="36" t="s">
        <v>2501</v>
      </c>
      <c r="G1521" s="37" t="s">
        <v>5340</v>
      </c>
      <c r="H1521" s="36" t="s">
        <v>4007</v>
      </c>
      <c r="I1521" s="35" t="s">
        <v>5341</v>
      </c>
      <c r="J1521" s="36" t="s">
        <v>914</v>
      </c>
      <c r="K1521" s="33" t="s">
        <v>916</v>
      </c>
      <c r="L1521" s="35" t="s">
        <v>916</v>
      </c>
      <c r="M1521" s="36" t="s">
        <v>916</v>
      </c>
      <c r="N1521" s="45">
        <v>46022</v>
      </c>
      <c r="O1521" s="36" t="s">
        <v>25</v>
      </c>
      <c r="P1521" s="38">
        <v>52.417037037</v>
      </c>
      <c r="Q1521" s="39" t="s">
        <v>5342</v>
      </c>
      <c r="R1521" s="35" t="s">
        <v>916</v>
      </c>
      <c r="S1521" s="35" t="s">
        <v>5343</v>
      </c>
      <c r="T1521" s="35" t="s">
        <v>1701</v>
      </c>
      <c r="U1521" s="40">
        <v>45970</v>
      </c>
      <c r="V1521" s="41">
        <v>46153.53292824074</v>
      </c>
      <c r="W1521" s="40">
        <v>45969</v>
      </c>
      <c r="X1521" s="35" t="s">
        <v>916</v>
      </c>
      <c r="Y1521" s="35" t="s">
        <v>916</v>
      </c>
      <c r="Z1521" s="35" t="s">
        <v>916</v>
      </c>
      <c r="AA1521" s="38">
        <v>1258.008888888</v>
      </c>
      <c r="AB1521" s="42" t="s">
        <v>916</v>
      </c>
      <c r="AC1521" s="43" t="s">
        <v>916</v>
      </c>
      <c r="AD1521" s="43" t="s">
        <v>916</v>
      </c>
      <c r="AE1521" s="33" t="s">
        <v>3982</v>
      </c>
      <c r="AF1521" s="35" t="s">
        <v>916</v>
      </c>
      <c r="AG1521" s="44">
        <v>489613.99111111113</v>
      </c>
      <c r="AH1521" s="42" t="s">
        <v>916</v>
      </c>
      <c r="AI1521" s="32" t="e">
        <f>VLOOKUP(A1521,'4月明細'!B:B,1,0)</f>
        <v>#N/A</v>
      </c>
    </row>
    <row r="1522" spans="1:35" ht="19.95" customHeight="1" x14ac:dyDescent="0.3">
      <c r="A1522" s="33" t="s">
        <v>5344</v>
      </c>
      <c r="B1522" s="34">
        <v>45969.565370370372</v>
      </c>
      <c r="C1522" s="34" t="str">
        <f t="shared" si="36"/>
        <v>202511</v>
      </c>
      <c r="D1522" s="35" t="s">
        <v>909</v>
      </c>
      <c r="E1522" s="36" t="s">
        <v>910</v>
      </c>
      <c r="F1522" s="36" t="s">
        <v>1068</v>
      </c>
      <c r="G1522" s="37" t="s">
        <v>5340</v>
      </c>
      <c r="H1522" s="36" t="s">
        <v>4007</v>
      </c>
      <c r="I1522" s="35" t="s">
        <v>5345</v>
      </c>
      <c r="J1522" s="36" t="s">
        <v>914</v>
      </c>
      <c r="K1522" s="33" t="s">
        <v>916</v>
      </c>
      <c r="L1522" s="35" t="s">
        <v>916</v>
      </c>
      <c r="M1522" s="36" t="s">
        <v>916</v>
      </c>
      <c r="N1522" s="45">
        <v>46022</v>
      </c>
      <c r="O1522" s="36" t="s">
        <v>25</v>
      </c>
      <c r="P1522" s="38">
        <v>52.434629629600003</v>
      </c>
      <c r="Q1522" s="39" t="s">
        <v>5346</v>
      </c>
      <c r="R1522" s="35" t="s">
        <v>916</v>
      </c>
      <c r="S1522" s="35"/>
      <c r="T1522" s="35" t="s">
        <v>1701</v>
      </c>
      <c r="U1522" s="40">
        <v>45970</v>
      </c>
      <c r="V1522" s="41">
        <v>46153.532939814817</v>
      </c>
      <c r="W1522" s="40">
        <v>45969</v>
      </c>
      <c r="X1522" s="35" t="s">
        <v>916</v>
      </c>
      <c r="Y1522" s="35" t="s">
        <v>916</v>
      </c>
      <c r="Z1522" s="35" t="s">
        <v>916</v>
      </c>
      <c r="AA1522" s="38">
        <v>1258.4311111104</v>
      </c>
      <c r="AB1522" s="42" t="s">
        <v>916</v>
      </c>
      <c r="AC1522" s="43" t="s">
        <v>916</v>
      </c>
      <c r="AD1522" s="43" t="s">
        <v>916</v>
      </c>
      <c r="AE1522" s="33" t="s">
        <v>3982</v>
      </c>
      <c r="AF1522" s="35" t="s">
        <v>916</v>
      </c>
      <c r="AG1522" s="44">
        <v>489613.56888888893</v>
      </c>
      <c r="AH1522" s="42" t="s">
        <v>916</v>
      </c>
      <c r="AI1522" s="32" t="e">
        <f>VLOOKUP(A1522,'4月明細'!B:B,1,0)</f>
        <v>#N/A</v>
      </c>
    </row>
    <row r="1523" spans="1:35" ht="19.95" customHeight="1" x14ac:dyDescent="0.3">
      <c r="A1523" s="33" t="s">
        <v>5347</v>
      </c>
      <c r="B1523" s="34">
        <v>45969.43310185185</v>
      </c>
      <c r="C1523" s="34" t="str">
        <f t="shared" si="36"/>
        <v>202511</v>
      </c>
      <c r="D1523" s="35" t="s">
        <v>909</v>
      </c>
      <c r="E1523" s="36" t="s">
        <v>910</v>
      </c>
      <c r="F1523" s="36" t="s">
        <v>1870</v>
      </c>
      <c r="G1523" s="37" t="s">
        <v>5348</v>
      </c>
      <c r="H1523" s="36" t="s">
        <v>4185</v>
      </c>
      <c r="I1523" s="35" t="s">
        <v>1362</v>
      </c>
      <c r="J1523" s="36" t="s">
        <v>914</v>
      </c>
      <c r="K1523" s="33" t="s">
        <v>916</v>
      </c>
      <c r="L1523" s="35" t="s">
        <v>916</v>
      </c>
      <c r="M1523" s="36" t="s">
        <v>916</v>
      </c>
      <c r="N1523" s="45">
        <v>46022</v>
      </c>
      <c r="O1523" s="36" t="s">
        <v>25</v>
      </c>
      <c r="P1523" s="38">
        <v>52.566898148100002</v>
      </c>
      <c r="Q1523" s="39" t="s">
        <v>5349</v>
      </c>
      <c r="R1523" s="35" t="s">
        <v>916</v>
      </c>
      <c r="S1523" s="35"/>
      <c r="T1523" s="35" t="s">
        <v>1701</v>
      </c>
      <c r="U1523" s="40">
        <v>45970</v>
      </c>
      <c r="V1523" s="41">
        <v>46153.532939814817</v>
      </c>
      <c r="W1523" s="40">
        <v>45969</v>
      </c>
      <c r="X1523" s="35" t="s">
        <v>916</v>
      </c>
      <c r="Y1523" s="35" t="s">
        <v>916</v>
      </c>
      <c r="Z1523" s="35" t="s">
        <v>916</v>
      </c>
      <c r="AA1523" s="38">
        <v>1261.6055555544001</v>
      </c>
      <c r="AB1523" s="42" t="s">
        <v>916</v>
      </c>
      <c r="AC1523" s="43" t="s">
        <v>916</v>
      </c>
      <c r="AD1523" s="43" t="s">
        <v>916</v>
      </c>
      <c r="AE1523" s="33" t="s">
        <v>3982</v>
      </c>
      <c r="AF1523" s="35" t="s">
        <v>916</v>
      </c>
      <c r="AG1523" s="44">
        <v>489610.39444444439</v>
      </c>
      <c r="AH1523" s="42" t="s">
        <v>916</v>
      </c>
      <c r="AI1523" s="32" t="e">
        <f>VLOOKUP(A1523,'4月明細'!B:B,1,0)</f>
        <v>#N/A</v>
      </c>
    </row>
    <row r="1524" spans="1:35" ht="19.95" customHeight="1" x14ac:dyDescent="0.3">
      <c r="A1524" s="33" t="s">
        <v>5350</v>
      </c>
      <c r="B1524" s="34">
        <v>45968.673773148148</v>
      </c>
      <c r="C1524" s="34" t="str">
        <f t="shared" si="36"/>
        <v>202511</v>
      </c>
      <c r="D1524" s="35" t="s">
        <v>909</v>
      </c>
      <c r="E1524" s="36" t="s">
        <v>910</v>
      </c>
      <c r="F1524" s="36" t="s">
        <v>1924</v>
      </c>
      <c r="G1524" s="37" t="s">
        <v>5351</v>
      </c>
      <c r="H1524" s="36" t="s">
        <v>970</v>
      </c>
      <c r="I1524" s="35" t="s">
        <v>5352</v>
      </c>
      <c r="J1524" s="36" t="s">
        <v>929</v>
      </c>
      <c r="K1524" s="33" t="s">
        <v>916</v>
      </c>
      <c r="L1524" s="35" t="s">
        <v>916</v>
      </c>
      <c r="M1524" s="36" t="s">
        <v>916</v>
      </c>
      <c r="N1524" s="45">
        <v>46022</v>
      </c>
      <c r="O1524" s="36" t="s">
        <v>25</v>
      </c>
      <c r="P1524" s="38">
        <v>53.326226851900003</v>
      </c>
      <c r="Q1524" s="39" t="s">
        <v>5353</v>
      </c>
      <c r="R1524" s="35" t="s">
        <v>916</v>
      </c>
      <c r="S1524" s="35" t="s">
        <v>5354</v>
      </c>
      <c r="T1524" s="35" t="s">
        <v>1624</v>
      </c>
      <c r="U1524" s="40">
        <v>45969</v>
      </c>
      <c r="V1524" s="41">
        <v>46153.532939814817</v>
      </c>
      <c r="W1524" s="40">
        <v>45968</v>
      </c>
      <c r="X1524" s="35" t="s">
        <v>916</v>
      </c>
      <c r="Y1524" s="35" t="s">
        <v>916</v>
      </c>
      <c r="Z1524" s="35" t="s">
        <v>916</v>
      </c>
      <c r="AA1524" s="38">
        <v>1279.8294444456001</v>
      </c>
      <c r="AB1524" s="42" t="s">
        <v>916</v>
      </c>
      <c r="AC1524" s="43" t="s">
        <v>916</v>
      </c>
      <c r="AD1524" s="43" t="s">
        <v>916</v>
      </c>
      <c r="AE1524" s="33" t="s">
        <v>3982</v>
      </c>
      <c r="AF1524" s="35" t="s">
        <v>916</v>
      </c>
      <c r="AG1524" s="44">
        <v>489592.17055555561</v>
      </c>
      <c r="AH1524" s="42" t="s">
        <v>916</v>
      </c>
      <c r="AI1524" s="32" t="e">
        <f>VLOOKUP(A1524,'4月明細'!B:B,1,0)</f>
        <v>#N/A</v>
      </c>
    </row>
    <row r="1525" spans="1:35" ht="19.95" customHeight="1" x14ac:dyDescent="0.3">
      <c r="A1525" s="33" t="s">
        <v>5355</v>
      </c>
      <c r="B1525" s="34">
        <v>45968.595289351855</v>
      </c>
      <c r="C1525" s="34" t="str">
        <f t="shared" si="36"/>
        <v>202511</v>
      </c>
      <c r="D1525" s="35" t="s">
        <v>996</v>
      </c>
      <c r="E1525" s="36" t="s">
        <v>910</v>
      </c>
      <c r="F1525" s="36" t="s">
        <v>1381</v>
      </c>
      <c r="G1525" s="37" t="s">
        <v>5356</v>
      </c>
      <c r="H1525" s="36" t="s">
        <v>4324</v>
      </c>
      <c r="I1525" s="35" t="s">
        <v>5357</v>
      </c>
      <c r="J1525" s="36" t="s">
        <v>929</v>
      </c>
      <c r="K1525" s="33" t="s">
        <v>916</v>
      </c>
      <c r="L1525" s="35" t="s">
        <v>916</v>
      </c>
      <c r="M1525" s="36" t="s">
        <v>916</v>
      </c>
      <c r="N1525" s="45">
        <v>46022</v>
      </c>
      <c r="O1525" s="36" t="s">
        <v>25</v>
      </c>
      <c r="P1525" s="38">
        <v>53.4047106481</v>
      </c>
      <c r="Q1525" s="39" t="s">
        <v>5358</v>
      </c>
      <c r="R1525" s="35" t="s">
        <v>916</v>
      </c>
      <c r="S1525" s="35"/>
      <c r="T1525" s="35" t="s">
        <v>1701</v>
      </c>
      <c r="U1525" s="40">
        <v>45969</v>
      </c>
      <c r="V1525" s="41">
        <v>46153.532939814817</v>
      </c>
      <c r="W1525" s="40">
        <v>45968</v>
      </c>
      <c r="X1525" s="35" t="s">
        <v>916</v>
      </c>
      <c r="Y1525" s="35" t="s">
        <v>916</v>
      </c>
      <c r="Z1525" s="35" t="s">
        <v>916</v>
      </c>
      <c r="AA1525" s="38">
        <v>1281.7130555543999</v>
      </c>
      <c r="AB1525" s="42" t="s">
        <v>916</v>
      </c>
      <c r="AC1525" s="43" t="s">
        <v>916</v>
      </c>
      <c r="AD1525" s="43" t="s">
        <v>916</v>
      </c>
      <c r="AE1525" s="33" t="s">
        <v>3982</v>
      </c>
      <c r="AF1525" s="35" t="s">
        <v>916</v>
      </c>
      <c r="AG1525" s="44">
        <v>489590.28694444441</v>
      </c>
      <c r="AH1525" s="42" t="s">
        <v>916</v>
      </c>
      <c r="AI1525" s="32" t="e">
        <f>VLOOKUP(A1525,'4月明細'!B:B,1,0)</f>
        <v>#N/A</v>
      </c>
    </row>
    <row r="1526" spans="1:35" ht="19.95" customHeight="1" x14ac:dyDescent="0.3">
      <c r="A1526" s="33" t="s">
        <v>5359</v>
      </c>
      <c r="B1526" s="34">
        <v>45968.588923611111</v>
      </c>
      <c r="C1526" s="34" t="str">
        <f t="shared" si="36"/>
        <v>202511</v>
      </c>
      <c r="D1526" s="35" t="s">
        <v>996</v>
      </c>
      <c r="E1526" s="36" t="s">
        <v>910</v>
      </c>
      <c r="F1526" s="36" t="s">
        <v>1381</v>
      </c>
      <c r="G1526" s="37" t="s">
        <v>1897</v>
      </c>
      <c r="H1526" s="36" t="s">
        <v>1079</v>
      </c>
      <c r="I1526" s="35"/>
      <c r="J1526" s="36" t="s">
        <v>914</v>
      </c>
      <c r="K1526" s="33" t="s">
        <v>916</v>
      </c>
      <c r="L1526" s="35" t="s">
        <v>916</v>
      </c>
      <c r="M1526" s="36" t="s">
        <v>916</v>
      </c>
      <c r="N1526" s="45">
        <v>46022</v>
      </c>
      <c r="O1526" s="36" t="s">
        <v>25</v>
      </c>
      <c r="P1526" s="38">
        <v>53.4110763889</v>
      </c>
      <c r="Q1526" s="39" t="s">
        <v>5360</v>
      </c>
      <c r="R1526" s="35" t="s">
        <v>916</v>
      </c>
      <c r="S1526" s="35"/>
      <c r="T1526" s="35" t="s">
        <v>1701</v>
      </c>
      <c r="U1526" s="40">
        <v>45969</v>
      </c>
      <c r="V1526" s="41">
        <v>46153.532939814817</v>
      </c>
      <c r="W1526" s="40">
        <v>45968</v>
      </c>
      <c r="X1526" s="35" t="s">
        <v>916</v>
      </c>
      <c r="Y1526" s="35" t="s">
        <v>916</v>
      </c>
      <c r="Z1526" s="35" t="s">
        <v>916</v>
      </c>
      <c r="AA1526" s="38">
        <v>1281.8658333336</v>
      </c>
      <c r="AB1526" s="42" t="s">
        <v>916</v>
      </c>
      <c r="AC1526" s="43" t="s">
        <v>916</v>
      </c>
      <c r="AD1526" s="43" t="s">
        <v>916</v>
      </c>
      <c r="AE1526" s="33" t="s">
        <v>3982</v>
      </c>
      <c r="AF1526" s="35" t="s">
        <v>916</v>
      </c>
      <c r="AG1526" s="44">
        <v>489590.13416666671</v>
      </c>
      <c r="AH1526" s="42" t="s">
        <v>916</v>
      </c>
      <c r="AI1526" s="32" t="e">
        <f>VLOOKUP(A1526,'4月明細'!B:B,1,0)</f>
        <v>#N/A</v>
      </c>
    </row>
    <row r="1527" spans="1:35" ht="19.95" customHeight="1" x14ac:dyDescent="0.3">
      <c r="A1527" s="33" t="s">
        <v>5361</v>
      </c>
      <c r="B1527" s="34">
        <v>45968.579143518517</v>
      </c>
      <c r="C1527" s="34" t="str">
        <f t="shared" si="36"/>
        <v>202511</v>
      </c>
      <c r="D1527" s="35" t="s">
        <v>996</v>
      </c>
      <c r="E1527" s="36" t="s">
        <v>910</v>
      </c>
      <c r="F1527" s="36" t="s">
        <v>1000</v>
      </c>
      <c r="G1527" s="37" t="s">
        <v>5362</v>
      </c>
      <c r="H1527" s="36" t="s">
        <v>4157</v>
      </c>
      <c r="I1527" s="35"/>
      <c r="J1527" s="36" t="s">
        <v>914</v>
      </c>
      <c r="K1527" s="33" t="s">
        <v>916</v>
      </c>
      <c r="L1527" s="35" t="s">
        <v>916</v>
      </c>
      <c r="M1527" s="36" t="s">
        <v>916</v>
      </c>
      <c r="N1527" s="45">
        <v>46022</v>
      </c>
      <c r="O1527" s="36" t="s">
        <v>25</v>
      </c>
      <c r="P1527" s="38">
        <v>53.420856481500003</v>
      </c>
      <c r="Q1527" s="39" t="s">
        <v>5363</v>
      </c>
      <c r="R1527" s="35" t="s">
        <v>916</v>
      </c>
      <c r="S1527" s="35" t="s">
        <v>5364</v>
      </c>
      <c r="T1527" s="35" t="s">
        <v>1701</v>
      </c>
      <c r="U1527" s="40">
        <v>45969</v>
      </c>
      <c r="V1527" s="41">
        <v>46153.532939814817</v>
      </c>
      <c r="W1527" s="40">
        <v>45968</v>
      </c>
      <c r="X1527" s="35" t="s">
        <v>916</v>
      </c>
      <c r="Y1527" s="35" t="s">
        <v>916</v>
      </c>
      <c r="Z1527" s="35" t="s">
        <v>916</v>
      </c>
      <c r="AA1527" s="38">
        <v>1282.100555556</v>
      </c>
      <c r="AB1527" s="42" t="s">
        <v>916</v>
      </c>
      <c r="AC1527" s="43" t="s">
        <v>916</v>
      </c>
      <c r="AD1527" s="43" t="s">
        <v>916</v>
      </c>
      <c r="AE1527" s="33" t="s">
        <v>3982</v>
      </c>
      <c r="AF1527" s="35" t="s">
        <v>916</v>
      </c>
      <c r="AG1527" s="44">
        <v>489589.89944444451</v>
      </c>
      <c r="AH1527" s="42" t="s">
        <v>916</v>
      </c>
      <c r="AI1527" s="32" t="e">
        <f>VLOOKUP(A1527,'4月明細'!B:B,1,0)</f>
        <v>#N/A</v>
      </c>
    </row>
    <row r="1528" spans="1:35" ht="19.95" customHeight="1" x14ac:dyDescent="0.3">
      <c r="A1528" s="33" t="s">
        <v>5365</v>
      </c>
      <c r="B1528" s="34">
        <v>45968.514999999999</v>
      </c>
      <c r="C1528" s="34" t="str">
        <f t="shared" si="36"/>
        <v>202511</v>
      </c>
      <c r="D1528" s="35" t="s">
        <v>5366</v>
      </c>
      <c r="E1528" s="36" t="s">
        <v>910</v>
      </c>
      <c r="F1528" s="36" t="s">
        <v>1000</v>
      </c>
      <c r="G1528" s="37" t="s">
        <v>5367</v>
      </c>
      <c r="H1528" s="36" t="s">
        <v>5083</v>
      </c>
      <c r="I1528" s="35"/>
      <c r="J1528" s="36" t="s">
        <v>929</v>
      </c>
      <c r="K1528" s="33" t="s">
        <v>916</v>
      </c>
      <c r="L1528" s="35" t="s">
        <v>916</v>
      </c>
      <c r="M1528" s="36" t="s">
        <v>916</v>
      </c>
      <c r="N1528" s="45">
        <v>46022</v>
      </c>
      <c r="O1528" s="36" t="s">
        <v>25</v>
      </c>
      <c r="P1528" s="38">
        <v>53.484999999999999</v>
      </c>
      <c r="Q1528" s="39" t="s">
        <v>5368</v>
      </c>
      <c r="R1528" s="35" t="s">
        <v>916</v>
      </c>
      <c r="S1528" s="35" t="s">
        <v>5369</v>
      </c>
      <c r="T1528" s="35" t="s">
        <v>1701</v>
      </c>
      <c r="U1528" s="40">
        <v>45969</v>
      </c>
      <c r="V1528" s="41">
        <v>46153.532939814817</v>
      </c>
      <c r="W1528" s="40">
        <v>45968</v>
      </c>
      <c r="X1528" s="35" t="s">
        <v>916</v>
      </c>
      <c r="Y1528" s="35" t="s">
        <v>916</v>
      </c>
      <c r="Z1528" s="35" t="s">
        <v>916</v>
      </c>
      <c r="AA1528" s="38">
        <v>1283.6400000000001</v>
      </c>
      <c r="AB1528" s="42" t="s">
        <v>916</v>
      </c>
      <c r="AC1528" s="43" t="s">
        <v>916</v>
      </c>
      <c r="AD1528" s="43" t="s">
        <v>916</v>
      </c>
      <c r="AE1528" s="33" t="s">
        <v>3982</v>
      </c>
      <c r="AF1528" s="35" t="s">
        <v>916</v>
      </c>
      <c r="AG1528" s="44">
        <v>489588.36</v>
      </c>
      <c r="AH1528" s="42" t="s">
        <v>916</v>
      </c>
      <c r="AI1528" s="32" t="e">
        <f>VLOOKUP(A1528,'4月明細'!B:B,1,0)</f>
        <v>#N/A</v>
      </c>
    </row>
    <row r="1529" spans="1:35" ht="19.95" customHeight="1" x14ac:dyDescent="0.3">
      <c r="A1529" s="33" t="s">
        <v>5370</v>
      </c>
      <c r="B1529" s="34">
        <v>45968.490069444444</v>
      </c>
      <c r="C1529" s="34" t="str">
        <f t="shared" si="36"/>
        <v>202511</v>
      </c>
      <c r="D1529" s="35" t="s">
        <v>996</v>
      </c>
      <c r="E1529" s="36" t="s">
        <v>910</v>
      </c>
      <c r="F1529" s="36" t="s">
        <v>1606</v>
      </c>
      <c r="G1529" s="37" t="s">
        <v>1096</v>
      </c>
      <c r="H1529" s="36" t="s">
        <v>3979</v>
      </c>
      <c r="I1529" s="35"/>
      <c r="J1529" s="36" t="s">
        <v>914</v>
      </c>
      <c r="K1529" s="33" t="s">
        <v>916</v>
      </c>
      <c r="L1529" s="35" t="s">
        <v>916</v>
      </c>
      <c r="M1529" s="36" t="s">
        <v>916</v>
      </c>
      <c r="N1529" s="45">
        <v>46022</v>
      </c>
      <c r="O1529" s="36" t="s">
        <v>25</v>
      </c>
      <c r="P1529" s="38">
        <v>53.5099305556</v>
      </c>
      <c r="Q1529" s="39" t="s">
        <v>5371</v>
      </c>
      <c r="R1529" s="35" t="s">
        <v>916</v>
      </c>
      <c r="S1529" s="35"/>
      <c r="T1529" s="35" t="s">
        <v>1701</v>
      </c>
      <c r="U1529" s="40">
        <v>45969</v>
      </c>
      <c r="V1529" s="41">
        <v>46153.532939814817</v>
      </c>
      <c r="W1529" s="40">
        <v>45968</v>
      </c>
      <c r="X1529" s="35" t="s">
        <v>916</v>
      </c>
      <c r="Y1529" s="35" t="s">
        <v>916</v>
      </c>
      <c r="Z1529" s="35" t="s">
        <v>916</v>
      </c>
      <c r="AA1529" s="38">
        <v>1284.2383333344001</v>
      </c>
      <c r="AB1529" s="42" t="s">
        <v>916</v>
      </c>
      <c r="AC1529" s="43" t="s">
        <v>916</v>
      </c>
      <c r="AD1529" s="43" t="s">
        <v>916</v>
      </c>
      <c r="AE1529" s="33" t="s">
        <v>3982</v>
      </c>
      <c r="AF1529" s="35" t="s">
        <v>916</v>
      </c>
      <c r="AG1529" s="44">
        <v>489587.76166666672</v>
      </c>
      <c r="AH1529" s="42" t="s">
        <v>916</v>
      </c>
      <c r="AI1529" s="32" t="e">
        <f>VLOOKUP(A1529,'4月明細'!B:B,1,0)</f>
        <v>#N/A</v>
      </c>
    </row>
    <row r="1530" spans="1:35" ht="19.95" customHeight="1" x14ac:dyDescent="0.3">
      <c r="A1530" s="33" t="s">
        <v>5372</v>
      </c>
      <c r="B1530" s="34">
        <v>45968.452048611114</v>
      </c>
      <c r="C1530" s="34" t="str">
        <f t="shared" si="36"/>
        <v>202511</v>
      </c>
      <c r="D1530" s="35" t="s">
        <v>1360</v>
      </c>
      <c r="E1530" s="36" t="s">
        <v>910</v>
      </c>
      <c r="F1530" s="36" t="s">
        <v>1370</v>
      </c>
      <c r="G1530" s="37" t="s">
        <v>5373</v>
      </c>
      <c r="H1530" s="36" t="s">
        <v>1079</v>
      </c>
      <c r="I1530" s="35" t="s">
        <v>1362</v>
      </c>
      <c r="J1530" s="36" t="s">
        <v>929</v>
      </c>
      <c r="K1530" s="33" t="s">
        <v>916</v>
      </c>
      <c r="L1530" s="35" t="s">
        <v>916</v>
      </c>
      <c r="M1530" s="36" t="s">
        <v>916</v>
      </c>
      <c r="N1530" s="45">
        <v>46022</v>
      </c>
      <c r="O1530" s="36" t="s">
        <v>25</v>
      </c>
      <c r="P1530" s="38">
        <v>53.547951388900003</v>
      </c>
      <c r="Q1530" s="39" t="s">
        <v>2230</v>
      </c>
      <c r="R1530" s="35" t="s">
        <v>916</v>
      </c>
      <c r="S1530" s="35"/>
      <c r="T1530" s="35" t="s">
        <v>1624</v>
      </c>
      <c r="U1530" s="40">
        <v>45969</v>
      </c>
      <c r="V1530" s="41">
        <v>46153.532939814817</v>
      </c>
      <c r="W1530" s="40">
        <v>45968</v>
      </c>
      <c r="X1530" s="35" t="s">
        <v>916</v>
      </c>
      <c r="Y1530" s="35" t="s">
        <v>916</v>
      </c>
      <c r="Z1530" s="35" t="s">
        <v>916</v>
      </c>
      <c r="AA1530" s="38">
        <v>1285.1508333336001</v>
      </c>
      <c r="AB1530" s="42" t="s">
        <v>916</v>
      </c>
      <c r="AC1530" s="43" t="s">
        <v>916</v>
      </c>
      <c r="AD1530" s="43" t="s">
        <v>916</v>
      </c>
      <c r="AE1530" s="33" t="s">
        <v>3982</v>
      </c>
      <c r="AF1530" s="35" t="s">
        <v>916</v>
      </c>
      <c r="AG1530" s="44">
        <v>489586.84916666662</v>
      </c>
      <c r="AH1530" s="42" t="s">
        <v>916</v>
      </c>
      <c r="AI1530" s="32" t="e">
        <f>VLOOKUP(A1530,'4月明細'!B:B,1,0)</f>
        <v>#N/A</v>
      </c>
    </row>
    <row r="1531" spans="1:35" ht="19.95" customHeight="1" x14ac:dyDescent="0.3">
      <c r="A1531" s="33" t="s">
        <v>5374</v>
      </c>
      <c r="B1531" s="34">
        <v>45968.450798611113</v>
      </c>
      <c r="C1531" s="34" t="str">
        <f t="shared" si="36"/>
        <v>202511</v>
      </c>
      <c r="D1531" s="35" t="s">
        <v>4769</v>
      </c>
      <c r="E1531" s="36" t="s">
        <v>910</v>
      </c>
      <c r="F1531" s="36" t="s">
        <v>1064</v>
      </c>
      <c r="G1531" s="37" t="s">
        <v>5375</v>
      </c>
      <c r="H1531" s="36" t="s">
        <v>1184</v>
      </c>
      <c r="I1531" s="35"/>
      <c r="J1531" s="36" t="s">
        <v>929</v>
      </c>
      <c r="K1531" s="33" t="s">
        <v>916</v>
      </c>
      <c r="L1531" s="35" t="s">
        <v>916</v>
      </c>
      <c r="M1531" s="36" t="s">
        <v>916</v>
      </c>
      <c r="N1531" s="45">
        <v>46022</v>
      </c>
      <c r="O1531" s="36" t="s">
        <v>25</v>
      </c>
      <c r="P1531" s="38">
        <v>53.549201388900002</v>
      </c>
      <c r="Q1531" s="39" t="s">
        <v>5376</v>
      </c>
      <c r="R1531" s="35" t="s">
        <v>916</v>
      </c>
      <c r="S1531" s="35"/>
      <c r="T1531" s="35" t="s">
        <v>1701</v>
      </c>
      <c r="U1531" s="40">
        <v>45969</v>
      </c>
      <c r="V1531" s="41">
        <v>46153.532939814817</v>
      </c>
      <c r="W1531" s="40">
        <v>45968</v>
      </c>
      <c r="X1531" s="35" t="s">
        <v>916</v>
      </c>
      <c r="Y1531" s="35" t="s">
        <v>916</v>
      </c>
      <c r="Z1531" s="35" t="s">
        <v>916</v>
      </c>
      <c r="AA1531" s="38">
        <v>1285.1808333336</v>
      </c>
      <c r="AB1531" s="42" t="s">
        <v>916</v>
      </c>
      <c r="AC1531" s="43" t="s">
        <v>916</v>
      </c>
      <c r="AD1531" s="43" t="s">
        <v>916</v>
      </c>
      <c r="AE1531" s="33" t="s">
        <v>3982</v>
      </c>
      <c r="AF1531" s="35" t="s">
        <v>916</v>
      </c>
      <c r="AG1531" s="44">
        <v>489586.81916666671</v>
      </c>
      <c r="AH1531" s="42" t="s">
        <v>916</v>
      </c>
      <c r="AI1531" s="32" t="e">
        <f>VLOOKUP(A1531,'4月明細'!B:B,1,0)</f>
        <v>#N/A</v>
      </c>
    </row>
    <row r="1532" spans="1:35" ht="19.95" customHeight="1" x14ac:dyDescent="0.3">
      <c r="A1532" s="33" t="s">
        <v>5377</v>
      </c>
      <c r="B1532" s="34">
        <v>45968.445034722223</v>
      </c>
      <c r="C1532" s="34" t="str">
        <f t="shared" si="36"/>
        <v>202511</v>
      </c>
      <c r="D1532" s="35" t="s">
        <v>996</v>
      </c>
      <c r="E1532" s="36" t="s">
        <v>910</v>
      </c>
      <c r="F1532" s="36" t="s">
        <v>1531</v>
      </c>
      <c r="G1532" s="37" t="s">
        <v>1096</v>
      </c>
      <c r="H1532" s="36" t="s">
        <v>3979</v>
      </c>
      <c r="I1532" s="35"/>
      <c r="J1532" s="36" t="s">
        <v>914</v>
      </c>
      <c r="K1532" s="33" t="s">
        <v>916</v>
      </c>
      <c r="L1532" s="35" t="s">
        <v>916</v>
      </c>
      <c r="M1532" s="36" t="s">
        <v>916</v>
      </c>
      <c r="N1532" s="45">
        <v>46022</v>
      </c>
      <c r="O1532" s="36" t="s">
        <v>25</v>
      </c>
      <c r="P1532" s="38">
        <v>53.554965277800001</v>
      </c>
      <c r="Q1532" s="39" t="s">
        <v>5378</v>
      </c>
      <c r="R1532" s="35" t="s">
        <v>916</v>
      </c>
      <c r="S1532" s="35"/>
      <c r="T1532" s="35" t="s">
        <v>1701</v>
      </c>
      <c r="U1532" s="40">
        <v>45969</v>
      </c>
      <c r="V1532" s="41">
        <v>46153.532939814817</v>
      </c>
      <c r="W1532" s="40">
        <v>45968</v>
      </c>
      <c r="X1532" s="35" t="s">
        <v>916</v>
      </c>
      <c r="Y1532" s="35" t="s">
        <v>916</v>
      </c>
      <c r="Z1532" s="35" t="s">
        <v>916</v>
      </c>
      <c r="AA1532" s="38">
        <v>1285.3191666672001</v>
      </c>
      <c r="AB1532" s="42" t="s">
        <v>916</v>
      </c>
      <c r="AC1532" s="43" t="s">
        <v>916</v>
      </c>
      <c r="AD1532" s="43" t="s">
        <v>916</v>
      </c>
      <c r="AE1532" s="33" t="s">
        <v>3982</v>
      </c>
      <c r="AF1532" s="35" t="s">
        <v>916</v>
      </c>
      <c r="AG1532" s="44">
        <v>489586.68083333329</v>
      </c>
      <c r="AH1532" s="42" t="s">
        <v>916</v>
      </c>
      <c r="AI1532" s="32" t="e">
        <f>VLOOKUP(A1532,'4月明細'!B:B,1,0)</f>
        <v>#N/A</v>
      </c>
    </row>
    <row r="1533" spans="1:35" ht="19.95" customHeight="1" x14ac:dyDescent="0.3">
      <c r="A1533" s="33" t="s">
        <v>5379</v>
      </c>
      <c r="B1533" s="34">
        <v>45968.430509259262</v>
      </c>
      <c r="C1533" s="34" t="str">
        <f t="shared" si="36"/>
        <v>202511</v>
      </c>
      <c r="D1533" s="35" t="s">
        <v>5380</v>
      </c>
      <c r="E1533" s="36" t="s">
        <v>910</v>
      </c>
      <c r="F1533" s="36" t="s">
        <v>1537</v>
      </c>
      <c r="G1533" s="37" t="s">
        <v>5381</v>
      </c>
      <c r="H1533" s="36" t="s">
        <v>1079</v>
      </c>
      <c r="I1533" s="35" t="s">
        <v>5382</v>
      </c>
      <c r="J1533" s="36" t="s">
        <v>914</v>
      </c>
      <c r="K1533" s="33" t="s">
        <v>916</v>
      </c>
      <c r="L1533" s="35" t="s">
        <v>916</v>
      </c>
      <c r="M1533" s="36" t="s">
        <v>916</v>
      </c>
      <c r="N1533" s="45">
        <v>46022</v>
      </c>
      <c r="O1533" s="36" t="s">
        <v>25</v>
      </c>
      <c r="P1533" s="38">
        <v>53.569490740699997</v>
      </c>
      <c r="Q1533" s="39" t="s">
        <v>5383</v>
      </c>
      <c r="R1533" s="35" t="s">
        <v>916</v>
      </c>
      <c r="S1533" s="35"/>
      <c r="T1533" s="35" t="s">
        <v>1701</v>
      </c>
      <c r="U1533" s="40">
        <v>45969</v>
      </c>
      <c r="V1533" s="41">
        <v>46153.532939814817</v>
      </c>
      <c r="W1533" s="40">
        <v>45968</v>
      </c>
      <c r="X1533" s="35" t="s">
        <v>916</v>
      </c>
      <c r="Y1533" s="35" t="s">
        <v>916</v>
      </c>
      <c r="Z1533" s="35" t="s">
        <v>916</v>
      </c>
      <c r="AA1533" s="38">
        <v>1285.6677777768</v>
      </c>
      <c r="AB1533" s="42" t="s">
        <v>916</v>
      </c>
      <c r="AC1533" s="43" t="s">
        <v>916</v>
      </c>
      <c r="AD1533" s="43" t="s">
        <v>916</v>
      </c>
      <c r="AE1533" s="33" t="s">
        <v>3982</v>
      </c>
      <c r="AF1533" s="35" t="s">
        <v>916</v>
      </c>
      <c r="AG1533" s="44">
        <v>489586.33222222218</v>
      </c>
      <c r="AH1533" s="42" t="s">
        <v>916</v>
      </c>
      <c r="AI1533" s="32" t="e">
        <f>VLOOKUP(A1533,'4月明細'!B:B,1,0)</f>
        <v>#N/A</v>
      </c>
    </row>
    <row r="1534" spans="1:35" ht="19.95" customHeight="1" x14ac:dyDescent="0.3">
      <c r="A1534" s="33" t="s">
        <v>5384</v>
      </c>
      <c r="B1534" s="34">
        <v>45968.417731481481</v>
      </c>
      <c r="C1534" s="34" t="str">
        <f t="shared" si="36"/>
        <v>202511</v>
      </c>
      <c r="D1534" s="35" t="s">
        <v>5380</v>
      </c>
      <c r="E1534" s="36" t="s">
        <v>910</v>
      </c>
      <c r="F1534" s="36" t="s">
        <v>1335</v>
      </c>
      <c r="G1534" s="37" t="s">
        <v>5385</v>
      </c>
      <c r="H1534" s="36" t="s">
        <v>4185</v>
      </c>
      <c r="I1534" s="35" t="s">
        <v>1362</v>
      </c>
      <c r="J1534" s="36" t="s">
        <v>914</v>
      </c>
      <c r="K1534" s="33" t="s">
        <v>916</v>
      </c>
      <c r="L1534" s="35" t="s">
        <v>916</v>
      </c>
      <c r="M1534" s="36" t="s">
        <v>916</v>
      </c>
      <c r="N1534" s="45">
        <v>46022</v>
      </c>
      <c r="O1534" s="36" t="s">
        <v>25</v>
      </c>
      <c r="P1534" s="38">
        <v>53.582268518500001</v>
      </c>
      <c r="Q1534" s="39" t="s">
        <v>2230</v>
      </c>
      <c r="R1534" s="35" t="s">
        <v>916</v>
      </c>
      <c r="S1534" s="35"/>
      <c r="T1534" s="35" t="s">
        <v>1624</v>
      </c>
      <c r="U1534" s="40">
        <v>45969</v>
      </c>
      <c r="V1534" s="41">
        <v>46153.532939814817</v>
      </c>
      <c r="W1534" s="40">
        <v>45968</v>
      </c>
      <c r="X1534" s="35" t="s">
        <v>916</v>
      </c>
      <c r="Y1534" s="35" t="s">
        <v>916</v>
      </c>
      <c r="Z1534" s="35" t="s">
        <v>916</v>
      </c>
      <c r="AA1534" s="38">
        <v>1285.974444444</v>
      </c>
      <c r="AB1534" s="42" t="s">
        <v>916</v>
      </c>
      <c r="AC1534" s="43" t="s">
        <v>916</v>
      </c>
      <c r="AD1534" s="43" t="s">
        <v>916</v>
      </c>
      <c r="AE1534" s="33" t="s">
        <v>3982</v>
      </c>
      <c r="AF1534" s="35" t="s">
        <v>916</v>
      </c>
      <c r="AG1534" s="44">
        <v>489586.02555555548</v>
      </c>
      <c r="AH1534" s="42" t="s">
        <v>916</v>
      </c>
      <c r="AI1534" s="32" t="e">
        <f>VLOOKUP(A1534,'4月明細'!B:B,1,0)</f>
        <v>#N/A</v>
      </c>
    </row>
    <row r="1535" spans="1:35" ht="19.95" customHeight="1" x14ac:dyDescent="0.3">
      <c r="A1535" s="33" t="s">
        <v>5386</v>
      </c>
      <c r="B1535" s="34">
        <v>45968.198831018519</v>
      </c>
      <c r="C1535" s="34" t="str">
        <f t="shared" si="36"/>
        <v>202511</v>
      </c>
      <c r="D1535" s="35" t="s">
        <v>960</v>
      </c>
      <c r="E1535" s="36" t="s">
        <v>942</v>
      </c>
      <c r="F1535" s="36" t="s">
        <v>1370</v>
      </c>
      <c r="G1535" s="37" t="s">
        <v>5387</v>
      </c>
      <c r="H1535" s="36" t="s">
        <v>1079</v>
      </c>
      <c r="I1535" s="35"/>
      <c r="J1535" s="36" t="s">
        <v>929</v>
      </c>
      <c r="K1535" s="33" t="s">
        <v>916</v>
      </c>
      <c r="L1535" s="35" t="s">
        <v>916</v>
      </c>
      <c r="M1535" s="36" t="s">
        <v>916</v>
      </c>
      <c r="N1535" s="45">
        <v>46022</v>
      </c>
      <c r="O1535" s="36" t="s">
        <v>25</v>
      </c>
      <c r="P1535" s="38">
        <v>53.801168981499998</v>
      </c>
      <c r="Q1535" s="39" t="s">
        <v>5388</v>
      </c>
      <c r="R1535" s="35" t="s">
        <v>916</v>
      </c>
      <c r="S1535" s="35"/>
      <c r="T1535" s="35" t="s">
        <v>1701</v>
      </c>
      <c r="U1535" s="40">
        <v>45969</v>
      </c>
      <c r="V1535" s="41">
        <v>46153.532939814817</v>
      </c>
      <c r="W1535" s="40">
        <v>45968</v>
      </c>
      <c r="X1535" s="35" t="s">
        <v>916</v>
      </c>
      <c r="Y1535" s="35" t="s">
        <v>916</v>
      </c>
      <c r="Z1535" s="35" t="s">
        <v>916</v>
      </c>
      <c r="AA1535" s="38">
        <v>1291.2280555560001</v>
      </c>
      <c r="AB1535" s="42" t="s">
        <v>916</v>
      </c>
      <c r="AC1535" s="43" t="s">
        <v>916</v>
      </c>
      <c r="AD1535" s="43" t="s">
        <v>916</v>
      </c>
      <c r="AE1535" s="33" t="s">
        <v>3982</v>
      </c>
      <c r="AF1535" s="35" t="s">
        <v>916</v>
      </c>
      <c r="AG1535" s="44">
        <v>489580.77194444451</v>
      </c>
      <c r="AH1535" s="42" t="s">
        <v>916</v>
      </c>
      <c r="AI1535" s="32" t="e">
        <f>VLOOKUP(A1535,'4月明細'!B:B,1,0)</f>
        <v>#N/A</v>
      </c>
    </row>
    <row r="1536" spans="1:35" ht="19.95" customHeight="1" x14ac:dyDescent="0.3">
      <c r="A1536" s="33" t="s">
        <v>5389</v>
      </c>
      <c r="B1536" s="34">
        <v>45968.067557870374</v>
      </c>
      <c r="C1536" s="34" t="str">
        <f t="shared" si="36"/>
        <v>202511</v>
      </c>
      <c r="D1536" s="35" t="s">
        <v>960</v>
      </c>
      <c r="E1536" s="36" t="s">
        <v>942</v>
      </c>
      <c r="F1536" s="36" t="s">
        <v>1634</v>
      </c>
      <c r="G1536" s="37" t="s">
        <v>5390</v>
      </c>
      <c r="H1536" s="36" t="s">
        <v>4683</v>
      </c>
      <c r="I1536" s="35" t="s">
        <v>5391</v>
      </c>
      <c r="J1536" s="36" t="s">
        <v>945</v>
      </c>
      <c r="K1536" s="33" t="s">
        <v>916</v>
      </c>
      <c r="L1536" s="35" t="s">
        <v>916</v>
      </c>
      <c r="M1536" s="36" t="s">
        <v>916</v>
      </c>
      <c r="N1536" s="45">
        <v>46022</v>
      </c>
      <c r="O1536" s="36" t="s">
        <v>25</v>
      </c>
      <c r="P1536" s="38">
        <v>53.932442129599998</v>
      </c>
      <c r="Q1536" s="39" t="s">
        <v>5392</v>
      </c>
      <c r="R1536" s="35" t="s">
        <v>916</v>
      </c>
      <c r="S1536" s="35" t="s">
        <v>5393</v>
      </c>
      <c r="T1536" s="35" t="s">
        <v>1701</v>
      </c>
      <c r="U1536" s="40">
        <v>45969</v>
      </c>
      <c r="V1536" s="41">
        <v>46153.532939814817</v>
      </c>
      <c r="W1536" s="40">
        <v>45968</v>
      </c>
      <c r="X1536" s="35" t="s">
        <v>916</v>
      </c>
      <c r="Y1536" s="35" t="s">
        <v>916</v>
      </c>
      <c r="Z1536" s="35" t="s">
        <v>916</v>
      </c>
      <c r="AA1536" s="38">
        <v>1294.3786111104</v>
      </c>
      <c r="AB1536" s="42" t="s">
        <v>916</v>
      </c>
      <c r="AC1536" s="43" t="s">
        <v>916</v>
      </c>
      <c r="AD1536" s="43" t="s">
        <v>916</v>
      </c>
      <c r="AE1536" s="33" t="s">
        <v>3982</v>
      </c>
      <c r="AF1536" s="35" t="s">
        <v>916</v>
      </c>
      <c r="AG1536" s="44">
        <v>489577.62138888892</v>
      </c>
      <c r="AH1536" s="42" t="s">
        <v>916</v>
      </c>
      <c r="AI1536" s="32" t="e">
        <f>VLOOKUP(A1536,'4月明細'!B:B,1,0)</f>
        <v>#N/A</v>
      </c>
    </row>
    <row r="1537" spans="1:35" ht="19.95" customHeight="1" x14ac:dyDescent="0.3">
      <c r="A1537" s="33" t="s">
        <v>5394</v>
      </c>
      <c r="B1537" s="34">
        <v>45967.740439814814</v>
      </c>
      <c r="C1537" s="34" t="str">
        <f t="shared" si="36"/>
        <v>202511</v>
      </c>
      <c r="D1537" s="35" t="s">
        <v>5008</v>
      </c>
      <c r="E1537" s="36" t="s">
        <v>1112</v>
      </c>
      <c r="F1537" s="36" t="s">
        <v>1150</v>
      </c>
      <c r="G1537" s="37" t="s">
        <v>5395</v>
      </c>
      <c r="H1537" s="36" t="s">
        <v>4065</v>
      </c>
      <c r="I1537" s="35" t="s">
        <v>5396</v>
      </c>
      <c r="J1537" s="36" t="s">
        <v>938</v>
      </c>
      <c r="K1537" s="33" t="s">
        <v>916</v>
      </c>
      <c r="L1537" s="35" t="s">
        <v>916</v>
      </c>
      <c r="M1537" s="36" t="s">
        <v>916</v>
      </c>
      <c r="N1537" s="45">
        <v>46022</v>
      </c>
      <c r="O1537" s="36" t="s">
        <v>25</v>
      </c>
      <c r="P1537" s="38">
        <v>54.259560185200002</v>
      </c>
      <c r="Q1537" s="39" t="s">
        <v>5397</v>
      </c>
      <c r="R1537" s="35" t="s">
        <v>916</v>
      </c>
      <c r="S1537" s="35"/>
      <c r="T1537" s="35" t="s">
        <v>1701</v>
      </c>
      <c r="U1537" s="40">
        <v>45968</v>
      </c>
      <c r="V1537" s="41">
        <v>46153.532939814817</v>
      </c>
      <c r="W1537" s="40">
        <v>45967</v>
      </c>
      <c r="X1537" s="35" t="s">
        <v>916</v>
      </c>
      <c r="Y1537" s="35" t="s">
        <v>916</v>
      </c>
      <c r="Z1537" s="35" t="s">
        <v>916</v>
      </c>
      <c r="AA1537" s="38">
        <v>1302.2294444448</v>
      </c>
      <c r="AB1537" s="42" t="s">
        <v>916</v>
      </c>
      <c r="AC1537" s="43" t="s">
        <v>916</v>
      </c>
      <c r="AD1537" s="43" t="s">
        <v>916</v>
      </c>
      <c r="AE1537" s="33" t="s">
        <v>3982</v>
      </c>
      <c r="AF1537" s="35" t="s">
        <v>916</v>
      </c>
      <c r="AG1537" s="44">
        <v>489569.77055555547</v>
      </c>
      <c r="AH1537" s="42" t="s">
        <v>916</v>
      </c>
      <c r="AI1537" s="32" t="e">
        <f>VLOOKUP(A1537,'4月明細'!B:B,1,0)</f>
        <v>#N/A</v>
      </c>
    </row>
    <row r="1538" spans="1:35" ht="19.95" customHeight="1" x14ac:dyDescent="0.3">
      <c r="A1538" s="33" t="s">
        <v>5398</v>
      </c>
      <c r="B1538" s="34">
        <v>45967.642893518518</v>
      </c>
      <c r="C1538" s="34" t="str">
        <f t="shared" si="36"/>
        <v>202511</v>
      </c>
      <c r="D1538" s="35" t="s">
        <v>996</v>
      </c>
      <c r="E1538" s="36" t="s">
        <v>910</v>
      </c>
      <c r="F1538" s="36" t="s">
        <v>1220</v>
      </c>
      <c r="G1538" s="37" t="s">
        <v>5399</v>
      </c>
      <c r="H1538" s="36" t="s">
        <v>970</v>
      </c>
      <c r="I1538" s="35" t="s">
        <v>5400</v>
      </c>
      <c r="J1538" s="36" t="s">
        <v>929</v>
      </c>
      <c r="K1538" s="33" t="s">
        <v>916</v>
      </c>
      <c r="L1538" s="35" t="s">
        <v>916</v>
      </c>
      <c r="M1538" s="36" t="s">
        <v>916</v>
      </c>
      <c r="N1538" s="45">
        <v>46022</v>
      </c>
      <c r="O1538" s="36" t="s">
        <v>25</v>
      </c>
      <c r="P1538" s="38">
        <v>54.357106481499997</v>
      </c>
      <c r="Q1538" s="39" t="s">
        <v>5401</v>
      </c>
      <c r="R1538" s="35" t="s">
        <v>916</v>
      </c>
      <c r="S1538" s="35" t="s">
        <v>5402</v>
      </c>
      <c r="T1538" s="35" t="s">
        <v>1701</v>
      </c>
      <c r="U1538" s="40">
        <v>45968</v>
      </c>
      <c r="V1538" s="41">
        <v>46153.532939814817</v>
      </c>
      <c r="W1538" s="40">
        <v>45967</v>
      </c>
      <c r="X1538" s="35" t="s">
        <v>916</v>
      </c>
      <c r="Y1538" s="35" t="s">
        <v>916</v>
      </c>
      <c r="Z1538" s="35" t="s">
        <v>916</v>
      </c>
      <c r="AA1538" s="38">
        <v>1304.570555556</v>
      </c>
      <c r="AB1538" s="42" t="s">
        <v>916</v>
      </c>
      <c r="AC1538" s="43" t="s">
        <v>916</v>
      </c>
      <c r="AD1538" s="43" t="s">
        <v>916</v>
      </c>
      <c r="AE1538" s="33" t="s">
        <v>3982</v>
      </c>
      <c r="AF1538" s="35" t="s">
        <v>916</v>
      </c>
      <c r="AG1538" s="44">
        <v>489567.42944444442</v>
      </c>
      <c r="AH1538" s="42" t="s">
        <v>916</v>
      </c>
      <c r="AI1538" s="32" t="e">
        <f>VLOOKUP(A1538,'4月明細'!B:B,1,0)</f>
        <v>#N/A</v>
      </c>
    </row>
    <row r="1539" spans="1:35" ht="19.95" customHeight="1" x14ac:dyDescent="0.3">
      <c r="A1539" s="33" t="s">
        <v>5403</v>
      </c>
      <c r="B1539" s="34">
        <v>45967.639606481483</v>
      </c>
      <c r="C1539" s="34" t="str">
        <f t="shared" ref="C1539:C1602" si="37">TEXT(B1539,"YYYYMM")</f>
        <v>202511</v>
      </c>
      <c r="D1539" s="35" t="s">
        <v>909</v>
      </c>
      <c r="E1539" s="36" t="s">
        <v>910</v>
      </c>
      <c r="F1539" s="36" t="s">
        <v>1093</v>
      </c>
      <c r="G1539" s="37" t="s">
        <v>5404</v>
      </c>
      <c r="H1539" s="36" t="s">
        <v>3979</v>
      </c>
      <c r="I1539" s="35" t="s">
        <v>5405</v>
      </c>
      <c r="J1539" s="36" t="s">
        <v>914</v>
      </c>
      <c r="K1539" s="33" t="s">
        <v>916</v>
      </c>
      <c r="L1539" s="35" t="s">
        <v>916</v>
      </c>
      <c r="M1539" s="36" t="s">
        <v>916</v>
      </c>
      <c r="N1539" s="45">
        <v>46022</v>
      </c>
      <c r="O1539" s="36" t="s">
        <v>25</v>
      </c>
      <c r="P1539" s="38">
        <v>54.360393518499997</v>
      </c>
      <c r="Q1539" s="39" t="s">
        <v>5406</v>
      </c>
      <c r="R1539" s="35" t="s">
        <v>916</v>
      </c>
      <c r="S1539" s="35"/>
      <c r="T1539" s="35" t="s">
        <v>1701</v>
      </c>
      <c r="U1539" s="40">
        <v>45968</v>
      </c>
      <c r="V1539" s="41">
        <v>46153.532939814817</v>
      </c>
      <c r="W1539" s="40">
        <v>45967</v>
      </c>
      <c r="X1539" s="35" t="s">
        <v>916</v>
      </c>
      <c r="Y1539" s="35" t="s">
        <v>916</v>
      </c>
      <c r="Z1539" s="35" t="s">
        <v>916</v>
      </c>
      <c r="AA1539" s="38">
        <v>1304.649444444</v>
      </c>
      <c r="AB1539" s="42" t="s">
        <v>916</v>
      </c>
      <c r="AC1539" s="43" t="s">
        <v>916</v>
      </c>
      <c r="AD1539" s="43" t="s">
        <v>916</v>
      </c>
      <c r="AE1539" s="33" t="s">
        <v>3982</v>
      </c>
      <c r="AF1539" s="35" t="s">
        <v>916</v>
      </c>
      <c r="AG1539" s="44">
        <v>489567.3505555556</v>
      </c>
      <c r="AH1539" s="42" t="s">
        <v>916</v>
      </c>
      <c r="AI1539" s="32" t="e">
        <f>VLOOKUP(A1539,'4月明細'!B:B,1,0)</f>
        <v>#N/A</v>
      </c>
    </row>
    <row r="1540" spans="1:35" ht="19.95" customHeight="1" x14ac:dyDescent="0.3">
      <c r="A1540" s="33" t="s">
        <v>5407</v>
      </c>
      <c r="B1540" s="34">
        <v>45967.609027777777</v>
      </c>
      <c r="C1540" s="34" t="str">
        <f t="shared" si="37"/>
        <v>202511</v>
      </c>
      <c r="D1540" s="35" t="s">
        <v>951</v>
      </c>
      <c r="E1540" s="36" t="s">
        <v>910</v>
      </c>
      <c r="F1540" s="36" t="s">
        <v>1237</v>
      </c>
      <c r="G1540" s="37" t="s">
        <v>5408</v>
      </c>
      <c r="H1540" s="36" t="s">
        <v>956</v>
      </c>
      <c r="I1540" s="35" t="s">
        <v>5409</v>
      </c>
      <c r="J1540" s="36" t="s">
        <v>1058</v>
      </c>
      <c r="K1540" s="33" t="s">
        <v>916</v>
      </c>
      <c r="L1540" s="35" t="s">
        <v>916</v>
      </c>
      <c r="M1540" s="36" t="s">
        <v>916</v>
      </c>
      <c r="N1540" s="45">
        <v>46022</v>
      </c>
      <c r="O1540" s="36" t="s">
        <v>25</v>
      </c>
      <c r="P1540" s="38">
        <v>54.390972222199998</v>
      </c>
      <c r="Q1540" s="39" t="s">
        <v>5410</v>
      </c>
      <c r="R1540" s="35" t="s">
        <v>916</v>
      </c>
      <c r="S1540" s="35" t="s">
        <v>5411</v>
      </c>
      <c r="T1540" s="35" t="s">
        <v>1701</v>
      </c>
      <c r="U1540" s="40">
        <v>45968</v>
      </c>
      <c r="V1540" s="41">
        <v>46153.532939814817</v>
      </c>
      <c r="W1540" s="40">
        <v>45967</v>
      </c>
      <c r="X1540" s="35" t="s">
        <v>916</v>
      </c>
      <c r="Y1540" s="35" t="s">
        <v>916</v>
      </c>
      <c r="Z1540" s="35" t="s">
        <v>916</v>
      </c>
      <c r="AA1540" s="38">
        <v>1305.3833333328</v>
      </c>
      <c r="AB1540" s="42" t="s">
        <v>916</v>
      </c>
      <c r="AC1540" s="43" t="s">
        <v>916</v>
      </c>
      <c r="AD1540" s="43" t="s">
        <v>916</v>
      </c>
      <c r="AE1540" s="33" t="s">
        <v>3982</v>
      </c>
      <c r="AF1540" s="35" t="s">
        <v>916</v>
      </c>
      <c r="AG1540" s="44">
        <v>489566.61666666658</v>
      </c>
      <c r="AH1540" s="42" t="s">
        <v>916</v>
      </c>
      <c r="AI1540" s="32" t="e">
        <f>VLOOKUP(A1540,'4月明細'!B:B,1,0)</f>
        <v>#N/A</v>
      </c>
    </row>
    <row r="1541" spans="1:35" ht="19.95" customHeight="1" x14ac:dyDescent="0.3">
      <c r="A1541" s="33" t="s">
        <v>5412</v>
      </c>
      <c r="B1541" s="34">
        <v>45967.577986111108</v>
      </c>
      <c r="C1541" s="34" t="str">
        <f t="shared" si="37"/>
        <v>202511</v>
      </c>
      <c r="D1541" s="35" t="s">
        <v>5413</v>
      </c>
      <c r="E1541" s="36" t="s">
        <v>910</v>
      </c>
      <c r="F1541" s="36" t="s">
        <v>1870</v>
      </c>
      <c r="G1541" s="37" t="s">
        <v>5414</v>
      </c>
      <c r="H1541" s="36" t="s">
        <v>956</v>
      </c>
      <c r="I1541" s="35"/>
      <c r="J1541" s="36" t="s">
        <v>914</v>
      </c>
      <c r="K1541" s="33" t="s">
        <v>916</v>
      </c>
      <c r="L1541" s="35" t="s">
        <v>916</v>
      </c>
      <c r="M1541" s="36" t="s">
        <v>916</v>
      </c>
      <c r="N1541" s="45">
        <v>46022</v>
      </c>
      <c r="O1541" s="36" t="s">
        <v>25</v>
      </c>
      <c r="P1541" s="38">
        <v>54.422013888899997</v>
      </c>
      <c r="Q1541" s="39" t="s">
        <v>5415</v>
      </c>
      <c r="R1541" s="35" t="s">
        <v>916</v>
      </c>
      <c r="S1541" s="35" t="s">
        <v>5416</v>
      </c>
      <c r="T1541" s="35" t="s">
        <v>1701</v>
      </c>
      <c r="U1541" s="40">
        <v>45968</v>
      </c>
      <c r="V1541" s="41">
        <v>46153.532939814817</v>
      </c>
      <c r="W1541" s="40">
        <v>45967</v>
      </c>
      <c r="X1541" s="35" t="s">
        <v>916</v>
      </c>
      <c r="Y1541" s="35" t="s">
        <v>916</v>
      </c>
      <c r="Z1541" s="35" t="s">
        <v>916</v>
      </c>
      <c r="AA1541" s="38">
        <v>1306.1283333336</v>
      </c>
      <c r="AB1541" s="42" t="s">
        <v>916</v>
      </c>
      <c r="AC1541" s="43" t="s">
        <v>916</v>
      </c>
      <c r="AD1541" s="43" t="s">
        <v>916</v>
      </c>
      <c r="AE1541" s="33" t="s">
        <v>3982</v>
      </c>
      <c r="AF1541" s="35" t="s">
        <v>916</v>
      </c>
      <c r="AG1541" s="44">
        <v>489565.8716666667</v>
      </c>
      <c r="AH1541" s="42" t="s">
        <v>916</v>
      </c>
      <c r="AI1541" s="32" t="e">
        <f>VLOOKUP(A1541,'4月明細'!B:B,1,0)</f>
        <v>#N/A</v>
      </c>
    </row>
    <row r="1542" spans="1:35" ht="19.95" customHeight="1" x14ac:dyDescent="0.3">
      <c r="A1542" s="33" t="s">
        <v>5417</v>
      </c>
      <c r="B1542" s="34">
        <v>45967.570706018516</v>
      </c>
      <c r="C1542" s="34" t="str">
        <f t="shared" si="37"/>
        <v>202511</v>
      </c>
      <c r="D1542" s="35" t="s">
        <v>5380</v>
      </c>
      <c r="E1542" s="36" t="s">
        <v>910</v>
      </c>
      <c r="F1542" s="36" t="s">
        <v>1768</v>
      </c>
      <c r="G1542" s="37" t="s">
        <v>5418</v>
      </c>
      <c r="H1542" s="36" t="s">
        <v>3985</v>
      </c>
      <c r="I1542" s="35" t="s">
        <v>1362</v>
      </c>
      <c r="J1542" s="36" t="s">
        <v>914</v>
      </c>
      <c r="K1542" s="33" t="s">
        <v>916</v>
      </c>
      <c r="L1542" s="35" t="s">
        <v>916</v>
      </c>
      <c r="M1542" s="36" t="s">
        <v>1135</v>
      </c>
      <c r="N1542" s="45">
        <v>46022</v>
      </c>
      <c r="O1542" s="36" t="s">
        <v>25</v>
      </c>
      <c r="P1542" s="38">
        <v>54.429293981500003</v>
      </c>
      <c r="Q1542" s="39" t="s">
        <v>5419</v>
      </c>
      <c r="R1542" s="35" t="s">
        <v>916</v>
      </c>
      <c r="S1542" s="35" t="s">
        <v>5420</v>
      </c>
      <c r="T1542" s="35" t="s">
        <v>1701</v>
      </c>
      <c r="U1542" s="40">
        <v>45968</v>
      </c>
      <c r="V1542" s="41">
        <v>46153.532939814817</v>
      </c>
      <c r="W1542" s="40">
        <v>45967</v>
      </c>
      <c r="X1542" s="35" t="s">
        <v>916</v>
      </c>
      <c r="Y1542" s="35" t="s">
        <v>916</v>
      </c>
      <c r="Z1542" s="35" t="s">
        <v>916</v>
      </c>
      <c r="AA1542" s="38">
        <v>1306.3030555559999</v>
      </c>
      <c r="AB1542" s="42" t="s">
        <v>916</v>
      </c>
      <c r="AC1542" s="43" t="s">
        <v>916</v>
      </c>
      <c r="AD1542" s="43" t="s">
        <v>916</v>
      </c>
      <c r="AE1542" s="33" t="s">
        <v>3982</v>
      </c>
      <c r="AF1542" s="35" t="s">
        <v>916</v>
      </c>
      <c r="AG1542" s="44">
        <v>489565.69694444438</v>
      </c>
      <c r="AH1542" s="42" t="s">
        <v>916</v>
      </c>
      <c r="AI1542" s="32" t="e">
        <f>VLOOKUP(A1542,'4月明細'!B:B,1,0)</f>
        <v>#N/A</v>
      </c>
    </row>
    <row r="1543" spans="1:35" ht="19.95" customHeight="1" x14ac:dyDescent="0.3">
      <c r="A1543" s="33" t="s">
        <v>5421</v>
      </c>
      <c r="B1543" s="34">
        <v>45967.53665509259</v>
      </c>
      <c r="C1543" s="34" t="str">
        <f t="shared" si="37"/>
        <v>202511</v>
      </c>
      <c r="D1543" s="35" t="s">
        <v>3875</v>
      </c>
      <c r="E1543" s="36" t="s">
        <v>942</v>
      </c>
      <c r="F1543" s="36" t="s">
        <v>1924</v>
      </c>
      <c r="G1543" s="37" t="s">
        <v>5422</v>
      </c>
      <c r="H1543" s="36" t="s">
        <v>1184</v>
      </c>
      <c r="I1543" s="35"/>
      <c r="J1543" s="36" t="s">
        <v>945</v>
      </c>
      <c r="K1543" s="33" t="s">
        <v>916</v>
      </c>
      <c r="L1543" s="35" t="s">
        <v>916</v>
      </c>
      <c r="M1543" s="36" t="s">
        <v>1135</v>
      </c>
      <c r="N1543" s="45">
        <v>46022</v>
      </c>
      <c r="O1543" s="36" t="s">
        <v>25</v>
      </c>
      <c r="P1543" s="38">
        <v>54.4633449074</v>
      </c>
      <c r="Q1543" s="39" t="s">
        <v>5423</v>
      </c>
      <c r="R1543" s="35" t="s">
        <v>916</v>
      </c>
      <c r="S1543" s="35" t="s">
        <v>5424</v>
      </c>
      <c r="T1543" s="35" t="s">
        <v>1701</v>
      </c>
      <c r="U1543" s="40">
        <v>45968</v>
      </c>
      <c r="V1543" s="41">
        <v>46153.532939814817</v>
      </c>
      <c r="W1543" s="40">
        <v>45967</v>
      </c>
      <c r="X1543" s="35" t="s">
        <v>916</v>
      </c>
      <c r="Y1543" s="35" t="s">
        <v>916</v>
      </c>
      <c r="Z1543" s="35" t="s">
        <v>916</v>
      </c>
      <c r="AA1543" s="38">
        <v>1307.1202777776</v>
      </c>
      <c r="AB1543" s="42" t="s">
        <v>916</v>
      </c>
      <c r="AC1543" s="43" t="s">
        <v>916</v>
      </c>
      <c r="AD1543" s="43" t="s">
        <v>916</v>
      </c>
      <c r="AE1543" s="33" t="s">
        <v>3982</v>
      </c>
      <c r="AF1543" s="35" t="s">
        <v>916</v>
      </c>
      <c r="AG1543" s="44">
        <v>489564.87972222222</v>
      </c>
      <c r="AH1543" s="42" t="s">
        <v>916</v>
      </c>
      <c r="AI1543" s="32" t="e">
        <f>VLOOKUP(A1543,'4月明細'!B:B,1,0)</f>
        <v>#N/A</v>
      </c>
    </row>
    <row r="1544" spans="1:35" ht="19.95" customHeight="1" x14ac:dyDescent="0.3">
      <c r="A1544" s="33" t="s">
        <v>5425</v>
      </c>
      <c r="B1544" s="34">
        <v>45967.510555555556</v>
      </c>
      <c r="C1544" s="34" t="str">
        <f t="shared" si="37"/>
        <v>202511</v>
      </c>
      <c r="D1544" s="35" t="s">
        <v>5380</v>
      </c>
      <c r="E1544" s="36" t="s">
        <v>910</v>
      </c>
      <c r="F1544" s="36" t="s">
        <v>1161</v>
      </c>
      <c r="G1544" s="37" t="s">
        <v>4929</v>
      </c>
      <c r="H1544" s="36" t="s">
        <v>4804</v>
      </c>
      <c r="I1544" s="35" t="s">
        <v>5426</v>
      </c>
      <c r="J1544" s="36" t="s">
        <v>929</v>
      </c>
      <c r="K1544" s="33" t="s">
        <v>916</v>
      </c>
      <c r="L1544" s="35" t="s">
        <v>916</v>
      </c>
      <c r="M1544" s="36" t="s">
        <v>1135</v>
      </c>
      <c r="N1544" s="45">
        <v>46022</v>
      </c>
      <c r="O1544" s="36" t="s">
        <v>25</v>
      </c>
      <c r="P1544" s="38">
        <v>54.4894444444</v>
      </c>
      <c r="Q1544" s="39" t="s">
        <v>5427</v>
      </c>
      <c r="R1544" s="35" t="s">
        <v>916</v>
      </c>
      <c r="S1544" s="35" t="s">
        <v>5428</v>
      </c>
      <c r="T1544" s="35" t="s">
        <v>1701</v>
      </c>
      <c r="U1544" s="40">
        <v>45968</v>
      </c>
      <c r="V1544" s="41">
        <v>46153.532939814817</v>
      </c>
      <c r="W1544" s="40">
        <v>45967</v>
      </c>
      <c r="X1544" s="35" t="s">
        <v>916</v>
      </c>
      <c r="Y1544" s="35" t="s">
        <v>916</v>
      </c>
      <c r="Z1544" s="35" t="s">
        <v>916</v>
      </c>
      <c r="AA1544" s="38">
        <v>1307.7466666656001</v>
      </c>
      <c r="AB1544" s="42" t="s">
        <v>916</v>
      </c>
      <c r="AC1544" s="43" t="s">
        <v>916</v>
      </c>
      <c r="AD1544" s="43" t="s">
        <v>916</v>
      </c>
      <c r="AE1544" s="33" t="s">
        <v>3982</v>
      </c>
      <c r="AF1544" s="35" t="s">
        <v>916</v>
      </c>
      <c r="AG1544" s="44">
        <v>489564.25333333341</v>
      </c>
      <c r="AH1544" s="42" t="s">
        <v>916</v>
      </c>
      <c r="AI1544" s="32" t="e">
        <f>VLOOKUP(A1544,'4月明細'!B:B,1,0)</f>
        <v>#N/A</v>
      </c>
    </row>
    <row r="1545" spans="1:35" ht="19.95" customHeight="1" x14ac:dyDescent="0.3">
      <c r="A1545" s="33" t="s">
        <v>5429</v>
      </c>
      <c r="B1545" s="34">
        <v>45967.502997685187</v>
      </c>
      <c r="C1545" s="34" t="str">
        <f t="shared" si="37"/>
        <v>202511</v>
      </c>
      <c r="D1545" s="35" t="s">
        <v>996</v>
      </c>
      <c r="E1545" s="36" t="s">
        <v>910</v>
      </c>
      <c r="F1545" s="36" t="s">
        <v>2059</v>
      </c>
      <c r="G1545" s="37" t="s">
        <v>1022</v>
      </c>
      <c r="H1545" s="36" t="s">
        <v>4007</v>
      </c>
      <c r="I1545" s="35" t="s">
        <v>5430</v>
      </c>
      <c r="J1545" s="36" t="s">
        <v>929</v>
      </c>
      <c r="K1545" s="33" t="s">
        <v>916</v>
      </c>
      <c r="L1545" s="35" t="s">
        <v>916</v>
      </c>
      <c r="M1545" s="36" t="s">
        <v>1135</v>
      </c>
      <c r="N1545" s="45">
        <v>46022</v>
      </c>
      <c r="O1545" s="36" t="s">
        <v>25</v>
      </c>
      <c r="P1545" s="38">
        <v>54.4970023148</v>
      </c>
      <c r="Q1545" s="39" t="s">
        <v>5431</v>
      </c>
      <c r="R1545" s="35" t="s">
        <v>916</v>
      </c>
      <c r="S1545" s="35" t="s">
        <v>5432</v>
      </c>
      <c r="T1545" s="35" t="s">
        <v>1701</v>
      </c>
      <c r="U1545" s="40">
        <v>45968</v>
      </c>
      <c r="V1545" s="41">
        <v>46153.532939814817</v>
      </c>
      <c r="W1545" s="40">
        <v>45967</v>
      </c>
      <c r="X1545" s="35" t="s">
        <v>916</v>
      </c>
      <c r="Y1545" s="35" t="s">
        <v>916</v>
      </c>
      <c r="Z1545" s="35" t="s">
        <v>916</v>
      </c>
      <c r="AA1545" s="38">
        <v>1307.9280555552</v>
      </c>
      <c r="AB1545" s="42" t="s">
        <v>916</v>
      </c>
      <c r="AC1545" s="43" t="s">
        <v>916</v>
      </c>
      <c r="AD1545" s="43" t="s">
        <v>916</v>
      </c>
      <c r="AE1545" s="33" t="s">
        <v>3982</v>
      </c>
      <c r="AF1545" s="35" t="s">
        <v>916</v>
      </c>
      <c r="AG1545" s="44">
        <v>489564.0719444445</v>
      </c>
      <c r="AH1545" s="42" t="s">
        <v>916</v>
      </c>
      <c r="AI1545" s="32" t="e">
        <f>VLOOKUP(A1545,'4月明細'!B:B,1,0)</f>
        <v>#N/A</v>
      </c>
    </row>
    <row r="1546" spans="1:35" ht="19.95" customHeight="1" x14ac:dyDescent="0.3">
      <c r="A1546" s="33" t="s">
        <v>5433</v>
      </c>
      <c r="B1546" s="34">
        <v>45967.501921296294</v>
      </c>
      <c r="C1546" s="34" t="str">
        <f t="shared" si="37"/>
        <v>202511</v>
      </c>
      <c r="D1546" s="35" t="s">
        <v>5380</v>
      </c>
      <c r="E1546" s="36" t="s">
        <v>910</v>
      </c>
      <c r="F1546" s="36" t="s">
        <v>1161</v>
      </c>
      <c r="G1546" s="37" t="s">
        <v>927</v>
      </c>
      <c r="H1546" s="36" t="s">
        <v>3979</v>
      </c>
      <c r="I1546" s="35" t="s">
        <v>5434</v>
      </c>
      <c r="J1546" s="36" t="s">
        <v>929</v>
      </c>
      <c r="K1546" s="33" t="s">
        <v>916</v>
      </c>
      <c r="L1546" s="35" t="s">
        <v>916</v>
      </c>
      <c r="M1546" s="36" t="s">
        <v>1135</v>
      </c>
      <c r="N1546" s="45">
        <v>46022</v>
      </c>
      <c r="O1546" s="36" t="s">
        <v>25</v>
      </c>
      <c r="P1546" s="38">
        <v>54.498078703700003</v>
      </c>
      <c r="Q1546" s="39" t="s">
        <v>5435</v>
      </c>
      <c r="R1546" s="35" t="s">
        <v>916</v>
      </c>
      <c r="S1546" s="35"/>
      <c r="T1546" s="35" t="s">
        <v>1701</v>
      </c>
      <c r="U1546" s="40">
        <v>45968</v>
      </c>
      <c r="V1546" s="41">
        <v>46153.532939814817</v>
      </c>
      <c r="W1546" s="40">
        <v>45967</v>
      </c>
      <c r="X1546" s="35" t="s">
        <v>916</v>
      </c>
      <c r="Y1546" s="35" t="s">
        <v>916</v>
      </c>
      <c r="Z1546" s="35" t="s">
        <v>916</v>
      </c>
      <c r="AA1546" s="38">
        <v>1307.9538888888001</v>
      </c>
      <c r="AB1546" s="42" t="s">
        <v>916</v>
      </c>
      <c r="AC1546" s="43" t="s">
        <v>916</v>
      </c>
      <c r="AD1546" s="43" t="s">
        <v>916</v>
      </c>
      <c r="AE1546" s="33" t="s">
        <v>3982</v>
      </c>
      <c r="AF1546" s="35" t="s">
        <v>916</v>
      </c>
      <c r="AG1546" s="44">
        <v>489564.04611111118</v>
      </c>
      <c r="AH1546" s="42" t="s">
        <v>916</v>
      </c>
      <c r="AI1546" s="32" t="e">
        <f>VLOOKUP(A1546,'4月明細'!B:B,1,0)</f>
        <v>#N/A</v>
      </c>
    </row>
    <row r="1547" spans="1:35" ht="19.95" customHeight="1" x14ac:dyDescent="0.3">
      <c r="A1547" s="33" t="s">
        <v>5436</v>
      </c>
      <c r="B1547" s="34">
        <v>45967.477060185185</v>
      </c>
      <c r="C1547" s="34" t="str">
        <f t="shared" si="37"/>
        <v>202511</v>
      </c>
      <c r="D1547" s="35" t="s">
        <v>5380</v>
      </c>
      <c r="E1547" s="36" t="s">
        <v>910</v>
      </c>
      <c r="F1547" s="36" t="s">
        <v>1240</v>
      </c>
      <c r="G1547" s="37" t="s">
        <v>5437</v>
      </c>
      <c r="H1547" s="36" t="s">
        <v>4804</v>
      </c>
      <c r="I1547" s="35" t="s">
        <v>5438</v>
      </c>
      <c r="J1547" s="36" t="s">
        <v>929</v>
      </c>
      <c r="K1547" s="33" t="s">
        <v>916</v>
      </c>
      <c r="L1547" s="35" t="s">
        <v>916</v>
      </c>
      <c r="M1547" s="36" t="s">
        <v>916</v>
      </c>
      <c r="N1547" s="45">
        <v>46022</v>
      </c>
      <c r="O1547" s="36" t="s">
        <v>25</v>
      </c>
      <c r="P1547" s="38">
        <v>54.522939814799997</v>
      </c>
      <c r="Q1547" s="39" t="s">
        <v>5439</v>
      </c>
      <c r="R1547" s="35" t="s">
        <v>916</v>
      </c>
      <c r="S1547" s="35" t="s">
        <v>5440</v>
      </c>
      <c r="T1547" s="35" t="s">
        <v>1701</v>
      </c>
      <c r="U1547" s="40">
        <v>45968</v>
      </c>
      <c r="V1547" s="41">
        <v>46153.532939814817</v>
      </c>
      <c r="W1547" s="40">
        <v>45967</v>
      </c>
      <c r="X1547" s="35" t="s">
        <v>916</v>
      </c>
      <c r="Y1547" s="35" t="s">
        <v>916</v>
      </c>
      <c r="Z1547" s="35" t="s">
        <v>916</v>
      </c>
      <c r="AA1547" s="38">
        <v>1308.5505555551999</v>
      </c>
      <c r="AB1547" s="42" t="s">
        <v>916</v>
      </c>
      <c r="AC1547" s="43" t="s">
        <v>916</v>
      </c>
      <c r="AD1547" s="43" t="s">
        <v>916</v>
      </c>
      <c r="AE1547" s="33" t="s">
        <v>3982</v>
      </c>
      <c r="AF1547" s="35" t="s">
        <v>916</v>
      </c>
      <c r="AG1547" s="44">
        <v>489563.44944444438</v>
      </c>
      <c r="AH1547" s="42" t="s">
        <v>916</v>
      </c>
      <c r="AI1547" s="32" t="e">
        <f>VLOOKUP(A1547,'4月明細'!B:B,1,0)</f>
        <v>#N/A</v>
      </c>
    </row>
    <row r="1548" spans="1:35" ht="19.95" customHeight="1" x14ac:dyDescent="0.3">
      <c r="A1548" s="33" t="s">
        <v>5441</v>
      </c>
      <c r="B1548" s="34">
        <v>45967.465787037036</v>
      </c>
      <c r="C1548" s="34" t="str">
        <f t="shared" si="37"/>
        <v>202511</v>
      </c>
      <c r="D1548" s="35" t="s">
        <v>5380</v>
      </c>
      <c r="E1548" s="36" t="s">
        <v>910</v>
      </c>
      <c r="F1548" s="36" t="s">
        <v>1240</v>
      </c>
      <c r="G1548" s="37" t="s">
        <v>927</v>
      </c>
      <c r="H1548" s="36" t="s">
        <v>3979</v>
      </c>
      <c r="I1548" s="35" t="s">
        <v>5442</v>
      </c>
      <c r="J1548" s="36" t="s">
        <v>929</v>
      </c>
      <c r="K1548" s="33" t="s">
        <v>916</v>
      </c>
      <c r="L1548" s="35" t="s">
        <v>916</v>
      </c>
      <c r="M1548" s="36" t="s">
        <v>916</v>
      </c>
      <c r="N1548" s="45">
        <v>46022</v>
      </c>
      <c r="O1548" s="36" t="s">
        <v>25</v>
      </c>
      <c r="P1548" s="38">
        <v>54.534212963000002</v>
      </c>
      <c r="Q1548" s="39" t="s">
        <v>5443</v>
      </c>
      <c r="R1548" s="35" t="s">
        <v>916</v>
      </c>
      <c r="S1548" s="35"/>
      <c r="T1548" s="35" t="s">
        <v>1701</v>
      </c>
      <c r="U1548" s="40">
        <v>45968</v>
      </c>
      <c r="V1548" s="41">
        <v>46153.532939814817</v>
      </c>
      <c r="W1548" s="40">
        <v>45967</v>
      </c>
      <c r="X1548" s="35" t="s">
        <v>916</v>
      </c>
      <c r="Y1548" s="35" t="s">
        <v>916</v>
      </c>
      <c r="Z1548" s="35" t="s">
        <v>916</v>
      </c>
      <c r="AA1548" s="38">
        <v>1308.8211111119999</v>
      </c>
      <c r="AB1548" s="42" t="s">
        <v>916</v>
      </c>
      <c r="AC1548" s="43" t="s">
        <v>916</v>
      </c>
      <c r="AD1548" s="43" t="s">
        <v>916</v>
      </c>
      <c r="AE1548" s="33" t="s">
        <v>3982</v>
      </c>
      <c r="AF1548" s="35" t="s">
        <v>916</v>
      </c>
      <c r="AG1548" s="44">
        <v>489563.17888888891</v>
      </c>
      <c r="AH1548" s="42" t="s">
        <v>916</v>
      </c>
      <c r="AI1548" s="32" t="e">
        <f>VLOOKUP(A1548,'4月明細'!B:B,1,0)</f>
        <v>#N/A</v>
      </c>
    </row>
    <row r="1549" spans="1:35" ht="19.95" customHeight="1" x14ac:dyDescent="0.3">
      <c r="A1549" s="33" t="s">
        <v>5444</v>
      </c>
      <c r="B1549" s="34">
        <v>45967.014074074075</v>
      </c>
      <c r="C1549" s="34" t="str">
        <f t="shared" si="37"/>
        <v>202511</v>
      </c>
      <c r="D1549" s="35" t="s">
        <v>960</v>
      </c>
      <c r="E1549" s="36" t="s">
        <v>942</v>
      </c>
      <c r="F1549" s="36" t="s">
        <v>1338</v>
      </c>
      <c r="G1549" s="37" t="s">
        <v>5445</v>
      </c>
      <c r="H1549" s="36" t="s">
        <v>913</v>
      </c>
      <c r="I1549" s="35"/>
      <c r="J1549" s="36" t="s">
        <v>945</v>
      </c>
      <c r="K1549" s="33" t="s">
        <v>916</v>
      </c>
      <c r="L1549" s="35" t="s">
        <v>916</v>
      </c>
      <c r="M1549" s="36" t="s">
        <v>1135</v>
      </c>
      <c r="N1549" s="45">
        <v>46022</v>
      </c>
      <c r="O1549" s="36" t="s">
        <v>25</v>
      </c>
      <c r="P1549" s="38">
        <v>54.985925925899998</v>
      </c>
      <c r="Q1549" s="39" t="s">
        <v>5446</v>
      </c>
      <c r="R1549" s="35" t="s">
        <v>916</v>
      </c>
      <c r="S1549" s="35" t="s">
        <v>5447</v>
      </c>
      <c r="T1549" s="35" t="s">
        <v>1701</v>
      </c>
      <c r="U1549" s="40">
        <v>45968</v>
      </c>
      <c r="V1549" s="41">
        <v>46153.532939814817</v>
      </c>
      <c r="W1549" s="40">
        <v>45967</v>
      </c>
      <c r="X1549" s="35" t="s">
        <v>916</v>
      </c>
      <c r="Y1549" s="35" t="s">
        <v>916</v>
      </c>
      <c r="Z1549" s="35" t="s">
        <v>916</v>
      </c>
      <c r="AA1549" s="38">
        <v>1319.6622222215999</v>
      </c>
      <c r="AB1549" s="42" t="s">
        <v>916</v>
      </c>
      <c r="AC1549" s="43" t="s">
        <v>916</v>
      </c>
      <c r="AD1549" s="43" t="s">
        <v>916</v>
      </c>
      <c r="AE1549" s="33" t="s">
        <v>3982</v>
      </c>
      <c r="AF1549" s="35" t="s">
        <v>916</v>
      </c>
      <c r="AG1549" s="44">
        <v>489552.33777777781</v>
      </c>
      <c r="AH1549" s="42" t="s">
        <v>916</v>
      </c>
      <c r="AI1549" s="32" t="e">
        <f>VLOOKUP(A1549,'4月明細'!B:B,1,0)</f>
        <v>#N/A</v>
      </c>
    </row>
    <row r="1550" spans="1:35" ht="19.95" customHeight="1" x14ac:dyDescent="0.3">
      <c r="A1550" s="33" t="s">
        <v>5448</v>
      </c>
      <c r="B1550" s="34">
        <v>45966.642754629633</v>
      </c>
      <c r="C1550" s="34" t="str">
        <f t="shared" si="37"/>
        <v>202511</v>
      </c>
      <c r="D1550" s="35" t="s">
        <v>5380</v>
      </c>
      <c r="E1550" s="36" t="s">
        <v>910</v>
      </c>
      <c r="F1550" s="36" t="s">
        <v>1055</v>
      </c>
      <c r="G1550" s="37" t="s">
        <v>5449</v>
      </c>
      <c r="H1550" s="36" t="s">
        <v>3985</v>
      </c>
      <c r="I1550" s="35" t="s">
        <v>5450</v>
      </c>
      <c r="J1550" s="36" t="s">
        <v>914</v>
      </c>
      <c r="K1550" s="33" t="s">
        <v>916</v>
      </c>
      <c r="L1550" s="35" t="s">
        <v>916</v>
      </c>
      <c r="M1550" s="36" t="s">
        <v>916</v>
      </c>
      <c r="N1550" s="45">
        <v>46022</v>
      </c>
      <c r="O1550" s="36" t="s">
        <v>25</v>
      </c>
      <c r="P1550" s="38">
        <v>55.357245370400001</v>
      </c>
      <c r="Q1550" s="39" t="s">
        <v>5451</v>
      </c>
      <c r="R1550" s="35" t="s">
        <v>916</v>
      </c>
      <c r="S1550" s="35" t="s">
        <v>5452</v>
      </c>
      <c r="T1550" s="35" t="s">
        <v>1701</v>
      </c>
      <c r="U1550" s="40">
        <v>45967</v>
      </c>
      <c r="V1550" s="41">
        <v>46153.532939814817</v>
      </c>
      <c r="W1550" s="40">
        <v>45966</v>
      </c>
      <c r="X1550" s="35" t="s">
        <v>916</v>
      </c>
      <c r="Y1550" s="35" t="s">
        <v>916</v>
      </c>
      <c r="Z1550" s="35" t="s">
        <v>916</v>
      </c>
      <c r="AA1550" s="38">
        <v>1328.5738888896001</v>
      </c>
      <c r="AB1550" s="42" t="s">
        <v>916</v>
      </c>
      <c r="AC1550" s="43" t="s">
        <v>916</v>
      </c>
      <c r="AD1550" s="43" t="s">
        <v>916</v>
      </c>
      <c r="AE1550" s="33" t="s">
        <v>3982</v>
      </c>
      <c r="AF1550" s="35" t="s">
        <v>916</v>
      </c>
      <c r="AG1550" s="44">
        <v>489543.42611111113</v>
      </c>
      <c r="AH1550" s="42" t="s">
        <v>916</v>
      </c>
      <c r="AI1550" s="32" t="e">
        <f>VLOOKUP(A1550,'4月明細'!B:B,1,0)</f>
        <v>#N/A</v>
      </c>
    </row>
    <row r="1551" spans="1:35" ht="19.95" customHeight="1" x14ac:dyDescent="0.3">
      <c r="A1551" s="33" t="s">
        <v>5453</v>
      </c>
      <c r="B1551" s="34">
        <v>45966.592245370368</v>
      </c>
      <c r="C1551" s="34" t="str">
        <f t="shared" si="37"/>
        <v>202511</v>
      </c>
      <c r="D1551" s="35" t="s">
        <v>951</v>
      </c>
      <c r="E1551" s="36" t="s">
        <v>910</v>
      </c>
      <c r="F1551" s="36" t="s">
        <v>987</v>
      </c>
      <c r="G1551" s="37" t="s">
        <v>5454</v>
      </c>
      <c r="H1551" s="36" t="s">
        <v>3991</v>
      </c>
      <c r="I1551" s="35" t="s">
        <v>5455</v>
      </c>
      <c r="J1551" s="36" t="s">
        <v>914</v>
      </c>
      <c r="K1551" s="33" t="s">
        <v>916</v>
      </c>
      <c r="L1551" s="35" t="s">
        <v>916</v>
      </c>
      <c r="M1551" s="36" t="s">
        <v>916</v>
      </c>
      <c r="N1551" s="45">
        <v>46022</v>
      </c>
      <c r="O1551" s="36" t="s">
        <v>25</v>
      </c>
      <c r="P1551" s="38">
        <v>55.407754629599999</v>
      </c>
      <c r="Q1551" s="39" t="s">
        <v>5456</v>
      </c>
      <c r="R1551" s="35" t="s">
        <v>916</v>
      </c>
      <c r="S1551" s="35"/>
      <c r="T1551" s="35" t="s">
        <v>1701</v>
      </c>
      <c r="U1551" s="40">
        <v>45967</v>
      </c>
      <c r="V1551" s="41">
        <v>46153.532939814817</v>
      </c>
      <c r="W1551" s="40">
        <v>45966</v>
      </c>
      <c r="X1551" s="35" t="s">
        <v>916</v>
      </c>
      <c r="Y1551" s="35" t="s">
        <v>916</v>
      </c>
      <c r="Z1551" s="35" t="s">
        <v>916</v>
      </c>
      <c r="AA1551" s="38">
        <v>1329.7861111104</v>
      </c>
      <c r="AB1551" s="42" t="s">
        <v>916</v>
      </c>
      <c r="AC1551" s="43" t="s">
        <v>916</v>
      </c>
      <c r="AD1551" s="43" t="s">
        <v>916</v>
      </c>
      <c r="AE1551" s="33" t="s">
        <v>3982</v>
      </c>
      <c r="AF1551" s="35" t="s">
        <v>916</v>
      </c>
      <c r="AG1551" s="44">
        <v>489542.21388888889</v>
      </c>
      <c r="AH1551" s="42" t="s">
        <v>916</v>
      </c>
      <c r="AI1551" s="32" t="e">
        <f>VLOOKUP(A1551,'4月明細'!B:B,1,0)</f>
        <v>#N/A</v>
      </c>
    </row>
    <row r="1552" spans="1:35" ht="19.95" customHeight="1" x14ac:dyDescent="0.3">
      <c r="A1552" s="33" t="s">
        <v>5457</v>
      </c>
      <c r="B1552" s="34">
        <v>45966.565960648149</v>
      </c>
      <c r="C1552" s="34" t="str">
        <f t="shared" si="37"/>
        <v>202511</v>
      </c>
      <c r="D1552" s="35" t="s">
        <v>5413</v>
      </c>
      <c r="E1552" s="36" t="s">
        <v>910</v>
      </c>
      <c r="F1552" s="36" t="s">
        <v>1423</v>
      </c>
      <c r="G1552" s="37" t="s">
        <v>5458</v>
      </c>
      <c r="H1552" s="36" t="s">
        <v>970</v>
      </c>
      <c r="I1552" s="35"/>
      <c r="J1552" s="36" t="s">
        <v>938</v>
      </c>
      <c r="K1552" s="33" t="s">
        <v>916</v>
      </c>
      <c r="L1552" s="35" t="s">
        <v>916</v>
      </c>
      <c r="M1552" s="36" t="s">
        <v>916</v>
      </c>
      <c r="N1552" s="45">
        <v>46022</v>
      </c>
      <c r="O1552" s="36" t="s">
        <v>25</v>
      </c>
      <c r="P1552" s="38">
        <v>55.434039351899997</v>
      </c>
      <c r="Q1552" s="39" t="s">
        <v>5459</v>
      </c>
      <c r="R1552" s="35" t="s">
        <v>916</v>
      </c>
      <c r="S1552" s="35"/>
      <c r="T1552" s="35" t="s">
        <v>1701</v>
      </c>
      <c r="U1552" s="40">
        <v>45967</v>
      </c>
      <c r="V1552" s="41">
        <v>46153.532939814817</v>
      </c>
      <c r="W1552" s="40">
        <v>45966</v>
      </c>
      <c r="X1552" s="35" t="s">
        <v>916</v>
      </c>
      <c r="Y1552" s="35" t="s">
        <v>916</v>
      </c>
      <c r="Z1552" s="35" t="s">
        <v>916</v>
      </c>
      <c r="AA1552" s="38">
        <v>1330.4169444455999</v>
      </c>
      <c r="AB1552" s="42" t="s">
        <v>916</v>
      </c>
      <c r="AC1552" s="43" t="s">
        <v>916</v>
      </c>
      <c r="AD1552" s="43" t="s">
        <v>916</v>
      </c>
      <c r="AE1552" s="33" t="s">
        <v>3982</v>
      </c>
      <c r="AF1552" s="35" t="s">
        <v>916</v>
      </c>
      <c r="AG1552" s="44">
        <v>489541.58305555559</v>
      </c>
      <c r="AH1552" s="42" t="s">
        <v>916</v>
      </c>
      <c r="AI1552" s="32" t="e">
        <f>VLOOKUP(A1552,'4月明細'!B:B,1,0)</f>
        <v>#N/A</v>
      </c>
    </row>
    <row r="1553" spans="1:35" ht="19.95" customHeight="1" x14ac:dyDescent="0.3">
      <c r="A1553" s="33" t="s">
        <v>5460</v>
      </c>
      <c r="B1553" s="34">
        <v>45966.487511574072</v>
      </c>
      <c r="C1553" s="34" t="str">
        <f t="shared" si="37"/>
        <v>202511</v>
      </c>
      <c r="D1553" s="35" t="s">
        <v>5380</v>
      </c>
      <c r="E1553" s="36" t="s">
        <v>910</v>
      </c>
      <c r="F1553" s="36" t="s">
        <v>1924</v>
      </c>
      <c r="G1553" s="37" t="s">
        <v>927</v>
      </c>
      <c r="H1553" s="36" t="s">
        <v>3979</v>
      </c>
      <c r="I1553" s="35" t="s">
        <v>5461</v>
      </c>
      <c r="J1553" s="36" t="s">
        <v>914</v>
      </c>
      <c r="K1553" s="33" t="s">
        <v>916</v>
      </c>
      <c r="L1553" s="35" t="s">
        <v>916</v>
      </c>
      <c r="M1553" s="36" t="s">
        <v>916</v>
      </c>
      <c r="N1553" s="45">
        <v>46022</v>
      </c>
      <c r="O1553" s="36" t="s">
        <v>25</v>
      </c>
      <c r="P1553" s="38">
        <v>55.512488425900003</v>
      </c>
      <c r="Q1553" s="39" t="s">
        <v>5462</v>
      </c>
      <c r="R1553" s="35" t="s">
        <v>916</v>
      </c>
      <c r="S1553" s="35"/>
      <c r="T1553" s="35" t="s">
        <v>1701</v>
      </c>
      <c r="U1553" s="40">
        <v>45967</v>
      </c>
      <c r="V1553" s="41">
        <v>46153.532939814817</v>
      </c>
      <c r="W1553" s="40">
        <v>45966</v>
      </c>
      <c r="X1553" s="35" t="s">
        <v>916</v>
      </c>
      <c r="Y1553" s="35" t="s">
        <v>916</v>
      </c>
      <c r="Z1553" s="35" t="s">
        <v>916</v>
      </c>
      <c r="AA1553" s="38">
        <v>1332.2997222215999</v>
      </c>
      <c r="AB1553" s="42" t="s">
        <v>916</v>
      </c>
      <c r="AC1553" s="43" t="s">
        <v>916</v>
      </c>
      <c r="AD1553" s="43" t="s">
        <v>916</v>
      </c>
      <c r="AE1553" s="33" t="s">
        <v>3982</v>
      </c>
      <c r="AF1553" s="35" t="s">
        <v>916</v>
      </c>
      <c r="AG1553" s="44">
        <v>489539.70027777791</v>
      </c>
      <c r="AH1553" s="42" t="s">
        <v>916</v>
      </c>
      <c r="AI1553" s="32" t="e">
        <f>VLOOKUP(A1553,'4月明細'!B:B,1,0)</f>
        <v>#N/A</v>
      </c>
    </row>
    <row r="1554" spans="1:35" ht="19.95" customHeight="1" x14ac:dyDescent="0.3">
      <c r="A1554" s="33" t="s">
        <v>5463</v>
      </c>
      <c r="B1554" s="34">
        <v>45966.477060185185</v>
      </c>
      <c r="C1554" s="34" t="str">
        <f t="shared" si="37"/>
        <v>202511</v>
      </c>
      <c r="D1554" s="35" t="s">
        <v>996</v>
      </c>
      <c r="E1554" s="36" t="s">
        <v>910</v>
      </c>
      <c r="F1554" s="36" t="s">
        <v>1783</v>
      </c>
      <c r="G1554" s="37" t="s">
        <v>5464</v>
      </c>
      <c r="H1554" s="36" t="s">
        <v>1048</v>
      </c>
      <c r="I1554" s="35"/>
      <c r="J1554" s="36" t="s">
        <v>914</v>
      </c>
      <c r="K1554" s="33" t="s">
        <v>916</v>
      </c>
      <c r="L1554" s="35" t="s">
        <v>916</v>
      </c>
      <c r="M1554" s="36" t="s">
        <v>916</v>
      </c>
      <c r="N1554" s="45">
        <v>46022</v>
      </c>
      <c r="O1554" s="36" t="s">
        <v>25</v>
      </c>
      <c r="P1554" s="38">
        <v>55.522939814799997</v>
      </c>
      <c r="Q1554" s="39" t="s">
        <v>5465</v>
      </c>
      <c r="R1554" s="35" t="s">
        <v>916</v>
      </c>
      <c r="S1554" s="35"/>
      <c r="T1554" s="35" t="s">
        <v>1701</v>
      </c>
      <c r="U1554" s="40">
        <v>45967</v>
      </c>
      <c r="V1554" s="41">
        <v>46153.532939814817</v>
      </c>
      <c r="W1554" s="40">
        <v>45966</v>
      </c>
      <c r="X1554" s="35" t="s">
        <v>916</v>
      </c>
      <c r="Y1554" s="35" t="s">
        <v>916</v>
      </c>
      <c r="Z1554" s="35" t="s">
        <v>916</v>
      </c>
      <c r="AA1554" s="38">
        <v>1332.5505555551999</v>
      </c>
      <c r="AB1554" s="42" t="s">
        <v>916</v>
      </c>
      <c r="AC1554" s="43" t="s">
        <v>916</v>
      </c>
      <c r="AD1554" s="43" t="s">
        <v>916</v>
      </c>
      <c r="AE1554" s="33" t="s">
        <v>3982</v>
      </c>
      <c r="AF1554" s="35" t="s">
        <v>916</v>
      </c>
      <c r="AG1554" s="44">
        <v>489539.44944444438</v>
      </c>
      <c r="AH1554" s="42" t="s">
        <v>916</v>
      </c>
      <c r="AI1554" s="32" t="e">
        <f>VLOOKUP(A1554,'4月明細'!B:B,1,0)</f>
        <v>#N/A</v>
      </c>
    </row>
    <row r="1555" spans="1:35" ht="19.95" customHeight="1" x14ac:dyDescent="0.3">
      <c r="A1555" s="33" t="s">
        <v>5466</v>
      </c>
      <c r="B1555" s="34">
        <v>45966.466111111113</v>
      </c>
      <c r="C1555" s="34" t="str">
        <f t="shared" si="37"/>
        <v>202511</v>
      </c>
      <c r="D1555" s="35" t="s">
        <v>5467</v>
      </c>
      <c r="E1555" s="36" t="s">
        <v>910</v>
      </c>
      <c r="F1555" s="36" t="s">
        <v>1634</v>
      </c>
      <c r="G1555" s="37" t="s">
        <v>5468</v>
      </c>
      <c r="H1555" s="36" t="s">
        <v>4023</v>
      </c>
      <c r="I1555" s="35"/>
      <c r="J1555" s="36" t="s">
        <v>938</v>
      </c>
      <c r="K1555" s="33" t="s">
        <v>916</v>
      </c>
      <c r="L1555" s="35" t="s">
        <v>916</v>
      </c>
      <c r="M1555" s="36" t="s">
        <v>916</v>
      </c>
      <c r="N1555" s="45">
        <v>46022</v>
      </c>
      <c r="O1555" s="36" t="s">
        <v>25</v>
      </c>
      <c r="P1555" s="38">
        <v>55.533888888900002</v>
      </c>
      <c r="Q1555" s="39" t="s">
        <v>5469</v>
      </c>
      <c r="R1555" s="35" t="s">
        <v>916</v>
      </c>
      <c r="S1555" s="35" t="s">
        <v>5470</v>
      </c>
      <c r="T1555" s="35" t="s">
        <v>1701</v>
      </c>
      <c r="U1555" s="40">
        <v>45967</v>
      </c>
      <c r="V1555" s="41">
        <v>46153.532939814817</v>
      </c>
      <c r="W1555" s="40">
        <v>45966</v>
      </c>
      <c r="X1555" s="35" t="s">
        <v>916</v>
      </c>
      <c r="Y1555" s="35" t="s">
        <v>916</v>
      </c>
      <c r="Z1555" s="35" t="s">
        <v>916</v>
      </c>
      <c r="AA1555" s="38">
        <v>1332.8133333336</v>
      </c>
      <c r="AB1555" s="42" t="s">
        <v>916</v>
      </c>
      <c r="AC1555" s="43" t="s">
        <v>916</v>
      </c>
      <c r="AD1555" s="43" t="s">
        <v>916</v>
      </c>
      <c r="AE1555" s="33" t="s">
        <v>3982</v>
      </c>
      <c r="AF1555" s="35" t="s">
        <v>916</v>
      </c>
      <c r="AG1555" s="44">
        <v>489539.1866666667</v>
      </c>
      <c r="AH1555" s="42" t="s">
        <v>916</v>
      </c>
      <c r="AI1555" s="32" t="e">
        <f>VLOOKUP(A1555,'4月明細'!B:B,1,0)</f>
        <v>#N/A</v>
      </c>
    </row>
    <row r="1556" spans="1:35" ht="19.95" customHeight="1" x14ac:dyDescent="0.3">
      <c r="A1556" s="33" t="s">
        <v>5471</v>
      </c>
      <c r="B1556" s="34">
        <v>45966.448425925926</v>
      </c>
      <c r="C1556" s="34" t="str">
        <f t="shared" si="37"/>
        <v>202511</v>
      </c>
      <c r="D1556" s="35" t="s">
        <v>996</v>
      </c>
      <c r="E1556" s="36" t="s">
        <v>910</v>
      </c>
      <c r="F1556" s="36" t="s">
        <v>2225</v>
      </c>
      <c r="G1556" s="37" t="s">
        <v>5472</v>
      </c>
      <c r="H1556" s="36" t="s">
        <v>970</v>
      </c>
      <c r="I1556" s="35" t="s">
        <v>5473</v>
      </c>
      <c r="J1556" s="36" t="s">
        <v>914</v>
      </c>
      <c r="K1556" s="33" t="s">
        <v>916</v>
      </c>
      <c r="L1556" s="35" t="s">
        <v>916</v>
      </c>
      <c r="M1556" s="36" t="s">
        <v>916</v>
      </c>
      <c r="N1556" s="45">
        <v>46022</v>
      </c>
      <c r="O1556" s="36" t="s">
        <v>25</v>
      </c>
      <c r="P1556" s="38">
        <v>55.551574074100003</v>
      </c>
      <c r="Q1556" s="39" t="s">
        <v>5474</v>
      </c>
      <c r="R1556" s="35" t="s">
        <v>916</v>
      </c>
      <c r="S1556" s="35" t="s">
        <v>5475</v>
      </c>
      <c r="T1556" s="35" t="s">
        <v>1701</v>
      </c>
      <c r="U1556" s="40">
        <v>45967</v>
      </c>
      <c r="V1556" s="41">
        <v>46153.532939814817</v>
      </c>
      <c r="W1556" s="40">
        <v>45966</v>
      </c>
      <c r="X1556" s="35" t="s">
        <v>916</v>
      </c>
      <c r="Y1556" s="35" t="s">
        <v>916</v>
      </c>
      <c r="Z1556" s="35" t="s">
        <v>916</v>
      </c>
      <c r="AA1556" s="38">
        <v>1333.2377777784</v>
      </c>
      <c r="AB1556" s="42" t="s">
        <v>916</v>
      </c>
      <c r="AC1556" s="43" t="s">
        <v>916</v>
      </c>
      <c r="AD1556" s="43" t="s">
        <v>916</v>
      </c>
      <c r="AE1556" s="33" t="s">
        <v>3982</v>
      </c>
      <c r="AF1556" s="35" t="s">
        <v>916</v>
      </c>
      <c r="AG1556" s="44">
        <v>489538.76222222223</v>
      </c>
      <c r="AH1556" s="42" t="s">
        <v>916</v>
      </c>
      <c r="AI1556" s="32" t="e">
        <f>VLOOKUP(A1556,'4月明細'!B:B,1,0)</f>
        <v>#N/A</v>
      </c>
    </row>
    <row r="1557" spans="1:35" ht="19.95" customHeight="1" x14ac:dyDescent="0.3">
      <c r="A1557" s="33" t="s">
        <v>5476</v>
      </c>
      <c r="B1557" s="34">
        <v>45965.910856481481</v>
      </c>
      <c r="C1557" s="34" t="str">
        <f t="shared" si="37"/>
        <v>202511</v>
      </c>
      <c r="D1557" s="35" t="s">
        <v>1829</v>
      </c>
      <c r="E1557" s="36" t="s">
        <v>942</v>
      </c>
      <c r="F1557" s="36" t="s">
        <v>2550</v>
      </c>
      <c r="G1557" s="37" t="s">
        <v>2197</v>
      </c>
      <c r="H1557" s="36" t="s">
        <v>956</v>
      </c>
      <c r="I1557" s="35"/>
      <c r="J1557" s="36" t="s">
        <v>945</v>
      </c>
      <c r="K1557" s="33" t="s">
        <v>916</v>
      </c>
      <c r="L1557" s="35" t="s">
        <v>916</v>
      </c>
      <c r="M1557" s="36" t="s">
        <v>916</v>
      </c>
      <c r="N1557" s="45">
        <v>46022</v>
      </c>
      <c r="O1557" s="36" t="s">
        <v>25</v>
      </c>
      <c r="P1557" s="38">
        <v>56.089143518500002</v>
      </c>
      <c r="Q1557" s="39" t="s">
        <v>5477</v>
      </c>
      <c r="R1557" s="35" t="s">
        <v>916</v>
      </c>
      <c r="S1557" s="35"/>
      <c r="T1557" s="35" t="s">
        <v>1701</v>
      </c>
      <c r="U1557" s="40">
        <v>45966</v>
      </c>
      <c r="V1557" s="41">
        <v>46153.532939814817</v>
      </c>
      <c r="W1557" s="40">
        <v>45966</v>
      </c>
      <c r="X1557" s="35" t="s">
        <v>916</v>
      </c>
      <c r="Y1557" s="35" t="s">
        <v>916</v>
      </c>
      <c r="Z1557" s="35" t="s">
        <v>916</v>
      </c>
      <c r="AA1557" s="38">
        <v>1346.139444444</v>
      </c>
      <c r="AB1557" s="42" t="s">
        <v>916</v>
      </c>
      <c r="AC1557" s="43" t="s">
        <v>916</v>
      </c>
      <c r="AD1557" s="43" t="s">
        <v>916</v>
      </c>
      <c r="AE1557" s="33" t="s">
        <v>3982</v>
      </c>
      <c r="AF1557" s="35" t="s">
        <v>916</v>
      </c>
      <c r="AG1557" s="44">
        <v>489525.86055555561</v>
      </c>
      <c r="AH1557" s="42" t="s">
        <v>916</v>
      </c>
      <c r="AI1557" s="32" t="e">
        <f>VLOOKUP(A1557,'4月明細'!B:B,1,0)</f>
        <v>#N/A</v>
      </c>
    </row>
    <row r="1558" spans="1:35" ht="19.95" customHeight="1" x14ac:dyDescent="0.3">
      <c r="A1558" s="33" t="s">
        <v>5478</v>
      </c>
      <c r="B1558" s="34">
        <v>45965.641423611109</v>
      </c>
      <c r="C1558" s="34" t="str">
        <f t="shared" si="37"/>
        <v>202511</v>
      </c>
      <c r="D1558" s="35" t="s">
        <v>5467</v>
      </c>
      <c r="E1558" s="36" t="s">
        <v>910</v>
      </c>
      <c r="F1558" s="36" t="s">
        <v>1141</v>
      </c>
      <c r="G1558" s="37" t="s">
        <v>5479</v>
      </c>
      <c r="H1558" s="36" t="s">
        <v>4157</v>
      </c>
      <c r="I1558" s="35"/>
      <c r="J1558" s="36" t="s">
        <v>914</v>
      </c>
      <c r="K1558" s="33" t="s">
        <v>916</v>
      </c>
      <c r="L1558" s="35" t="s">
        <v>916</v>
      </c>
      <c r="M1558" s="36" t="s">
        <v>916</v>
      </c>
      <c r="N1558" s="45">
        <v>46022</v>
      </c>
      <c r="O1558" s="36" t="s">
        <v>25</v>
      </c>
      <c r="P1558" s="38">
        <v>56.358576388899998</v>
      </c>
      <c r="Q1558" s="39" t="s">
        <v>5480</v>
      </c>
      <c r="R1558" s="35" t="s">
        <v>916</v>
      </c>
      <c r="S1558" s="35"/>
      <c r="T1558" s="35" t="s">
        <v>1701</v>
      </c>
      <c r="U1558" s="40">
        <v>45966</v>
      </c>
      <c r="V1558" s="41">
        <v>46153.532939814817</v>
      </c>
      <c r="W1558" s="40">
        <v>45965</v>
      </c>
      <c r="X1558" s="35" t="s">
        <v>916</v>
      </c>
      <c r="Y1558" s="35" t="s">
        <v>916</v>
      </c>
      <c r="Z1558" s="35" t="s">
        <v>916</v>
      </c>
      <c r="AA1558" s="38">
        <v>1352.6058333336</v>
      </c>
      <c r="AB1558" s="42" t="s">
        <v>916</v>
      </c>
      <c r="AC1558" s="43" t="s">
        <v>916</v>
      </c>
      <c r="AD1558" s="43" t="s">
        <v>916</v>
      </c>
      <c r="AE1558" s="33" t="s">
        <v>3982</v>
      </c>
      <c r="AF1558" s="35" t="s">
        <v>916</v>
      </c>
      <c r="AG1558" s="44">
        <v>489519.39416666672</v>
      </c>
      <c r="AH1558" s="42" t="s">
        <v>916</v>
      </c>
      <c r="AI1558" s="32" t="e">
        <f>VLOOKUP(A1558,'4月明細'!B:B,1,0)</f>
        <v>#N/A</v>
      </c>
    </row>
    <row r="1559" spans="1:35" ht="19.95" customHeight="1" x14ac:dyDescent="0.3">
      <c r="A1559" s="33" t="s">
        <v>5481</v>
      </c>
      <c r="B1559" s="34">
        <v>45965.483171296299</v>
      </c>
      <c r="C1559" s="34" t="str">
        <f t="shared" si="37"/>
        <v>202511</v>
      </c>
      <c r="D1559" s="35" t="s">
        <v>1856</v>
      </c>
      <c r="E1559" s="36" t="s">
        <v>942</v>
      </c>
      <c r="F1559" s="36" t="s">
        <v>1924</v>
      </c>
      <c r="G1559" s="37" t="s">
        <v>5482</v>
      </c>
      <c r="H1559" s="36" t="s">
        <v>1184</v>
      </c>
      <c r="I1559" s="35"/>
      <c r="J1559" s="36" t="s">
        <v>929</v>
      </c>
      <c r="K1559" s="33" t="s">
        <v>916</v>
      </c>
      <c r="L1559" s="35" t="s">
        <v>916</v>
      </c>
      <c r="M1559" s="36" t="s">
        <v>916</v>
      </c>
      <c r="N1559" s="45">
        <v>46022</v>
      </c>
      <c r="O1559" s="36" t="s">
        <v>25</v>
      </c>
      <c r="P1559" s="38">
        <v>56.5168287037</v>
      </c>
      <c r="Q1559" s="39" t="s">
        <v>5483</v>
      </c>
      <c r="R1559" s="35" t="s">
        <v>916</v>
      </c>
      <c r="S1559" s="35" t="s">
        <v>5484</v>
      </c>
      <c r="T1559" s="35" t="s">
        <v>1701</v>
      </c>
      <c r="U1559" s="40">
        <v>45966</v>
      </c>
      <c r="V1559" s="41">
        <v>46153.532939814817</v>
      </c>
      <c r="W1559" s="40">
        <v>45965</v>
      </c>
      <c r="X1559" s="35" t="s">
        <v>916</v>
      </c>
      <c r="Y1559" s="35" t="s">
        <v>916</v>
      </c>
      <c r="Z1559" s="35" t="s">
        <v>916</v>
      </c>
      <c r="AA1559" s="38">
        <v>1356.4038888888001</v>
      </c>
      <c r="AB1559" s="42" t="s">
        <v>916</v>
      </c>
      <c r="AC1559" s="43" t="s">
        <v>916</v>
      </c>
      <c r="AD1559" s="43" t="s">
        <v>916</v>
      </c>
      <c r="AE1559" s="33" t="s">
        <v>3982</v>
      </c>
      <c r="AF1559" s="35" t="s">
        <v>916</v>
      </c>
      <c r="AG1559" s="44">
        <v>489515.59611111123</v>
      </c>
      <c r="AH1559" s="42" t="s">
        <v>916</v>
      </c>
      <c r="AI1559" s="32" t="e">
        <f>VLOOKUP(A1559,'4月明細'!B:B,1,0)</f>
        <v>#N/A</v>
      </c>
    </row>
    <row r="1560" spans="1:35" ht="19.95" customHeight="1" x14ac:dyDescent="0.3">
      <c r="A1560" s="33" t="s">
        <v>5485</v>
      </c>
      <c r="B1560" s="34">
        <v>45965.443842592591</v>
      </c>
      <c r="C1560" s="34" t="str">
        <f t="shared" si="37"/>
        <v>202511</v>
      </c>
      <c r="D1560" s="35" t="s">
        <v>951</v>
      </c>
      <c r="E1560" s="36" t="s">
        <v>910</v>
      </c>
      <c r="F1560" s="36" t="s">
        <v>1222</v>
      </c>
      <c r="G1560" s="37" t="s">
        <v>5486</v>
      </c>
      <c r="H1560" s="36" t="s">
        <v>4023</v>
      </c>
      <c r="I1560" s="35"/>
      <c r="J1560" s="36" t="s">
        <v>1058</v>
      </c>
      <c r="K1560" s="33" t="s">
        <v>916</v>
      </c>
      <c r="L1560" s="35" t="s">
        <v>916</v>
      </c>
      <c r="M1560" s="36" t="s">
        <v>916</v>
      </c>
      <c r="N1560" s="45">
        <v>46022</v>
      </c>
      <c r="O1560" s="36" t="s">
        <v>25</v>
      </c>
      <c r="P1560" s="38">
        <v>56.556157407400001</v>
      </c>
      <c r="Q1560" s="39" t="s">
        <v>4388</v>
      </c>
      <c r="R1560" s="35" t="s">
        <v>916</v>
      </c>
      <c r="S1560" s="35" t="s">
        <v>5487</v>
      </c>
      <c r="T1560" s="35" t="s">
        <v>1701</v>
      </c>
      <c r="U1560" s="40">
        <v>45966</v>
      </c>
      <c r="V1560" s="41">
        <v>46153.532939814817</v>
      </c>
      <c r="W1560" s="40">
        <v>45965</v>
      </c>
      <c r="X1560" s="35" t="s">
        <v>916</v>
      </c>
      <c r="Y1560" s="35" t="s">
        <v>916</v>
      </c>
      <c r="Z1560" s="35" t="s">
        <v>916</v>
      </c>
      <c r="AA1560" s="38">
        <v>1357.3477777776</v>
      </c>
      <c r="AB1560" s="42" t="s">
        <v>916</v>
      </c>
      <c r="AC1560" s="43" t="s">
        <v>916</v>
      </c>
      <c r="AD1560" s="43" t="s">
        <v>916</v>
      </c>
      <c r="AE1560" s="33" t="s">
        <v>3982</v>
      </c>
      <c r="AF1560" s="35" t="s">
        <v>916</v>
      </c>
      <c r="AG1560" s="44">
        <v>489514.6522222223</v>
      </c>
      <c r="AH1560" s="42" t="s">
        <v>916</v>
      </c>
      <c r="AI1560" s="32" t="e">
        <f>VLOOKUP(A1560,'4月明細'!B:B,1,0)</f>
        <v>#N/A</v>
      </c>
    </row>
    <row r="1561" spans="1:35" ht="19.95" customHeight="1" x14ac:dyDescent="0.3">
      <c r="A1561" s="33" t="s">
        <v>5488</v>
      </c>
      <c r="B1561" s="34">
        <v>45965.253067129626</v>
      </c>
      <c r="C1561" s="34" t="str">
        <f t="shared" si="37"/>
        <v>202511</v>
      </c>
      <c r="D1561" s="35" t="s">
        <v>1217</v>
      </c>
      <c r="E1561" s="36" t="s">
        <v>942</v>
      </c>
      <c r="F1561" s="36" t="s">
        <v>1475</v>
      </c>
      <c r="G1561" s="37" t="s">
        <v>5489</v>
      </c>
      <c r="H1561" s="36" t="s">
        <v>4185</v>
      </c>
      <c r="I1561" s="35"/>
      <c r="J1561" s="36" t="s">
        <v>1058</v>
      </c>
      <c r="K1561" s="33" t="s">
        <v>916</v>
      </c>
      <c r="L1561" s="35" t="s">
        <v>916</v>
      </c>
      <c r="M1561" s="36" t="s">
        <v>916</v>
      </c>
      <c r="N1561" s="45">
        <v>46022</v>
      </c>
      <c r="O1561" s="36" t="s">
        <v>25</v>
      </c>
      <c r="P1561" s="38">
        <v>56.746932870400002</v>
      </c>
      <c r="Q1561" s="39" t="s">
        <v>5490</v>
      </c>
      <c r="R1561" s="35" t="s">
        <v>916</v>
      </c>
      <c r="S1561" s="35"/>
      <c r="T1561" s="35" t="s">
        <v>1701</v>
      </c>
      <c r="U1561" s="40">
        <v>45966</v>
      </c>
      <c r="V1561" s="41">
        <v>46153.532939814817</v>
      </c>
      <c r="W1561" s="40">
        <v>45965</v>
      </c>
      <c r="X1561" s="35" t="s">
        <v>916</v>
      </c>
      <c r="Y1561" s="35" t="s">
        <v>916</v>
      </c>
      <c r="Z1561" s="35" t="s">
        <v>916</v>
      </c>
      <c r="AA1561" s="38">
        <v>1361.9263888896</v>
      </c>
      <c r="AB1561" s="42" t="s">
        <v>916</v>
      </c>
      <c r="AC1561" s="43" t="s">
        <v>916</v>
      </c>
      <c r="AD1561" s="43" t="s">
        <v>916</v>
      </c>
      <c r="AE1561" s="33" t="s">
        <v>3982</v>
      </c>
      <c r="AF1561" s="35" t="s">
        <v>916</v>
      </c>
      <c r="AG1561" s="44">
        <v>489510.07361111109</v>
      </c>
      <c r="AH1561" s="42" t="s">
        <v>916</v>
      </c>
      <c r="AI1561" s="32" t="e">
        <f>VLOOKUP(A1561,'4月明細'!B:B,1,0)</f>
        <v>#N/A</v>
      </c>
    </row>
    <row r="1562" spans="1:35" ht="19.95" customHeight="1" x14ac:dyDescent="0.3">
      <c r="A1562" s="33" t="s">
        <v>5491</v>
      </c>
      <c r="B1562" s="34">
        <v>45964.744976851849</v>
      </c>
      <c r="C1562" s="34" t="str">
        <f t="shared" si="37"/>
        <v>202511</v>
      </c>
      <c r="D1562" s="35" t="s">
        <v>951</v>
      </c>
      <c r="E1562" s="36" t="s">
        <v>910</v>
      </c>
      <c r="F1562" s="36" t="s">
        <v>952</v>
      </c>
      <c r="G1562" s="37" t="s">
        <v>5492</v>
      </c>
      <c r="H1562" s="36" t="s">
        <v>970</v>
      </c>
      <c r="I1562" s="35" t="s">
        <v>5493</v>
      </c>
      <c r="J1562" s="36" t="s">
        <v>914</v>
      </c>
      <c r="K1562" s="33" t="s">
        <v>916</v>
      </c>
      <c r="L1562" s="35" t="s">
        <v>916</v>
      </c>
      <c r="M1562" s="36" t="s">
        <v>916</v>
      </c>
      <c r="N1562" s="45">
        <v>46022</v>
      </c>
      <c r="O1562" s="36" t="s">
        <v>25</v>
      </c>
      <c r="P1562" s="38">
        <v>57.255023148100001</v>
      </c>
      <c r="Q1562" s="39" t="s">
        <v>5494</v>
      </c>
      <c r="R1562" s="35" t="s">
        <v>916</v>
      </c>
      <c r="S1562" s="35" t="s">
        <v>5495</v>
      </c>
      <c r="T1562" s="35" t="s">
        <v>1701</v>
      </c>
      <c r="U1562" s="40">
        <v>45965</v>
      </c>
      <c r="V1562" s="41">
        <v>46153.532939814817</v>
      </c>
      <c r="W1562" s="40">
        <v>45964</v>
      </c>
      <c r="X1562" s="35" t="s">
        <v>916</v>
      </c>
      <c r="Y1562" s="35" t="s">
        <v>916</v>
      </c>
      <c r="Z1562" s="35" t="s">
        <v>916</v>
      </c>
      <c r="AA1562" s="38">
        <v>1374.1205555544</v>
      </c>
      <c r="AB1562" s="42" t="s">
        <v>916</v>
      </c>
      <c r="AC1562" s="43" t="s">
        <v>916</v>
      </c>
      <c r="AD1562" s="43" t="s">
        <v>916</v>
      </c>
      <c r="AE1562" s="33" t="s">
        <v>3982</v>
      </c>
      <c r="AF1562" s="35" t="s">
        <v>916</v>
      </c>
      <c r="AG1562" s="44">
        <v>489497.87944444438</v>
      </c>
      <c r="AH1562" s="42" t="s">
        <v>916</v>
      </c>
      <c r="AI1562" s="32" t="e">
        <f>VLOOKUP(A1562,'4月明細'!B:B,1,0)</f>
        <v>#N/A</v>
      </c>
    </row>
    <row r="1563" spans="1:35" ht="19.95" customHeight="1" x14ac:dyDescent="0.3">
      <c r="A1563" s="33" t="s">
        <v>5496</v>
      </c>
      <c r="B1563" s="34">
        <v>45964.623506944445</v>
      </c>
      <c r="C1563" s="34" t="str">
        <f t="shared" si="37"/>
        <v>202511</v>
      </c>
      <c r="D1563" s="35" t="s">
        <v>2278</v>
      </c>
      <c r="E1563" s="36" t="s">
        <v>910</v>
      </c>
      <c r="F1563" s="36" t="s">
        <v>1479</v>
      </c>
      <c r="G1563" s="37" t="s">
        <v>5497</v>
      </c>
      <c r="H1563" s="36" t="s">
        <v>970</v>
      </c>
      <c r="I1563" s="35" t="s">
        <v>5498</v>
      </c>
      <c r="J1563" s="36" t="s">
        <v>914</v>
      </c>
      <c r="K1563" s="33" t="s">
        <v>916</v>
      </c>
      <c r="L1563" s="35" t="s">
        <v>916</v>
      </c>
      <c r="M1563" s="36" t="s">
        <v>916</v>
      </c>
      <c r="N1563" s="45">
        <v>46022</v>
      </c>
      <c r="O1563" s="36" t="s">
        <v>25</v>
      </c>
      <c r="P1563" s="38">
        <v>57.376493055600001</v>
      </c>
      <c r="Q1563" s="39" t="s">
        <v>5499</v>
      </c>
      <c r="R1563" s="35" t="s">
        <v>916</v>
      </c>
      <c r="S1563" s="35"/>
      <c r="T1563" s="35" t="s">
        <v>1701</v>
      </c>
      <c r="U1563" s="40">
        <v>45965</v>
      </c>
      <c r="V1563" s="41">
        <v>46153.532939814817</v>
      </c>
      <c r="W1563" s="40">
        <v>45964</v>
      </c>
      <c r="X1563" s="35" t="s">
        <v>916</v>
      </c>
      <c r="Y1563" s="35" t="s">
        <v>916</v>
      </c>
      <c r="Z1563" s="35" t="s">
        <v>916</v>
      </c>
      <c r="AA1563" s="38">
        <v>1377.0358333344</v>
      </c>
      <c r="AB1563" s="42" t="s">
        <v>916</v>
      </c>
      <c r="AC1563" s="43" t="s">
        <v>916</v>
      </c>
      <c r="AD1563" s="43" t="s">
        <v>916</v>
      </c>
      <c r="AE1563" s="33" t="s">
        <v>3982</v>
      </c>
      <c r="AF1563" s="35" t="s">
        <v>916</v>
      </c>
      <c r="AG1563" s="44">
        <v>489494.96416666667</v>
      </c>
      <c r="AH1563" s="42" t="s">
        <v>916</v>
      </c>
      <c r="AI1563" s="32" t="e">
        <f>VLOOKUP(A1563,'4月明細'!B:B,1,0)</f>
        <v>#N/A</v>
      </c>
    </row>
    <row r="1564" spans="1:35" ht="19.95" customHeight="1" x14ac:dyDescent="0.3">
      <c r="A1564" s="33" t="s">
        <v>5500</v>
      </c>
      <c r="B1564" s="34">
        <v>45964.571932870371</v>
      </c>
      <c r="C1564" s="34" t="str">
        <f t="shared" si="37"/>
        <v>202511</v>
      </c>
      <c r="D1564" s="35" t="s">
        <v>1856</v>
      </c>
      <c r="E1564" s="36" t="s">
        <v>942</v>
      </c>
      <c r="F1564" s="36" t="s">
        <v>1634</v>
      </c>
      <c r="G1564" s="37" t="s">
        <v>5501</v>
      </c>
      <c r="H1564" s="36" t="s">
        <v>956</v>
      </c>
      <c r="I1564" s="35"/>
      <c r="J1564" s="36" t="s">
        <v>945</v>
      </c>
      <c r="K1564" s="33" t="s">
        <v>916</v>
      </c>
      <c r="L1564" s="35" t="s">
        <v>916</v>
      </c>
      <c r="M1564" s="36" t="s">
        <v>916</v>
      </c>
      <c r="N1564" s="45">
        <v>46022</v>
      </c>
      <c r="O1564" s="36" t="s">
        <v>25</v>
      </c>
      <c r="P1564" s="38">
        <v>57.428067129600002</v>
      </c>
      <c r="Q1564" s="39" t="s">
        <v>5502</v>
      </c>
      <c r="R1564" s="35" t="s">
        <v>916</v>
      </c>
      <c r="S1564" s="35"/>
      <c r="T1564" s="35" t="s">
        <v>1701</v>
      </c>
      <c r="U1564" s="40">
        <v>45965</v>
      </c>
      <c r="V1564" s="41">
        <v>46153.532939814817</v>
      </c>
      <c r="W1564" s="40">
        <v>45964</v>
      </c>
      <c r="X1564" s="35" t="s">
        <v>916</v>
      </c>
      <c r="Y1564" s="35" t="s">
        <v>916</v>
      </c>
      <c r="Z1564" s="35" t="s">
        <v>916</v>
      </c>
      <c r="AA1564" s="38">
        <v>1378.2736111104</v>
      </c>
      <c r="AB1564" s="42" t="s">
        <v>916</v>
      </c>
      <c r="AC1564" s="43" t="s">
        <v>916</v>
      </c>
      <c r="AD1564" s="43" t="s">
        <v>916</v>
      </c>
      <c r="AE1564" s="33" t="s">
        <v>3982</v>
      </c>
      <c r="AF1564" s="35" t="s">
        <v>916</v>
      </c>
      <c r="AG1564" s="44">
        <v>489493.7263888889</v>
      </c>
      <c r="AH1564" s="42" t="s">
        <v>916</v>
      </c>
      <c r="AI1564" s="32" t="e">
        <f>VLOOKUP(A1564,'4月明細'!B:B,1,0)</f>
        <v>#N/A</v>
      </c>
    </row>
    <row r="1565" spans="1:35" ht="19.95" customHeight="1" x14ac:dyDescent="0.3">
      <c r="A1565" s="33" t="s">
        <v>5503</v>
      </c>
      <c r="B1565" s="34">
        <v>45964.505335648151</v>
      </c>
      <c r="C1565" s="34" t="str">
        <f t="shared" si="37"/>
        <v>202511</v>
      </c>
      <c r="D1565" s="35" t="s">
        <v>5467</v>
      </c>
      <c r="E1565" s="36" t="s">
        <v>910</v>
      </c>
      <c r="F1565" s="36" t="s">
        <v>1568</v>
      </c>
      <c r="G1565" s="37" t="s">
        <v>5504</v>
      </c>
      <c r="H1565" s="36" t="s">
        <v>1043</v>
      </c>
      <c r="I1565" s="35"/>
      <c r="J1565" s="36" t="s">
        <v>914</v>
      </c>
      <c r="K1565" s="33" t="s">
        <v>916</v>
      </c>
      <c r="L1565" s="35" t="s">
        <v>916</v>
      </c>
      <c r="M1565" s="36" t="s">
        <v>916</v>
      </c>
      <c r="N1565" s="45">
        <v>46022</v>
      </c>
      <c r="O1565" s="36" t="s">
        <v>25</v>
      </c>
      <c r="P1565" s="38">
        <v>57.494664351899999</v>
      </c>
      <c r="Q1565" s="39" t="s">
        <v>5505</v>
      </c>
      <c r="R1565" s="35" t="s">
        <v>916</v>
      </c>
      <c r="S1565" s="35" t="s">
        <v>5506</v>
      </c>
      <c r="T1565" s="35" t="s">
        <v>1701</v>
      </c>
      <c r="U1565" s="40">
        <v>45965</v>
      </c>
      <c r="V1565" s="41">
        <v>46153.532939814817</v>
      </c>
      <c r="W1565" s="40">
        <v>45964</v>
      </c>
      <c r="X1565" s="35" t="s">
        <v>916</v>
      </c>
      <c r="Y1565" s="35" t="s">
        <v>916</v>
      </c>
      <c r="Z1565" s="35" t="s">
        <v>916</v>
      </c>
      <c r="AA1565" s="38">
        <v>1379.8719444456001</v>
      </c>
      <c r="AB1565" s="42" t="s">
        <v>916</v>
      </c>
      <c r="AC1565" s="43" t="s">
        <v>916</v>
      </c>
      <c r="AD1565" s="43" t="s">
        <v>916</v>
      </c>
      <c r="AE1565" s="33" t="s">
        <v>3982</v>
      </c>
      <c r="AF1565" s="35" t="s">
        <v>916</v>
      </c>
      <c r="AG1565" s="44">
        <v>489492.12805555551</v>
      </c>
      <c r="AH1565" s="42" t="s">
        <v>916</v>
      </c>
      <c r="AI1565" s="32" t="e">
        <f>VLOOKUP(A1565,'4月明細'!B:B,1,0)</f>
        <v>#N/A</v>
      </c>
    </row>
    <row r="1566" spans="1:35" ht="19.95" customHeight="1" x14ac:dyDescent="0.3">
      <c r="A1566" s="33" t="s">
        <v>5507</v>
      </c>
      <c r="B1566" s="34">
        <v>45964.3124537037</v>
      </c>
      <c r="C1566" s="34" t="str">
        <f t="shared" si="37"/>
        <v>202511</v>
      </c>
      <c r="D1566" s="35" t="s">
        <v>1217</v>
      </c>
      <c r="E1566" s="36" t="s">
        <v>1112</v>
      </c>
      <c r="F1566" s="36" t="s">
        <v>1150</v>
      </c>
      <c r="G1566" s="37" t="s">
        <v>5508</v>
      </c>
      <c r="H1566" s="36" t="s">
        <v>1352</v>
      </c>
      <c r="I1566" s="35"/>
      <c r="J1566" s="36" t="s">
        <v>938</v>
      </c>
      <c r="K1566" s="33" t="s">
        <v>916</v>
      </c>
      <c r="L1566" s="35" t="s">
        <v>916</v>
      </c>
      <c r="M1566" s="36" t="s">
        <v>916</v>
      </c>
      <c r="N1566" s="45">
        <v>46022</v>
      </c>
      <c r="O1566" s="36" t="s">
        <v>25</v>
      </c>
      <c r="P1566" s="38">
        <v>57.687546296299999</v>
      </c>
      <c r="Q1566" s="39" t="s">
        <v>5509</v>
      </c>
      <c r="R1566" s="35" t="s">
        <v>916</v>
      </c>
      <c r="S1566" s="35" t="s">
        <v>5510</v>
      </c>
      <c r="T1566" s="35" t="s">
        <v>1701</v>
      </c>
      <c r="U1566" s="40">
        <v>45965</v>
      </c>
      <c r="V1566" s="41">
        <v>46153.532939814817</v>
      </c>
      <c r="W1566" s="40">
        <v>45964</v>
      </c>
      <c r="X1566" s="35" t="s">
        <v>916</v>
      </c>
      <c r="Y1566" s="35" t="s">
        <v>916</v>
      </c>
      <c r="Z1566" s="35" t="s">
        <v>916</v>
      </c>
      <c r="AA1566" s="38">
        <v>1384.5011111112001</v>
      </c>
      <c r="AB1566" s="42" t="s">
        <v>916</v>
      </c>
      <c r="AC1566" s="43" t="s">
        <v>916</v>
      </c>
      <c r="AD1566" s="43" t="s">
        <v>916</v>
      </c>
      <c r="AE1566" s="33" t="s">
        <v>3982</v>
      </c>
      <c r="AF1566" s="35" t="s">
        <v>916</v>
      </c>
      <c r="AG1566" s="44">
        <v>489487.49888888892</v>
      </c>
      <c r="AH1566" s="42" t="s">
        <v>916</v>
      </c>
      <c r="AI1566" s="32" t="e">
        <f>VLOOKUP(A1566,'4月明細'!B:B,1,0)</f>
        <v>#N/A</v>
      </c>
    </row>
    <row r="1567" spans="1:35" ht="19.95" customHeight="1" x14ac:dyDescent="0.3">
      <c r="A1567" s="33" t="s">
        <v>5511</v>
      </c>
      <c r="B1567" s="34">
        <v>45963.731770833336</v>
      </c>
      <c r="C1567" s="34" t="str">
        <f t="shared" si="37"/>
        <v>202511</v>
      </c>
      <c r="D1567" s="35" t="s">
        <v>5512</v>
      </c>
      <c r="E1567" s="36" t="s">
        <v>1199</v>
      </c>
      <c r="F1567" s="36" t="s">
        <v>2529</v>
      </c>
      <c r="G1567" s="37" t="s">
        <v>5513</v>
      </c>
      <c r="H1567" s="36" t="s">
        <v>4065</v>
      </c>
      <c r="I1567" s="35" t="s">
        <v>5514</v>
      </c>
      <c r="J1567" s="36" t="s">
        <v>938</v>
      </c>
      <c r="K1567" s="33" t="s">
        <v>916</v>
      </c>
      <c r="L1567" s="35" t="s">
        <v>916</v>
      </c>
      <c r="M1567" s="36" t="s">
        <v>916</v>
      </c>
      <c r="N1567" s="45">
        <v>46022</v>
      </c>
      <c r="O1567" s="36" t="s">
        <v>25</v>
      </c>
      <c r="P1567" s="38">
        <v>58.268229166700003</v>
      </c>
      <c r="Q1567" s="39" t="s">
        <v>5515</v>
      </c>
      <c r="R1567" s="35" t="s">
        <v>916</v>
      </c>
      <c r="S1567" s="35" t="s">
        <v>5516</v>
      </c>
      <c r="T1567" s="35" t="s">
        <v>1701</v>
      </c>
      <c r="U1567" s="40">
        <v>45964</v>
      </c>
      <c r="V1567" s="41">
        <v>46153.532939814817</v>
      </c>
      <c r="W1567" s="40">
        <v>45963</v>
      </c>
      <c r="X1567" s="35" t="s">
        <v>916</v>
      </c>
      <c r="Y1567" s="35" t="s">
        <v>916</v>
      </c>
      <c r="Z1567" s="35" t="s">
        <v>916</v>
      </c>
      <c r="AA1567" s="38">
        <v>1398.4375000007999</v>
      </c>
      <c r="AB1567" s="42" t="s">
        <v>916</v>
      </c>
      <c r="AC1567" s="43" t="s">
        <v>916</v>
      </c>
      <c r="AD1567" s="43" t="s">
        <v>916</v>
      </c>
      <c r="AE1567" s="33" t="s">
        <v>3982</v>
      </c>
      <c r="AF1567" s="35" t="s">
        <v>916</v>
      </c>
      <c r="AG1567" s="44">
        <v>489473.56250000012</v>
      </c>
      <c r="AH1567" s="42" t="s">
        <v>916</v>
      </c>
      <c r="AI1567" s="32" t="e">
        <f>VLOOKUP(A1567,'4月明細'!B:B,1,0)</f>
        <v>#N/A</v>
      </c>
    </row>
    <row r="1568" spans="1:35" ht="19.95" customHeight="1" x14ac:dyDescent="0.3">
      <c r="A1568" s="33" t="s">
        <v>5517</v>
      </c>
      <c r="B1568" s="34">
        <v>45963.712476851855</v>
      </c>
      <c r="C1568" s="34" t="str">
        <f t="shared" si="37"/>
        <v>202511</v>
      </c>
      <c r="D1568" s="35" t="s">
        <v>909</v>
      </c>
      <c r="E1568" s="36" t="s">
        <v>910</v>
      </c>
      <c r="F1568" s="36" t="s">
        <v>1672</v>
      </c>
      <c r="G1568" s="37" t="s">
        <v>5518</v>
      </c>
      <c r="H1568" s="36" t="s">
        <v>1184</v>
      </c>
      <c r="I1568" s="35" t="s">
        <v>5519</v>
      </c>
      <c r="J1568" s="36" t="s">
        <v>914</v>
      </c>
      <c r="K1568" s="33" t="s">
        <v>916</v>
      </c>
      <c r="L1568" s="35" t="s">
        <v>916</v>
      </c>
      <c r="M1568" s="36" t="s">
        <v>916</v>
      </c>
      <c r="N1568" s="45">
        <v>46022</v>
      </c>
      <c r="O1568" s="36" t="s">
        <v>25</v>
      </c>
      <c r="P1568" s="38">
        <v>58.2875231481</v>
      </c>
      <c r="Q1568" s="39" t="s">
        <v>5520</v>
      </c>
      <c r="R1568" s="35" t="s">
        <v>916</v>
      </c>
      <c r="S1568" s="35" t="s">
        <v>5521</v>
      </c>
      <c r="T1568" s="35" t="s">
        <v>1701</v>
      </c>
      <c r="U1568" s="40">
        <v>45964</v>
      </c>
      <c r="V1568" s="41">
        <v>46153.532939814817</v>
      </c>
      <c r="W1568" s="40">
        <v>45963</v>
      </c>
      <c r="X1568" s="35" t="s">
        <v>916</v>
      </c>
      <c r="Y1568" s="35" t="s">
        <v>916</v>
      </c>
      <c r="Z1568" s="35" t="s">
        <v>916</v>
      </c>
      <c r="AA1568" s="38">
        <v>1398.9005555543999</v>
      </c>
      <c r="AB1568" s="42" t="s">
        <v>916</v>
      </c>
      <c r="AC1568" s="43" t="s">
        <v>916</v>
      </c>
      <c r="AD1568" s="43" t="s">
        <v>916</v>
      </c>
      <c r="AE1568" s="33" t="s">
        <v>3982</v>
      </c>
      <c r="AF1568" s="35" t="s">
        <v>916</v>
      </c>
      <c r="AG1568" s="44">
        <v>489473.09944444441</v>
      </c>
      <c r="AH1568" s="42" t="s">
        <v>916</v>
      </c>
      <c r="AI1568" s="32" t="e">
        <f>VLOOKUP(A1568,'4月明細'!B:B,1,0)</f>
        <v>#N/A</v>
      </c>
    </row>
    <row r="1569" spans="1:35" ht="19.95" customHeight="1" x14ac:dyDescent="0.3">
      <c r="A1569" s="33" t="s">
        <v>5522</v>
      </c>
      <c r="B1569" s="34">
        <v>45963.696863425925</v>
      </c>
      <c r="C1569" s="34" t="str">
        <f t="shared" si="37"/>
        <v>202511</v>
      </c>
      <c r="D1569" s="35" t="s">
        <v>996</v>
      </c>
      <c r="E1569" s="36" t="s">
        <v>910</v>
      </c>
      <c r="F1569" s="36" t="s">
        <v>1304</v>
      </c>
      <c r="G1569" s="37" t="s">
        <v>5523</v>
      </c>
      <c r="H1569" s="36" t="s">
        <v>4157</v>
      </c>
      <c r="I1569" s="35" t="s">
        <v>5524</v>
      </c>
      <c r="J1569" s="36" t="s">
        <v>914</v>
      </c>
      <c r="K1569" s="33" t="s">
        <v>916</v>
      </c>
      <c r="L1569" s="35" t="s">
        <v>916</v>
      </c>
      <c r="M1569" s="36" t="s">
        <v>916</v>
      </c>
      <c r="N1569" s="45">
        <v>46022</v>
      </c>
      <c r="O1569" s="36" t="s">
        <v>25</v>
      </c>
      <c r="P1569" s="38">
        <v>58.303136574100002</v>
      </c>
      <c r="Q1569" s="39" t="s">
        <v>5525</v>
      </c>
      <c r="R1569" s="35" t="s">
        <v>916</v>
      </c>
      <c r="S1569" s="35" t="s">
        <v>5526</v>
      </c>
      <c r="T1569" s="35" t="s">
        <v>1701</v>
      </c>
      <c r="U1569" s="40">
        <v>45964</v>
      </c>
      <c r="V1569" s="41">
        <v>46153.532939814817</v>
      </c>
      <c r="W1569" s="40">
        <v>45963</v>
      </c>
      <c r="X1569" s="35" t="s">
        <v>916</v>
      </c>
      <c r="Y1569" s="35" t="s">
        <v>916</v>
      </c>
      <c r="Z1569" s="35" t="s">
        <v>916</v>
      </c>
      <c r="AA1569" s="38">
        <v>1399.2752777784001</v>
      </c>
      <c r="AB1569" s="42" t="s">
        <v>916</v>
      </c>
      <c r="AC1569" s="43" t="s">
        <v>916</v>
      </c>
      <c r="AD1569" s="43" t="s">
        <v>916</v>
      </c>
      <c r="AE1569" s="33" t="s">
        <v>3982</v>
      </c>
      <c r="AF1569" s="35" t="s">
        <v>916</v>
      </c>
      <c r="AG1569" s="44">
        <v>489472.72472222219</v>
      </c>
      <c r="AH1569" s="42" t="s">
        <v>916</v>
      </c>
      <c r="AI1569" s="32" t="e">
        <f>VLOOKUP(A1569,'4月明細'!B:B,1,0)</f>
        <v>#N/A</v>
      </c>
    </row>
    <row r="1570" spans="1:35" ht="19.95" customHeight="1" x14ac:dyDescent="0.3">
      <c r="A1570" s="33" t="s">
        <v>5527</v>
      </c>
      <c r="B1570" s="34">
        <v>45963.621747685182</v>
      </c>
      <c r="C1570" s="34" t="str">
        <f t="shared" si="37"/>
        <v>202511</v>
      </c>
      <c r="D1570" s="35" t="s">
        <v>909</v>
      </c>
      <c r="E1570" s="36" t="s">
        <v>910</v>
      </c>
      <c r="F1570" s="36" t="s">
        <v>1064</v>
      </c>
      <c r="G1570" s="37" t="s">
        <v>5528</v>
      </c>
      <c r="H1570" s="36" t="s">
        <v>4162</v>
      </c>
      <c r="I1570" s="35" t="s">
        <v>5529</v>
      </c>
      <c r="J1570" s="36" t="s">
        <v>914</v>
      </c>
      <c r="K1570" s="33" t="s">
        <v>916</v>
      </c>
      <c r="L1570" s="35" t="s">
        <v>916</v>
      </c>
      <c r="M1570" s="36" t="s">
        <v>916</v>
      </c>
      <c r="N1570" s="45">
        <v>46022</v>
      </c>
      <c r="O1570" s="36" t="s">
        <v>25</v>
      </c>
      <c r="P1570" s="38">
        <v>58.378252314800001</v>
      </c>
      <c r="Q1570" s="39" t="s">
        <v>5530</v>
      </c>
      <c r="R1570" s="35" t="s">
        <v>916</v>
      </c>
      <c r="S1570" s="35"/>
      <c r="T1570" s="35" t="s">
        <v>1701</v>
      </c>
      <c r="U1570" s="40">
        <v>45964</v>
      </c>
      <c r="V1570" s="41">
        <v>46153.532939814817</v>
      </c>
      <c r="W1570" s="40">
        <v>45963</v>
      </c>
      <c r="X1570" s="35" t="s">
        <v>916</v>
      </c>
      <c r="Y1570" s="35" t="s">
        <v>916</v>
      </c>
      <c r="Z1570" s="35" t="s">
        <v>916</v>
      </c>
      <c r="AA1570" s="38">
        <v>1401.0780555552001</v>
      </c>
      <c r="AB1570" s="42" t="s">
        <v>916</v>
      </c>
      <c r="AC1570" s="43" t="s">
        <v>916</v>
      </c>
      <c r="AD1570" s="43" t="s">
        <v>916</v>
      </c>
      <c r="AE1570" s="33" t="s">
        <v>3982</v>
      </c>
      <c r="AF1570" s="35" t="s">
        <v>916</v>
      </c>
      <c r="AG1570" s="44">
        <v>489470.9222222222</v>
      </c>
      <c r="AH1570" s="42" t="s">
        <v>916</v>
      </c>
      <c r="AI1570" s="32" t="e">
        <f>VLOOKUP(A1570,'4月明細'!B:B,1,0)</f>
        <v>#N/A</v>
      </c>
    </row>
    <row r="1571" spans="1:35" ht="19.95" customHeight="1" x14ac:dyDescent="0.3">
      <c r="A1571" s="33" t="s">
        <v>5531</v>
      </c>
      <c r="B1571" s="34">
        <v>45963.62027777778</v>
      </c>
      <c r="C1571" s="34" t="str">
        <f t="shared" si="37"/>
        <v>202511</v>
      </c>
      <c r="D1571" s="35" t="s">
        <v>5512</v>
      </c>
      <c r="E1571" s="36" t="s">
        <v>1199</v>
      </c>
      <c r="F1571" s="36" t="s">
        <v>1860</v>
      </c>
      <c r="G1571" s="37" t="s">
        <v>5532</v>
      </c>
      <c r="H1571" s="36" t="s">
        <v>3985</v>
      </c>
      <c r="I1571" s="35" t="s">
        <v>5533</v>
      </c>
      <c r="J1571" s="36" t="s">
        <v>1058</v>
      </c>
      <c r="K1571" s="33" t="s">
        <v>916</v>
      </c>
      <c r="L1571" s="35" t="s">
        <v>916</v>
      </c>
      <c r="M1571" s="36" t="s">
        <v>916</v>
      </c>
      <c r="N1571" s="45">
        <v>46022</v>
      </c>
      <c r="O1571" s="36" t="s">
        <v>25</v>
      </c>
      <c r="P1571" s="38">
        <v>58.379722222200002</v>
      </c>
      <c r="Q1571" s="39" t="s">
        <v>5534</v>
      </c>
      <c r="R1571" s="35" t="s">
        <v>916</v>
      </c>
      <c r="S1571" s="35" t="s">
        <v>5535</v>
      </c>
      <c r="T1571" s="35" t="s">
        <v>1701</v>
      </c>
      <c r="U1571" s="40">
        <v>45964</v>
      </c>
      <c r="V1571" s="41">
        <v>46153.532939814817</v>
      </c>
      <c r="W1571" s="40">
        <v>45963</v>
      </c>
      <c r="X1571" s="35" t="s">
        <v>916</v>
      </c>
      <c r="Y1571" s="35" t="s">
        <v>916</v>
      </c>
      <c r="Z1571" s="35" t="s">
        <v>916</v>
      </c>
      <c r="AA1571" s="38">
        <v>1401.1133333328</v>
      </c>
      <c r="AB1571" s="42" t="s">
        <v>916</v>
      </c>
      <c r="AC1571" s="43" t="s">
        <v>916</v>
      </c>
      <c r="AD1571" s="43" t="s">
        <v>916</v>
      </c>
      <c r="AE1571" s="33" t="s">
        <v>3982</v>
      </c>
      <c r="AF1571" s="35" t="s">
        <v>916</v>
      </c>
      <c r="AG1571" s="44">
        <v>489470.8866666666</v>
      </c>
      <c r="AH1571" s="42" t="s">
        <v>916</v>
      </c>
      <c r="AI1571" s="32" t="e">
        <f>VLOOKUP(A1571,'4月明細'!B:B,1,0)</f>
        <v>#N/A</v>
      </c>
    </row>
    <row r="1572" spans="1:35" ht="19.95" customHeight="1" x14ac:dyDescent="0.3">
      <c r="A1572" s="33" t="s">
        <v>5536</v>
      </c>
      <c r="B1572" s="34">
        <v>45963.607766203706</v>
      </c>
      <c r="C1572" s="34" t="str">
        <f t="shared" si="37"/>
        <v>202511</v>
      </c>
      <c r="D1572" s="35" t="s">
        <v>909</v>
      </c>
      <c r="E1572" s="36" t="s">
        <v>910</v>
      </c>
      <c r="F1572" s="36" t="s">
        <v>1227</v>
      </c>
      <c r="G1572" s="37" t="s">
        <v>5537</v>
      </c>
      <c r="H1572" s="36" t="s">
        <v>3985</v>
      </c>
      <c r="I1572" s="35" t="s">
        <v>5538</v>
      </c>
      <c r="J1572" s="36" t="s">
        <v>914</v>
      </c>
      <c r="K1572" s="33" t="s">
        <v>916</v>
      </c>
      <c r="L1572" s="35" t="s">
        <v>916</v>
      </c>
      <c r="M1572" s="36" t="s">
        <v>916</v>
      </c>
      <c r="N1572" s="45">
        <v>46022</v>
      </c>
      <c r="O1572" s="36" t="s">
        <v>25</v>
      </c>
      <c r="P1572" s="38">
        <v>58.392233796299998</v>
      </c>
      <c r="Q1572" s="39" t="s">
        <v>5539</v>
      </c>
      <c r="R1572" s="35" t="s">
        <v>916</v>
      </c>
      <c r="S1572" s="35" t="s">
        <v>5540</v>
      </c>
      <c r="T1572" s="35" t="s">
        <v>1701</v>
      </c>
      <c r="U1572" s="40">
        <v>45964</v>
      </c>
      <c r="V1572" s="41">
        <v>46153.532939814817</v>
      </c>
      <c r="W1572" s="40">
        <v>45963</v>
      </c>
      <c r="X1572" s="35" t="s">
        <v>916</v>
      </c>
      <c r="Y1572" s="35" t="s">
        <v>916</v>
      </c>
      <c r="Z1572" s="35" t="s">
        <v>916</v>
      </c>
      <c r="AA1572" s="38">
        <v>1401.4136111112</v>
      </c>
      <c r="AB1572" s="42" t="s">
        <v>916</v>
      </c>
      <c r="AC1572" s="43" t="s">
        <v>916</v>
      </c>
      <c r="AD1572" s="43" t="s">
        <v>916</v>
      </c>
      <c r="AE1572" s="33" t="s">
        <v>3982</v>
      </c>
      <c r="AF1572" s="35" t="s">
        <v>916</v>
      </c>
      <c r="AG1572" s="44">
        <v>489470.58638888889</v>
      </c>
      <c r="AH1572" s="42" t="s">
        <v>916</v>
      </c>
      <c r="AI1572" s="32" t="e">
        <f>VLOOKUP(A1572,'4月明細'!B:B,1,0)</f>
        <v>#N/A</v>
      </c>
    </row>
    <row r="1573" spans="1:35" ht="19.95" customHeight="1" x14ac:dyDescent="0.3">
      <c r="A1573" s="33" t="s">
        <v>5541</v>
      </c>
      <c r="B1573" s="34">
        <v>45963.488379629627</v>
      </c>
      <c r="C1573" s="34" t="str">
        <f t="shared" si="37"/>
        <v>202511</v>
      </c>
      <c r="D1573" s="35" t="s">
        <v>996</v>
      </c>
      <c r="E1573" s="36" t="s">
        <v>910</v>
      </c>
      <c r="F1573" s="36" t="s">
        <v>964</v>
      </c>
      <c r="G1573" s="37" t="s">
        <v>5542</v>
      </c>
      <c r="H1573" s="36" t="s">
        <v>4185</v>
      </c>
      <c r="I1573" s="35" t="s">
        <v>5543</v>
      </c>
      <c r="J1573" s="36" t="s">
        <v>929</v>
      </c>
      <c r="K1573" s="33" t="s">
        <v>916</v>
      </c>
      <c r="L1573" s="35" t="s">
        <v>916</v>
      </c>
      <c r="M1573" s="36" t="s">
        <v>916</v>
      </c>
      <c r="N1573" s="45">
        <v>46022</v>
      </c>
      <c r="O1573" s="36" t="s">
        <v>25</v>
      </c>
      <c r="P1573" s="38">
        <v>58.511620370400003</v>
      </c>
      <c r="Q1573" s="39" t="s">
        <v>5544</v>
      </c>
      <c r="R1573" s="35" t="s">
        <v>916</v>
      </c>
      <c r="S1573" s="35"/>
      <c r="T1573" s="35" t="s">
        <v>1701</v>
      </c>
      <c r="U1573" s="40">
        <v>45964</v>
      </c>
      <c r="V1573" s="41">
        <v>46153.532939814817</v>
      </c>
      <c r="W1573" s="40">
        <v>45963</v>
      </c>
      <c r="X1573" s="35" t="s">
        <v>916</v>
      </c>
      <c r="Y1573" s="35" t="s">
        <v>916</v>
      </c>
      <c r="Z1573" s="35" t="s">
        <v>916</v>
      </c>
      <c r="AA1573" s="38">
        <v>1404.2788888896</v>
      </c>
      <c r="AB1573" s="42" t="s">
        <v>916</v>
      </c>
      <c r="AC1573" s="43" t="s">
        <v>916</v>
      </c>
      <c r="AD1573" s="43" t="s">
        <v>916</v>
      </c>
      <c r="AE1573" s="33" t="s">
        <v>3982</v>
      </c>
      <c r="AF1573" s="35" t="s">
        <v>916</v>
      </c>
      <c r="AG1573" s="44">
        <v>489467.72111111111</v>
      </c>
      <c r="AH1573" s="42" t="s">
        <v>916</v>
      </c>
      <c r="AI1573" s="32" t="e">
        <f>VLOOKUP(A1573,'4月明細'!B:B,1,0)</f>
        <v>#N/A</v>
      </c>
    </row>
    <row r="1574" spans="1:35" ht="19.95" customHeight="1" x14ac:dyDescent="0.3">
      <c r="A1574" s="33" t="s">
        <v>5545</v>
      </c>
      <c r="B1574" s="34">
        <v>45963.471944444442</v>
      </c>
      <c r="C1574" s="34" t="str">
        <f t="shared" si="37"/>
        <v>202511</v>
      </c>
      <c r="D1574" s="35" t="s">
        <v>1168</v>
      </c>
      <c r="E1574" s="36" t="s">
        <v>942</v>
      </c>
      <c r="F1574" s="36" t="s">
        <v>1975</v>
      </c>
      <c r="G1574" s="37" t="s">
        <v>5546</v>
      </c>
      <c r="H1574" s="36" t="s">
        <v>1184</v>
      </c>
      <c r="I1574" s="35"/>
      <c r="J1574" s="36" t="s">
        <v>945</v>
      </c>
      <c r="K1574" s="33" t="s">
        <v>916</v>
      </c>
      <c r="L1574" s="35" t="s">
        <v>916</v>
      </c>
      <c r="M1574" s="36" t="s">
        <v>916</v>
      </c>
      <c r="N1574" s="45">
        <v>46022</v>
      </c>
      <c r="O1574" s="36" t="s">
        <v>25</v>
      </c>
      <c r="P1574" s="38">
        <v>58.528055555599998</v>
      </c>
      <c r="Q1574" s="39" t="s">
        <v>5547</v>
      </c>
      <c r="R1574" s="35" t="s">
        <v>916</v>
      </c>
      <c r="S1574" s="35"/>
      <c r="T1574" s="35" t="s">
        <v>1701</v>
      </c>
      <c r="U1574" s="40">
        <v>45964</v>
      </c>
      <c r="V1574" s="41">
        <v>46153.532939814817</v>
      </c>
      <c r="W1574" s="40">
        <v>45963</v>
      </c>
      <c r="X1574" s="35" t="s">
        <v>916</v>
      </c>
      <c r="Y1574" s="35" t="s">
        <v>916</v>
      </c>
      <c r="Z1574" s="35" t="s">
        <v>916</v>
      </c>
      <c r="AA1574" s="38">
        <v>1404.6733333344</v>
      </c>
      <c r="AB1574" s="42" t="s">
        <v>916</v>
      </c>
      <c r="AC1574" s="43" t="s">
        <v>916</v>
      </c>
      <c r="AD1574" s="43" t="s">
        <v>916</v>
      </c>
      <c r="AE1574" s="33" t="s">
        <v>3982</v>
      </c>
      <c r="AF1574" s="35" t="s">
        <v>916</v>
      </c>
      <c r="AG1574" s="44">
        <v>489467.32666666672</v>
      </c>
      <c r="AH1574" s="42" t="s">
        <v>916</v>
      </c>
      <c r="AI1574" s="32" t="e">
        <f>VLOOKUP(A1574,'4月明細'!B:B,1,0)</f>
        <v>#N/A</v>
      </c>
    </row>
    <row r="1575" spans="1:35" ht="19.95" customHeight="1" x14ac:dyDescent="0.3">
      <c r="A1575" s="33" t="s">
        <v>5548</v>
      </c>
      <c r="B1575" s="34">
        <v>45963.434571759259</v>
      </c>
      <c r="C1575" s="34" t="str">
        <f t="shared" si="37"/>
        <v>202511</v>
      </c>
      <c r="D1575" s="35" t="s">
        <v>1587</v>
      </c>
      <c r="E1575" s="36" t="s">
        <v>942</v>
      </c>
      <c r="F1575" s="36" t="s">
        <v>1253</v>
      </c>
      <c r="G1575" s="37" t="s">
        <v>5549</v>
      </c>
      <c r="H1575" s="36" t="s">
        <v>970</v>
      </c>
      <c r="I1575" s="35"/>
      <c r="J1575" s="36" t="s">
        <v>929</v>
      </c>
      <c r="K1575" s="33" t="s">
        <v>916</v>
      </c>
      <c r="L1575" s="35" t="s">
        <v>916</v>
      </c>
      <c r="M1575" s="36" t="s">
        <v>916</v>
      </c>
      <c r="N1575" s="45">
        <v>46022</v>
      </c>
      <c r="O1575" s="36" t="s">
        <v>25</v>
      </c>
      <c r="P1575" s="38">
        <v>58.565428240700001</v>
      </c>
      <c r="Q1575" s="39" t="s">
        <v>5550</v>
      </c>
      <c r="R1575" s="35" t="s">
        <v>916</v>
      </c>
      <c r="S1575" s="35" t="s">
        <v>5551</v>
      </c>
      <c r="T1575" s="35" t="s">
        <v>1701</v>
      </c>
      <c r="U1575" s="40">
        <v>45964</v>
      </c>
      <c r="V1575" s="41">
        <v>46153.532939814817</v>
      </c>
      <c r="W1575" s="40">
        <v>45963</v>
      </c>
      <c r="X1575" s="35" t="s">
        <v>916</v>
      </c>
      <c r="Y1575" s="35" t="s">
        <v>916</v>
      </c>
      <c r="Z1575" s="35" t="s">
        <v>916</v>
      </c>
      <c r="AA1575" s="38">
        <v>1405.5702777767999</v>
      </c>
      <c r="AB1575" s="42" t="s">
        <v>916</v>
      </c>
      <c r="AC1575" s="43" t="s">
        <v>916</v>
      </c>
      <c r="AD1575" s="43" t="s">
        <v>916</v>
      </c>
      <c r="AE1575" s="33" t="s">
        <v>3982</v>
      </c>
      <c r="AF1575" s="35" t="s">
        <v>916</v>
      </c>
      <c r="AG1575" s="44">
        <v>489466.42972222221</v>
      </c>
      <c r="AH1575" s="42" t="s">
        <v>916</v>
      </c>
      <c r="AI1575" s="32" t="e">
        <f>VLOOKUP(A1575,'4月明細'!B:B,1,0)</f>
        <v>#N/A</v>
      </c>
    </row>
    <row r="1576" spans="1:35" ht="19.95" customHeight="1" x14ac:dyDescent="0.3">
      <c r="A1576" s="33" t="s">
        <v>5552</v>
      </c>
      <c r="B1576" s="34">
        <v>45963.212106481478</v>
      </c>
      <c r="C1576" s="34" t="str">
        <f t="shared" si="37"/>
        <v>202511</v>
      </c>
      <c r="D1576" s="35" t="s">
        <v>1217</v>
      </c>
      <c r="E1576" s="36" t="s">
        <v>942</v>
      </c>
      <c r="F1576" s="36" t="s">
        <v>1745</v>
      </c>
      <c r="G1576" s="37" t="s">
        <v>5553</v>
      </c>
      <c r="H1576" s="36" t="s">
        <v>913</v>
      </c>
      <c r="I1576" s="35"/>
      <c r="J1576" s="36" t="s">
        <v>1058</v>
      </c>
      <c r="K1576" s="33" t="s">
        <v>916</v>
      </c>
      <c r="L1576" s="35" t="s">
        <v>916</v>
      </c>
      <c r="M1576" s="36" t="s">
        <v>916</v>
      </c>
      <c r="N1576" s="45">
        <v>46022</v>
      </c>
      <c r="O1576" s="36" t="s">
        <v>25</v>
      </c>
      <c r="P1576" s="38">
        <v>58.787893518499999</v>
      </c>
      <c r="Q1576" s="39" t="s">
        <v>5554</v>
      </c>
      <c r="R1576" s="35" t="s">
        <v>916</v>
      </c>
      <c r="S1576" s="35" t="s">
        <v>5555</v>
      </c>
      <c r="T1576" s="35" t="s">
        <v>1701</v>
      </c>
      <c r="U1576" s="40">
        <v>45964</v>
      </c>
      <c r="V1576" s="41">
        <v>46153.532939814817</v>
      </c>
      <c r="W1576" s="40">
        <v>45963</v>
      </c>
      <c r="X1576" s="35" t="s">
        <v>916</v>
      </c>
      <c r="Y1576" s="35" t="s">
        <v>916</v>
      </c>
      <c r="Z1576" s="35" t="s">
        <v>916</v>
      </c>
      <c r="AA1576" s="38">
        <v>1410.909444444</v>
      </c>
      <c r="AB1576" s="42" t="s">
        <v>916</v>
      </c>
      <c r="AC1576" s="43" t="s">
        <v>916</v>
      </c>
      <c r="AD1576" s="43" t="s">
        <v>916</v>
      </c>
      <c r="AE1576" s="33" t="s">
        <v>3982</v>
      </c>
      <c r="AF1576" s="35" t="s">
        <v>916</v>
      </c>
      <c r="AG1576" s="44">
        <v>489461.09055555548</v>
      </c>
      <c r="AH1576" s="42" t="s">
        <v>916</v>
      </c>
      <c r="AI1576" s="32" t="e">
        <f>VLOOKUP(A1576,'4月明細'!B:B,1,0)</f>
        <v>#N/A</v>
      </c>
    </row>
    <row r="1577" spans="1:35" ht="19.95" customHeight="1" x14ac:dyDescent="0.3">
      <c r="A1577" s="33" t="s">
        <v>5556</v>
      </c>
      <c r="B1577" s="34">
        <v>45962.753611111111</v>
      </c>
      <c r="C1577" s="34" t="str">
        <f t="shared" si="37"/>
        <v>202511</v>
      </c>
      <c r="D1577" s="35" t="s">
        <v>960</v>
      </c>
      <c r="E1577" s="36" t="s">
        <v>942</v>
      </c>
      <c r="F1577" s="36" t="s">
        <v>964</v>
      </c>
      <c r="G1577" s="37" t="s">
        <v>5557</v>
      </c>
      <c r="H1577" s="36" t="s">
        <v>4185</v>
      </c>
      <c r="I1577" s="35"/>
      <c r="J1577" s="36" t="s">
        <v>929</v>
      </c>
      <c r="K1577" s="33" t="s">
        <v>916</v>
      </c>
      <c r="L1577" s="35" t="s">
        <v>916</v>
      </c>
      <c r="M1577" s="36" t="s">
        <v>916</v>
      </c>
      <c r="N1577" s="45">
        <v>46022</v>
      </c>
      <c r="O1577" s="36" t="s">
        <v>25</v>
      </c>
      <c r="P1577" s="38">
        <v>59.2463888889</v>
      </c>
      <c r="Q1577" s="39" t="s">
        <v>5544</v>
      </c>
      <c r="R1577" s="35" t="s">
        <v>916</v>
      </c>
      <c r="S1577" s="35"/>
      <c r="T1577" s="35" t="s">
        <v>1701</v>
      </c>
      <c r="U1577" s="40">
        <v>45963</v>
      </c>
      <c r="V1577" s="41">
        <v>46153.532939814817</v>
      </c>
      <c r="W1577" s="40">
        <v>45962</v>
      </c>
      <c r="X1577" s="35" t="s">
        <v>916</v>
      </c>
      <c r="Y1577" s="35" t="s">
        <v>916</v>
      </c>
      <c r="Z1577" s="35" t="s">
        <v>916</v>
      </c>
      <c r="AA1577" s="38">
        <v>1421.9133333335999</v>
      </c>
      <c r="AB1577" s="42" t="s">
        <v>916</v>
      </c>
      <c r="AC1577" s="43" t="s">
        <v>916</v>
      </c>
      <c r="AD1577" s="43" t="s">
        <v>916</v>
      </c>
      <c r="AE1577" s="33" t="s">
        <v>3982</v>
      </c>
      <c r="AF1577" s="35" t="s">
        <v>916</v>
      </c>
      <c r="AG1577" s="44">
        <v>489450.08666666673</v>
      </c>
      <c r="AH1577" s="42" t="s">
        <v>916</v>
      </c>
      <c r="AI1577" s="32" t="e">
        <f>VLOOKUP(A1577,'4月明細'!B:B,1,0)</f>
        <v>#N/A</v>
      </c>
    </row>
    <row r="1578" spans="1:35" ht="19.95" customHeight="1" x14ac:dyDescent="0.3">
      <c r="A1578" s="33" t="s">
        <v>5558</v>
      </c>
      <c r="B1578" s="34">
        <v>45962.528796296298</v>
      </c>
      <c r="C1578" s="34" t="str">
        <f t="shared" si="37"/>
        <v>202511</v>
      </c>
      <c r="D1578" s="35" t="s">
        <v>909</v>
      </c>
      <c r="E1578" s="36" t="s">
        <v>910</v>
      </c>
      <c r="F1578" s="36" t="s">
        <v>1564</v>
      </c>
      <c r="G1578" s="37" t="s">
        <v>4929</v>
      </c>
      <c r="H1578" s="36" t="s">
        <v>4804</v>
      </c>
      <c r="I1578" s="35" t="s">
        <v>5559</v>
      </c>
      <c r="J1578" s="36" t="s">
        <v>914</v>
      </c>
      <c r="K1578" s="33" t="s">
        <v>916</v>
      </c>
      <c r="L1578" s="35" t="s">
        <v>916</v>
      </c>
      <c r="M1578" s="36" t="s">
        <v>916</v>
      </c>
      <c r="N1578" s="45">
        <v>46022</v>
      </c>
      <c r="O1578" s="36" t="s">
        <v>25</v>
      </c>
      <c r="P1578" s="38">
        <v>59.471203703699999</v>
      </c>
      <c r="Q1578" s="39" t="s">
        <v>5544</v>
      </c>
      <c r="R1578" s="35" t="s">
        <v>916</v>
      </c>
      <c r="S1578" s="35" t="s">
        <v>5560</v>
      </c>
      <c r="T1578" s="35" t="s">
        <v>1701</v>
      </c>
      <c r="U1578" s="40">
        <v>45963</v>
      </c>
      <c r="V1578" s="41">
        <v>46153.532939814817</v>
      </c>
      <c r="W1578" s="40">
        <v>45962</v>
      </c>
      <c r="X1578" s="35" t="s">
        <v>916</v>
      </c>
      <c r="Y1578" s="35" t="s">
        <v>916</v>
      </c>
      <c r="Z1578" s="35" t="s">
        <v>916</v>
      </c>
      <c r="AA1578" s="38">
        <v>1427.3088888888001</v>
      </c>
      <c r="AB1578" s="42" t="s">
        <v>916</v>
      </c>
      <c r="AC1578" s="43" t="s">
        <v>916</v>
      </c>
      <c r="AD1578" s="43" t="s">
        <v>916</v>
      </c>
      <c r="AE1578" s="33" t="s">
        <v>3982</v>
      </c>
      <c r="AF1578" s="35" t="s">
        <v>916</v>
      </c>
      <c r="AG1578" s="44">
        <v>489444.69111111108</v>
      </c>
      <c r="AH1578" s="42" t="s">
        <v>916</v>
      </c>
      <c r="AI1578" s="32" t="e">
        <f>VLOOKUP(A1578,'4月明細'!B:B,1,0)</f>
        <v>#N/A</v>
      </c>
    </row>
    <row r="1579" spans="1:35" ht="19.95" customHeight="1" x14ac:dyDescent="0.3">
      <c r="A1579" s="33" t="s">
        <v>5561</v>
      </c>
      <c r="B1579" s="34">
        <v>45962.494571759256</v>
      </c>
      <c r="C1579" s="34" t="str">
        <f t="shared" si="37"/>
        <v>202511</v>
      </c>
      <c r="D1579" s="35" t="s">
        <v>5562</v>
      </c>
      <c r="E1579" s="36" t="s">
        <v>910</v>
      </c>
      <c r="F1579" s="36" t="s">
        <v>1898</v>
      </c>
      <c r="G1579" s="37" t="s">
        <v>5563</v>
      </c>
      <c r="H1579" s="36" t="s">
        <v>4542</v>
      </c>
      <c r="I1579" s="35" t="s">
        <v>5564</v>
      </c>
      <c r="J1579" s="36" t="s">
        <v>914</v>
      </c>
      <c r="K1579" s="33" t="s">
        <v>916</v>
      </c>
      <c r="L1579" s="35" t="s">
        <v>916</v>
      </c>
      <c r="M1579" s="36" t="s">
        <v>916</v>
      </c>
      <c r="N1579" s="45">
        <v>46022</v>
      </c>
      <c r="O1579" s="36" t="s">
        <v>25</v>
      </c>
      <c r="P1579" s="38">
        <v>59.505428240699999</v>
      </c>
      <c r="Q1579" s="39" t="s">
        <v>5565</v>
      </c>
      <c r="R1579" s="35" t="s">
        <v>916</v>
      </c>
      <c r="S1579" s="35" t="s">
        <v>5566</v>
      </c>
      <c r="T1579" s="35" t="s">
        <v>1701</v>
      </c>
      <c r="U1579" s="40">
        <v>45963</v>
      </c>
      <c r="V1579" s="41">
        <v>46153.532939814817</v>
      </c>
      <c r="W1579" s="40">
        <v>45962</v>
      </c>
      <c r="X1579" s="35" t="s">
        <v>916</v>
      </c>
      <c r="Y1579" s="35" t="s">
        <v>916</v>
      </c>
      <c r="Z1579" s="35" t="s">
        <v>916</v>
      </c>
      <c r="AA1579" s="38">
        <v>1428.1302777768001</v>
      </c>
      <c r="AB1579" s="42" t="s">
        <v>916</v>
      </c>
      <c r="AC1579" s="43" t="s">
        <v>916</v>
      </c>
      <c r="AD1579" s="43" t="s">
        <v>916</v>
      </c>
      <c r="AE1579" s="33" t="s">
        <v>3982</v>
      </c>
      <c r="AF1579" s="35" t="s">
        <v>916</v>
      </c>
      <c r="AG1579" s="44">
        <v>489443.86972222221</v>
      </c>
      <c r="AH1579" s="42" t="s">
        <v>916</v>
      </c>
      <c r="AI1579" s="32" t="e">
        <f>VLOOKUP(A1579,'4月明細'!B:B,1,0)</f>
        <v>#N/A</v>
      </c>
    </row>
    <row r="1580" spans="1:35" ht="19.95" customHeight="1" x14ac:dyDescent="0.3">
      <c r="A1580" s="33" t="s">
        <v>5567</v>
      </c>
      <c r="B1580" s="34">
        <v>45962.447488425925</v>
      </c>
      <c r="C1580" s="34" t="str">
        <f t="shared" si="37"/>
        <v>202511</v>
      </c>
      <c r="D1580" s="35" t="s">
        <v>996</v>
      </c>
      <c r="E1580" s="36" t="s">
        <v>910</v>
      </c>
      <c r="F1580" s="36" t="s">
        <v>1304</v>
      </c>
      <c r="G1580" s="37" t="s">
        <v>5568</v>
      </c>
      <c r="H1580" s="36" t="s">
        <v>970</v>
      </c>
      <c r="I1580" s="35" t="s">
        <v>5569</v>
      </c>
      <c r="J1580" s="36" t="s">
        <v>914</v>
      </c>
      <c r="K1580" s="33" t="s">
        <v>916</v>
      </c>
      <c r="L1580" s="35" t="s">
        <v>916</v>
      </c>
      <c r="M1580" s="36" t="s">
        <v>916</v>
      </c>
      <c r="N1580" s="45">
        <v>46022</v>
      </c>
      <c r="O1580" s="36" t="s">
        <v>25</v>
      </c>
      <c r="P1580" s="38">
        <v>59.552511574100002</v>
      </c>
      <c r="Q1580" s="39" t="s">
        <v>5570</v>
      </c>
      <c r="R1580" s="35" t="s">
        <v>916</v>
      </c>
      <c r="S1580" s="35"/>
      <c r="T1580" s="35" t="s">
        <v>1701</v>
      </c>
      <c r="U1580" s="40">
        <v>45963</v>
      </c>
      <c r="V1580" s="41">
        <v>46153.532939814817</v>
      </c>
      <c r="W1580" s="40">
        <v>45962</v>
      </c>
      <c r="X1580" s="35" t="s">
        <v>916</v>
      </c>
      <c r="Y1580" s="35" t="s">
        <v>916</v>
      </c>
      <c r="Z1580" s="35" t="s">
        <v>916</v>
      </c>
      <c r="AA1580" s="38">
        <v>1429.2602777784</v>
      </c>
      <c r="AB1580" s="42" t="s">
        <v>916</v>
      </c>
      <c r="AC1580" s="43" t="s">
        <v>916</v>
      </c>
      <c r="AD1580" s="43" t="s">
        <v>916</v>
      </c>
      <c r="AE1580" s="33" t="s">
        <v>3982</v>
      </c>
      <c r="AF1580" s="35" t="s">
        <v>916</v>
      </c>
      <c r="AG1580" s="44">
        <v>489442.73972222221</v>
      </c>
      <c r="AH1580" s="42" t="s">
        <v>916</v>
      </c>
      <c r="AI1580" s="32" t="e">
        <f>VLOOKUP(A1580,'4月明細'!B:B,1,0)</f>
        <v>#N/A</v>
      </c>
    </row>
    <row r="1581" spans="1:35" ht="19.95" customHeight="1" x14ac:dyDescent="0.3">
      <c r="A1581" s="33" t="s">
        <v>5571</v>
      </c>
      <c r="B1581" s="34">
        <v>45962.437650462962</v>
      </c>
      <c r="C1581" s="34" t="str">
        <f t="shared" si="37"/>
        <v>202511</v>
      </c>
      <c r="D1581" s="35" t="s">
        <v>909</v>
      </c>
      <c r="E1581" s="36" t="s">
        <v>910</v>
      </c>
      <c r="F1581" s="36" t="s">
        <v>2841</v>
      </c>
      <c r="G1581" s="37" t="s">
        <v>5572</v>
      </c>
      <c r="H1581" s="36" t="s">
        <v>4065</v>
      </c>
      <c r="I1581" s="35" t="s">
        <v>5573</v>
      </c>
      <c r="J1581" s="36" t="s">
        <v>938</v>
      </c>
      <c r="K1581" s="33" t="s">
        <v>916</v>
      </c>
      <c r="L1581" s="35" t="s">
        <v>916</v>
      </c>
      <c r="M1581" s="36" t="s">
        <v>916</v>
      </c>
      <c r="N1581" s="45">
        <v>46022</v>
      </c>
      <c r="O1581" s="36" t="s">
        <v>25</v>
      </c>
      <c r="P1581" s="38">
        <v>59.562349537000003</v>
      </c>
      <c r="Q1581" s="39" t="s">
        <v>5574</v>
      </c>
      <c r="R1581" s="35" t="s">
        <v>916</v>
      </c>
      <c r="S1581" s="35" t="s">
        <v>5575</v>
      </c>
      <c r="T1581" s="35" t="s">
        <v>1701</v>
      </c>
      <c r="U1581" s="40">
        <v>45963</v>
      </c>
      <c r="V1581" s="41">
        <v>46153.532939814817</v>
      </c>
      <c r="W1581" s="40">
        <v>45962</v>
      </c>
      <c r="X1581" s="35" t="s">
        <v>916</v>
      </c>
      <c r="Y1581" s="35" t="s">
        <v>916</v>
      </c>
      <c r="Z1581" s="35" t="s">
        <v>916</v>
      </c>
      <c r="AA1581" s="38">
        <v>1429.496388888</v>
      </c>
      <c r="AB1581" s="42" t="s">
        <v>916</v>
      </c>
      <c r="AC1581" s="43" t="s">
        <v>916</v>
      </c>
      <c r="AD1581" s="43" t="s">
        <v>916</v>
      </c>
      <c r="AE1581" s="33" t="s">
        <v>3982</v>
      </c>
      <c r="AF1581" s="35" t="s">
        <v>916</v>
      </c>
      <c r="AG1581" s="44">
        <v>489442.50361111108</v>
      </c>
      <c r="AH1581" s="42" t="s">
        <v>916</v>
      </c>
      <c r="AI1581" s="32" t="e">
        <f>VLOOKUP(A1581,'4月明細'!B:B,1,0)</f>
        <v>#N/A</v>
      </c>
    </row>
    <row r="1582" spans="1:35" ht="19.95" customHeight="1" x14ac:dyDescent="0.3">
      <c r="A1582" s="33" t="s">
        <v>5576</v>
      </c>
      <c r="B1582" s="34">
        <v>45962.346562500003</v>
      </c>
      <c r="C1582" s="34" t="str">
        <f t="shared" si="37"/>
        <v>202511</v>
      </c>
      <c r="D1582" s="35" t="s">
        <v>1840</v>
      </c>
      <c r="E1582" s="36" t="s">
        <v>942</v>
      </c>
      <c r="F1582" s="36" t="s">
        <v>1740</v>
      </c>
      <c r="G1582" s="37" t="s">
        <v>5577</v>
      </c>
      <c r="H1582" s="36" t="s">
        <v>956</v>
      </c>
      <c r="I1582" s="35"/>
      <c r="J1582" s="36" t="s">
        <v>945</v>
      </c>
      <c r="K1582" s="33" t="s">
        <v>916</v>
      </c>
      <c r="L1582" s="35" t="s">
        <v>916</v>
      </c>
      <c r="M1582" s="36" t="s">
        <v>916</v>
      </c>
      <c r="N1582" s="45">
        <v>46022</v>
      </c>
      <c r="O1582" s="36" t="s">
        <v>25</v>
      </c>
      <c r="P1582" s="38">
        <v>59.653437500000003</v>
      </c>
      <c r="Q1582" s="39" t="s">
        <v>5578</v>
      </c>
      <c r="R1582" s="35" t="s">
        <v>916</v>
      </c>
      <c r="S1582" s="35"/>
      <c r="T1582" s="35" t="s">
        <v>1701</v>
      </c>
      <c r="U1582" s="40">
        <v>45963</v>
      </c>
      <c r="V1582" s="41">
        <v>46153.532939814817</v>
      </c>
      <c r="W1582" s="40">
        <v>45962</v>
      </c>
      <c r="X1582" s="35" t="s">
        <v>916</v>
      </c>
      <c r="Y1582" s="35" t="s">
        <v>916</v>
      </c>
      <c r="Z1582" s="35" t="s">
        <v>916</v>
      </c>
      <c r="AA1582" s="38">
        <v>1431.6824999999999</v>
      </c>
      <c r="AB1582" s="42" t="s">
        <v>916</v>
      </c>
      <c r="AC1582" s="43" t="s">
        <v>916</v>
      </c>
      <c r="AD1582" s="43" t="s">
        <v>916</v>
      </c>
      <c r="AE1582" s="33" t="s">
        <v>3982</v>
      </c>
      <c r="AF1582" s="35" t="s">
        <v>916</v>
      </c>
      <c r="AG1582" s="44">
        <v>489440.31777777779</v>
      </c>
      <c r="AH1582" s="42" t="s">
        <v>916</v>
      </c>
      <c r="AI1582" s="32" t="e">
        <f>VLOOKUP(A1582,'4月明細'!B:B,1,0)</f>
        <v>#N/A</v>
      </c>
    </row>
    <row r="1583" spans="1:35" ht="19.95" customHeight="1" x14ac:dyDescent="0.3">
      <c r="A1583" s="33" t="s">
        <v>5579</v>
      </c>
      <c r="B1583" s="34">
        <v>45962.015914351854</v>
      </c>
      <c r="C1583" s="34" t="str">
        <f t="shared" si="37"/>
        <v>202511</v>
      </c>
      <c r="D1583" s="35" t="s">
        <v>960</v>
      </c>
      <c r="E1583" s="36" t="s">
        <v>942</v>
      </c>
      <c r="F1583" s="36" t="s">
        <v>1745</v>
      </c>
      <c r="G1583" s="37" t="s">
        <v>5580</v>
      </c>
      <c r="H1583" s="36" t="s">
        <v>913</v>
      </c>
      <c r="I1583" s="35"/>
      <c r="J1583" s="36" t="s">
        <v>929</v>
      </c>
      <c r="K1583" s="33" t="s">
        <v>916</v>
      </c>
      <c r="L1583" s="35" t="s">
        <v>916</v>
      </c>
      <c r="M1583" s="36" t="s">
        <v>916</v>
      </c>
      <c r="N1583" s="45">
        <v>46022</v>
      </c>
      <c r="O1583" s="36" t="s">
        <v>25</v>
      </c>
      <c r="P1583" s="38">
        <v>59.984085648099999</v>
      </c>
      <c r="Q1583" s="39" t="s">
        <v>5581</v>
      </c>
      <c r="R1583" s="35" t="s">
        <v>916</v>
      </c>
      <c r="S1583" s="35" t="s">
        <v>5582</v>
      </c>
      <c r="T1583" s="35" t="s">
        <v>1701</v>
      </c>
      <c r="U1583" s="40">
        <v>45963</v>
      </c>
      <c r="V1583" s="41">
        <v>46153.532939814817</v>
      </c>
      <c r="W1583" s="40">
        <v>45962</v>
      </c>
      <c r="X1583" s="35" t="s">
        <v>916</v>
      </c>
      <c r="Y1583" s="35" t="s">
        <v>916</v>
      </c>
      <c r="Z1583" s="35" t="s">
        <v>916</v>
      </c>
      <c r="AA1583" s="38">
        <v>1439.6180555543999</v>
      </c>
      <c r="AB1583" s="42" t="s">
        <v>916</v>
      </c>
      <c r="AC1583" s="43" t="s">
        <v>916</v>
      </c>
      <c r="AD1583" s="43" t="s">
        <v>916</v>
      </c>
      <c r="AE1583" s="33" t="s">
        <v>3982</v>
      </c>
      <c r="AF1583" s="35" t="s">
        <v>916</v>
      </c>
      <c r="AG1583" s="44">
        <v>489432.38194444438</v>
      </c>
      <c r="AH1583" s="42" t="s">
        <v>916</v>
      </c>
      <c r="AI1583" s="32" t="e">
        <f>VLOOKUP(A1583,'4月明細'!B:B,1,0)</f>
        <v>#N/A</v>
      </c>
    </row>
    <row r="1584" spans="1:35" ht="19.95" customHeight="1" x14ac:dyDescent="0.3">
      <c r="A1584" s="33" t="s">
        <v>5583</v>
      </c>
      <c r="B1584" s="34">
        <v>45962.004976851851</v>
      </c>
      <c r="C1584" s="34" t="str">
        <f t="shared" si="37"/>
        <v>202511</v>
      </c>
      <c r="D1584" s="35" t="s">
        <v>5512</v>
      </c>
      <c r="E1584" s="36" t="s">
        <v>1199</v>
      </c>
      <c r="F1584" s="36" t="s">
        <v>5584</v>
      </c>
      <c r="G1584" s="37" t="s">
        <v>5585</v>
      </c>
      <c r="H1584" s="36" t="s">
        <v>5586</v>
      </c>
      <c r="I1584" s="35"/>
      <c r="J1584" s="36" t="s">
        <v>1058</v>
      </c>
      <c r="K1584" s="33" t="s">
        <v>916</v>
      </c>
      <c r="L1584" s="35" t="s">
        <v>916</v>
      </c>
      <c r="M1584" s="36" t="s">
        <v>916</v>
      </c>
      <c r="N1584" s="45">
        <v>46022</v>
      </c>
      <c r="O1584" s="36" t="s">
        <v>25</v>
      </c>
      <c r="P1584" s="38">
        <v>59.995023148100003</v>
      </c>
      <c r="Q1584" s="39" t="s">
        <v>5587</v>
      </c>
      <c r="R1584" s="35" t="s">
        <v>916</v>
      </c>
      <c r="S1584" s="35"/>
      <c r="T1584" s="35" t="s">
        <v>1701</v>
      </c>
      <c r="U1584" s="40">
        <v>45963</v>
      </c>
      <c r="V1584" s="41">
        <v>46153.532939814817</v>
      </c>
      <c r="W1584" s="40">
        <v>45962</v>
      </c>
      <c r="X1584" s="35" t="s">
        <v>916</v>
      </c>
      <c r="Y1584" s="35" t="s">
        <v>916</v>
      </c>
      <c r="Z1584" s="35" t="s">
        <v>916</v>
      </c>
      <c r="AA1584" s="38">
        <v>1439.8805555544</v>
      </c>
      <c r="AB1584" s="42" t="s">
        <v>916</v>
      </c>
      <c r="AC1584" s="43" t="s">
        <v>916</v>
      </c>
      <c r="AD1584" s="43" t="s">
        <v>916</v>
      </c>
      <c r="AE1584" s="33" t="s">
        <v>3982</v>
      </c>
      <c r="AF1584" s="35" t="s">
        <v>916</v>
      </c>
      <c r="AG1584" s="44">
        <v>489432.11944444443</v>
      </c>
      <c r="AH1584" s="42" t="s">
        <v>916</v>
      </c>
      <c r="AI1584" s="32" t="e">
        <f>VLOOKUP(A1584,'4月明細'!B:B,1,0)</f>
        <v>#N/A</v>
      </c>
    </row>
    <row r="1585" spans="1:35" ht="19.95" customHeight="1" x14ac:dyDescent="0.3">
      <c r="A1585" s="33" t="s">
        <v>5588</v>
      </c>
      <c r="B1585" s="34">
        <v>45961.819456018522</v>
      </c>
      <c r="C1585" s="34" t="str">
        <f t="shared" si="37"/>
        <v>202510</v>
      </c>
      <c r="D1585" s="35" t="s">
        <v>5512</v>
      </c>
      <c r="E1585" s="36" t="s">
        <v>1199</v>
      </c>
      <c r="F1585" s="36" t="s">
        <v>2529</v>
      </c>
      <c r="G1585" s="37" t="s">
        <v>5589</v>
      </c>
      <c r="H1585" s="36" t="s">
        <v>4065</v>
      </c>
      <c r="I1585" s="35" t="s">
        <v>5590</v>
      </c>
      <c r="J1585" s="36" t="s">
        <v>938</v>
      </c>
      <c r="K1585" s="33" t="s">
        <v>916</v>
      </c>
      <c r="L1585" s="35" t="s">
        <v>916</v>
      </c>
      <c r="M1585" s="36" t="s">
        <v>917</v>
      </c>
      <c r="N1585" s="45">
        <v>46022</v>
      </c>
      <c r="O1585" s="36" t="s">
        <v>25</v>
      </c>
      <c r="P1585" s="38">
        <v>60.180543981500001</v>
      </c>
      <c r="Q1585" s="39" t="s">
        <v>5591</v>
      </c>
      <c r="R1585" s="35" t="s">
        <v>916</v>
      </c>
      <c r="S1585" s="35" t="s">
        <v>5592</v>
      </c>
      <c r="T1585" s="35" t="s">
        <v>1624</v>
      </c>
      <c r="U1585" s="40">
        <v>45962</v>
      </c>
      <c r="V1585" s="41">
        <v>46153.532951388886</v>
      </c>
      <c r="W1585" s="40">
        <v>45961</v>
      </c>
      <c r="X1585" s="35" t="s">
        <v>916</v>
      </c>
      <c r="Y1585" s="35" t="s">
        <v>916</v>
      </c>
      <c r="Z1585" s="35" t="s">
        <v>916</v>
      </c>
      <c r="AA1585" s="38">
        <v>1444.3330555560001</v>
      </c>
      <c r="AB1585" s="42" t="s">
        <v>916</v>
      </c>
      <c r="AC1585" s="43" t="s">
        <v>916</v>
      </c>
      <c r="AD1585" s="43" t="s">
        <v>916</v>
      </c>
      <c r="AE1585" s="33" t="s">
        <v>3982</v>
      </c>
      <c r="AF1585" s="35" t="s">
        <v>916</v>
      </c>
      <c r="AG1585" s="44">
        <v>489427.66694444441</v>
      </c>
      <c r="AH1585" s="42" t="s">
        <v>916</v>
      </c>
      <c r="AI1585" s="32" t="e">
        <f>VLOOKUP(A1585,'4月明細'!B:B,1,0)</f>
        <v>#N/A</v>
      </c>
    </row>
    <row r="1586" spans="1:35" ht="19.95" customHeight="1" x14ac:dyDescent="0.3">
      <c r="A1586" s="33" t="s">
        <v>5593</v>
      </c>
      <c r="B1586" s="34">
        <v>45961.80736111111</v>
      </c>
      <c r="C1586" s="34" t="str">
        <f t="shared" si="37"/>
        <v>202510</v>
      </c>
      <c r="D1586" s="35" t="s">
        <v>2278</v>
      </c>
      <c r="E1586" s="36" t="s">
        <v>910</v>
      </c>
      <c r="F1586" s="36" t="s">
        <v>1017</v>
      </c>
      <c r="G1586" s="37" t="s">
        <v>5594</v>
      </c>
      <c r="H1586" s="36" t="s">
        <v>1079</v>
      </c>
      <c r="I1586" s="35"/>
      <c r="J1586" s="36" t="s">
        <v>929</v>
      </c>
      <c r="K1586" s="33" t="s">
        <v>916</v>
      </c>
      <c r="L1586" s="35" t="s">
        <v>916</v>
      </c>
      <c r="M1586" s="36" t="s">
        <v>916</v>
      </c>
      <c r="N1586" s="45">
        <v>46022</v>
      </c>
      <c r="O1586" s="36" t="s">
        <v>25</v>
      </c>
      <c r="P1586" s="38">
        <v>60.192638888899999</v>
      </c>
      <c r="Q1586" s="39" t="s">
        <v>5595</v>
      </c>
      <c r="R1586" s="35" t="s">
        <v>916</v>
      </c>
      <c r="S1586" s="35"/>
      <c r="T1586" s="35" t="s">
        <v>1624</v>
      </c>
      <c r="U1586" s="40">
        <v>45962</v>
      </c>
      <c r="V1586" s="41">
        <v>46153.532951388886</v>
      </c>
      <c r="W1586" s="40">
        <v>45961</v>
      </c>
      <c r="X1586" s="35" t="s">
        <v>916</v>
      </c>
      <c r="Y1586" s="35" t="s">
        <v>916</v>
      </c>
      <c r="Z1586" s="35" t="s">
        <v>916</v>
      </c>
      <c r="AA1586" s="38">
        <v>1444.6233333335999</v>
      </c>
      <c r="AB1586" s="42" t="s">
        <v>916</v>
      </c>
      <c r="AC1586" s="43" t="s">
        <v>916</v>
      </c>
      <c r="AD1586" s="43" t="s">
        <v>916</v>
      </c>
      <c r="AE1586" s="33" t="s">
        <v>3982</v>
      </c>
      <c r="AF1586" s="35" t="s">
        <v>916</v>
      </c>
      <c r="AG1586" s="44">
        <v>489427.37666666659</v>
      </c>
      <c r="AH1586" s="42" t="s">
        <v>916</v>
      </c>
      <c r="AI1586" s="32" t="e">
        <f>VLOOKUP(A1586,'4月明細'!B:B,1,0)</f>
        <v>#N/A</v>
      </c>
    </row>
    <row r="1587" spans="1:35" ht="19.95" customHeight="1" x14ac:dyDescent="0.3">
      <c r="A1587" s="33" t="s">
        <v>5596</v>
      </c>
      <c r="B1587" s="34">
        <v>45961.722442129627</v>
      </c>
      <c r="C1587" s="34" t="str">
        <f t="shared" si="37"/>
        <v>202510</v>
      </c>
      <c r="D1587" s="35" t="s">
        <v>951</v>
      </c>
      <c r="E1587" s="36" t="s">
        <v>910</v>
      </c>
      <c r="F1587" s="36" t="s">
        <v>1507</v>
      </c>
      <c r="G1587" s="37" t="s">
        <v>5597</v>
      </c>
      <c r="H1587" s="36" t="s">
        <v>3991</v>
      </c>
      <c r="I1587" s="35" t="s">
        <v>5598</v>
      </c>
      <c r="J1587" s="36" t="s">
        <v>929</v>
      </c>
      <c r="K1587" s="33" t="s">
        <v>916</v>
      </c>
      <c r="L1587" s="35" t="s">
        <v>916</v>
      </c>
      <c r="M1587" s="36" t="s">
        <v>1039</v>
      </c>
      <c r="N1587" s="45">
        <v>46022</v>
      </c>
      <c r="O1587" s="36" t="s">
        <v>25</v>
      </c>
      <c r="P1587" s="38">
        <v>60.277557870400003</v>
      </c>
      <c r="Q1587" s="39" t="s">
        <v>5599</v>
      </c>
      <c r="R1587" s="35" t="s">
        <v>916</v>
      </c>
      <c r="S1587" s="35"/>
      <c r="T1587" s="35" t="s">
        <v>1624</v>
      </c>
      <c r="U1587" s="40">
        <v>45962</v>
      </c>
      <c r="V1587" s="41">
        <v>46153.532951388886</v>
      </c>
      <c r="W1587" s="40">
        <v>45961</v>
      </c>
      <c r="X1587" s="35" t="s">
        <v>916</v>
      </c>
      <c r="Y1587" s="35" t="s">
        <v>916</v>
      </c>
      <c r="Z1587" s="35" t="s">
        <v>916</v>
      </c>
      <c r="AA1587" s="38">
        <v>1446.6613888895999</v>
      </c>
      <c r="AB1587" s="42" t="s">
        <v>916</v>
      </c>
      <c r="AC1587" s="43" t="s">
        <v>916</v>
      </c>
      <c r="AD1587" s="43" t="s">
        <v>916</v>
      </c>
      <c r="AE1587" s="33" t="s">
        <v>3982</v>
      </c>
      <c r="AF1587" s="35" t="s">
        <v>916</v>
      </c>
      <c r="AG1587" s="44">
        <v>489425.33861111122</v>
      </c>
      <c r="AH1587" s="42" t="s">
        <v>916</v>
      </c>
      <c r="AI1587" s="32" t="e">
        <f>VLOOKUP(A1587,'4月明細'!B:B,1,0)</f>
        <v>#N/A</v>
      </c>
    </row>
    <row r="1588" spans="1:35" ht="19.95" customHeight="1" x14ac:dyDescent="0.3">
      <c r="A1588" s="33" t="s">
        <v>5600</v>
      </c>
      <c r="B1588" s="34">
        <v>45961.695590277777</v>
      </c>
      <c r="C1588" s="34" t="str">
        <f t="shared" si="37"/>
        <v>202510</v>
      </c>
      <c r="D1588" s="35" t="s">
        <v>951</v>
      </c>
      <c r="E1588" s="36" t="s">
        <v>910</v>
      </c>
      <c r="F1588" s="36" t="s">
        <v>2600</v>
      </c>
      <c r="G1588" s="37" t="s">
        <v>5601</v>
      </c>
      <c r="H1588" s="36" t="s">
        <v>970</v>
      </c>
      <c r="I1588" s="35" t="s">
        <v>5602</v>
      </c>
      <c r="J1588" s="36" t="s">
        <v>929</v>
      </c>
      <c r="K1588" s="33" t="s">
        <v>916</v>
      </c>
      <c r="L1588" s="35" t="s">
        <v>916</v>
      </c>
      <c r="M1588" s="36" t="s">
        <v>916</v>
      </c>
      <c r="N1588" s="45">
        <v>46022</v>
      </c>
      <c r="O1588" s="36" t="s">
        <v>25</v>
      </c>
      <c r="P1588" s="38">
        <v>60.304409722199999</v>
      </c>
      <c r="Q1588" s="39" t="s">
        <v>5603</v>
      </c>
      <c r="R1588" s="35" t="s">
        <v>916</v>
      </c>
      <c r="S1588" s="35" t="s">
        <v>5604</v>
      </c>
      <c r="T1588" s="35" t="s">
        <v>1624</v>
      </c>
      <c r="U1588" s="40">
        <v>45962</v>
      </c>
      <c r="V1588" s="41">
        <v>46153.532951388886</v>
      </c>
      <c r="W1588" s="40">
        <v>45961</v>
      </c>
      <c r="X1588" s="35" t="s">
        <v>916</v>
      </c>
      <c r="Y1588" s="35" t="s">
        <v>916</v>
      </c>
      <c r="Z1588" s="35" t="s">
        <v>916</v>
      </c>
      <c r="AA1588" s="38">
        <v>1447.3058333327999</v>
      </c>
      <c r="AB1588" s="42" t="s">
        <v>916</v>
      </c>
      <c r="AC1588" s="43" t="s">
        <v>916</v>
      </c>
      <c r="AD1588" s="43" t="s">
        <v>916</v>
      </c>
      <c r="AE1588" s="33" t="s">
        <v>3982</v>
      </c>
      <c r="AF1588" s="35" t="s">
        <v>916</v>
      </c>
      <c r="AG1588" s="44">
        <v>489424.69416666671</v>
      </c>
      <c r="AH1588" s="42" t="s">
        <v>916</v>
      </c>
      <c r="AI1588" s="32" t="e">
        <f>VLOOKUP(A1588,'4月明細'!B:B,1,0)</f>
        <v>#N/A</v>
      </c>
    </row>
    <row r="1589" spans="1:35" ht="19.95" customHeight="1" x14ac:dyDescent="0.3">
      <c r="A1589" s="33" t="s">
        <v>5605</v>
      </c>
      <c r="B1589" s="34">
        <v>45961.664236111108</v>
      </c>
      <c r="C1589" s="34" t="str">
        <f t="shared" si="37"/>
        <v>202510</v>
      </c>
      <c r="D1589" s="35" t="s">
        <v>996</v>
      </c>
      <c r="E1589" s="36" t="s">
        <v>910</v>
      </c>
      <c r="F1589" s="36" t="s">
        <v>1350</v>
      </c>
      <c r="G1589" s="37" t="s">
        <v>5606</v>
      </c>
      <c r="H1589" s="36" t="s">
        <v>1048</v>
      </c>
      <c r="I1589" s="35" t="s">
        <v>5607</v>
      </c>
      <c r="J1589" s="36" t="s">
        <v>914</v>
      </c>
      <c r="K1589" s="33" t="s">
        <v>916</v>
      </c>
      <c r="L1589" s="35" t="s">
        <v>916</v>
      </c>
      <c r="M1589" s="36" t="s">
        <v>916</v>
      </c>
      <c r="N1589" s="45">
        <v>46022</v>
      </c>
      <c r="O1589" s="36" t="s">
        <v>25</v>
      </c>
      <c r="P1589" s="38">
        <v>60.335763888899997</v>
      </c>
      <c r="Q1589" s="39" t="s">
        <v>5608</v>
      </c>
      <c r="R1589" s="35" t="s">
        <v>916</v>
      </c>
      <c r="S1589" s="35"/>
      <c r="T1589" s="35" t="s">
        <v>1624</v>
      </c>
      <c r="U1589" s="40">
        <v>45962</v>
      </c>
      <c r="V1589" s="41">
        <v>46153.532951388886</v>
      </c>
      <c r="W1589" s="40">
        <v>45961</v>
      </c>
      <c r="X1589" s="35" t="s">
        <v>916</v>
      </c>
      <c r="Y1589" s="35" t="s">
        <v>916</v>
      </c>
      <c r="Z1589" s="35" t="s">
        <v>916</v>
      </c>
      <c r="AA1589" s="38">
        <v>1448.0583333336001</v>
      </c>
      <c r="AB1589" s="42" t="s">
        <v>916</v>
      </c>
      <c r="AC1589" s="43" t="s">
        <v>916</v>
      </c>
      <c r="AD1589" s="43" t="s">
        <v>916</v>
      </c>
      <c r="AE1589" s="33" t="s">
        <v>3982</v>
      </c>
      <c r="AF1589" s="35" t="s">
        <v>916</v>
      </c>
      <c r="AG1589" s="44">
        <v>489423.94166666671</v>
      </c>
      <c r="AH1589" s="42" t="s">
        <v>916</v>
      </c>
      <c r="AI1589" s="32" t="e">
        <f>VLOOKUP(A1589,'4月明細'!B:B,1,0)</f>
        <v>#N/A</v>
      </c>
    </row>
    <row r="1590" spans="1:35" ht="19.95" customHeight="1" x14ac:dyDescent="0.3">
      <c r="A1590" s="33" t="s">
        <v>5609</v>
      </c>
      <c r="B1590" s="34">
        <v>45961.633877314816</v>
      </c>
      <c r="C1590" s="34" t="str">
        <f t="shared" si="37"/>
        <v>202510</v>
      </c>
      <c r="D1590" s="35" t="s">
        <v>951</v>
      </c>
      <c r="E1590" s="36" t="s">
        <v>910</v>
      </c>
      <c r="F1590" s="36" t="s">
        <v>1220</v>
      </c>
      <c r="G1590" s="37" t="s">
        <v>5610</v>
      </c>
      <c r="H1590" s="36" t="s">
        <v>1048</v>
      </c>
      <c r="I1590" s="35"/>
      <c r="J1590" s="36" t="s">
        <v>929</v>
      </c>
      <c r="K1590" s="33" t="s">
        <v>916</v>
      </c>
      <c r="L1590" s="35" t="s">
        <v>916</v>
      </c>
      <c r="M1590" s="36" t="s">
        <v>916</v>
      </c>
      <c r="N1590" s="45">
        <v>46022</v>
      </c>
      <c r="O1590" s="36" t="s">
        <v>25</v>
      </c>
      <c r="P1590" s="38">
        <v>60.366122685199997</v>
      </c>
      <c r="Q1590" s="39" t="s">
        <v>5611</v>
      </c>
      <c r="R1590" s="35" t="s">
        <v>916</v>
      </c>
      <c r="S1590" s="35"/>
      <c r="T1590" s="35" t="s">
        <v>1624</v>
      </c>
      <c r="U1590" s="40">
        <v>45962</v>
      </c>
      <c r="V1590" s="41">
        <v>46153.532951388886</v>
      </c>
      <c r="W1590" s="40">
        <v>45961</v>
      </c>
      <c r="X1590" s="35" t="s">
        <v>916</v>
      </c>
      <c r="Y1590" s="35" t="s">
        <v>916</v>
      </c>
      <c r="Z1590" s="35" t="s">
        <v>916</v>
      </c>
      <c r="AA1590" s="38">
        <v>1448.7869444447999</v>
      </c>
      <c r="AB1590" s="42" t="s">
        <v>916</v>
      </c>
      <c r="AC1590" s="43" t="s">
        <v>916</v>
      </c>
      <c r="AD1590" s="43" t="s">
        <v>916</v>
      </c>
      <c r="AE1590" s="33" t="s">
        <v>3982</v>
      </c>
      <c r="AF1590" s="35" t="s">
        <v>916</v>
      </c>
      <c r="AG1590" s="44">
        <v>489423.21305555559</v>
      </c>
      <c r="AH1590" s="42" t="s">
        <v>916</v>
      </c>
      <c r="AI1590" s="32" t="e">
        <f>VLOOKUP(A1590,'4月明細'!B:B,1,0)</f>
        <v>#N/A</v>
      </c>
    </row>
    <row r="1591" spans="1:35" ht="19.95" customHeight="1" x14ac:dyDescent="0.3">
      <c r="A1591" s="33" t="s">
        <v>5612</v>
      </c>
      <c r="B1591" s="34">
        <v>45961.558749999997</v>
      </c>
      <c r="C1591" s="34" t="str">
        <f t="shared" si="37"/>
        <v>202510</v>
      </c>
      <c r="D1591" s="35" t="s">
        <v>996</v>
      </c>
      <c r="E1591" s="36" t="s">
        <v>910</v>
      </c>
      <c r="F1591" s="36" t="s">
        <v>1686</v>
      </c>
      <c r="G1591" s="37" t="s">
        <v>2601</v>
      </c>
      <c r="H1591" s="36" t="s">
        <v>1079</v>
      </c>
      <c r="I1591" s="35"/>
      <c r="J1591" s="36" t="s">
        <v>914</v>
      </c>
      <c r="K1591" s="33" t="s">
        <v>916</v>
      </c>
      <c r="L1591" s="35" t="s">
        <v>916</v>
      </c>
      <c r="M1591" s="36" t="s">
        <v>916</v>
      </c>
      <c r="N1591" s="45">
        <v>46022</v>
      </c>
      <c r="O1591" s="36" t="s">
        <v>25</v>
      </c>
      <c r="P1591" s="38">
        <v>60.441249999999997</v>
      </c>
      <c r="Q1591" s="39" t="s">
        <v>5613</v>
      </c>
      <c r="R1591" s="35" t="s">
        <v>916</v>
      </c>
      <c r="S1591" s="35"/>
      <c r="T1591" s="35" t="s">
        <v>1624</v>
      </c>
      <c r="U1591" s="40">
        <v>45962</v>
      </c>
      <c r="V1591" s="41">
        <v>46153.532951388886</v>
      </c>
      <c r="W1591" s="40">
        <v>45961</v>
      </c>
      <c r="X1591" s="35" t="s">
        <v>916</v>
      </c>
      <c r="Y1591" s="35" t="s">
        <v>916</v>
      </c>
      <c r="Z1591" s="35" t="s">
        <v>916</v>
      </c>
      <c r="AA1591" s="38">
        <v>1450.59</v>
      </c>
      <c r="AB1591" s="42" t="s">
        <v>916</v>
      </c>
      <c r="AC1591" s="43" t="s">
        <v>916</v>
      </c>
      <c r="AD1591" s="43" t="s">
        <v>916</v>
      </c>
      <c r="AE1591" s="33" t="s">
        <v>3982</v>
      </c>
      <c r="AF1591" s="35" t="s">
        <v>916</v>
      </c>
      <c r="AG1591" s="44">
        <v>489421.41</v>
      </c>
      <c r="AH1591" s="42" t="s">
        <v>916</v>
      </c>
      <c r="AI1591" s="32" t="e">
        <f>VLOOKUP(A1591,'4月明細'!B:B,1,0)</f>
        <v>#N/A</v>
      </c>
    </row>
    <row r="1592" spans="1:35" ht="19.95" customHeight="1" x14ac:dyDescent="0.3">
      <c r="A1592" s="33" t="s">
        <v>5614</v>
      </c>
      <c r="B1592" s="34">
        <v>45961.541215277779</v>
      </c>
      <c r="C1592" s="34" t="str">
        <f t="shared" si="37"/>
        <v>202510</v>
      </c>
      <c r="D1592" s="35" t="s">
        <v>951</v>
      </c>
      <c r="E1592" s="36" t="s">
        <v>910</v>
      </c>
      <c r="F1592" s="36" t="s">
        <v>1055</v>
      </c>
      <c r="G1592" s="37" t="s">
        <v>5615</v>
      </c>
      <c r="H1592" s="36" t="s">
        <v>3985</v>
      </c>
      <c r="I1592" s="35" t="s">
        <v>5616</v>
      </c>
      <c r="J1592" s="36" t="s">
        <v>914</v>
      </c>
      <c r="K1592" s="33" t="s">
        <v>916</v>
      </c>
      <c r="L1592" s="35" t="s">
        <v>916</v>
      </c>
      <c r="M1592" s="36" t="s">
        <v>916</v>
      </c>
      <c r="N1592" s="45">
        <v>46022</v>
      </c>
      <c r="O1592" s="36" t="s">
        <v>25</v>
      </c>
      <c r="P1592" s="38">
        <v>60.458784722200001</v>
      </c>
      <c r="Q1592" s="39" t="s">
        <v>4415</v>
      </c>
      <c r="R1592" s="35" t="s">
        <v>916</v>
      </c>
      <c r="S1592" s="35" t="s">
        <v>5617</v>
      </c>
      <c r="T1592" s="35" t="s">
        <v>1624</v>
      </c>
      <c r="U1592" s="40">
        <v>45962</v>
      </c>
      <c r="V1592" s="41">
        <v>46153.532951388886</v>
      </c>
      <c r="W1592" s="40">
        <v>45961</v>
      </c>
      <c r="X1592" s="35" t="s">
        <v>916</v>
      </c>
      <c r="Y1592" s="35" t="s">
        <v>916</v>
      </c>
      <c r="Z1592" s="35" t="s">
        <v>916</v>
      </c>
      <c r="AA1592" s="38">
        <v>1451.0108333328001</v>
      </c>
      <c r="AB1592" s="42" t="s">
        <v>916</v>
      </c>
      <c r="AC1592" s="43" t="s">
        <v>916</v>
      </c>
      <c r="AD1592" s="43" t="s">
        <v>916</v>
      </c>
      <c r="AE1592" s="33" t="s">
        <v>3982</v>
      </c>
      <c r="AF1592" s="35" t="s">
        <v>916</v>
      </c>
      <c r="AG1592" s="44">
        <v>489420.9891666667</v>
      </c>
      <c r="AH1592" s="42" t="s">
        <v>916</v>
      </c>
      <c r="AI1592" s="32" t="e">
        <f>VLOOKUP(A1592,'4月明細'!B:B,1,0)</f>
        <v>#N/A</v>
      </c>
    </row>
    <row r="1593" spans="1:35" ht="19.95" customHeight="1" x14ac:dyDescent="0.3">
      <c r="A1593" s="33" t="s">
        <v>5618</v>
      </c>
      <c r="B1593" s="34">
        <v>45961.480439814812</v>
      </c>
      <c r="C1593" s="34" t="str">
        <f t="shared" si="37"/>
        <v>202510</v>
      </c>
      <c r="D1593" s="35" t="s">
        <v>3875</v>
      </c>
      <c r="E1593" s="36" t="s">
        <v>942</v>
      </c>
      <c r="F1593" s="36" t="s">
        <v>2300</v>
      </c>
      <c r="G1593" s="37" t="s">
        <v>5619</v>
      </c>
      <c r="H1593" s="36" t="s">
        <v>1184</v>
      </c>
      <c r="I1593" s="35"/>
      <c r="J1593" s="36" t="s">
        <v>945</v>
      </c>
      <c r="K1593" s="33" t="s">
        <v>916</v>
      </c>
      <c r="L1593" s="35" t="s">
        <v>916</v>
      </c>
      <c r="M1593" s="36" t="s">
        <v>916</v>
      </c>
      <c r="N1593" s="45">
        <v>46022</v>
      </c>
      <c r="O1593" s="36" t="s">
        <v>25</v>
      </c>
      <c r="P1593" s="38">
        <v>60.5195601852</v>
      </c>
      <c r="Q1593" s="39" t="s">
        <v>5620</v>
      </c>
      <c r="R1593" s="35" t="s">
        <v>916</v>
      </c>
      <c r="S1593" s="35"/>
      <c r="T1593" s="35" t="s">
        <v>1624</v>
      </c>
      <c r="U1593" s="40">
        <v>45962</v>
      </c>
      <c r="V1593" s="41">
        <v>46153.532951388886</v>
      </c>
      <c r="W1593" s="40">
        <v>45961</v>
      </c>
      <c r="X1593" s="35" t="s">
        <v>916</v>
      </c>
      <c r="Y1593" s="35" t="s">
        <v>916</v>
      </c>
      <c r="Z1593" s="35" t="s">
        <v>916</v>
      </c>
      <c r="AA1593" s="38">
        <v>1452.4694444448</v>
      </c>
      <c r="AB1593" s="42" t="s">
        <v>916</v>
      </c>
      <c r="AC1593" s="43" t="s">
        <v>916</v>
      </c>
      <c r="AD1593" s="43" t="s">
        <v>916</v>
      </c>
      <c r="AE1593" s="33" t="s">
        <v>3982</v>
      </c>
      <c r="AF1593" s="35" t="s">
        <v>916</v>
      </c>
      <c r="AG1593" s="44">
        <v>489419.5305555556</v>
      </c>
      <c r="AH1593" s="42" t="s">
        <v>916</v>
      </c>
      <c r="AI1593" s="32" t="e">
        <f>VLOOKUP(A1593,'4月明細'!B:B,1,0)</f>
        <v>#N/A</v>
      </c>
    </row>
    <row r="1594" spans="1:35" ht="19.95" customHeight="1" x14ac:dyDescent="0.3">
      <c r="A1594" s="33" t="s">
        <v>5621</v>
      </c>
      <c r="B1594" s="34">
        <v>45961.476030092592</v>
      </c>
      <c r="C1594" s="34" t="str">
        <f t="shared" si="37"/>
        <v>202510</v>
      </c>
      <c r="D1594" s="35" t="s">
        <v>5622</v>
      </c>
      <c r="E1594" s="36" t="s">
        <v>910</v>
      </c>
      <c r="F1594" s="36" t="s">
        <v>2300</v>
      </c>
      <c r="G1594" s="37" t="s">
        <v>5623</v>
      </c>
      <c r="H1594" s="36" t="s">
        <v>1184</v>
      </c>
      <c r="I1594" s="35"/>
      <c r="J1594" s="36" t="s">
        <v>945</v>
      </c>
      <c r="K1594" s="33" t="s">
        <v>916</v>
      </c>
      <c r="L1594" s="35" t="s">
        <v>916</v>
      </c>
      <c r="M1594" s="36" t="s">
        <v>916</v>
      </c>
      <c r="N1594" s="45">
        <v>46022</v>
      </c>
      <c r="O1594" s="36" t="s">
        <v>25</v>
      </c>
      <c r="P1594" s="38">
        <v>60.523969907400001</v>
      </c>
      <c r="Q1594" s="39" t="s">
        <v>5620</v>
      </c>
      <c r="R1594" s="35" t="s">
        <v>916</v>
      </c>
      <c r="S1594" s="35"/>
      <c r="T1594" s="35" t="s">
        <v>1624</v>
      </c>
      <c r="U1594" s="40">
        <v>45962</v>
      </c>
      <c r="V1594" s="41">
        <v>46153.532951388886</v>
      </c>
      <c r="W1594" s="40">
        <v>45961</v>
      </c>
      <c r="X1594" s="35" t="s">
        <v>916</v>
      </c>
      <c r="Y1594" s="35" t="s">
        <v>916</v>
      </c>
      <c r="Z1594" s="35" t="s">
        <v>916</v>
      </c>
      <c r="AA1594" s="38">
        <v>1452.5752777775999</v>
      </c>
      <c r="AB1594" s="42" t="s">
        <v>916</v>
      </c>
      <c r="AC1594" s="43" t="s">
        <v>916</v>
      </c>
      <c r="AD1594" s="43" t="s">
        <v>916</v>
      </c>
      <c r="AE1594" s="33" t="s">
        <v>3982</v>
      </c>
      <c r="AF1594" s="35" t="s">
        <v>916</v>
      </c>
      <c r="AG1594" s="44">
        <v>489419.4247222222</v>
      </c>
      <c r="AH1594" s="42" t="s">
        <v>916</v>
      </c>
      <c r="AI1594" s="32" t="e">
        <f>VLOOKUP(A1594,'4月明細'!B:B,1,0)</f>
        <v>#N/A</v>
      </c>
    </row>
    <row r="1595" spans="1:35" ht="19.95" customHeight="1" x14ac:dyDescent="0.3">
      <c r="A1595" s="33" t="s">
        <v>5624</v>
      </c>
      <c r="B1595" s="34">
        <v>45961.462824074071</v>
      </c>
      <c r="C1595" s="34" t="str">
        <f t="shared" si="37"/>
        <v>202510</v>
      </c>
      <c r="D1595" s="35" t="s">
        <v>996</v>
      </c>
      <c r="E1595" s="36" t="s">
        <v>910</v>
      </c>
      <c r="F1595" s="36" t="s">
        <v>1010</v>
      </c>
      <c r="G1595" s="37" t="s">
        <v>5625</v>
      </c>
      <c r="H1595" s="36" t="s">
        <v>4029</v>
      </c>
      <c r="I1595" s="35" t="s">
        <v>5626</v>
      </c>
      <c r="J1595" s="36" t="s">
        <v>914</v>
      </c>
      <c r="K1595" s="33" t="s">
        <v>916</v>
      </c>
      <c r="L1595" s="35" t="s">
        <v>916</v>
      </c>
      <c r="M1595" s="36" t="s">
        <v>916</v>
      </c>
      <c r="N1595" s="45">
        <v>46022</v>
      </c>
      <c r="O1595" s="36" t="s">
        <v>25</v>
      </c>
      <c r="P1595" s="38">
        <v>60.537175925900002</v>
      </c>
      <c r="Q1595" s="39" t="s">
        <v>5627</v>
      </c>
      <c r="R1595" s="35" t="s">
        <v>916</v>
      </c>
      <c r="S1595" s="35"/>
      <c r="T1595" s="35" t="s">
        <v>1624</v>
      </c>
      <c r="U1595" s="40">
        <v>45962</v>
      </c>
      <c r="V1595" s="41">
        <v>46153.532951388886</v>
      </c>
      <c r="W1595" s="40">
        <v>45961</v>
      </c>
      <c r="X1595" s="35" t="s">
        <v>916</v>
      </c>
      <c r="Y1595" s="35" t="s">
        <v>916</v>
      </c>
      <c r="Z1595" s="35" t="s">
        <v>916</v>
      </c>
      <c r="AA1595" s="38">
        <v>1452.8922222215999</v>
      </c>
      <c r="AB1595" s="42" t="s">
        <v>916</v>
      </c>
      <c r="AC1595" s="43" t="s">
        <v>916</v>
      </c>
      <c r="AD1595" s="43" t="s">
        <v>916</v>
      </c>
      <c r="AE1595" s="33" t="s">
        <v>3982</v>
      </c>
      <c r="AF1595" s="35" t="s">
        <v>916</v>
      </c>
      <c r="AG1595" s="44">
        <v>489419.10777777783</v>
      </c>
      <c r="AH1595" s="42" t="s">
        <v>916</v>
      </c>
      <c r="AI1595" s="32" t="e">
        <f>VLOOKUP(A1595,'4月明細'!B:B,1,0)</f>
        <v>#N/A</v>
      </c>
    </row>
    <row r="1596" spans="1:35" ht="19.95" customHeight="1" x14ac:dyDescent="0.3">
      <c r="A1596" s="33" t="s">
        <v>5628</v>
      </c>
      <c r="B1596" s="34">
        <v>45961.43072916667</v>
      </c>
      <c r="C1596" s="34" t="str">
        <f t="shared" si="37"/>
        <v>202510</v>
      </c>
      <c r="D1596" s="35" t="s">
        <v>5413</v>
      </c>
      <c r="E1596" s="36" t="s">
        <v>910</v>
      </c>
      <c r="F1596" s="36" t="s">
        <v>1141</v>
      </c>
      <c r="G1596" s="37" t="s">
        <v>5629</v>
      </c>
      <c r="H1596" s="36" t="s">
        <v>4157</v>
      </c>
      <c r="I1596" s="35" t="s">
        <v>5630</v>
      </c>
      <c r="J1596" s="36" t="s">
        <v>914</v>
      </c>
      <c r="K1596" s="33" t="s">
        <v>916</v>
      </c>
      <c r="L1596" s="35" t="s">
        <v>916</v>
      </c>
      <c r="M1596" s="36" t="s">
        <v>916</v>
      </c>
      <c r="N1596" s="45">
        <v>46022</v>
      </c>
      <c r="O1596" s="36" t="s">
        <v>25</v>
      </c>
      <c r="P1596" s="38">
        <v>60.569270833300003</v>
      </c>
      <c r="Q1596" s="39" t="s">
        <v>5480</v>
      </c>
      <c r="R1596" s="35" t="s">
        <v>916</v>
      </c>
      <c r="S1596" s="35"/>
      <c r="T1596" s="35" t="s">
        <v>1624</v>
      </c>
      <c r="U1596" s="40">
        <v>45962</v>
      </c>
      <c r="V1596" s="41">
        <v>46153.532951388886</v>
      </c>
      <c r="W1596" s="40">
        <v>45961</v>
      </c>
      <c r="X1596" s="35" t="s">
        <v>916</v>
      </c>
      <c r="Y1596" s="35" t="s">
        <v>916</v>
      </c>
      <c r="Z1596" s="35" t="s">
        <v>916</v>
      </c>
      <c r="AA1596" s="38">
        <v>1453.6624999992</v>
      </c>
      <c r="AB1596" s="42" t="s">
        <v>916</v>
      </c>
      <c r="AC1596" s="43" t="s">
        <v>916</v>
      </c>
      <c r="AD1596" s="43" t="s">
        <v>916</v>
      </c>
      <c r="AE1596" s="33" t="s">
        <v>3982</v>
      </c>
      <c r="AF1596" s="35" t="s">
        <v>916</v>
      </c>
      <c r="AG1596" s="44">
        <v>489418.33750000002</v>
      </c>
      <c r="AH1596" s="42" t="s">
        <v>916</v>
      </c>
      <c r="AI1596" s="32" t="e">
        <f>VLOOKUP(A1596,'4月明細'!B:B,1,0)</f>
        <v>#N/A</v>
      </c>
    </row>
    <row r="1597" spans="1:35" ht="19.95" customHeight="1" x14ac:dyDescent="0.3">
      <c r="A1597" s="33" t="s">
        <v>5631</v>
      </c>
      <c r="B1597" s="34">
        <v>45961.328020833331</v>
      </c>
      <c r="C1597" s="34" t="str">
        <f t="shared" si="37"/>
        <v>202510</v>
      </c>
      <c r="D1597" s="35" t="s">
        <v>1217</v>
      </c>
      <c r="E1597" s="36" t="s">
        <v>942</v>
      </c>
      <c r="F1597" s="36" t="s">
        <v>1141</v>
      </c>
      <c r="G1597" s="37" t="s">
        <v>5632</v>
      </c>
      <c r="H1597" s="36" t="s">
        <v>3996</v>
      </c>
      <c r="I1597" s="35"/>
      <c r="J1597" s="36" t="s">
        <v>929</v>
      </c>
      <c r="K1597" s="33" t="s">
        <v>916</v>
      </c>
      <c r="L1597" s="35" t="s">
        <v>916</v>
      </c>
      <c r="M1597" s="36" t="s">
        <v>916</v>
      </c>
      <c r="N1597" s="45">
        <v>46022</v>
      </c>
      <c r="O1597" s="36" t="s">
        <v>25</v>
      </c>
      <c r="P1597" s="38">
        <v>60.671979166699998</v>
      </c>
      <c r="Q1597" s="39" t="s">
        <v>5480</v>
      </c>
      <c r="R1597" s="35" t="s">
        <v>916</v>
      </c>
      <c r="S1597" s="35"/>
      <c r="T1597" s="35" t="s">
        <v>1624</v>
      </c>
      <c r="U1597" s="40">
        <v>45962</v>
      </c>
      <c r="V1597" s="41">
        <v>46153.532951388886</v>
      </c>
      <c r="W1597" s="40">
        <v>45961</v>
      </c>
      <c r="X1597" s="35" t="s">
        <v>916</v>
      </c>
      <c r="Y1597" s="35" t="s">
        <v>916</v>
      </c>
      <c r="Z1597" s="35" t="s">
        <v>916</v>
      </c>
      <c r="AA1597" s="38">
        <v>1456.1275000008</v>
      </c>
      <c r="AB1597" s="42" t="s">
        <v>916</v>
      </c>
      <c r="AC1597" s="43" t="s">
        <v>916</v>
      </c>
      <c r="AD1597" s="43" t="s">
        <v>916</v>
      </c>
      <c r="AE1597" s="33" t="s">
        <v>3982</v>
      </c>
      <c r="AF1597" s="35" t="s">
        <v>916</v>
      </c>
      <c r="AG1597" s="44">
        <v>489415.87250000011</v>
      </c>
      <c r="AH1597" s="42" t="s">
        <v>916</v>
      </c>
      <c r="AI1597" s="32" t="e">
        <f>VLOOKUP(A1597,'4月明細'!B:B,1,0)</f>
        <v>#N/A</v>
      </c>
    </row>
    <row r="1598" spans="1:35" ht="19.95" customHeight="1" x14ac:dyDescent="0.3">
      <c r="A1598" s="33" t="s">
        <v>5633</v>
      </c>
      <c r="B1598" s="34">
        <v>45960.70857638889</v>
      </c>
      <c r="C1598" s="34" t="str">
        <f t="shared" si="37"/>
        <v>202510</v>
      </c>
      <c r="D1598" s="35" t="s">
        <v>996</v>
      </c>
      <c r="E1598" s="36" t="s">
        <v>910</v>
      </c>
      <c r="F1598" s="36" t="s">
        <v>1021</v>
      </c>
      <c r="G1598" s="37" t="s">
        <v>5634</v>
      </c>
      <c r="H1598" s="36" t="s">
        <v>4029</v>
      </c>
      <c r="I1598" s="35" t="s">
        <v>5635</v>
      </c>
      <c r="J1598" s="36" t="s">
        <v>914</v>
      </c>
      <c r="K1598" s="33" t="s">
        <v>916</v>
      </c>
      <c r="L1598" s="35" t="s">
        <v>916</v>
      </c>
      <c r="M1598" s="36" t="s">
        <v>916</v>
      </c>
      <c r="N1598" s="45">
        <v>46022</v>
      </c>
      <c r="O1598" s="36" t="s">
        <v>25</v>
      </c>
      <c r="P1598" s="38">
        <v>61.291423611100001</v>
      </c>
      <c r="Q1598" s="39" t="s">
        <v>5636</v>
      </c>
      <c r="R1598" s="35" t="s">
        <v>916</v>
      </c>
      <c r="S1598" s="35"/>
      <c r="T1598" s="35" t="s">
        <v>1624</v>
      </c>
      <c r="U1598" s="40">
        <v>45961</v>
      </c>
      <c r="V1598" s="41">
        <v>46153.532951388886</v>
      </c>
      <c r="W1598" s="40">
        <v>45960</v>
      </c>
      <c r="X1598" s="35" t="s">
        <v>916</v>
      </c>
      <c r="Y1598" s="35" t="s">
        <v>916</v>
      </c>
      <c r="Z1598" s="35" t="s">
        <v>916</v>
      </c>
      <c r="AA1598" s="38">
        <v>1470.9941666663999</v>
      </c>
      <c r="AB1598" s="42" t="s">
        <v>916</v>
      </c>
      <c r="AC1598" s="43" t="s">
        <v>916</v>
      </c>
      <c r="AD1598" s="43" t="s">
        <v>916</v>
      </c>
      <c r="AE1598" s="33" t="s">
        <v>3982</v>
      </c>
      <c r="AF1598" s="35" t="s">
        <v>916</v>
      </c>
      <c r="AG1598" s="44">
        <v>489401.00583333342</v>
      </c>
      <c r="AH1598" s="42" t="s">
        <v>916</v>
      </c>
      <c r="AI1598" s="32" t="e">
        <f>VLOOKUP(A1598,'4月明細'!B:B,1,0)</f>
        <v>#N/A</v>
      </c>
    </row>
    <row r="1599" spans="1:35" ht="19.95" customHeight="1" x14ac:dyDescent="0.3">
      <c r="A1599" s="33" t="s">
        <v>5637</v>
      </c>
      <c r="B1599" s="34">
        <v>45960.668032407404</v>
      </c>
      <c r="C1599" s="34" t="str">
        <f t="shared" si="37"/>
        <v>202510</v>
      </c>
      <c r="D1599" s="35" t="s">
        <v>996</v>
      </c>
      <c r="E1599" s="36" t="s">
        <v>910</v>
      </c>
      <c r="F1599" s="36" t="s">
        <v>1021</v>
      </c>
      <c r="G1599" s="37" t="s">
        <v>5638</v>
      </c>
      <c r="H1599" s="36" t="s">
        <v>1079</v>
      </c>
      <c r="I1599" s="35"/>
      <c r="J1599" s="36" t="s">
        <v>914</v>
      </c>
      <c r="K1599" s="33" t="s">
        <v>916</v>
      </c>
      <c r="L1599" s="35" t="s">
        <v>916</v>
      </c>
      <c r="M1599" s="36" t="s">
        <v>916</v>
      </c>
      <c r="N1599" s="45">
        <v>46022</v>
      </c>
      <c r="O1599" s="36" t="s">
        <v>25</v>
      </c>
      <c r="P1599" s="38">
        <v>61.331967592600002</v>
      </c>
      <c r="Q1599" s="39" t="s">
        <v>5639</v>
      </c>
      <c r="R1599" s="35" t="s">
        <v>916</v>
      </c>
      <c r="S1599" s="35"/>
      <c r="T1599" s="35" t="s">
        <v>1624</v>
      </c>
      <c r="U1599" s="40">
        <v>45961</v>
      </c>
      <c r="V1599" s="41">
        <v>46153.532951388886</v>
      </c>
      <c r="W1599" s="40">
        <v>45960</v>
      </c>
      <c r="X1599" s="35" t="s">
        <v>916</v>
      </c>
      <c r="Y1599" s="35" t="s">
        <v>916</v>
      </c>
      <c r="Z1599" s="35" t="s">
        <v>916</v>
      </c>
      <c r="AA1599" s="38">
        <v>1471.9672222224001</v>
      </c>
      <c r="AB1599" s="42" t="s">
        <v>916</v>
      </c>
      <c r="AC1599" s="43" t="s">
        <v>916</v>
      </c>
      <c r="AD1599" s="43" t="s">
        <v>916</v>
      </c>
      <c r="AE1599" s="33" t="s">
        <v>3982</v>
      </c>
      <c r="AF1599" s="35" t="s">
        <v>916</v>
      </c>
      <c r="AG1599" s="44">
        <v>489400.03277777781</v>
      </c>
      <c r="AH1599" s="42" t="s">
        <v>916</v>
      </c>
      <c r="AI1599" s="32" t="e">
        <f>VLOOKUP(A1599,'4月明細'!B:B,1,0)</f>
        <v>#N/A</v>
      </c>
    </row>
    <row r="1600" spans="1:35" ht="19.95" customHeight="1" x14ac:dyDescent="0.3">
      <c r="A1600" s="33" t="s">
        <v>5640</v>
      </c>
      <c r="B1600" s="34">
        <v>45960.54414351852</v>
      </c>
      <c r="C1600" s="34" t="str">
        <f t="shared" si="37"/>
        <v>202510</v>
      </c>
      <c r="D1600" s="35" t="s">
        <v>5413</v>
      </c>
      <c r="E1600" s="36" t="s">
        <v>910</v>
      </c>
      <c r="F1600" s="36" t="s">
        <v>1591</v>
      </c>
      <c r="G1600" s="37" t="s">
        <v>5641</v>
      </c>
      <c r="H1600" s="36" t="s">
        <v>1079</v>
      </c>
      <c r="I1600" s="35"/>
      <c r="J1600" s="36" t="s">
        <v>914</v>
      </c>
      <c r="K1600" s="33" t="s">
        <v>916</v>
      </c>
      <c r="L1600" s="35" t="s">
        <v>916</v>
      </c>
      <c r="M1600" s="36" t="s">
        <v>916</v>
      </c>
      <c r="N1600" s="45">
        <v>46022</v>
      </c>
      <c r="O1600" s="36" t="s">
        <v>25</v>
      </c>
      <c r="P1600" s="38">
        <v>61.4558564815</v>
      </c>
      <c r="Q1600" s="39" t="s">
        <v>5642</v>
      </c>
      <c r="R1600" s="35" t="s">
        <v>916</v>
      </c>
      <c r="S1600" s="35"/>
      <c r="T1600" s="35" t="s">
        <v>1701</v>
      </c>
      <c r="U1600" s="40">
        <v>45961</v>
      </c>
      <c r="V1600" s="41">
        <v>46153.532951388886</v>
      </c>
      <c r="W1600" s="40">
        <v>45960</v>
      </c>
      <c r="X1600" s="35" t="s">
        <v>916</v>
      </c>
      <c r="Y1600" s="35" t="s">
        <v>916</v>
      </c>
      <c r="Z1600" s="35" t="s">
        <v>916</v>
      </c>
      <c r="AA1600" s="38">
        <v>1474.9405555559999</v>
      </c>
      <c r="AB1600" s="42" t="s">
        <v>916</v>
      </c>
      <c r="AC1600" s="43" t="s">
        <v>916</v>
      </c>
      <c r="AD1600" s="43" t="s">
        <v>916</v>
      </c>
      <c r="AE1600" s="33" t="s">
        <v>3982</v>
      </c>
      <c r="AF1600" s="35" t="s">
        <v>916</v>
      </c>
      <c r="AG1600" s="44">
        <v>489397.05944444449</v>
      </c>
      <c r="AH1600" s="42" t="s">
        <v>916</v>
      </c>
      <c r="AI1600" s="32" t="e">
        <f>VLOOKUP(A1600,'4月明細'!B:B,1,0)</f>
        <v>#N/A</v>
      </c>
    </row>
    <row r="1601" spans="1:35" ht="19.95" customHeight="1" x14ac:dyDescent="0.3">
      <c r="A1601" s="33" t="s">
        <v>5643</v>
      </c>
      <c r="B1601" s="34">
        <v>45960.521655092591</v>
      </c>
      <c r="C1601" s="34" t="str">
        <f t="shared" si="37"/>
        <v>202510</v>
      </c>
      <c r="D1601" s="35" t="s">
        <v>996</v>
      </c>
      <c r="E1601" s="36" t="s">
        <v>910</v>
      </c>
      <c r="F1601" s="36" t="s">
        <v>1203</v>
      </c>
      <c r="G1601" s="37" t="s">
        <v>1018</v>
      </c>
      <c r="H1601" s="36" t="s">
        <v>4157</v>
      </c>
      <c r="I1601" s="35" t="s">
        <v>5644</v>
      </c>
      <c r="J1601" s="36" t="s">
        <v>929</v>
      </c>
      <c r="K1601" s="33" t="s">
        <v>916</v>
      </c>
      <c r="L1601" s="35" t="s">
        <v>916</v>
      </c>
      <c r="M1601" s="36" t="s">
        <v>916</v>
      </c>
      <c r="N1601" s="45">
        <v>46022</v>
      </c>
      <c r="O1601" s="36" t="s">
        <v>25</v>
      </c>
      <c r="P1601" s="38">
        <v>61.4783449074</v>
      </c>
      <c r="Q1601" s="39" t="s">
        <v>5645</v>
      </c>
      <c r="R1601" s="35" t="s">
        <v>916</v>
      </c>
      <c r="S1601" s="35" t="s">
        <v>5646</v>
      </c>
      <c r="T1601" s="35" t="s">
        <v>1701</v>
      </c>
      <c r="U1601" s="40">
        <v>45961</v>
      </c>
      <c r="V1601" s="41">
        <v>46153.532951388886</v>
      </c>
      <c r="W1601" s="40">
        <v>45960</v>
      </c>
      <c r="X1601" s="35" t="s">
        <v>916</v>
      </c>
      <c r="Y1601" s="35" t="s">
        <v>916</v>
      </c>
      <c r="Z1601" s="35" t="s">
        <v>916</v>
      </c>
      <c r="AA1601" s="38">
        <v>1475.4802777775999</v>
      </c>
      <c r="AB1601" s="42" t="s">
        <v>916</v>
      </c>
      <c r="AC1601" s="43" t="s">
        <v>916</v>
      </c>
      <c r="AD1601" s="43" t="s">
        <v>916</v>
      </c>
      <c r="AE1601" s="33" t="s">
        <v>3982</v>
      </c>
      <c r="AF1601" s="35" t="s">
        <v>916</v>
      </c>
      <c r="AG1601" s="44">
        <v>489396.51972222218</v>
      </c>
      <c r="AH1601" s="42" t="s">
        <v>916</v>
      </c>
      <c r="AI1601" s="32" t="e">
        <f>VLOOKUP(A1601,'4月明細'!B:B,1,0)</f>
        <v>#N/A</v>
      </c>
    </row>
    <row r="1602" spans="1:35" ht="19.95" customHeight="1" x14ac:dyDescent="0.3">
      <c r="A1602" s="33" t="s">
        <v>5647</v>
      </c>
      <c r="B1602" s="34">
        <v>45960.51525462963</v>
      </c>
      <c r="C1602" s="34" t="str">
        <f t="shared" si="37"/>
        <v>202510</v>
      </c>
      <c r="D1602" s="35" t="s">
        <v>996</v>
      </c>
      <c r="E1602" s="36" t="s">
        <v>910</v>
      </c>
      <c r="F1602" s="36" t="s">
        <v>1260</v>
      </c>
      <c r="G1602" s="37" t="s">
        <v>5648</v>
      </c>
      <c r="H1602" s="36" t="s">
        <v>4240</v>
      </c>
      <c r="I1602" s="35"/>
      <c r="J1602" s="36" t="s">
        <v>914</v>
      </c>
      <c r="K1602" s="33" t="s">
        <v>916</v>
      </c>
      <c r="L1602" s="35" t="s">
        <v>916</v>
      </c>
      <c r="M1602" s="36" t="s">
        <v>916</v>
      </c>
      <c r="N1602" s="45">
        <v>46022</v>
      </c>
      <c r="O1602" s="36" t="s">
        <v>25</v>
      </c>
      <c r="P1602" s="38">
        <v>61.484745370399999</v>
      </c>
      <c r="Q1602" s="39" t="s">
        <v>5649</v>
      </c>
      <c r="R1602" s="35" t="s">
        <v>916</v>
      </c>
      <c r="S1602" s="35" t="s">
        <v>5650</v>
      </c>
      <c r="T1602" s="35" t="s">
        <v>1624</v>
      </c>
      <c r="U1602" s="40">
        <v>45961</v>
      </c>
      <c r="V1602" s="41">
        <v>46153.532951388886</v>
      </c>
      <c r="W1602" s="40">
        <v>45960</v>
      </c>
      <c r="X1602" s="35" t="s">
        <v>916</v>
      </c>
      <c r="Y1602" s="35" t="s">
        <v>916</v>
      </c>
      <c r="Z1602" s="35" t="s">
        <v>916</v>
      </c>
      <c r="AA1602" s="38">
        <v>1475.6338888896</v>
      </c>
      <c r="AB1602" s="42" t="s">
        <v>916</v>
      </c>
      <c r="AC1602" s="43" t="s">
        <v>916</v>
      </c>
      <c r="AD1602" s="43" t="s">
        <v>916</v>
      </c>
      <c r="AE1602" s="33" t="s">
        <v>3982</v>
      </c>
      <c r="AF1602" s="35" t="s">
        <v>916</v>
      </c>
      <c r="AG1602" s="44">
        <v>489396.36611111113</v>
      </c>
      <c r="AH1602" s="42" t="s">
        <v>916</v>
      </c>
      <c r="AI1602" s="32" t="e">
        <f>VLOOKUP(A1602,'4月明細'!B:B,1,0)</f>
        <v>#N/A</v>
      </c>
    </row>
    <row r="1603" spans="1:35" ht="19.95" customHeight="1" x14ac:dyDescent="0.3">
      <c r="A1603" s="33" t="s">
        <v>5651</v>
      </c>
      <c r="B1603" s="34">
        <v>45960.49386574074</v>
      </c>
      <c r="C1603" s="34" t="str">
        <f t="shared" ref="C1603:C1666" si="38">TEXT(B1603,"YYYYMM")</f>
        <v>202510</v>
      </c>
      <c r="D1603" s="35" t="s">
        <v>996</v>
      </c>
      <c r="E1603" s="36" t="s">
        <v>910</v>
      </c>
      <c r="F1603" s="36" t="s">
        <v>1507</v>
      </c>
      <c r="G1603" s="37" t="s">
        <v>5652</v>
      </c>
      <c r="H1603" s="36" t="s">
        <v>3985</v>
      </c>
      <c r="I1603" s="35" t="s">
        <v>5653</v>
      </c>
      <c r="J1603" s="36" t="s">
        <v>914</v>
      </c>
      <c r="K1603" s="33" t="s">
        <v>916</v>
      </c>
      <c r="L1603" s="35" t="s">
        <v>916</v>
      </c>
      <c r="M1603" s="36" t="s">
        <v>916</v>
      </c>
      <c r="N1603" s="45">
        <v>46022</v>
      </c>
      <c r="O1603" s="36" t="s">
        <v>25</v>
      </c>
      <c r="P1603" s="38">
        <v>61.506134259299998</v>
      </c>
      <c r="Q1603" s="39" t="s">
        <v>5654</v>
      </c>
      <c r="R1603" s="35" t="s">
        <v>916</v>
      </c>
      <c r="S1603" s="35" t="s">
        <v>5655</v>
      </c>
      <c r="T1603" s="35" t="s">
        <v>1701</v>
      </c>
      <c r="U1603" s="40">
        <v>45961</v>
      </c>
      <c r="V1603" s="41">
        <v>46153.532951388886</v>
      </c>
      <c r="W1603" s="40">
        <v>45960</v>
      </c>
      <c r="X1603" s="35" t="s">
        <v>916</v>
      </c>
      <c r="Y1603" s="35" t="s">
        <v>916</v>
      </c>
      <c r="Z1603" s="35" t="s">
        <v>916</v>
      </c>
      <c r="AA1603" s="38">
        <v>1476.1472222232001</v>
      </c>
      <c r="AB1603" s="42" t="s">
        <v>916</v>
      </c>
      <c r="AC1603" s="43" t="s">
        <v>916</v>
      </c>
      <c r="AD1603" s="43" t="s">
        <v>916</v>
      </c>
      <c r="AE1603" s="33" t="s">
        <v>3982</v>
      </c>
      <c r="AF1603" s="35" t="s">
        <v>916</v>
      </c>
      <c r="AG1603" s="44">
        <v>489395.85277777782</v>
      </c>
      <c r="AH1603" s="42" t="s">
        <v>916</v>
      </c>
      <c r="AI1603" s="32" t="e">
        <f>VLOOKUP(A1603,'4月明細'!B:B,1,0)</f>
        <v>#N/A</v>
      </c>
    </row>
    <row r="1604" spans="1:35" ht="19.95" customHeight="1" x14ac:dyDescent="0.3">
      <c r="A1604" s="33" t="s">
        <v>5656</v>
      </c>
      <c r="B1604" s="34">
        <v>45959.788958333331</v>
      </c>
      <c r="C1604" s="34" t="str">
        <f t="shared" si="38"/>
        <v>202510</v>
      </c>
      <c r="D1604" s="35" t="s">
        <v>4067</v>
      </c>
      <c r="E1604" s="36" t="s">
        <v>942</v>
      </c>
      <c r="F1604" s="36" t="s">
        <v>1686</v>
      </c>
      <c r="G1604" s="37" t="s">
        <v>5657</v>
      </c>
      <c r="H1604" s="36" t="s">
        <v>1079</v>
      </c>
      <c r="I1604" s="35"/>
      <c r="J1604" s="36" t="s">
        <v>945</v>
      </c>
      <c r="K1604" s="33" t="s">
        <v>916</v>
      </c>
      <c r="L1604" s="35" t="s">
        <v>916</v>
      </c>
      <c r="M1604" s="36" t="s">
        <v>916</v>
      </c>
      <c r="N1604" s="45">
        <v>46022</v>
      </c>
      <c r="O1604" s="36" t="s">
        <v>25</v>
      </c>
      <c r="P1604" s="38">
        <v>62.211041666699998</v>
      </c>
      <c r="Q1604" s="39" t="s">
        <v>5613</v>
      </c>
      <c r="R1604" s="35" t="s">
        <v>916</v>
      </c>
      <c r="S1604" s="35"/>
      <c r="T1604" s="35" t="s">
        <v>1624</v>
      </c>
      <c r="U1604" s="40">
        <v>45960</v>
      </c>
      <c r="V1604" s="41">
        <v>46153.532951388886</v>
      </c>
      <c r="W1604" s="40">
        <v>45959</v>
      </c>
      <c r="X1604" s="35" t="s">
        <v>916</v>
      </c>
      <c r="Y1604" s="35" t="s">
        <v>916</v>
      </c>
      <c r="Z1604" s="35" t="s">
        <v>916</v>
      </c>
      <c r="AA1604" s="38">
        <v>1493.0650000008</v>
      </c>
      <c r="AB1604" s="42" t="s">
        <v>916</v>
      </c>
      <c r="AC1604" s="43" t="s">
        <v>916</v>
      </c>
      <c r="AD1604" s="43" t="s">
        <v>916</v>
      </c>
      <c r="AE1604" s="33" t="s">
        <v>3982</v>
      </c>
      <c r="AF1604" s="35" t="s">
        <v>916</v>
      </c>
      <c r="AG1604" s="44">
        <v>489378.93500000011</v>
      </c>
      <c r="AH1604" s="42" t="s">
        <v>916</v>
      </c>
      <c r="AI1604" s="32" t="e">
        <f>VLOOKUP(A1604,'4月明細'!B:B,1,0)</f>
        <v>#N/A</v>
      </c>
    </row>
    <row r="1605" spans="1:35" ht="19.95" customHeight="1" x14ac:dyDescent="0.3">
      <c r="A1605" s="33" t="s">
        <v>5658</v>
      </c>
      <c r="B1605" s="34">
        <v>45959.715567129628</v>
      </c>
      <c r="C1605" s="34" t="str">
        <f t="shared" si="38"/>
        <v>202510</v>
      </c>
      <c r="D1605" s="35" t="s">
        <v>996</v>
      </c>
      <c r="E1605" s="36" t="s">
        <v>910</v>
      </c>
      <c r="F1605" s="36" t="s">
        <v>1032</v>
      </c>
      <c r="G1605" s="37" t="s">
        <v>5659</v>
      </c>
      <c r="H1605" s="36" t="s">
        <v>956</v>
      </c>
      <c r="I1605" s="35" t="s">
        <v>5660</v>
      </c>
      <c r="J1605" s="36" t="s">
        <v>929</v>
      </c>
      <c r="K1605" s="33" t="s">
        <v>916</v>
      </c>
      <c r="L1605" s="35" t="s">
        <v>916</v>
      </c>
      <c r="M1605" s="36" t="s">
        <v>916</v>
      </c>
      <c r="N1605" s="45">
        <v>46022</v>
      </c>
      <c r="O1605" s="36" t="s">
        <v>25</v>
      </c>
      <c r="P1605" s="38">
        <v>62.284432870400003</v>
      </c>
      <c r="Q1605" s="39" t="s">
        <v>5661</v>
      </c>
      <c r="R1605" s="35" t="s">
        <v>916</v>
      </c>
      <c r="S1605" s="35"/>
      <c r="T1605" s="35" t="s">
        <v>1701</v>
      </c>
      <c r="U1605" s="40">
        <v>45960</v>
      </c>
      <c r="V1605" s="41">
        <v>46153.532951388886</v>
      </c>
      <c r="W1605" s="40">
        <v>45959</v>
      </c>
      <c r="X1605" s="35" t="s">
        <v>916</v>
      </c>
      <c r="Y1605" s="35" t="s">
        <v>916</v>
      </c>
      <c r="Z1605" s="35" t="s">
        <v>916</v>
      </c>
      <c r="AA1605" s="38">
        <v>1494.8263888895999</v>
      </c>
      <c r="AB1605" s="42" t="s">
        <v>916</v>
      </c>
      <c r="AC1605" s="43" t="s">
        <v>916</v>
      </c>
      <c r="AD1605" s="43" t="s">
        <v>916</v>
      </c>
      <c r="AE1605" s="33" t="s">
        <v>3982</v>
      </c>
      <c r="AF1605" s="35" t="s">
        <v>916</v>
      </c>
      <c r="AG1605" s="44">
        <v>489377.17361111112</v>
      </c>
      <c r="AH1605" s="42" t="s">
        <v>916</v>
      </c>
      <c r="AI1605" s="32" t="e">
        <f>VLOOKUP(A1605,'4月明細'!B:B,1,0)</f>
        <v>#N/A</v>
      </c>
    </row>
    <row r="1606" spans="1:35" ht="19.95" customHeight="1" x14ac:dyDescent="0.3">
      <c r="A1606" s="33" t="s">
        <v>5662</v>
      </c>
      <c r="B1606" s="34">
        <v>45959.686990740738</v>
      </c>
      <c r="C1606" s="34" t="str">
        <f t="shared" si="38"/>
        <v>202510</v>
      </c>
      <c r="D1606" s="35" t="s">
        <v>951</v>
      </c>
      <c r="E1606" s="36" t="s">
        <v>910</v>
      </c>
      <c r="F1606" s="36" t="s">
        <v>1770</v>
      </c>
      <c r="G1606" s="37" t="s">
        <v>5663</v>
      </c>
      <c r="H1606" s="36" t="s">
        <v>4162</v>
      </c>
      <c r="I1606" s="35" t="s">
        <v>5664</v>
      </c>
      <c r="J1606" s="36" t="s">
        <v>1058</v>
      </c>
      <c r="K1606" s="33" t="s">
        <v>916</v>
      </c>
      <c r="L1606" s="35" t="s">
        <v>916</v>
      </c>
      <c r="M1606" s="36" t="s">
        <v>916</v>
      </c>
      <c r="N1606" s="45">
        <v>46022</v>
      </c>
      <c r="O1606" s="36" t="s">
        <v>25</v>
      </c>
      <c r="P1606" s="38">
        <v>62.313009259300003</v>
      </c>
      <c r="Q1606" s="39" t="s">
        <v>5665</v>
      </c>
      <c r="R1606" s="35" t="s">
        <v>916</v>
      </c>
      <c r="S1606" s="35"/>
      <c r="T1606" s="35" t="s">
        <v>1701</v>
      </c>
      <c r="U1606" s="40">
        <v>45960</v>
      </c>
      <c r="V1606" s="41">
        <v>46153.532951388886</v>
      </c>
      <c r="W1606" s="40">
        <v>45959</v>
      </c>
      <c r="X1606" s="35" t="s">
        <v>916</v>
      </c>
      <c r="Y1606" s="35" t="s">
        <v>916</v>
      </c>
      <c r="Z1606" s="35" t="s">
        <v>916</v>
      </c>
      <c r="AA1606" s="38">
        <v>1495.5122222232001</v>
      </c>
      <c r="AB1606" s="42" t="s">
        <v>916</v>
      </c>
      <c r="AC1606" s="43" t="s">
        <v>916</v>
      </c>
      <c r="AD1606" s="43" t="s">
        <v>916</v>
      </c>
      <c r="AE1606" s="33" t="s">
        <v>3982</v>
      </c>
      <c r="AF1606" s="35" t="s">
        <v>916</v>
      </c>
      <c r="AG1606" s="44">
        <v>489376.48777777777</v>
      </c>
      <c r="AH1606" s="42" t="s">
        <v>916</v>
      </c>
      <c r="AI1606" s="32" t="e">
        <f>VLOOKUP(A1606,'4月明細'!B:B,1,0)</f>
        <v>#N/A</v>
      </c>
    </row>
    <row r="1607" spans="1:35" ht="19.95" customHeight="1" x14ac:dyDescent="0.3">
      <c r="A1607" s="33" t="s">
        <v>5666</v>
      </c>
      <c r="B1607" s="34">
        <v>45959.675787037035</v>
      </c>
      <c r="C1607" s="34" t="str">
        <f t="shared" si="38"/>
        <v>202510</v>
      </c>
      <c r="D1607" s="35" t="s">
        <v>996</v>
      </c>
      <c r="E1607" s="36" t="s">
        <v>910</v>
      </c>
      <c r="F1607" s="36" t="s">
        <v>1531</v>
      </c>
      <c r="G1607" s="37" t="s">
        <v>5667</v>
      </c>
      <c r="H1607" s="36" t="s">
        <v>4065</v>
      </c>
      <c r="I1607" s="35"/>
      <c r="J1607" s="36" t="s">
        <v>929</v>
      </c>
      <c r="K1607" s="33" t="s">
        <v>916</v>
      </c>
      <c r="L1607" s="35" t="s">
        <v>916</v>
      </c>
      <c r="M1607" s="36" t="s">
        <v>916</v>
      </c>
      <c r="N1607" s="45">
        <v>46022</v>
      </c>
      <c r="O1607" s="36" t="s">
        <v>25</v>
      </c>
      <c r="P1607" s="38">
        <v>62.324212963000001</v>
      </c>
      <c r="Q1607" s="39" t="s">
        <v>5668</v>
      </c>
      <c r="R1607" s="35" t="s">
        <v>916</v>
      </c>
      <c r="S1607" s="35" t="s">
        <v>5669</v>
      </c>
      <c r="T1607" s="35" t="s">
        <v>1701</v>
      </c>
      <c r="U1607" s="40">
        <v>45960</v>
      </c>
      <c r="V1607" s="41">
        <v>46153.532951388886</v>
      </c>
      <c r="W1607" s="40">
        <v>45959</v>
      </c>
      <c r="X1607" s="35" t="s">
        <v>916</v>
      </c>
      <c r="Y1607" s="35" t="s">
        <v>916</v>
      </c>
      <c r="Z1607" s="35" t="s">
        <v>916</v>
      </c>
      <c r="AA1607" s="38">
        <v>1495.781111112</v>
      </c>
      <c r="AB1607" s="42" t="s">
        <v>916</v>
      </c>
      <c r="AC1607" s="43" t="s">
        <v>916</v>
      </c>
      <c r="AD1607" s="43" t="s">
        <v>916</v>
      </c>
      <c r="AE1607" s="33" t="s">
        <v>3982</v>
      </c>
      <c r="AF1607" s="35" t="s">
        <v>916</v>
      </c>
      <c r="AG1607" s="44">
        <v>489376.21888888901</v>
      </c>
      <c r="AH1607" s="42" t="s">
        <v>916</v>
      </c>
      <c r="AI1607" s="32" t="e">
        <f>VLOOKUP(A1607,'4月明細'!B:B,1,0)</f>
        <v>#N/A</v>
      </c>
    </row>
    <row r="1608" spans="1:35" ht="19.95" customHeight="1" x14ac:dyDescent="0.3">
      <c r="A1608" s="33" t="s">
        <v>5670</v>
      </c>
      <c r="B1608" s="34">
        <v>45959.661087962966</v>
      </c>
      <c r="C1608" s="34" t="str">
        <f t="shared" si="38"/>
        <v>202510</v>
      </c>
      <c r="D1608" s="35" t="s">
        <v>1597</v>
      </c>
      <c r="E1608" s="36" t="s">
        <v>942</v>
      </c>
      <c r="F1608" s="36" t="s">
        <v>1260</v>
      </c>
      <c r="G1608" s="37" t="s">
        <v>5671</v>
      </c>
      <c r="H1608" s="36" t="s">
        <v>4107</v>
      </c>
      <c r="I1608" s="35"/>
      <c r="J1608" s="36" t="s">
        <v>945</v>
      </c>
      <c r="K1608" s="33" t="s">
        <v>916</v>
      </c>
      <c r="L1608" s="35" t="s">
        <v>916</v>
      </c>
      <c r="M1608" s="36" t="s">
        <v>916</v>
      </c>
      <c r="N1608" s="45">
        <v>46022</v>
      </c>
      <c r="O1608" s="36" t="s">
        <v>25</v>
      </c>
      <c r="P1608" s="38">
        <v>62.338912037</v>
      </c>
      <c r="Q1608" s="39" t="s">
        <v>5672</v>
      </c>
      <c r="R1608" s="35" t="s">
        <v>916</v>
      </c>
      <c r="S1608" s="35"/>
      <c r="T1608" s="35" t="s">
        <v>1624</v>
      </c>
      <c r="U1608" s="40">
        <v>45960</v>
      </c>
      <c r="V1608" s="41">
        <v>46153.532951388886</v>
      </c>
      <c r="W1608" s="40">
        <v>45959</v>
      </c>
      <c r="X1608" s="35" t="s">
        <v>916</v>
      </c>
      <c r="Y1608" s="35" t="s">
        <v>916</v>
      </c>
      <c r="Z1608" s="35" t="s">
        <v>916</v>
      </c>
      <c r="AA1608" s="38">
        <v>1496.133888888</v>
      </c>
      <c r="AB1608" s="42" t="s">
        <v>916</v>
      </c>
      <c r="AC1608" s="43" t="s">
        <v>916</v>
      </c>
      <c r="AD1608" s="43" t="s">
        <v>916</v>
      </c>
      <c r="AE1608" s="33" t="s">
        <v>3982</v>
      </c>
      <c r="AF1608" s="35" t="s">
        <v>916</v>
      </c>
      <c r="AG1608" s="44">
        <v>489375.86611111113</v>
      </c>
      <c r="AH1608" s="42" t="s">
        <v>916</v>
      </c>
      <c r="AI1608" s="32" t="e">
        <f>VLOOKUP(A1608,'4月明細'!B:B,1,0)</f>
        <v>#N/A</v>
      </c>
    </row>
    <row r="1609" spans="1:35" ht="19.95" customHeight="1" x14ac:dyDescent="0.3">
      <c r="A1609" s="33" t="s">
        <v>5673</v>
      </c>
      <c r="B1609" s="34">
        <v>45959.659166666665</v>
      </c>
      <c r="C1609" s="34" t="str">
        <f t="shared" si="38"/>
        <v>202510</v>
      </c>
      <c r="D1609" s="35" t="s">
        <v>996</v>
      </c>
      <c r="E1609" s="36" t="s">
        <v>910</v>
      </c>
      <c r="F1609" s="36" t="s">
        <v>1750</v>
      </c>
      <c r="G1609" s="37" t="s">
        <v>1018</v>
      </c>
      <c r="H1609" s="36" t="s">
        <v>4157</v>
      </c>
      <c r="I1609" s="35"/>
      <c r="J1609" s="36" t="s">
        <v>914</v>
      </c>
      <c r="K1609" s="33" t="s">
        <v>916</v>
      </c>
      <c r="L1609" s="35" t="s">
        <v>916</v>
      </c>
      <c r="M1609" s="36" t="s">
        <v>916</v>
      </c>
      <c r="N1609" s="45">
        <v>46022</v>
      </c>
      <c r="O1609" s="36" t="s">
        <v>25</v>
      </c>
      <c r="P1609" s="38">
        <v>62.340833333299997</v>
      </c>
      <c r="Q1609" s="39" t="s">
        <v>5674</v>
      </c>
      <c r="R1609" s="35" t="s">
        <v>916</v>
      </c>
      <c r="S1609" s="35" t="s">
        <v>5675</v>
      </c>
      <c r="T1609" s="35" t="s">
        <v>1701</v>
      </c>
      <c r="U1609" s="40">
        <v>45960</v>
      </c>
      <c r="V1609" s="41">
        <v>46153.532951388886</v>
      </c>
      <c r="W1609" s="40">
        <v>45959</v>
      </c>
      <c r="X1609" s="35" t="s">
        <v>916</v>
      </c>
      <c r="Y1609" s="35" t="s">
        <v>916</v>
      </c>
      <c r="Z1609" s="35" t="s">
        <v>916</v>
      </c>
      <c r="AA1609" s="38">
        <v>1496.1799999991999</v>
      </c>
      <c r="AB1609" s="42" t="s">
        <v>916</v>
      </c>
      <c r="AC1609" s="43" t="s">
        <v>916</v>
      </c>
      <c r="AD1609" s="43" t="s">
        <v>916</v>
      </c>
      <c r="AE1609" s="33" t="s">
        <v>3982</v>
      </c>
      <c r="AF1609" s="35" t="s">
        <v>916</v>
      </c>
      <c r="AG1609" s="44">
        <v>489375.82000000012</v>
      </c>
      <c r="AH1609" s="42" t="s">
        <v>916</v>
      </c>
      <c r="AI1609" s="32" t="e">
        <f>VLOOKUP(A1609,'4月明細'!B:B,1,0)</f>
        <v>#N/A</v>
      </c>
    </row>
    <row r="1610" spans="1:35" ht="19.95" customHeight="1" x14ac:dyDescent="0.3">
      <c r="A1610" s="33" t="s">
        <v>5676</v>
      </c>
      <c r="B1610" s="34">
        <v>45959.631018518521</v>
      </c>
      <c r="C1610" s="34" t="str">
        <f t="shared" si="38"/>
        <v>202510</v>
      </c>
      <c r="D1610" s="35" t="s">
        <v>1597</v>
      </c>
      <c r="E1610" s="36" t="s">
        <v>942</v>
      </c>
      <c r="F1610" s="36" t="s">
        <v>1411</v>
      </c>
      <c r="G1610" s="37" t="s">
        <v>5677</v>
      </c>
      <c r="H1610" s="36" t="s">
        <v>913</v>
      </c>
      <c r="I1610" s="35"/>
      <c r="J1610" s="36" t="s">
        <v>938</v>
      </c>
      <c r="K1610" s="33" t="s">
        <v>916</v>
      </c>
      <c r="L1610" s="35" t="s">
        <v>916</v>
      </c>
      <c r="M1610" s="36" t="s">
        <v>916</v>
      </c>
      <c r="N1610" s="45">
        <v>46022</v>
      </c>
      <c r="O1610" s="36" t="s">
        <v>25</v>
      </c>
      <c r="P1610" s="38">
        <v>62.368981481500001</v>
      </c>
      <c r="Q1610" s="39" t="s">
        <v>5678</v>
      </c>
      <c r="R1610" s="35" t="s">
        <v>916</v>
      </c>
      <c r="S1610" s="35" t="s">
        <v>5679</v>
      </c>
      <c r="T1610" s="35" t="s">
        <v>1701</v>
      </c>
      <c r="U1610" s="40">
        <v>45960</v>
      </c>
      <c r="V1610" s="41">
        <v>46153.532951388886</v>
      </c>
      <c r="W1610" s="40">
        <v>45959</v>
      </c>
      <c r="X1610" s="35" t="s">
        <v>916</v>
      </c>
      <c r="Y1610" s="35" t="s">
        <v>916</v>
      </c>
      <c r="Z1610" s="35" t="s">
        <v>916</v>
      </c>
      <c r="AA1610" s="38">
        <v>1496.8555555559999</v>
      </c>
      <c r="AB1610" s="42" t="s">
        <v>916</v>
      </c>
      <c r="AC1610" s="43" t="s">
        <v>916</v>
      </c>
      <c r="AD1610" s="43" t="s">
        <v>916</v>
      </c>
      <c r="AE1610" s="33" t="s">
        <v>3982</v>
      </c>
      <c r="AF1610" s="35" t="s">
        <v>916</v>
      </c>
      <c r="AG1610" s="44">
        <v>489375.14444444439</v>
      </c>
      <c r="AH1610" s="42" t="s">
        <v>916</v>
      </c>
      <c r="AI1610" s="32" t="e">
        <f>VLOOKUP(A1610,'4月明細'!B:B,1,0)</f>
        <v>#N/A</v>
      </c>
    </row>
    <row r="1611" spans="1:35" ht="19.95" customHeight="1" x14ac:dyDescent="0.3">
      <c r="A1611" s="33" t="s">
        <v>5680</v>
      </c>
      <c r="B1611" s="34">
        <v>45959.629212962966</v>
      </c>
      <c r="C1611" s="34" t="str">
        <f t="shared" si="38"/>
        <v>202510</v>
      </c>
      <c r="D1611" s="35" t="s">
        <v>996</v>
      </c>
      <c r="E1611" s="36" t="s">
        <v>910</v>
      </c>
      <c r="F1611" s="36" t="s">
        <v>1138</v>
      </c>
      <c r="G1611" s="37" t="s">
        <v>1018</v>
      </c>
      <c r="H1611" s="36" t="s">
        <v>4157</v>
      </c>
      <c r="I1611" s="35" t="s">
        <v>5681</v>
      </c>
      <c r="J1611" s="36" t="s">
        <v>929</v>
      </c>
      <c r="K1611" s="33" t="s">
        <v>916</v>
      </c>
      <c r="L1611" s="35" t="s">
        <v>916</v>
      </c>
      <c r="M1611" s="36" t="s">
        <v>916</v>
      </c>
      <c r="N1611" s="45">
        <v>46022</v>
      </c>
      <c r="O1611" s="36" t="s">
        <v>25</v>
      </c>
      <c r="P1611" s="38">
        <v>62.370787036999999</v>
      </c>
      <c r="Q1611" s="39" t="s">
        <v>5682</v>
      </c>
      <c r="R1611" s="35" t="s">
        <v>916</v>
      </c>
      <c r="S1611" s="35" t="s">
        <v>5683</v>
      </c>
      <c r="T1611" s="35" t="s">
        <v>1701</v>
      </c>
      <c r="U1611" s="40">
        <v>45960</v>
      </c>
      <c r="V1611" s="41">
        <v>46153.532951388886</v>
      </c>
      <c r="W1611" s="40">
        <v>45959</v>
      </c>
      <c r="X1611" s="35" t="s">
        <v>916</v>
      </c>
      <c r="Y1611" s="35" t="s">
        <v>916</v>
      </c>
      <c r="Z1611" s="35" t="s">
        <v>916</v>
      </c>
      <c r="AA1611" s="38">
        <v>1496.8988888880001</v>
      </c>
      <c r="AB1611" s="42" t="s">
        <v>916</v>
      </c>
      <c r="AC1611" s="43" t="s">
        <v>916</v>
      </c>
      <c r="AD1611" s="43" t="s">
        <v>916</v>
      </c>
      <c r="AE1611" s="33" t="s">
        <v>3982</v>
      </c>
      <c r="AF1611" s="35" t="s">
        <v>916</v>
      </c>
      <c r="AG1611" s="44">
        <v>489375.10111111111</v>
      </c>
      <c r="AH1611" s="42" t="s">
        <v>916</v>
      </c>
      <c r="AI1611" s="32" t="e">
        <f>VLOOKUP(A1611,'4月明細'!B:B,1,0)</f>
        <v>#N/A</v>
      </c>
    </row>
    <row r="1612" spans="1:35" ht="19.95" customHeight="1" x14ac:dyDescent="0.3">
      <c r="A1612" s="33" t="s">
        <v>5684</v>
      </c>
      <c r="B1612" s="34">
        <v>45959.53266203704</v>
      </c>
      <c r="C1612" s="34" t="str">
        <f t="shared" si="38"/>
        <v>202510</v>
      </c>
      <c r="D1612" s="35" t="s">
        <v>996</v>
      </c>
      <c r="E1612" s="36" t="s">
        <v>910</v>
      </c>
      <c r="F1612" s="36" t="s">
        <v>1183</v>
      </c>
      <c r="G1612" s="37" t="s">
        <v>5685</v>
      </c>
      <c r="H1612" s="36" t="s">
        <v>956</v>
      </c>
      <c r="I1612" s="35" t="s">
        <v>2707</v>
      </c>
      <c r="J1612" s="36" t="s">
        <v>929</v>
      </c>
      <c r="K1612" s="33" t="s">
        <v>916</v>
      </c>
      <c r="L1612" s="35" t="s">
        <v>916</v>
      </c>
      <c r="M1612" s="36" t="s">
        <v>916</v>
      </c>
      <c r="N1612" s="45">
        <v>46022</v>
      </c>
      <c r="O1612" s="36" t="s">
        <v>25</v>
      </c>
      <c r="P1612" s="38">
        <v>62.467337962999999</v>
      </c>
      <c r="Q1612" s="39" t="s">
        <v>5686</v>
      </c>
      <c r="R1612" s="35" t="s">
        <v>916</v>
      </c>
      <c r="S1612" s="35"/>
      <c r="T1612" s="35" t="s">
        <v>1624</v>
      </c>
      <c r="U1612" s="40">
        <v>45960</v>
      </c>
      <c r="V1612" s="41">
        <v>46153.532951388886</v>
      </c>
      <c r="W1612" s="40">
        <v>45959</v>
      </c>
      <c r="X1612" s="35" t="s">
        <v>916</v>
      </c>
      <c r="Y1612" s="35" t="s">
        <v>916</v>
      </c>
      <c r="Z1612" s="35" t="s">
        <v>916</v>
      </c>
      <c r="AA1612" s="38">
        <v>1499.2161111119999</v>
      </c>
      <c r="AB1612" s="42" t="s">
        <v>916</v>
      </c>
      <c r="AC1612" s="43" t="s">
        <v>916</v>
      </c>
      <c r="AD1612" s="43" t="s">
        <v>916</v>
      </c>
      <c r="AE1612" s="33" t="s">
        <v>3982</v>
      </c>
      <c r="AF1612" s="35" t="s">
        <v>916</v>
      </c>
      <c r="AG1612" s="44">
        <v>489372.78388888901</v>
      </c>
      <c r="AH1612" s="42" t="s">
        <v>916</v>
      </c>
      <c r="AI1612" s="32" t="e">
        <f>VLOOKUP(A1612,'4月明細'!B:B,1,0)</f>
        <v>#N/A</v>
      </c>
    </row>
    <row r="1613" spans="1:35" ht="19.95" customHeight="1" x14ac:dyDescent="0.3">
      <c r="A1613" s="33" t="s">
        <v>5687</v>
      </c>
      <c r="B1613" s="34">
        <v>45959.470682870371</v>
      </c>
      <c r="C1613" s="34" t="str">
        <f t="shared" si="38"/>
        <v>202510</v>
      </c>
      <c r="D1613" s="35" t="s">
        <v>996</v>
      </c>
      <c r="E1613" s="36" t="s">
        <v>910</v>
      </c>
      <c r="F1613" s="36" t="s">
        <v>1392</v>
      </c>
      <c r="G1613" s="37" t="s">
        <v>5688</v>
      </c>
      <c r="H1613" s="36" t="s">
        <v>4023</v>
      </c>
      <c r="I1613" s="35" t="s">
        <v>5689</v>
      </c>
      <c r="J1613" s="36" t="s">
        <v>914</v>
      </c>
      <c r="K1613" s="33" t="s">
        <v>916</v>
      </c>
      <c r="L1613" s="35" t="s">
        <v>916</v>
      </c>
      <c r="M1613" s="36" t="s">
        <v>916</v>
      </c>
      <c r="N1613" s="45">
        <v>46022</v>
      </c>
      <c r="O1613" s="36" t="s">
        <v>25</v>
      </c>
      <c r="P1613" s="38">
        <v>62.529317129600003</v>
      </c>
      <c r="Q1613" s="39" t="s">
        <v>5690</v>
      </c>
      <c r="R1613" s="35" t="s">
        <v>916</v>
      </c>
      <c r="S1613" s="35" t="s">
        <v>5691</v>
      </c>
      <c r="T1613" s="35" t="s">
        <v>1701</v>
      </c>
      <c r="U1613" s="40">
        <v>45960</v>
      </c>
      <c r="V1613" s="41">
        <v>46153.532951388886</v>
      </c>
      <c r="W1613" s="40">
        <v>45959</v>
      </c>
      <c r="X1613" s="35" t="s">
        <v>916</v>
      </c>
      <c r="Y1613" s="35" t="s">
        <v>916</v>
      </c>
      <c r="Z1613" s="35" t="s">
        <v>916</v>
      </c>
      <c r="AA1613" s="38">
        <v>1500.7036111104001</v>
      </c>
      <c r="AB1613" s="42" t="s">
        <v>916</v>
      </c>
      <c r="AC1613" s="43" t="s">
        <v>916</v>
      </c>
      <c r="AD1613" s="43" t="s">
        <v>916</v>
      </c>
      <c r="AE1613" s="33" t="s">
        <v>3982</v>
      </c>
      <c r="AF1613" s="35" t="s">
        <v>916</v>
      </c>
      <c r="AG1613" s="44">
        <v>489371.29638888891</v>
      </c>
      <c r="AH1613" s="42" t="s">
        <v>916</v>
      </c>
      <c r="AI1613" s="32" t="e">
        <f>VLOOKUP(A1613,'4月明細'!B:B,1,0)</f>
        <v>#N/A</v>
      </c>
    </row>
    <row r="1614" spans="1:35" ht="19.95" customHeight="1" x14ac:dyDescent="0.3">
      <c r="A1614" s="33" t="s">
        <v>5692</v>
      </c>
      <c r="B1614" s="34">
        <v>45959.392395833333</v>
      </c>
      <c r="C1614" s="34" t="str">
        <f t="shared" si="38"/>
        <v>202510</v>
      </c>
      <c r="D1614" s="35" t="s">
        <v>951</v>
      </c>
      <c r="E1614" s="36" t="s">
        <v>910</v>
      </c>
      <c r="F1614" s="36" t="s">
        <v>1799</v>
      </c>
      <c r="G1614" s="37" t="s">
        <v>5693</v>
      </c>
      <c r="H1614" s="36" t="s">
        <v>913</v>
      </c>
      <c r="I1614" s="35"/>
      <c r="J1614" s="36" t="s">
        <v>914</v>
      </c>
      <c r="K1614" s="33" t="s">
        <v>916</v>
      </c>
      <c r="L1614" s="35" t="s">
        <v>916</v>
      </c>
      <c r="M1614" s="36" t="s">
        <v>916</v>
      </c>
      <c r="N1614" s="45">
        <v>46022</v>
      </c>
      <c r="O1614" s="36" t="s">
        <v>25</v>
      </c>
      <c r="P1614" s="38">
        <v>62.6076041667</v>
      </c>
      <c r="Q1614" s="39" t="s">
        <v>1328</v>
      </c>
      <c r="R1614" s="35" t="s">
        <v>916</v>
      </c>
      <c r="S1614" s="35"/>
      <c r="T1614" s="35" t="s">
        <v>1701</v>
      </c>
      <c r="U1614" s="40">
        <v>45960</v>
      </c>
      <c r="V1614" s="41">
        <v>46153.532951388886</v>
      </c>
      <c r="W1614" s="40">
        <v>45959</v>
      </c>
      <c r="X1614" s="35" t="s">
        <v>916</v>
      </c>
      <c r="Y1614" s="35" t="s">
        <v>916</v>
      </c>
      <c r="Z1614" s="35" t="s">
        <v>916</v>
      </c>
      <c r="AA1614" s="38">
        <v>1502.5825000008001</v>
      </c>
      <c r="AB1614" s="42" t="s">
        <v>916</v>
      </c>
      <c r="AC1614" s="43" t="s">
        <v>916</v>
      </c>
      <c r="AD1614" s="43" t="s">
        <v>916</v>
      </c>
      <c r="AE1614" s="33" t="s">
        <v>3982</v>
      </c>
      <c r="AF1614" s="35" t="s">
        <v>916</v>
      </c>
      <c r="AG1614" s="44">
        <v>489369.41749999998</v>
      </c>
      <c r="AH1614" s="42" t="s">
        <v>916</v>
      </c>
      <c r="AI1614" s="32" t="e">
        <f>VLOOKUP(A1614,'4月明細'!B:B,1,0)</f>
        <v>#N/A</v>
      </c>
    </row>
    <row r="1615" spans="1:35" ht="19.95" customHeight="1" x14ac:dyDescent="0.3">
      <c r="A1615" s="33" t="s">
        <v>5694</v>
      </c>
      <c r="B1615" s="34">
        <v>45958.687083333331</v>
      </c>
      <c r="C1615" s="34" t="str">
        <f t="shared" si="38"/>
        <v>202510</v>
      </c>
      <c r="D1615" s="35" t="s">
        <v>996</v>
      </c>
      <c r="E1615" s="36" t="s">
        <v>910</v>
      </c>
      <c r="F1615" s="36" t="s">
        <v>1130</v>
      </c>
      <c r="G1615" s="37" t="s">
        <v>1041</v>
      </c>
      <c r="H1615" s="36" t="s">
        <v>1043</v>
      </c>
      <c r="I1615" s="35"/>
      <c r="J1615" s="36" t="s">
        <v>914</v>
      </c>
      <c r="K1615" s="33" t="s">
        <v>916</v>
      </c>
      <c r="L1615" s="35" t="s">
        <v>916</v>
      </c>
      <c r="M1615" s="36" t="s">
        <v>916</v>
      </c>
      <c r="N1615" s="45">
        <v>46022</v>
      </c>
      <c r="O1615" s="36" t="s">
        <v>25</v>
      </c>
      <c r="P1615" s="38">
        <v>63.312916666699998</v>
      </c>
      <c r="Q1615" s="39" t="s">
        <v>5695</v>
      </c>
      <c r="R1615" s="35" t="s">
        <v>916</v>
      </c>
      <c r="S1615" s="35" t="s">
        <v>5696</v>
      </c>
      <c r="T1615" s="35" t="s">
        <v>1701</v>
      </c>
      <c r="U1615" s="40">
        <v>45959</v>
      </c>
      <c r="V1615" s="41">
        <v>46153.532951388886</v>
      </c>
      <c r="W1615" s="40">
        <v>45958</v>
      </c>
      <c r="X1615" s="35" t="s">
        <v>916</v>
      </c>
      <c r="Y1615" s="35" t="s">
        <v>916</v>
      </c>
      <c r="Z1615" s="35" t="s">
        <v>916</v>
      </c>
      <c r="AA1615" s="38">
        <v>1519.5100000007999</v>
      </c>
      <c r="AB1615" s="42" t="s">
        <v>916</v>
      </c>
      <c r="AC1615" s="43" t="s">
        <v>916</v>
      </c>
      <c r="AD1615" s="43" t="s">
        <v>916</v>
      </c>
      <c r="AE1615" s="33" t="s">
        <v>3982</v>
      </c>
      <c r="AF1615" s="35" t="s">
        <v>916</v>
      </c>
      <c r="AG1615" s="44">
        <v>489352.49</v>
      </c>
      <c r="AH1615" s="42" t="s">
        <v>916</v>
      </c>
      <c r="AI1615" s="32" t="e">
        <f>VLOOKUP(A1615,'4月明細'!B:B,1,0)</f>
        <v>#N/A</v>
      </c>
    </row>
    <row r="1616" spans="1:35" ht="19.95" customHeight="1" x14ac:dyDescent="0.3">
      <c r="A1616" s="33" t="s">
        <v>5697</v>
      </c>
      <c r="B1616" s="34">
        <v>45958.629155092596</v>
      </c>
      <c r="C1616" s="34" t="str">
        <f t="shared" si="38"/>
        <v>202510</v>
      </c>
      <c r="D1616" s="35" t="s">
        <v>996</v>
      </c>
      <c r="E1616" s="36" t="s">
        <v>910</v>
      </c>
      <c r="F1616" s="36" t="s">
        <v>1004</v>
      </c>
      <c r="G1616" s="37" t="s">
        <v>5698</v>
      </c>
      <c r="H1616" s="36" t="s">
        <v>5083</v>
      </c>
      <c r="I1616" s="35"/>
      <c r="J1616" s="36" t="s">
        <v>929</v>
      </c>
      <c r="K1616" s="33" t="s">
        <v>916</v>
      </c>
      <c r="L1616" s="35" t="s">
        <v>916</v>
      </c>
      <c r="M1616" s="36" t="s">
        <v>916</v>
      </c>
      <c r="N1616" s="45">
        <v>46022</v>
      </c>
      <c r="O1616" s="36" t="s">
        <v>25</v>
      </c>
      <c r="P1616" s="38">
        <v>63.370844907399999</v>
      </c>
      <c r="Q1616" s="39" t="s">
        <v>5699</v>
      </c>
      <c r="R1616" s="35" t="s">
        <v>916</v>
      </c>
      <c r="S1616" s="35" t="s">
        <v>5700</v>
      </c>
      <c r="T1616" s="35" t="s">
        <v>1701</v>
      </c>
      <c r="U1616" s="40">
        <v>45959</v>
      </c>
      <c r="V1616" s="41">
        <v>46153.532951388886</v>
      </c>
      <c r="W1616" s="40">
        <v>45958</v>
      </c>
      <c r="X1616" s="35" t="s">
        <v>916</v>
      </c>
      <c r="Y1616" s="35" t="s">
        <v>916</v>
      </c>
      <c r="Z1616" s="35" t="s">
        <v>916</v>
      </c>
      <c r="AA1616" s="38">
        <v>1520.9002777776</v>
      </c>
      <c r="AB1616" s="42" t="s">
        <v>916</v>
      </c>
      <c r="AC1616" s="43" t="s">
        <v>916</v>
      </c>
      <c r="AD1616" s="43" t="s">
        <v>916</v>
      </c>
      <c r="AE1616" s="33" t="s">
        <v>3982</v>
      </c>
      <c r="AF1616" s="35" t="s">
        <v>916</v>
      </c>
      <c r="AG1616" s="44">
        <v>489351.09972222219</v>
      </c>
      <c r="AH1616" s="42" t="s">
        <v>916</v>
      </c>
      <c r="AI1616" s="32" t="e">
        <f>VLOOKUP(A1616,'4月明細'!B:B,1,0)</f>
        <v>#N/A</v>
      </c>
    </row>
    <row r="1617" spans="1:35" ht="19.95" customHeight="1" x14ac:dyDescent="0.3">
      <c r="A1617" s="33" t="s">
        <v>5701</v>
      </c>
      <c r="B1617" s="34">
        <v>45958.616284722222</v>
      </c>
      <c r="C1617" s="34" t="str">
        <f t="shared" si="38"/>
        <v>202510</v>
      </c>
      <c r="D1617" s="35" t="s">
        <v>951</v>
      </c>
      <c r="E1617" s="36" t="s">
        <v>910</v>
      </c>
      <c r="F1617" s="36" t="s">
        <v>987</v>
      </c>
      <c r="G1617" s="37" t="s">
        <v>5702</v>
      </c>
      <c r="H1617" s="36" t="s">
        <v>1079</v>
      </c>
      <c r="I1617" s="35"/>
      <c r="J1617" s="36" t="s">
        <v>1058</v>
      </c>
      <c r="K1617" s="33" t="s">
        <v>916</v>
      </c>
      <c r="L1617" s="35" t="s">
        <v>916</v>
      </c>
      <c r="M1617" s="36" t="s">
        <v>916</v>
      </c>
      <c r="N1617" s="45">
        <v>46022</v>
      </c>
      <c r="O1617" s="36" t="s">
        <v>25</v>
      </c>
      <c r="P1617" s="38">
        <v>63.3837152778</v>
      </c>
      <c r="Q1617" s="39" t="s">
        <v>5703</v>
      </c>
      <c r="R1617" s="35" t="s">
        <v>916</v>
      </c>
      <c r="S1617" s="35"/>
      <c r="T1617" s="35" t="s">
        <v>1701</v>
      </c>
      <c r="U1617" s="40">
        <v>45959</v>
      </c>
      <c r="V1617" s="41">
        <v>46153.532951388886</v>
      </c>
      <c r="W1617" s="40">
        <v>45958</v>
      </c>
      <c r="X1617" s="35" t="s">
        <v>916</v>
      </c>
      <c r="Y1617" s="35" t="s">
        <v>916</v>
      </c>
      <c r="Z1617" s="35" t="s">
        <v>916</v>
      </c>
      <c r="AA1617" s="38">
        <v>1521.2091666672</v>
      </c>
      <c r="AB1617" s="42" t="s">
        <v>916</v>
      </c>
      <c r="AC1617" s="43" t="s">
        <v>916</v>
      </c>
      <c r="AD1617" s="43" t="s">
        <v>916</v>
      </c>
      <c r="AE1617" s="33" t="s">
        <v>3982</v>
      </c>
      <c r="AF1617" s="35" t="s">
        <v>916</v>
      </c>
      <c r="AG1617" s="44">
        <v>489350.79083333327</v>
      </c>
      <c r="AH1617" s="42" t="s">
        <v>916</v>
      </c>
      <c r="AI1617" s="32" t="e">
        <f>VLOOKUP(A1617,'4月明細'!B:B,1,0)</f>
        <v>#N/A</v>
      </c>
    </row>
    <row r="1618" spans="1:35" ht="19.95" customHeight="1" x14ac:dyDescent="0.3">
      <c r="A1618" s="33" t="s">
        <v>5704</v>
      </c>
      <c r="B1618" s="34">
        <v>45958.573298611111</v>
      </c>
      <c r="C1618" s="34" t="str">
        <f t="shared" si="38"/>
        <v>202510</v>
      </c>
      <c r="D1618" s="35" t="s">
        <v>996</v>
      </c>
      <c r="E1618" s="36" t="s">
        <v>910</v>
      </c>
      <c r="F1618" s="36" t="s">
        <v>1260</v>
      </c>
      <c r="G1618" s="37" t="s">
        <v>5705</v>
      </c>
      <c r="H1618" s="36" t="s">
        <v>4240</v>
      </c>
      <c r="I1618" s="35"/>
      <c r="J1618" s="36" t="s">
        <v>914</v>
      </c>
      <c r="K1618" s="33" t="s">
        <v>916</v>
      </c>
      <c r="L1618" s="35" t="s">
        <v>916</v>
      </c>
      <c r="M1618" s="36" t="s">
        <v>916</v>
      </c>
      <c r="N1618" s="45">
        <v>46022</v>
      </c>
      <c r="O1618" s="36" t="s">
        <v>25</v>
      </c>
      <c r="P1618" s="38">
        <v>63.4267013889</v>
      </c>
      <c r="Q1618" s="39" t="s">
        <v>5706</v>
      </c>
      <c r="R1618" s="35" t="s">
        <v>916</v>
      </c>
      <c r="S1618" s="35"/>
      <c r="T1618" s="35" t="s">
        <v>1624</v>
      </c>
      <c r="U1618" s="40">
        <v>45959</v>
      </c>
      <c r="V1618" s="41">
        <v>46153.532951388886</v>
      </c>
      <c r="W1618" s="40">
        <v>45958</v>
      </c>
      <c r="X1618" s="35" t="s">
        <v>916</v>
      </c>
      <c r="Y1618" s="35" t="s">
        <v>916</v>
      </c>
      <c r="Z1618" s="35" t="s">
        <v>916</v>
      </c>
      <c r="AA1618" s="38">
        <v>1522.2408333336</v>
      </c>
      <c r="AB1618" s="42" t="s">
        <v>916</v>
      </c>
      <c r="AC1618" s="43" t="s">
        <v>916</v>
      </c>
      <c r="AD1618" s="43" t="s">
        <v>916</v>
      </c>
      <c r="AE1618" s="33" t="s">
        <v>3982</v>
      </c>
      <c r="AF1618" s="35" t="s">
        <v>916</v>
      </c>
      <c r="AG1618" s="44">
        <v>489349.75916666671</v>
      </c>
      <c r="AH1618" s="42" t="s">
        <v>916</v>
      </c>
      <c r="AI1618" s="32" t="e">
        <f>VLOOKUP(A1618,'4月明細'!B:B,1,0)</f>
        <v>#N/A</v>
      </c>
    </row>
    <row r="1619" spans="1:35" ht="19.95" customHeight="1" x14ac:dyDescent="0.3">
      <c r="A1619" s="33" t="s">
        <v>5707</v>
      </c>
      <c r="B1619" s="34">
        <v>45958.525011574071</v>
      </c>
      <c r="C1619" s="34" t="str">
        <f t="shared" si="38"/>
        <v>202510</v>
      </c>
      <c r="D1619" s="35" t="s">
        <v>3875</v>
      </c>
      <c r="E1619" s="36" t="s">
        <v>942</v>
      </c>
      <c r="F1619" s="36" t="s">
        <v>1260</v>
      </c>
      <c r="G1619" s="37" t="s">
        <v>5708</v>
      </c>
      <c r="H1619" s="36" t="s">
        <v>4240</v>
      </c>
      <c r="I1619" s="35"/>
      <c r="J1619" s="36" t="s">
        <v>929</v>
      </c>
      <c r="K1619" s="33" t="s">
        <v>916</v>
      </c>
      <c r="L1619" s="35" t="s">
        <v>916</v>
      </c>
      <c r="M1619" s="36" t="s">
        <v>916</v>
      </c>
      <c r="N1619" s="45">
        <v>46022</v>
      </c>
      <c r="O1619" s="36" t="s">
        <v>25</v>
      </c>
      <c r="P1619" s="38">
        <v>63.474988425900001</v>
      </c>
      <c r="Q1619" s="39" t="s">
        <v>5672</v>
      </c>
      <c r="R1619" s="35" t="s">
        <v>916</v>
      </c>
      <c r="S1619" s="35"/>
      <c r="T1619" s="35" t="s">
        <v>1624</v>
      </c>
      <c r="U1619" s="40">
        <v>45959</v>
      </c>
      <c r="V1619" s="41">
        <v>46153.532951388886</v>
      </c>
      <c r="W1619" s="40">
        <v>45958</v>
      </c>
      <c r="X1619" s="35" t="s">
        <v>916</v>
      </c>
      <c r="Y1619" s="35" t="s">
        <v>916</v>
      </c>
      <c r="Z1619" s="35" t="s">
        <v>916</v>
      </c>
      <c r="AA1619" s="38">
        <v>1523.3997222216001</v>
      </c>
      <c r="AB1619" s="42" t="s">
        <v>916</v>
      </c>
      <c r="AC1619" s="43" t="s">
        <v>916</v>
      </c>
      <c r="AD1619" s="43" t="s">
        <v>916</v>
      </c>
      <c r="AE1619" s="33" t="s">
        <v>3982</v>
      </c>
      <c r="AF1619" s="35" t="s">
        <v>916</v>
      </c>
      <c r="AG1619" s="44">
        <v>489348.60027777782</v>
      </c>
      <c r="AH1619" s="42" t="s">
        <v>916</v>
      </c>
      <c r="AI1619" s="32" t="e">
        <f>VLOOKUP(A1619,'4月明細'!B:B,1,0)</f>
        <v>#N/A</v>
      </c>
    </row>
    <row r="1620" spans="1:35" ht="19.95" customHeight="1" x14ac:dyDescent="0.3">
      <c r="A1620" s="33" t="s">
        <v>5709</v>
      </c>
      <c r="B1620" s="34">
        <v>45958.482511574075</v>
      </c>
      <c r="C1620" s="34" t="str">
        <f t="shared" si="38"/>
        <v>202510</v>
      </c>
      <c r="D1620" s="35" t="s">
        <v>951</v>
      </c>
      <c r="E1620" s="36" t="s">
        <v>910</v>
      </c>
      <c r="F1620" s="36" t="s">
        <v>1534</v>
      </c>
      <c r="G1620" s="37" t="s">
        <v>5710</v>
      </c>
      <c r="H1620" s="36" t="s">
        <v>1043</v>
      </c>
      <c r="I1620" s="35"/>
      <c r="J1620" s="36" t="s">
        <v>929</v>
      </c>
      <c r="K1620" s="33" t="s">
        <v>916</v>
      </c>
      <c r="L1620" s="35" t="s">
        <v>916</v>
      </c>
      <c r="M1620" s="36" t="s">
        <v>916</v>
      </c>
      <c r="N1620" s="45">
        <v>46022</v>
      </c>
      <c r="O1620" s="36" t="s">
        <v>25</v>
      </c>
      <c r="P1620" s="38">
        <v>63.517488425899998</v>
      </c>
      <c r="Q1620" s="39" t="s">
        <v>5711</v>
      </c>
      <c r="R1620" s="35" t="s">
        <v>916</v>
      </c>
      <c r="S1620" s="35"/>
      <c r="T1620" s="35" t="s">
        <v>1624</v>
      </c>
      <c r="U1620" s="40">
        <v>45959</v>
      </c>
      <c r="V1620" s="41">
        <v>46153.532951388886</v>
      </c>
      <c r="W1620" s="40">
        <v>45958</v>
      </c>
      <c r="X1620" s="35" t="s">
        <v>916</v>
      </c>
      <c r="Y1620" s="35" t="s">
        <v>916</v>
      </c>
      <c r="Z1620" s="35" t="s">
        <v>916</v>
      </c>
      <c r="AA1620" s="38">
        <v>1524.4197222216001</v>
      </c>
      <c r="AB1620" s="42" t="s">
        <v>916</v>
      </c>
      <c r="AC1620" s="43" t="s">
        <v>916</v>
      </c>
      <c r="AD1620" s="43" t="s">
        <v>916</v>
      </c>
      <c r="AE1620" s="33" t="s">
        <v>3982</v>
      </c>
      <c r="AF1620" s="35" t="s">
        <v>916</v>
      </c>
      <c r="AG1620" s="44">
        <v>489347.5802777778</v>
      </c>
      <c r="AH1620" s="42" t="s">
        <v>916</v>
      </c>
      <c r="AI1620" s="32" t="e">
        <f>VLOOKUP(A1620,'4月明細'!B:B,1,0)</f>
        <v>#N/A</v>
      </c>
    </row>
    <row r="1621" spans="1:35" ht="19.95" customHeight="1" x14ac:dyDescent="0.3">
      <c r="A1621" s="33" t="s">
        <v>5712</v>
      </c>
      <c r="B1621" s="34">
        <v>45958.499120370368</v>
      </c>
      <c r="C1621" s="34" t="str">
        <f t="shared" si="38"/>
        <v>202510</v>
      </c>
      <c r="D1621" s="35" t="s">
        <v>996</v>
      </c>
      <c r="E1621" s="36" t="s">
        <v>910</v>
      </c>
      <c r="F1621" s="36" t="s">
        <v>1282</v>
      </c>
      <c r="G1621" s="37" t="s">
        <v>5713</v>
      </c>
      <c r="H1621" s="36" t="s">
        <v>4029</v>
      </c>
      <c r="I1621" s="35"/>
      <c r="J1621" s="36" t="s">
        <v>914</v>
      </c>
      <c r="K1621" s="33" t="s">
        <v>916</v>
      </c>
      <c r="L1621" s="35" t="s">
        <v>916</v>
      </c>
      <c r="M1621" s="36" t="s">
        <v>923</v>
      </c>
      <c r="N1621" s="45">
        <v>46022</v>
      </c>
      <c r="O1621" s="36" t="s">
        <v>25</v>
      </c>
      <c r="P1621" s="38">
        <v>63.5008796296</v>
      </c>
      <c r="Q1621" s="39" t="s">
        <v>5714</v>
      </c>
      <c r="R1621" s="35" t="s">
        <v>916</v>
      </c>
      <c r="S1621" s="35" t="s">
        <v>5715</v>
      </c>
      <c r="T1621" s="35" t="s">
        <v>1701</v>
      </c>
      <c r="U1621" s="40">
        <v>45959</v>
      </c>
      <c r="V1621" s="41">
        <v>46153.532951388886</v>
      </c>
      <c r="W1621" s="40">
        <v>45958</v>
      </c>
      <c r="X1621" s="35" t="s">
        <v>916</v>
      </c>
      <c r="Y1621" s="35" t="s">
        <v>916</v>
      </c>
      <c r="Z1621" s="35" t="s">
        <v>916</v>
      </c>
      <c r="AA1621" s="38">
        <v>1524.0211111103999</v>
      </c>
      <c r="AB1621" s="42" t="s">
        <v>916</v>
      </c>
      <c r="AC1621" s="43" t="s">
        <v>916</v>
      </c>
      <c r="AD1621" s="43" t="s">
        <v>916</v>
      </c>
      <c r="AE1621" s="33" t="s">
        <v>3982</v>
      </c>
      <c r="AF1621" s="35" t="s">
        <v>916</v>
      </c>
      <c r="AG1621" s="44">
        <v>489347.97888888902</v>
      </c>
      <c r="AH1621" s="42" t="s">
        <v>916</v>
      </c>
      <c r="AI1621" s="32" t="e">
        <f>VLOOKUP(A1621,'4月明細'!B:B,1,0)</f>
        <v>#N/A</v>
      </c>
    </row>
    <row r="1622" spans="1:35" ht="19.95" customHeight="1" x14ac:dyDescent="0.3">
      <c r="A1622" s="33" t="s">
        <v>5716</v>
      </c>
      <c r="B1622" s="34">
        <v>45958.482210648152</v>
      </c>
      <c r="C1622" s="34" t="str">
        <f t="shared" si="38"/>
        <v>202510</v>
      </c>
      <c r="D1622" s="35" t="s">
        <v>951</v>
      </c>
      <c r="E1622" s="36" t="s">
        <v>910</v>
      </c>
      <c r="F1622" s="36" t="s">
        <v>1441</v>
      </c>
      <c r="G1622" s="37" t="s">
        <v>5717</v>
      </c>
      <c r="H1622" s="36" t="s">
        <v>913</v>
      </c>
      <c r="I1622" s="35"/>
      <c r="J1622" s="36" t="s">
        <v>914</v>
      </c>
      <c r="K1622" s="33" t="s">
        <v>916</v>
      </c>
      <c r="L1622" s="35" t="s">
        <v>916</v>
      </c>
      <c r="M1622" s="36" t="s">
        <v>916</v>
      </c>
      <c r="N1622" s="45">
        <v>46022</v>
      </c>
      <c r="O1622" s="36" t="s">
        <v>25</v>
      </c>
      <c r="P1622" s="38">
        <v>63.517789351899999</v>
      </c>
      <c r="Q1622" s="39" t="s">
        <v>5718</v>
      </c>
      <c r="R1622" s="35" t="s">
        <v>916</v>
      </c>
      <c r="S1622" s="35" t="s">
        <v>5719</v>
      </c>
      <c r="T1622" s="35" t="s">
        <v>1701</v>
      </c>
      <c r="U1622" s="40">
        <v>45959</v>
      </c>
      <c r="V1622" s="41">
        <v>46153.532951388886</v>
      </c>
      <c r="W1622" s="40">
        <v>45958</v>
      </c>
      <c r="X1622" s="35" t="s">
        <v>916</v>
      </c>
      <c r="Y1622" s="35" t="s">
        <v>916</v>
      </c>
      <c r="Z1622" s="35" t="s">
        <v>916</v>
      </c>
      <c r="AA1622" s="38">
        <v>1524.4269444455999</v>
      </c>
      <c r="AB1622" s="42" t="s">
        <v>916</v>
      </c>
      <c r="AC1622" s="43" t="s">
        <v>916</v>
      </c>
      <c r="AD1622" s="43" t="s">
        <v>916</v>
      </c>
      <c r="AE1622" s="33" t="s">
        <v>3982</v>
      </c>
      <c r="AF1622" s="35" t="s">
        <v>916</v>
      </c>
      <c r="AG1622" s="44">
        <v>489347.57305555558</v>
      </c>
      <c r="AH1622" s="42" t="s">
        <v>916</v>
      </c>
      <c r="AI1622" s="32" t="e">
        <f>VLOOKUP(A1622,'4月明細'!B:B,1,0)</f>
        <v>#N/A</v>
      </c>
    </row>
    <row r="1623" spans="1:35" ht="19.95" customHeight="1" x14ac:dyDescent="0.3">
      <c r="A1623" s="33" t="s">
        <v>5720</v>
      </c>
      <c r="B1623" s="34">
        <v>45958.477997685186</v>
      </c>
      <c r="C1623" s="34" t="str">
        <f t="shared" si="38"/>
        <v>202510</v>
      </c>
      <c r="D1623" s="35" t="s">
        <v>996</v>
      </c>
      <c r="E1623" s="36" t="s">
        <v>910</v>
      </c>
      <c r="F1623" s="36" t="s">
        <v>1060</v>
      </c>
      <c r="G1623" s="37" t="s">
        <v>5721</v>
      </c>
      <c r="H1623" s="36" t="s">
        <v>1048</v>
      </c>
      <c r="I1623" s="35"/>
      <c r="J1623" s="36" t="s">
        <v>914</v>
      </c>
      <c r="K1623" s="33" t="s">
        <v>916</v>
      </c>
      <c r="L1623" s="35" t="s">
        <v>916</v>
      </c>
      <c r="M1623" s="36" t="s">
        <v>916</v>
      </c>
      <c r="N1623" s="45">
        <v>46022</v>
      </c>
      <c r="O1623" s="36" t="s">
        <v>25</v>
      </c>
      <c r="P1623" s="38">
        <v>63.522002314799998</v>
      </c>
      <c r="Q1623" s="39" t="s">
        <v>5722</v>
      </c>
      <c r="R1623" s="35" t="s">
        <v>916</v>
      </c>
      <c r="S1623" s="35" t="s">
        <v>5723</v>
      </c>
      <c r="T1623" s="35" t="s">
        <v>1701</v>
      </c>
      <c r="U1623" s="40">
        <v>45959</v>
      </c>
      <c r="V1623" s="41">
        <v>46153.532951388886</v>
      </c>
      <c r="W1623" s="40">
        <v>45958</v>
      </c>
      <c r="X1623" s="35" t="s">
        <v>916</v>
      </c>
      <c r="Y1623" s="35" t="s">
        <v>916</v>
      </c>
      <c r="Z1623" s="35" t="s">
        <v>916</v>
      </c>
      <c r="AA1623" s="38">
        <v>1524.5280555551999</v>
      </c>
      <c r="AB1623" s="42" t="s">
        <v>916</v>
      </c>
      <c r="AC1623" s="43" t="s">
        <v>916</v>
      </c>
      <c r="AD1623" s="43" t="s">
        <v>916</v>
      </c>
      <c r="AE1623" s="33" t="s">
        <v>3982</v>
      </c>
      <c r="AF1623" s="35" t="s">
        <v>916</v>
      </c>
      <c r="AG1623" s="44">
        <v>489347.47194444452</v>
      </c>
      <c r="AH1623" s="42" t="s">
        <v>916</v>
      </c>
      <c r="AI1623" s="32" t="e">
        <f>VLOOKUP(A1623,'4月明細'!B:B,1,0)</f>
        <v>#N/A</v>
      </c>
    </row>
    <row r="1624" spans="1:35" ht="19.95" customHeight="1" x14ac:dyDescent="0.3">
      <c r="A1624" s="33" t="s">
        <v>5724</v>
      </c>
      <c r="B1624" s="34">
        <v>45957.996678240743</v>
      </c>
      <c r="C1624" s="34" t="str">
        <f t="shared" si="38"/>
        <v>202510</v>
      </c>
      <c r="D1624" s="35" t="s">
        <v>5008</v>
      </c>
      <c r="E1624" s="36" t="s">
        <v>1112</v>
      </c>
      <c r="F1624" s="36" t="s">
        <v>1032</v>
      </c>
      <c r="G1624" s="37" t="s">
        <v>5725</v>
      </c>
      <c r="H1624" s="36" t="s">
        <v>956</v>
      </c>
      <c r="I1624" s="35" t="s">
        <v>5726</v>
      </c>
      <c r="J1624" s="36" t="s">
        <v>945</v>
      </c>
      <c r="K1624" s="33" t="s">
        <v>916</v>
      </c>
      <c r="L1624" s="35" t="s">
        <v>916</v>
      </c>
      <c r="M1624" s="36" t="s">
        <v>916</v>
      </c>
      <c r="N1624" s="45">
        <v>46022</v>
      </c>
      <c r="O1624" s="36" t="s">
        <v>25</v>
      </c>
      <c r="P1624" s="38">
        <v>64.003321759299993</v>
      </c>
      <c r="Q1624" s="39" t="s">
        <v>5727</v>
      </c>
      <c r="R1624" s="35" t="s">
        <v>916</v>
      </c>
      <c r="S1624" s="35"/>
      <c r="T1624" s="35" t="s">
        <v>1701</v>
      </c>
      <c r="U1624" s="40">
        <v>45958</v>
      </c>
      <c r="V1624" s="41">
        <v>46153.532951388886</v>
      </c>
      <c r="W1624" s="40">
        <v>45958</v>
      </c>
      <c r="X1624" s="35" t="s">
        <v>916</v>
      </c>
      <c r="Y1624" s="35" t="s">
        <v>916</v>
      </c>
      <c r="Z1624" s="35" t="s">
        <v>916</v>
      </c>
      <c r="AA1624" s="38">
        <v>1536.0797222232</v>
      </c>
      <c r="AB1624" s="42" t="s">
        <v>916</v>
      </c>
      <c r="AC1624" s="43" t="s">
        <v>916</v>
      </c>
      <c r="AD1624" s="43" t="s">
        <v>916</v>
      </c>
      <c r="AE1624" s="33" t="s">
        <v>3982</v>
      </c>
      <c r="AF1624" s="35" t="s">
        <v>916</v>
      </c>
      <c r="AG1624" s="44">
        <v>489335.92027777783</v>
      </c>
      <c r="AH1624" s="42" t="s">
        <v>916</v>
      </c>
      <c r="AI1624" s="32" t="e">
        <f>VLOOKUP(A1624,'4月明細'!B:B,1,0)</f>
        <v>#N/A</v>
      </c>
    </row>
    <row r="1625" spans="1:35" ht="19.95" customHeight="1" x14ac:dyDescent="0.3">
      <c r="A1625" s="33" t="s">
        <v>5728</v>
      </c>
      <c r="B1625" s="34">
        <v>45957.80908564815</v>
      </c>
      <c r="C1625" s="34" t="str">
        <f t="shared" si="38"/>
        <v>202510</v>
      </c>
      <c r="D1625" s="35" t="s">
        <v>941</v>
      </c>
      <c r="E1625" s="36" t="s">
        <v>942</v>
      </c>
      <c r="F1625" s="36" t="s">
        <v>1392</v>
      </c>
      <c r="G1625" s="37" t="s">
        <v>5729</v>
      </c>
      <c r="H1625" s="36" t="s">
        <v>4023</v>
      </c>
      <c r="I1625" s="35"/>
      <c r="J1625" s="36" t="s">
        <v>945</v>
      </c>
      <c r="K1625" s="33" t="s">
        <v>916</v>
      </c>
      <c r="L1625" s="35" t="s">
        <v>916</v>
      </c>
      <c r="M1625" s="36" t="s">
        <v>916</v>
      </c>
      <c r="N1625" s="45">
        <v>46022</v>
      </c>
      <c r="O1625" s="36" t="s">
        <v>25</v>
      </c>
      <c r="P1625" s="38">
        <v>64.190914351800004</v>
      </c>
      <c r="Q1625" s="39" t="s">
        <v>5730</v>
      </c>
      <c r="R1625" s="35" t="s">
        <v>916</v>
      </c>
      <c r="S1625" s="35"/>
      <c r="T1625" s="35" t="s">
        <v>1701</v>
      </c>
      <c r="U1625" s="40">
        <v>45958</v>
      </c>
      <c r="V1625" s="41">
        <v>46153.532951388886</v>
      </c>
      <c r="W1625" s="40">
        <v>45957</v>
      </c>
      <c r="X1625" s="35" t="s">
        <v>916</v>
      </c>
      <c r="Y1625" s="35" t="s">
        <v>916</v>
      </c>
      <c r="Z1625" s="35" t="s">
        <v>916</v>
      </c>
      <c r="AA1625" s="38">
        <v>1540.5819444432</v>
      </c>
      <c r="AB1625" s="42" t="s">
        <v>916</v>
      </c>
      <c r="AC1625" s="43" t="s">
        <v>916</v>
      </c>
      <c r="AD1625" s="43" t="s">
        <v>916</v>
      </c>
      <c r="AE1625" s="33" t="s">
        <v>3982</v>
      </c>
      <c r="AF1625" s="35" t="s">
        <v>916</v>
      </c>
      <c r="AG1625" s="44">
        <v>489331.41805555561</v>
      </c>
      <c r="AH1625" s="42" t="s">
        <v>916</v>
      </c>
      <c r="AI1625" s="32" t="e">
        <f>VLOOKUP(A1625,'4月明細'!B:B,1,0)</f>
        <v>#N/A</v>
      </c>
    </row>
    <row r="1626" spans="1:35" ht="19.95" customHeight="1" x14ac:dyDescent="0.3">
      <c r="A1626" s="33" t="s">
        <v>5731</v>
      </c>
      <c r="B1626" s="34">
        <v>45957.71</v>
      </c>
      <c r="C1626" s="34" t="str">
        <f t="shared" si="38"/>
        <v>202510</v>
      </c>
      <c r="D1626" s="35" t="s">
        <v>996</v>
      </c>
      <c r="E1626" s="36" t="s">
        <v>910</v>
      </c>
      <c r="F1626" s="36" t="s">
        <v>1792</v>
      </c>
      <c r="G1626" s="37" t="s">
        <v>998</v>
      </c>
      <c r="H1626" s="36" t="s">
        <v>3979</v>
      </c>
      <c r="I1626" s="35"/>
      <c r="J1626" s="36" t="s">
        <v>914</v>
      </c>
      <c r="K1626" s="33" t="s">
        <v>916</v>
      </c>
      <c r="L1626" s="35" t="s">
        <v>916</v>
      </c>
      <c r="M1626" s="36" t="s">
        <v>916</v>
      </c>
      <c r="N1626" s="45">
        <v>46022</v>
      </c>
      <c r="O1626" s="36" t="s">
        <v>25</v>
      </c>
      <c r="P1626" s="38">
        <v>64.290000000000006</v>
      </c>
      <c r="Q1626" s="39" t="s">
        <v>3710</v>
      </c>
      <c r="R1626" s="35" t="s">
        <v>916</v>
      </c>
      <c r="S1626" s="35"/>
      <c r="T1626" s="35" t="s">
        <v>1701</v>
      </c>
      <c r="U1626" s="40">
        <v>45958</v>
      </c>
      <c r="V1626" s="41">
        <v>46153.532951388886</v>
      </c>
      <c r="W1626" s="40">
        <v>45957</v>
      </c>
      <c r="X1626" s="35" t="s">
        <v>916</v>
      </c>
      <c r="Y1626" s="35" t="s">
        <v>916</v>
      </c>
      <c r="Z1626" s="35" t="s">
        <v>916</v>
      </c>
      <c r="AA1626" s="38">
        <v>1542.96</v>
      </c>
      <c r="AB1626" s="42" t="s">
        <v>916</v>
      </c>
      <c r="AC1626" s="43" t="s">
        <v>916</v>
      </c>
      <c r="AD1626" s="43" t="s">
        <v>916</v>
      </c>
      <c r="AE1626" s="33" t="s">
        <v>3982</v>
      </c>
      <c r="AF1626" s="35" t="s">
        <v>916</v>
      </c>
      <c r="AG1626" s="44">
        <v>489329.04</v>
      </c>
      <c r="AH1626" s="42" t="s">
        <v>916</v>
      </c>
      <c r="AI1626" s="32" t="e">
        <f>VLOOKUP(A1626,'4月明細'!B:B,1,0)</f>
        <v>#N/A</v>
      </c>
    </row>
    <row r="1627" spans="1:35" ht="19.95" customHeight="1" x14ac:dyDescent="0.3">
      <c r="A1627" s="33" t="s">
        <v>5732</v>
      </c>
      <c r="B1627" s="34">
        <v>45957.614594907405</v>
      </c>
      <c r="C1627" s="34" t="str">
        <f t="shared" si="38"/>
        <v>202510</v>
      </c>
      <c r="D1627" s="35" t="s">
        <v>996</v>
      </c>
      <c r="E1627" s="36" t="s">
        <v>910</v>
      </c>
      <c r="F1627" s="36" t="s">
        <v>1370</v>
      </c>
      <c r="G1627" s="37" t="s">
        <v>1041</v>
      </c>
      <c r="H1627" s="36" t="s">
        <v>1043</v>
      </c>
      <c r="I1627" s="35" t="s">
        <v>5733</v>
      </c>
      <c r="J1627" s="36" t="s">
        <v>929</v>
      </c>
      <c r="K1627" s="33" t="s">
        <v>916</v>
      </c>
      <c r="L1627" s="35" t="s">
        <v>916</v>
      </c>
      <c r="M1627" s="36" t="s">
        <v>916</v>
      </c>
      <c r="N1627" s="45">
        <v>46022</v>
      </c>
      <c r="O1627" s="36" t="s">
        <v>25</v>
      </c>
      <c r="P1627" s="38">
        <v>64.385405092599996</v>
      </c>
      <c r="Q1627" s="39" t="s">
        <v>5734</v>
      </c>
      <c r="R1627" s="35" t="s">
        <v>916</v>
      </c>
      <c r="S1627" s="35"/>
      <c r="T1627" s="35" t="s">
        <v>1701</v>
      </c>
      <c r="U1627" s="40">
        <v>45958</v>
      </c>
      <c r="V1627" s="41">
        <v>46153.532951388886</v>
      </c>
      <c r="W1627" s="40">
        <v>45957</v>
      </c>
      <c r="X1627" s="35" t="s">
        <v>916</v>
      </c>
      <c r="Y1627" s="35" t="s">
        <v>916</v>
      </c>
      <c r="Z1627" s="35" t="s">
        <v>916</v>
      </c>
      <c r="AA1627" s="38">
        <v>1545.2497222223999</v>
      </c>
      <c r="AB1627" s="42" t="s">
        <v>916</v>
      </c>
      <c r="AC1627" s="43" t="s">
        <v>916</v>
      </c>
      <c r="AD1627" s="43" t="s">
        <v>916</v>
      </c>
      <c r="AE1627" s="33" t="s">
        <v>3982</v>
      </c>
      <c r="AF1627" s="35" t="s">
        <v>916</v>
      </c>
      <c r="AG1627" s="44">
        <v>489326.75027777778</v>
      </c>
      <c r="AH1627" s="42" t="s">
        <v>916</v>
      </c>
      <c r="AI1627" s="32" t="e">
        <f>VLOOKUP(A1627,'4月明細'!B:B,1,0)</f>
        <v>#N/A</v>
      </c>
    </row>
    <row r="1628" spans="1:35" ht="19.95" customHeight="1" x14ac:dyDescent="0.3">
      <c r="A1628" s="33" t="s">
        <v>5735</v>
      </c>
      <c r="B1628" s="34">
        <v>45957.559988425928</v>
      </c>
      <c r="C1628" s="34" t="str">
        <f t="shared" si="38"/>
        <v>202510</v>
      </c>
      <c r="D1628" s="35" t="s">
        <v>996</v>
      </c>
      <c r="E1628" s="36" t="s">
        <v>910</v>
      </c>
      <c r="F1628" s="36" t="s">
        <v>1397</v>
      </c>
      <c r="G1628" s="37" t="s">
        <v>5736</v>
      </c>
      <c r="H1628" s="36" t="s">
        <v>3979</v>
      </c>
      <c r="I1628" s="35"/>
      <c r="J1628" s="36" t="s">
        <v>914</v>
      </c>
      <c r="K1628" s="33" t="s">
        <v>916</v>
      </c>
      <c r="L1628" s="35" t="s">
        <v>916</v>
      </c>
      <c r="M1628" s="36" t="s">
        <v>916</v>
      </c>
      <c r="N1628" s="45">
        <v>46022</v>
      </c>
      <c r="O1628" s="36" t="s">
        <v>25</v>
      </c>
      <c r="P1628" s="38">
        <v>64.440011574099998</v>
      </c>
      <c r="Q1628" s="39" t="s">
        <v>5737</v>
      </c>
      <c r="R1628" s="35" t="s">
        <v>916</v>
      </c>
      <c r="S1628" s="35"/>
      <c r="T1628" s="35" t="s">
        <v>1701</v>
      </c>
      <c r="U1628" s="40">
        <v>45958</v>
      </c>
      <c r="V1628" s="41">
        <v>46153.532951388886</v>
      </c>
      <c r="W1628" s="40">
        <v>45957</v>
      </c>
      <c r="X1628" s="35" t="s">
        <v>916</v>
      </c>
      <c r="Y1628" s="35" t="s">
        <v>916</v>
      </c>
      <c r="Z1628" s="35" t="s">
        <v>916</v>
      </c>
      <c r="AA1628" s="38">
        <v>1546.5602777783999</v>
      </c>
      <c r="AB1628" s="42" t="s">
        <v>916</v>
      </c>
      <c r="AC1628" s="43" t="s">
        <v>916</v>
      </c>
      <c r="AD1628" s="43" t="s">
        <v>916</v>
      </c>
      <c r="AE1628" s="33" t="s">
        <v>3982</v>
      </c>
      <c r="AF1628" s="35" t="s">
        <v>916</v>
      </c>
      <c r="AG1628" s="44">
        <v>489325.43972222222</v>
      </c>
      <c r="AH1628" s="42" t="s">
        <v>916</v>
      </c>
      <c r="AI1628" s="32" t="e">
        <f>VLOOKUP(A1628,'4月明細'!B:B,1,0)</f>
        <v>#N/A</v>
      </c>
    </row>
    <row r="1629" spans="1:35" ht="19.95" customHeight="1" x14ac:dyDescent="0.3">
      <c r="A1629" s="33" t="s">
        <v>5738</v>
      </c>
      <c r="B1629" s="34">
        <v>45957.456145833334</v>
      </c>
      <c r="C1629" s="34" t="str">
        <f t="shared" si="38"/>
        <v>202510</v>
      </c>
      <c r="D1629" s="35" t="s">
        <v>996</v>
      </c>
      <c r="E1629" s="36" t="s">
        <v>910</v>
      </c>
      <c r="F1629" s="36" t="s">
        <v>1350</v>
      </c>
      <c r="G1629" s="37" t="s">
        <v>5739</v>
      </c>
      <c r="H1629" s="36" t="s">
        <v>3985</v>
      </c>
      <c r="I1629" s="35" t="s">
        <v>5740</v>
      </c>
      <c r="J1629" s="36" t="s">
        <v>914</v>
      </c>
      <c r="K1629" s="33" t="s">
        <v>916</v>
      </c>
      <c r="L1629" s="35" t="s">
        <v>916</v>
      </c>
      <c r="M1629" s="36" t="s">
        <v>916</v>
      </c>
      <c r="N1629" s="45">
        <v>46022</v>
      </c>
      <c r="O1629" s="36" t="s">
        <v>25</v>
      </c>
      <c r="P1629" s="38">
        <v>64.543854166700001</v>
      </c>
      <c r="Q1629" s="39" t="s">
        <v>5741</v>
      </c>
      <c r="R1629" s="35" t="s">
        <v>916</v>
      </c>
      <c r="S1629" s="35"/>
      <c r="T1629" s="35" t="s">
        <v>1701</v>
      </c>
      <c r="U1629" s="40">
        <v>45958</v>
      </c>
      <c r="V1629" s="41">
        <v>46153.532951388886</v>
      </c>
      <c r="W1629" s="40">
        <v>45957</v>
      </c>
      <c r="X1629" s="35" t="s">
        <v>916</v>
      </c>
      <c r="Y1629" s="35" t="s">
        <v>916</v>
      </c>
      <c r="Z1629" s="35" t="s">
        <v>916</v>
      </c>
      <c r="AA1629" s="38">
        <v>1549.0525000007999</v>
      </c>
      <c r="AB1629" s="42" t="s">
        <v>916</v>
      </c>
      <c r="AC1629" s="43" t="s">
        <v>916</v>
      </c>
      <c r="AD1629" s="43" t="s">
        <v>916</v>
      </c>
      <c r="AE1629" s="33" t="s">
        <v>3982</v>
      </c>
      <c r="AF1629" s="35" t="s">
        <v>916</v>
      </c>
      <c r="AG1629" s="44">
        <v>489322.94750000001</v>
      </c>
      <c r="AH1629" s="42" t="s">
        <v>916</v>
      </c>
      <c r="AI1629" s="32" t="e">
        <f>VLOOKUP(A1629,'4月明細'!B:B,1,0)</f>
        <v>#N/A</v>
      </c>
    </row>
    <row r="1630" spans="1:35" ht="19.95" customHeight="1" x14ac:dyDescent="0.3">
      <c r="A1630" s="33" t="s">
        <v>5742</v>
      </c>
      <c r="B1630" s="34">
        <v>45957.430810185186</v>
      </c>
      <c r="C1630" s="34" t="str">
        <f t="shared" si="38"/>
        <v>202510</v>
      </c>
      <c r="D1630" s="35" t="s">
        <v>2624</v>
      </c>
      <c r="E1630" s="36" t="s">
        <v>942</v>
      </c>
      <c r="F1630" s="36" t="s">
        <v>1736</v>
      </c>
      <c r="G1630" s="37" t="s">
        <v>5743</v>
      </c>
      <c r="H1630" s="36" t="s">
        <v>970</v>
      </c>
      <c r="I1630" s="35"/>
      <c r="J1630" s="36" t="s">
        <v>938</v>
      </c>
      <c r="K1630" s="33" t="s">
        <v>916</v>
      </c>
      <c r="L1630" s="35" t="s">
        <v>916</v>
      </c>
      <c r="M1630" s="36" t="s">
        <v>916</v>
      </c>
      <c r="N1630" s="45">
        <v>46022</v>
      </c>
      <c r="O1630" s="36" t="s">
        <v>25</v>
      </c>
      <c r="P1630" s="38">
        <v>64.569189814799998</v>
      </c>
      <c r="Q1630" s="39" t="s">
        <v>5744</v>
      </c>
      <c r="R1630" s="35" t="s">
        <v>916</v>
      </c>
      <c r="S1630" s="35"/>
      <c r="T1630" s="35" t="s">
        <v>1701</v>
      </c>
      <c r="U1630" s="40">
        <v>45958</v>
      </c>
      <c r="V1630" s="41">
        <v>46153.532951388886</v>
      </c>
      <c r="W1630" s="40">
        <v>45957</v>
      </c>
      <c r="X1630" s="35" t="s">
        <v>916</v>
      </c>
      <c r="Y1630" s="35" t="s">
        <v>916</v>
      </c>
      <c r="Z1630" s="35" t="s">
        <v>916</v>
      </c>
      <c r="AA1630" s="38">
        <v>1549.6605555552001</v>
      </c>
      <c r="AB1630" s="42" t="s">
        <v>916</v>
      </c>
      <c r="AC1630" s="43" t="s">
        <v>916</v>
      </c>
      <c r="AD1630" s="43" t="s">
        <v>916</v>
      </c>
      <c r="AE1630" s="33" t="s">
        <v>3982</v>
      </c>
      <c r="AF1630" s="35" t="s">
        <v>916</v>
      </c>
      <c r="AG1630" s="44">
        <v>489322.33944444451</v>
      </c>
      <c r="AH1630" s="42" t="s">
        <v>916</v>
      </c>
      <c r="AI1630" s="32" t="e">
        <f>VLOOKUP(A1630,'4月明細'!B:B,1,0)</f>
        <v>#N/A</v>
      </c>
    </row>
    <row r="1631" spans="1:35" ht="19.95" customHeight="1" x14ac:dyDescent="0.3">
      <c r="A1631" s="33" t="s">
        <v>5745</v>
      </c>
      <c r="B1631" s="34">
        <v>45957.428900462961</v>
      </c>
      <c r="C1631" s="34" t="str">
        <f t="shared" si="38"/>
        <v>202510</v>
      </c>
      <c r="D1631" s="35" t="s">
        <v>1587</v>
      </c>
      <c r="E1631" s="36" t="s">
        <v>942</v>
      </c>
      <c r="F1631" s="36" t="s">
        <v>1338</v>
      </c>
      <c r="G1631" s="37" t="s">
        <v>5746</v>
      </c>
      <c r="H1631" s="36" t="s">
        <v>1043</v>
      </c>
      <c r="I1631" s="35"/>
      <c r="J1631" s="36" t="s">
        <v>945</v>
      </c>
      <c r="K1631" s="33" t="s">
        <v>916</v>
      </c>
      <c r="L1631" s="35" t="s">
        <v>916</v>
      </c>
      <c r="M1631" s="36" t="s">
        <v>916</v>
      </c>
      <c r="N1631" s="45">
        <v>46022</v>
      </c>
      <c r="O1631" s="36" t="s">
        <v>25</v>
      </c>
      <c r="P1631" s="38">
        <v>64.571099536999995</v>
      </c>
      <c r="Q1631" s="39" t="s">
        <v>5207</v>
      </c>
      <c r="R1631" s="35" t="s">
        <v>916</v>
      </c>
      <c r="S1631" s="35" t="s">
        <v>5747</v>
      </c>
      <c r="T1631" s="35" t="s">
        <v>1701</v>
      </c>
      <c r="U1631" s="40">
        <v>45958</v>
      </c>
      <c r="V1631" s="41">
        <v>46153.532951388886</v>
      </c>
      <c r="W1631" s="40">
        <v>45957</v>
      </c>
      <c r="X1631" s="35" t="s">
        <v>916</v>
      </c>
      <c r="Y1631" s="35" t="s">
        <v>916</v>
      </c>
      <c r="Z1631" s="35" t="s">
        <v>916</v>
      </c>
      <c r="AA1631" s="38">
        <v>1549.706388888</v>
      </c>
      <c r="AB1631" s="42" t="s">
        <v>916</v>
      </c>
      <c r="AC1631" s="43" t="s">
        <v>916</v>
      </c>
      <c r="AD1631" s="43" t="s">
        <v>916</v>
      </c>
      <c r="AE1631" s="33" t="s">
        <v>3982</v>
      </c>
      <c r="AF1631" s="35" t="s">
        <v>916</v>
      </c>
      <c r="AG1631" s="44">
        <v>489322.29361111112</v>
      </c>
      <c r="AH1631" s="42" t="s">
        <v>916</v>
      </c>
      <c r="AI1631" s="32" t="e">
        <f>VLOOKUP(A1631,'4月明細'!B:B,1,0)</f>
        <v>#N/A</v>
      </c>
    </row>
    <row r="1632" spans="1:35" ht="19.95" customHeight="1" x14ac:dyDescent="0.3">
      <c r="A1632" s="33" t="s">
        <v>5748</v>
      </c>
      <c r="B1632" s="34">
        <v>45957.393506944441</v>
      </c>
      <c r="C1632" s="34" t="str">
        <f t="shared" si="38"/>
        <v>202510</v>
      </c>
      <c r="D1632" s="35" t="s">
        <v>2624</v>
      </c>
      <c r="E1632" s="36" t="s">
        <v>942</v>
      </c>
      <c r="F1632" s="36" t="s">
        <v>961</v>
      </c>
      <c r="G1632" s="37" t="s">
        <v>5749</v>
      </c>
      <c r="H1632" s="36" t="s">
        <v>1048</v>
      </c>
      <c r="I1632" s="35"/>
      <c r="J1632" s="36" t="s">
        <v>945</v>
      </c>
      <c r="K1632" s="33" t="s">
        <v>916</v>
      </c>
      <c r="L1632" s="35" t="s">
        <v>916</v>
      </c>
      <c r="M1632" s="36" t="s">
        <v>916</v>
      </c>
      <c r="N1632" s="45">
        <v>46022</v>
      </c>
      <c r="O1632" s="36" t="s">
        <v>25</v>
      </c>
      <c r="P1632" s="38">
        <v>64.606493055599998</v>
      </c>
      <c r="Q1632" s="39" t="s">
        <v>5750</v>
      </c>
      <c r="R1632" s="35" t="s">
        <v>916</v>
      </c>
      <c r="S1632" s="35"/>
      <c r="T1632" s="35" t="s">
        <v>1701</v>
      </c>
      <c r="U1632" s="40">
        <v>45958</v>
      </c>
      <c r="V1632" s="41">
        <v>46153.532951388886</v>
      </c>
      <c r="W1632" s="40">
        <v>45957</v>
      </c>
      <c r="X1632" s="35" t="s">
        <v>916</v>
      </c>
      <c r="Y1632" s="35" t="s">
        <v>916</v>
      </c>
      <c r="Z1632" s="35" t="s">
        <v>916</v>
      </c>
      <c r="AA1632" s="38">
        <v>1550.5558333343999</v>
      </c>
      <c r="AB1632" s="42" t="s">
        <v>916</v>
      </c>
      <c r="AC1632" s="43" t="s">
        <v>916</v>
      </c>
      <c r="AD1632" s="43" t="s">
        <v>916</v>
      </c>
      <c r="AE1632" s="33" t="s">
        <v>3982</v>
      </c>
      <c r="AF1632" s="35" t="s">
        <v>916</v>
      </c>
      <c r="AG1632" s="44">
        <v>489321.44416666671</v>
      </c>
      <c r="AH1632" s="42" t="s">
        <v>916</v>
      </c>
      <c r="AI1632" s="32" t="e">
        <f>VLOOKUP(A1632,'4月明細'!B:B,1,0)</f>
        <v>#N/A</v>
      </c>
    </row>
    <row r="1633" spans="1:35" ht="19.95" customHeight="1" x14ac:dyDescent="0.3">
      <c r="A1633" s="33" t="s">
        <v>5751</v>
      </c>
      <c r="B1633" s="34">
        <v>45956.76462962963</v>
      </c>
      <c r="C1633" s="34" t="str">
        <f t="shared" si="38"/>
        <v>202510</v>
      </c>
      <c r="D1633" s="35" t="s">
        <v>951</v>
      </c>
      <c r="E1633" s="36" t="s">
        <v>910</v>
      </c>
      <c r="F1633" s="36" t="s">
        <v>1316</v>
      </c>
      <c r="G1633" s="37" t="s">
        <v>5752</v>
      </c>
      <c r="H1633" s="36" t="s">
        <v>970</v>
      </c>
      <c r="I1633" s="35" t="s">
        <v>5753</v>
      </c>
      <c r="J1633" s="36" t="s">
        <v>1058</v>
      </c>
      <c r="K1633" s="33" t="s">
        <v>916</v>
      </c>
      <c r="L1633" s="35" t="s">
        <v>916</v>
      </c>
      <c r="M1633" s="36" t="s">
        <v>916</v>
      </c>
      <c r="N1633" s="45">
        <v>46022</v>
      </c>
      <c r="O1633" s="36" t="s">
        <v>25</v>
      </c>
      <c r="P1633" s="38">
        <v>65.235370370400005</v>
      </c>
      <c r="Q1633" s="39" t="s">
        <v>5754</v>
      </c>
      <c r="R1633" s="35" t="s">
        <v>916</v>
      </c>
      <c r="S1633" s="35" t="s">
        <v>5755</v>
      </c>
      <c r="T1633" s="35" t="s">
        <v>1701</v>
      </c>
      <c r="U1633" s="40">
        <v>45957</v>
      </c>
      <c r="V1633" s="41">
        <v>46153.532951388886</v>
      </c>
      <c r="W1633" s="40">
        <v>45956</v>
      </c>
      <c r="X1633" s="35" t="s">
        <v>916</v>
      </c>
      <c r="Y1633" s="35" t="s">
        <v>916</v>
      </c>
      <c r="Z1633" s="35" t="s">
        <v>916</v>
      </c>
      <c r="AA1633" s="38">
        <v>1565.6488888895999</v>
      </c>
      <c r="AB1633" s="42" t="s">
        <v>916</v>
      </c>
      <c r="AC1633" s="43" t="s">
        <v>916</v>
      </c>
      <c r="AD1633" s="43" t="s">
        <v>916</v>
      </c>
      <c r="AE1633" s="33" t="s">
        <v>3982</v>
      </c>
      <c r="AF1633" s="35" t="s">
        <v>916</v>
      </c>
      <c r="AG1633" s="44">
        <v>489306.35111111111</v>
      </c>
      <c r="AH1633" s="42" t="s">
        <v>916</v>
      </c>
      <c r="AI1633" s="32" t="e">
        <f>VLOOKUP(A1633,'4月明細'!B:B,1,0)</f>
        <v>#N/A</v>
      </c>
    </row>
    <row r="1634" spans="1:35" ht="19.95" customHeight="1" x14ac:dyDescent="0.3">
      <c r="A1634" s="33" t="s">
        <v>5756</v>
      </c>
      <c r="B1634" s="34">
        <v>45956.727337962962</v>
      </c>
      <c r="C1634" s="34" t="str">
        <f t="shared" si="38"/>
        <v>202510</v>
      </c>
      <c r="D1634" s="35" t="s">
        <v>5380</v>
      </c>
      <c r="E1634" s="36" t="s">
        <v>910</v>
      </c>
      <c r="F1634" s="36" t="s">
        <v>1021</v>
      </c>
      <c r="G1634" s="37" t="s">
        <v>5757</v>
      </c>
      <c r="H1634" s="36" t="s">
        <v>1079</v>
      </c>
      <c r="I1634" s="35" t="s">
        <v>5758</v>
      </c>
      <c r="J1634" s="36" t="s">
        <v>1058</v>
      </c>
      <c r="K1634" s="33" t="s">
        <v>916</v>
      </c>
      <c r="L1634" s="35" t="s">
        <v>916</v>
      </c>
      <c r="M1634" s="36" t="s">
        <v>916</v>
      </c>
      <c r="N1634" s="45">
        <v>46022</v>
      </c>
      <c r="O1634" s="36" t="s">
        <v>25</v>
      </c>
      <c r="P1634" s="38">
        <v>65.272662037000003</v>
      </c>
      <c r="Q1634" s="39" t="s">
        <v>5759</v>
      </c>
      <c r="R1634" s="35" t="s">
        <v>916</v>
      </c>
      <c r="S1634" s="35" t="s">
        <v>5760</v>
      </c>
      <c r="T1634" s="35" t="s">
        <v>1701</v>
      </c>
      <c r="U1634" s="40">
        <v>45957</v>
      </c>
      <c r="V1634" s="41">
        <v>46153.532951388886</v>
      </c>
      <c r="W1634" s="40">
        <v>45956</v>
      </c>
      <c r="X1634" s="35" t="s">
        <v>916</v>
      </c>
      <c r="Y1634" s="35" t="s">
        <v>916</v>
      </c>
      <c r="Z1634" s="35" t="s">
        <v>916</v>
      </c>
      <c r="AA1634" s="38">
        <v>1566.5438888880001</v>
      </c>
      <c r="AB1634" s="42" t="s">
        <v>916</v>
      </c>
      <c r="AC1634" s="43" t="s">
        <v>916</v>
      </c>
      <c r="AD1634" s="43" t="s">
        <v>916</v>
      </c>
      <c r="AE1634" s="33" t="s">
        <v>3982</v>
      </c>
      <c r="AF1634" s="35" t="s">
        <v>916</v>
      </c>
      <c r="AG1634" s="44">
        <v>489305.4561111111</v>
      </c>
      <c r="AH1634" s="42" t="s">
        <v>916</v>
      </c>
      <c r="AI1634" s="32" t="e">
        <f>VLOOKUP(A1634,'4月明細'!B:B,1,0)</f>
        <v>#N/A</v>
      </c>
    </row>
    <row r="1635" spans="1:35" ht="19.95" customHeight="1" x14ac:dyDescent="0.3">
      <c r="A1635" s="33" t="s">
        <v>5761</v>
      </c>
      <c r="B1635" s="34">
        <v>45956.726261574076</v>
      </c>
      <c r="C1635" s="34" t="str">
        <f t="shared" si="38"/>
        <v>202510</v>
      </c>
      <c r="D1635" s="35" t="s">
        <v>5380</v>
      </c>
      <c r="E1635" s="36" t="s">
        <v>910</v>
      </c>
      <c r="F1635" s="36" t="s">
        <v>1021</v>
      </c>
      <c r="G1635" s="37" t="s">
        <v>5762</v>
      </c>
      <c r="H1635" s="36" t="s">
        <v>4481</v>
      </c>
      <c r="I1635" s="35" t="s">
        <v>5763</v>
      </c>
      <c r="J1635" s="36" t="s">
        <v>1058</v>
      </c>
      <c r="K1635" s="33" t="s">
        <v>916</v>
      </c>
      <c r="L1635" s="35" t="s">
        <v>916</v>
      </c>
      <c r="M1635" s="36" t="s">
        <v>916</v>
      </c>
      <c r="N1635" s="45">
        <v>46022</v>
      </c>
      <c r="O1635" s="36" t="s">
        <v>25</v>
      </c>
      <c r="P1635" s="38">
        <v>65.273738425900007</v>
      </c>
      <c r="Q1635" s="39" t="s">
        <v>5764</v>
      </c>
      <c r="R1635" s="35" t="s">
        <v>916</v>
      </c>
      <c r="S1635" s="35"/>
      <c r="T1635" s="35" t="s">
        <v>1701</v>
      </c>
      <c r="U1635" s="40">
        <v>45957</v>
      </c>
      <c r="V1635" s="41">
        <v>46153.532962962963</v>
      </c>
      <c r="W1635" s="40">
        <v>45956</v>
      </c>
      <c r="X1635" s="35" t="s">
        <v>916</v>
      </c>
      <c r="Y1635" s="35" t="s">
        <v>916</v>
      </c>
      <c r="Z1635" s="35" t="s">
        <v>916</v>
      </c>
      <c r="AA1635" s="38">
        <v>1566.5697222215999</v>
      </c>
      <c r="AB1635" s="42" t="s">
        <v>916</v>
      </c>
      <c r="AC1635" s="43" t="s">
        <v>916</v>
      </c>
      <c r="AD1635" s="43" t="s">
        <v>916</v>
      </c>
      <c r="AE1635" s="33" t="s">
        <v>3982</v>
      </c>
      <c r="AF1635" s="35" t="s">
        <v>916</v>
      </c>
      <c r="AG1635" s="44">
        <v>489305.43027777778</v>
      </c>
      <c r="AH1635" s="42" t="s">
        <v>916</v>
      </c>
      <c r="AI1635" s="32" t="e">
        <f>VLOOKUP(A1635,'4月明細'!B:B,1,0)</f>
        <v>#N/A</v>
      </c>
    </row>
    <row r="1636" spans="1:35" ht="19.95" customHeight="1" x14ac:dyDescent="0.3">
      <c r="A1636" s="33" t="s">
        <v>5765</v>
      </c>
      <c r="B1636" s="34">
        <v>45956.723969907405</v>
      </c>
      <c r="C1636" s="34" t="str">
        <f t="shared" si="38"/>
        <v>202510</v>
      </c>
      <c r="D1636" s="35" t="s">
        <v>2278</v>
      </c>
      <c r="E1636" s="36" t="s">
        <v>910</v>
      </c>
      <c r="F1636" s="36" t="s">
        <v>1461</v>
      </c>
      <c r="G1636" s="37" t="s">
        <v>5766</v>
      </c>
      <c r="H1636" s="36" t="s">
        <v>4324</v>
      </c>
      <c r="I1636" s="35"/>
      <c r="J1636" s="36" t="s">
        <v>929</v>
      </c>
      <c r="K1636" s="33" t="s">
        <v>916</v>
      </c>
      <c r="L1636" s="35" t="s">
        <v>916</v>
      </c>
      <c r="M1636" s="36" t="s">
        <v>916</v>
      </c>
      <c r="N1636" s="45">
        <v>46022</v>
      </c>
      <c r="O1636" s="36" t="s">
        <v>25</v>
      </c>
      <c r="P1636" s="38">
        <v>65.276030092599996</v>
      </c>
      <c r="Q1636" s="39" t="s">
        <v>5767</v>
      </c>
      <c r="R1636" s="35" t="s">
        <v>916</v>
      </c>
      <c r="S1636" s="35" t="s">
        <v>5768</v>
      </c>
      <c r="T1636" s="35" t="s">
        <v>1701</v>
      </c>
      <c r="U1636" s="40">
        <v>45957</v>
      </c>
      <c r="V1636" s="41">
        <v>46153.532962962963</v>
      </c>
      <c r="W1636" s="40">
        <v>45956</v>
      </c>
      <c r="X1636" s="35" t="s">
        <v>916</v>
      </c>
      <c r="Y1636" s="35" t="s">
        <v>916</v>
      </c>
      <c r="Z1636" s="35" t="s">
        <v>916</v>
      </c>
      <c r="AA1636" s="38">
        <v>1566.6247222223999</v>
      </c>
      <c r="AB1636" s="42" t="s">
        <v>916</v>
      </c>
      <c r="AC1636" s="43" t="s">
        <v>916</v>
      </c>
      <c r="AD1636" s="43" t="s">
        <v>916</v>
      </c>
      <c r="AE1636" s="33" t="s">
        <v>3982</v>
      </c>
      <c r="AF1636" s="35" t="s">
        <v>916</v>
      </c>
      <c r="AG1636" s="44">
        <v>489305.37527777778</v>
      </c>
      <c r="AH1636" s="42" t="s">
        <v>916</v>
      </c>
      <c r="AI1636" s="32" t="e">
        <f>VLOOKUP(A1636,'4月明細'!B:B,1,0)</f>
        <v>#N/A</v>
      </c>
    </row>
    <row r="1637" spans="1:35" ht="19.95" customHeight="1" x14ac:dyDescent="0.3">
      <c r="A1637" s="33" t="s">
        <v>5769</v>
      </c>
      <c r="B1637" s="34">
        <v>45956.723124999997</v>
      </c>
      <c r="C1637" s="34" t="str">
        <f t="shared" si="38"/>
        <v>202510</v>
      </c>
      <c r="D1637" s="35" t="s">
        <v>2278</v>
      </c>
      <c r="E1637" s="36" t="s">
        <v>910</v>
      </c>
      <c r="F1637" s="36" t="s">
        <v>1161</v>
      </c>
      <c r="G1637" s="37" t="s">
        <v>5770</v>
      </c>
      <c r="H1637" s="36" t="s">
        <v>970</v>
      </c>
      <c r="I1637" s="35"/>
      <c r="J1637" s="36" t="s">
        <v>929</v>
      </c>
      <c r="K1637" s="33" t="s">
        <v>916</v>
      </c>
      <c r="L1637" s="35" t="s">
        <v>916</v>
      </c>
      <c r="M1637" s="36" t="s">
        <v>916</v>
      </c>
      <c r="N1637" s="45">
        <v>46022</v>
      </c>
      <c r="O1637" s="36" t="s">
        <v>25</v>
      </c>
      <c r="P1637" s="38">
        <v>65.276875000000004</v>
      </c>
      <c r="Q1637" s="39" t="s">
        <v>5771</v>
      </c>
      <c r="R1637" s="35" t="s">
        <v>916</v>
      </c>
      <c r="S1637" s="35" t="s">
        <v>5772</v>
      </c>
      <c r="T1637" s="35" t="s">
        <v>1701</v>
      </c>
      <c r="U1637" s="40">
        <v>45957</v>
      </c>
      <c r="V1637" s="41">
        <v>46153.532962962963</v>
      </c>
      <c r="W1637" s="40">
        <v>45956</v>
      </c>
      <c r="X1637" s="35" t="s">
        <v>916</v>
      </c>
      <c r="Y1637" s="35" t="s">
        <v>916</v>
      </c>
      <c r="Z1637" s="35" t="s">
        <v>916</v>
      </c>
      <c r="AA1637" s="38">
        <v>1566.645</v>
      </c>
      <c r="AB1637" s="42" t="s">
        <v>916</v>
      </c>
      <c r="AC1637" s="43" t="s">
        <v>916</v>
      </c>
      <c r="AD1637" s="43" t="s">
        <v>916</v>
      </c>
      <c r="AE1637" s="33" t="s">
        <v>3982</v>
      </c>
      <c r="AF1637" s="35" t="s">
        <v>916</v>
      </c>
      <c r="AG1637" s="44">
        <v>489305.35499999998</v>
      </c>
      <c r="AH1637" s="42" t="s">
        <v>916</v>
      </c>
      <c r="AI1637" s="32" t="e">
        <f>VLOOKUP(A1637,'4月明細'!B:B,1,0)</f>
        <v>#N/A</v>
      </c>
    </row>
    <row r="1638" spans="1:35" ht="19.95" customHeight="1" x14ac:dyDescent="0.3">
      <c r="A1638" s="33" t="s">
        <v>5773</v>
      </c>
      <c r="B1638" s="34">
        <v>45956.722743055558</v>
      </c>
      <c r="C1638" s="34" t="str">
        <f t="shared" si="38"/>
        <v>202510</v>
      </c>
      <c r="D1638" s="35" t="s">
        <v>5774</v>
      </c>
      <c r="E1638" s="36" t="s">
        <v>910</v>
      </c>
      <c r="F1638" s="36" t="s">
        <v>1381</v>
      </c>
      <c r="G1638" s="37" t="s">
        <v>5775</v>
      </c>
      <c r="H1638" s="36" t="s">
        <v>4481</v>
      </c>
      <c r="I1638" s="35"/>
      <c r="J1638" s="36" t="s">
        <v>929</v>
      </c>
      <c r="K1638" s="33" t="s">
        <v>916</v>
      </c>
      <c r="L1638" s="35" t="s">
        <v>916</v>
      </c>
      <c r="M1638" s="36" t="s">
        <v>916</v>
      </c>
      <c r="N1638" s="45">
        <v>46022</v>
      </c>
      <c r="O1638" s="36" t="s">
        <v>25</v>
      </c>
      <c r="P1638" s="38">
        <v>65.277256944399994</v>
      </c>
      <c r="Q1638" s="39" t="s">
        <v>5776</v>
      </c>
      <c r="R1638" s="35" t="s">
        <v>916</v>
      </c>
      <c r="S1638" s="35"/>
      <c r="T1638" s="35" t="s">
        <v>1701</v>
      </c>
      <c r="U1638" s="40">
        <v>45957</v>
      </c>
      <c r="V1638" s="41">
        <v>46153.532962962963</v>
      </c>
      <c r="W1638" s="40">
        <v>45956</v>
      </c>
      <c r="X1638" s="35" t="s">
        <v>916</v>
      </c>
      <c r="Y1638" s="35" t="s">
        <v>916</v>
      </c>
      <c r="Z1638" s="35" t="s">
        <v>916</v>
      </c>
      <c r="AA1638" s="38">
        <v>1566.6541666656001</v>
      </c>
      <c r="AB1638" s="42" t="s">
        <v>916</v>
      </c>
      <c r="AC1638" s="43" t="s">
        <v>916</v>
      </c>
      <c r="AD1638" s="43" t="s">
        <v>916</v>
      </c>
      <c r="AE1638" s="33" t="s">
        <v>3982</v>
      </c>
      <c r="AF1638" s="35" t="s">
        <v>916</v>
      </c>
      <c r="AG1638" s="44">
        <v>489305.34583333338</v>
      </c>
      <c r="AH1638" s="42" t="s">
        <v>916</v>
      </c>
      <c r="AI1638" s="32" t="e">
        <f>VLOOKUP(A1638,'4月明細'!B:B,1,0)</f>
        <v>#N/A</v>
      </c>
    </row>
    <row r="1639" spans="1:35" ht="19.95" customHeight="1" x14ac:dyDescent="0.3">
      <c r="A1639" s="33" t="s">
        <v>5777</v>
      </c>
      <c r="B1639" s="34">
        <v>45956.721574074072</v>
      </c>
      <c r="C1639" s="34" t="str">
        <f t="shared" si="38"/>
        <v>202510</v>
      </c>
      <c r="D1639" s="35" t="s">
        <v>2278</v>
      </c>
      <c r="E1639" s="36" t="s">
        <v>910</v>
      </c>
      <c r="F1639" s="36" t="s">
        <v>1639</v>
      </c>
      <c r="G1639" s="37" t="s">
        <v>5778</v>
      </c>
      <c r="H1639" s="36" t="s">
        <v>4683</v>
      </c>
      <c r="I1639" s="35"/>
      <c r="J1639" s="36" t="s">
        <v>929</v>
      </c>
      <c r="K1639" s="33" t="s">
        <v>916</v>
      </c>
      <c r="L1639" s="35" t="s">
        <v>916</v>
      </c>
      <c r="M1639" s="36" t="s">
        <v>916</v>
      </c>
      <c r="N1639" s="45">
        <v>46022</v>
      </c>
      <c r="O1639" s="36" t="s">
        <v>25</v>
      </c>
      <c r="P1639" s="38">
        <v>65.278425925899995</v>
      </c>
      <c r="Q1639" s="39" t="s">
        <v>5779</v>
      </c>
      <c r="R1639" s="35" t="s">
        <v>916</v>
      </c>
      <c r="S1639" s="35" t="s">
        <v>5780</v>
      </c>
      <c r="T1639" s="35" t="s">
        <v>1701</v>
      </c>
      <c r="U1639" s="40">
        <v>45957</v>
      </c>
      <c r="V1639" s="41">
        <v>46153.532962962963</v>
      </c>
      <c r="W1639" s="40">
        <v>45956</v>
      </c>
      <c r="X1639" s="35" t="s">
        <v>916</v>
      </c>
      <c r="Y1639" s="35" t="s">
        <v>916</v>
      </c>
      <c r="Z1639" s="35" t="s">
        <v>916</v>
      </c>
      <c r="AA1639" s="38">
        <v>1566.6822222216001</v>
      </c>
      <c r="AB1639" s="42" t="s">
        <v>916</v>
      </c>
      <c r="AC1639" s="43" t="s">
        <v>916</v>
      </c>
      <c r="AD1639" s="43" t="s">
        <v>916</v>
      </c>
      <c r="AE1639" s="33" t="s">
        <v>3982</v>
      </c>
      <c r="AF1639" s="35" t="s">
        <v>916</v>
      </c>
      <c r="AG1639" s="44">
        <v>489305.31777777779</v>
      </c>
      <c r="AH1639" s="42" t="s">
        <v>916</v>
      </c>
      <c r="AI1639" s="32" t="e">
        <f>VLOOKUP(A1639,'4月明細'!B:B,1,0)</f>
        <v>#N/A</v>
      </c>
    </row>
    <row r="1640" spans="1:35" ht="19.95" customHeight="1" x14ac:dyDescent="0.3">
      <c r="A1640" s="33" t="s">
        <v>5781</v>
      </c>
      <c r="B1640" s="34">
        <v>45956.71261574074</v>
      </c>
      <c r="C1640" s="34" t="str">
        <f t="shared" si="38"/>
        <v>202510</v>
      </c>
      <c r="D1640" s="35" t="s">
        <v>5380</v>
      </c>
      <c r="E1640" s="36" t="s">
        <v>910</v>
      </c>
      <c r="F1640" s="36" t="s">
        <v>1123</v>
      </c>
      <c r="G1640" s="37" t="s">
        <v>977</v>
      </c>
      <c r="H1640" s="36" t="s">
        <v>4203</v>
      </c>
      <c r="I1640" s="35" t="s">
        <v>5782</v>
      </c>
      <c r="J1640" s="36" t="s">
        <v>1058</v>
      </c>
      <c r="K1640" s="33" t="s">
        <v>916</v>
      </c>
      <c r="L1640" s="35" t="s">
        <v>916</v>
      </c>
      <c r="M1640" s="36" t="s">
        <v>916</v>
      </c>
      <c r="N1640" s="45">
        <v>46022</v>
      </c>
      <c r="O1640" s="36" t="s">
        <v>25</v>
      </c>
      <c r="P1640" s="38">
        <v>65.287384259299998</v>
      </c>
      <c r="Q1640" s="39" t="s">
        <v>5783</v>
      </c>
      <c r="R1640" s="35" t="s">
        <v>916</v>
      </c>
      <c r="S1640" s="35" t="s">
        <v>5784</v>
      </c>
      <c r="T1640" s="35" t="s">
        <v>1701</v>
      </c>
      <c r="U1640" s="40">
        <v>45957</v>
      </c>
      <c r="V1640" s="41">
        <v>46153.532962962963</v>
      </c>
      <c r="W1640" s="40">
        <v>45956</v>
      </c>
      <c r="X1640" s="35" t="s">
        <v>916</v>
      </c>
      <c r="Y1640" s="35" t="s">
        <v>916</v>
      </c>
      <c r="Z1640" s="35" t="s">
        <v>916</v>
      </c>
      <c r="AA1640" s="38">
        <v>1566.8972222232001</v>
      </c>
      <c r="AB1640" s="42" t="s">
        <v>916</v>
      </c>
      <c r="AC1640" s="43" t="s">
        <v>916</v>
      </c>
      <c r="AD1640" s="43" t="s">
        <v>916</v>
      </c>
      <c r="AE1640" s="33" t="s">
        <v>3982</v>
      </c>
      <c r="AF1640" s="35" t="s">
        <v>916</v>
      </c>
      <c r="AG1640" s="44">
        <v>489305.10277777782</v>
      </c>
      <c r="AH1640" s="42" t="s">
        <v>916</v>
      </c>
      <c r="AI1640" s="32" t="e">
        <f>VLOOKUP(A1640,'4月明細'!B:B,1,0)</f>
        <v>#N/A</v>
      </c>
    </row>
    <row r="1641" spans="1:35" ht="19.95" customHeight="1" x14ac:dyDescent="0.3">
      <c r="A1641" s="33" t="s">
        <v>5785</v>
      </c>
      <c r="B1641" s="34">
        <v>45956.607141203705</v>
      </c>
      <c r="C1641" s="34" t="str">
        <f t="shared" si="38"/>
        <v>202510</v>
      </c>
      <c r="D1641" s="35" t="s">
        <v>951</v>
      </c>
      <c r="E1641" s="36" t="s">
        <v>910</v>
      </c>
      <c r="F1641" s="36" t="s">
        <v>2225</v>
      </c>
      <c r="G1641" s="37" t="s">
        <v>5786</v>
      </c>
      <c r="H1641" s="36" t="s">
        <v>3996</v>
      </c>
      <c r="I1641" s="35"/>
      <c r="J1641" s="36" t="s">
        <v>1058</v>
      </c>
      <c r="K1641" s="33" t="s">
        <v>916</v>
      </c>
      <c r="L1641" s="35" t="s">
        <v>916</v>
      </c>
      <c r="M1641" s="36" t="s">
        <v>916</v>
      </c>
      <c r="N1641" s="45">
        <v>46022</v>
      </c>
      <c r="O1641" s="36" t="s">
        <v>25</v>
      </c>
      <c r="P1641" s="38">
        <v>65.392858796300004</v>
      </c>
      <c r="Q1641" s="39" t="s">
        <v>5787</v>
      </c>
      <c r="R1641" s="35" t="s">
        <v>916</v>
      </c>
      <c r="S1641" s="35"/>
      <c r="T1641" s="35" t="s">
        <v>1701</v>
      </c>
      <c r="U1641" s="40">
        <v>45957</v>
      </c>
      <c r="V1641" s="41">
        <v>46153.532962962963</v>
      </c>
      <c r="W1641" s="40">
        <v>45956</v>
      </c>
      <c r="X1641" s="35" t="s">
        <v>916</v>
      </c>
      <c r="Y1641" s="35" t="s">
        <v>916</v>
      </c>
      <c r="Z1641" s="35" t="s">
        <v>916</v>
      </c>
      <c r="AA1641" s="38">
        <v>1569.4286111112001</v>
      </c>
      <c r="AB1641" s="42" t="s">
        <v>916</v>
      </c>
      <c r="AC1641" s="43" t="s">
        <v>916</v>
      </c>
      <c r="AD1641" s="43" t="s">
        <v>916</v>
      </c>
      <c r="AE1641" s="33" t="s">
        <v>3982</v>
      </c>
      <c r="AF1641" s="35" t="s">
        <v>916</v>
      </c>
      <c r="AG1641" s="44">
        <v>489302.57138888887</v>
      </c>
      <c r="AH1641" s="42" t="s">
        <v>916</v>
      </c>
      <c r="AI1641" s="32" t="e">
        <f>VLOOKUP(A1641,'4月明細'!B:B,1,0)</f>
        <v>#N/A</v>
      </c>
    </row>
    <row r="1642" spans="1:35" ht="19.95" customHeight="1" x14ac:dyDescent="0.3">
      <c r="A1642" s="33" t="s">
        <v>5788</v>
      </c>
      <c r="B1642" s="34">
        <v>45956.555254629631</v>
      </c>
      <c r="C1642" s="34" t="str">
        <f t="shared" si="38"/>
        <v>202510</v>
      </c>
      <c r="D1642" s="35" t="s">
        <v>1597</v>
      </c>
      <c r="E1642" s="36" t="s">
        <v>1112</v>
      </c>
      <c r="F1642" s="36" t="s">
        <v>1211</v>
      </c>
      <c r="G1642" s="37" t="s">
        <v>5789</v>
      </c>
      <c r="H1642" s="36" t="s">
        <v>913</v>
      </c>
      <c r="I1642" s="35"/>
      <c r="J1642" s="36" t="s">
        <v>938</v>
      </c>
      <c r="K1642" s="33" t="s">
        <v>916</v>
      </c>
      <c r="L1642" s="35" t="s">
        <v>916</v>
      </c>
      <c r="M1642" s="36" t="s">
        <v>916</v>
      </c>
      <c r="N1642" s="45">
        <v>46022</v>
      </c>
      <c r="O1642" s="36" t="s">
        <v>25</v>
      </c>
      <c r="P1642" s="38">
        <v>65.4447453704</v>
      </c>
      <c r="Q1642" s="39" t="s">
        <v>5790</v>
      </c>
      <c r="R1642" s="35" t="s">
        <v>916</v>
      </c>
      <c r="S1642" s="35" t="s">
        <v>5791</v>
      </c>
      <c r="T1642" s="35" t="s">
        <v>1701</v>
      </c>
      <c r="U1642" s="40">
        <v>45957</v>
      </c>
      <c r="V1642" s="41">
        <v>46153.532962962963</v>
      </c>
      <c r="W1642" s="40">
        <v>45956</v>
      </c>
      <c r="X1642" s="35" t="s">
        <v>916</v>
      </c>
      <c r="Y1642" s="35" t="s">
        <v>916</v>
      </c>
      <c r="Z1642" s="35" t="s">
        <v>916</v>
      </c>
      <c r="AA1642" s="38">
        <v>1570.6738888896</v>
      </c>
      <c r="AB1642" s="42" t="s">
        <v>916</v>
      </c>
      <c r="AC1642" s="43" t="s">
        <v>916</v>
      </c>
      <c r="AD1642" s="43" t="s">
        <v>916</v>
      </c>
      <c r="AE1642" s="33" t="s">
        <v>3982</v>
      </c>
      <c r="AF1642" s="35" t="s">
        <v>916</v>
      </c>
      <c r="AG1642" s="44">
        <v>489301.32611111109</v>
      </c>
      <c r="AH1642" s="42" t="s">
        <v>916</v>
      </c>
      <c r="AI1642" s="32" t="e">
        <f>VLOOKUP(A1642,'4月明細'!B:B,1,0)</f>
        <v>#N/A</v>
      </c>
    </row>
    <row r="1643" spans="1:35" ht="19.95" customHeight="1" x14ac:dyDescent="0.3">
      <c r="A1643" s="33" t="s">
        <v>5792</v>
      </c>
      <c r="B1643" s="34">
        <v>45956.436793981484</v>
      </c>
      <c r="C1643" s="34" t="str">
        <f t="shared" si="38"/>
        <v>202510</v>
      </c>
      <c r="D1643" s="35" t="s">
        <v>951</v>
      </c>
      <c r="E1643" s="36" t="s">
        <v>910</v>
      </c>
      <c r="F1643" s="36" t="s">
        <v>1141</v>
      </c>
      <c r="G1643" s="37" t="s">
        <v>5793</v>
      </c>
      <c r="H1643" s="36" t="s">
        <v>4324</v>
      </c>
      <c r="I1643" s="35" t="s">
        <v>5794</v>
      </c>
      <c r="J1643" s="36" t="s">
        <v>929</v>
      </c>
      <c r="K1643" s="33" t="s">
        <v>916</v>
      </c>
      <c r="L1643" s="35" t="s">
        <v>916</v>
      </c>
      <c r="M1643" s="36" t="s">
        <v>916</v>
      </c>
      <c r="N1643" s="45">
        <v>46022</v>
      </c>
      <c r="O1643" s="36" t="s">
        <v>25</v>
      </c>
      <c r="P1643" s="38">
        <v>65.563206018499997</v>
      </c>
      <c r="Q1643" s="39" t="s">
        <v>5795</v>
      </c>
      <c r="R1643" s="35" t="s">
        <v>916</v>
      </c>
      <c r="S1643" s="35" t="s">
        <v>5796</v>
      </c>
      <c r="T1643" s="35" t="s">
        <v>1701</v>
      </c>
      <c r="U1643" s="40">
        <v>45957</v>
      </c>
      <c r="V1643" s="41">
        <v>46153.532962962963</v>
      </c>
      <c r="W1643" s="40">
        <v>45956</v>
      </c>
      <c r="X1643" s="35" t="s">
        <v>916</v>
      </c>
      <c r="Y1643" s="35" t="s">
        <v>916</v>
      </c>
      <c r="Z1643" s="35" t="s">
        <v>916</v>
      </c>
      <c r="AA1643" s="38">
        <v>1573.516944444</v>
      </c>
      <c r="AB1643" s="42" t="s">
        <v>916</v>
      </c>
      <c r="AC1643" s="43" t="s">
        <v>916</v>
      </c>
      <c r="AD1643" s="43" t="s">
        <v>916</v>
      </c>
      <c r="AE1643" s="33" t="s">
        <v>3982</v>
      </c>
      <c r="AF1643" s="35" t="s">
        <v>916</v>
      </c>
      <c r="AG1643" s="44">
        <v>489298.48305555561</v>
      </c>
      <c r="AH1643" s="42" t="s">
        <v>916</v>
      </c>
      <c r="AI1643" s="32" t="e">
        <f>VLOOKUP(A1643,'4月明細'!B:B,1,0)</f>
        <v>#N/A</v>
      </c>
    </row>
    <row r="1644" spans="1:35" ht="19.95" customHeight="1" x14ac:dyDescent="0.3">
      <c r="A1644" s="33" t="s">
        <v>5797</v>
      </c>
      <c r="B1644" s="34">
        <v>45956.006990740738</v>
      </c>
      <c r="C1644" s="34" t="str">
        <f t="shared" si="38"/>
        <v>202510</v>
      </c>
      <c r="D1644" s="35" t="s">
        <v>5008</v>
      </c>
      <c r="E1644" s="36" t="s">
        <v>1112</v>
      </c>
      <c r="F1644" s="36" t="s">
        <v>1511</v>
      </c>
      <c r="G1644" s="37" t="s">
        <v>5798</v>
      </c>
      <c r="H1644" s="36" t="s">
        <v>4065</v>
      </c>
      <c r="I1644" s="35"/>
      <c r="J1644" s="36" t="s">
        <v>938</v>
      </c>
      <c r="K1644" s="33" t="s">
        <v>916</v>
      </c>
      <c r="L1644" s="35" t="s">
        <v>916</v>
      </c>
      <c r="M1644" s="36" t="s">
        <v>916</v>
      </c>
      <c r="N1644" s="45">
        <v>46022</v>
      </c>
      <c r="O1644" s="36" t="s">
        <v>25</v>
      </c>
      <c r="P1644" s="38">
        <v>65.993009259299996</v>
      </c>
      <c r="Q1644" s="39" t="s">
        <v>5799</v>
      </c>
      <c r="R1644" s="35" t="s">
        <v>916</v>
      </c>
      <c r="S1644" s="35" t="s">
        <v>5800</v>
      </c>
      <c r="T1644" s="35" t="s">
        <v>1624</v>
      </c>
      <c r="U1644" s="40">
        <v>45957</v>
      </c>
      <c r="V1644" s="41">
        <v>46153.532962962963</v>
      </c>
      <c r="W1644" s="40">
        <v>45956</v>
      </c>
      <c r="X1644" s="35" t="s">
        <v>916</v>
      </c>
      <c r="Y1644" s="35" t="s">
        <v>916</v>
      </c>
      <c r="Z1644" s="35" t="s">
        <v>916</v>
      </c>
      <c r="AA1644" s="38">
        <v>1583.8322222232</v>
      </c>
      <c r="AB1644" s="42" t="s">
        <v>916</v>
      </c>
      <c r="AC1644" s="43" t="s">
        <v>916</v>
      </c>
      <c r="AD1644" s="43" t="s">
        <v>916</v>
      </c>
      <c r="AE1644" s="33" t="s">
        <v>3982</v>
      </c>
      <c r="AF1644" s="35" t="s">
        <v>916</v>
      </c>
      <c r="AG1644" s="44">
        <v>489288.16777777782</v>
      </c>
      <c r="AH1644" s="42" t="s">
        <v>916</v>
      </c>
      <c r="AI1644" s="32" t="e">
        <f>VLOOKUP(A1644,'4月明細'!B:B,1,0)</f>
        <v>#N/A</v>
      </c>
    </row>
    <row r="1645" spans="1:35" ht="19.95" customHeight="1" x14ac:dyDescent="0.3">
      <c r="A1645" s="33" t="s">
        <v>5801</v>
      </c>
      <c r="B1645" s="34">
        <v>45955.715057870373</v>
      </c>
      <c r="C1645" s="34" t="str">
        <f t="shared" si="38"/>
        <v>202510</v>
      </c>
      <c r="D1645" s="35" t="s">
        <v>1198</v>
      </c>
      <c r="E1645" s="36" t="s">
        <v>1199</v>
      </c>
      <c r="F1645" s="36" t="s">
        <v>1860</v>
      </c>
      <c r="G1645" s="37" t="s">
        <v>5802</v>
      </c>
      <c r="H1645" s="36" t="s">
        <v>4065</v>
      </c>
      <c r="I1645" s="35" t="s">
        <v>1362</v>
      </c>
      <c r="J1645" s="36" t="s">
        <v>1058</v>
      </c>
      <c r="K1645" s="33" t="s">
        <v>916</v>
      </c>
      <c r="L1645" s="35" t="s">
        <v>916</v>
      </c>
      <c r="M1645" s="36" t="s">
        <v>916</v>
      </c>
      <c r="N1645" s="45">
        <v>46022</v>
      </c>
      <c r="O1645" s="36" t="s">
        <v>25</v>
      </c>
      <c r="P1645" s="38">
        <v>66.284942129599997</v>
      </c>
      <c r="Q1645" s="39" t="s">
        <v>5803</v>
      </c>
      <c r="R1645" s="35" t="s">
        <v>916</v>
      </c>
      <c r="S1645" s="35" t="s">
        <v>5804</v>
      </c>
      <c r="T1645" s="35" t="s">
        <v>1701</v>
      </c>
      <c r="U1645" s="40">
        <v>45956</v>
      </c>
      <c r="V1645" s="41">
        <v>46153.532962962963</v>
      </c>
      <c r="W1645" s="40">
        <v>45955</v>
      </c>
      <c r="X1645" s="35" t="s">
        <v>916</v>
      </c>
      <c r="Y1645" s="35" t="s">
        <v>916</v>
      </c>
      <c r="Z1645" s="35" t="s">
        <v>916</v>
      </c>
      <c r="AA1645" s="38">
        <v>1590.8386111104001</v>
      </c>
      <c r="AB1645" s="42" t="s">
        <v>916</v>
      </c>
      <c r="AC1645" s="43" t="s">
        <v>916</v>
      </c>
      <c r="AD1645" s="43" t="s">
        <v>916</v>
      </c>
      <c r="AE1645" s="33" t="s">
        <v>3982</v>
      </c>
      <c r="AF1645" s="35" t="s">
        <v>916</v>
      </c>
      <c r="AG1645" s="44">
        <v>489281.16138888878</v>
      </c>
      <c r="AH1645" s="42" t="s">
        <v>916</v>
      </c>
      <c r="AI1645" s="32" t="e">
        <f>VLOOKUP(A1645,'4月明細'!B:B,1,0)</f>
        <v>#N/A</v>
      </c>
    </row>
    <row r="1646" spans="1:35" ht="19.95" customHeight="1" x14ac:dyDescent="0.3">
      <c r="A1646" s="33" t="s">
        <v>5805</v>
      </c>
      <c r="B1646" s="34">
        <v>45955.677499999998</v>
      </c>
      <c r="C1646" s="34" t="str">
        <f t="shared" si="38"/>
        <v>202510</v>
      </c>
      <c r="D1646" s="35" t="s">
        <v>909</v>
      </c>
      <c r="E1646" s="36" t="s">
        <v>910</v>
      </c>
      <c r="F1646" s="36" t="s">
        <v>2298</v>
      </c>
      <c r="G1646" s="37" t="s">
        <v>5762</v>
      </c>
      <c r="H1646" s="36" t="s">
        <v>4481</v>
      </c>
      <c r="I1646" s="35"/>
      <c r="J1646" s="36" t="s">
        <v>914</v>
      </c>
      <c r="K1646" s="33" t="s">
        <v>916</v>
      </c>
      <c r="L1646" s="35" t="s">
        <v>916</v>
      </c>
      <c r="M1646" s="36" t="s">
        <v>916</v>
      </c>
      <c r="N1646" s="45">
        <v>46022</v>
      </c>
      <c r="O1646" s="36" t="s">
        <v>25</v>
      </c>
      <c r="P1646" s="38">
        <v>66.322500000000005</v>
      </c>
      <c r="Q1646" s="39" t="s">
        <v>5806</v>
      </c>
      <c r="R1646" s="35" t="s">
        <v>916</v>
      </c>
      <c r="S1646" s="35"/>
      <c r="T1646" s="35" t="s">
        <v>1701</v>
      </c>
      <c r="U1646" s="40">
        <v>45956</v>
      </c>
      <c r="V1646" s="41">
        <v>46153.532962962963</v>
      </c>
      <c r="W1646" s="40">
        <v>45955</v>
      </c>
      <c r="X1646" s="35" t="s">
        <v>916</v>
      </c>
      <c r="Y1646" s="35" t="s">
        <v>916</v>
      </c>
      <c r="Z1646" s="35" t="s">
        <v>916</v>
      </c>
      <c r="AA1646" s="38">
        <v>1591.74</v>
      </c>
      <c r="AB1646" s="42" t="s">
        <v>916</v>
      </c>
      <c r="AC1646" s="43" t="s">
        <v>916</v>
      </c>
      <c r="AD1646" s="43" t="s">
        <v>916</v>
      </c>
      <c r="AE1646" s="33" t="s">
        <v>3982</v>
      </c>
      <c r="AF1646" s="35" t="s">
        <v>916</v>
      </c>
      <c r="AG1646" s="44">
        <v>489280.26</v>
      </c>
      <c r="AH1646" s="42" t="s">
        <v>916</v>
      </c>
      <c r="AI1646" s="32" t="e">
        <f>VLOOKUP(A1646,'4月明細'!B:B,1,0)</f>
        <v>#N/A</v>
      </c>
    </row>
    <row r="1647" spans="1:35" ht="19.95" customHeight="1" x14ac:dyDescent="0.3">
      <c r="A1647" s="33" t="s">
        <v>5807</v>
      </c>
      <c r="B1647" s="34">
        <v>45955.615266203706</v>
      </c>
      <c r="C1647" s="34" t="str">
        <f t="shared" si="38"/>
        <v>202510</v>
      </c>
      <c r="D1647" s="35" t="s">
        <v>909</v>
      </c>
      <c r="E1647" s="36" t="s">
        <v>910</v>
      </c>
      <c r="F1647" s="36" t="s">
        <v>947</v>
      </c>
      <c r="G1647" s="37" t="s">
        <v>5808</v>
      </c>
      <c r="H1647" s="36" t="s">
        <v>4185</v>
      </c>
      <c r="I1647" s="35" t="s">
        <v>5809</v>
      </c>
      <c r="J1647" s="36" t="s">
        <v>914</v>
      </c>
      <c r="K1647" s="33" t="s">
        <v>916</v>
      </c>
      <c r="L1647" s="35" t="s">
        <v>916</v>
      </c>
      <c r="M1647" s="36" t="s">
        <v>916</v>
      </c>
      <c r="N1647" s="45">
        <v>46022</v>
      </c>
      <c r="O1647" s="36" t="s">
        <v>25</v>
      </c>
      <c r="P1647" s="38">
        <v>66.384733796299997</v>
      </c>
      <c r="Q1647" s="39" t="s">
        <v>5810</v>
      </c>
      <c r="R1647" s="35" t="s">
        <v>916</v>
      </c>
      <c r="S1647" s="35"/>
      <c r="T1647" s="35" t="s">
        <v>1701</v>
      </c>
      <c r="U1647" s="40">
        <v>45956</v>
      </c>
      <c r="V1647" s="41">
        <v>46153.532962962963</v>
      </c>
      <c r="W1647" s="40">
        <v>45955</v>
      </c>
      <c r="X1647" s="35" t="s">
        <v>916</v>
      </c>
      <c r="Y1647" s="35" t="s">
        <v>916</v>
      </c>
      <c r="Z1647" s="35" t="s">
        <v>916</v>
      </c>
      <c r="AA1647" s="38">
        <v>1593.2336111111999</v>
      </c>
      <c r="AB1647" s="42" t="s">
        <v>916</v>
      </c>
      <c r="AC1647" s="43" t="s">
        <v>916</v>
      </c>
      <c r="AD1647" s="43" t="s">
        <v>916</v>
      </c>
      <c r="AE1647" s="33" t="s">
        <v>3982</v>
      </c>
      <c r="AF1647" s="35" t="s">
        <v>916</v>
      </c>
      <c r="AG1647" s="44">
        <v>489278.76638888888</v>
      </c>
      <c r="AH1647" s="42" t="s">
        <v>916</v>
      </c>
      <c r="AI1647" s="32" t="e">
        <f>VLOOKUP(A1647,'4月明細'!B:B,1,0)</f>
        <v>#N/A</v>
      </c>
    </row>
    <row r="1648" spans="1:35" ht="19.95" customHeight="1" x14ac:dyDescent="0.3">
      <c r="A1648" s="33" t="s">
        <v>5811</v>
      </c>
      <c r="B1648" s="34">
        <v>45955.567719907405</v>
      </c>
      <c r="C1648" s="34" t="str">
        <f t="shared" si="38"/>
        <v>202510</v>
      </c>
      <c r="D1648" s="35" t="s">
        <v>1168</v>
      </c>
      <c r="E1648" s="36" t="s">
        <v>1112</v>
      </c>
      <c r="F1648" s="36" t="s">
        <v>1150</v>
      </c>
      <c r="G1648" s="37" t="s">
        <v>5812</v>
      </c>
      <c r="H1648" s="36" t="s">
        <v>4877</v>
      </c>
      <c r="I1648" s="35"/>
      <c r="J1648" s="36" t="s">
        <v>938</v>
      </c>
      <c r="K1648" s="33" t="s">
        <v>916</v>
      </c>
      <c r="L1648" s="35" t="s">
        <v>916</v>
      </c>
      <c r="M1648" s="36" t="s">
        <v>916</v>
      </c>
      <c r="N1648" s="45">
        <v>46022</v>
      </c>
      <c r="O1648" s="36" t="s">
        <v>25</v>
      </c>
      <c r="P1648" s="38">
        <v>66.432280092599996</v>
      </c>
      <c r="Q1648" s="39" t="s">
        <v>1328</v>
      </c>
      <c r="R1648" s="35" t="s">
        <v>916</v>
      </c>
      <c r="S1648" s="35"/>
      <c r="T1648" s="35" t="s">
        <v>1701</v>
      </c>
      <c r="U1648" s="40">
        <v>45956</v>
      </c>
      <c r="V1648" s="41">
        <v>46153.532962962963</v>
      </c>
      <c r="W1648" s="40">
        <v>45955</v>
      </c>
      <c r="X1648" s="35" t="s">
        <v>916</v>
      </c>
      <c r="Y1648" s="35" t="s">
        <v>916</v>
      </c>
      <c r="Z1648" s="35" t="s">
        <v>916</v>
      </c>
      <c r="AA1648" s="38">
        <v>1594.3747222223999</v>
      </c>
      <c r="AB1648" s="42" t="s">
        <v>916</v>
      </c>
      <c r="AC1648" s="43" t="s">
        <v>916</v>
      </c>
      <c r="AD1648" s="43" t="s">
        <v>916</v>
      </c>
      <c r="AE1648" s="33" t="s">
        <v>3982</v>
      </c>
      <c r="AF1648" s="35" t="s">
        <v>916</v>
      </c>
      <c r="AG1648" s="44">
        <v>489277.62527777778</v>
      </c>
      <c r="AH1648" s="42" t="s">
        <v>916</v>
      </c>
      <c r="AI1648" s="32" t="e">
        <f>VLOOKUP(A1648,'4月明細'!B:B,1,0)</f>
        <v>#N/A</v>
      </c>
    </row>
    <row r="1649" spans="1:35" ht="19.95" customHeight="1" x14ac:dyDescent="0.3">
      <c r="A1649" s="33" t="s">
        <v>5813</v>
      </c>
      <c r="B1649" s="34">
        <v>45955.523726851854</v>
      </c>
      <c r="C1649" s="34" t="str">
        <f t="shared" si="38"/>
        <v>202510</v>
      </c>
      <c r="D1649" s="35" t="s">
        <v>5380</v>
      </c>
      <c r="E1649" s="36" t="s">
        <v>910</v>
      </c>
      <c r="F1649" s="36" t="s">
        <v>1004</v>
      </c>
      <c r="G1649" s="37" t="s">
        <v>3298</v>
      </c>
      <c r="H1649" s="36" t="s">
        <v>4065</v>
      </c>
      <c r="I1649" s="35" t="s">
        <v>5814</v>
      </c>
      <c r="J1649" s="36" t="s">
        <v>914</v>
      </c>
      <c r="K1649" s="33" t="s">
        <v>916</v>
      </c>
      <c r="L1649" s="35" t="s">
        <v>916</v>
      </c>
      <c r="M1649" s="36" t="s">
        <v>916</v>
      </c>
      <c r="N1649" s="45">
        <v>46022</v>
      </c>
      <c r="O1649" s="36" t="s">
        <v>25</v>
      </c>
      <c r="P1649" s="38">
        <v>66.476273148100006</v>
      </c>
      <c r="Q1649" s="39" t="s">
        <v>5815</v>
      </c>
      <c r="R1649" s="35" t="s">
        <v>916</v>
      </c>
      <c r="S1649" s="35" t="s">
        <v>5816</v>
      </c>
      <c r="T1649" s="35" t="s">
        <v>1701</v>
      </c>
      <c r="U1649" s="40">
        <v>45956</v>
      </c>
      <c r="V1649" s="41">
        <v>46153.532962962963</v>
      </c>
      <c r="W1649" s="40">
        <v>45955</v>
      </c>
      <c r="X1649" s="35" t="s">
        <v>916</v>
      </c>
      <c r="Y1649" s="35" t="s">
        <v>916</v>
      </c>
      <c r="Z1649" s="35" t="s">
        <v>916</v>
      </c>
      <c r="AA1649" s="38">
        <v>1595.4305555543999</v>
      </c>
      <c r="AB1649" s="42" t="s">
        <v>916</v>
      </c>
      <c r="AC1649" s="43" t="s">
        <v>916</v>
      </c>
      <c r="AD1649" s="43" t="s">
        <v>916</v>
      </c>
      <c r="AE1649" s="33" t="s">
        <v>3982</v>
      </c>
      <c r="AF1649" s="35" t="s">
        <v>916</v>
      </c>
      <c r="AG1649" s="44">
        <v>489276.56944444438</v>
      </c>
      <c r="AH1649" s="42" t="s">
        <v>916</v>
      </c>
      <c r="AI1649" s="32" t="e">
        <f>VLOOKUP(A1649,'4月明細'!B:B,1,0)</f>
        <v>#N/A</v>
      </c>
    </row>
    <row r="1650" spans="1:35" ht="19.95" customHeight="1" x14ac:dyDescent="0.3">
      <c r="A1650" s="33" t="s">
        <v>5817</v>
      </c>
      <c r="B1650" s="34">
        <v>45954.695532407408</v>
      </c>
      <c r="C1650" s="34" t="str">
        <f t="shared" si="38"/>
        <v>202510</v>
      </c>
      <c r="D1650" s="35" t="s">
        <v>5512</v>
      </c>
      <c r="E1650" s="36" t="s">
        <v>1199</v>
      </c>
      <c r="F1650" s="36" t="s">
        <v>1429</v>
      </c>
      <c r="G1650" s="37" t="s">
        <v>5818</v>
      </c>
      <c r="H1650" s="36" t="s">
        <v>4065</v>
      </c>
      <c r="I1650" s="35" t="s">
        <v>1362</v>
      </c>
      <c r="J1650" s="36" t="s">
        <v>938</v>
      </c>
      <c r="K1650" s="33" t="s">
        <v>916</v>
      </c>
      <c r="L1650" s="35" t="s">
        <v>916</v>
      </c>
      <c r="M1650" s="36" t="s">
        <v>916</v>
      </c>
      <c r="N1650" s="45">
        <v>46022</v>
      </c>
      <c r="O1650" s="36" t="s">
        <v>25</v>
      </c>
      <c r="P1650" s="38">
        <v>67.304467592600005</v>
      </c>
      <c r="Q1650" s="39" t="s">
        <v>5803</v>
      </c>
      <c r="R1650" s="35" t="s">
        <v>916</v>
      </c>
      <c r="S1650" s="35" t="s">
        <v>5804</v>
      </c>
      <c r="T1650" s="35" t="s">
        <v>1701</v>
      </c>
      <c r="U1650" s="40">
        <v>45955</v>
      </c>
      <c r="V1650" s="41">
        <v>46153.532962962963</v>
      </c>
      <c r="W1650" s="40">
        <v>45954</v>
      </c>
      <c r="X1650" s="35" t="s">
        <v>916</v>
      </c>
      <c r="Y1650" s="35" t="s">
        <v>916</v>
      </c>
      <c r="Z1650" s="35" t="s">
        <v>916</v>
      </c>
      <c r="AA1650" s="38">
        <v>1615.3072222224</v>
      </c>
      <c r="AB1650" s="42" t="s">
        <v>916</v>
      </c>
      <c r="AC1650" s="43" t="s">
        <v>916</v>
      </c>
      <c r="AD1650" s="43" t="s">
        <v>916</v>
      </c>
      <c r="AE1650" s="33" t="s">
        <v>3982</v>
      </c>
      <c r="AF1650" s="35" t="s">
        <v>916</v>
      </c>
      <c r="AG1650" s="44">
        <v>489256.69277777779</v>
      </c>
      <c r="AH1650" s="42" t="s">
        <v>916</v>
      </c>
      <c r="AI1650" s="32" t="e">
        <f>VLOOKUP(A1650,'4月明細'!B:B,1,0)</f>
        <v>#N/A</v>
      </c>
    </row>
    <row r="1651" spans="1:35" ht="19.95" customHeight="1" x14ac:dyDescent="0.3">
      <c r="A1651" s="33" t="s">
        <v>5819</v>
      </c>
      <c r="B1651" s="34">
        <v>45954.648182870369</v>
      </c>
      <c r="C1651" s="34" t="str">
        <f t="shared" si="38"/>
        <v>202510</v>
      </c>
      <c r="D1651" s="35" t="s">
        <v>5380</v>
      </c>
      <c r="E1651" s="36" t="s">
        <v>910</v>
      </c>
      <c r="F1651" s="36" t="s">
        <v>1745</v>
      </c>
      <c r="G1651" s="37" t="s">
        <v>4981</v>
      </c>
      <c r="H1651" s="36" t="s">
        <v>1184</v>
      </c>
      <c r="I1651" s="35"/>
      <c r="J1651" s="36" t="s">
        <v>914</v>
      </c>
      <c r="K1651" s="33" t="s">
        <v>916</v>
      </c>
      <c r="L1651" s="35" t="s">
        <v>916</v>
      </c>
      <c r="M1651" s="36" t="s">
        <v>916</v>
      </c>
      <c r="N1651" s="45">
        <v>46022</v>
      </c>
      <c r="O1651" s="36" t="s">
        <v>25</v>
      </c>
      <c r="P1651" s="38">
        <v>67.351817129599993</v>
      </c>
      <c r="Q1651" s="39" t="s">
        <v>5820</v>
      </c>
      <c r="R1651" s="35" t="s">
        <v>916</v>
      </c>
      <c r="S1651" s="35" t="s">
        <v>5821</v>
      </c>
      <c r="T1651" s="35" t="s">
        <v>1701</v>
      </c>
      <c r="U1651" s="40">
        <v>45955</v>
      </c>
      <c r="V1651" s="41">
        <v>46153.532962962963</v>
      </c>
      <c r="W1651" s="40">
        <v>45954</v>
      </c>
      <c r="X1651" s="35" t="s">
        <v>916</v>
      </c>
      <c r="Y1651" s="35" t="s">
        <v>916</v>
      </c>
      <c r="Z1651" s="35" t="s">
        <v>916</v>
      </c>
      <c r="AA1651" s="38">
        <v>1616.4436111104001</v>
      </c>
      <c r="AB1651" s="42" t="s">
        <v>916</v>
      </c>
      <c r="AC1651" s="43" t="s">
        <v>916</v>
      </c>
      <c r="AD1651" s="43" t="s">
        <v>916</v>
      </c>
      <c r="AE1651" s="33" t="s">
        <v>3982</v>
      </c>
      <c r="AF1651" s="35" t="s">
        <v>916</v>
      </c>
      <c r="AG1651" s="44">
        <v>489255.55638888897</v>
      </c>
      <c r="AH1651" s="42" t="s">
        <v>916</v>
      </c>
      <c r="AI1651" s="32" t="e">
        <f>VLOOKUP(A1651,'4月明細'!B:B,1,0)</f>
        <v>#N/A</v>
      </c>
    </row>
    <row r="1652" spans="1:35" ht="19.95" customHeight="1" x14ac:dyDescent="0.3">
      <c r="A1652" s="33" t="s">
        <v>5822</v>
      </c>
      <c r="B1652" s="34">
        <v>45954.56177083333</v>
      </c>
      <c r="C1652" s="34" t="str">
        <f t="shared" si="38"/>
        <v>202510</v>
      </c>
      <c r="D1652" s="35" t="s">
        <v>5380</v>
      </c>
      <c r="E1652" s="36" t="s">
        <v>910</v>
      </c>
      <c r="F1652" s="36" t="s">
        <v>1225</v>
      </c>
      <c r="G1652" s="37" t="s">
        <v>5823</v>
      </c>
      <c r="H1652" s="36" t="s">
        <v>1184</v>
      </c>
      <c r="I1652" s="35"/>
      <c r="J1652" s="36" t="s">
        <v>914</v>
      </c>
      <c r="K1652" s="33" t="s">
        <v>916</v>
      </c>
      <c r="L1652" s="35" t="s">
        <v>916</v>
      </c>
      <c r="M1652" s="36" t="s">
        <v>916</v>
      </c>
      <c r="N1652" s="45">
        <v>46022</v>
      </c>
      <c r="O1652" s="36" t="s">
        <v>25</v>
      </c>
      <c r="P1652" s="38">
        <v>67.438229166699998</v>
      </c>
      <c r="Q1652" s="39" t="s">
        <v>5824</v>
      </c>
      <c r="R1652" s="35" t="s">
        <v>916</v>
      </c>
      <c r="S1652" s="35" t="s">
        <v>5825</v>
      </c>
      <c r="T1652" s="35" t="s">
        <v>1701</v>
      </c>
      <c r="U1652" s="40">
        <v>45955</v>
      </c>
      <c r="V1652" s="41">
        <v>46153.532962962963</v>
      </c>
      <c r="W1652" s="40">
        <v>45954</v>
      </c>
      <c r="X1652" s="35" t="s">
        <v>916</v>
      </c>
      <c r="Y1652" s="35" t="s">
        <v>916</v>
      </c>
      <c r="Z1652" s="35" t="s">
        <v>916</v>
      </c>
      <c r="AA1652" s="38">
        <v>1618.5175000008001</v>
      </c>
      <c r="AB1652" s="42" t="s">
        <v>916</v>
      </c>
      <c r="AC1652" s="43" t="s">
        <v>916</v>
      </c>
      <c r="AD1652" s="43" t="s">
        <v>916</v>
      </c>
      <c r="AE1652" s="33" t="s">
        <v>3982</v>
      </c>
      <c r="AF1652" s="35" t="s">
        <v>916</v>
      </c>
      <c r="AG1652" s="44">
        <v>489253.48249999998</v>
      </c>
      <c r="AH1652" s="42" t="s">
        <v>916</v>
      </c>
      <c r="AI1652" s="32" t="e">
        <f>VLOOKUP(A1652,'4月明細'!B:B,1,0)</f>
        <v>#N/A</v>
      </c>
    </row>
    <row r="1653" spans="1:35" ht="19.95" customHeight="1" x14ac:dyDescent="0.3">
      <c r="A1653" s="33" t="s">
        <v>5826</v>
      </c>
      <c r="B1653" s="34">
        <v>45954.538356481484</v>
      </c>
      <c r="C1653" s="34" t="str">
        <f t="shared" si="38"/>
        <v>202510</v>
      </c>
      <c r="D1653" s="35" t="s">
        <v>4067</v>
      </c>
      <c r="E1653" s="36" t="s">
        <v>1112</v>
      </c>
      <c r="F1653" s="36" t="s">
        <v>1222</v>
      </c>
      <c r="G1653" s="37" t="s">
        <v>5827</v>
      </c>
      <c r="H1653" s="36" t="s">
        <v>1079</v>
      </c>
      <c r="I1653" s="35"/>
      <c r="J1653" s="36" t="s">
        <v>938</v>
      </c>
      <c r="K1653" s="33" t="s">
        <v>916</v>
      </c>
      <c r="L1653" s="35" t="s">
        <v>916</v>
      </c>
      <c r="M1653" s="36" t="s">
        <v>916</v>
      </c>
      <c r="N1653" s="45">
        <v>46022</v>
      </c>
      <c r="O1653" s="36" t="s">
        <v>25</v>
      </c>
      <c r="P1653" s="38">
        <v>67.461643518499997</v>
      </c>
      <c r="Q1653" s="39" t="s">
        <v>5828</v>
      </c>
      <c r="R1653" s="35" t="s">
        <v>916</v>
      </c>
      <c r="S1653" s="35"/>
      <c r="T1653" s="35" t="s">
        <v>1701</v>
      </c>
      <c r="U1653" s="40">
        <v>45955</v>
      </c>
      <c r="V1653" s="41">
        <v>46153.532962962963</v>
      </c>
      <c r="W1653" s="40">
        <v>45954</v>
      </c>
      <c r="X1653" s="35" t="s">
        <v>916</v>
      </c>
      <c r="Y1653" s="35" t="s">
        <v>916</v>
      </c>
      <c r="Z1653" s="35" t="s">
        <v>916</v>
      </c>
      <c r="AA1653" s="38">
        <v>1619.079444444</v>
      </c>
      <c r="AB1653" s="42" t="s">
        <v>916</v>
      </c>
      <c r="AC1653" s="43" t="s">
        <v>916</v>
      </c>
      <c r="AD1653" s="43" t="s">
        <v>916</v>
      </c>
      <c r="AE1653" s="33" t="s">
        <v>3982</v>
      </c>
      <c r="AF1653" s="35" t="s">
        <v>916</v>
      </c>
      <c r="AG1653" s="44">
        <v>489252.92055555561</v>
      </c>
      <c r="AH1653" s="42" t="s">
        <v>916</v>
      </c>
      <c r="AI1653" s="32" t="e">
        <f>VLOOKUP(A1653,'4月明細'!B:B,1,0)</f>
        <v>#N/A</v>
      </c>
    </row>
    <row r="1654" spans="1:35" ht="19.95" customHeight="1" x14ac:dyDescent="0.3">
      <c r="A1654" s="33" t="s">
        <v>5829</v>
      </c>
      <c r="B1654" s="34">
        <v>45954.534780092596</v>
      </c>
      <c r="C1654" s="34" t="str">
        <f t="shared" si="38"/>
        <v>202510</v>
      </c>
      <c r="D1654" s="35" t="s">
        <v>3875</v>
      </c>
      <c r="E1654" s="36" t="s">
        <v>942</v>
      </c>
      <c r="F1654" s="36" t="s">
        <v>1392</v>
      </c>
      <c r="G1654" s="37" t="s">
        <v>5830</v>
      </c>
      <c r="H1654" s="36" t="s">
        <v>1184</v>
      </c>
      <c r="I1654" s="35"/>
      <c r="J1654" s="36" t="s">
        <v>929</v>
      </c>
      <c r="K1654" s="33" t="s">
        <v>916</v>
      </c>
      <c r="L1654" s="35" t="s">
        <v>916</v>
      </c>
      <c r="M1654" s="36" t="s">
        <v>916</v>
      </c>
      <c r="N1654" s="45">
        <v>46022</v>
      </c>
      <c r="O1654" s="36" t="s">
        <v>25</v>
      </c>
      <c r="P1654" s="38">
        <v>67.465219907399998</v>
      </c>
      <c r="Q1654" s="39" t="s">
        <v>5831</v>
      </c>
      <c r="R1654" s="35" t="s">
        <v>916</v>
      </c>
      <c r="S1654" s="35"/>
      <c r="T1654" s="35" t="s">
        <v>1701</v>
      </c>
      <c r="U1654" s="40">
        <v>45955</v>
      </c>
      <c r="V1654" s="41">
        <v>46153.532962962963</v>
      </c>
      <c r="W1654" s="40">
        <v>45954</v>
      </c>
      <c r="X1654" s="35" t="s">
        <v>916</v>
      </c>
      <c r="Y1654" s="35" t="s">
        <v>916</v>
      </c>
      <c r="Z1654" s="35" t="s">
        <v>916</v>
      </c>
      <c r="AA1654" s="38">
        <v>1619.1652777776001</v>
      </c>
      <c r="AB1654" s="42" t="s">
        <v>916</v>
      </c>
      <c r="AC1654" s="43" t="s">
        <v>916</v>
      </c>
      <c r="AD1654" s="43" t="s">
        <v>916</v>
      </c>
      <c r="AE1654" s="33" t="s">
        <v>3982</v>
      </c>
      <c r="AF1654" s="35" t="s">
        <v>916</v>
      </c>
      <c r="AG1654" s="44">
        <v>489252.83472222218</v>
      </c>
      <c r="AH1654" s="42" t="s">
        <v>916</v>
      </c>
      <c r="AI1654" s="32" t="e">
        <f>VLOOKUP(A1654,'4月明細'!B:B,1,0)</f>
        <v>#N/A</v>
      </c>
    </row>
    <row r="1655" spans="1:35" ht="19.95" customHeight="1" x14ac:dyDescent="0.3">
      <c r="A1655" s="33" t="s">
        <v>5832</v>
      </c>
      <c r="B1655" s="34">
        <v>45954.484201388892</v>
      </c>
      <c r="C1655" s="34" t="str">
        <f t="shared" si="38"/>
        <v>202510</v>
      </c>
      <c r="D1655" s="35" t="s">
        <v>5467</v>
      </c>
      <c r="E1655" s="36" t="s">
        <v>910</v>
      </c>
      <c r="F1655" s="36" t="s">
        <v>1253</v>
      </c>
      <c r="G1655" s="37" t="s">
        <v>5833</v>
      </c>
      <c r="H1655" s="36" t="s">
        <v>4065</v>
      </c>
      <c r="I1655" s="35" t="s">
        <v>5834</v>
      </c>
      <c r="J1655" s="36" t="s">
        <v>914</v>
      </c>
      <c r="K1655" s="33" t="s">
        <v>916</v>
      </c>
      <c r="L1655" s="35" t="s">
        <v>916</v>
      </c>
      <c r="M1655" s="36" t="s">
        <v>916</v>
      </c>
      <c r="N1655" s="45">
        <v>46022</v>
      </c>
      <c r="O1655" s="36" t="s">
        <v>25</v>
      </c>
      <c r="P1655" s="38">
        <v>67.515798611099996</v>
      </c>
      <c r="Q1655" s="39" t="s">
        <v>5835</v>
      </c>
      <c r="R1655" s="35" t="s">
        <v>916</v>
      </c>
      <c r="S1655" s="35" t="s">
        <v>5836</v>
      </c>
      <c r="T1655" s="35" t="s">
        <v>1701</v>
      </c>
      <c r="U1655" s="40">
        <v>45955</v>
      </c>
      <c r="V1655" s="41">
        <v>46153.532962962963</v>
      </c>
      <c r="W1655" s="40">
        <v>45954</v>
      </c>
      <c r="X1655" s="35" t="s">
        <v>916</v>
      </c>
      <c r="Y1655" s="35" t="s">
        <v>916</v>
      </c>
      <c r="Z1655" s="35" t="s">
        <v>916</v>
      </c>
      <c r="AA1655" s="38">
        <v>1620.3791666663999</v>
      </c>
      <c r="AB1655" s="42" t="s">
        <v>916</v>
      </c>
      <c r="AC1655" s="43" t="s">
        <v>916</v>
      </c>
      <c r="AD1655" s="43" t="s">
        <v>916</v>
      </c>
      <c r="AE1655" s="33" t="s">
        <v>3982</v>
      </c>
      <c r="AF1655" s="35" t="s">
        <v>916</v>
      </c>
      <c r="AG1655" s="44">
        <v>489251.62083333329</v>
      </c>
      <c r="AH1655" s="42" t="s">
        <v>916</v>
      </c>
      <c r="AI1655" s="32" t="e">
        <f>VLOOKUP(A1655,'4月明細'!B:B,1,0)</f>
        <v>#N/A</v>
      </c>
    </row>
    <row r="1656" spans="1:35" ht="19.95" customHeight="1" x14ac:dyDescent="0.3">
      <c r="A1656" s="33" t="s">
        <v>5837</v>
      </c>
      <c r="B1656" s="34">
        <v>45954.457256944443</v>
      </c>
      <c r="C1656" s="34" t="str">
        <f t="shared" si="38"/>
        <v>202510</v>
      </c>
      <c r="D1656" s="35" t="s">
        <v>5380</v>
      </c>
      <c r="E1656" s="36" t="s">
        <v>910</v>
      </c>
      <c r="F1656" s="36" t="s">
        <v>2169</v>
      </c>
      <c r="G1656" s="37" t="s">
        <v>5838</v>
      </c>
      <c r="H1656" s="36" t="s">
        <v>4185</v>
      </c>
      <c r="I1656" s="35" t="s">
        <v>5839</v>
      </c>
      <c r="J1656" s="36" t="s">
        <v>914</v>
      </c>
      <c r="K1656" s="33" t="s">
        <v>916</v>
      </c>
      <c r="L1656" s="35" t="s">
        <v>916</v>
      </c>
      <c r="M1656" s="36" t="s">
        <v>916</v>
      </c>
      <c r="N1656" s="45">
        <v>46022</v>
      </c>
      <c r="O1656" s="36" t="s">
        <v>25</v>
      </c>
      <c r="P1656" s="38">
        <v>67.542743055599999</v>
      </c>
      <c r="Q1656" s="39" t="s">
        <v>5840</v>
      </c>
      <c r="R1656" s="35" t="s">
        <v>916</v>
      </c>
      <c r="S1656" s="35"/>
      <c r="T1656" s="35" t="s">
        <v>1701</v>
      </c>
      <c r="U1656" s="40">
        <v>45955</v>
      </c>
      <c r="V1656" s="41">
        <v>46153.532962962963</v>
      </c>
      <c r="W1656" s="40">
        <v>45954</v>
      </c>
      <c r="X1656" s="35" t="s">
        <v>916</v>
      </c>
      <c r="Y1656" s="35" t="s">
        <v>916</v>
      </c>
      <c r="Z1656" s="35" t="s">
        <v>916</v>
      </c>
      <c r="AA1656" s="38">
        <v>1621.0258333344</v>
      </c>
      <c r="AB1656" s="42" t="s">
        <v>916</v>
      </c>
      <c r="AC1656" s="43" t="s">
        <v>916</v>
      </c>
      <c r="AD1656" s="43" t="s">
        <v>916</v>
      </c>
      <c r="AE1656" s="33" t="s">
        <v>3982</v>
      </c>
      <c r="AF1656" s="35" t="s">
        <v>916</v>
      </c>
      <c r="AG1656" s="44">
        <v>489250.97416666668</v>
      </c>
      <c r="AH1656" s="42" t="s">
        <v>916</v>
      </c>
      <c r="AI1656" s="32" t="e">
        <f>VLOOKUP(A1656,'4月明細'!B:B,1,0)</f>
        <v>#N/A</v>
      </c>
    </row>
    <row r="1657" spans="1:35" ht="19.95" customHeight="1" x14ac:dyDescent="0.3">
      <c r="A1657" s="33" t="s">
        <v>5841</v>
      </c>
      <c r="B1657" s="34">
        <v>45954.435428240744</v>
      </c>
      <c r="C1657" s="34" t="str">
        <f t="shared" si="38"/>
        <v>202510</v>
      </c>
      <c r="D1657" s="35" t="s">
        <v>5380</v>
      </c>
      <c r="E1657" s="36" t="s">
        <v>910</v>
      </c>
      <c r="F1657" s="36" t="s">
        <v>1675</v>
      </c>
      <c r="G1657" s="37" t="s">
        <v>5842</v>
      </c>
      <c r="H1657" s="36" t="s">
        <v>4065</v>
      </c>
      <c r="I1657" s="35" t="s">
        <v>5843</v>
      </c>
      <c r="J1657" s="36" t="s">
        <v>1058</v>
      </c>
      <c r="K1657" s="33" t="s">
        <v>916</v>
      </c>
      <c r="L1657" s="35" t="s">
        <v>916</v>
      </c>
      <c r="M1657" s="36" t="s">
        <v>916</v>
      </c>
      <c r="N1657" s="45">
        <v>46022</v>
      </c>
      <c r="O1657" s="36" t="s">
        <v>25</v>
      </c>
      <c r="P1657" s="38">
        <v>67.564571759299994</v>
      </c>
      <c r="Q1657" s="39" t="s">
        <v>5544</v>
      </c>
      <c r="R1657" s="35" t="s">
        <v>916</v>
      </c>
      <c r="S1657" s="35" t="s">
        <v>5844</v>
      </c>
      <c r="T1657" s="35" t="s">
        <v>1701</v>
      </c>
      <c r="U1657" s="40">
        <v>45955</v>
      </c>
      <c r="V1657" s="41">
        <v>46153.532962962963</v>
      </c>
      <c r="W1657" s="40">
        <v>45954</v>
      </c>
      <c r="X1657" s="35" t="s">
        <v>916</v>
      </c>
      <c r="Y1657" s="35" t="s">
        <v>916</v>
      </c>
      <c r="Z1657" s="35" t="s">
        <v>916</v>
      </c>
      <c r="AA1657" s="38">
        <v>1621.5497222232</v>
      </c>
      <c r="AB1657" s="42" t="s">
        <v>916</v>
      </c>
      <c r="AC1657" s="43" t="s">
        <v>916</v>
      </c>
      <c r="AD1657" s="43" t="s">
        <v>916</v>
      </c>
      <c r="AE1657" s="33" t="s">
        <v>3982</v>
      </c>
      <c r="AF1657" s="35" t="s">
        <v>916</v>
      </c>
      <c r="AG1657" s="44">
        <v>489250.45055555552</v>
      </c>
      <c r="AH1657" s="42" t="s">
        <v>916</v>
      </c>
      <c r="AI1657" s="32" t="e">
        <f>VLOOKUP(A1657,'4月明細'!B:B,1,0)</f>
        <v>#N/A</v>
      </c>
    </row>
    <row r="1658" spans="1:35" ht="19.95" customHeight="1" x14ac:dyDescent="0.3">
      <c r="A1658" s="33" t="s">
        <v>5845</v>
      </c>
      <c r="B1658" s="34">
        <v>45954.41033564815</v>
      </c>
      <c r="C1658" s="34" t="str">
        <f t="shared" si="38"/>
        <v>202510</v>
      </c>
      <c r="D1658" s="35" t="s">
        <v>5846</v>
      </c>
      <c r="E1658" s="36" t="s">
        <v>910</v>
      </c>
      <c r="F1658" s="36" t="s">
        <v>1316</v>
      </c>
      <c r="G1658" s="37" t="s">
        <v>5847</v>
      </c>
      <c r="H1658" s="36" t="s">
        <v>4065</v>
      </c>
      <c r="I1658" s="35"/>
      <c r="J1658" s="36" t="s">
        <v>1058</v>
      </c>
      <c r="K1658" s="33" t="s">
        <v>916</v>
      </c>
      <c r="L1658" s="35" t="s">
        <v>916</v>
      </c>
      <c r="M1658" s="36" t="s">
        <v>916</v>
      </c>
      <c r="N1658" s="45">
        <v>46022</v>
      </c>
      <c r="O1658" s="36" t="s">
        <v>25</v>
      </c>
      <c r="P1658" s="38">
        <v>67.589664351799996</v>
      </c>
      <c r="Q1658" s="39" t="s">
        <v>5544</v>
      </c>
      <c r="R1658" s="35" t="s">
        <v>916</v>
      </c>
      <c r="S1658" s="35" t="s">
        <v>5848</v>
      </c>
      <c r="T1658" s="35" t="s">
        <v>1701</v>
      </c>
      <c r="U1658" s="40">
        <v>45955</v>
      </c>
      <c r="V1658" s="41">
        <v>46153.532962962963</v>
      </c>
      <c r="W1658" s="40">
        <v>45954</v>
      </c>
      <c r="X1658" s="35" t="s">
        <v>916</v>
      </c>
      <c r="Y1658" s="35" t="s">
        <v>916</v>
      </c>
      <c r="Z1658" s="35" t="s">
        <v>916</v>
      </c>
      <c r="AA1658" s="38">
        <v>1622.1519444431999</v>
      </c>
      <c r="AB1658" s="42" t="s">
        <v>916</v>
      </c>
      <c r="AC1658" s="43" t="s">
        <v>916</v>
      </c>
      <c r="AD1658" s="43" t="s">
        <v>916</v>
      </c>
      <c r="AE1658" s="33" t="s">
        <v>3982</v>
      </c>
      <c r="AF1658" s="35" t="s">
        <v>916</v>
      </c>
      <c r="AG1658" s="44">
        <v>489249.8480555556</v>
      </c>
      <c r="AH1658" s="42" t="s">
        <v>916</v>
      </c>
      <c r="AI1658" s="32" t="e">
        <f>VLOOKUP(A1658,'4月明細'!B:B,1,0)</f>
        <v>#N/A</v>
      </c>
    </row>
    <row r="1659" spans="1:35" ht="19.95" customHeight="1" x14ac:dyDescent="0.3">
      <c r="A1659" s="33" t="s">
        <v>5849</v>
      </c>
      <c r="B1659" s="34">
        <v>45954.312986111108</v>
      </c>
      <c r="C1659" s="34" t="str">
        <f t="shared" si="38"/>
        <v>202510</v>
      </c>
      <c r="D1659" s="35" t="s">
        <v>5008</v>
      </c>
      <c r="E1659" s="36" t="s">
        <v>1112</v>
      </c>
      <c r="F1659" s="36" t="s">
        <v>1150</v>
      </c>
      <c r="G1659" s="37" t="s">
        <v>5850</v>
      </c>
      <c r="H1659" s="36" t="s">
        <v>913</v>
      </c>
      <c r="I1659" s="35"/>
      <c r="J1659" s="36" t="s">
        <v>938</v>
      </c>
      <c r="K1659" s="33" t="s">
        <v>916</v>
      </c>
      <c r="L1659" s="35" t="s">
        <v>916</v>
      </c>
      <c r="M1659" s="36" t="s">
        <v>916</v>
      </c>
      <c r="N1659" s="45">
        <v>46022</v>
      </c>
      <c r="O1659" s="36" t="s">
        <v>25</v>
      </c>
      <c r="P1659" s="38">
        <v>67.687013888899997</v>
      </c>
      <c r="Q1659" s="39" t="s">
        <v>5851</v>
      </c>
      <c r="R1659" s="35" t="s">
        <v>916</v>
      </c>
      <c r="S1659" s="35"/>
      <c r="T1659" s="35" t="s">
        <v>1701</v>
      </c>
      <c r="U1659" s="40">
        <v>45955</v>
      </c>
      <c r="V1659" s="41">
        <v>46153.532962962963</v>
      </c>
      <c r="W1659" s="40">
        <v>45954</v>
      </c>
      <c r="X1659" s="35" t="s">
        <v>916</v>
      </c>
      <c r="Y1659" s="35" t="s">
        <v>916</v>
      </c>
      <c r="Z1659" s="35" t="s">
        <v>916</v>
      </c>
      <c r="AA1659" s="38">
        <v>1624.4883333335999</v>
      </c>
      <c r="AB1659" s="42" t="s">
        <v>916</v>
      </c>
      <c r="AC1659" s="43" t="s">
        <v>916</v>
      </c>
      <c r="AD1659" s="43" t="s">
        <v>916</v>
      </c>
      <c r="AE1659" s="33" t="s">
        <v>3982</v>
      </c>
      <c r="AF1659" s="35" t="s">
        <v>916</v>
      </c>
      <c r="AG1659" s="44">
        <v>489247.51166666672</v>
      </c>
      <c r="AH1659" s="42" t="s">
        <v>916</v>
      </c>
      <c r="AI1659" s="32" t="e">
        <f>VLOOKUP(A1659,'4月明細'!B:B,1,0)</f>
        <v>#N/A</v>
      </c>
    </row>
    <row r="1660" spans="1:35" ht="19.95" customHeight="1" x14ac:dyDescent="0.3">
      <c r="A1660" s="33" t="s">
        <v>5852</v>
      </c>
      <c r="B1660" s="34">
        <v>45954.298090277778</v>
      </c>
      <c r="C1660" s="34" t="str">
        <f t="shared" si="38"/>
        <v>202510</v>
      </c>
      <c r="D1660" s="35" t="s">
        <v>5008</v>
      </c>
      <c r="E1660" s="36" t="s">
        <v>1112</v>
      </c>
      <c r="F1660" s="36" t="s">
        <v>5853</v>
      </c>
      <c r="G1660" s="37" t="s">
        <v>5854</v>
      </c>
      <c r="H1660" s="36" t="s">
        <v>4185</v>
      </c>
      <c r="I1660" s="35"/>
      <c r="J1660" s="36" t="s">
        <v>1058</v>
      </c>
      <c r="K1660" s="33" t="s">
        <v>916</v>
      </c>
      <c r="L1660" s="35" t="s">
        <v>916</v>
      </c>
      <c r="M1660" s="36" t="s">
        <v>916</v>
      </c>
      <c r="N1660" s="45">
        <v>46022</v>
      </c>
      <c r="O1660" s="36" t="s">
        <v>25</v>
      </c>
      <c r="P1660" s="38">
        <v>67.7019097222</v>
      </c>
      <c r="Q1660" s="39" t="s">
        <v>5851</v>
      </c>
      <c r="R1660" s="35" t="s">
        <v>916</v>
      </c>
      <c r="S1660" s="35"/>
      <c r="T1660" s="35" t="s">
        <v>1701</v>
      </c>
      <c r="U1660" s="40">
        <v>45955</v>
      </c>
      <c r="V1660" s="41">
        <v>46153.532962962963</v>
      </c>
      <c r="W1660" s="40">
        <v>45954</v>
      </c>
      <c r="X1660" s="35" t="s">
        <v>916</v>
      </c>
      <c r="Y1660" s="35" t="s">
        <v>916</v>
      </c>
      <c r="Z1660" s="35" t="s">
        <v>916</v>
      </c>
      <c r="AA1660" s="38">
        <v>1624.8458333328001</v>
      </c>
      <c r="AB1660" s="42" t="s">
        <v>916</v>
      </c>
      <c r="AC1660" s="43" t="s">
        <v>916</v>
      </c>
      <c r="AD1660" s="43" t="s">
        <v>916</v>
      </c>
      <c r="AE1660" s="33" t="s">
        <v>3982</v>
      </c>
      <c r="AF1660" s="35" t="s">
        <v>916</v>
      </c>
      <c r="AG1660" s="44">
        <v>489247.15416666667</v>
      </c>
      <c r="AH1660" s="42" t="s">
        <v>916</v>
      </c>
      <c r="AI1660" s="32" t="e">
        <f>VLOOKUP(A1660,'4月明細'!B:B,1,0)</f>
        <v>#N/A</v>
      </c>
    </row>
    <row r="1661" spans="1:35" ht="19.95" customHeight="1" x14ac:dyDescent="0.3">
      <c r="A1661" s="33" t="s">
        <v>5855</v>
      </c>
      <c r="B1661" s="34">
        <v>45953.742303240739</v>
      </c>
      <c r="C1661" s="34" t="str">
        <f t="shared" si="38"/>
        <v>202510</v>
      </c>
      <c r="D1661" s="35" t="s">
        <v>5467</v>
      </c>
      <c r="E1661" s="36" t="s">
        <v>910</v>
      </c>
      <c r="F1661" s="36" t="s">
        <v>2090</v>
      </c>
      <c r="G1661" s="37" t="s">
        <v>5856</v>
      </c>
      <c r="H1661" s="36" t="s">
        <v>1352</v>
      </c>
      <c r="I1661" s="35"/>
      <c r="J1661" s="36" t="s">
        <v>938</v>
      </c>
      <c r="K1661" s="33" t="s">
        <v>916</v>
      </c>
      <c r="L1661" s="35" t="s">
        <v>916</v>
      </c>
      <c r="M1661" s="36" t="s">
        <v>916</v>
      </c>
      <c r="N1661" s="45">
        <v>46022</v>
      </c>
      <c r="O1661" s="36" t="s">
        <v>25</v>
      </c>
      <c r="P1661" s="38">
        <v>68.257696759300003</v>
      </c>
      <c r="Q1661" s="39" t="s">
        <v>5857</v>
      </c>
      <c r="R1661" s="35" t="s">
        <v>916</v>
      </c>
      <c r="S1661" s="35"/>
      <c r="T1661" s="35" t="s">
        <v>1701</v>
      </c>
      <c r="U1661" s="40">
        <v>45954</v>
      </c>
      <c r="V1661" s="41">
        <v>46153.532962962963</v>
      </c>
      <c r="W1661" s="40">
        <v>45953</v>
      </c>
      <c r="X1661" s="35" t="s">
        <v>916</v>
      </c>
      <c r="Y1661" s="35" t="s">
        <v>916</v>
      </c>
      <c r="Z1661" s="35" t="s">
        <v>916</v>
      </c>
      <c r="AA1661" s="38">
        <v>1638.1847222232</v>
      </c>
      <c r="AB1661" s="42" t="s">
        <v>916</v>
      </c>
      <c r="AC1661" s="43" t="s">
        <v>916</v>
      </c>
      <c r="AD1661" s="43" t="s">
        <v>916</v>
      </c>
      <c r="AE1661" s="33" t="s">
        <v>3982</v>
      </c>
      <c r="AF1661" s="35" t="s">
        <v>916</v>
      </c>
      <c r="AG1661" s="44">
        <v>489233.81527777779</v>
      </c>
      <c r="AH1661" s="42" t="s">
        <v>916</v>
      </c>
      <c r="AI1661" s="32" t="e">
        <f>VLOOKUP(A1661,'4月明細'!B:B,1,0)</f>
        <v>#N/A</v>
      </c>
    </row>
    <row r="1662" spans="1:35" ht="19.95" customHeight="1" x14ac:dyDescent="0.3">
      <c r="A1662" s="33" t="s">
        <v>5858</v>
      </c>
      <c r="B1662" s="34">
        <v>45953.707604166666</v>
      </c>
      <c r="C1662" s="34" t="str">
        <f t="shared" si="38"/>
        <v>202510</v>
      </c>
      <c r="D1662" s="35" t="s">
        <v>1587</v>
      </c>
      <c r="E1662" s="36" t="s">
        <v>942</v>
      </c>
      <c r="F1662" s="36" t="s">
        <v>1568</v>
      </c>
      <c r="G1662" s="37" t="s">
        <v>5299</v>
      </c>
      <c r="H1662" s="36" t="s">
        <v>913</v>
      </c>
      <c r="I1662" s="35"/>
      <c r="J1662" s="36" t="s">
        <v>929</v>
      </c>
      <c r="K1662" s="33" t="s">
        <v>916</v>
      </c>
      <c r="L1662" s="35" t="s">
        <v>916</v>
      </c>
      <c r="M1662" s="36" t="s">
        <v>916</v>
      </c>
      <c r="N1662" s="45">
        <v>46022</v>
      </c>
      <c r="O1662" s="36" t="s">
        <v>25</v>
      </c>
      <c r="P1662" s="38">
        <v>68.292395833300006</v>
      </c>
      <c r="Q1662" s="39" t="s">
        <v>5859</v>
      </c>
      <c r="R1662" s="35" t="s">
        <v>916</v>
      </c>
      <c r="S1662" s="35" t="s">
        <v>5860</v>
      </c>
      <c r="T1662" s="35" t="s">
        <v>1701</v>
      </c>
      <c r="U1662" s="40">
        <v>45954</v>
      </c>
      <c r="V1662" s="41">
        <v>46153.532962962963</v>
      </c>
      <c r="W1662" s="40">
        <v>45953</v>
      </c>
      <c r="X1662" s="35" t="s">
        <v>916</v>
      </c>
      <c r="Y1662" s="35" t="s">
        <v>916</v>
      </c>
      <c r="Z1662" s="35" t="s">
        <v>916</v>
      </c>
      <c r="AA1662" s="38">
        <v>1639.0174999992</v>
      </c>
      <c r="AB1662" s="42" t="s">
        <v>916</v>
      </c>
      <c r="AC1662" s="43" t="s">
        <v>916</v>
      </c>
      <c r="AD1662" s="43" t="s">
        <v>916</v>
      </c>
      <c r="AE1662" s="33" t="s">
        <v>3982</v>
      </c>
      <c r="AF1662" s="35" t="s">
        <v>916</v>
      </c>
      <c r="AG1662" s="44">
        <v>489232.98249999998</v>
      </c>
      <c r="AH1662" s="42" t="s">
        <v>916</v>
      </c>
      <c r="AI1662" s="32" t="e">
        <f>VLOOKUP(A1662,'4月明細'!B:B,1,0)</f>
        <v>#N/A</v>
      </c>
    </row>
    <row r="1663" spans="1:35" ht="19.95" customHeight="1" x14ac:dyDescent="0.3">
      <c r="A1663" s="33" t="s">
        <v>5861</v>
      </c>
      <c r="B1663" s="34">
        <v>45953.681747685187</v>
      </c>
      <c r="C1663" s="34" t="str">
        <f t="shared" si="38"/>
        <v>202510</v>
      </c>
      <c r="D1663" s="35" t="s">
        <v>996</v>
      </c>
      <c r="E1663" s="36" t="s">
        <v>910</v>
      </c>
      <c r="F1663" s="36" t="s">
        <v>1222</v>
      </c>
      <c r="G1663" s="37" t="s">
        <v>2706</v>
      </c>
      <c r="H1663" s="36" t="s">
        <v>4017</v>
      </c>
      <c r="I1663" s="35" t="s">
        <v>5862</v>
      </c>
      <c r="J1663" s="36" t="s">
        <v>929</v>
      </c>
      <c r="K1663" s="33" t="s">
        <v>916</v>
      </c>
      <c r="L1663" s="35" t="s">
        <v>916</v>
      </c>
      <c r="M1663" s="36" t="s">
        <v>916</v>
      </c>
      <c r="N1663" s="45">
        <v>46022</v>
      </c>
      <c r="O1663" s="36" t="s">
        <v>25</v>
      </c>
      <c r="P1663" s="38">
        <v>68.318252314800006</v>
      </c>
      <c r="Q1663" s="39" t="s">
        <v>5863</v>
      </c>
      <c r="R1663" s="35" t="s">
        <v>916</v>
      </c>
      <c r="S1663" s="35"/>
      <c r="T1663" s="35" t="s">
        <v>1701</v>
      </c>
      <c r="U1663" s="40">
        <v>45954</v>
      </c>
      <c r="V1663" s="41">
        <v>46153.532962962963</v>
      </c>
      <c r="W1663" s="40">
        <v>45953</v>
      </c>
      <c r="X1663" s="35" t="s">
        <v>916</v>
      </c>
      <c r="Y1663" s="35" t="s">
        <v>916</v>
      </c>
      <c r="Z1663" s="35" t="s">
        <v>916</v>
      </c>
      <c r="AA1663" s="38">
        <v>1639.6380555552</v>
      </c>
      <c r="AB1663" s="42" t="s">
        <v>916</v>
      </c>
      <c r="AC1663" s="43" t="s">
        <v>916</v>
      </c>
      <c r="AD1663" s="43" t="s">
        <v>916</v>
      </c>
      <c r="AE1663" s="33" t="s">
        <v>3982</v>
      </c>
      <c r="AF1663" s="35" t="s">
        <v>916</v>
      </c>
      <c r="AG1663" s="44">
        <v>489232.36194444448</v>
      </c>
      <c r="AH1663" s="42" t="s">
        <v>916</v>
      </c>
      <c r="AI1663" s="32" t="e">
        <f>VLOOKUP(A1663,'4月明細'!B:B,1,0)</f>
        <v>#N/A</v>
      </c>
    </row>
    <row r="1664" spans="1:35" ht="19.95" customHeight="1" x14ac:dyDescent="0.3">
      <c r="A1664" s="33" t="s">
        <v>5864</v>
      </c>
      <c r="B1664" s="34">
        <v>45953.643495370372</v>
      </c>
      <c r="C1664" s="34" t="str">
        <f t="shared" si="38"/>
        <v>202510</v>
      </c>
      <c r="D1664" s="35" t="s">
        <v>996</v>
      </c>
      <c r="E1664" s="36" t="s">
        <v>910</v>
      </c>
      <c r="F1664" s="36" t="s">
        <v>1203</v>
      </c>
      <c r="G1664" s="37" t="s">
        <v>5865</v>
      </c>
      <c r="H1664" s="36" t="s">
        <v>4065</v>
      </c>
      <c r="I1664" s="35" t="s">
        <v>5866</v>
      </c>
      <c r="J1664" s="36" t="s">
        <v>929</v>
      </c>
      <c r="K1664" s="33" t="s">
        <v>916</v>
      </c>
      <c r="L1664" s="35" t="s">
        <v>916</v>
      </c>
      <c r="M1664" s="36" t="s">
        <v>916</v>
      </c>
      <c r="N1664" s="45">
        <v>46022</v>
      </c>
      <c r="O1664" s="36" t="s">
        <v>25</v>
      </c>
      <c r="P1664" s="38">
        <v>68.356504629599996</v>
      </c>
      <c r="Q1664" s="39" t="s">
        <v>5867</v>
      </c>
      <c r="R1664" s="35" t="s">
        <v>916</v>
      </c>
      <c r="S1664" s="35" t="s">
        <v>5868</v>
      </c>
      <c r="T1664" s="35" t="s">
        <v>1701</v>
      </c>
      <c r="U1664" s="40">
        <v>45954</v>
      </c>
      <c r="V1664" s="41">
        <v>46153.532962962963</v>
      </c>
      <c r="W1664" s="40">
        <v>45953</v>
      </c>
      <c r="X1664" s="35" t="s">
        <v>916</v>
      </c>
      <c r="Y1664" s="35" t="s">
        <v>916</v>
      </c>
      <c r="Z1664" s="35" t="s">
        <v>916</v>
      </c>
      <c r="AA1664" s="38">
        <v>1640.5561111104</v>
      </c>
      <c r="AB1664" s="42" t="s">
        <v>916</v>
      </c>
      <c r="AC1664" s="43" t="s">
        <v>916</v>
      </c>
      <c r="AD1664" s="43" t="s">
        <v>916</v>
      </c>
      <c r="AE1664" s="33" t="s">
        <v>3982</v>
      </c>
      <c r="AF1664" s="35" t="s">
        <v>916</v>
      </c>
      <c r="AG1664" s="44">
        <v>489231.44388888893</v>
      </c>
      <c r="AH1664" s="42" t="s">
        <v>916</v>
      </c>
      <c r="AI1664" s="32" t="e">
        <f>VLOOKUP(A1664,'4月明細'!B:B,1,0)</f>
        <v>#N/A</v>
      </c>
    </row>
    <row r="1665" spans="1:35" ht="19.95" customHeight="1" x14ac:dyDescent="0.3">
      <c r="A1665" s="33" t="s">
        <v>5869</v>
      </c>
      <c r="B1665" s="34">
        <v>45953.474131944444</v>
      </c>
      <c r="C1665" s="34" t="str">
        <f t="shared" si="38"/>
        <v>202510</v>
      </c>
      <c r="D1665" s="35" t="s">
        <v>996</v>
      </c>
      <c r="E1665" s="36" t="s">
        <v>910</v>
      </c>
      <c r="F1665" s="36" t="s">
        <v>2298</v>
      </c>
      <c r="G1665" s="37" t="s">
        <v>1417</v>
      </c>
      <c r="H1665" s="36" t="s">
        <v>4481</v>
      </c>
      <c r="I1665" s="35" t="s">
        <v>5870</v>
      </c>
      <c r="J1665" s="36" t="s">
        <v>914</v>
      </c>
      <c r="K1665" s="33" t="s">
        <v>916</v>
      </c>
      <c r="L1665" s="35" t="s">
        <v>916</v>
      </c>
      <c r="M1665" s="36" t="s">
        <v>916</v>
      </c>
      <c r="N1665" s="45">
        <v>46022</v>
      </c>
      <c r="O1665" s="36" t="s">
        <v>25</v>
      </c>
      <c r="P1665" s="38">
        <v>68.5258680556</v>
      </c>
      <c r="Q1665" s="39" t="s">
        <v>5871</v>
      </c>
      <c r="R1665" s="35" t="s">
        <v>916</v>
      </c>
      <c r="S1665" s="35"/>
      <c r="T1665" s="35" t="s">
        <v>1701</v>
      </c>
      <c r="U1665" s="40">
        <v>45954</v>
      </c>
      <c r="V1665" s="41">
        <v>46153.532962962963</v>
      </c>
      <c r="W1665" s="40">
        <v>45953</v>
      </c>
      <c r="X1665" s="35" t="s">
        <v>916</v>
      </c>
      <c r="Y1665" s="35" t="s">
        <v>916</v>
      </c>
      <c r="Z1665" s="35" t="s">
        <v>916</v>
      </c>
      <c r="AA1665" s="38">
        <v>1644.6208333344</v>
      </c>
      <c r="AB1665" s="42" t="s">
        <v>916</v>
      </c>
      <c r="AC1665" s="43" t="s">
        <v>916</v>
      </c>
      <c r="AD1665" s="43" t="s">
        <v>916</v>
      </c>
      <c r="AE1665" s="33" t="s">
        <v>3982</v>
      </c>
      <c r="AF1665" s="35" t="s">
        <v>916</v>
      </c>
      <c r="AG1665" s="44">
        <v>489227.37916666671</v>
      </c>
      <c r="AH1665" s="42" t="s">
        <v>916</v>
      </c>
      <c r="AI1665" s="32" t="e">
        <f>VLOOKUP(A1665,'4月明細'!B:B,1,0)</f>
        <v>#N/A</v>
      </c>
    </row>
    <row r="1666" spans="1:35" ht="19.95" customHeight="1" x14ac:dyDescent="0.3">
      <c r="A1666" s="33" t="s">
        <v>5872</v>
      </c>
      <c r="B1666" s="34">
        <v>45953.462638888886</v>
      </c>
      <c r="C1666" s="34" t="str">
        <f t="shared" si="38"/>
        <v>202510</v>
      </c>
      <c r="D1666" s="35" t="s">
        <v>996</v>
      </c>
      <c r="E1666" s="36" t="s">
        <v>910</v>
      </c>
      <c r="F1666" s="36" t="s">
        <v>947</v>
      </c>
      <c r="G1666" s="37" t="s">
        <v>5873</v>
      </c>
      <c r="H1666" s="36" t="s">
        <v>4185</v>
      </c>
      <c r="I1666" s="35" t="s">
        <v>5874</v>
      </c>
      <c r="J1666" s="36" t="s">
        <v>914</v>
      </c>
      <c r="K1666" s="33" t="s">
        <v>916</v>
      </c>
      <c r="L1666" s="35" t="s">
        <v>916</v>
      </c>
      <c r="M1666" s="36" t="s">
        <v>916</v>
      </c>
      <c r="N1666" s="45">
        <v>46022</v>
      </c>
      <c r="O1666" s="36" t="s">
        <v>25</v>
      </c>
      <c r="P1666" s="38">
        <v>68.537361111099997</v>
      </c>
      <c r="Q1666" s="39" t="s">
        <v>5875</v>
      </c>
      <c r="R1666" s="35" t="s">
        <v>916</v>
      </c>
      <c r="S1666" s="35"/>
      <c r="T1666" s="35" t="s">
        <v>1701</v>
      </c>
      <c r="U1666" s="40">
        <v>45954</v>
      </c>
      <c r="V1666" s="41">
        <v>46153.532962962963</v>
      </c>
      <c r="W1666" s="40">
        <v>45953</v>
      </c>
      <c r="X1666" s="35" t="s">
        <v>916</v>
      </c>
      <c r="Y1666" s="35" t="s">
        <v>916</v>
      </c>
      <c r="Z1666" s="35" t="s">
        <v>916</v>
      </c>
      <c r="AA1666" s="38">
        <v>1644.8966666664001</v>
      </c>
      <c r="AB1666" s="42" t="s">
        <v>916</v>
      </c>
      <c r="AC1666" s="43" t="s">
        <v>916</v>
      </c>
      <c r="AD1666" s="43" t="s">
        <v>916</v>
      </c>
      <c r="AE1666" s="33" t="s">
        <v>3982</v>
      </c>
      <c r="AF1666" s="35" t="s">
        <v>916</v>
      </c>
      <c r="AG1666" s="44">
        <v>489227.10333333339</v>
      </c>
      <c r="AH1666" s="42" t="s">
        <v>916</v>
      </c>
      <c r="AI1666" s="32" t="e">
        <f>VLOOKUP(A1666,'4月明細'!B:B,1,0)</f>
        <v>#N/A</v>
      </c>
    </row>
    <row r="1667" spans="1:35" ht="19.95" customHeight="1" x14ac:dyDescent="0.3">
      <c r="A1667" s="33" t="s">
        <v>5876</v>
      </c>
      <c r="B1667" s="34">
        <v>45953.45753472222</v>
      </c>
      <c r="C1667" s="34" t="str">
        <f t="shared" ref="C1667:C1730" si="39">TEXT(B1667,"YYYYMM")</f>
        <v>202510</v>
      </c>
      <c r="D1667" s="35" t="s">
        <v>4067</v>
      </c>
      <c r="E1667" s="36" t="s">
        <v>942</v>
      </c>
      <c r="F1667" s="36" t="s">
        <v>1967</v>
      </c>
      <c r="G1667" s="37" t="s">
        <v>5877</v>
      </c>
      <c r="H1667" s="36" t="s">
        <v>1079</v>
      </c>
      <c r="I1667" s="35"/>
      <c r="J1667" s="36" t="s">
        <v>945</v>
      </c>
      <c r="K1667" s="33" t="s">
        <v>916</v>
      </c>
      <c r="L1667" s="35" t="s">
        <v>916</v>
      </c>
      <c r="M1667" s="36" t="s">
        <v>916</v>
      </c>
      <c r="N1667" s="45">
        <v>46022</v>
      </c>
      <c r="O1667" s="36" t="s">
        <v>25</v>
      </c>
      <c r="P1667" s="38">
        <v>68.542465277800005</v>
      </c>
      <c r="Q1667" s="39" t="s">
        <v>5878</v>
      </c>
      <c r="R1667" s="35" t="s">
        <v>916</v>
      </c>
      <c r="S1667" s="35"/>
      <c r="T1667" s="35" t="s">
        <v>1701</v>
      </c>
      <c r="U1667" s="40">
        <v>45954</v>
      </c>
      <c r="V1667" s="41">
        <v>46153.532962962963</v>
      </c>
      <c r="W1667" s="40">
        <v>45953</v>
      </c>
      <c r="X1667" s="35" t="s">
        <v>916</v>
      </c>
      <c r="Y1667" s="35" t="s">
        <v>916</v>
      </c>
      <c r="Z1667" s="35" t="s">
        <v>916</v>
      </c>
      <c r="AA1667" s="38">
        <v>1645.0191666671999</v>
      </c>
      <c r="AB1667" s="42" t="s">
        <v>916</v>
      </c>
      <c r="AC1667" s="43" t="s">
        <v>916</v>
      </c>
      <c r="AD1667" s="43" t="s">
        <v>916</v>
      </c>
      <c r="AE1667" s="33" t="s">
        <v>3982</v>
      </c>
      <c r="AF1667" s="35" t="s">
        <v>916</v>
      </c>
      <c r="AG1667" s="44">
        <v>489226.98083333328</v>
      </c>
      <c r="AH1667" s="42" t="s">
        <v>916</v>
      </c>
      <c r="AI1667" s="32" t="e">
        <f>VLOOKUP(A1667,'4月明細'!B:B,1,0)</f>
        <v>#N/A</v>
      </c>
    </row>
    <row r="1668" spans="1:35" ht="19.95" customHeight="1" x14ac:dyDescent="0.3">
      <c r="A1668" s="33" t="s">
        <v>5879</v>
      </c>
      <c r="B1668" s="34">
        <v>45952.896458333336</v>
      </c>
      <c r="C1668" s="34" t="str">
        <f t="shared" si="39"/>
        <v>202510</v>
      </c>
      <c r="D1668" s="35" t="s">
        <v>941</v>
      </c>
      <c r="E1668" s="36" t="s">
        <v>942</v>
      </c>
      <c r="F1668" s="36" t="s">
        <v>1068</v>
      </c>
      <c r="G1668" s="37" t="s">
        <v>5880</v>
      </c>
      <c r="H1668" s="36" t="s">
        <v>1352</v>
      </c>
      <c r="I1668" s="35"/>
      <c r="J1668" s="36" t="s">
        <v>945</v>
      </c>
      <c r="K1668" s="33" t="s">
        <v>916</v>
      </c>
      <c r="L1668" s="35" t="s">
        <v>916</v>
      </c>
      <c r="M1668" s="36" t="s">
        <v>916</v>
      </c>
      <c r="N1668" s="45">
        <v>46022</v>
      </c>
      <c r="O1668" s="36" t="s">
        <v>25</v>
      </c>
      <c r="P1668" s="38">
        <v>69.103541666699996</v>
      </c>
      <c r="Q1668" s="39" t="s">
        <v>5881</v>
      </c>
      <c r="R1668" s="35" t="s">
        <v>916</v>
      </c>
      <c r="S1668" s="35"/>
      <c r="T1668" s="35" t="s">
        <v>1701</v>
      </c>
      <c r="U1668" s="40">
        <v>45953</v>
      </c>
      <c r="V1668" s="41">
        <v>46153.532962962963</v>
      </c>
      <c r="W1668" s="40">
        <v>45953</v>
      </c>
      <c r="X1668" s="35" t="s">
        <v>916</v>
      </c>
      <c r="Y1668" s="35" t="s">
        <v>916</v>
      </c>
      <c r="Z1668" s="35" t="s">
        <v>916</v>
      </c>
      <c r="AA1668" s="38">
        <v>1658.4850000008</v>
      </c>
      <c r="AB1668" s="42" t="s">
        <v>916</v>
      </c>
      <c r="AC1668" s="43" t="s">
        <v>916</v>
      </c>
      <c r="AD1668" s="43" t="s">
        <v>916</v>
      </c>
      <c r="AE1668" s="33" t="s">
        <v>3982</v>
      </c>
      <c r="AF1668" s="35" t="s">
        <v>916</v>
      </c>
      <c r="AG1668" s="44">
        <v>489213.51500000001</v>
      </c>
      <c r="AH1668" s="42" t="s">
        <v>916</v>
      </c>
      <c r="AI1668" s="32" t="e">
        <f>VLOOKUP(A1668,'4月明細'!B:B,1,0)</f>
        <v>#N/A</v>
      </c>
    </row>
    <row r="1669" spans="1:35" ht="19.95" customHeight="1" x14ac:dyDescent="0.3">
      <c r="A1669" s="33" t="s">
        <v>5882</v>
      </c>
      <c r="B1669" s="34">
        <v>45952.693333333336</v>
      </c>
      <c r="C1669" s="34" t="str">
        <f t="shared" si="39"/>
        <v>202510</v>
      </c>
      <c r="D1669" s="35" t="s">
        <v>5380</v>
      </c>
      <c r="E1669" s="36" t="s">
        <v>910</v>
      </c>
      <c r="F1669" s="36" t="s">
        <v>1121</v>
      </c>
      <c r="G1669" s="37" t="s">
        <v>5883</v>
      </c>
      <c r="H1669" s="36" t="s">
        <v>4060</v>
      </c>
      <c r="I1669" s="35" t="s">
        <v>5884</v>
      </c>
      <c r="J1669" s="36" t="s">
        <v>929</v>
      </c>
      <c r="K1669" s="33" t="s">
        <v>916</v>
      </c>
      <c r="L1669" s="35" t="s">
        <v>916</v>
      </c>
      <c r="M1669" s="36" t="s">
        <v>916</v>
      </c>
      <c r="N1669" s="45">
        <v>46022</v>
      </c>
      <c r="O1669" s="36" t="s">
        <v>25</v>
      </c>
      <c r="P1669" s="38">
        <v>69.306666666699996</v>
      </c>
      <c r="Q1669" s="39" t="s">
        <v>5885</v>
      </c>
      <c r="R1669" s="35" t="s">
        <v>916</v>
      </c>
      <c r="S1669" s="35" t="s">
        <v>5886</v>
      </c>
      <c r="T1669" s="35" t="s">
        <v>1701</v>
      </c>
      <c r="U1669" s="40">
        <v>45953</v>
      </c>
      <c r="V1669" s="41">
        <v>46153.532962962963</v>
      </c>
      <c r="W1669" s="40">
        <v>45952</v>
      </c>
      <c r="X1669" s="35" t="s">
        <v>916</v>
      </c>
      <c r="Y1669" s="35" t="s">
        <v>916</v>
      </c>
      <c r="Z1669" s="35" t="s">
        <v>916</v>
      </c>
      <c r="AA1669" s="38">
        <v>1663.3600000008</v>
      </c>
      <c r="AB1669" s="42" t="s">
        <v>916</v>
      </c>
      <c r="AC1669" s="43" t="s">
        <v>916</v>
      </c>
      <c r="AD1669" s="43" t="s">
        <v>916</v>
      </c>
      <c r="AE1669" s="33" t="s">
        <v>3982</v>
      </c>
      <c r="AF1669" s="35" t="s">
        <v>916</v>
      </c>
      <c r="AG1669" s="44">
        <v>489208.64</v>
      </c>
      <c r="AH1669" s="42" t="s">
        <v>916</v>
      </c>
      <c r="AI1669" s="32" t="e">
        <f>VLOOKUP(A1669,'4月明細'!B:B,1,0)</f>
        <v>#N/A</v>
      </c>
    </row>
    <row r="1670" spans="1:35" ht="19.95" customHeight="1" x14ac:dyDescent="0.3">
      <c r="A1670" s="33" t="s">
        <v>5887</v>
      </c>
      <c r="B1670" s="34">
        <v>45952.658125000002</v>
      </c>
      <c r="C1670" s="34" t="str">
        <f t="shared" si="39"/>
        <v>202510</v>
      </c>
      <c r="D1670" s="35" t="s">
        <v>996</v>
      </c>
      <c r="E1670" s="36" t="s">
        <v>910</v>
      </c>
      <c r="F1670" s="36" t="s">
        <v>1055</v>
      </c>
      <c r="G1670" s="37" t="s">
        <v>1491</v>
      </c>
      <c r="H1670" s="36" t="s">
        <v>4324</v>
      </c>
      <c r="I1670" s="35" t="s">
        <v>5888</v>
      </c>
      <c r="J1670" s="36" t="s">
        <v>929</v>
      </c>
      <c r="K1670" s="33" t="s">
        <v>916</v>
      </c>
      <c r="L1670" s="35" t="s">
        <v>916</v>
      </c>
      <c r="M1670" s="36" t="s">
        <v>916</v>
      </c>
      <c r="N1670" s="45">
        <v>46022</v>
      </c>
      <c r="O1670" s="36" t="s">
        <v>25</v>
      </c>
      <c r="P1670" s="38">
        <v>69.341875000000002</v>
      </c>
      <c r="Q1670" s="39" t="s">
        <v>5889</v>
      </c>
      <c r="R1670" s="35" t="s">
        <v>916</v>
      </c>
      <c r="S1670" s="35" t="s">
        <v>5890</v>
      </c>
      <c r="T1670" s="35" t="s">
        <v>1701</v>
      </c>
      <c r="U1670" s="40">
        <v>45953</v>
      </c>
      <c r="V1670" s="41">
        <v>46153.532962962963</v>
      </c>
      <c r="W1670" s="40">
        <v>45952</v>
      </c>
      <c r="X1670" s="35" t="s">
        <v>916</v>
      </c>
      <c r="Y1670" s="35" t="s">
        <v>916</v>
      </c>
      <c r="Z1670" s="35" t="s">
        <v>916</v>
      </c>
      <c r="AA1670" s="38">
        <v>1664.2049999999999</v>
      </c>
      <c r="AB1670" s="42" t="s">
        <v>916</v>
      </c>
      <c r="AC1670" s="43" t="s">
        <v>916</v>
      </c>
      <c r="AD1670" s="43" t="s">
        <v>916</v>
      </c>
      <c r="AE1670" s="33" t="s">
        <v>3982</v>
      </c>
      <c r="AF1670" s="35" t="s">
        <v>916</v>
      </c>
      <c r="AG1670" s="44">
        <v>489207.79499999998</v>
      </c>
      <c r="AH1670" s="42" t="s">
        <v>916</v>
      </c>
      <c r="AI1670" s="32" t="e">
        <f>VLOOKUP(A1670,'4月明細'!B:B,1,0)</f>
        <v>#N/A</v>
      </c>
    </row>
    <row r="1671" spans="1:35" ht="19.95" customHeight="1" x14ac:dyDescent="0.3">
      <c r="A1671" s="33" t="s">
        <v>5891</v>
      </c>
      <c r="B1671" s="34">
        <v>45952.650439814817</v>
      </c>
      <c r="C1671" s="34" t="str">
        <f t="shared" si="39"/>
        <v>202510</v>
      </c>
      <c r="D1671" s="35" t="s">
        <v>951</v>
      </c>
      <c r="E1671" s="36" t="s">
        <v>910</v>
      </c>
      <c r="F1671" s="36" t="s">
        <v>1000</v>
      </c>
      <c r="G1671" s="37" t="s">
        <v>5892</v>
      </c>
      <c r="H1671" s="36" t="s">
        <v>4017</v>
      </c>
      <c r="I1671" s="35" t="s">
        <v>5893</v>
      </c>
      <c r="J1671" s="36" t="s">
        <v>929</v>
      </c>
      <c r="K1671" s="33" t="s">
        <v>916</v>
      </c>
      <c r="L1671" s="35" t="s">
        <v>916</v>
      </c>
      <c r="M1671" s="36" t="s">
        <v>916</v>
      </c>
      <c r="N1671" s="45">
        <v>46022</v>
      </c>
      <c r="O1671" s="36" t="s">
        <v>25</v>
      </c>
      <c r="P1671" s="38">
        <v>69.349560185200005</v>
      </c>
      <c r="Q1671" s="39" t="s">
        <v>5894</v>
      </c>
      <c r="R1671" s="35" t="s">
        <v>916</v>
      </c>
      <c r="S1671" s="35" t="s">
        <v>5895</v>
      </c>
      <c r="T1671" s="35" t="s">
        <v>1701</v>
      </c>
      <c r="U1671" s="40">
        <v>45953</v>
      </c>
      <c r="V1671" s="41">
        <v>46153.532962962963</v>
      </c>
      <c r="W1671" s="40">
        <v>45952</v>
      </c>
      <c r="X1671" s="35" t="s">
        <v>916</v>
      </c>
      <c r="Y1671" s="35" t="s">
        <v>916</v>
      </c>
      <c r="Z1671" s="35" t="s">
        <v>916</v>
      </c>
      <c r="AA1671" s="38">
        <v>1664.3894444447999</v>
      </c>
      <c r="AB1671" s="42" t="s">
        <v>916</v>
      </c>
      <c r="AC1671" s="43" t="s">
        <v>916</v>
      </c>
      <c r="AD1671" s="43" t="s">
        <v>916</v>
      </c>
      <c r="AE1671" s="33" t="s">
        <v>3982</v>
      </c>
      <c r="AF1671" s="35" t="s">
        <v>916</v>
      </c>
      <c r="AG1671" s="44">
        <v>489207.61055555561</v>
      </c>
      <c r="AH1671" s="42" t="s">
        <v>916</v>
      </c>
      <c r="AI1671" s="32" t="e">
        <f>VLOOKUP(A1671,'4月明細'!B:B,1,0)</f>
        <v>#N/A</v>
      </c>
    </row>
    <row r="1672" spans="1:35" ht="19.95" customHeight="1" x14ac:dyDescent="0.3">
      <c r="A1672" s="33" t="s">
        <v>5896</v>
      </c>
      <c r="B1672" s="34">
        <v>45952.6253125</v>
      </c>
      <c r="C1672" s="34" t="str">
        <f t="shared" si="39"/>
        <v>202510</v>
      </c>
      <c r="D1672" s="35" t="s">
        <v>5380</v>
      </c>
      <c r="E1672" s="36" t="s">
        <v>910</v>
      </c>
      <c r="F1672" s="36" t="s">
        <v>2327</v>
      </c>
      <c r="G1672" s="37" t="s">
        <v>5897</v>
      </c>
      <c r="H1672" s="36" t="s">
        <v>970</v>
      </c>
      <c r="I1672" s="35" t="s">
        <v>5898</v>
      </c>
      <c r="J1672" s="36" t="s">
        <v>929</v>
      </c>
      <c r="K1672" s="33" t="s">
        <v>916</v>
      </c>
      <c r="L1672" s="35" t="s">
        <v>916</v>
      </c>
      <c r="M1672" s="36" t="s">
        <v>916</v>
      </c>
      <c r="N1672" s="45">
        <v>46022</v>
      </c>
      <c r="O1672" s="36" t="s">
        <v>25</v>
      </c>
      <c r="P1672" s="38">
        <v>69.374687499999993</v>
      </c>
      <c r="Q1672" s="39" t="s">
        <v>5899</v>
      </c>
      <c r="R1672" s="35" t="s">
        <v>916</v>
      </c>
      <c r="S1672" s="35" t="s">
        <v>5900</v>
      </c>
      <c r="T1672" s="35" t="s">
        <v>1701</v>
      </c>
      <c r="U1672" s="40">
        <v>45953</v>
      </c>
      <c r="V1672" s="41">
        <v>46153.532962962963</v>
      </c>
      <c r="W1672" s="40">
        <v>45952</v>
      </c>
      <c r="X1672" s="35" t="s">
        <v>916</v>
      </c>
      <c r="Y1672" s="35" t="s">
        <v>916</v>
      </c>
      <c r="Z1672" s="35" t="s">
        <v>916</v>
      </c>
      <c r="AA1672" s="38">
        <v>1664.9925000000001</v>
      </c>
      <c r="AB1672" s="42" t="s">
        <v>916</v>
      </c>
      <c r="AC1672" s="43" t="s">
        <v>916</v>
      </c>
      <c r="AD1672" s="43" t="s">
        <v>916</v>
      </c>
      <c r="AE1672" s="33" t="s">
        <v>3982</v>
      </c>
      <c r="AF1672" s="35" t="s">
        <v>916</v>
      </c>
      <c r="AG1672" s="44">
        <v>489207.00750000001</v>
      </c>
      <c r="AH1672" s="42" t="s">
        <v>916</v>
      </c>
      <c r="AI1672" s="32" t="e">
        <f>VLOOKUP(A1672,'4月明細'!B:B,1,0)</f>
        <v>#N/A</v>
      </c>
    </row>
    <row r="1673" spans="1:35" ht="19.95" customHeight="1" x14ac:dyDescent="0.3">
      <c r="A1673" s="33" t="s">
        <v>5901</v>
      </c>
      <c r="B1673" s="34">
        <v>45952.537280092591</v>
      </c>
      <c r="C1673" s="34" t="str">
        <f t="shared" si="39"/>
        <v>202510</v>
      </c>
      <c r="D1673" s="35" t="s">
        <v>5846</v>
      </c>
      <c r="E1673" s="36" t="s">
        <v>910</v>
      </c>
      <c r="F1673" s="36" t="s">
        <v>987</v>
      </c>
      <c r="G1673" s="37" t="s">
        <v>5902</v>
      </c>
      <c r="H1673" s="36" t="s">
        <v>970</v>
      </c>
      <c r="I1673" s="35"/>
      <c r="J1673" s="36" t="s">
        <v>914</v>
      </c>
      <c r="K1673" s="33" t="s">
        <v>916</v>
      </c>
      <c r="L1673" s="35" t="s">
        <v>916</v>
      </c>
      <c r="M1673" s="36" t="s">
        <v>916</v>
      </c>
      <c r="N1673" s="45">
        <v>46022</v>
      </c>
      <c r="O1673" s="36" t="s">
        <v>25</v>
      </c>
      <c r="P1673" s="38">
        <v>69.4627199074</v>
      </c>
      <c r="Q1673" s="39" t="s">
        <v>5894</v>
      </c>
      <c r="R1673" s="35" t="s">
        <v>916</v>
      </c>
      <c r="S1673" s="35"/>
      <c r="T1673" s="35" t="s">
        <v>1701</v>
      </c>
      <c r="U1673" s="40">
        <v>45953</v>
      </c>
      <c r="V1673" s="41">
        <v>46153.532962962963</v>
      </c>
      <c r="W1673" s="40">
        <v>45952</v>
      </c>
      <c r="X1673" s="35" t="s">
        <v>916</v>
      </c>
      <c r="Y1673" s="35" t="s">
        <v>916</v>
      </c>
      <c r="Z1673" s="35" t="s">
        <v>916</v>
      </c>
      <c r="AA1673" s="38">
        <v>1667.1052777775999</v>
      </c>
      <c r="AB1673" s="42" t="s">
        <v>916</v>
      </c>
      <c r="AC1673" s="43" t="s">
        <v>916</v>
      </c>
      <c r="AD1673" s="43" t="s">
        <v>916</v>
      </c>
      <c r="AE1673" s="33" t="s">
        <v>3982</v>
      </c>
      <c r="AF1673" s="35" t="s">
        <v>916</v>
      </c>
      <c r="AG1673" s="44">
        <v>489204.89472222218</v>
      </c>
      <c r="AH1673" s="42" t="s">
        <v>916</v>
      </c>
      <c r="AI1673" s="32" t="e">
        <f>VLOOKUP(A1673,'4月明細'!B:B,1,0)</f>
        <v>#N/A</v>
      </c>
    </row>
    <row r="1674" spans="1:35" ht="19.95" customHeight="1" x14ac:dyDescent="0.3">
      <c r="A1674" s="33" t="s">
        <v>5903</v>
      </c>
      <c r="B1674" s="34">
        <v>45952.534155092595</v>
      </c>
      <c r="C1674" s="34" t="str">
        <f t="shared" si="39"/>
        <v>202510</v>
      </c>
      <c r="D1674" s="35" t="s">
        <v>5380</v>
      </c>
      <c r="E1674" s="36" t="s">
        <v>910</v>
      </c>
      <c r="F1674" s="36" t="s">
        <v>1552</v>
      </c>
      <c r="G1674" s="37" t="s">
        <v>5904</v>
      </c>
      <c r="H1674" s="36" t="s">
        <v>3985</v>
      </c>
      <c r="I1674" s="35" t="s">
        <v>5905</v>
      </c>
      <c r="J1674" s="36" t="s">
        <v>914</v>
      </c>
      <c r="K1674" s="33" t="s">
        <v>916</v>
      </c>
      <c r="L1674" s="35" t="s">
        <v>916</v>
      </c>
      <c r="M1674" s="36" t="s">
        <v>916</v>
      </c>
      <c r="N1674" s="45">
        <v>46022</v>
      </c>
      <c r="O1674" s="36" t="s">
        <v>25</v>
      </c>
      <c r="P1674" s="38">
        <v>69.465844907399998</v>
      </c>
      <c r="Q1674" s="39" t="s">
        <v>5906</v>
      </c>
      <c r="R1674" s="35" t="s">
        <v>916</v>
      </c>
      <c r="S1674" s="35"/>
      <c r="T1674" s="35" t="s">
        <v>1701</v>
      </c>
      <c r="U1674" s="40">
        <v>45953</v>
      </c>
      <c r="V1674" s="41">
        <v>46153.532962962963</v>
      </c>
      <c r="W1674" s="40">
        <v>45952</v>
      </c>
      <c r="X1674" s="35" t="s">
        <v>916</v>
      </c>
      <c r="Y1674" s="35" t="s">
        <v>916</v>
      </c>
      <c r="Z1674" s="35" t="s">
        <v>916</v>
      </c>
      <c r="AA1674" s="38">
        <v>1667.1802777775999</v>
      </c>
      <c r="AB1674" s="42" t="s">
        <v>916</v>
      </c>
      <c r="AC1674" s="43" t="s">
        <v>916</v>
      </c>
      <c r="AD1674" s="43" t="s">
        <v>916</v>
      </c>
      <c r="AE1674" s="33" t="s">
        <v>3982</v>
      </c>
      <c r="AF1674" s="35" t="s">
        <v>916</v>
      </c>
      <c r="AG1674" s="44">
        <v>489204.81972222222</v>
      </c>
      <c r="AH1674" s="42" t="s">
        <v>916</v>
      </c>
      <c r="AI1674" s="32" t="e">
        <f>VLOOKUP(A1674,'4月明細'!B:B,1,0)</f>
        <v>#N/A</v>
      </c>
    </row>
    <row r="1675" spans="1:35" ht="19.95" customHeight="1" x14ac:dyDescent="0.3">
      <c r="A1675" s="33" t="s">
        <v>5907</v>
      </c>
      <c r="B1675" s="34">
        <v>45952.532337962963</v>
      </c>
      <c r="C1675" s="34" t="str">
        <f t="shared" si="39"/>
        <v>202510</v>
      </c>
      <c r="D1675" s="35" t="s">
        <v>996</v>
      </c>
      <c r="E1675" s="36" t="s">
        <v>910</v>
      </c>
      <c r="F1675" s="36" t="s">
        <v>1975</v>
      </c>
      <c r="G1675" s="37" t="s">
        <v>5908</v>
      </c>
      <c r="H1675" s="36" t="s">
        <v>3985</v>
      </c>
      <c r="I1675" s="35" t="s">
        <v>5909</v>
      </c>
      <c r="J1675" s="36" t="s">
        <v>929</v>
      </c>
      <c r="K1675" s="33" t="s">
        <v>916</v>
      </c>
      <c r="L1675" s="35" t="s">
        <v>916</v>
      </c>
      <c r="M1675" s="36" t="s">
        <v>916</v>
      </c>
      <c r="N1675" s="45">
        <v>46022</v>
      </c>
      <c r="O1675" s="36" t="s">
        <v>25</v>
      </c>
      <c r="P1675" s="38">
        <v>69.467662036999997</v>
      </c>
      <c r="Q1675" s="39" t="s">
        <v>5894</v>
      </c>
      <c r="R1675" s="35" t="s">
        <v>916</v>
      </c>
      <c r="S1675" s="35"/>
      <c r="T1675" s="35" t="s">
        <v>1701</v>
      </c>
      <c r="U1675" s="40">
        <v>45953</v>
      </c>
      <c r="V1675" s="41">
        <v>46153.532962962963</v>
      </c>
      <c r="W1675" s="40">
        <v>45952</v>
      </c>
      <c r="X1675" s="35" t="s">
        <v>916</v>
      </c>
      <c r="Y1675" s="35" t="s">
        <v>916</v>
      </c>
      <c r="Z1675" s="35" t="s">
        <v>916</v>
      </c>
      <c r="AA1675" s="38">
        <v>1667.2238888879999</v>
      </c>
      <c r="AB1675" s="42" t="s">
        <v>916</v>
      </c>
      <c r="AC1675" s="43" t="s">
        <v>916</v>
      </c>
      <c r="AD1675" s="43" t="s">
        <v>916</v>
      </c>
      <c r="AE1675" s="33" t="s">
        <v>3982</v>
      </c>
      <c r="AF1675" s="35" t="s">
        <v>916</v>
      </c>
      <c r="AG1675" s="44">
        <v>489204.7761111111</v>
      </c>
      <c r="AH1675" s="42" t="s">
        <v>916</v>
      </c>
      <c r="AI1675" s="32" t="e">
        <f>VLOOKUP(A1675,'4月明細'!B:B,1,0)</f>
        <v>#N/A</v>
      </c>
    </row>
    <row r="1676" spans="1:35" ht="19.95" customHeight="1" x14ac:dyDescent="0.3">
      <c r="A1676" s="33" t="s">
        <v>5910</v>
      </c>
      <c r="B1676" s="34">
        <v>45952.526828703703</v>
      </c>
      <c r="C1676" s="34" t="str">
        <f t="shared" si="39"/>
        <v>202510</v>
      </c>
      <c r="D1676" s="35" t="s">
        <v>996</v>
      </c>
      <c r="E1676" s="36" t="s">
        <v>910</v>
      </c>
      <c r="F1676" s="36" t="s">
        <v>1975</v>
      </c>
      <c r="G1676" s="37" t="s">
        <v>5911</v>
      </c>
      <c r="H1676" s="36" t="s">
        <v>970</v>
      </c>
      <c r="I1676" s="35" t="s">
        <v>5912</v>
      </c>
      <c r="J1676" s="36" t="s">
        <v>929</v>
      </c>
      <c r="K1676" s="33" t="s">
        <v>916</v>
      </c>
      <c r="L1676" s="35" t="s">
        <v>916</v>
      </c>
      <c r="M1676" s="36" t="s">
        <v>916</v>
      </c>
      <c r="N1676" s="45">
        <v>46022</v>
      </c>
      <c r="O1676" s="36" t="s">
        <v>25</v>
      </c>
      <c r="P1676" s="38">
        <v>69.473171296299995</v>
      </c>
      <c r="Q1676" s="39" t="s">
        <v>5913</v>
      </c>
      <c r="R1676" s="35" t="s">
        <v>916</v>
      </c>
      <c r="S1676" s="35" t="s">
        <v>5914</v>
      </c>
      <c r="T1676" s="35" t="s">
        <v>1701</v>
      </c>
      <c r="U1676" s="40">
        <v>45953</v>
      </c>
      <c r="V1676" s="41">
        <v>46153.532962962963</v>
      </c>
      <c r="W1676" s="40">
        <v>45952</v>
      </c>
      <c r="X1676" s="35" t="s">
        <v>916</v>
      </c>
      <c r="Y1676" s="35" t="s">
        <v>916</v>
      </c>
      <c r="Z1676" s="35" t="s">
        <v>916</v>
      </c>
      <c r="AA1676" s="38">
        <v>1667.3561111112001</v>
      </c>
      <c r="AB1676" s="42" t="s">
        <v>916</v>
      </c>
      <c r="AC1676" s="43" t="s">
        <v>916</v>
      </c>
      <c r="AD1676" s="43" t="s">
        <v>916</v>
      </c>
      <c r="AE1676" s="33" t="s">
        <v>3982</v>
      </c>
      <c r="AF1676" s="35" t="s">
        <v>916</v>
      </c>
      <c r="AG1676" s="44">
        <v>489204.64388888888</v>
      </c>
      <c r="AH1676" s="42" t="s">
        <v>916</v>
      </c>
      <c r="AI1676" s="32" t="e">
        <f>VLOOKUP(A1676,'4月明細'!B:B,1,0)</f>
        <v>#N/A</v>
      </c>
    </row>
    <row r="1677" spans="1:35" ht="19.95" customHeight="1" x14ac:dyDescent="0.3">
      <c r="A1677" s="33" t="s">
        <v>5915</v>
      </c>
      <c r="B1677" s="34">
        <v>45952.434236111112</v>
      </c>
      <c r="C1677" s="34" t="str">
        <f t="shared" si="39"/>
        <v>202510</v>
      </c>
      <c r="D1677" s="35" t="s">
        <v>996</v>
      </c>
      <c r="E1677" s="36" t="s">
        <v>910</v>
      </c>
      <c r="F1677" s="36" t="s">
        <v>1534</v>
      </c>
      <c r="G1677" s="37" t="s">
        <v>5916</v>
      </c>
      <c r="H1677" s="36" t="s">
        <v>1007</v>
      </c>
      <c r="I1677" s="35" t="s">
        <v>5917</v>
      </c>
      <c r="J1677" s="36" t="s">
        <v>914</v>
      </c>
      <c r="K1677" s="33" t="s">
        <v>916</v>
      </c>
      <c r="L1677" s="35" t="s">
        <v>916</v>
      </c>
      <c r="M1677" s="36" t="s">
        <v>916</v>
      </c>
      <c r="N1677" s="45">
        <v>46022</v>
      </c>
      <c r="O1677" s="36" t="s">
        <v>25</v>
      </c>
      <c r="P1677" s="38">
        <v>69.565763888899994</v>
      </c>
      <c r="Q1677" s="39" t="s">
        <v>5918</v>
      </c>
      <c r="R1677" s="35" t="s">
        <v>916</v>
      </c>
      <c r="S1677" s="35" t="s">
        <v>5919</v>
      </c>
      <c r="T1677" s="35" t="s">
        <v>1701</v>
      </c>
      <c r="U1677" s="40">
        <v>45953</v>
      </c>
      <c r="V1677" s="41">
        <v>46153.532962962963</v>
      </c>
      <c r="W1677" s="40">
        <v>45952</v>
      </c>
      <c r="X1677" s="35" t="s">
        <v>916</v>
      </c>
      <c r="Y1677" s="35" t="s">
        <v>916</v>
      </c>
      <c r="Z1677" s="35" t="s">
        <v>916</v>
      </c>
      <c r="AA1677" s="38">
        <v>1669.5783333336001</v>
      </c>
      <c r="AB1677" s="42" t="s">
        <v>916</v>
      </c>
      <c r="AC1677" s="43" t="s">
        <v>916</v>
      </c>
      <c r="AD1677" s="43" t="s">
        <v>916</v>
      </c>
      <c r="AE1677" s="33" t="s">
        <v>3982</v>
      </c>
      <c r="AF1677" s="35" t="s">
        <v>916</v>
      </c>
      <c r="AG1677" s="44">
        <v>489202.42166666669</v>
      </c>
      <c r="AH1677" s="42" t="s">
        <v>916</v>
      </c>
      <c r="AI1677" s="32" t="e">
        <f>VLOOKUP(A1677,'4月明細'!B:B,1,0)</f>
        <v>#N/A</v>
      </c>
    </row>
    <row r="1678" spans="1:35" ht="19.95" customHeight="1" x14ac:dyDescent="0.3">
      <c r="A1678" s="33" t="s">
        <v>5920</v>
      </c>
      <c r="B1678" s="34">
        <v>45952.418402777781</v>
      </c>
      <c r="C1678" s="34" t="str">
        <f t="shared" si="39"/>
        <v>202510</v>
      </c>
      <c r="D1678" s="35" t="s">
        <v>996</v>
      </c>
      <c r="E1678" s="36" t="s">
        <v>910</v>
      </c>
      <c r="F1678" s="36" t="s">
        <v>1220</v>
      </c>
      <c r="G1678" s="37" t="s">
        <v>5921</v>
      </c>
      <c r="H1678" s="36" t="s">
        <v>1007</v>
      </c>
      <c r="I1678" s="35" t="s">
        <v>5922</v>
      </c>
      <c r="J1678" s="36" t="s">
        <v>914</v>
      </c>
      <c r="K1678" s="33" t="s">
        <v>916</v>
      </c>
      <c r="L1678" s="35" t="s">
        <v>916</v>
      </c>
      <c r="M1678" s="36" t="s">
        <v>916</v>
      </c>
      <c r="N1678" s="45">
        <v>46022</v>
      </c>
      <c r="O1678" s="36" t="s">
        <v>25</v>
      </c>
      <c r="P1678" s="38">
        <v>69.581597222200003</v>
      </c>
      <c r="Q1678" s="39" t="s">
        <v>5923</v>
      </c>
      <c r="R1678" s="35" t="s">
        <v>916</v>
      </c>
      <c r="S1678" s="35" t="s">
        <v>5924</v>
      </c>
      <c r="T1678" s="35" t="s">
        <v>1701</v>
      </c>
      <c r="U1678" s="40">
        <v>45953</v>
      </c>
      <c r="V1678" s="41">
        <v>46153.532962962963</v>
      </c>
      <c r="W1678" s="40">
        <v>45952</v>
      </c>
      <c r="X1678" s="35" t="s">
        <v>916</v>
      </c>
      <c r="Y1678" s="35" t="s">
        <v>916</v>
      </c>
      <c r="Z1678" s="35" t="s">
        <v>916</v>
      </c>
      <c r="AA1678" s="38">
        <v>1669.9583333328001</v>
      </c>
      <c r="AB1678" s="42" t="s">
        <v>916</v>
      </c>
      <c r="AC1678" s="43" t="s">
        <v>916</v>
      </c>
      <c r="AD1678" s="43" t="s">
        <v>916</v>
      </c>
      <c r="AE1678" s="33" t="s">
        <v>3982</v>
      </c>
      <c r="AF1678" s="35" t="s">
        <v>916</v>
      </c>
      <c r="AG1678" s="44">
        <v>489202.04166666663</v>
      </c>
      <c r="AH1678" s="42" t="s">
        <v>916</v>
      </c>
      <c r="AI1678" s="32" t="e">
        <f>VLOOKUP(A1678,'4月明細'!B:B,1,0)</f>
        <v>#N/A</v>
      </c>
    </row>
    <row r="1679" spans="1:35" ht="19.95" customHeight="1" x14ac:dyDescent="0.3">
      <c r="A1679" s="33" t="s">
        <v>5925</v>
      </c>
      <c r="B1679" s="34">
        <v>45951.672974537039</v>
      </c>
      <c r="C1679" s="34" t="str">
        <f t="shared" si="39"/>
        <v>202510</v>
      </c>
      <c r="D1679" s="35" t="s">
        <v>5380</v>
      </c>
      <c r="E1679" s="36" t="s">
        <v>910</v>
      </c>
      <c r="F1679" s="36" t="s">
        <v>1260</v>
      </c>
      <c r="G1679" s="37" t="s">
        <v>5926</v>
      </c>
      <c r="H1679" s="36" t="s">
        <v>5927</v>
      </c>
      <c r="I1679" s="35" t="s">
        <v>5928</v>
      </c>
      <c r="J1679" s="36" t="s">
        <v>929</v>
      </c>
      <c r="K1679" s="33" t="s">
        <v>916</v>
      </c>
      <c r="L1679" s="35" t="s">
        <v>916</v>
      </c>
      <c r="M1679" s="36" t="s">
        <v>916</v>
      </c>
      <c r="N1679" s="45">
        <v>46022</v>
      </c>
      <c r="O1679" s="36" t="s">
        <v>25</v>
      </c>
      <c r="P1679" s="38">
        <v>70.327025462999998</v>
      </c>
      <c r="Q1679" s="39" t="s">
        <v>5929</v>
      </c>
      <c r="R1679" s="35" t="s">
        <v>916</v>
      </c>
      <c r="S1679" s="35" t="s">
        <v>5930</v>
      </c>
      <c r="T1679" s="35" t="s">
        <v>1701</v>
      </c>
      <c r="U1679" s="40">
        <v>45952</v>
      </c>
      <c r="V1679" s="41">
        <v>46153.532962962963</v>
      </c>
      <c r="W1679" s="40">
        <v>45951</v>
      </c>
      <c r="X1679" s="35" t="s">
        <v>916</v>
      </c>
      <c r="Y1679" s="35" t="s">
        <v>916</v>
      </c>
      <c r="Z1679" s="35" t="s">
        <v>916</v>
      </c>
      <c r="AA1679" s="38">
        <v>1687.8486111120001</v>
      </c>
      <c r="AB1679" s="42" t="s">
        <v>916</v>
      </c>
      <c r="AC1679" s="43" t="s">
        <v>916</v>
      </c>
      <c r="AD1679" s="43" t="s">
        <v>916</v>
      </c>
      <c r="AE1679" s="33" t="s">
        <v>3982</v>
      </c>
      <c r="AF1679" s="35" t="s">
        <v>916</v>
      </c>
      <c r="AG1679" s="44">
        <v>489184.15138888889</v>
      </c>
      <c r="AH1679" s="42" t="s">
        <v>916</v>
      </c>
      <c r="AI1679" s="32" t="e">
        <f>VLOOKUP(A1679,'4月明細'!B:B,1,0)</f>
        <v>#N/A</v>
      </c>
    </row>
    <row r="1680" spans="1:35" ht="19.95" customHeight="1" x14ac:dyDescent="0.3">
      <c r="A1680" s="33" t="s">
        <v>5931</v>
      </c>
      <c r="B1680" s="34">
        <v>45951.638854166667</v>
      </c>
      <c r="C1680" s="34" t="str">
        <f t="shared" si="39"/>
        <v>202510</v>
      </c>
      <c r="D1680" s="35" t="s">
        <v>5380</v>
      </c>
      <c r="E1680" s="36" t="s">
        <v>910</v>
      </c>
      <c r="F1680" s="36" t="s">
        <v>1095</v>
      </c>
      <c r="G1680" s="37" t="s">
        <v>927</v>
      </c>
      <c r="H1680" s="36" t="s">
        <v>3979</v>
      </c>
      <c r="I1680" s="35" t="s">
        <v>5932</v>
      </c>
      <c r="J1680" s="36" t="s">
        <v>929</v>
      </c>
      <c r="K1680" s="33" t="s">
        <v>916</v>
      </c>
      <c r="L1680" s="35" t="s">
        <v>916</v>
      </c>
      <c r="M1680" s="36" t="s">
        <v>916</v>
      </c>
      <c r="N1680" s="45">
        <v>46022</v>
      </c>
      <c r="O1680" s="36" t="s">
        <v>25</v>
      </c>
      <c r="P1680" s="38">
        <v>70.3611458333</v>
      </c>
      <c r="Q1680" s="39" t="s">
        <v>5933</v>
      </c>
      <c r="R1680" s="35" t="s">
        <v>916</v>
      </c>
      <c r="S1680" s="35"/>
      <c r="T1680" s="35" t="s">
        <v>1701</v>
      </c>
      <c r="U1680" s="40">
        <v>45952</v>
      </c>
      <c r="V1680" s="41">
        <v>46153.532962962963</v>
      </c>
      <c r="W1680" s="40">
        <v>45951</v>
      </c>
      <c r="X1680" s="35" t="s">
        <v>916</v>
      </c>
      <c r="Y1680" s="35" t="s">
        <v>916</v>
      </c>
      <c r="Z1680" s="35" t="s">
        <v>916</v>
      </c>
      <c r="AA1680" s="38">
        <v>1688.6674999991999</v>
      </c>
      <c r="AB1680" s="42" t="s">
        <v>916</v>
      </c>
      <c r="AC1680" s="43" t="s">
        <v>916</v>
      </c>
      <c r="AD1680" s="43" t="s">
        <v>916</v>
      </c>
      <c r="AE1680" s="33" t="s">
        <v>3982</v>
      </c>
      <c r="AF1680" s="35" t="s">
        <v>916</v>
      </c>
      <c r="AG1680" s="44">
        <v>489183.33250000002</v>
      </c>
      <c r="AH1680" s="42" t="s">
        <v>916</v>
      </c>
      <c r="AI1680" s="32" t="e">
        <f>VLOOKUP(A1680,'4月明細'!B:B,1,0)</f>
        <v>#N/A</v>
      </c>
    </row>
    <row r="1681" spans="1:35" ht="19.95" customHeight="1" x14ac:dyDescent="0.3">
      <c r="A1681" s="33" t="s">
        <v>5934</v>
      </c>
      <c r="B1681" s="34">
        <v>45951.573020833333</v>
      </c>
      <c r="C1681" s="34" t="str">
        <f t="shared" si="39"/>
        <v>202510</v>
      </c>
      <c r="D1681" s="35" t="s">
        <v>5380</v>
      </c>
      <c r="E1681" s="36" t="s">
        <v>910</v>
      </c>
      <c r="F1681" s="36" t="s">
        <v>1924</v>
      </c>
      <c r="G1681" s="37" t="s">
        <v>5935</v>
      </c>
      <c r="H1681" s="36" t="s">
        <v>4804</v>
      </c>
      <c r="I1681" s="35" t="s">
        <v>5936</v>
      </c>
      <c r="J1681" s="36" t="s">
        <v>929</v>
      </c>
      <c r="K1681" s="33" t="s">
        <v>916</v>
      </c>
      <c r="L1681" s="35" t="s">
        <v>916</v>
      </c>
      <c r="M1681" s="36" t="s">
        <v>916</v>
      </c>
      <c r="N1681" s="45">
        <v>46022</v>
      </c>
      <c r="O1681" s="36" t="s">
        <v>25</v>
      </c>
      <c r="P1681" s="38">
        <v>70.426979166699994</v>
      </c>
      <c r="Q1681" s="39" t="s">
        <v>5937</v>
      </c>
      <c r="R1681" s="35" t="s">
        <v>916</v>
      </c>
      <c r="S1681" s="35"/>
      <c r="T1681" s="35" t="s">
        <v>1701</v>
      </c>
      <c r="U1681" s="40">
        <v>45952</v>
      </c>
      <c r="V1681" s="41">
        <v>46153.532962962963</v>
      </c>
      <c r="W1681" s="40">
        <v>45951</v>
      </c>
      <c r="X1681" s="35" t="s">
        <v>916</v>
      </c>
      <c r="Y1681" s="35" t="s">
        <v>916</v>
      </c>
      <c r="Z1681" s="35" t="s">
        <v>916</v>
      </c>
      <c r="AA1681" s="38">
        <v>1690.2475000008001</v>
      </c>
      <c r="AB1681" s="42" t="s">
        <v>916</v>
      </c>
      <c r="AC1681" s="43" t="s">
        <v>916</v>
      </c>
      <c r="AD1681" s="43" t="s">
        <v>916</v>
      </c>
      <c r="AE1681" s="33" t="s">
        <v>3982</v>
      </c>
      <c r="AF1681" s="35" t="s">
        <v>916</v>
      </c>
      <c r="AG1681" s="44">
        <v>489181.7525</v>
      </c>
      <c r="AH1681" s="42" t="s">
        <v>916</v>
      </c>
      <c r="AI1681" s="32" t="e">
        <f>VLOOKUP(A1681,'4月明細'!B:B,1,0)</f>
        <v>#N/A</v>
      </c>
    </row>
    <row r="1682" spans="1:35" ht="19.95" customHeight="1" x14ac:dyDescent="0.3">
      <c r="A1682" s="33" t="s">
        <v>5938</v>
      </c>
      <c r="B1682" s="34">
        <v>45951.572337962964</v>
      </c>
      <c r="C1682" s="34" t="str">
        <f t="shared" si="39"/>
        <v>202510</v>
      </c>
      <c r="D1682" s="35" t="s">
        <v>5380</v>
      </c>
      <c r="E1682" s="36" t="s">
        <v>910</v>
      </c>
      <c r="F1682" s="36" t="s">
        <v>1924</v>
      </c>
      <c r="G1682" s="37" t="s">
        <v>5939</v>
      </c>
      <c r="H1682" s="36" t="s">
        <v>5940</v>
      </c>
      <c r="I1682" s="35" t="s">
        <v>5941</v>
      </c>
      <c r="J1682" s="36" t="s">
        <v>929</v>
      </c>
      <c r="K1682" s="33" t="s">
        <v>916</v>
      </c>
      <c r="L1682" s="35" t="s">
        <v>916</v>
      </c>
      <c r="M1682" s="36" t="s">
        <v>916</v>
      </c>
      <c r="N1682" s="45">
        <v>46022</v>
      </c>
      <c r="O1682" s="36" t="s">
        <v>25</v>
      </c>
      <c r="P1682" s="38">
        <v>70.427662037000005</v>
      </c>
      <c r="Q1682" s="39" t="s">
        <v>5937</v>
      </c>
      <c r="R1682" s="35" t="s">
        <v>916</v>
      </c>
      <c r="S1682" s="35"/>
      <c r="T1682" s="35" t="s">
        <v>1701</v>
      </c>
      <c r="U1682" s="40">
        <v>45952</v>
      </c>
      <c r="V1682" s="41">
        <v>46153.532962962963</v>
      </c>
      <c r="W1682" s="40">
        <v>45951</v>
      </c>
      <c r="X1682" s="35" t="s">
        <v>916</v>
      </c>
      <c r="Y1682" s="35" t="s">
        <v>916</v>
      </c>
      <c r="Z1682" s="35" t="s">
        <v>916</v>
      </c>
      <c r="AA1682" s="38">
        <v>1690.2638888880001</v>
      </c>
      <c r="AB1682" s="42" t="s">
        <v>916</v>
      </c>
      <c r="AC1682" s="43" t="s">
        <v>916</v>
      </c>
      <c r="AD1682" s="43" t="s">
        <v>916</v>
      </c>
      <c r="AE1682" s="33" t="s">
        <v>3982</v>
      </c>
      <c r="AF1682" s="35" t="s">
        <v>916</v>
      </c>
      <c r="AG1682" s="44">
        <v>489181.73611111112</v>
      </c>
      <c r="AH1682" s="42" t="s">
        <v>916</v>
      </c>
      <c r="AI1682" s="32" t="e">
        <f>VLOOKUP(A1682,'4月明細'!B:B,1,0)</f>
        <v>#N/A</v>
      </c>
    </row>
    <row r="1683" spans="1:35" ht="19.95" customHeight="1" x14ac:dyDescent="0.3">
      <c r="A1683" s="33" t="s">
        <v>5942</v>
      </c>
      <c r="B1683" s="34">
        <v>45951.490486111114</v>
      </c>
      <c r="C1683" s="34" t="str">
        <f t="shared" si="39"/>
        <v>202510</v>
      </c>
      <c r="D1683" s="35" t="s">
        <v>5380</v>
      </c>
      <c r="E1683" s="36" t="s">
        <v>910</v>
      </c>
      <c r="F1683" s="36" t="s">
        <v>1792</v>
      </c>
      <c r="G1683" s="37" t="s">
        <v>1499</v>
      </c>
      <c r="H1683" s="36" t="s">
        <v>3979</v>
      </c>
      <c r="I1683" s="35" t="s">
        <v>5943</v>
      </c>
      <c r="J1683" s="36" t="s">
        <v>929</v>
      </c>
      <c r="K1683" s="33" t="s">
        <v>916</v>
      </c>
      <c r="L1683" s="35" t="s">
        <v>916</v>
      </c>
      <c r="M1683" s="36" t="s">
        <v>916</v>
      </c>
      <c r="N1683" s="45">
        <v>46022</v>
      </c>
      <c r="O1683" s="36" t="s">
        <v>25</v>
      </c>
      <c r="P1683" s="38">
        <v>70.509513888900003</v>
      </c>
      <c r="Q1683" s="39" t="s">
        <v>2171</v>
      </c>
      <c r="R1683" s="35" t="s">
        <v>916</v>
      </c>
      <c r="S1683" s="35"/>
      <c r="T1683" s="35" t="s">
        <v>1701</v>
      </c>
      <c r="U1683" s="40">
        <v>45952</v>
      </c>
      <c r="V1683" s="41">
        <v>46153.532962962963</v>
      </c>
      <c r="W1683" s="40">
        <v>45951</v>
      </c>
      <c r="X1683" s="35" t="s">
        <v>916</v>
      </c>
      <c r="Y1683" s="35" t="s">
        <v>916</v>
      </c>
      <c r="Z1683" s="35" t="s">
        <v>916</v>
      </c>
      <c r="AA1683" s="38">
        <v>1692.2283333335999</v>
      </c>
      <c r="AB1683" s="42" t="s">
        <v>916</v>
      </c>
      <c r="AC1683" s="43" t="s">
        <v>916</v>
      </c>
      <c r="AD1683" s="43" t="s">
        <v>916</v>
      </c>
      <c r="AE1683" s="33" t="s">
        <v>3982</v>
      </c>
      <c r="AF1683" s="35" t="s">
        <v>916</v>
      </c>
      <c r="AG1683" s="44">
        <v>489179.77166666673</v>
      </c>
      <c r="AH1683" s="42" t="s">
        <v>916</v>
      </c>
      <c r="AI1683" s="32" t="e">
        <f>VLOOKUP(A1683,'4月明細'!B:B,1,0)</f>
        <v>#N/A</v>
      </c>
    </row>
    <row r="1684" spans="1:35" ht="19.95" customHeight="1" x14ac:dyDescent="0.3">
      <c r="A1684" s="33" t="s">
        <v>5944</v>
      </c>
      <c r="B1684" s="34">
        <v>45951.476481481484</v>
      </c>
      <c r="C1684" s="34" t="str">
        <f t="shared" si="39"/>
        <v>202510</v>
      </c>
      <c r="D1684" s="35" t="s">
        <v>5380</v>
      </c>
      <c r="E1684" s="36" t="s">
        <v>910</v>
      </c>
      <c r="F1684" s="36" t="s">
        <v>1064</v>
      </c>
      <c r="G1684" s="37" t="s">
        <v>5945</v>
      </c>
      <c r="H1684" s="36" t="s">
        <v>4401</v>
      </c>
      <c r="I1684" s="35" t="s">
        <v>5946</v>
      </c>
      <c r="J1684" s="36" t="s">
        <v>914</v>
      </c>
      <c r="K1684" s="33" t="s">
        <v>916</v>
      </c>
      <c r="L1684" s="35" t="s">
        <v>916</v>
      </c>
      <c r="M1684" s="36" t="s">
        <v>916</v>
      </c>
      <c r="N1684" s="45">
        <v>46022</v>
      </c>
      <c r="O1684" s="36" t="s">
        <v>25</v>
      </c>
      <c r="P1684" s="38">
        <v>70.523518518499998</v>
      </c>
      <c r="Q1684" s="39" t="s">
        <v>5947</v>
      </c>
      <c r="R1684" s="35" t="s">
        <v>916</v>
      </c>
      <c r="S1684" s="35"/>
      <c r="T1684" s="35" t="s">
        <v>1701</v>
      </c>
      <c r="U1684" s="40">
        <v>45952</v>
      </c>
      <c r="V1684" s="41">
        <v>46153.532962962963</v>
      </c>
      <c r="W1684" s="40">
        <v>45951</v>
      </c>
      <c r="X1684" s="35" t="s">
        <v>916</v>
      </c>
      <c r="Y1684" s="35" t="s">
        <v>916</v>
      </c>
      <c r="Z1684" s="35" t="s">
        <v>916</v>
      </c>
      <c r="AA1684" s="38">
        <v>1692.5644444439999</v>
      </c>
      <c r="AB1684" s="42" t="s">
        <v>916</v>
      </c>
      <c r="AC1684" s="43" t="s">
        <v>916</v>
      </c>
      <c r="AD1684" s="43" t="s">
        <v>916</v>
      </c>
      <c r="AE1684" s="33" t="s">
        <v>3982</v>
      </c>
      <c r="AF1684" s="35" t="s">
        <v>916</v>
      </c>
      <c r="AG1684" s="44">
        <v>489179.43555555551</v>
      </c>
      <c r="AH1684" s="42" t="s">
        <v>916</v>
      </c>
      <c r="AI1684" s="32" t="e">
        <f>VLOOKUP(A1684,'4月明細'!B:B,1,0)</f>
        <v>#N/A</v>
      </c>
    </row>
    <row r="1685" spans="1:35" ht="19.95" customHeight="1" x14ac:dyDescent="0.3">
      <c r="A1685" s="33" t="s">
        <v>5948</v>
      </c>
      <c r="B1685" s="34">
        <v>45951.456875000003</v>
      </c>
      <c r="C1685" s="34" t="str">
        <f t="shared" si="39"/>
        <v>202510</v>
      </c>
      <c r="D1685" s="35" t="s">
        <v>5380</v>
      </c>
      <c r="E1685" s="36" t="s">
        <v>910</v>
      </c>
      <c r="F1685" s="36" t="s">
        <v>947</v>
      </c>
      <c r="G1685" s="37" t="s">
        <v>5949</v>
      </c>
      <c r="H1685" s="36" t="s">
        <v>5940</v>
      </c>
      <c r="I1685" s="35" t="s">
        <v>5950</v>
      </c>
      <c r="J1685" s="36" t="s">
        <v>914</v>
      </c>
      <c r="K1685" s="33" t="s">
        <v>916</v>
      </c>
      <c r="L1685" s="35" t="s">
        <v>916</v>
      </c>
      <c r="M1685" s="36" t="s">
        <v>916</v>
      </c>
      <c r="N1685" s="45">
        <v>46022</v>
      </c>
      <c r="O1685" s="36" t="s">
        <v>25</v>
      </c>
      <c r="P1685" s="38">
        <v>70.543125000000003</v>
      </c>
      <c r="Q1685" s="39" t="s">
        <v>5951</v>
      </c>
      <c r="R1685" s="35" t="s">
        <v>916</v>
      </c>
      <c r="S1685" s="35"/>
      <c r="T1685" s="35" t="s">
        <v>1701</v>
      </c>
      <c r="U1685" s="40">
        <v>45952</v>
      </c>
      <c r="V1685" s="41">
        <v>46153.532962962963</v>
      </c>
      <c r="W1685" s="40">
        <v>45951</v>
      </c>
      <c r="X1685" s="35" t="s">
        <v>916</v>
      </c>
      <c r="Y1685" s="35" t="s">
        <v>916</v>
      </c>
      <c r="Z1685" s="35" t="s">
        <v>916</v>
      </c>
      <c r="AA1685" s="38">
        <v>1693.0350000000001</v>
      </c>
      <c r="AB1685" s="42" t="s">
        <v>916</v>
      </c>
      <c r="AC1685" s="43" t="s">
        <v>916</v>
      </c>
      <c r="AD1685" s="43" t="s">
        <v>916</v>
      </c>
      <c r="AE1685" s="33" t="s">
        <v>3982</v>
      </c>
      <c r="AF1685" s="35" t="s">
        <v>916</v>
      </c>
      <c r="AG1685" s="44">
        <v>489178.96527777793</v>
      </c>
      <c r="AH1685" s="42" t="s">
        <v>916</v>
      </c>
      <c r="AI1685" s="32" t="e">
        <f>VLOOKUP(A1685,'4月明細'!B:B,1,0)</f>
        <v>#N/A</v>
      </c>
    </row>
    <row r="1686" spans="1:35" ht="19.95" customHeight="1" x14ac:dyDescent="0.3">
      <c r="A1686" s="33" t="s">
        <v>5952</v>
      </c>
      <c r="B1686" s="34">
        <v>45951.45208333333</v>
      </c>
      <c r="C1686" s="34" t="str">
        <f t="shared" si="39"/>
        <v>202510</v>
      </c>
      <c r="D1686" s="35" t="s">
        <v>5380</v>
      </c>
      <c r="E1686" s="36" t="s">
        <v>910</v>
      </c>
      <c r="F1686" s="36" t="s">
        <v>947</v>
      </c>
      <c r="G1686" s="37" t="s">
        <v>927</v>
      </c>
      <c r="H1686" s="36" t="s">
        <v>3979</v>
      </c>
      <c r="I1686" s="35" t="s">
        <v>5953</v>
      </c>
      <c r="J1686" s="36" t="s">
        <v>914</v>
      </c>
      <c r="K1686" s="33" t="s">
        <v>916</v>
      </c>
      <c r="L1686" s="35" t="s">
        <v>916</v>
      </c>
      <c r="M1686" s="36" t="s">
        <v>916</v>
      </c>
      <c r="N1686" s="45">
        <v>46022</v>
      </c>
      <c r="O1686" s="36" t="s">
        <v>25</v>
      </c>
      <c r="P1686" s="38">
        <v>70.547916666700004</v>
      </c>
      <c r="Q1686" s="39" t="s">
        <v>2171</v>
      </c>
      <c r="R1686" s="35" t="s">
        <v>916</v>
      </c>
      <c r="S1686" s="35"/>
      <c r="T1686" s="35" t="s">
        <v>1701</v>
      </c>
      <c r="U1686" s="40">
        <v>45952</v>
      </c>
      <c r="V1686" s="41">
        <v>46153.532962962963</v>
      </c>
      <c r="W1686" s="40">
        <v>45951</v>
      </c>
      <c r="X1686" s="35" t="s">
        <v>916</v>
      </c>
      <c r="Y1686" s="35" t="s">
        <v>916</v>
      </c>
      <c r="Z1686" s="35" t="s">
        <v>916</v>
      </c>
      <c r="AA1686" s="38">
        <v>1693.1500000008</v>
      </c>
      <c r="AB1686" s="42" t="s">
        <v>916</v>
      </c>
      <c r="AC1686" s="43" t="s">
        <v>916</v>
      </c>
      <c r="AD1686" s="43" t="s">
        <v>916</v>
      </c>
      <c r="AE1686" s="33" t="s">
        <v>3982</v>
      </c>
      <c r="AF1686" s="35" t="s">
        <v>916</v>
      </c>
      <c r="AG1686" s="44">
        <v>489178.85</v>
      </c>
      <c r="AH1686" s="42" t="s">
        <v>916</v>
      </c>
      <c r="AI1686" s="32" t="e">
        <f>VLOOKUP(A1686,'4月明細'!B:B,1,0)</f>
        <v>#N/A</v>
      </c>
    </row>
    <row r="1687" spans="1:35" ht="19.95" customHeight="1" x14ac:dyDescent="0.3">
      <c r="A1687" s="33" t="s">
        <v>5954</v>
      </c>
      <c r="B1687" s="34">
        <v>45950.688831018517</v>
      </c>
      <c r="C1687" s="34" t="str">
        <f t="shared" si="39"/>
        <v>202510</v>
      </c>
      <c r="D1687" s="35" t="s">
        <v>1627</v>
      </c>
      <c r="E1687" s="36" t="s">
        <v>910</v>
      </c>
      <c r="F1687" s="36" t="s">
        <v>997</v>
      </c>
      <c r="G1687" s="37" t="s">
        <v>5955</v>
      </c>
      <c r="H1687" s="36" t="s">
        <v>1048</v>
      </c>
      <c r="I1687" s="35" t="s">
        <v>5956</v>
      </c>
      <c r="J1687" s="36" t="s">
        <v>929</v>
      </c>
      <c r="K1687" s="33" t="s">
        <v>916</v>
      </c>
      <c r="L1687" s="35" t="s">
        <v>916</v>
      </c>
      <c r="M1687" s="36" t="s">
        <v>916</v>
      </c>
      <c r="N1687" s="45">
        <v>46022</v>
      </c>
      <c r="O1687" s="36" t="s">
        <v>25</v>
      </c>
      <c r="P1687" s="38">
        <v>71.311168981500003</v>
      </c>
      <c r="Q1687" s="39" t="s">
        <v>5957</v>
      </c>
      <c r="R1687" s="35" t="s">
        <v>916</v>
      </c>
      <c r="S1687" s="35"/>
      <c r="T1687" s="35" t="s">
        <v>1701</v>
      </c>
      <c r="U1687" s="40">
        <v>45951</v>
      </c>
      <c r="V1687" s="41">
        <v>46153.532962962963</v>
      </c>
      <c r="W1687" s="40">
        <v>45950</v>
      </c>
      <c r="X1687" s="35" t="s">
        <v>916</v>
      </c>
      <c r="Y1687" s="35" t="s">
        <v>916</v>
      </c>
      <c r="Z1687" s="35" t="s">
        <v>916</v>
      </c>
      <c r="AA1687" s="38">
        <v>1711.4680555560001</v>
      </c>
      <c r="AB1687" s="42" t="s">
        <v>916</v>
      </c>
      <c r="AC1687" s="43" t="s">
        <v>916</v>
      </c>
      <c r="AD1687" s="43" t="s">
        <v>916</v>
      </c>
      <c r="AE1687" s="33" t="s">
        <v>3982</v>
      </c>
      <c r="AF1687" s="35" t="s">
        <v>916</v>
      </c>
      <c r="AG1687" s="44">
        <v>489160.53194444452</v>
      </c>
      <c r="AH1687" s="42" t="s">
        <v>916</v>
      </c>
      <c r="AI1687" s="32" t="e">
        <f>VLOOKUP(A1687,'4月明細'!B:B,1,0)</f>
        <v>#N/A</v>
      </c>
    </row>
    <row r="1688" spans="1:35" ht="19.95" customHeight="1" x14ac:dyDescent="0.3">
      <c r="A1688" s="33" t="s">
        <v>5958</v>
      </c>
      <c r="B1688" s="34">
        <v>45950.43178240741</v>
      </c>
      <c r="C1688" s="34" t="str">
        <f t="shared" si="39"/>
        <v>202510</v>
      </c>
      <c r="D1688" s="35" t="s">
        <v>5959</v>
      </c>
      <c r="E1688" s="36" t="s">
        <v>910</v>
      </c>
      <c r="F1688" s="36" t="s">
        <v>2039</v>
      </c>
      <c r="G1688" s="37" t="s">
        <v>5960</v>
      </c>
      <c r="H1688" s="36" t="s">
        <v>4065</v>
      </c>
      <c r="I1688" s="35" t="s">
        <v>5961</v>
      </c>
      <c r="J1688" s="36" t="s">
        <v>929</v>
      </c>
      <c r="K1688" s="33" t="s">
        <v>916</v>
      </c>
      <c r="L1688" s="35" t="s">
        <v>916</v>
      </c>
      <c r="M1688" s="36" t="s">
        <v>916</v>
      </c>
      <c r="N1688" s="45">
        <v>46022</v>
      </c>
      <c r="O1688" s="36" t="s">
        <v>25</v>
      </c>
      <c r="P1688" s="38">
        <v>71.568217592600007</v>
      </c>
      <c r="Q1688" s="39" t="s">
        <v>5962</v>
      </c>
      <c r="R1688" s="35" t="s">
        <v>916</v>
      </c>
      <c r="S1688" s="35" t="s">
        <v>5963</v>
      </c>
      <c r="T1688" s="35" t="s">
        <v>1701</v>
      </c>
      <c r="U1688" s="40">
        <v>45951</v>
      </c>
      <c r="V1688" s="41">
        <v>46153.532962962963</v>
      </c>
      <c r="W1688" s="40">
        <v>45950</v>
      </c>
      <c r="X1688" s="35" t="s">
        <v>916</v>
      </c>
      <c r="Y1688" s="35" t="s">
        <v>916</v>
      </c>
      <c r="Z1688" s="35" t="s">
        <v>916</v>
      </c>
      <c r="AA1688" s="38">
        <v>1717.6372222223999</v>
      </c>
      <c r="AB1688" s="42" t="s">
        <v>916</v>
      </c>
      <c r="AC1688" s="43" t="s">
        <v>916</v>
      </c>
      <c r="AD1688" s="43" t="s">
        <v>916</v>
      </c>
      <c r="AE1688" s="33" t="s">
        <v>3982</v>
      </c>
      <c r="AF1688" s="35" t="s">
        <v>916</v>
      </c>
      <c r="AG1688" s="44">
        <v>489154.36277777777</v>
      </c>
      <c r="AH1688" s="42" t="s">
        <v>916</v>
      </c>
      <c r="AI1688" s="32" t="e">
        <f>VLOOKUP(A1688,'4月明細'!B:B,1,0)</f>
        <v>#N/A</v>
      </c>
    </row>
    <row r="1689" spans="1:35" ht="19.95" customHeight="1" x14ac:dyDescent="0.3">
      <c r="A1689" s="33" t="s">
        <v>5964</v>
      </c>
      <c r="B1689" s="34">
        <v>45950.673668981479</v>
      </c>
      <c r="C1689" s="34" t="str">
        <f t="shared" si="39"/>
        <v>202510</v>
      </c>
      <c r="D1689" s="35" t="s">
        <v>5380</v>
      </c>
      <c r="E1689" s="36" t="s">
        <v>910</v>
      </c>
      <c r="F1689" s="36" t="s">
        <v>2169</v>
      </c>
      <c r="G1689" s="37" t="s">
        <v>927</v>
      </c>
      <c r="H1689" s="36" t="s">
        <v>3979</v>
      </c>
      <c r="I1689" s="35" t="s">
        <v>5965</v>
      </c>
      <c r="J1689" s="36" t="s">
        <v>929</v>
      </c>
      <c r="K1689" s="33" t="s">
        <v>916</v>
      </c>
      <c r="L1689" s="35" t="s">
        <v>916</v>
      </c>
      <c r="M1689" s="36" t="s">
        <v>916</v>
      </c>
      <c r="N1689" s="45">
        <v>46022</v>
      </c>
      <c r="O1689" s="36" t="s">
        <v>25</v>
      </c>
      <c r="P1689" s="38">
        <v>71.326331018499999</v>
      </c>
      <c r="Q1689" s="39" t="s">
        <v>5966</v>
      </c>
      <c r="R1689" s="35" t="s">
        <v>916</v>
      </c>
      <c r="S1689" s="35"/>
      <c r="T1689" s="35" t="s">
        <v>1701</v>
      </c>
      <c r="U1689" s="40">
        <v>45951</v>
      </c>
      <c r="V1689" s="41">
        <v>46153.532962962963</v>
      </c>
      <c r="W1689" s="40">
        <v>45950</v>
      </c>
      <c r="X1689" s="35" t="s">
        <v>916</v>
      </c>
      <c r="Y1689" s="35" t="s">
        <v>916</v>
      </c>
      <c r="Z1689" s="35" t="s">
        <v>916</v>
      </c>
      <c r="AA1689" s="38">
        <v>1711.8319444440001</v>
      </c>
      <c r="AB1689" s="42" t="s">
        <v>916</v>
      </c>
      <c r="AC1689" s="43" t="s">
        <v>916</v>
      </c>
      <c r="AD1689" s="43" t="s">
        <v>916</v>
      </c>
      <c r="AE1689" s="33" t="s">
        <v>3982</v>
      </c>
      <c r="AF1689" s="35" t="s">
        <v>916</v>
      </c>
      <c r="AG1689" s="44">
        <v>489160.16805555561</v>
      </c>
      <c r="AH1689" s="42" t="s">
        <v>916</v>
      </c>
      <c r="AI1689" s="32" t="e">
        <f>VLOOKUP(A1689,'4月明細'!B:B,1,0)</f>
        <v>#N/A</v>
      </c>
    </row>
    <row r="1690" spans="1:35" ht="19.95" customHeight="1" x14ac:dyDescent="0.3">
      <c r="A1690" s="33" t="s">
        <v>5967</v>
      </c>
      <c r="B1690" s="34">
        <v>45950.553263888891</v>
      </c>
      <c r="C1690" s="34" t="str">
        <f t="shared" si="39"/>
        <v>202510</v>
      </c>
      <c r="D1690" s="35" t="s">
        <v>951</v>
      </c>
      <c r="E1690" s="36" t="s">
        <v>910</v>
      </c>
      <c r="F1690" s="36" t="s">
        <v>1341</v>
      </c>
      <c r="G1690" s="37" t="s">
        <v>5968</v>
      </c>
      <c r="H1690" s="36" t="s">
        <v>1043</v>
      </c>
      <c r="I1690" s="35" t="s">
        <v>5969</v>
      </c>
      <c r="J1690" s="36" t="s">
        <v>929</v>
      </c>
      <c r="K1690" s="33" t="s">
        <v>916</v>
      </c>
      <c r="L1690" s="35" t="s">
        <v>916</v>
      </c>
      <c r="M1690" s="36" t="s">
        <v>916</v>
      </c>
      <c r="N1690" s="45">
        <v>46022</v>
      </c>
      <c r="O1690" s="36" t="s">
        <v>25</v>
      </c>
      <c r="P1690" s="38">
        <v>71.446736111099995</v>
      </c>
      <c r="Q1690" s="39" t="s">
        <v>5970</v>
      </c>
      <c r="R1690" s="35" t="s">
        <v>916</v>
      </c>
      <c r="S1690" s="35" t="s">
        <v>5971</v>
      </c>
      <c r="T1690" s="35" t="s">
        <v>1701</v>
      </c>
      <c r="U1690" s="40">
        <v>45951</v>
      </c>
      <c r="V1690" s="41">
        <v>46153.532962962963</v>
      </c>
      <c r="W1690" s="40">
        <v>45950</v>
      </c>
      <c r="X1690" s="35" t="s">
        <v>916</v>
      </c>
      <c r="Y1690" s="35" t="s">
        <v>916</v>
      </c>
      <c r="Z1690" s="35" t="s">
        <v>916</v>
      </c>
      <c r="AA1690" s="38">
        <v>1714.7216666664001</v>
      </c>
      <c r="AB1690" s="42" t="s">
        <v>916</v>
      </c>
      <c r="AC1690" s="43" t="s">
        <v>916</v>
      </c>
      <c r="AD1690" s="43" t="s">
        <v>916</v>
      </c>
      <c r="AE1690" s="33" t="s">
        <v>3982</v>
      </c>
      <c r="AF1690" s="35" t="s">
        <v>916</v>
      </c>
      <c r="AG1690" s="44">
        <v>489157.27833333338</v>
      </c>
      <c r="AH1690" s="42" t="s">
        <v>916</v>
      </c>
      <c r="AI1690" s="32" t="e">
        <f>VLOOKUP(A1690,'4月明細'!B:B,1,0)</f>
        <v>#N/A</v>
      </c>
    </row>
    <row r="1691" spans="1:35" ht="19.95" customHeight="1" x14ac:dyDescent="0.3">
      <c r="A1691" s="33" t="s">
        <v>5972</v>
      </c>
      <c r="B1691" s="34">
        <v>45950.552534722221</v>
      </c>
      <c r="C1691" s="34" t="str">
        <f t="shared" si="39"/>
        <v>202510</v>
      </c>
      <c r="D1691" s="35" t="s">
        <v>5380</v>
      </c>
      <c r="E1691" s="36" t="s">
        <v>910</v>
      </c>
      <c r="F1691" s="36" t="s">
        <v>1344</v>
      </c>
      <c r="G1691" s="37" t="s">
        <v>5142</v>
      </c>
      <c r="H1691" s="36" t="s">
        <v>4185</v>
      </c>
      <c r="I1691" s="35" t="s">
        <v>5973</v>
      </c>
      <c r="J1691" s="36" t="s">
        <v>929</v>
      </c>
      <c r="K1691" s="33" t="s">
        <v>916</v>
      </c>
      <c r="L1691" s="35" t="s">
        <v>916</v>
      </c>
      <c r="M1691" s="36" t="s">
        <v>916</v>
      </c>
      <c r="N1691" s="45">
        <v>46022</v>
      </c>
      <c r="O1691" s="36" t="s">
        <v>25</v>
      </c>
      <c r="P1691" s="38">
        <v>71.447465277800006</v>
      </c>
      <c r="Q1691" s="39" t="s">
        <v>5974</v>
      </c>
      <c r="R1691" s="35" t="s">
        <v>916</v>
      </c>
      <c r="S1691" s="35"/>
      <c r="T1691" s="35" t="s">
        <v>1701</v>
      </c>
      <c r="U1691" s="40">
        <v>45951</v>
      </c>
      <c r="V1691" s="41">
        <v>46153.532962962963</v>
      </c>
      <c r="W1691" s="40">
        <v>45950</v>
      </c>
      <c r="X1691" s="35" t="s">
        <v>916</v>
      </c>
      <c r="Y1691" s="35" t="s">
        <v>916</v>
      </c>
      <c r="Z1691" s="35" t="s">
        <v>916</v>
      </c>
      <c r="AA1691" s="38">
        <v>1714.7391666671999</v>
      </c>
      <c r="AB1691" s="42" t="s">
        <v>916</v>
      </c>
      <c r="AC1691" s="43" t="s">
        <v>916</v>
      </c>
      <c r="AD1691" s="43" t="s">
        <v>916</v>
      </c>
      <c r="AE1691" s="33" t="s">
        <v>3982</v>
      </c>
      <c r="AF1691" s="35" t="s">
        <v>916</v>
      </c>
      <c r="AG1691" s="44">
        <v>489157.26083333342</v>
      </c>
      <c r="AH1691" s="42" t="s">
        <v>916</v>
      </c>
      <c r="AI1691" s="32" t="e">
        <f>VLOOKUP(A1691,'4月明細'!B:B,1,0)</f>
        <v>#N/A</v>
      </c>
    </row>
    <row r="1692" spans="1:35" ht="19.95" customHeight="1" x14ac:dyDescent="0.3">
      <c r="A1692" s="33" t="s">
        <v>5975</v>
      </c>
      <c r="B1692" s="34">
        <v>45950.44740740741</v>
      </c>
      <c r="C1692" s="34" t="str">
        <f t="shared" si="39"/>
        <v>202510</v>
      </c>
      <c r="D1692" s="35" t="s">
        <v>951</v>
      </c>
      <c r="E1692" s="36" t="s">
        <v>910</v>
      </c>
      <c r="F1692" s="36" t="s">
        <v>1441</v>
      </c>
      <c r="G1692" s="37" t="s">
        <v>5976</v>
      </c>
      <c r="H1692" s="36" t="s">
        <v>913</v>
      </c>
      <c r="I1692" s="35"/>
      <c r="J1692" s="36" t="s">
        <v>914</v>
      </c>
      <c r="K1692" s="33" t="s">
        <v>916</v>
      </c>
      <c r="L1692" s="35" t="s">
        <v>916</v>
      </c>
      <c r="M1692" s="36" t="s">
        <v>916</v>
      </c>
      <c r="N1692" s="45">
        <v>46022</v>
      </c>
      <c r="O1692" s="36" t="s">
        <v>25</v>
      </c>
      <c r="P1692" s="38">
        <v>71.552592592600007</v>
      </c>
      <c r="Q1692" s="39" t="s">
        <v>5977</v>
      </c>
      <c r="R1692" s="35" t="s">
        <v>916</v>
      </c>
      <c r="S1692" s="35"/>
      <c r="T1692" s="35" t="s">
        <v>1701</v>
      </c>
      <c r="U1692" s="40">
        <v>45951</v>
      </c>
      <c r="V1692" s="41">
        <v>46153.532962962963</v>
      </c>
      <c r="W1692" s="40">
        <v>45950</v>
      </c>
      <c r="X1692" s="35" t="s">
        <v>916</v>
      </c>
      <c r="Y1692" s="35" t="s">
        <v>916</v>
      </c>
      <c r="Z1692" s="35" t="s">
        <v>916</v>
      </c>
      <c r="AA1692" s="38">
        <v>1717.2622222223999</v>
      </c>
      <c r="AB1692" s="42" t="s">
        <v>916</v>
      </c>
      <c r="AC1692" s="43" t="s">
        <v>916</v>
      </c>
      <c r="AD1692" s="43" t="s">
        <v>916</v>
      </c>
      <c r="AE1692" s="33" t="s">
        <v>3982</v>
      </c>
      <c r="AF1692" s="35" t="s">
        <v>916</v>
      </c>
      <c r="AG1692" s="44">
        <v>489154.73777777777</v>
      </c>
      <c r="AH1692" s="42" t="s">
        <v>916</v>
      </c>
      <c r="AI1692" s="32" t="e">
        <f>VLOOKUP(A1692,'4月明細'!B:B,1,0)</f>
        <v>#N/A</v>
      </c>
    </row>
    <row r="1693" spans="1:35" ht="19.95" customHeight="1" x14ac:dyDescent="0.3">
      <c r="A1693" s="33" t="s">
        <v>5978</v>
      </c>
      <c r="B1693" s="34">
        <v>45950.431388888886</v>
      </c>
      <c r="C1693" s="34" t="str">
        <f t="shared" si="39"/>
        <v>202510</v>
      </c>
      <c r="D1693" s="35" t="s">
        <v>5959</v>
      </c>
      <c r="E1693" s="36" t="s">
        <v>910</v>
      </c>
      <c r="F1693" s="36" t="s">
        <v>1335</v>
      </c>
      <c r="G1693" s="37" t="s">
        <v>5979</v>
      </c>
      <c r="H1693" s="36" t="s">
        <v>4185</v>
      </c>
      <c r="I1693" s="35"/>
      <c r="J1693" s="36" t="s">
        <v>914</v>
      </c>
      <c r="K1693" s="33" t="s">
        <v>916</v>
      </c>
      <c r="L1693" s="35" t="s">
        <v>916</v>
      </c>
      <c r="M1693" s="36" t="s">
        <v>916</v>
      </c>
      <c r="N1693" s="45">
        <v>46022</v>
      </c>
      <c r="O1693" s="36" t="s">
        <v>25</v>
      </c>
      <c r="P1693" s="38">
        <v>71.568611111099997</v>
      </c>
      <c r="Q1693" s="39" t="s">
        <v>5957</v>
      </c>
      <c r="R1693" s="35" t="s">
        <v>916</v>
      </c>
      <c r="S1693" s="35"/>
      <c r="T1693" s="35" t="s">
        <v>1701</v>
      </c>
      <c r="U1693" s="40">
        <v>45951</v>
      </c>
      <c r="V1693" s="41">
        <v>46153.532962962963</v>
      </c>
      <c r="W1693" s="40">
        <v>45950</v>
      </c>
      <c r="X1693" s="35" t="s">
        <v>916</v>
      </c>
      <c r="Y1693" s="35" t="s">
        <v>916</v>
      </c>
      <c r="Z1693" s="35" t="s">
        <v>916</v>
      </c>
      <c r="AA1693" s="38">
        <v>1717.6466666664001</v>
      </c>
      <c r="AB1693" s="42" t="s">
        <v>916</v>
      </c>
      <c r="AC1693" s="43" t="s">
        <v>916</v>
      </c>
      <c r="AD1693" s="43" t="s">
        <v>916</v>
      </c>
      <c r="AE1693" s="33" t="s">
        <v>3982</v>
      </c>
      <c r="AF1693" s="35" t="s">
        <v>916</v>
      </c>
      <c r="AG1693" s="44">
        <v>489154.35333333339</v>
      </c>
      <c r="AH1693" s="42" t="s">
        <v>916</v>
      </c>
      <c r="AI1693" s="32" t="e">
        <f>VLOOKUP(A1693,'4月明細'!B:B,1,0)</f>
        <v>#N/A</v>
      </c>
    </row>
    <row r="1694" spans="1:35" ht="19.95" customHeight="1" x14ac:dyDescent="0.3">
      <c r="A1694" s="33" t="s">
        <v>5980</v>
      </c>
      <c r="B1694" s="34">
        <v>45949.708229166667</v>
      </c>
      <c r="C1694" s="34" t="str">
        <f t="shared" si="39"/>
        <v>202510</v>
      </c>
      <c r="D1694" s="35" t="s">
        <v>996</v>
      </c>
      <c r="E1694" s="36" t="s">
        <v>910</v>
      </c>
      <c r="F1694" s="36" t="s">
        <v>1568</v>
      </c>
      <c r="G1694" s="37" t="s">
        <v>1041</v>
      </c>
      <c r="H1694" s="36" t="s">
        <v>1043</v>
      </c>
      <c r="I1694" s="35" t="s">
        <v>5981</v>
      </c>
      <c r="J1694" s="36" t="s">
        <v>929</v>
      </c>
      <c r="K1694" s="33" t="s">
        <v>916</v>
      </c>
      <c r="L1694" s="35" t="s">
        <v>916</v>
      </c>
      <c r="M1694" s="36" t="s">
        <v>916</v>
      </c>
      <c r="N1694" s="45">
        <v>46022</v>
      </c>
      <c r="O1694" s="36" t="s">
        <v>25</v>
      </c>
      <c r="P1694" s="38">
        <v>72.291770833300006</v>
      </c>
      <c r="Q1694" s="39" t="s">
        <v>5982</v>
      </c>
      <c r="R1694" s="35" t="s">
        <v>916</v>
      </c>
      <c r="S1694" s="35" t="s">
        <v>5983</v>
      </c>
      <c r="T1694" s="35" t="s">
        <v>1701</v>
      </c>
      <c r="U1694" s="40">
        <v>45950</v>
      </c>
      <c r="V1694" s="41">
        <v>46153.532962962963</v>
      </c>
      <c r="W1694" s="40">
        <v>45949</v>
      </c>
      <c r="X1694" s="35" t="s">
        <v>916</v>
      </c>
      <c r="Y1694" s="35" t="s">
        <v>916</v>
      </c>
      <c r="Z1694" s="35" t="s">
        <v>916</v>
      </c>
      <c r="AA1694" s="38">
        <v>1735.0024999991999</v>
      </c>
      <c r="AB1694" s="42" t="s">
        <v>916</v>
      </c>
      <c r="AC1694" s="43" t="s">
        <v>916</v>
      </c>
      <c r="AD1694" s="43" t="s">
        <v>916</v>
      </c>
      <c r="AE1694" s="33" t="s">
        <v>3982</v>
      </c>
      <c r="AF1694" s="35" t="s">
        <v>916</v>
      </c>
      <c r="AG1694" s="44">
        <v>489136.9975</v>
      </c>
      <c r="AH1694" s="42" t="s">
        <v>916</v>
      </c>
      <c r="AI1694" s="32" t="e">
        <f>VLOOKUP(A1694,'4月明細'!B:B,1,0)</f>
        <v>#N/A</v>
      </c>
    </row>
    <row r="1695" spans="1:35" ht="19.95" customHeight="1" x14ac:dyDescent="0.3">
      <c r="A1695" s="33" t="s">
        <v>5984</v>
      </c>
      <c r="B1695" s="34">
        <v>45949.668263888889</v>
      </c>
      <c r="C1695" s="34" t="str">
        <f t="shared" si="39"/>
        <v>202510</v>
      </c>
      <c r="D1695" s="35" t="s">
        <v>996</v>
      </c>
      <c r="E1695" s="36" t="s">
        <v>910</v>
      </c>
      <c r="F1695" s="36" t="s">
        <v>1723</v>
      </c>
      <c r="G1695" s="37" t="s">
        <v>5985</v>
      </c>
      <c r="H1695" s="36" t="s">
        <v>4029</v>
      </c>
      <c r="I1695" s="35" t="s">
        <v>5986</v>
      </c>
      <c r="J1695" s="36" t="s">
        <v>914</v>
      </c>
      <c r="K1695" s="33" t="s">
        <v>916</v>
      </c>
      <c r="L1695" s="35" t="s">
        <v>916</v>
      </c>
      <c r="M1695" s="36" t="s">
        <v>916</v>
      </c>
      <c r="N1695" s="45">
        <v>46022</v>
      </c>
      <c r="O1695" s="36" t="s">
        <v>25</v>
      </c>
      <c r="P1695" s="38">
        <v>72.3317361111</v>
      </c>
      <c r="Q1695" s="39" t="s">
        <v>5987</v>
      </c>
      <c r="R1695" s="35" t="s">
        <v>916</v>
      </c>
      <c r="S1695" s="35"/>
      <c r="T1695" s="35" t="s">
        <v>1701</v>
      </c>
      <c r="U1695" s="40">
        <v>45950</v>
      </c>
      <c r="V1695" s="41">
        <v>46153.53297453704</v>
      </c>
      <c r="W1695" s="40">
        <v>45949</v>
      </c>
      <c r="X1695" s="35" t="s">
        <v>916</v>
      </c>
      <c r="Y1695" s="35" t="s">
        <v>916</v>
      </c>
      <c r="Z1695" s="35" t="s">
        <v>916</v>
      </c>
      <c r="AA1695" s="38">
        <v>1735.9616666664001</v>
      </c>
      <c r="AB1695" s="42" t="s">
        <v>916</v>
      </c>
      <c r="AC1695" s="43" t="s">
        <v>916</v>
      </c>
      <c r="AD1695" s="43" t="s">
        <v>916</v>
      </c>
      <c r="AE1695" s="33" t="s">
        <v>3982</v>
      </c>
      <c r="AF1695" s="35" t="s">
        <v>916</v>
      </c>
      <c r="AG1695" s="44">
        <v>489136.03833333327</v>
      </c>
      <c r="AH1695" s="42" t="s">
        <v>916</v>
      </c>
      <c r="AI1695" s="32" t="e">
        <f>VLOOKUP(A1695,'4月明細'!B:B,1,0)</f>
        <v>#N/A</v>
      </c>
    </row>
    <row r="1696" spans="1:35" ht="19.95" customHeight="1" x14ac:dyDescent="0.3">
      <c r="A1696" s="33" t="s">
        <v>5988</v>
      </c>
      <c r="B1696" s="34">
        <v>45949.646226851852</v>
      </c>
      <c r="C1696" s="34" t="str">
        <f t="shared" si="39"/>
        <v>202510</v>
      </c>
      <c r="D1696" s="35" t="s">
        <v>941</v>
      </c>
      <c r="E1696" s="36" t="s">
        <v>942</v>
      </c>
      <c r="F1696" s="36" t="s">
        <v>987</v>
      </c>
      <c r="G1696" s="37" t="s">
        <v>5989</v>
      </c>
      <c r="H1696" s="36" t="s">
        <v>1048</v>
      </c>
      <c r="I1696" s="35"/>
      <c r="J1696" s="36" t="s">
        <v>945</v>
      </c>
      <c r="K1696" s="33" t="s">
        <v>916</v>
      </c>
      <c r="L1696" s="35" t="s">
        <v>916</v>
      </c>
      <c r="M1696" s="36" t="s">
        <v>916</v>
      </c>
      <c r="N1696" s="45">
        <v>46022</v>
      </c>
      <c r="O1696" s="36" t="s">
        <v>25</v>
      </c>
      <c r="P1696" s="38">
        <v>72.353773148100004</v>
      </c>
      <c r="Q1696" s="39" t="s">
        <v>5990</v>
      </c>
      <c r="R1696" s="35" t="s">
        <v>916</v>
      </c>
      <c r="S1696" s="35" t="s">
        <v>5991</v>
      </c>
      <c r="T1696" s="35" t="s">
        <v>1701</v>
      </c>
      <c r="U1696" s="40">
        <v>45950</v>
      </c>
      <c r="V1696" s="41">
        <v>46153.53297453704</v>
      </c>
      <c r="W1696" s="40">
        <v>45949</v>
      </c>
      <c r="X1696" s="35" t="s">
        <v>916</v>
      </c>
      <c r="Y1696" s="35" t="s">
        <v>916</v>
      </c>
      <c r="Z1696" s="35" t="s">
        <v>916</v>
      </c>
      <c r="AA1696" s="38">
        <v>1736.4905555544001</v>
      </c>
      <c r="AB1696" s="42" t="s">
        <v>916</v>
      </c>
      <c r="AC1696" s="43" t="s">
        <v>916</v>
      </c>
      <c r="AD1696" s="43" t="s">
        <v>916</v>
      </c>
      <c r="AE1696" s="33" t="s">
        <v>3982</v>
      </c>
      <c r="AF1696" s="35" t="s">
        <v>916</v>
      </c>
      <c r="AG1696" s="44">
        <v>489135.50944444438</v>
      </c>
      <c r="AH1696" s="42" t="s">
        <v>916</v>
      </c>
      <c r="AI1696" s="32" t="e">
        <f>VLOOKUP(A1696,'4月明細'!B:B,1,0)</f>
        <v>#N/A</v>
      </c>
    </row>
    <row r="1697" spans="1:35" ht="19.95" customHeight="1" x14ac:dyDescent="0.3">
      <c r="A1697" s="33" t="s">
        <v>5992</v>
      </c>
      <c r="B1697" s="34">
        <v>45949.630601851852</v>
      </c>
      <c r="C1697" s="34" t="str">
        <f t="shared" si="39"/>
        <v>202510</v>
      </c>
      <c r="D1697" s="35" t="s">
        <v>996</v>
      </c>
      <c r="E1697" s="36" t="s">
        <v>910</v>
      </c>
      <c r="F1697" s="36" t="s">
        <v>2327</v>
      </c>
      <c r="G1697" s="37" t="s">
        <v>5993</v>
      </c>
      <c r="H1697" s="36" t="s">
        <v>970</v>
      </c>
      <c r="I1697" s="35" t="s">
        <v>5994</v>
      </c>
      <c r="J1697" s="36" t="s">
        <v>914</v>
      </c>
      <c r="K1697" s="33" t="s">
        <v>916</v>
      </c>
      <c r="L1697" s="35" t="s">
        <v>916</v>
      </c>
      <c r="M1697" s="36" t="s">
        <v>916</v>
      </c>
      <c r="N1697" s="45">
        <v>46022</v>
      </c>
      <c r="O1697" s="36" t="s">
        <v>25</v>
      </c>
      <c r="P1697" s="38">
        <v>72.369398148100004</v>
      </c>
      <c r="Q1697" s="39" t="s">
        <v>5995</v>
      </c>
      <c r="R1697" s="35" t="s">
        <v>916</v>
      </c>
      <c r="S1697" s="35"/>
      <c r="T1697" s="35" t="s">
        <v>1701</v>
      </c>
      <c r="U1697" s="40">
        <v>45950</v>
      </c>
      <c r="V1697" s="41">
        <v>46153.53297453704</v>
      </c>
      <c r="W1697" s="40">
        <v>45949</v>
      </c>
      <c r="X1697" s="35" t="s">
        <v>916</v>
      </c>
      <c r="Y1697" s="35" t="s">
        <v>916</v>
      </c>
      <c r="Z1697" s="35" t="s">
        <v>916</v>
      </c>
      <c r="AA1697" s="38">
        <v>1736.8655555544001</v>
      </c>
      <c r="AB1697" s="42" t="s">
        <v>916</v>
      </c>
      <c r="AC1697" s="43" t="s">
        <v>916</v>
      </c>
      <c r="AD1697" s="43" t="s">
        <v>916</v>
      </c>
      <c r="AE1697" s="33" t="s">
        <v>3982</v>
      </c>
      <c r="AF1697" s="35" t="s">
        <v>916</v>
      </c>
      <c r="AG1697" s="44">
        <v>489135.13444444438</v>
      </c>
      <c r="AH1697" s="42" t="s">
        <v>916</v>
      </c>
      <c r="AI1697" s="32" t="e">
        <f>VLOOKUP(A1697,'4月明細'!B:B,1,0)</f>
        <v>#N/A</v>
      </c>
    </row>
    <row r="1698" spans="1:35" ht="19.95" customHeight="1" x14ac:dyDescent="0.3">
      <c r="A1698" s="33" t="s">
        <v>5996</v>
      </c>
      <c r="B1698" s="34">
        <v>45949.602175925924</v>
      </c>
      <c r="C1698" s="34" t="str">
        <f t="shared" si="39"/>
        <v>202510</v>
      </c>
      <c r="D1698" s="35" t="s">
        <v>996</v>
      </c>
      <c r="E1698" s="36" t="s">
        <v>910</v>
      </c>
      <c r="F1698" s="36" t="s">
        <v>1672</v>
      </c>
      <c r="G1698" s="37" t="s">
        <v>5997</v>
      </c>
      <c r="H1698" s="36" t="s">
        <v>4023</v>
      </c>
      <c r="I1698" s="35" t="s">
        <v>5998</v>
      </c>
      <c r="J1698" s="36" t="s">
        <v>914</v>
      </c>
      <c r="K1698" s="33" t="s">
        <v>916</v>
      </c>
      <c r="L1698" s="35" t="s">
        <v>916</v>
      </c>
      <c r="M1698" s="36" t="s">
        <v>916</v>
      </c>
      <c r="N1698" s="45">
        <v>46022</v>
      </c>
      <c r="O1698" s="36" t="s">
        <v>25</v>
      </c>
      <c r="P1698" s="38">
        <v>72.397824074100001</v>
      </c>
      <c r="Q1698" s="39" t="s">
        <v>5999</v>
      </c>
      <c r="R1698" s="35" t="s">
        <v>916</v>
      </c>
      <c r="S1698" s="35"/>
      <c r="T1698" s="35" t="s">
        <v>1701</v>
      </c>
      <c r="U1698" s="40">
        <v>45950</v>
      </c>
      <c r="V1698" s="41">
        <v>46153.53297453704</v>
      </c>
      <c r="W1698" s="40">
        <v>45949</v>
      </c>
      <c r="X1698" s="35" t="s">
        <v>916</v>
      </c>
      <c r="Y1698" s="35" t="s">
        <v>916</v>
      </c>
      <c r="Z1698" s="35" t="s">
        <v>916</v>
      </c>
      <c r="AA1698" s="38">
        <v>1737.5477777783999</v>
      </c>
      <c r="AB1698" s="42" t="s">
        <v>916</v>
      </c>
      <c r="AC1698" s="43" t="s">
        <v>916</v>
      </c>
      <c r="AD1698" s="43" t="s">
        <v>916</v>
      </c>
      <c r="AE1698" s="33" t="s">
        <v>3982</v>
      </c>
      <c r="AF1698" s="35" t="s">
        <v>916</v>
      </c>
      <c r="AG1698" s="44">
        <v>489134.45222222217</v>
      </c>
      <c r="AH1698" s="42" t="s">
        <v>916</v>
      </c>
      <c r="AI1698" s="32" t="e">
        <f>VLOOKUP(A1698,'4月明細'!B:B,1,0)</f>
        <v>#N/A</v>
      </c>
    </row>
    <row r="1699" spans="1:35" ht="19.95" customHeight="1" x14ac:dyDescent="0.3">
      <c r="A1699" s="33" t="s">
        <v>6000</v>
      </c>
      <c r="B1699" s="34">
        <v>45949.491064814814</v>
      </c>
      <c r="C1699" s="34" t="str">
        <f t="shared" si="39"/>
        <v>202510</v>
      </c>
      <c r="D1699" s="35" t="s">
        <v>951</v>
      </c>
      <c r="E1699" s="36" t="s">
        <v>910</v>
      </c>
      <c r="F1699" s="36" t="s">
        <v>1222</v>
      </c>
      <c r="G1699" s="37" t="s">
        <v>6001</v>
      </c>
      <c r="H1699" s="36" t="s">
        <v>1048</v>
      </c>
      <c r="I1699" s="35" t="s">
        <v>6002</v>
      </c>
      <c r="J1699" s="36" t="s">
        <v>914</v>
      </c>
      <c r="K1699" s="33" t="s">
        <v>916</v>
      </c>
      <c r="L1699" s="35" t="s">
        <v>916</v>
      </c>
      <c r="M1699" s="36" t="s">
        <v>916</v>
      </c>
      <c r="N1699" s="45">
        <v>46022</v>
      </c>
      <c r="O1699" s="36" t="s">
        <v>25</v>
      </c>
      <c r="P1699" s="38">
        <v>72.508935185200002</v>
      </c>
      <c r="Q1699" s="39" t="s">
        <v>6003</v>
      </c>
      <c r="R1699" s="35" t="s">
        <v>916</v>
      </c>
      <c r="S1699" s="35"/>
      <c r="T1699" s="35" t="s">
        <v>1701</v>
      </c>
      <c r="U1699" s="40">
        <v>45950</v>
      </c>
      <c r="V1699" s="41">
        <v>46153.53297453704</v>
      </c>
      <c r="W1699" s="40">
        <v>45949</v>
      </c>
      <c r="X1699" s="35" t="s">
        <v>916</v>
      </c>
      <c r="Y1699" s="35" t="s">
        <v>916</v>
      </c>
      <c r="Z1699" s="35" t="s">
        <v>916</v>
      </c>
      <c r="AA1699" s="38">
        <v>1740.2144444447999</v>
      </c>
      <c r="AB1699" s="42" t="s">
        <v>916</v>
      </c>
      <c r="AC1699" s="43" t="s">
        <v>916</v>
      </c>
      <c r="AD1699" s="43" t="s">
        <v>916</v>
      </c>
      <c r="AE1699" s="33" t="s">
        <v>3982</v>
      </c>
      <c r="AF1699" s="35" t="s">
        <v>916</v>
      </c>
      <c r="AG1699" s="44">
        <v>489131.78555555549</v>
      </c>
      <c r="AH1699" s="42" t="s">
        <v>916</v>
      </c>
      <c r="AI1699" s="32" t="e">
        <f>VLOOKUP(A1699,'4月明細'!B:B,1,0)</f>
        <v>#N/A</v>
      </c>
    </row>
    <row r="1700" spans="1:35" ht="19.95" customHeight="1" x14ac:dyDescent="0.3">
      <c r="A1700" s="33" t="s">
        <v>6004</v>
      </c>
      <c r="B1700" s="34">
        <v>45949.478865740741</v>
      </c>
      <c r="C1700" s="34" t="str">
        <f t="shared" si="39"/>
        <v>202510</v>
      </c>
      <c r="D1700" s="35" t="s">
        <v>951</v>
      </c>
      <c r="E1700" s="36" t="s">
        <v>910</v>
      </c>
      <c r="F1700" s="36" t="s">
        <v>1130</v>
      </c>
      <c r="G1700" s="37" t="s">
        <v>6005</v>
      </c>
      <c r="H1700" s="36" t="s">
        <v>4017</v>
      </c>
      <c r="I1700" s="35" t="s">
        <v>6006</v>
      </c>
      <c r="J1700" s="36" t="s">
        <v>914</v>
      </c>
      <c r="K1700" s="33" t="s">
        <v>916</v>
      </c>
      <c r="L1700" s="35" t="s">
        <v>916</v>
      </c>
      <c r="M1700" s="36" t="s">
        <v>916</v>
      </c>
      <c r="N1700" s="45">
        <v>46022</v>
      </c>
      <c r="O1700" s="36" t="s">
        <v>25</v>
      </c>
      <c r="P1700" s="38">
        <v>72.521134259299998</v>
      </c>
      <c r="Q1700" s="39" t="s">
        <v>5863</v>
      </c>
      <c r="R1700" s="35" t="s">
        <v>916</v>
      </c>
      <c r="S1700" s="35"/>
      <c r="T1700" s="35" t="s">
        <v>1701</v>
      </c>
      <c r="U1700" s="40">
        <v>45950</v>
      </c>
      <c r="V1700" s="41">
        <v>46153.53297453704</v>
      </c>
      <c r="W1700" s="40">
        <v>45949</v>
      </c>
      <c r="X1700" s="35" t="s">
        <v>916</v>
      </c>
      <c r="Y1700" s="35" t="s">
        <v>916</v>
      </c>
      <c r="Z1700" s="35" t="s">
        <v>916</v>
      </c>
      <c r="AA1700" s="38">
        <v>1740.5072222232</v>
      </c>
      <c r="AB1700" s="42" t="s">
        <v>916</v>
      </c>
      <c r="AC1700" s="43" t="s">
        <v>916</v>
      </c>
      <c r="AD1700" s="43" t="s">
        <v>916</v>
      </c>
      <c r="AE1700" s="33" t="s">
        <v>3982</v>
      </c>
      <c r="AF1700" s="35" t="s">
        <v>916</v>
      </c>
      <c r="AG1700" s="44">
        <v>489131.49277777778</v>
      </c>
      <c r="AH1700" s="42" t="s">
        <v>916</v>
      </c>
      <c r="AI1700" s="32" t="e">
        <f>VLOOKUP(A1700,'4月明細'!B:B,1,0)</f>
        <v>#N/A</v>
      </c>
    </row>
    <row r="1701" spans="1:35" ht="19.95" customHeight="1" x14ac:dyDescent="0.3">
      <c r="A1701" s="33" t="s">
        <v>6007</v>
      </c>
      <c r="B1701" s="34">
        <v>45949.408750000002</v>
      </c>
      <c r="C1701" s="34" t="str">
        <f t="shared" si="39"/>
        <v>202510</v>
      </c>
      <c r="D1701" s="35" t="s">
        <v>6008</v>
      </c>
      <c r="E1701" s="36" t="s">
        <v>1149</v>
      </c>
      <c r="F1701" s="36" t="s">
        <v>1166</v>
      </c>
      <c r="G1701" s="37" t="s">
        <v>6009</v>
      </c>
      <c r="H1701" s="36" t="s">
        <v>5083</v>
      </c>
      <c r="I1701" s="35"/>
      <c r="J1701" s="36" t="s">
        <v>1058</v>
      </c>
      <c r="K1701" s="33" t="s">
        <v>916</v>
      </c>
      <c r="L1701" s="35" t="s">
        <v>916</v>
      </c>
      <c r="M1701" s="36" t="s">
        <v>916</v>
      </c>
      <c r="N1701" s="45">
        <v>46022</v>
      </c>
      <c r="O1701" s="36" t="s">
        <v>25</v>
      </c>
      <c r="P1701" s="38">
        <v>72.591250000000002</v>
      </c>
      <c r="Q1701" s="39" t="s">
        <v>6010</v>
      </c>
      <c r="R1701" s="35" t="s">
        <v>916</v>
      </c>
      <c r="S1701" s="35"/>
      <c r="T1701" s="35" t="s">
        <v>1701</v>
      </c>
      <c r="U1701" s="40">
        <v>45950</v>
      </c>
      <c r="V1701" s="41">
        <v>46153.53297453704</v>
      </c>
      <c r="W1701" s="40">
        <v>45949</v>
      </c>
      <c r="X1701" s="35" t="s">
        <v>916</v>
      </c>
      <c r="Y1701" s="35" t="s">
        <v>916</v>
      </c>
      <c r="Z1701" s="35" t="s">
        <v>916</v>
      </c>
      <c r="AA1701" s="38">
        <v>1742.19</v>
      </c>
      <c r="AB1701" s="42" t="s">
        <v>916</v>
      </c>
      <c r="AC1701" s="43" t="s">
        <v>916</v>
      </c>
      <c r="AD1701" s="43" t="s">
        <v>916</v>
      </c>
      <c r="AE1701" s="33" t="s">
        <v>3982</v>
      </c>
      <c r="AF1701" s="35" t="s">
        <v>916</v>
      </c>
      <c r="AG1701" s="44">
        <v>489129.80999999988</v>
      </c>
      <c r="AH1701" s="42" t="s">
        <v>916</v>
      </c>
      <c r="AI1701" s="32" t="e">
        <f>VLOOKUP(A1701,'4月明細'!B:B,1,0)</f>
        <v>#N/A</v>
      </c>
    </row>
    <row r="1702" spans="1:35" ht="19.95" customHeight="1" x14ac:dyDescent="0.3">
      <c r="A1702" s="33" t="s">
        <v>6011</v>
      </c>
      <c r="B1702" s="34">
        <v>45949.394849537035</v>
      </c>
      <c r="C1702" s="34" t="str">
        <f t="shared" si="39"/>
        <v>202510</v>
      </c>
      <c r="D1702" s="35" t="s">
        <v>1840</v>
      </c>
      <c r="E1702" s="36" t="s">
        <v>942</v>
      </c>
      <c r="F1702" s="36" t="s">
        <v>1064</v>
      </c>
      <c r="G1702" s="37" t="s">
        <v>6012</v>
      </c>
      <c r="H1702" s="36" t="s">
        <v>4060</v>
      </c>
      <c r="I1702" s="35"/>
      <c r="J1702" s="36" t="s">
        <v>945</v>
      </c>
      <c r="K1702" s="33" t="s">
        <v>916</v>
      </c>
      <c r="L1702" s="35" t="s">
        <v>916</v>
      </c>
      <c r="M1702" s="36" t="s">
        <v>916</v>
      </c>
      <c r="N1702" s="45">
        <v>46022</v>
      </c>
      <c r="O1702" s="36" t="s">
        <v>25</v>
      </c>
      <c r="P1702" s="38">
        <v>72.605150463000001</v>
      </c>
      <c r="Q1702" s="39" t="s">
        <v>6013</v>
      </c>
      <c r="R1702" s="35" t="s">
        <v>916</v>
      </c>
      <c r="S1702" s="35"/>
      <c r="T1702" s="35" t="s">
        <v>1701</v>
      </c>
      <c r="U1702" s="40">
        <v>45950</v>
      </c>
      <c r="V1702" s="41">
        <v>46153.53297453704</v>
      </c>
      <c r="W1702" s="40">
        <v>45949</v>
      </c>
      <c r="X1702" s="35" t="s">
        <v>916</v>
      </c>
      <c r="Y1702" s="35" t="s">
        <v>916</v>
      </c>
      <c r="Z1702" s="35" t="s">
        <v>916</v>
      </c>
      <c r="AA1702" s="38">
        <v>1742.523611112</v>
      </c>
      <c r="AB1702" s="42" t="s">
        <v>916</v>
      </c>
      <c r="AC1702" s="43" t="s">
        <v>916</v>
      </c>
      <c r="AD1702" s="43" t="s">
        <v>916</v>
      </c>
      <c r="AE1702" s="33" t="s">
        <v>3982</v>
      </c>
      <c r="AF1702" s="35" t="s">
        <v>916</v>
      </c>
      <c r="AG1702" s="44">
        <v>489129.4763888889</v>
      </c>
      <c r="AH1702" s="42" t="s">
        <v>916</v>
      </c>
      <c r="AI1702" s="32" t="e">
        <f>VLOOKUP(A1702,'4月明細'!B:B,1,0)</f>
        <v>#N/A</v>
      </c>
    </row>
    <row r="1703" spans="1:35" ht="19.95" customHeight="1" x14ac:dyDescent="0.3">
      <c r="A1703" s="33" t="s">
        <v>6014</v>
      </c>
      <c r="B1703" s="34">
        <v>45948.660763888889</v>
      </c>
      <c r="C1703" s="34" t="str">
        <f t="shared" si="39"/>
        <v>202510</v>
      </c>
      <c r="D1703" s="35" t="s">
        <v>5380</v>
      </c>
      <c r="E1703" s="36" t="s">
        <v>910</v>
      </c>
      <c r="F1703" s="36" t="s">
        <v>1765</v>
      </c>
      <c r="G1703" s="37" t="s">
        <v>6015</v>
      </c>
      <c r="H1703" s="36" t="s">
        <v>3985</v>
      </c>
      <c r="I1703" s="35" t="s">
        <v>6016</v>
      </c>
      <c r="J1703" s="36" t="s">
        <v>1058</v>
      </c>
      <c r="K1703" s="33" t="s">
        <v>916</v>
      </c>
      <c r="L1703" s="35" t="s">
        <v>916</v>
      </c>
      <c r="M1703" s="36" t="s">
        <v>916</v>
      </c>
      <c r="N1703" s="45">
        <v>46022</v>
      </c>
      <c r="O1703" s="36" t="s">
        <v>25</v>
      </c>
      <c r="P1703" s="38">
        <v>73.339236111100007</v>
      </c>
      <c r="Q1703" s="39" t="s">
        <v>6017</v>
      </c>
      <c r="R1703" s="35" t="s">
        <v>916</v>
      </c>
      <c r="S1703" s="35" t="s">
        <v>6018</v>
      </c>
      <c r="T1703" s="35" t="s">
        <v>1701</v>
      </c>
      <c r="U1703" s="40">
        <v>45949</v>
      </c>
      <c r="V1703" s="41">
        <v>46153.53297453704</v>
      </c>
      <c r="W1703" s="40">
        <v>45948</v>
      </c>
      <c r="X1703" s="35" t="s">
        <v>916</v>
      </c>
      <c r="Y1703" s="35" t="s">
        <v>916</v>
      </c>
      <c r="Z1703" s="35" t="s">
        <v>916</v>
      </c>
      <c r="AA1703" s="38">
        <v>1760.1416666663999</v>
      </c>
      <c r="AB1703" s="42" t="s">
        <v>916</v>
      </c>
      <c r="AC1703" s="43" t="s">
        <v>916</v>
      </c>
      <c r="AD1703" s="43" t="s">
        <v>916</v>
      </c>
      <c r="AE1703" s="33" t="s">
        <v>3982</v>
      </c>
      <c r="AF1703" s="35" t="s">
        <v>916</v>
      </c>
      <c r="AG1703" s="44">
        <v>489111.85833333328</v>
      </c>
      <c r="AH1703" s="42" t="s">
        <v>916</v>
      </c>
      <c r="AI1703" s="32" t="e">
        <f>VLOOKUP(A1703,'4月明細'!B:B,1,0)</f>
        <v>#N/A</v>
      </c>
    </row>
    <row r="1704" spans="1:35" ht="19.95" customHeight="1" x14ac:dyDescent="0.3">
      <c r="A1704" s="33" t="s">
        <v>6019</v>
      </c>
      <c r="B1704" s="34">
        <v>45948.59238425926</v>
      </c>
      <c r="C1704" s="34" t="str">
        <f t="shared" si="39"/>
        <v>202510</v>
      </c>
      <c r="D1704" s="35" t="s">
        <v>996</v>
      </c>
      <c r="E1704" s="36" t="s">
        <v>910</v>
      </c>
      <c r="F1704" s="36" t="s">
        <v>1232</v>
      </c>
      <c r="G1704" s="37" t="s">
        <v>6020</v>
      </c>
      <c r="H1704" s="36" t="s">
        <v>1043</v>
      </c>
      <c r="I1704" s="35"/>
      <c r="J1704" s="36" t="s">
        <v>914</v>
      </c>
      <c r="K1704" s="33" t="s">
        <v>916</v>
      </c>
      <c r="L1704" s="35" t="s">
        <v>916</v>
      </c>
      <c r="M1704" s="36" t="s">
        <v>916</v>
      </c>
      <c r="N1704" s="45">
        <v>46022</v>
      </c>
      <c r="O1704" s="36" t="s">
        <v>25</v>
      </c>
      <c r="P1704" s="38">
        <v>73.407615740699995</v>
      </c>
      <c r="Q1704" s="39" t="s">
        <v>6021</v>
      </c>
      <c r="R1704" s="35" t="s">
        <v>916</v>
      </c>
      <c r="S1704" s="35" t="s">
        <v>6022</v>
      </c>
      <c r="T1704" s="35" t="s">
        <v>1701</v>
      </c>
      <c r="U1704" s="40">
        <v>45949</v>
      </c>
      <c r="V1704" s="41">
        <v>46153.53297453704</v>
      </c>
      <c r="W1704" s="40">
        <v>45948</v>
      </c>
      <c r="X1704" s="35" t="s">
        <v>916</v>
      </c>
      <c r="Y1704" s="35" t="s">
        <v>916</v>
      </c>
      <c r="Z1704" s="35" t="s">
        <v>916</v>
      </c>
      <c r="AA1704" s="38">
        <v>1761.7827777768</v>
      </c>
      <c r="AB1704" s="42" t="s">
        <v>916</v>
      </c>
      <c r="AC1704" s="43" t="s">
        <v>916</v>
      </c>
      <c r="AD1704" s="43" t="s">
        <v>916</v>
      </c>
      <c r="AE1704" s="33" t="s">
        <v>3982</v>
      </c>
      <c r="AF1704" s="35" t="s">
        <v>916</v>
      </c>
      <c r="AG1704" s="44">
        <v>489110.21722222219</v>
      </c>
      <c r="AH1704" s="42" t="s">
        <v>916</v>
      </c>
      <c r="AI1704" s="32" t="e">
        <f>VLOOKUP(A1704,'4月明細'!B:B,1,0)</f>
        <v>#N/A</v>
      </c>
    </row>
    <row r="1705" spans="1:35" ht="19.95" customHeight="1" x14ac:dyDescent="0.3">
      <c r="A1705" s="33" t="s">
        <v>6023</v>
      </c>
      <c r="B1705" s="34">
        <v>45948.559293981481</v>
      </c>
      <c r="C1705" s="34" t="str">
        <f t="shared" si="39"/>
        <v>202510</v>
      </c>
      <c r="D1705" s="35" t="s">
        <v>996</v>
      </c>
      <c r="E1705" s="36" t="s">
        <v>910</v>
      </c>
      <c r="F1705" s="36" t="s">
        <v>1890</v>
      </c>
      <c r="G1705" s="37" t="s">
        <v>1041</v>
      </c>
      <c r="H1705" s="36" t="s">
        <v>1043</v>
      </c>
      <c r="I1705" s="35"/>
      <c r="J1705" s="36" t="s">
        <v>914</v>
      </c>
      <c r="K1705" s="33" t="s">
        <v>916</v>
      </c>
      <c r="L1705" s="35" t="s">
        <v>916</v>
      </c>
      <c r="M1705" s="36" t="s">
        <v>916</v>
      </c>
      <c r="N1705" s="45">
        <v>46022</v>
      </c>
      <c r="O1705" s="36" t="s">
        <v>25</v>
      </c>
      <c r="P1705" s="38">
        <v>73.440706018499995</v>
      </c>
      <c r="Q1705" s="39" t="s">
        <v>6024</v>
      </c>
      <c r="R1705" s="35" t="s">
        <v>916</v>
      </c>
      <c r="S1705" s="35"/>
      <c r="T1705" s="35" t="s">
        <v>1701</v>
      </c>
      <c r="U1705" s="40">
        <v>45949</v>
      </c>
      <c r="V1705" s="41">
        <v>46153.53297453704</v>
      </c>
      <c r="W1705" s="40">
        <v>45948</v>
      </c>
      <c r="X1705" s="35" t="s">
        <v>916</v>
      </c>
      <c r="Y1705" s="35" t="s">
        <v>916</v>
      </c>
      <c r="Z1705" s="35" t="s">
        <v>916</v>
      </c>
      <c r="AA1705" s="38">
        <v>1762.576944444</v>
      </c>
      <c r="AB1705" s="42" t="s">
        <v>916</v>
      </c>
      <c r="AC1705" s="43" t="s">
        <v>916</v>
      </c>
      <c r="AD1705" s="43" t="s">
        <v>916</v>
      </c>
      <c r="AE1705" s="33" t="s">
        <v>3982</v>
      </c>
      <c r="AF1705" s="35" t="s">
        <v>916</v>
      </c>
      <c r="AG1705" s="44">
        <v>489109.42305555561</v>
      </c>
      <c r="AH1705" s="42" t="s">
        <v>916</v>
      </c>
      <c r="AI1705" s="32" t="e">
        <f>VLOOKUP(A1705,'4月明細'!B:B,1,0)</f>
        <v>#N/A</v>
      </c>
    </row>
    <row r="1706" spans="1:35" ht="19.95" customHeight="1" x14ac:dyDescent="0.3">
      <c r="A1706" s="33" t="s">
        <v>6025</v>
      </c>
      <c r="B1706" s="34">
        <v>45948.556064814817</v>
      </c>
      <c r="C1706" s="34" t="str">
        <f t="shared" si="39"/>
        <v>202510</v>
      </c>
      <c r="D1706" s="35" t="s">
        <v>5380</v>
      </c>
      <c r="E1706" s="36" t="s">
        <v>910</v>
      </c>
      <c r="F1706" s="36" t="s">
        <v>1572</v>
      </c>
      <c r="G1706" s="37" t="s">
        <v>6026</v>
      </c>
      <c r="H1706" s="36" t="s">
        <v>4157</v>
      </c>
      <c r="I1706" s="35" t="s">
        <v>6027</v>
      </c>
      <c r="J1706" s="36" t="s">
        <v>1058</v>
      </c>
      <c r="K1706" s="33" t="s">
        <v>916</v>
      </c>
      <c r="L1706" s="35" t="s">
        <v>916</v>
      </c>
      <c r="M1706" s="36" t="s">
        <v>916</v>
      </c>
      <c r="N1706" s="45">
        <v>46022</v>
      </c>
      <c r="O1706" s="36" t="s">
        <v>25</v>
      </c>
      <c r="P1706" s="38">
        <v>73.443935185200004</v>
      </c>
      <c r="Q1706" s="39" t="s">
        <v>6028</v>
      </c>
      <c r="R1706" s="35" t="s">
        <v>916</v>
      </c>
      <c r="S1706" s="35" t="s">
        <v>6029</v>
      </c>
      <c r="T1706" s="35" t="s">
        <v>1701</v>
      </c>
      <c r="U1706" s="40">
        <v>45949</v>
      </c>
      <c r="V1706" s="41">
        <v>46153.53297453704</v>
      </c>
      <c r="W1706" s="40">
        <v>45948</v>
      </c>
      <c r="X1706" s="35" t="s">
        <v>916</v>
      </c>
      <c r="Y1706" s="35" t="s">
        <v>916</v>
      </c>
      <c r="Z1706" s="35" t="s">
        <v>916</v>
      </c>
      <c r="AA1706" s="38">
        <v>1762.6544444448</v>
      </c>
      <c r="AB1706" s="42" t="s">
        <v>916</v>
      </c>
      <c r="AC1706" s="43" t="s">
        <v>916</v>
      </c>
      <c r="AD1706" s="43" t="s">
        <v>916</v>
      </c>
      <c r="AE1706" s="33" t="s">
        <v>3982</v>
      </c>
      <c r="AF1706" s="35" t="s">
        <v>916</v>
      </c>
      <c r="AG1706" s="44">
        <v>489109.3455555556</v>
      </c>
      <c r="AH1706" s="42" t="s">
        <v>916</v>
      </c>
      <c r="AI1706" s="32" t="e">
        <f>VLOOKUP(A1706,'4月明細'!B:B,1,0)</f>
        <v>#N/A</v>
      </c>
    </row>
    <row r="1707" spans="1:35" ht="19.95" customHeight="1" x14ac:dyDescent="0.3">
      <c r="A1707" s="33" t="s">
        <v>6030</v>
      </c>
      <c r="B1707" s="34">
        <v>45948.512766203705</v>
      </c>
      <c r="C1707" s="34" t="str">
        <f t="shared" si="39"/>
        <v>202510</v>
      </c>
      <c r="D1707" s="35" t="s">
        <v>996</v>
      </c>
      <c r="E1707" s="36" t="s">
        <v>910</v>
      </c>
      <c r="F1707" s="36" t="s">
        <v>2614</v>
      </c>
      <c r="G1707" s="37" t="s">
        <v>1979</v>
      </c>
      <c r="H1707" s="36" t="s">
        <v>970</v>
      </c>
      <c r="I1707" s="35" t="s">
        <v>6031</v>
      </c>
      <c r="J1707" s="36" t="s">
        <v>914</v>
      </c>
      <c r="K1707" s="33" t="s">
        <v>916</v>
      </c>
      <c r="L1707" s="35" t="s">
        <v>916</v>
      </c>
      <c r="M1707" s="36" t="s">
        <v>916</v>
      </c>
      <c r="N1707" s="45">
        <v>46022</v>
      </c>
      <c r="O1707" s="36" t="s">
        <v>25</v>
      </c>
      <c r="P1707" s="38">
        <v>73.487233796300004</v>
      </c>
      <c r="Q1707" s="39" t="s">
        <v>6032</v>
      </c>
      <c r="R1707" s="35" t="s">
        <v>916</v>
      </c>
      <c r="S1707" s="35" t="s">
        <v>6033</v>
      </c>
      <c r="T1707" s="35" t="s">
        <v>1701</v>
      </c>
      <c r="U1707" s="40">
        <v>45949</v>
      </c>
      <c r="V1707" s="41">
        <v>46153.53297453704</v>
      </c>
      <c r="W1707" s="40">
        <v>45948</v>
      </c>
      <c r="X1707" s="35" t="s">
        <v>916</v>
      </c>
      <c r="Y1707" s="35" t="s">
        <v>916</v>
      </c>
      <c r="Z1707" s="35" t="s">
        <v>916</v>
      </c>
      <c r="AA1707" s="38">
        <v>1763.6936111112</v>
      </c>
      <c r="AB1707" s="42" t="s">
        <v>916</v>
      </c>
      <c r="AC1707" s="43" t="s">
        <v>916</v>
      </c>
      <c r="AD1707" s="43" t="s">
        <v>916</v>
      </c>
      <c r="AE1707" s="33" t="s">
        <v>3982</v>
      </c>
      <c r="AF1707" s="35" t="s">
        <v>916</v>
      </c>
      <c r="AG1707" s="44">
        <v>489108.30638888892</v>
      </c>
      <c r="AH1707" s="42" t="s">
        <v>916</v>
      </c>
      <c r="AI1707" s="32" t="e">
        <f>VLOOKUP(A1707,'4月明細'!B:B,1,0)</f>
        <v>#N/A</v>
      </c>
    </row>
    <row r="1708" spans="1:35" ht="19.95" customHeight="1" x14ac:dyDescent="0.3">
      <c r="A1708" s="33" t="s">
        <v>6034</v>
      </c>
      <c r="B1708" s="34">
        <v>45948.436597222222</v>
      </c>
      <c r="C1708" s="34" t="str">
        <f t="shared" si="39"/>
        <v>202510</v>
      </c>
      <c r="D1708" s="35" t="s">
        <v>996</v>
      </c>
      <c r="E1708" s="36" t="s">
        <v>910</v>
      </c>
      <c r="F1708" s="36" t="s">
        <v>1295</v>
      </c>
      <c r="G1708" s="37" t="s">
        <v>6035</v>
      </c>
      <c r="H1708" s="36" t="s">
        <v>4185</v>
      </c>
      <c r="I1708" s="35" t="s">
        <v>6036</v>
      </c>
      <c r="J1708" s="36" t="s">
        <v>914</v>
      </c>
      <c r="K1708" s="33" t="s">
        <v>916</v>
      </c>
      <c r="L1708" s="35" t="s">
        <v>916</v>
      </c>
      <c r="M1708" s="36" t="s">
        <v>916</v>
      </c>
      <c r="N1708" s="45">
        <v>46022</v>
      </c>
      <c r="O1708" s="36" t="s">
        <v>25</v>
      </c>
      <c r="P1708" s="38">
        <v>73.563402777799993</v>
      </c>
      <c r="Q1708" s="39" t="s">
        <v>6037</v>
      </c>
      <c r="R1708" s="35" t="s">
        <v>916</v>
      </c>
      <c r="S1708" s="35" t="s">
        <v>6038</v>
      </c>
      <c r="T1708" s="35" t="s">
        <v>1701</v>
      </c>
      <c r="U1708" s="40">
        <v>45949</v>
      </c>
      <c r="V1708" s="41">
        <v>46153.53297453704</v>
      </c>
      <c r="W1708" s="40">
        <v>45948</v>
      </c>
      <c r="X1708" s="35" t="s">
        <v>916</v>
      </c>
      <c r="Y1708" s="35" t="s">
        <v>916</v>
      </c>
      <c r="Z1708" s="35" t="s">
        <v>916</v>
      </c>
      <c r="AA1708" s="38">
        <v>1765.5216666672</v>
      </c>
      <c r="AB1708" s="42" t="s">
        <v>916</v>
      </c>
      <c r="AC1708" s="43" t="s">
        <v>916</v>
      </c>
      <c r="AD1708" s="43" t="s">
        <v>916</v>
      </c>
      <c r="AE1708" s="33" t="s">
        <v>3982</v>
      </c>
      <c r="AF1708" s="35" t="s">
        <v>916</v>
      </c>
      <c r="AG1708" s="44">
        <v>489106.47833333327</v>
      </c>
      <c r="AH1708" s="42" t="s">
        <v>916</v>
      </c>
      <c r="AI1708" s="32" t="e">
        <f>VLOOKUP(A1708,'4月明細'!B:B,1,0)</f>
        <v>#N/A</v>
      </c>
    </row>
    <row r="1709" spans="1:35" ht="19.95" customHeight="1" x14ac:dyDescent="0.3">
      <c r="A1709" s="33" t="s">
        <v>6039</v>
      </c>
      <c r="B1709" s="34">
        <v>45948.43509259259</v>
      </c>
      <c r="C1709" s="34" t="str">
        <f t="shared" si="39"/>
        <v>202510</v>
      </c>
      <c r="D1709" s="35" t="s">
        <v>5846</v>
      </c>
      <c r="E1709" s="36" t="s">
        <v>910</v>
      </c>
      <c r="F1709" s="36" t="s">
        <v>1335</v>
      </c>
      <c r="G1709" s="37" t="s">
        <v>6040</v>
      </c>
      <c r="H1709" s="36" t="s">
        <v>4481</v>
      </c>
      <c r="I1709" s="35" t="s">
        <v>6041</v>
      </c>
      <c r="J1709" s="36" t="s">
        <v>914</v>
      </c>
      <c r="K1709" s="33" t="s">
        <v>916</v>
      </c>
      <c r="L1709" s="35" t="s">
        <v>916</v>
      </c>
      <c r="M1709" s="36" t="s">
        <v>916</v>
      </c>
      <c r="N1709" s="45">
        <v>46022</v>
      </c>
      <c r="O1709" s="36" t="s">
        <v>25</v>
      </c>
      <c r="P1709" s="38">
        <v>73.5649074074</v>
      </c>
      <c r="Q1709" s="39" t="s">
        <v>6042</v>
      </c>
      <c r="R1709" s="35" t="s">
        <v>916</v>
      </c>
      <c r="S1709" s="35" t="s">
        <v>6043</v>
      </c>
      <c r="T1709" s="35" t="s">
        <v>1701</v>
      </c>
      <c r="U1709" s="40">
        <v>45949</v>
      </c>
      <c r="V1709" s="41">
        <v>46153.53297453704</v>
      </c>
      <c r="W1709" s="40">
        <v>45948</v>
      </c>
      <c r="X1709" s="35" t="s">
        <v>916</v>
      </c>
      <c r="Y1709" s="35" t="s">
        <v>916</v>
      </c>
      <c r="Z1709" s="35" t="s">
        <v>916</v>
      </c>
      <c r="AA1709" s="38">
        <v>1765.5577777776</v>
      </c>
      <c r="AB1709" s="42" t="s">
        <v>916</v>
      </c>
      <c r="AC1709" s="43" t="s">
        <v>916</v>
      </c>
      <c r="AD1709" s="43" t="s">
        <v>916</v>
      </c>
      <c r="AE1709" s="33" t="s">
        <v>3982</v>
      </c>
      <c r="AF1709" s="35" t="s">
        <v>916</v>
      </c>
      <c r="AG1709" s="44">
        <v>489106.44222222222</v>
      </c>
      <c r="AH1709" s="42" t="s">
        <v>916</v>
      </c>
      <c r="AI1709" s="32" t="e">
        <f>VLOOKUP(A1709,'4月明細'!B:B,1,0)</f>
        <v>#N/A</v>
      </c>
    </row>
    <row r="1710" spans="1:35" ht="19.95" customHeight="1" x14ac:dyDescent="0.3">
      <c r="A1710" s="33" t="s">
        <v>6044</v>
      </c>
      <c r="B1710" s="34">
        <v>45948.177754629629</v>
      </c>
      <c r="C1710" s="34" t="str">
        <f t="shared" si="39"/>
        <v>202510</v>
      </c>
      <c r="D1710" s="35" t="s">
        <v>960</v>
      </c>
      <c r="E1710" s="36" t="s">
        <v>942</v>
      </c>
      <c r="F1710" s="36" t="s">
        <v>1799</v>
      </c>
      <c r="G1710" s="37" t="s">
        <v>6045</v>
      </c>
      <c r="H1710" s="36" t="s">
        <v>970</v>
      </c>
      <c r="I1710" s="35" t="s">
        <v>6046</v>
      </c>
      <c r="J1710" s="36" t="s">
        <v>929</v>
      </c>
      <c r="K1710" s="33" t="s">
        <v>916</v>
      </c>
      <c r="L1710" s="35" t="s">
        <v>916</v>
      </c>
      <c r="M1710" s="36" t="s">
        <v>916</v>
      </c>
      <c r="N1710" s="45">
        <v>46022</v>
      </c>
      <c r="O1710" s="36" t="s">
        <v>25</v>
      </c>
      <c r="P1710" s="38">
        <v>73.822245370399997</v>
      </c>
      <c r="Q1710" s="39" t="s">
        <v>6047</v>
      </c>
      <c r="R1710" s="35" t="s">
        <v>916</v>
      </c>
      <c r="S1710" s="35"/>
      <c r="T1710" s="35" t="s">
        <v>1701</v>
      </c>
      <c r="U1710" s="40">
        <v>45949</v>
      </c>
      <c r="V1710" s="41">
        <v>46153.53297453704</v>
      </c>
      <c r="W1710" s="40">
        <v>45948</v>
      </c>
      <c r="X1710" s="35" t="s">
        <v>916</v>
      </c>
      <c r="Y1710" s="35" t="s">
        <v>916</v>
      </c>
      <c r="Z1710" s="35" t="s">
        <v>916</v>
      </c>
      <c r="AA1710" s="38">
        <v>1771.7338888895999</v>
      </c>
      <c r="AB1710" s="42" t="s">
        <v>916</v>
      </c>
      <c r="AC1710" s="43" t="s">
        <v>916</v>
      </c>
      <c r="AD1710" s="43" t="s">
        <v>916</v>
      </c>
      <c r="AE1710" s="33" t="s">
        <v>3982</v>
      </c>
      <c r="AF1710" s="35" t="s">
        <v>916</v>
      </c>
      <c r="AG1710" s="44">
        <v>489100.26611111109</v>
      </c>
      <c r="AH1710" s="42" t="s">
        <v>916</v>
      </c>
      <c r="AI1710" s="32" t="e">
        <f>VLOOKUP(A1710,'4月明細'!B:B,1,0)</f>
        <v>#N/A</v>
      </c>
    </row>
    <row r="1711" spans="1:35" ht="19.95" customHeight="1" x14ac:dyDescent="0.3">
      <c r="A1711" s="33" t="s">
        <v>6048</v>
      </c>
      <c r="B1711" s="34">
        <v>45948.177037037036</v>
      </c>
      <c r="C1711" s="34" t="str">
        <f t="shared" si="39"/>
        <v>202510</v>
      </c>
      <c r="D1711" s="35" t="s">
        <v>960</v>
      </c>
      <c r="E1711" s="36" t="s">
        <v>942</v>
      </c>
      <c r="F1711" s="36" t="s">
        <v>2515</v>
      </c>
      <c r="G1711" s="37" t="s">
        <v>6049</v>
      </c>
      <c r="H1711" s="36" t="s">
        <v>970</v>
      </c>
      <c r="I1711" s="35"/>
      <c r="J1711" s="36" t="s">
        <v>929</v>
      </c>
      <c r="K1711" s="33" t="s">
        <v>916</v>
      </c>
      <c r="L1711" s="35" t="s">
        <v>916</v>
      </c>
      <c r="M1711" s="36" t="s">
        <v>916</v>
      </c>
      <c r="N1711" s="45">
        <v>46022</v>
      </c>
      <c r="O1711" s="36" t="s">
        <v>25</v>
      </c>
      <c r="P1711" s="38">
        <v>73.822962962999995</v>
      </c>
      <c r="Q1711" s="39" t="s">
        <v>6050</v>
      </c>
      <c r="R1711" s="35" t="s">
        <v>916</v>
      </c>
      <c r="S1711" s="35"/>
      <c r="T1711" s="35" t="s">
        <v>1701</v>
      </c>
      <c r="U1711" s="40">
        <v>45949</v>
      </c>
      <c r="V1711" s="41">
        <v>46153.53297453704</v>
      </c>
      <c r="W1711" s="40">
        <v>45948</v>
      </c>
      <c r="X1711" s="35" t="s">
        <v>916</v>
      </c>
      <c r="Y1711" s="35" t="s">
        <v>916</v>
      </c>
      <c r="Z1711" s="35" t="s">
        <v>916</v>
      </c>
      <c r="AA1711" s="38">
        <v>1771.751111112</v>
      </c>
      <c r="AB1711" s="42" t="s">
        <v>916</v>
      </c>
      <c r="AC1711" s="43" t="s">
        <v>916</v>
      </c>
      <c r="AD1711" s="43" t="s">
        <v>916</v>
      </c>
      <c r="AE1711" s="33" t="s">
        <v>3982</v>
      </c>
      <c r="AF1711" s="35" t="s">
        <v>916</v>
      </c>
      <c r="AG1711" s="44">
        <v>489100.24888888898</v>
      </c>
      <c r="AH1711" s="42" t="s">
        <v>916</v>
      </c>
      <c r="AI1711" s="32" t="e">
        <f>VLOOKUP(A1711,'4月明細'!B:B,1,0)</f>
        <v>#N/A</v>
      </c>
    </row>
    <row r="1712" spans="1:35" ht="19.95" customHeight="1" x14ac:dyDescent="0.3">
      <c r="A1712" s="33" t="s">
        <v>6051</v>
      </c>
      <c r="B1712" s="34">
        <v>45947.674699074072</v>
      </c>
      <c r="C1712" s="34" t="str">
        <f t="shared" si="39"/>
        <v>202510</v>
      </c>
      <c r="D1712" s="35" t="s">
        <v>5380</v>
      </c>
      <c r="E1712" s="36" t="s">
        <v>910</v>
      </c>
      <c r="F1712" s="36" t="s">
        <v>1130</v>
      </c>
      <c r="G1712" s="37" t="s">
        <v>5945</v>
      </c>
      <c r="H1712" s="36" t="s">
        <v>4401</v>
      </c>
      <c r="I1712" s="35" t="s">
        <v>6052</v>
      </c>
      <c r="J1712" s="36" t="s">
        <v>929</v>
      </c>
      <c r="K1712" s="33" t="s">
        <v>916</v>
      </c>
      <c r="L1712" s="35" t="s">
        <v>916</v>
      </c>
      <c r="M1712" s="36" t="s">
        <v>916</v>
      </c>
      <c r="N1712" s="45">
        <v>46022</v>
      </c>
      <c r="O1712" s="36" t="s">
        <v>25</v>
      </c>
      <c r="P1712" s="38">
        <v>74.325300925899995</v>
      </c>
      <c r="Q1712" s="39" t="s">
        <v>6053</v>
      </c>
      <c r="R1712" s="35" t="s">
        <v>916</v>
      </c>
      <c r="S1712" s="35"/>
      <c r="T1712" s="35" t="s">
        <v>1701</v>
      </c>
      <c r="U1712" s="40">
        <v>45948</v>
      </c>
      <c r="V1712" s="41">
        <v>46153.53297453704</v>
      </c>
      <c r="W1712" s="40">
        <v>45947</v>
      </c>
      <c r="X1712" s="35" t="s">
        <v>916</v>
      </c>
      <c r="Y1712" s="35" t="s">
        <v>916</v>
      </c>
      <c r="Z1712" s="35" t="s">
        <v>916</v>
      </c>
      <c r="AA1712" s="38">
        <v>1783.8072222216001</v>
      </c>
      <c r="AB1712" s="42" t="s">
        <v>916</v>
      </c>
      <c r="AC1712" s="43" t="s">
        <v>916</v>
      </c>
      <c r="AD1712" s="43" t="s">
        <v>916</v>
      </c>
      <c r="AE1712" s="33" t="s">
        <v>3982</v>
      </c>
      <c r="AF1712" s="35" t="s">
        <v>916</v>
      </c>
      <c r="AG1712" s="44">
        <v>489088.19305555557</v>
      </c>
      <c r="AH1712" s="42" t="s">
        <v>916</v>
      </c>
      <c r="AI1712" s="32" t="e">
        <f>VLOOKUP(A1712,'4月明細'!B:B,1,0)</f>
        <v>#N/A</v>
      </c>
    </row>
    <row r="1713" spans="1:35" ht="19.95" customHeight="1" x14ac:dyDescent="0.3">
      <c r="A1713" s="33" t="s">
        <v>6054</v>
      </c>
      <c r="B1713" s="34">
        <v>45947.585625</v>
      </c>
      <c r="C1713" s="34" t="str">
        <f t="shared" si="39"/>
        <v>202510</v>
      </c>
      <c r="D1713" s="35" t="s">
        <v>5380</v>
      </c>
      <c r="E1713" s="36" t="s">
        <v>910</v>
      </c>
      <c r="F1713" s="36" t="s">
        <v>2550</v>
      </c>
      <c r="G1713" s="37" t="s">
        <v>6055</v>
      </c>
      <c r="H1713" s="36" t="s">
        <v>4804</v>
      </c>
      <c r="I1713" s="35" t="s">
        <v>6056</v>
      </c>
      <c r="J1713" s="36" t="s">
        <v>914</v>
      </c>
      <c r="K1713" s="33" t="s">
        <v>916</v>
      </c>
      <c r="L1713" s="35" t="s">
        <v>916</v>
      </c>
      <c r="M1713" s="36" t="s">
        <v>916</v>
      </c>
      <c r="N1713" s="45">
        <v>46022</v>
      </c>
      <c r="O1713" s="36" t="s">
        <v>25</v>
      </c>
      <c r="P1713" s="38">
        <v>74.414375000000007</v>
      </c>
      <c r="Q1713" s="39" t="s">
        <v>6057</v>
      </c>
      <c r="R1713" s="35" t="s">
        <v>916</v>
      </c>
      <c r="S1713" s="35"/>
      <c r="T1713" s="35" t="s">
        <v>1701</v>
      </c>
      <c r="U1713" s="40">
        <v>45948</v>
      </c>
      <c r="V1713" s="41">
        <v>46153.53297453704</v>
      </c>
      <c r="W1713" s="40">
        <v>45947</v>
      </c>
      <c r="X1713" s="35" t="s">
        <v>916</v>
      </c>
      <c r="Y1713" s="35" t="s">
        <v>916</v>
      </c>
      <c r="Z1713" s="35" t="s">
        <v>916</v>
      </c>
      <c r="AA1713" s="38">
        <v>1785.9449999999999</v>
      </c>
      <c r="AB1713" s="42" t="s">
        <v>916</v>
      </c>
      <c r="AC1713" s="43" t="s">
        <v>916</v>
      </c>
      <c r="AD1713" s="43" t="s">
        <v>916</v>
      </c>
      <c r="AE1713" s="33" t="s">
        <v>3982</v>
      </c>
      <c r="AF1713" s="35" t="s">
        <v>916</v>
      </c>
      <c r="AG1713" s="44">
        <v>489086.05499999999</v>
      </c>
      <c r="AH1713" s="42" t="s">
        <v>916</v>
      </c>
      <c r="AI1713" s="32" t="e">
        <f>VLOOKUP(A1713,'4月明細'!B:B,1,0)</f>
        <v>#N/A</v>
      </c>
    </row>
    <row r="1714" spans="1:35" ht="19.95" customHeight="1" x14ac:dyDescent="0.3">
      <c r="A1714" s="33" t="s">
        <v>6058</v>
      </c>
      <c r="B1714" s="34">
        <v>45947.555439814816</v>
      </c>
      <c r="C1714" s="34" t="str">
        <f t="shared" si="39"/>
        <v>202510</v>
      </c>
      <c r="D1714" s="35" t="s">
        <v>996</v>
      </c>
      <c r="E1714" s="36" t="s">
        <v>910</v>
      </c>
      <c r="F1714" s="36" t="s">
        <v>1213</v>
      </c>
      <c r="G1714" s="37" t="s">
        <v>1979</v>
      </c>
      <c r="H1714" s="36" t="s">
        <v>970</v>
      </c>
      <c r="I1714" s="35" t="s">
        <v>6059</v>
      </c>
      <c r="J1714" s="36" t="s">
        <v>914</v>
      </c>
      <c r="K1714" s="33" t="s">
        <v>916</v>
      </c>
      <c r="L1714" s="35" t="s">
        <v>916</v>
      </c>
      <c r="M1714" s="36" t="s">
        <v>916</v>
      </c>
      <c r="N1714" s="45">
        <v>46022</v>
      </c>
      <c r="O1714" s="36" t="s">
        <v>25</v>
      </c>
      <c r="P1714" s="38">
        <v>74.444560185200004</v>
      </c>
      <c r="Q1714" s="39" t="s">
        <v>6060</v>
      </c>
      <c r="R1714" s="35" t="s">
        <v>916</v>
      </c>
      <c r="S1714" s="35"/>
      <c r="T1714" s="35" t="s">
        <v>1701</v>
      </c>
      <c r="U1714" s="40">
        <v>45948</v>
      </c>
      <c r="V1714" s="41">
        <v>46153.53297453704</v>
      </c>
      <c r="W1714" s="40">
        <v>45947</v>
      </c>
      <c r="X1714" s="35" t="s">
        <v>916</v>
      </c>
      <c r="Y1714" s="35" t="s">
        <v>916</v>
      </c>
      <c r="Z1714" s="35" t="s">
        <v>916</v>
      </c>
      <c r="AA1714" s="38">
        <v>1786.6694444448001</v>
      </c>
      <c r="AB1714" s="42" t="s">
        <v>916</v>
      </c>
      <c r="AC1714" s="43" t="s">
        <v>916</v>
      </c>
      <c r="AD1714" s="43" t="s">
        <v>916</v>
      </c>
      <c r="AE1714" s="33" t="s">
        <v>3982</v>
      </c>
      <c r="AF1714" s="35" t="s">
        <v>916</v>
      </c>
      <c r="AG1714" s="44">
        <v>489085.33055555559</v>
      </c>
      <c r="AH1714" s="42" t="s">
        <v>916</v>
      </c>
      <c r="AI1714" s="32" t="e">
        <f>VLOOKUP(A1714,'4月明細'!B:B,1,0)</f>
        <v>#N/A</v>
      </c>
    </row>
    <row r="1715" spans="1:35" ht="19.95" customHeight="1" x14ac:dyDescent="0.3">
      <c r="A1715" s="33" t="s">
        <v>6061</v>
      </c>
      <c r="B1715" s="34">
        <v>45947.556284722225</v>
      </c>
      <c r="C1715" s="34" t="str">
        <f t="shared" si="39"/>
        <v>202510</v>
      </c>
      <c r="D1715" s="35" t="s">
        <v>5467</v>
      </c>
      <c r="E1715" s="36" t="s">
        <v>910</v>
      </c>
      <c r="F1715" s="36" t="s">
        <v>1740</v>
      </c>
      <c r="G1715" s="37" t="s">
        <v>5142</v>
      </c>
      <c r="H1715" s="36" t="s">
        <v>4185</v>
      </c>
      <c r="I1715" s="35"/>
      <c r="J1715" s="36" t="s">
        <v>914</v>
      </c>
      <c r="K1715" s="33" t="s">
        <v>916</v>
      </c>
      <c r="L1715" s="35" t="s">
        <v>916</v>
      </c>
      <c r="M1715" s="36" t="s">
        <v>916</v>
      </c>
      <c r="N1715" s="45">
        <v>46022</v>
      </c>
      <c r="O1715" s="36" t="s">
        <v>25</v>
      </c>
      <c r="P1715" s="38">
        <v>74.443715277799996</v>
      </c>
      <c r="Q1715" s="39" t="s">
        <v>6062</v>
      </c>
      <c r="R1715" s="35" t="s">
        <v>916</v>
      </c>
      <c r="S1715" s="35"/>
      <c r="T1715" s="35" t="s">
        <v>1701</v>
      </c>
      <c r="U1715" s="40">
        <v>45948</v>
      </c>
      <c r="V1715" s="41">
        <v>46153.53297453704</v>
      </c>
      <c r="W1715" s="40">
        <v>45947</v>
      </c>
      <c r="X1715" s="35" t="s">
        <v>916</v>
      </c>
      <c r="Y1715" s="35" t="s">
        <v>916</v>
      </c>
      <c r="Z1715" s="35" t="s">
        <v>916</v>
      </c>
      <c r="AA1715" s="38">
        <v>1786.6491666672</v>
      </c>
      <c r="AB1715" s="42" t="s">
        <v>916</v>
      </c>
      <c r="AC1715" s="43" t="s">
        <v>916</v>
      </c>
      <c r="AD1715" s="43" t="s">
        <v>916</v>
      </c>
      <c r="AE1715" s="33" t="s">
        <v>3982</v>
      </c>
      <c r="AF1715" s="35" t="s">
        <v>916</v>
      </c>
      <c r="AG1715" s="44">
        <v>489085.35083333339</v>
      </c>
      <c r="AH1715" s="42" t="s">
        <v>916</v>
      </c>
      <c r="AI1715" s="32" t="e">
        <f>VLOOKUP(A1715,'4月明細'!B:B,1,0)</f>
        <v>#N/A</v>
      </c>
    </row>
    <row r="1716" spans="1:35" ht="19.95" customHeight="1" x14ac:dyDescent="0.3">
      <c r="A1716" s="33" t="s">
        <v>6063</v>
      </c>
      <c r="B1716" s="34">
        <v>45947.553900462961</v>
      </c>
      <c r="C1716" s="34" t="str">
        <f t="shared" si="39"/>
        <v>202510</v>
      </c>
      <c r="D1716" s="35" t="s">
        <v>5380</v>
      </c>
      <c r="E1716" s="36" t="s">
        <v>910</v>
      </c>
      <c r="F1716" s="36" t="s">
        <v>1740</v>
      </c>
      <c r="G1716" s="37" t="s">
        <v>5142</v>
      </c>
      <c r="H1716" s="36" t="s">
        <v>4185</v>
      </c>
      <c r="I1716" s="35" t="s">
        <v>6064</v>
      </c>
      <c r="J1716" s="36" t="s">
        <v>914</v>
      </c>
      <c r="K1716" s="33" t="s">
        <v>916</v>
      </c>
      <c r="L1716" s="35" t="s">
        <v>916</v>
      </c>
      <c r="M1716" s="36" t="s">
        <v>916</v>
      </c>
      <c r="N1716" s="45">
        <v>46022</v>
      </c>
      <c r="O1716" s="36" t="s">
        <v>25</v>
      </c>
      <c r="P1716" s="38">
        <v>74.446099536999995</v>
      </c>
      <c r="Q1716" s="39" t="s">
        <v>6062</v>
      </c>
      <c r="R1716" s="35" t="s">
        <v>916</v>
      </c>
      <c r="S1716" s="35"/>
      <c r="T1716" s="35" t="s">
        <v>1624</v>
      </c>
      <c r="U1716" s="40">
        <v>45948</v>
      </c>
      <c r="V1716" s="41">
        <v>46153.53297453704</v>
      </c>
      <c r="W1716" s="40">
        <v>45947</v>
      </c>
      <c r="X1716" s="35" t="s">
        <v>916</v>
      </c>
      <c r="Y1716" s="35" t="s">
        <v>916</v>
      </c>
      <c r="Z1716" s="35" t="s">
        <v>916</v>
      </c>
      <c r="AA1716" s="38">
        <v>1786.706388888</v>
      </c>
      <c r="AB1716" s="42" t="s">
        <v>916</v>
      </c>
      <c r="AC1716" s="43" t="s">
        <v>916</v>
      </c>
      <c r="AD1716" s="43" t="s">
        <v>916</v>
      </c>
      <c r="AE1716" s="33" t="s">
        <v>3982</v>
      </c>
      <c r="AF1716" s="35" t="s">
        <v>916</v>
      </c>
      <c r="AG1716" s="44">
        <v>489085.29361111112</v>
      </c>
      <c r="AH1716" s="42" t="s">
        <v>916</v>
      </c>
      <c r="AI1716" s="32" t="e">
        <f>VLOOKUP(A1716,'4月明細'!B:B,1,0)</f>
        <v>#N/A</v>
      </c>
    </row>
    <row r="1717" spans="1:35" ht="19.95" customHeight="1" x14ac:dyDescent="0.3">
      <c r="A1717" s="33" t="s">
        <v>6065</v>
      </c>
      <c r="B1717" s="34">
        <v>45947.523333333331</v>
      </c>
      <c r="C1717" s="34" t="str">
        <f t="shared" si="39"/>
        <v>202510</v>
      </c>
      <c r="D1717" s="35" t="s">
        <v>996</v>
      </c>
      <c r="E1717" s="36" t="s">
        <v>1112</v>
      </c>
      <c r="F1717" s="36" t="s">
        <v>1507</v>
      </c>
      <c r="G1717" s="37" t="s">
        <v>6066</v>
      </c>
      <c r="H1717" s="36" t="s">
        <v>913</v>
      </c>
      <c r="I1717" s="35"/>
      <c r="J1717" s="36" t="s">
        <v>914</v>
      </c>
      <c r="K1717" s="33" t="s">
        <v>916</v>
      </c>
      <c r="L1717" s="35" t="s">
        <v>916</v>
      </c>
      <c r="M1717" s="36" t="s">
        <v>916</v>
      </c>
      <c r="N1717" s="45">
        <v>46022</v>
      </c>
      <c r="O1717" s="36" t="s">
        <v>25</v>
      </c>
      <c r="P1717" s="38">
        <v>74.476666666699998</v>
      </c>
      <c r="Q1717" s="39" t="s">
        <v>6067</v>
      </c>
      <c r="R1717" s="35" t="s">
        <v>916</v>
      </c>
      <c r="S1717" s="35" t="s">
        <v>6068</v>
      </c>
      <c r="T1717" s="35" t="s">
        <v>1701</v>
      </c>
      <c r="U1717" s="40">
        <v>45948</v>
      </c>
      <c r="V1717" s="41">
        <v>46153.53297453704</v>
      </c>
      <c r="W1717" s="40">
        <v>45947</v>
      </c>
      <c r="X1717" s="35" t="s">
        <v>916</v>
      </c>
      <c r="Y1717" s="35" t="s">
        <v>916</v>
      </c>
      <c r="Z1717" s="35" t="s">
        <v>916</v>
      </c>
      <c r="AA1717" s="38">
        <v>1787.4400000008</v>
      </c>
      <c r="AB1717" s="42" t="s">
        <v>916</v>
      </c>
      <c r="AC1717" s="43" t="s">
        <v>916</v>
      </c>
      <c r="AD1717" s="43" t="s">
        <v>916</v>
      </c>
      <c r="AE1717" s="33" t="s">
        <v>3982</v>
      </c>
      <c r="AF1717" s="35" t="s">
        <v>916</v>
      </c>
      <c r="AG1717" s="44">
        <v>489084.56000000011</v>
      </c>
      <c r="AH1717" s="42" t="s">
        <v>916</v>
      </c>
      <c r="AI1717" s="32" t="e">
        <f>VLOOKUP(A1717,'4月明細'!B:B,1,0)</f>
        <v>#N/A</v>
      </c>
    </row>
    <row r="1718" spans="1:35" ht="19.95" customHeight="1" x14ac:dyDescent="0.3">
      <c r="A1718" s="33" t="s">
        <v>6069</v>
      </c>
      <c r="B1718" s="34">
        <v>45947.51935185185</v>
      </c>
      <c r="C1718" s="34" t="str">
        <f t="shared" si="39"/>
        <v>202510</v>
      </c>
      <c r="D1718" s="35" t="s">
        <v>5413</v>
      </c>
      <c r="E1718" s="36" t="s">
        <v>910</v>
      </c>
      <c r="F1718" s="36" t="s">
        <v>2080</v>
      </c>
      <c r="G1718" s="37" t="s">
        <v>6070</v>
      </c>
      <c r="H1718" s="36" t="s">
        <v>4017</v>
      </c>
      <c r="I1718" s="35" t="s">
        <v>6071</v>
      </c>
      <c r="J1718" s="36" t="s">
        <v>914</v>
      </c>
      <c r="K1718" s="33" t="s">
        <v>916</v>
      </c>
      <c r="L1718" s="35" t="s">
        <v>916</v>
      </c>
      <c r="M1718" s="36" t="s">
        <v>916</v>
      </c>
      <c r="N1718" s="45">
        <v>46022</v>
      </c>
      <c r="O1718" s="36" t="s">
        <v>25</v>
      </c>
      <c r="P1718" s="38">
        <v>74.480648148100002</v>
      </c>
      <c r="Q1718" s="39" t="s">
        <v>6072</v>
      </c>
      <c r="R1718" s="35" t="s">
        <v>916</v>
      </c>
      <c r="S1718" s="35"/>
      <c r="T1718" s="35" t="s">
        <v>1701</v>
      </c>
      <c r="U1718" s="40">
        <v>45948</v>
      </c>
      <c r="V1718" s="41">
        <v>46153.53297453704</v>
      </c>
      <c r="W1718" s="40">
        <v>45947</v>
      </c>
      <c r="X1718" s="35" t="s">
        <v>916</v>
      </c>
      <c r="Y1718" s="35" t="s">
        <v>916</v>
      </c>
      <c r="Z1718" s="35" t="s">
        <v>916</v>
      </c>
      <c r="AA1718" s="38">
        <v>1787.5355555543999</v>
      </c>
      <c r="AB1718" s="42" t="s">
        <v>916</v>
      </c>
      <c r="AC1718" s="43" t="s">
        <v>916</v>
      </c>
      <c r="AD1718" s="43" t="s">
        <v>916</v>
      </c>
      <c r="AE1718" s="33" t="s">
        <v>3982</v>
      </c>
      <c r="AF1718" s="35" t="s">
        <v>916</v>
      </c>
      <c r="AG1718" s="44">
        <v>489084.46444444451</v>
      </c>
      <c r="AH1718" s="42" t="s">
        <v>916</v>
      </c>
      <c r="AI1718" s="32" t="e">
        <f>VLOOKUP(A1718,'4月明細'!B:B,1,0)</f>
        <v>#N/A</v>
      </c>
    </row>
    <row r="1719" spans="1:35" ht="19.95" customHeight="1" x14ac:dyDescent="0.3">
      <c r="A1719" s="33" t="s">
        <v>6073</v>
      </c>
      <c r="B1719" s="34">
        <v>45947.516793981478</v>
      </c>
      <c r="C1719" s="34" t="str">
        <f t="shared" si="39"/>
        <v>202510</v>
      </c>
      <c r="D1719" s="35" t="s">
        <v>951</v>
      </c>
      <c r="E1719" s="36" t="s">
        <v>910</v>
      </c>
      <c r="F1719" s="36" t="s">
        <v>2080</v>
      </c>
      <c r="G1719" s="37" t="s">
        <v>6074</v>
      </c>
      <c r="H1719" s="36" t="s">
        <v>4017</v>
      </c>
      <c r="I1719" s="35" t="s">
        <v>6075</v>
      </c>
      <c r="J1719" s="36" t="s">
        <v>914</v>
      </c>
      <c r="K1719" s="33" t="s">
        <v>916</v>
      </c>
      <c r="L1719" s="35" t="s">
        <v>916</v>
      </c>
      <c r="M1719" s="36" t="s">
        <v>916</v>
      </c>
      <c r="N1719" s="45">
        <v>46022</v>
      </c>
      <c r="O1719" s="36" t="s">
        <v>25</v>
      </c>
      <c r="P1719" s="38">
        <v>74.483206018499999</v>
      </c>
      <c r="Q1719" s="39" t="s">
        <v>6072</v>
      </c>
      <c r="R1719" s="35" t="s">
        <v>916</v>
      </c>
      <c r="S1719" s="35"/>
      <c r="T1719" s="35" t="s">
        <v>1624</v>
      </c>
      <c r="U1719" s="40">
        <v>45948</v>
      </c>
      <c r="V1719" s="41">
        <v>46153.53297453704</v>
      </c>
      <c r="W1719" s="40">
        <v>45947</v>
      </c>
      <c r="X1719" s="35" t="s">
        <v>916</v>
      </c>
      <c r="Y1719" s="35" t="s">
        <v>916</v>
      </c>
      <c r="Z1719" s="35" t="s">
        <v>916</v>
      </c>
      <c r="AA1719" s="38">
        <v>1787.596944444</v>
      </c>
      <c r="AB1719" s="42" t="s">
        <v>916</v>
      </c>
      <c r="AC1719" s="43" t="s">
        <v>916</v>
      </c>
      <c r="AD1719" s="43" t="s">
        <v>916</v>
      </c>
      <c r="AE1719" s="33" t="s">
        <v>3982</v>
      </c>
      <c r="AF1719" s="35" t="s">
        <v>916</v>
      </c>
      <c r="AG1719" s="44">
        <v>489084.40305555548</v>
      </c>
      <c r="AH1719" s="42" t="s">
        <v>916</v>
      </c>
      <c r="AI1719" s="32" t="e">
        <f>VLOOKUP(A1719,'4月明細'!B:B,1,0)</f>
        <v>#N/A</v>
      </c>
    </row>
    <row r="1720" spans="1:35" ht="19.95" customHeight="1" x14ac:dyDescent="0.3">
      <c r="A1720" s="33" t="s">
        <v>6076</v>
      </c>
      <c r="B1720" s="34">
        <v>45947.47152777778</v>
      </c>
      <c r="C1720" s="34" t="str">
        <f t="shared" si="39"/>
        <v>202510</v>
      </c>
      <c r="D1720" s="35" t="s">
        <v>996</v>
      </c>
      <c r="E1720" s="36" t="s">
        <v>910</v>
      </c>
      <c r="F1720" s="36" t="s">
        <v>1089</v>
      </c>
      <c r="G1720" s="37" t="s">
        <v>1979</v>
      </c>
      <c r="H1720" s="36" t="s">
        <v>970</v>
      </c>
      <c r="I1720" s="35" t="s">
        <v>6077</v>
      </c>
      <c r="J1720" s="36" t="s">
        <v>914</v>
      </c>
      <c r="K1720" s="33" t="s">
        <v>916</v>
      </c>
      <c r="L1720" s="35" t="s">
        <v>916</v>
      </c>
      <c r="M1720" s="36" t="s">
        <v>916</v>
      </c>
      <c r="N1720" s="45">
        <v>46022</v>
      </c>
      <c r="O1720" s="36" t="s">
        <v>25</v>
      </c>
      <c r="P1720" s="38">
        <v>74.528472222199994</v>
      </c>
      <c r="Q1720" s="39" t="s">
        <v>6078</v>
      </c>
      <c r="R1720" s="35" t="s">
        <v>916</v>
      </c>
      <c r="S1720" s="35"/>
      <c r="T1720" s="35" t="s">
        <v>1701</v>
      </c>
      <c r="U1720" s="40">
        <v>45948</v>
      </c>
      <c r="V1720" s="41">
        <v>46153.53297453704</v>
      </c>
      <c r="W1720" s="40">
        <v>45947</v>
      </c>
      <c r="X1720" s="35" t="s">
        <v>916</v>
      </c>
      <c r="Y1720" s="35" t="s">
        <v>916</v>
      </c>
      <c r="Z1720" s="35" t="s">
        <v>916</v>
      </c>
      <c r="AA1720" s="38">
        <v>1788.6833333328</v>
      </c>
      <c r="AB1720" s="42" t="s">
        <v>916</v>
      </c>
      <c r="AC1720" s="43" t="s">
        <v>916</v>
      </c>
      <c r="AD1720" s="43" t="s">
        <v>916</v>
      </c>
      <c r="AE1720" s="33" t="s">
        <v>3982</v>
      </c>
      <c r="AF1720" s="35" t="s">
        <v>916</v>
      </c>
      <c r="AG1720" s="44">
        <v>489083.31666666671</v>
      </c>
      <c r="AH1720" s="42" t="s">
        <v>916</v>
      </c>
      <c r="AI1720" s="32" t="e">
        <f>VLOOKUP(A1720,'4月明細'!B:B,1,0)</f>
        <v>#N/A</v>
      </c>
    </row>
    <row r="1721" spans="1:35" ht="19.95" customHeight="1" x14ac:dyDescent="0.3">
      <c r="A1721" s="33" t="s">
        <v>6079</v>
      </c>
      <c r="B1721" s="34">
        <v>45947.468668981484</v>
      </c>
      <c r="C1721" s="34" t="str">
        <f t="shared" si="39"/>
        <v>202510</v>
      </c>
      <c r="D1721" s="35" t="s">
        <v>5380</v>
      </c>
      <c r="E1721" s="36" t="s">
        <v>910</v>
      </c>
      <c r="F1721" s="36" t="s">
        <v>947</v>
      </c>
      <c r="G1721" s="37" t="s">
        <v>6080</v>
      </c>
      <c r="H1721" s="36" t="s">
        <v>4185</v>
      </c>
      <c r="I1721" s="35"/>
      <c r="J1721" s="36" t="s">
        <v>914</v>
      </c>
      <c r="K1721" s="33" t="s">
        <v>916</v>
      </c>
      <c r="L1721" s="35" t="s">
        <v>916</v>
      </c>
      <c r="M1721" s="36" t="s">
        <v>916</v>
      </c>
      <c r="N1721" s="45">
        <v>46022</v>
      </c>
      <c r="O1721" s="36" t="s">
        <v>25</v>
      </c>
      <c r="P1721" s="38">
        <v>74.531331018499998</v>
      </c>
      <c r="Q1721" s="39" t="s">
        <v>6081</v>
      </c>
      <c r="R1721" s="35" t="s">
        <v>916</v>
      </c>
      <c r="S1721" s="35"/>
      <c r="T1721" s="35" t="s">
        <v>1701</v>
      </c>
      <c r="U1721" s="40">
        <v>45948</v>
      </c>
      <c r="V1721" s="41">
        <v>46153.53297453704</v>
      </c>
      <c r="W1721" s="40">
        <v>45947</v>
      </c>
      <c r="X1721" s="35" t="s">
        <v>916</v>
      </c>
      <c r="Y1721" s="35" t="s">
        <v>916</v>
      </c>
      <c r="Z1721" s="35" t="s">
        <v>916</v>
      </c>
      <c r="AA1721" s="38">
        <v>1788.7519444439999</v>
      </c>
      <c r="AB1721" s="42" t="s">
        <v>916</v>
      </c>
      <c r="AC1721" s="43" t="s">
        <v>916</v>
      </c>
      <c r="AD1721" s="43" t="s">
        <v>916</v>
      </c>
      <c r="AE1721" s="33" t="s">
        <v>3982</v>
      </c>
      <c r="AF1721" s="35" t="s">
        <v>916</v>
      </c>
      <c r="AG1721" s="44">
        <v>489083.24805555551</v>
      </c>
      <c r="AH1721" s="42" t="s">
        <v>916</v>
      </c>
      <c r="AI1721" s="32" t="e">
        <f>VLOOKUP(A1721,'4月明細'!B:B,1,0)</f>
        <v>#N/A</v>
      </c>
    </row>
    <row r="1722" spans="1:35" ht="19.95" customHeight="1" x14ac:dyDescent="0.3">
      <c r="A1722" s="33" t="s">
        <v>6082</v>
      </c>
      <c r="B1722" s="34">
        <v>45947.463275462964</v>
      </c>
      <c r="C1722" s="34" t="str">
        <f t="shared" si="39"/>
        <v>202510</v>
      </c>
      <c r="D1722" s="35" t="s">
        <v>5413</v>
      </c>
      <c r="E1722" s="36" t="s">
        <v>910</v>
      </c>
      <c r="F1722" s="36" t="s">
        <v>947</v>
      </c>
      <c r="G1722" s="37" t="s">
        <v>927</v>
      </c>
      <c r="H1722" s="36" t="s">
        <v>5106</v>
      </c>
      <c r="I1722" s="35"/>
      <c r="J1722" s="36" t="s">
        <v>914</v>
      </c>
      <c r="K1722" s="33" t="s">
        <v>916</v>
      </c>
      <c r="L1722" s="35" t="s">
        <v>916</v>
      </c>
      <c r="M1722" s="36" t="s">
        <v>916</v>
      </c>
      <c r="N1722" s="45">
        <v>46022</v>
      </c>
      <c r="O1722" s="36" t="s">
        <v>25</v>
      </c>
      <c r="P1722" s="38">
        <v>74.536724536999998</v>
      </c>
      <c r="Q1722" s="36" t="s">
        <v>916</v>
      </c>
      <c r="R1722" s="35" t="s">
        <v>916</v>
      </c>
      <c r="S1722" s="35"/>
      <c r="T1722" s="35" t="s">
        <v>1624</v>
      </c>
      <c r="U1722" s="40">
        <v>45948</v>
      </c>
      <c r="V1722" s="41">
        <v>46153.53297453704</v>
      </c>
      <c r="W1722" s="40">
        <v>45947</v>
      </c>
      <c r="X1722" s="35" t="s">
        <v>916</v>
      </c>
      <c r="Y1722" s="35" t="s">
        <v>916</v>
      </c>
      <c r="Z1722" s="35" t="s">
        <v>916</v>
      </c>
      <c r="AA1722" s="38">
        <v>1788.8813888879999</v>
      </c>
      <c r="AB1722" s="42" t="s">
        <v>916</v>
      </c>
      <c r="AC1722" s="43" t="s">
        <v>916</v>
      </c>
      <c r="AD1722" s="43" t="s">
        <v>916</v>
      </c>
      <c r="AE1722" s="33" t="s">
        <v>3982</v>
      </c>
      <c r="AF1722" s="35" t="s">
        <v>916</v>
      </c>
      <c r="AG1722" s="44">
        <v>489083.11861111107</v>
      </c>
      <c r="AH1722" s="42" t="s">
        <v>916</v>
      </c>
      <c r="AI1722" s="32" t="e">
        <f>VLOOKUP(A1722,'4月明細'!B:B,1,0)</f>
        <v>#N/A</v>
      </c>
    </row>
    <row r="1723" spans="1:35" ht="19.95" customHeight="1" x14ac:dyDescent="0.3">
      <c r="A1723" s="33" t="s">
        <v>6083</v>
      </c>
      <c r="B1723" s="34">
        <v>45947.460949074077</v>
      </c>
      <c r="C1723" s="34" t="str">
        <f t="shared" si="39"/>
        <v>202510</v>
      </c>
      <c r="D1723" s="35" t="s">
        <v>5380</v>
      </c>
      <c r="E1723" s="36" t="s">
        <v>910</v>
      </c>
      <c r="F1723" s="36" t="s">
        <v>947</v>
      </c>
      <c r="G1723" s="37" t="s">
        <v>927</v>
      </c>
      <c r="H1723" s="36" t="s">
        <v>3979</v>
      </c>
      <c r="I1723" s="35" t="s">
        <v>6084</v>
      </c>
      <c r="J1723" s="36" t="s">
        <v>914</v>
      </c>
      <c r="K1723" s="33" t="s">
        <v>916</v>
      </c>
      <c r="L1723" s="35" t="s">
        <v>916</v>
      </c>
      <c r="M1723" s="36" t="s">
        <v>916</v>
      </c>
      <c r="N1723" s="45">
        <v>46022</v>
      </c>
      <c r="O1723" s="36" t="s">
        <v>25</v>
      </c>
      <c r="P1723" s="38">
        <v>74.5390509259</v>
      </c>
      <c r="Q1723" s="39" t="s">
        <v>1366</v>
      </c>
      <c r="R1723" s="35" t="s">
        <v>916</v>
      </c>
      <c r="S1723" s="35"/>
      <c r="T1723" s="35" t="s">
        <v>1701</v>
      </c>
      <c r="U1723" s="40">
        <v>45948</v>
      </c>
      <c r="V1723" s="41">
        <v>46153.53297453704</v>
      </c>
      <c r="W1723" s="40">
        <v>45947</v>
      </c>
      <c r="X1723" s="35" t="s">
        <v>916</v>
      </c>
      <c r="Y1723" s="35" t="s">
        <v>916</v>
      </c>
      <c r="Z1723" s="35" t="s">
        <v>916</v>
      </c>
      <c r="AA1723" s="38">
        <v>1788.9372222216</v>
      </c>
      <c r="AB1723" s="42" t="s">
        <v>916</v>
      </c>
      <c r="AC1723" s="43" t="s">
        <v>916</v>
      </c>
      <c r="AD1723" s="43" t="s">
        <v>916</v>
      </c>
      <c r="AE1723" s="33" t="s">
        <v>3982</v>
      </c>
      <c r="AF1723" s="35" t="s">
        <v>916</v>
      </c>
      <c r="AG1723" s="44">
        <v>489083.06277777778</v>
      </c>
      <c r="AH1723" s="42" t="s">
        <v>916</v>
      </c>
      <c r="AI1723" s="32" t="e">
        <f>VLOOKUP(A1723,'4月明細'!B:B,1,0)</f>
        <v>#N/A</v>
      </c>
    </row>
    <row r="1724" spans="1:35" ht="19.95" customHeight="1" x14ac:dyDescent="0.3">
      <c r="A1724" s="33" t="s">
        <v>6085</v>
      </c>
      <c r="B1724" s="34">
        <v>45946.707650462966</v>
      </c>
      <c r="C1724" s="34" t="str">
        <f t="shared" si="39"/>
        <v>202510</v>
      </c>
      <c r="D1724" s="35" t="s">
        <v>4424</v>
      </c>
      <c r="E1724" s="36" t="s">
        <v>910</v>
      </c>
      <c r="F1724" s="36" t="s">
        <v>1282</v>
      </c>
      <c r="G1724" s="37" t="s">
        <v>6086</v>
      </c>
      <c r="H1724" s="36" t="s">
        <v>4029</v>
      </c>
      <c r="I1724" s="35"/>
      <c r="J1724" s="36" t="s">
        <v>929</v>
      </c>
      <c r="K1724" s="33" t="s">
        <v>916</v>
      </c>
      <c r="L1724" s="35" t="s">
        <v>916</v>
      </c>
      <c r="M1724" s="36" t="s">
        <v>923</v>
      </c>
      <c r="N1724" s="45">
        <v>46022</v>
      </c>
      <c r="O1724" s="36" t="s">
        <v>25</v>
      </c>
      <c r="P1724" s="38">
        <v>75.292349537000007</v>
      </c>
      <c r="Q1724" s="39" t="s">
        <v>6087</v>
      </c>
      <c r="R1724" s="35" t="s">
        <v>916</v>
      </c>
      <c r="S1724" s="35"/>
      <c r="T1724" s="35" t="s">
        <v>1701</v>
      </c>
      <c r="U1724" s="40">
        <v>45947</v>
      </c>
      <c r="V1724" s="41">
        <v>46153.53297453704</v>
      </c>
      <c r="W1724" s="40">
        <v>45946</v>
      </c>
      <c r="X1724" s="35" t="s">
        <v>916</v>
      </c>
      <c r="Y1724" s="35" t="s">
        <v>916</v>
      </c>
      <c r="Z1724" s="35" t="s">
        <v>916</v>
      </c>
      <c r="AA1724" s="38">
        <v>1807.0163888879999</v>
      </c>
      <c r="AB1724" s="42" t="s">
        <v>916</v>
      </c>
      <c r="AC1724" s="43" t="s">
        <v>916</v>
      </c>
      <c r="AD1724" s="43" t="s">
        <v>916</v>
      </c>
      <c r="AE1724" s="33" t="s">
        <v>3982</v>
      </c>
      <c r="AF1724" s="35" t="s">
        <v>916</v>
      </c>
      <c r="AG1724" s="44">
        <v>489064.98361111112</v>
      </c>
      <c r="AH1724" s="42" t="s">
        <v>916</v>
      </c>
      <c r="AI1724" s="32" t="e">
        <f>VLOOKUP(A1724,'4月明細'!B:B,1,0)</f>
        <v>#N/A</v>
      </c>
    </row>
    <row r="1725" spans="1:35" ht="19.95" customHeight="1" x14ac:dyDescent="0.3">
      <c r="A1725" s="33" t="s">
        <v>6088</v>
      </c>
      <c r="B1725" s="34">
        <v>45946.684432870374</v>
      </c>
      <c r="C1725" s="34" t="str">
        <f t="shared" si="39"/>
        <v>202510</v>
      </c>
      <c r="D1725" s="35" t="s">
        <v>5380</v>
      </c>
      <c r="E1725" s="36" t="s">
        <v>910</v>
      </c>
      <c r="F1725" s="36" t="s">
        <v>1004</v>
      </c>
      <c r="G1725" s="37" t="s">
        <v>5945</v>
      </c>
      <c r="H1725" s="36" t="s">
        <v>4401</v>
      </c>
      <c r="I1725" s="35" t="s">
        <v>6089</v>
      </c>
      <c r="J1725" s="36" t="s">
        <v>929</v>
      </c>
      <c r="K1725" s="33" t="s">
        <v>916</v>
      </c>
      <c r="L1725" s="35" t="s">
        <v>916</v>
      </c>
      <c r="M1725" s="36" t="s">
        <v>916</v>
      </c>
      <c r="N1725" s="45">
        <v>46022</v>
      </c>
      <c r="O1725" s="36" t="s">
        <v>25</v>
      </c>
      <c r="P1725" s="38">
        <v>75.315567129599998</v>
      </c>
      <c r="Q1725" s="39" t="s">
        <v>6090</v>
      </c>
      <c r="R1725" s="35" t="s">
        <v>916</v>
      </c>
      <c r="S1725" s="35" t="s">
        <v>6091</v>
      </c>
      <c r="T1725" s="35" t="s">
        <v>1701</v>
      </c>
      <c r="U1725" s="40">
        <v>45947</v>
      </c>
      <c r="V1725" s="41">
        <v>46153.53297453704</v>
      </c>
      <c r="W1725" s="40">
        <v>45946</v>
      </c>
      <c r="X1725" s="35" t="s">
        <v>916</v>
      </c>
      <c r="Y1725" s="35" t="s">
        <v>916</v>
      </c>
      <c r="Z1725" s="35" t="s">
        <v>916</v>
      </c>
      <c r="AA1725" s="38">
        <v>1807.5736111104</v>
      </c>
      <c r="AB1725" s="42" t="s">
        <v>916</v>
      </c>
      <c r="AC1725" s="43" t="s">
        <v>916</v>
      </c>
      <c r="AD1725" s="43" t="s">
        <v>916</v>
      </c>
      <c r="AE1725" s="33" t="s">
        <v>3982</v>
      </c>
      <c r="AF1725" s="35" t="s">
        <v>916</v>
      </c>
      <c r="AG1725" s="44">
        <v>489064.42638888891</v>
      </c>
      <c r="AH1725" s="42" t="s">
        <v>916</v>
      </c>
      <c r="AI1725" s="32" t="e">
        <f>VLOOKUP(A1725,'4月明細'!B:B,1,0)</f>
        <v>#N/A</v>
      </c>
    </row>
    <row r="1726" spans="1:35" ht="19.95" customHeight="1" x14ac:dyDescent="0.3">
      <c r="A1726" s="33" t="s">
        <v>6092</v>
      </c>
      <c r="B1726" s="34">
        <v>45946.649618055555</v>
      </c>
      <c r="C1726" s="34" t="str">
        <f t="shared" si="39"/>
        <v>202510</v>
      </c>
      <c r="D1726" s="35" t="s">
        <v>5380</v>
      </c>
      <c r="E1726" s="36" t="s">
        <v>910</v>
      </c>
      <c r="F1726" s="36" t="s">
        <v>1050</v>
      </c>
      <c r="G1726" s="37" t="s">
        <v>6093</v>
      </c>
      <c r="H1726" s="36" t="s">
        <v>5940</v>
      </c>
      <c r="I1726" s="35" t="s">
        <v>6094</v>
      </c>
      <c r="J1726" s="36" t="s">
        <v>929</v>
      </c>
      <c r="K1726" s="33" t="s">
        <v>916</v>
      </c>
      <c r="L1726" s="35" t="s">
        <v>916</v>
      </c>
      <c r="M1726" s="36" t="s">
        <v>916</v>
      </c>
      <c r="N1726" s="45">
        <v>46022</v>
      </c>
      <c r="O1726" s="36" t="s">
        <v>25</v>
      </c>
      <c r="P1726" s="38">
        <v>75.350381944399999</v>
      </c>
      <c r="Q1726" s="39" t="s">
        <v>6095</v>
      </c>
      <c r="R1726" s="35" t="s">
        <v>916</v>
      </c>
      <c r="S1726" s="35"/>
      <c r="T1726" s="35" t="s">
        <v>1701</v>
      </c>
      <c r="U1726" s="40">
        <v>45947</v>
      </c>
      <c r="V1726" s="41">
        <v>46153.53297453704</v>
      </c>
      <c r="W1726" s="40">
        <v>45946</v>
      </c>
      <c r="X1726" s="35" t="s">
        <v>916</v>
      </c>
      <c r="Y1726" s="35" t="s">
        <v>916</v>
      </c>
      <c r="Z1726" s="35" t="s">
        <v>916</v>
      </c>
      <c r="AA1726" s="38">
        <v>1808.4091666656</v>
      </c>
      <c r="AB1726" s="42" t="s">
        <v>916</v>
      </c>
      <c r="AC1726" s="43" t="s">
        <v>916</v>
      </c>
      <c r="AD1726" s="43" t="s">
        <v>916</v>
      </c>
      <c r="AE1726" s="33" t="s">
        <v>3982</v>
      </c>
      <c r="AF1726" s="35" t="s">
        <v>916</v>
      </c>
      <c r="AG1726" s="44">
        <v>489063.59083333332</v>
      </c>
      <c r="AH1726" s="42" t="s">
        <v>916</v>
      </c>
      <c r="AI1726" s="32" t="e">
        <f>VLOOKUP(A1726,'4月明細'!B:B,1,0)</f>
        <v>#N/A</v>
      </c>
    </row>
    <row r="1727" spans="1:35" ht="19.95" customHeight="1" x14ac:dyDescent="0.3">
      <c r="A1727" s="33" t="s">
        <v>6096</v>
      </c>
      <c r="B1727" s="34">
        <v>45946.644282407404</v>
      </c>
      <c r="C1727" s="34" t="str">
        <f t="shared" si="39"/>
        <v>202510</v>
      </c>
      <c r="D1727" s="35" t="s">
        <v>5380</v>
      </c>
      <c r="E1727" s="36" t="s">
        <v>910</v>
      </c>
      <c r="F1727" s="36" t="s">
        <v>1050</v>
      </c>
      <c r="G1727" s="37" t="s">
        <v>6097</v>
      </c>
      <c r="H1727" s="36" t="s">
        <v>4065</v>
      </c>
      <c r="I1727" s="35" t="s">
        <v>6098</v>
      </c>
      <c r="J1727" s="36" t="s">
        <v>929</v>
      </c>
      <c r="K1727" s="33" t="s">
        <v>916</v>
      </c>
      <c r="L1727" s="35" t="s">
        <v>916</v>
      </c>
      <c r="M1727" s="36" t="s">
        <v>916</v>
      </c>
      <c r="N1727" s="45">
        <v>46022</v>
      </c>
      <c r="O1727" s="36" t="s">
        <v>25</v>
      </c>
      <c r="P1727" s="38">
        <v>75.355717592600001</v>
      </c>
      <c r="Q1727" s="39" t="s">
        <v>6099</v>
      </c>
      <c r="R1727" s="35" t="s">
        <v>916</v>
      </c>
      <c r="S1727" s="35"/>
      <c r="T1727" s="35" t="s">
        <v>1701</v>
      </c>
      <c r="U1727" s="40">
        <v>45947</v>
      </c>
      <c r="V1727" s="41">
        <v>46153.53297453704</v>
      </c>
      <c r="W1727" s="40">
        <v>45946</v>
      </c>
      <c r="X1727" s="35" t="s">
        <v>916</v>
      </c>
      <c r="Y1727" s="35" t="s">
        <v>916</v>
      </c>
      <c r="Z1727" s="35" t="s">
        <v>916</v>
      </c>
      <c r="AA1727" s="38">
        <v>1808.5372222224</v>
      </c>
      <c r="AB1727" s="42" t="s">
        <v>916</v>
      </c>
      <c r="AC1727" s="43" t="s">
        <v>916</v>
      </c>
      <c r="AD1727" s="43" t="s">
        <v>916</v>
      </c>
      <c r="AE1727" s="33" t="s">
        <v>3982</v>
      </c>
      <c r="AF1727" s="35" t="s">
        <v>916</v>
      </c>
      <c r="AG1727" s="44">
        <v>489063.46277777781</v>
      </c>
      <c r="AH1727" s="42" t="s">
        <v>916</v>
      </c>
      <c r="AI1727" s="32" t="e">
        <f>VLOOKUP(A1727,'4月明細'!B:B,1,0)</f>
        <v>#N/A</v>
      </c>
    </row>
    <row r="1728" spans="1:35" ht="19.95" customHeight="1" x14ac:dyDescent="0.3">
      <c r="A1728" s="33" t="s">
        <v>6100</v>
      </c>
      <c r="B1728" s="34">
        <v>45946.60974537037</v>
      </c>
      <c r="C1728" s="34" t="str">
        <f t="shared" si="39"/>
        <v>202510</v>
      </c>
      <c r="D1728" s="35" t="s">
        <v>5380</v>
      </c>
      <c r="E1728" s="36" t="s">
        <v>910</v>
      </c>
      <c r="F1728" s="36" t="s">
        <v>1004</v>
      </c>
      <c r="G1728" s="37" t="s">
        <v>6101</v>
      </c>
      <c r="H1728" s="36" t="s">
        <v>4185</v>
      </c>
      <c r="I1728" s="35" t="s">
        <v>6102</v>
      </c>
      <c r="J1728" s="36" t="s">
        <v>929</v>
      </c>
      <c r="K1728" s="33" t="s">
        <v>916</v>
      </c>
      <c r="L1728" s="35" t="s">
        <v>916</v>
      </c>
      <c r="M1728" s="36" t="s">
        <v>916</v>
      </c>
      <c r="N1728" s="45">
        <v>46022</v>
      </c>
      <c r="O1728" s="36" t="s">
        <v>25</v>
      </c>
      <c r="P1728" s="38">
        <v>75.390254629599994</v>
      </c>
      <c r="Q1728" s="39" t="s">
        <v>6103</v>
      </c>
      <c r="R1728" s="35" t="s">
        <v>916</v>
      </c>
      <c r="S1728" s="35"/>
      <c r="T1728" s="35" t="s">
        <v>1701</v>
      </c>
      <c r="U1728" s="40">
        <v>45947</v>
      </c>
      <c r="V1728" s="41">
        <v>46153.53297453704</v>
      </c>
      <c r="W1728" s="40">
        <v>45946</v>
      </c>
      <c r="X1728" s="35" t="s">
        <v>916</v>
      </c>
      <c r="Y1728" s="35" t="s">
        <v>916</v>
      </c>
      <c r="Z1728" s="35" t="s">
        <v>916</v>
      </c>
      <c r="AA1728" s="38">
        <v>1809.3661111104</v>
      </c>
      <c r="AB1728" s="42" t="s">
        <v>916</v>
      </c>
      <c r="AC1728" s="43" t="s">
        <v>916</v>
      </c>
      <c r="AD1728" s="43" t="s">
        <v>916</v>
      </c>
      <c r="AE1728" s="33" t="s">
        <v>3982</v>
      </c>
      <c r="AF1728" s="35" t="s">
        <v>916</v>
      </c>
      <c r="AG1728" s="44">
        <v>489062.63388888887</v>
      </c>
      <c r="AH1728" s="42" t="s">
        <v>916</v>
      </c>
      <c r="AI1728" s="32" t="e">
        <f>VLOOKUP(A1728,'4月明細'!B:B,1,0)</f>
        <v>#N/A</v>
      </c>
    </row>
    <row r="1729" spans="1:35" ht="19.95" customHeight="1" x14ac:dyDescent="0.3">
      <c r="A1729" s="33" t="s">
        <v>6104</v>
      </c>
      <c r="B1729" s="34">
        <v>45946.570960648147</v>
      </c>
      <c r="C1729" s="34" t="str">
        <f t="shared" si="39"/>
        <v>202510</v>
      </c>
      <c r="D1729" s="35" t="s">
        <v>5380</v>
      </c>
      <c r="E1729" s="36" t="s">
        <v>910</v>
      </c>
      <c r="F1729" s="36" t="s">
        <v>1552</v>
      </c>
      <c r="G1729" s="37" t="s">
        <v>6105</v>
      </c>
      <c r="H1729" s="36" t="s">
        <v>4804</v>
      </c>
      <c r="I1729" s="35" t="s">
        <v>6106</v>
      </c>
      <c r="J1729" s="36" t="s">
        <v>914</v>
      </c>
      <c r="K1729" s="33" t="s">
        <v>916</v>
      </c>
      <c r="L1729" s="35" t="s">
        <v>916</v>
      </c>
      <c r="M1729" s="36" t="s">
        <v>916</v>
      </c>
      <c r="N1729" s="45">
        <v>46022</v>
      </c>
      <c r="O1729" s="36" t="s">
        <v>25</v>
      </c>
      <c r="P1729" s="38">
        <v>75.4290393518</v>
      </c>
      <c r="Q1729" s="39" t="s">
        <v>6107</v>
      </c>
      <c r="R1729" s="35" t="s">
        <v>916</v>
      </c>
      <c r="S1729" s="35" t="s">
        <v>6108</v>
      </c>
      <c r="T1729" s="35" t="s">
        <v>1701</v>
      </c>
      <c r="U1729" s="40">
        <v>45947</v>
      </c>
      <c r="V1729" s="41">
        <v>46153.53297453704</v>
      </c>
      <c r="W1729" s="40">
        <v>45946</v>
      </c>
      <c r="X1729" s="35" t="s">
        <v>916</v>
      </c>
      <c r="Y1729" s="35" t="s">
        <v>916</v>
      </c>
      <c r="Z1729" s="35" t="s">
        <v>916</v>
      </c>
      <c r="AA1729" s="38">
        <v>1810.2969444431999</v>
      </c>
      <c r="AB1729" s="42" t="s">
        <v>916</v>
      </c>
      <c r="AC1729" s="43" t="s">
        <v>916</v>
      </c>
      <c r="AD1729" s="43" t="s">
        <v>916</v>
      </c>
      <c r="AE1729" s="33" t="s">
        <v>3982</v>
      </c>
      <c r="AF1729" s="35" t="s">
        <v>916</v>
      </c>
      <c r="AG1729" s="44">
        <v>489061.70305555558</v>
      </c>
      <c r="AH1729" s="42" t="s">
        <v>916</v>
      </c>
      <c r="AI1729" s="32" t="e">
        <f>VLOOKUP(A1729,'4月明細'!B:B,1,0)</f>
        <v>#N/A</v>
      </c>
    </row>
    <row r="1730" spans="1:35" ht="19.95" customHeight="1" x14ac:dyDescent="0.3">
      <c r="A1730" s="33" t="s">
        <v>6109</v>
      </c>
      <c r="B1730" s="34">
        <v>45946.545682870368</v>
      </c>
      <c r="C1730" s="34" t="str">
        <f t="shared" si="39"/>
        <v>202510</v>
      </c>
      <c r="D1730" s="35" t="s">
        <v>951</v>
      </c>
      <c r="E1730" s="36" t="s">
        <v>910</v>
      </c>
      <c r="F1730" s="36" t="s">
        <v>1531</v>
      </c>
      <c r="G1730" s="37" t="s">
        <v>6110</v>
      </c>
      <c r="H1730" s="36" t="s">
        <v>5940</v>
      </c>
      <c r="I1730" s="35" t="s">
        <v>6111</v>
      </c>
      <c r="J1730" s="36" t="s">
        <v>914</v>
      </c>
      <c r="K1730" s="33" t="s">
        <v>916</v>
      </c>
      <c r="L1730" s="35" t="s">
        <v>916</v>
      </c>
      <c r="M1730" s="36" t="s">
        <v>916</v>
      </c>
      <c r="N1730" s="45">
        <v>46022</v>
      </c>
      <c r="O1730" s="36" t="s">
        <v>25</v>
      </c>
      <c r="P1730" s="38">
        <v>75.4543171296</v>
      </c>
      <c r="Q1730" s="39" t="s">
        <v>6112</v>
      </c>
      <c r="R1730" s="35" t="s">
        <v>916</v>
      </c>
      <c r="S1730" s="35" t="s">
        <v>6113</v>
      </c>
      <c r="T1730" s="35" t="s">
        <v>1701</v>
      </c>
      <c r="U1730" s="40">
        <v>45947</v>
      </c>
      <c r="V1730" s="41">
        <v>46153.53297453704</v>
      </c>
      <c r="W1730" s="40">
        <v>45946</v>
      </c>
      <c r="X1730" s="35" t="s">
        <v>916</v>
      </c>
      <c r="Y1730" s="35" t="s">
        <v>916</v>
      </c>
      <c r="Z1730" s="35" t="s">
        <v>916</v>
      </c>
      <c r="AA1730" s="38">
        <v>1810.9036111104001</v>
      </c>
      <c r="AB1730" s="42" t="s">
        <v>916</v>
      </c>
      <c r="AC1730" s="43" t="s">
        <v>916</v>
      </c>
      <c r="AD1730" s="43" t="s">
        <v>916</v>
      </c>
      <c r="AE1730" s="33" t="s">
        <v>3982</v>
      </c>
      <c r="AF1730" s="35" t="s">
        <v>916</v>
      </c>
      <c r="AG1730" s="44">
        <v>489061.09638888889</v>
      </c>
      <c r="AH1730" s="42" t="s">
        <v>916</v>
      </c>
      <c r="AI1730" s="32" t="e">
        <f>VLOOKUP(A1730,'4月明細'!B:B,1,0)</f>
        <v>#N/A</v>
      </c>
    </row>
    <row r="1731" spans="1:35" ht="19.95" customHeight="1" x14ac:dyDescent="0.3">
      <c r="A1731" s="33" t="s">
        <v>6114</v>
      </c>
      <c r="B1731" s="34">
        <v>45946.544664351852</v>
      </c>
      <c r="C1731" s="34" t="str">
        <f t="shared" ref="C1731:C1794" si="40">TEXT(B1731,"YYYYMM")</f>
        <v>202510</v>
      </c>
      <c r="D1731" s="35" t="s">
        <v>951</v>
      </c>
      <c r="E1731" s="36" t="s">
        <v>910</v>
      </c>
      <c r="F1731" s="36" t="s">
        <v>1531</v>
      </c>
      <c r="G1731" s="37" t="s">
        <v>6115</v>
      </c>
      <c r="H1731" s="36" t="s">
        <v>4017</v>
      </c>
      <c r="I1731" s="35" t="s">
        <v>6116</v>
      </c>
      <c r="J1731" s="36" t="s">
        <v>914</v>
      </c>
      <c r="K1731" s="33" t="s">
        <v>916</v>
      </c>
      <c r="L1731" s="35" t="s">
        <v>916</v>
      </c>
      <c r="M1731" s="36" t="s">
        <v>916</v>
      </c>
      <c r="N1731" s="45">
        <v>46022</v>
      </c>
      <c r="O1731" s="36" t="s">
        <v>25</v>
      </c>
      <c r="P1731" s="38">
        <v>75.455335648100004</v>
      </c>
      <c r="Q1731" s="39" t="s">
        <v>1366</v>
      </c>
      <c r="R1731" s="35" t="s">
        <v>916</v>
      </c>
      <c r="S1731" s="35"/>
      <c r="T1731" s="35" t="s">
        <v>1701</v>
      </c>
      <c r="U1731" s="40">
        <v>45947</v>
      </c>
      <c r="V1731" s="41">
        <v>46153.53297453704</v>
      </c>
      <c r="W1731" s="40">
        <v>45946</v>
      </c>
      <c r="X1731" s="35" t="s">
        <v>916</v>
      </c>
      <c r="Y1731" s="35" t="s">
        <v>916</v>
      </c>
      <c r="Z1731" s="35" t="s">
        <v>916</v>
      </c>
      <c r="AA1731" s="38">
        <v>1810.9280555544001</v>
      </c>
      <c r="AB1731" s="42" t="s">
        <v>916</v>
      </c>
      <c r="AC1731" s="43" t="s">
        <v>916</v>
      </c>
      <c r="AD1731" s="43" t="s">
        <v>916</v>
      </c>
      <c r="AE1731" s="33" t="s">
        <v>3982</v>
      </c>
      <c r="AF1731" s="35" t="s">
        <v>916</v>
      </c>
      <c r="AG1731" s="44">
        <v>489105.9833333334</v>
      </c>
      <c r="AH1731" s="42" t="s">
        <v>916</v>
      </c>
      <c r="AI1731" s="32" t="e">
        <f>VLOOKUP(A1731,'4月明細'!B:B,1,0)</f>
        <v>#N/A</v>
      </c>
    </row>
    <row r="1732" spans="1:35" ht="19.95" customHeight="1" x14ac:dyDescent="0.3">
      <c r="A1732" s="33" t="s">
        <v>6117</v>
      </c>
      <c r="B1732" s="34">
        <v>45946.534895833334</v>
      </c>
      <c r="C1732" s="34" t="str">
        <f t="shared" si="40"/>
        <v>202510</v>
      </c>
      <c r="D1732" s="35" t="s">
        <v>5380</v>
      </c>
      <c r="E1732" s="36" t="s">
        <v>910</v>
      </c>
      <c r="F1732" s="36" t="s">
        <v>976</v>
      </c>
      <c r="G1732" s="37" t="s">
        <v>6118</v>
      </c>
      <c r="H1732" s="36" t="s">
        <v>4804</v>
      </c>
      <c r="I1732" s="35" t="s">
        <v>6119</v>
      </c>
      <c r="J1732" s="36" t="s">
        <v>914</v>
      </c>
      <c r="K1732" s="33" t="s">
        <v>916</v>
      </c>
      <c r="L1732" s="35" t="s">
        <v>916</v>
      </c>
      <c r="M1732" s="36" t="s">
        <v>916</v>
      </c>
      <c r="N1732" s="45">
        <v>46022</v>
      </c>
      <c r="O1732" s="36" t="s">
        <v>25</v>
      </c>
      <c r="P1732" s="38">
        <v>75.465104166700002</v>
      </c>
      <c r="Q1732" s="39" t="s">
        <v>5951</v>
      </c>
      <c r="R1732" s="35" t="s">
        <v>916</v>
      </c>
      <c r="S1732" s="35" t="s">
        <v>6120</v>
      </c>
      <c r="T1732" s="35" t="s">
        <v>1701</v>
      </c>
      <c r="U1732" s="40">
        <v>45947</v>
      </c>
      <c r="V1732" s="41">
        <v>46153.53297453704</v>
      </c>
      <c r="W1732" s="40">
        <v>45946</v>
      </c>
      <c r="X1732" s="35" t="s">
        <v>916</v>
      </c>
      <c r="Y1732" s="35" t="s">
        <v>916</v>
      </c>
      <c r="Z1732" s="35" t="s">
        <v>916</v>
      </c>
      <c r="AA1732" s="38">
        <v>1811.1625000008</v>
      </c>
      <c r="AB1732" s="42" t="s">
        <v>916</v>
      </c>
      <c r="AC1732" s="43" t="s">
        <v>916</v>
      </c>
      <c r="AD1732" s="43" t="s">
        <v>916</v>
      </c>
      <c r="AE1732" s="33" t="s">
        <v>3982</v>
      </c>
      <c r="AF1732" s="35" t="s">
        <v>916</v>
      </c>
      <c r="AG1732" s="44">
        <v>489060.83750000002</v>
      </c>
      <c r="AH1732" s="42" t="s">
        <v>916</v>
      </c>
      <c r="AI1732" s="32" t="e">
        <f>VLOOKUP(A1732,'4月明細'!B:B,1,0)</f>
        <v>#N/A</v>
      </c>
    </row>
    <row r="1733" spans="1:35" ht="19.95" customHeight="1" x14ac:dyDescent="0.3">
      <c r="A1733" s="33" t="s">
        <v>6121</v>
      </c>
      <c r="B1733" s="34">
        <v>45946.483368055553</v>
      </c>
      <c r="C1733" s="34" t="str">
        <f t="shared" si="40"/>
        <v>202510</v>
      </c>
      <c r="D1733" s="35" t="s">
        <v>6122</v>
      </c>
      <c r="E1733" s="36" t="s">
        <v>942</v>
      </c>
      <c r="F1733" s="36" t="s">
        <v>1295</v>
      </c>
      <c r="G1733" s="37" t="s">
        <v>6123</v>
      </c>
      <c r="H1733" s="36" t="s">
        <v>913</v>
      </c>
      <c r="I1733" s="35"/>
      <c r="J1733" s="36" t="s">
        <v>945</v>
      </c>
      <c r="K1733" s="33" t="s">
        <v>916</v>
      </c>
      <c r="L1733" s="35" t="s">
        <v>916</v>
      </c>
      <c r="M1733" s="36" t="s">
        <v>916</v>
      </c>
      <c r="N1733" s="45">
        <v>46022</v>
      </c>
      <c r="O1733" s="36" t="s">
        <v>25</v>
      </c>
      <c r="P1733" s="38">
        <v>75.516631944400004</v>
      </c>
      <c r="Q1733" s="39" t="s">
        <v>6124</v>
      </c>
      <c r="R1733" s="35" t="s">
        <v>916</v>
      </c>
      <c r="S1733" s="35"/>
      <c r="T1733" s="35" t="s">
        <v>1701</v>
      </c>
      <c r="U1733" s="40">
        <v>45947</v>
      </c>
      <c r="V1733" s="41">
        <v>46153.53297453704</v>
      </c>
      <c r="W1733" s="40">
        <v>45946</v>
      </c>
      <c r="X1733" s="35" t="s">
        <v>916</v>
      </c>
      <c r="Y1733" s="35" t="s">
        <v>916</v>
      </c>
      <c r="Z1733" s="35" t="s">
        <v>916</v>
      </c>
      <c r="AA1733" s="38">
        <v>1812.3991666656</v>
      </c>
      <c r="AB1733" s="42" t="s">
        <v>916</v>
      </c>
      <c r="AC1733" s="43" t="s">
        <v>916</v>
      </c>
      <c r="AD1733" s="43" t="s">
        <v>916</v>
      </c>
      <c r="AE1733" s="33" t="s">
        <v>3982</v>
      </c>
      <c r="AF1733" s="35" t="s">
        <v>916</v>
      </c>
      <c r="AG1733" s="44">
        <v>489059.60083333327</v>
      </c>
      <c r="AH1733" s="42" t="s">
        <v>916</v>
      </c>
      <c r="AI1733" s="32" t="e">
        <f>VLOOKUP(A1733,'4月明細'!B:B,1,0)</f>
        <v>#N/A</v>
      </c>
    </row>
    <row r="1734" spans="1:35" ht="19.95" customHeight="1" x14ac:dyDescent="0.3">
      <c r="A1734" s="33" t="s">
        <v>6125</v>
      </c>
      <c r="B1734" s="34">
        <v>45945.372812499998</v>
      </c>
      <c r="C1734" s="34" t="str">
        <f t="shared" si="40"/>
        <v>202510</v>
      </c>
      <c r="D1734" s="35" t="s">
        <v>6126</v>
      </c>
      <c r="E1734" s="36" t="s">
        <v>910</v>
      </c>
      <c r="F1734" s="36" t="s">
        <v>6127</v>
      </c>
      <c r="G1734" s="37" t="s">
        <v>6128</v>
      </c>
      <c r="H1734" s="36" t="s">
        <v>3985</v>
      </c>
      <c r="I1734" s="35"/>
      <c r="J1734" s="36" t="s">
        <v>938</v>
      </c>
      <c r="K1734" s="33" t="s">
        <v>916</v>
      </c>
      <c r="L1734" s="35" t="s">
        <v>916</v>
      </c>
      <c r="M1734" s="36" t="s">
        <v>916</v>
      </c>
      <c r="N1734" s="45">
        <v>46022</v>
      </c>
      <c r="O1734" s="36" t="s">
        <v>25</v>
      </c>
      <c r="P1734" s="38">
        <v>76.627187500000005</v>
      </c>
      <c r="Q1734" s="39" t="s">
        <v>6129</v>
      </c>
      <c r="R1734" s="35" t="s">
        <v>916</v>
      </c>
      <c r="S1734" s="35"/>
      <c r="T1734" s="35" t="s">
        <v>1701</v>
      </c>
      <c r="U1734" s="40">
        <v>45946</v>
      </c>
      <c r="V1734" s="41">
        <v>46153.53297453704</v>
      </c>
      <c r="W1734" s="40">
        <v>45945</v>
      </c>
      <c r="X1734" s="35" t="s">
        <v>916</v>
      </c>
      <c r="Y1734" s="35" t="s">
        <v>916</v>
      </c>
      <c r="Z1734" s="35" t="s">
        <v>916</v>
      </c>
      <c r="AA1734" s="38">
        <v>1839.0525</v>
      </c>
      <c r="AB1734" s="42" t="s">
        <v>916</v>
      </c>
      <c r="AC1734" s="43" t="s">
        <v>916</v>
      </c>
      <c r="AD1734" s="43" t="s">
        <v>916</v>
      </c>
      <c r="AE1734" s="33" t="s">
        <v>3982</v>
      </c>
      <c r="AF1734" s="35" t="s">
        <v>916</v>
      </c>
      <c r="AG1734" s="44">
        <v>489032.94750000001</v>
      </c>
      <c r="AH1734" s="42" t="s">
        <v>916</v>
      </c>
      <c r="AI1734" s="32" t="e">
        <f>VLOOKUP(A1734,'4月明細'!B:B,1,0)</f>
        <v>#N/A</v>
      </c>
    </row>
    <row r="1735" spans="1:35" ht="19.95" customHeight="1" x14ac:dyDescent="0.3">
      <c r="A1735" s="33" t="s">
        <v>6130</v>
      </c>
      <c r="B1735" s="34">
        <v>45945.717094907406</v>
      </c>
      <c r="C1735" s="34" t="str">
        <f t="shared" si="40"/>
        <v>202510</v>
      </c>
      <c r="D1735" s="35" t="s">
        <v>996</v>
      </c>
      <c r="E1735" s="36" t="s">
        <v>910</v>
      </c>
      <c r="F1735" s="36" t="s">
        <v>1720</v>
      </c>
      <c r="G1735" s="37" t="s">
        <v>6131</v>
      </c>
      <c r="H1735" s="36" t="s">
        <v>4065</v>
      </c>
      <c r="I1735" s="35" t="s">
        <v>6132</v>
      </c>
      <c r="J1735" s="36" t="s">
        <v>929</v>
      </c>
      <c r="K1735" s="33" t="s">
        <v>916</v>
      </c>
      <c r="L1735" s="35" t="s">
        <v>916</v>
      </c>
      <c r="M1735" s="36" t="s">
        <v>916</v>
      </c>
      <c r="N1735" s="45">
        <v>46022</v>
      </c>
      <c r="O1735" s="36" t="s">
        <v>25</v>
      </c>
      <c r="P1735" s="38">
        <v>76.282905092600004</v>
      </c>
      <c r="Q1735" s="39" t="s">
        <v>6072</v>
      </c>
      <c r="R1735" s="35" t="s">
        <v>916</v>
      </c>
      <c r="S1735" s="35"/>
      <c r="T1735" s="35" t="s">
        <v>1701</v>
      </c>
      <c r="U1735" s="40">
        <v>45946</v>
      </c>
      <c r="V1735" s="41">
        <v>46153.53297453704</v>
      </c>
      <c r="W1735" s="40">
        <v>45945</v>
      </c>
      <c r="X1735" s="35" t="s">
        <v>916</v>
      </c>
      <c r="Y1735" s="35" t="s">
        <v>916</v>
      </c>
      <c r="Z1735" s="35" t="s">
        <v>916</v>
      </c>
      <c r="AA1735" s="38">
        <v>1830.7897222224001</v>
      </c>
      <c r="AB1735" s="42" t="s">
        <v>916</v>
      </c>
      <c r="AC1735" s="43" t="s">
        <v>916</v>
      </c>
      <c r="AD1735" s="43" t="s">
        <v>916</v>
      </c>
      <c r="AE1735" s="33" t="s">
        <v>3982</v>
      </c>
      <c r="AF1735" s="35" t="s">
        <v>916</v>
      </c>
      <c r="AG1735" s="44">
        <v>489041.21027777792</v>
      </c>
      <c r="AH1735" s="42" t="s">
        <v>916</v>
      </c>
      <c r="AI1735" s="32" t="e">
        <f>VLOOKUP(A1735,'4月明細'!B:B,1,0)</f>
        <v>#N/A</v>
      </c>
    </row>
    <row r="1736" spans="1:35" ht="19.95" customHeight="1" x14ac:dyDescent="0.3">
      <c r="A1736" s="33" t="s">
        <v>6133</v>
      </c>
      <c r="B1736" s="34">
        <v>45945.700856481482</v>
      </c>
      <c r="C1736" s="34" t="str">
        <f t="shared" si="40"/>
        <v>202510</v>
      </c>
      <c r="D1736" s="35" t="s">
        <v>5008</v>
      </c>
      <c r="E1736" s="36" t="s">
        <v>1112</v>
      </c>
      <c r="F1736" s="36" t="s">
        <v>6134</v>
      </c>
      <c r="G1736" s="37" t="s">
        <v>6135</v>
      </c>
      <c r="H1736" s="36" t="s">
        <v>3985</v>
      </c>
      <c r="I1736" s="35" t="s">
        <v>6136</v>
      </c>
      <c r="J1736" s="36" t="s">
        <v>938</v>
      </c>
      <c r="K1736" s="33" t="s">
        <v>916</v>
      </c>
      <c r="L1736" s="35" t="s">
        <v>916</v>
      </c>
      <c r="M1736" s="36" t="s">
        <v>916</v>
      </c>
      <c r="N1736" s="45">
        <v>46022</v>
      </c>
      <c r="O1736" s="36" t="s">
        <v>25</v>
      </c>
      <c r="P1736" s="38">
        <v>76.299143518500003</v>
      </c>
      <c r="Q1736" s="39" t="s">
        <v>6137</v>
      </c>
      <c r="R1736" s="35" t="s">
        <v>916</v>
      </c>
      <c r="S1736" s="35"/>
      <c r="T1736" s="35" t="s">
        <v>1701</v>
      </c>
      <c r="U1736" s="40">
        <v>45946</v>
      </c>
      <c r="V1736" s="41">
        <v>46153.53297453704</v>
      </c>
      <c r="W1736" s="40">
        <v>45945</v>
      </c>
      <c r="X1736" s="35" t="s">
        <v>916</v>
      </c>
      <c r="Y1736" s="35" t="s">
        <v>916</v>
      </c>
      <c r="Z1736" s="35" t="s">
        <v>916</v>
      </c>
      <c r="AA1736" s="38">
        <v>1831.179444444</v>
      </c>
      <c r="AB1736" s="42" t="s">
        <v>916</v>
      </c>
      <c r="AC1736" s="43" t="s">
        <v>916</v>
      </c>
      <c r="AD1736" s="43" t="s">
        <v>916</v>
      </c>
      <c r="AE1736" s="33" t="s">
        <v>3982</v>
      </c>
      <c r="AF1736" s="35" t="s">
        <v>916</v>
      </c>
      <c r="AG1736" s="44">
        <v>489040.82055555558</v>
      </c>
      <c r="AH1736" s="42" t="s">
        <v>916</v>
      </c>
      <c r="AI1736" s="32" t="e">
        <f>VLOOKUP(A1736,'4月明細'!B:B,1,0)</f>
        <v>#N/A</v>
      </c>
    </row>
    <row r="1737" spans="1:35" ht="19.95" customHeight="1" x14ac:dyDescent="0.3">
      <c r="A1737" s="33" t="s">
        <v>6138</v>
      </c>
      <c r="B1737" s="34">
        <v>45945.665601851855</v>
      </c>
      <c r="C1737" s="34" t="str">
        <f t="shared" si="40"/>
        <v>202510</v>
      </c>
      <c r="D1737" s="35" t="s">
        <v>996</v>
      </c>
      <c r="E1737" s="36" t="s">
        <v>910</v>
      </c>
      <c r="F1737" s="36" t="s">
        <v>1253</v>
      </c>
      <c r="G1737" s="37" t="s">
        <v>6139</v>
      </c>
      <c r="H1737" s="36" t="s">
        <v>1079</v>
      </c>
      <c r="I1737" s="35"/>
      <c r="J1737" s="36" t="s">
        <v>1058</v>
      </c>
      <c r="K1737" s="33" t="s">
        <v>916</v>
      </c>
      <c r="L1737" s="35" t="s">
        <v>916</v>
      </c>
      <c r="M1737" s="36" t="s">
        <v>916</v>
      </c>
      <c r="N1737" s="45">
        <v>46022</v>
      </c>
      <c r="O1737" s="36" t="s">
        <v>25</v>
      </c>
      <c r="P1737" s="38">
        <v>76.334398148099993</v>
      </c>
      <c r="Q1737" s="39" t="s">
        <v>6140</v>
      </c>
      <c r="R1737" s="35" t="s">
        <v>916</v>
      </c>
      <c r="S1737" s="35"/>
      <c r="T1737" s="35" t="s">
        <v>1701</v>
      </c>
      <c r="U1737" s="40">
        <v>45946</v>
      </c>
      <c r="V1737" s="41">
        <v>46153.53297453704</v>
      </c>
      <c r="W1737" s="40">
        <v>45945</v>
      </c>
      <c r="X1737" s="35" t="s">
        <v>916</v>
      </c>
      <c r="Y1737" s="35" t="s">
        <v>916</v>
      </c>
      <c r="Z1737" s="35" t="s">
        <v>916</v>
      </c>
      <c r="AA1737" s="38">
        <v>1832.0255555543999</v>
      </c>
      <c r="AB1737" s="42" t="s">
        <v>916</v>
      </c>
      <c r="AC1737" s="43" t="s">
        <v>916</v>
      </c>
      <c r="AD1737" s="43" t="s">
        <v>916</v>
      </c>
      <c r="AE1737" s="33" t="s">
        <v>3982</v>
      </c>
      <c r="AF1737" s="35" t="s">
        <v>916</v>
      </c>
      <c r="AG1737" s="44">
        <v>489039.97444444441</v>
      </c>
      <c r="AH1737" s="42" t="s">
        <v>916</v>
      </c>
      <c r="AI1737" s="32" t="e">
        <f>VLOOKUP(A1737,'4月明細'!B:B,1,0)</f>
        <v>#N/A</v>
      </c>
    </row>
    <row r="1738" spans="1:35" ht="19.95" customHeight="1" x14ac:dyDescent="0.3">
      <c r="A1738" s="33" t="s">
        <v>6141</v>
      </c>
      <c r="B1738" s="34">
        <v>45945.576388888891</v>
      </c>
      <c r="C1738" s="34" t="str">
        <f t="shared" si="40"/>
        <v>202510</v>
      </c>
      <c r="D1738" s="35" t="s">
        <v>996</v>
      </c>
      <c r="E1738" s="36" t="s">
        <v>910</v>
      </c>
      <c r="F1738" s="36" t="s">
        <v>1534</v>
      </c>
      <c r="G1738" s="37" t="s">
        <v>6142</v>
      </c>
      <c r="H1738" s="36" t="s">
        <v>4804</v>
      </c>
      <c r="I1738" s="35" t="s">
        <v>6143</v>
      </c>
      <c r="J1738" s="36" t="s">
        <v>929</v>
      </c>
      <c r="K1738" s="33" t="s">
        <v>916</v>
      </c>
      <c r="L1738" s="35" t="s">
        <v>916</v>
      </c>
      <c r="M1738" s="36" t="s">
        <v>916</v>
      </c>
      <c r="N1738" s="45">
        <v>46022</v>
      </c>
      <c r="O1738" s="36" t="s">
        <v>25</v>
      </c>
      <c r="P1738" s="38">
        <v>76.423611111100001</v>
      </c>
      <c r="Q1738" s="39" t="s">
        <v>6144</v>
      </c>
      <c r="R1738" s="35" t="s">
        <v>916</v>
      </c>
      <c r="S1738" s="35" t="s">
        <v>6145</v>
      </c>
      <c r="T1738" s="35" t="s">
        <v>1701</v>
      </c>
      <c r="U1738" s="40">
        <v>45946</v>
      </c>
      <c r="V1738" s="41">
        <v>46153.53297453704</v>
      </c>
      <c r="W1738" s="40">
        <v>45945</v>
      </c>
      <c r="X1738" s="35" t="s">
        <v>916</v>
      </c>
      <c r="Y1738" s="35" t="s">
        <v>916</v>
      </c>
      <c r="Z1738" s="35" t="s">
        <v>916</v>
      </c>
      <c r="AA1738" s="38">
        <v>1834.1666666664</v>
      </c>
      <c r="AB1738" s="42" t="s">
        <v>916</v>
      </c>
      <c r="AC1738" s="43" t="s">
        <v>916</v>
      </c>
      <c r="AD1738" s="43" t="s">
        <v>916</v>
      </c>
      <c r="AE1738" s="33" t="s">
        <v>3982</v>
      </c>
      <c r="AF1738" s="35" t="s">
        <v>916</v>
      </c>
      <c r="AG1738" s="44">
        <v>489037.83361111121</v>
      </c>
      <c r="AH1738" s="42" t="s">
        <v>916</v>
      </c>
      <c r="AI1738" s="32" t="e">
        <f>VLOOKUP(A1738,'4月明細'!B:B,1,0)</f>
        <v>#N/A</v>
      </c>
    </row>
    <row r="1739" spans="1:35" ht="19.95" customHeight="1" x14ac:dyDescent="0.3">
      <c r="A1739" s="33" t="s">
        <v>6146</v>
      </c>
      <c r="B1739" s="34">
        <v>45945.550173611111</v>
      </c>
      <c r="C1739" s="34" t="str">
        <f t="shared" si="40"/>
        <v>202510</v>
      </c>
      <c r="D1739" s="35" t="s">
        <v>996</v>
      </c>
      <c r="E1739" s="36" t="s">
        <v>910</v>
      </c>
      <c r="F1739" s="36" t="s">
        <v>1768</v>
      </c>
      <c r="G1739" s="37" t="s">
        <v>6147</v>
      </c>
      <c r="H1739" s="36" t="s">
        <v>3985</v>
      </c>
      <c r="I1739" s="35"/>
      <c r="J1739" s="36" t="s">
        <v>914</v>
      </c>
      <c r="K1739" s="33" t="s">
        <v>916</v>
      </c>
      <c r="L1739" s="35" t="s">
        <v>916</v>
      </c>
      <c r="M1739" s="36" t="s">
        <v>916</v>
      </c>
      <c r="N1739" s="45">
        <v>46022</v>
      </c>
      <c r="O1739" s="36" t="s">
        <v>25</v>
      </c>
      <c r="P1739" s="38">
        <v>76.449826388899993</v>
      </c>
      <c r="Q1739" s="39" t="s">
        <v>6148</v>
      </c>
      <c r="R1739" s="35" t="s">
        <v>916</v>
      </c>
      <c r="S1739" s="35"/>
      <c r="T1739" s="35" t="s">
        <v>1701</v>
      </c>
      <c r="U1739" s="40">
        <v>45946</v>
      </c>
      <c r="V1739" s="41">
        <v>46153.53297453704</v>
      </c>
      <c r="W1739" s="40">
        <v>45945</v>
      </c>
      <c r="X1739" s="35" t="s">
        <v>916</v>
      </c>
      <c r="Y1739" s="35" t="s">
        <v>916</v>
      </c>
      <c r="Z1739" s="35" t="s">
        <v>916</v>
      </c>
      <c r="AA1739" s="38">
        <v>1834.7958333336001</v>
      </c>
      <c r="AB1739" s="42" t="s">
        <v>916</v>
      </c>
      <c r="AC1739" s="43" t="s">
        <v>916</v>
      </c>
      <c r="AD1739" s="43" t="s">
        <v>916</v>
      </c>
      <c r="AE1739" s="33" t="s">
        <v>3982</v>
      </c>
      <c r="AF1739" s="35" t="s">
        <v>916</v>
      </c>
      <c r="AG1739" s="44">
        <v>489037.20416666672</v>
      </c>
      <c r="AH1739" s="42" t="s">
        <v>916</v>
      </c>
      <c r="AI1739" s="32" t="e">
        <f>VLOOKUP(A1739,'4月明細'!B:B,1,0)</f>
        <v>#N/A</v>
      </c>
    </row>
    <row r="1740" spans="1:35" ht="19.95" customHeight="1" x14ac:dyDescent="0.3">
      <c r="A1740" s="33" t="s">
        <v>6149</v>
      </c>
      <c r="B1740" s="34">
        <v>45945.549027777779</v>
      </c>
      <c r="C1740" s="34" t="str">
        <f t="shared" si="40"/>
        <v>202510</v>
      </c>
      <c r="D1740" s="35" t="s">
        <v>996</v>
      </c>
      <c r="E1740" s="36" t="s">
        <v>910</v>
      </c>
      <c r="F1740" s="36" t="s">
        <v>1768</v>
      </c>
      <c r="G1740" s="37" t="s">
        <v>6150</v>
      </c>
      <c r="H1740" s="36" t="s">
        <v>3985</v>
      </c>
      <c r="I1740" s="35"/>
      <c r="J1740" s="36" t="s">
        <v>914</v>
      </c>
      <c r="K1740" s="33" t="s">
        <v>916</v>
      </c>
      <c r="L1740" s="35" t="s">
        <v>916</v>
      </c>
      <c r="M1740" s="36" t="s">
        <v>916</v>
      </c>
      <c r="N1740" s="45">
        <v>46022</v>
      </c>
      <c r="O1740" s="36" t="s">
        <v>25</v>
      </c>
      <c r="P1740" s="38">
        <v>76.450972222199994</v>
      </c>
      <c r="Q1740" s="39" t="s">
        <v>6148</v>
      </c>
      <c r="R1740" s="35" t="s">
        <v>916</v>
      </c>
      <c r="S1740" s="35"/>
      <c r="T1740" s="35" t="s">
        <v>1701</v>
      </c>
      <c r="U1740" s="40">
        <v>45946</v>
      </c>
      <c r="V1740" s="41">
        <v>46153.53297453704</v>
      </c>
      <c r="W1740" s="40">
        <v>45945</v>
      </c>
      <c r="X1740" s="35" t="s">
        <v>916</v>
      </c>
      <c r="Y1740" s="35" t="s">
        <v>916</v>
      </c>
      <c r="Z1740" s="35" t="s">
        <v>916</v>
      </c>
      <c r="AA1740" s="38">
        <v>1834.8233333328001</v>
      </c>
      <c r="AB1740" s="42" t="s">
        <v>916</v>
      </c>
      <c r="AC1740" s="43" t="s">
        <v>916</v>
      </c>
      <c r="AD1740" s="43" t="s">
        <v>916</v>
      </c>
      <c r="AE1740" s="33" t="s">
        <v>3982</v>
      </c>
      <c r="AF1740" s="35" t="s">
        <v>916</v>
      </c>
      <c r="AG1740" s="44">
        <v>489037.1766666667</v>
      </c>
      <c r="AH1740" s="42" t="s">
        <v>916</v>
      </c>
      <c r="AI1740" s="32" t="e">
        <f>VLOOKUP(A1740,'4月明細'!B:B,1,0)</f>
        <v>#N/A</v>
      </c>
    </row>
    <row r="1741" spans="1:35" ht="19.95" customHeight="1" x14ac:dyDescent="0.3">
      <c r="A1741" s="33" t="s">
        <v>6151</v>
      </c>
      <c r="B1741" s="34">
        <v>45945.485879629632</v>
      </c>
      <c r="C1741" s="34" t="str">
        <f t="shared" si="40"/>
        <v>202510</v>
      </c>
      <c r="D1741" s="35" t="s">
        <v>996</v>
      </c>
      <c r="E1741" s="36" t="s">
        <v>910</v>
      </c>
      <c r="F1741" s="36" t="s">
        <v>2501</v>
      </c>
      <c r="G1741" s="37" t="s">
        <v>6152</v>
      </c>
      <c r="H1741" s="36" t="s">
        <v>4060</v>
      </c>
      <c r="I1741" s="35"/>
      <c r="J1741" s="36" t="s">
        <v>929</v>
      </c>
      <c r="K1741" s="33" t="s">
        <v>916</v>
      </c>
      <c r="L1741" s="35" t="s">
        <v>916</v>
      </c>
      <c r="M1741" s="36" t="s">
        <v>916</v>
      </c>
      <c r="N1741" s="45">
        <v>46022</v>
      </c>
      <c r="O1741" s="36" t="s">
        <v>25</v>
      </c>
      <c r="P1741" s="38">
        <v>76.514120370399993</v>
      </c>
      <c r="Q1741" s="39" t="s">
        <v>6153</v>
      </c>
      <c r="R1741" s="35" t="s">
        <v>916</v>
      </c>
      <c r="S1741" s="35" t="s">
        <v>6154</v>
      </c>
      <c r="T1741" s="35" t="s">
        <v>1701</v>
      </c>
      <c r="U1741" s="40">
        <v>45946</v>
      </c>
      <c r="V1741" s="41">
        <v>46153.53297453704</v>
      </c>
      <c r="W1741" s="40">
        <v>45945</v>
      </c>
      <c r="X1741" s="35" t="s">
        <v>916</v>
      </c>
      <c r="Y1741" s="35" t="s">
        <v>916</v>
      </c>
      <c r="Z1741" s="35" t="s">
        <v>916</v>
      </c>
      <c r="AA1741" s="38">
        <v>1836.3388888896</v>
      </c>
      <c r="AB1741" s="42" t="s">
        <v>916</v>
      </c>
      <c r="AC1741" s="43" t="s">
        <v>916</v>
      </c>
      <c r="AD1741" s="43" t="s">
        <v>916</v>
      </c>
      <c r="AE1741" s="33" t="s">
        <v>3982</v>
      </c>
      <c r="AF1741" s="35" t="s">
        <v>916</v>
      </c>
      <c r="AG1741" s="44">
        <v>489035.66111111111</v>
      </c>
      <c r="AH1741" s="42" t="s">
        <v>916</v>
      </c>
      <c r="AI1741" s="32" t="e">
        <f>VLOOKUP(A1741,'4月明細'!B:B,1,0)</f>
        <v>#N/A</v>
      </c>
    </row>
    <row r="1742" spans="1:35" ht="19.95" customHeight="1" x14ac:dyDescent="0.3">
      <c r="A1742" s="33" t="s">
        <v>6155</v>
      </c>
      <c r="B1742" s="34">
        <v>45945.410474537035</v>
      </c>
      <c r="C1742" s="34" t="str">
        <f t="shared" si="40"/>
        <v>202510</v>
      </c>
      <c r="D1742" s="35" t="s">
        <v>1597</v>
      </c>
      <c r="E1742" s="36" t="s">
        <v>1112</v>
      </c>
      <c r="F1742" s="36" t="s">
        <v>1010</v>
      </c>
      <c r="G1742" s="37" t="s">
        <v>6156</v>
      </c>
      <c r="H1742" s="36" t="s">
        <v>1007</v>
      </c>
      <c r="I1742" s="35"/>
      <c r="J1742" s="36" t="s">
        <v>1058</v>
      </c>
      <c r="K1742" s="33" t="s">
        <v>916</v>
      </c>
      <c r="L1742" s="35" t="s">
        <v>916</v>
      </c>
      <c r="M1742" s="36" t="s">
        <v>916</v>
      </c>
      <c r="N1742" s="45">
        <v>46022</v>
      </c>
      <c r="O1742" s="36" t="s">
        <v>25</v>
      </c>
      <c r="P1742" s="38">
        <v>76.589525463000001</v>
      </c>
      <c r="Q1742" s="39" t="s">
        <v>6157</v>
      </c>
      <c r="R1742" s="35" t="s">
        <v>916</v>
      </c>
      <c r="S1742" s="35" t="s">
        <v>6158</v>
      </c>
      <c r="T1742" s="35" t="s">
        <v>1701</v>
      </c>
      <c r="U1742" s="40">
        <v>45946</v>
      </c>
      <c r="V1742" s="41">
        <v>46153.53297453704</v>
      </c>
      <c r="W1742" s="40">
        <v>45945</v>
      </c>
      <c r="X1742" s="35" t="s">
        <v>916</v>
      </c>
      <c r="Y1742" s="35" t="s">
        <v>916</v>
      </c>
      <c r="Z1742" s="35" t="s">
        <v>916</v>
      </c>
      <c r="AA1742" s="38">
        <v>1838.148611112</v>
      </c>
      <c r="AB1742" s="42" t="s">
        <v>916</v>
      </c>
      <c r="AC1742" s="43" t="s">
        <v>916</v>
      </c>
      <c r="AD1742" s="43" t="s">
        <v>916</v>
      </c>
      <c r="AE1742" s="33" t="s">
        <v>3982</v>
      </c>
      <c r="AF1742" s="35" t="s">
        <v>916</v>
      </c>
      <c r="AG1742" s="44">
        <v>489033.8513888889</v>
      </c>
      <c r="AH1742" s="42" t="s">
        <v>916</v>
      </c>
      <c r="AI1742" s="32" t="e">
        <f>VLOOKUP(A1742,'4月明細'!B:B,1,0)</f>
        <v>#N/A</v>
      </c>
    </row>
    <row r="1743" spans="1:35" ht="19.95" customHeight="1" x14ac:dyDescent="0.3">
      <c r="A1743" s="33" t="s">
        <v>6159</v>
      </c>
      <c r="B1743" s="34">
        <v>45945.388275462959</v>
      </c>
      <c r="C1743" s="34" t="str">
        <f t="shared" si="40"/>
        <v>202510</v>
      </c>
      <c r="D1743" s="35" t="s">
        <v>1168</v>
      </c>
      <c r="E1743" s="36" t="s">
        <v>942</v>
      </c>
      <c r="F1743" s="36" t="s">
        <v>1225</v>
      </c>
      <c r="G1743" s="37" t="s">
        <v>6160</v>
      </c>
      <c r="H1743" s="36" t="s">
        <v>913</v>
      </c>
      <c r="I1743" s="35"/>
      <c r="J1743" s="36" t="s">
        <v>945</v>
      </c>
      <c r="K1743" s="33" t="s">
        <v>916</v>
      </c>
      <c r="L1743" s="35" t="s">
        <v>916</v>
      </c>
      <c r="M1743" s="36" t="s">
        <v>916</v>
      </c>
      <c r="N1743" s="45">
        <v>46022</v>
      </c>
      <c r="O1743" s="36" t="s">
        <v>25</v>
      </c>
      <c r="P1743" s="38">
        <v>76.611724537000001</v>
      </c>
      <c r="Q1743" s="39" t="s">
        <v>6161</v>
      </c>
      <c r="R1743" s="35" t="s">
        <v>916</v>
      </c>
      <c r="S1743" s="35"/>
      <c r="T1743" s="35" t="s">
        <v>1701</v>
      </c>
      <c r="U1743" s="40">
        <v>45946</v>
      </c>
      <c r="V1743" s="41">
        <v>46153.53297453704</v>
      </c>
      <c r="W1743" s="40">
        <v>45945</v>
      </c>
      <c r="X1743" s="35" t="s">
        <v>916</v>
      </c>
      <c r="Y1743" s="35" t="s">
        <v>916</v>
      </c>
      <c r="Z1743" s="35" t="s">
        <v>916</v>
      </c>
      <c r="AA1743" s="38">
        <v>1838.6813888879999</v>
      </c>
      <c r="AB1743" s="42" t="s">
        <v>916</v>
      </c>
      <c r="AC1743" s="43" t="s">
        <v>916</v>
      </c>
      <c r="AD1743" s="43" t="s">
        <v>916</v>
      </c>
      <c r="AE1743" s="33" t="s">
        <v>3982</v>
      </c>
      <c r="AF1743" s="35" t="s">
        <v>916</v>
      </c>
      <c r="AG1743" s="44">
        <v>489033.31861111108</v>
      </c>
      <c r="AH1743" s="42" t="s">
        <v>916</v>
      </c>
      <c r="AI1743" s="32" t="e">
        <f>VLOOKUP(A1743,'4月明細'!B:B,1,0)</f>
        <v>#N/A</v>
      </c>
    </row>
    <row r="1744" spans="1:35" ht="19.95" customHeight="1" x14ac:dyDescent="0.3">
      <c r="A1744" s="33" t="s">
        <v>6162</v>
      </c>
      <c r="B1744" s="34">
        <v>45945.325138888889</v>
      </c>
      <c r="C1744" s="34" t="str">
        <f t="shared" si="40"/>
        <v>202510</v>
      </c>
      <c r="D1744" s="35" t="s">
        <v>1217</v>
      </c>
      <c r="E1744" s="36" t="s">
        <v>942</v>
      </c>
      <c r="F1744" s="36" t="s">
        <v>1341</v>
      </c>
      <c r="G1744" s="37" t="s">
        <v>6163</v>
      </c>
      <c r="H1744" s="36" t="s">
        <v>3985</v>
      </c>
      <c r="I1744" s="35"/>
      <c r="J1744" s="36" t="s">
        <v>945</v>
      </c>
      <c r="K1744" s="33" t="s">
        <v>916</v>
      </c>
      <c r="L1744" s="35" t="s">
        <v>916</v>
      </c>
      <c r="M1744" s="36" t="s">
        <v>916</v>
      </c>
      <c r="N1744" s="45">
        <v>46022</v>
      </c>
      <c r="O1744" s="36" t="s">
        <v>25</v>
      </c>
      <c r="P1744" s="38">
        <v>76.6748611111</v>
      </c>
      <c r="Q1744" s="39" t="s">
        <v>6164</v>
      </c>
      <c r="R1744" s="35" t="s">
        <v>916</v>
      </c>
      <c r="S1744" s="35"/>
      <c r="T1744" s="35" t="s">
        <v>1701</v>
      </c>
      <c r="U1744" s="40">
        <v>45946</v>
      </c>
      <c r="V1744" s="41">
        <v>46153.53297453704</v>
      </c>
      <c r="W1744" s="40">
        <v>45945</v>
      </c>
      <c r="X1744" s="35" t="s">
        <v>916</v>
      </c>
      <c r="Y1744" s="35" t="s">
        <v>916</v>
      </c>
      <c r="Z1744" s="35" t="s">
        <v>916</v>
      </c>
      <c r="AA1744" s="38">
        <v>1840.1966666664</v>
      </c>
      <c r="AB1744" s="42" t="s">
        <v>916</v>
      </c>
      <c r="AC1744" s="43" t="s">
        <v>916</v>
      </c>
      <c r="AD1744" s="43" t="s">
        <v>916</v>
      </c>
      <c r="AE1744" s="33" t="s">
        <v>3982</v>
      </c>
      <c r="AF1744" s="35" t="s">
        <v>916</v>
      </c>
      <c r="AG1744" s="44">
        <v>489031.80333333329</v>
      </c>
      <c r="AH1744" s="42" t="s">
        <v>916</v>
      </c>
      <c r="AI1744" s="32" t="e">
        <f>VLOOKUP(A1744,'4月明細'!B:B,1,0)</f>
        <v>#N/A</v>
      </c>
    </row>
    <row r="1745" spans="1:35" ht="19.95" customHeight="1" x14ac:dyDescent="0.3">
      <c r="A1745" s="33" t="s">
        <v>6165</v>
      </c>
      <c r="B1745" s="34">
        <v>45945.146006944444</v>
      </c>
      <c r="C1745" s="34" t="str">
        <f t="shared" si="40"/>
        <v>202510</v>
      </c>
      <c r="D1745" s="35" t="s">
        <v>1217</v>
      </c>
      <c r="E1745" s="36" t="s">
        <v>942</v>
      </c>
      <c r="F1745" s="36" t="s">
        <v>2300</v>
      </c>
      <c r="G1745" s="37" t="s">
        <v>6166</v>
      </c>
      <c r="H1745" s="36" t="s">
        <v>1007</v>
      </c>
      <c r="I1745" s="35"/>
      <c r="J1745" s="36" t="s">
        <v>945</v>
      </c>
      <c r="K1745" s="33" t="s">
        <v>916</v>
      </c>
      <c r="L1745" s="35" t="s">
        <v>916</v>
      </c>
      <c r="M1745" s="36" t="s">
        <v>916</v>
      </c>
      <c r="N1745" s="45">
        <v>46022</v>
      </c>
      <c r="O1745" s="36" t="s">
        <v>25</v>
      </c>
      <c r="P1745" s="38">
        <v>76.8539930556</v>
      </c>
      <c r="Q1745" s="39" t="s">
        <v>6167</v>
      </c>
      <c r="R1745" s="35" t="s">
        <v>916</v>
      </c>
      <c r="S1745" s="35"/>
      <c r="T1745" s="35" t="s">
        <v>1701</v>
      </c>
      <c r="U1745" s="40">
        <v>45946</v>
      </c>
      <c r="V1745" s="41">
        <v>46153.53297453704</v>
      </c>
      <c r="W1745" s="40">
        <v>45945</v>
      </c>
      <c r="X1745" s="35" t="s">
        <v>916</v>
      </c>
      <c r="Y1745" s="35" t="s">
        <v>916</v>
      </c>
      <c r="Z1745" s="35" t="s">
        <v>916</v>
      </c>
      <c r="AA1745" s="38">
        <v>1844.4958333344</v>
      </c>
      <c r="AB1745" s="42" t="s">
        <v>916</v>
      </c>
      <c r="AC1745" s="43" t="s">
        <v>916</v>
      </c>
      <c r="AD1745" s="43" t="s">
        <v>916</v>
      </c>
      <c r="AE1745" s="33" t="s">
        <v>3982</v>
      </c>
      <c r="AF1745" s="35" t="s">
        <v>916</v>
      </c>
      <c r="AG1745" s="44">
        <v>489027.50444444449</v>
      </c>
      <c r="AH1745" s="42" t="s">
        <v>916</v>
      </c>
      <c r="AI1745" s="32" t="e">
        <f>VLOOKUP(A1745,'4月明細'!B:B,1,0)</f>
        <v>#N/A</v>
      </c>
    </row>
    <row r="1746" spans="1:35" ht="19.95" customHeight="1" x14ac:dyDescent="0.3">
      <c r="A1746" s="33" t="s">
        <v>6168</v>
      </c>
      <c r="B1746" s="34">
        <v>45944.638993055552</v>
      </c>
      <c r="C1746" s="34" t="str">
        <f t="shared" si="40"/>
        <v>202510</v>
      </c>
      <c r="D1746" s="35" t="s">
        <v>951</v>
      </c>
      <c r="E1746" s="36" t="s">
        <v>910</v>
      </c>
      <c r="F1746" s="36" t="s">
        <v>1397</v>
      </c>
      <c r="G1746" s="37" t="s">
        <v>6169</v>
      </c>
      <c r="H1746" s="36" t="s">
        <v>4029</v>
      </c>
      <c r="I1746" s="35" t="s">
        <v>6170</v>
      </c>
      <c r="J1746" s="36" t="s">
        <v>929</v>
      </c>
      <c r="K1746" s="33" t="s">
        <v>916</v>
      </c>
      <c r="L1746" s="35" t="s">
        <v>916</v>
      </c>
      <c r="M1746" s="36" t="s">
        <v>916</v>
      </c>
      <c r="N1746" s="45">
        <v>46022</v>
      </c>
      <c r="O1746" s="36" t="s">
        <v>25</v>
      </c>
      <c r="P1746" s="38">
        <v>77.361006944400003</v>
      </c>
      <c r="Q1746" s="39" t="s">
        <v>2666</v>
      </c>
      <c r="R1746" s="35" t="s">
        <v>916</v>
      </c>
      <c r="S1746" s="35" t="s">
        <v>2667</v>
      </c>
      <c r="T1746" s="35" t="s">
        <v>1701</v>
      </c>
      <c r="U1746" s="40">
        <v>45945</v>
      </c>
      <c r="V1746" s="41">
        <v>46153.53297453704</v>
      </c>
      <c r="W1746" s="40">
        <v>45944</v>
      </c>
      <c r="X1746" s="35" t="s">
        <v>916</v>
      </c>
      <c r="Y1746" s="35" t="s">
        <v>916</v>
      </c>
      <c r="Z1746" s="35" t="s">
        <v>916</v>
      </c>
      <c r="AA1746" s="38">
        <v>1856.6641666656001</v>
      </c>
      <c r="AB1746" s="42" t="s">
        <v>916</v>
      </c>
      <c r="AC1746" s="43" t="s">
        <v>916</v>
      </c>
      <c r="AD1746" s="43" t="s">
        <v>916</v>
      </c>
      <c r="AE1746" s="33" t="s">
        <v>3982</v>
      </c>
      <c r="AF1746" s="35" t="s">
        <v>916</v>
      </c>
      <c r="AG1746" s="44">
        <v>489015.33583333332</v>
      </c>
      <c r="AH1746" s="42" t="s">
        <v>916</v>
      </c>
      <c r="AI1746" s="32" t="e">
        <f>VLOOKUP(A1746,'4月明細'!B:B,1,0)</f>
        <v>#N/A</v>
      </c>
    </row>
    <row r="1747" spans="1:35" ht="19.95" customHeight="1" x14ac:dyDescent="0.3">
      <c r="A1747" s="33" t="s">
        <v>6171</v>
      </c>
      <c r="B1747" s="34">
        <v>45944.619583333333</v>
      </c>
      <c r="C1747" s="34" t="str">
        <f t="shared" si="40"/>
        <v>202510</v>
      </c>
      <c r="D1747" s="35" t="s">
        <v>996</v>
      </c>
      <c r="E1747" s="36" t="s">
        <v>910</v>
      </c>
      <c r="F1747" s="36" t="s">
        <v>1392</v>
      </c>
      <c r="G1747" s="37" t="s">
        <v>6172</v>
      </c>
      <c r="H1747" s="36" t="s">
        <v>970</v>
      </c>
      <c r="I1747" s="35" t="s">
        <v>6173</v>
      </c>
      <c r="J1747" s="36" t="s">
        <v>929</v>
      </c>
      <c r="K1747" s="33" t="s">
        <v>916</v>
      </c>
      <c r="L1747" s="35" t="s">
        <v>916</v>
      </c>
      <c r="M1747" s="36" t="s">
        <v>916</v>
      </c>
      <c r="N1747" s="45">
        <v>46022</v>
      </c>
      <c r="O1747" s="36" t="s">
        <v>25</v>
      </c>
      <c r="P1747" s="38">
        <v>77.3804166667</v>
      </c>
      <c r="Q1747" s="39" t="s">
        <v>6174</v>
      </c>
      <c r="R1747" s="35" t="s">
        <v>916</v>
      </c>
      <c r="S1747" s="35" t="s">
        <v>6175</v>
      </c>
      <c r="T1747" s="35" t="s">
        <v>1701</v>
      </c>
      <c r="U1747" s="40">
        <v>45945</v>
      </c>
      <c r="V1747" s="41">
        <v>46153.53297453704</v>
      </c>
      <c r="W1747" s="40">
        <v>45944</v>
      </c>
      <c r="X1747" s="35" t="s">
        <v>916</v>
      </c>
      <c r="Y1747" s="35" t="s">
        <v>916</v>
      </c>
      <c r="Z1747" s="35" t="s">
        <v>916</v>
      </c>
      <c r="AA1747" s="38">
        <v>1857.1300000008</v>
      </c>
      <c r="AB1747" s="42" t="s">
        <v>916</v>
      </c>
      <c r="AC1747" s="43" t="s">
        <v>916</v>
      </c>
      <c r="AD1747" s="43" t="s">
        <v>916</v>
      </c>
      <c r="AE1747" s="33" t="s">
        <v>3982</v>
      </c>
      <c r="AF1747" s="35" t="s">
        <v>916</v>
      </c>
      <c r="AG1747" s="44">
        <v>978383.90333333344</v>
      </c>
      <c r="AH1747" s="42" t="s">
        <v>916</v>
      </c>
      <c r="AI1747" s="32" t="e">
        <f>VLOOKUP(A1747,'4月明細'!B:B,1,0)</f>
        <v>#N/A</v>
      </c>
    </row>
    <row r="1748" spans="1:35" ht="19.95" customHeight="1" x14ac:dyDescent="0.3">
      <c r="A1748" s="33" t="s">
        <v>6176</v>
      </c>
      <c r="B1748" s="34">
        <v>45944.597858796296</v>
      </c>
      <c r="C1748" s="34" t="str">
        <f t="shared" si="40"/>
        <v>202510</v>
      </c>
      <c r="D1748" s="35" t="s">
        <v>5413</v>
      </c>
      <c r="E1748" s="36" t="s">
        <v>910</v>
      </c>
      <c r="F1748" s="36" t="s">
        <v>1397</v>
      </c>
      <c r="G1748" s="37" t="s">
        <v>2767</v>
      </c>
      <c r="H1748" s="36" t="s">
        <v>970</v>
      </c>
      <c r="I1748" s="35"/>
      <c r="J1748" s="36" t="s">
        <v>929</v>
      </c>
      <c r="K1748" s="33" t="s">
        <v>916</v>
      </c>
      <c r="L1748" s="35" t="s">
        <v>916</v>
      </c>
      <c r="M1748" s="36" t="s">
        <v>916</v>
      </c>
      <c r="N1748" s="45">
        <v>46022</v>
      </c>
      <c r="O1748" s="36" t="s">
        <v>25</v>
      </c>
      <c r="P1748" s="38">
        <v>77.402141203699998</v>
      </c>
      <c r="Q1748" s="36" t="s">
        <v>916</v>
      </c>
      <c r="R1748" s="35" t="s">
        <v>916</v>
      </c>
      <c r="S1748" s="35"/>
      <c r="T1748" s="35" t="s">
        <v>1624</v>
      </c>
      <c r="U1748" s="40">
        <v>45945</v>
      </c>
      <c r="V1748" s="41">
        <v>46153.532986111109</v>
      </c>
      <c r="W1748" s="40">
        <v>45944</v>
      </c>
      <c r="X1748" s="35" t="s">
        <v>916</v>
      </c>
      <c r="Y1748" s="35" t="s">
        <v>916</v>
      </c>
      <c r="Z1748" s="35" t="s">
        <v>916</v>
      </c>
      <c r="AA1748" s="38">
        <v>1857.6513888888001</v>
      </c>
      <c r="AB1748" s="42" t="s">
        <v>916</v>
      </c>
      <c r="AC1748" s="43" t="s">
        <v>916</v>
      </c>
      <c r="AD1748" s="43" t="s">
        <v>916</v>
      </c>
      <c r="AE1748" s="33" t="s">
        <v>3982</v>
      </c>
      <c r="AF1748" s="35" t="s">
        <v>916</v>
      </c>
      <c r="AG1748" s="44">
        <v>489014.34861111111</v>
      </c>
      <c r="AH1748" s="42" t="s">
        <v>916</v>
      </c>
      <c r="AI1748" s="32" t="e">
        <f>VLOOKUP(A1748,'4月明細'!B:B,1,0)</f>
        <v>#N/A</v>
      </c>
    </row>
    <row r="1749" spans="1:35" ht="19.95" customHeight="1" x14ac:dyDescent="0.3">
      <c r="A1749" s="33" t="s">
        <v>6177</v>
      </c>
      <c r="B1749" s="34">
        <v>45944.594884259262</v>
      </c>
      <c r="C1749" s="34" t="str">
        <f t="shared" si="40"/>
        <v>202510</v>
      </c>
      <c r="D1749" s="35" t="s">
        <v>951</v>
      </c>
      <c r="E1749" s="36" t="s">
        <v>910</v>
      </c>
      <c r="F1749" s="36" t="s">
        <v>1397</v>
      </c>
      <c r="G1749" s="37" t="s">
        <v>6178</v>
      </c>
      <c r="H1749" s="36" t="s">
        <v>970</v>
      </c>
      <c r="I1749" s="35" t="s">
        <v>6179</v>
      </c>
      <c r="J1749" s="36" t="s">
        <v>929</v>
      </c>
      <c r="K1749" s="33" t="s">
        <v>916</v>
      </c>
      <c r="L1749" s="35" t="s">
        <v>916</v>
      </c>
      <c r="M1749" s="36" t="s">
        <v>916</v>
      </c>
      <c r="N1749" s="45">
        <v>46022</v>
      </c>
      <c r="O1749" s="36" t="s">
        <v>25</v>
      </c>
      <c r="P1749" s="38">
        <v>77.405115740699998</v>
      </c>
      <c r="Q1749" s="39" t="s">
        <v>6180</v>
      </c>
      <c r="R1749" s="35" t="s">
        <v>916</v>
      </c>
      <c r="S1749" s="35"/>
      <c r="T1749" s="35" t="s">
        <v>1701</v>
      </c>
      <c r="U1749" s="40">
        <v>45945</v>
      </c>
      <c r="V1749" s="41">
        <v>46153.532986111109</v>
      </c>
      <c r="W1749" s="40">
        <v>45944</v>
      </c>
      <c r="X1749" s="35" t="s">
        <v>916</v>
      </c>
      <c r="Y1749" s="35" t="s">
        <v>916</v>
      </c>
      <c r="Z1749" s="35" t="s">
        <v>916</v>
      </c>
      <c r="AA1749" s="38">
        <v>1857.7227777768001</v>
      </c>
      <c r="AB1749" s="42" t="s">
        <v>916</v>
      </c>
      <c r="AC1749" s="43" t="s">
        <v>916</v>
      </c>
      <c r="AD1749" s="43" t="s">
        <v>916</v>
      </c>
      <c r="AE1749" s="33" t="s">
        <v>3982</v>
      </c>
      <c r="AF1749" s="35" t="s">
        <v>916</v>
      </c>
      <c r="AG1749" s="44">
        <v>489014.27722222218</v>
      </c>
      <c r="AH1749" s="42" t="s">
        <v>916</v>
      </c>
      <c r="AI1749" s="32" t="e">
        <f>VLOOKUP(A1749,'4月明細'!B:B,1,0)</f>
        <v>#N/A</v>
      </c>
    </row>
    <row r="1750" spans="1:35" ht="19.95" customHeight="1" x14ac:dyDescent="0.3">
      <c r="A1750" s="33" t="s">
        <v>6181</v>
      </c>
      <c r="B1750" s="34">
        <v>45944.589733796296</v>
      </c>
      <c r="C1750" s="34" t="str">
        <f t="shared" si="40"/>
        <v>202510</v>
      </c>
      <c r="D1750" s="35" t="s">
        <v>996</v>
      </c>
      <c r="E1750" s="36" t="s">
        <v>910</v>
      </c>
      <c r="F1750" s="36" t="s">
        <v>1133</v>
      </c>
      <c r="G1750" s="37" t="s">
        <v>6182</v>
      </c>
      <c r="H1750" s="36" t="s">
        <v>3985</v>
      </c>
      <c r="I1750" s="35" t="s">
        <v>6183</v>
      </c>
      <c r="J1750" s="36" t="s">
        <v>914</v>
      </c>
      <c r="K1750" s="33" t="s">
        <v>916</v>
      </c>
      <c r="L1750" s="35" t="s">
        <v>916</v>
      </c>
      <c r="M1750" s="36" t="s">
        <v>916</v>
      </c>
      <c r="N1750" s="45">
        <v>46022</v>
      </c>
      <c r="O1750" s="36" t="s">
        <v>25</v>
      </c>
      <c r="P1750" s="38">
        <v>77.410266203700004</v>
      </c>
      <c r="Q1750" s="39" t="s">
        <v>6184</v>
      </c>
      <c r="R1750" s="35" t="s">
        <v>916</v>
      </c>
      <c r="S1750" s="35" t="s">
        <v>6185</v>
      </c>
      <c r="T1750" s="35" t="s">
        <v>1701</v>
      </c>
      <c r="U1750" s="40">
        <v>45945</v>
      </c>
      <c r="V1750" s="41">
        <v>46153.532986111109</v>
      </c>
      <c r="W1750" s="40">
        <v>45944</v>
      </c>
      <c r="X1750" s="35" t="s">
        <v>916</v>
      </c>
      <c r="Y1750" s="35" t="s">
        <v>916</v>
      </c>
      <c r="Z1750" s="35" t="s">
        <v>916</v>
      </c>
      <c r="AA1750" s="38">
        <v>1857.8463888888</v>
      </c>
      <c r="AB1750" s="42" t="s">
        <v>916</v>
      </c>
      <c r="AC1750" s="43" t="s">
        <v>916</v>
      </c>
      <c r="AD1750" s="43" t="s">
        <v>916</v>
      </c>
      <c r="AE1750" s="33" t="s">
        <v>3982</v>
      </c>
      <c r="AF1750" s="35" t="s">
        <v>916</v>
      </c>
      <c r="AG1750" s="44">
        <v>489014.15361111111</v>
      </c>
      <c r="AH1750" s="42" t="s">
        <v>916</v>
      </c>
      <c r="AI1750" s="32" t="e">
        <f>VLOOKUP(A1750,'4月明細'!B:B,1,0)</f>
        <v>#N/A</v>
      </c>
    </row>
    <row r="1751" spans="1:35" ht="19.95" customHeight="1" x14ac:dyDescent="0.3">
      <c r="A1751" s="33" t="s">
        <v>6186</v>
      </c>
      <c r="B1751" s="34">
        <v>45944.515324074076</v>
      </c>
      <c r="C1751" s="34" t="str">
        <f t="shared" si="40"/>
        <v>202510</v>
      </c>
      <c r="D1751" s="35" t="s">
        <v>5467</v>
      </c>
      <c r="E1751" s="36" t="s">
        <v>910</v>
      </c>
      <c r="F1751" s="36" t="s">
        <v>1750</v>
      </c>
      <c r="G1751" s="37" t="s">
        <v>6187</v>
      </c>
      <c r="H1751" s="36" t="s">
        <v>4683</v>
      </c>
      <c r="I1751" s="35"/>
      <c r="J1751" s="36" t="s">
        <v>914</v>
      </c>
      <c r="K1751" s="33" t="s">
        <v>916</v>
      </c>
      <c r="L1751" s="35" t="s">
        <v>916</v>
      </c>
      <c r="M1751" s="36" t="s">
        <v>916</v>
      </c>
      <c r="N1751" s="45">
        <v>46022</v>
      </c>
      <c r="O1751" s="36" t="s">
        <v>25</v>
      </c>
      <c r="P1751" s="38">
        <v>77.484675925900007</v>
      </c>
      <c r="Q1751" s="36" t="s">
        <v>916</v>
      </c>
      <c r="R1751" s="35" t="s">
        <v>916</v>
      </c>
      <c r="S1751" s="35"/>
      <c r="T1751" s="35" t="s">
        <v>1624</v>
      </c>
      <c r="U1751" s="40">
        <v>45945</v>
      </c>
      <c r="V1751" s="41">
        <v>46153.532986111109</v>
      </c>
      <c r="W1751" s="40">
        <v>45944</v>
      </c>
      <c r="X1751" s="35" t="s">
        <v>916</v>
      </c>
      <c r="Y1751" s="35" t="s">
        <v>916</v>
      </c>
      <c r="Z1751" s="35" t="s">
        <v>916</v>
      </c>
      <c r="AA1751" s="38">
        <v>1859.6322222215999</v>
      </c>
      <c r="AB1751" s="42" t="s">
        <v>916</v>
      </c>
      <c r="AC1751" s="43" t="s">
        <v>916</v>
      </c>
      <c r="AD1751" s="43" t="s">
        <v>916</v>
      </c>
      <c r="AE1751" s="33" t="s">
        <v>3982</v>
      </c>
      <c r="AF1751" s="35" t="s">
        <v>916</v>
      </c>
      <c r="AG1751" s="44">
        <v>489012.36777777778</v>
      </c>
      <c r="AH1751" s="42" t="s">
        <v>916</v>
      </c>
      <c r="AI1751" s="32" t="e">
        <f>VLOOKUP(A1751,'4月明細'!B:B,1,0)</f>
        <v>#N/A</v>
      </c>
    </row>
    <row r="1752" spans="1:35" ht="19.95" customHeight="1" x14ac:dyDescent="0.3">
      <c r="A1752" s="33" t="s">
        <v>6188</v>
      </c>
      <c r="B1752" s="34">
        <v>45944.514317129629</v>
      </c>
      <c r="C1752" s="34" t="str">
        <f t="shared" si="40"/>
        <v>202510</v>
      </c>
      <c r="D1752" s="35" t="s">
        <v>951</v>
      </c>
      <c r="E1752" s="36" t="s">
        <v>910</v>
      </c>
      <c r="F1752" s="36" t="s">
        <v>1750</v>
      </c>
      <c r="G1752" s="37" t="s">
        <v>6189</v>
      </c>
      <c r="H1752" s="36" t="s">
        <v>4185</v>
      </c>
      <c r="I1752" s="35" t="s">
        <v>6190</v>
      </c>
      <c r="J1752" s="36" t="s">
        <v>914</v>
      </c>
      <c r="K1752" s="33" t="s">
        <v>916</v>
      </c>
      <c r="L1752" s="35" t="s">
        <v>916</v>
      </c>
      <c r="M1752" s="36" t="s">
        <v>916</v>
      </c>
      <c r="N1752" s="45">
        <v>46022</v>
      </c>
      <c r="O1752" s="36" t="s">
        <v>25</v>
      </c>
      <c r="P1752" s="38">
        <v>77.485682870399998</v>
      </c>
      <c r="Q1752" s="39" t="s">
        <v>6191</v>
      </c>
      <c r="R1752" s="35" t="s">
        <v>916</v>
      </c>
      <c r="S1752" s="35"/>
      <c r="T1752" s="35" t="s">
        <v>1701</v>
      </c>
      <c r="U1752" s="40">
        <v>45945</v>
      </c>
      <c r="V1752" s="41">
        <v>46153.532986111109</v>
      </c>
      <c r="W1752" s="40">
        <v>45944</v>
      </c>
      <c r="X1752" s="35" t="s">
        <v>916</v>
      </c>
      <c r="Y1752" s="35" t="s">
        <v>916</v>
      </c>
      <c r="Z1752" s="35" t="s">
        <v>916</v>
      </c>
      <c r="AA1752" s="38">
        <v>1859.6563888896001</v>
      </c>
      <c r="AB1752" s="42" t="s">
        <v>916</v>
      </c>
      <c r="AC1752" s="43" t="s">
        <v>916</v>
      </c>
      <c r="AD1752" s="43" t="s">
        <v>916</v>
      </c>
      <c r="AE1752" s="33" t="s">
        <v>3982</v>
      </c>
      <c r="AF1752" s="35" t="s">
        <v>916</v>
      </c>
      <c r="AG1752" s="44">
        <v>489012.34361111111</v>
      </c>
      <c r="AH1752" s="42" t="s">
        <v>916</v>
      </c>
      <c r="AI1752" s="32" t="e">
        <f>VLOOKUP(A1752,'4月明細'!B:B,1,0)</f>
        <v>#N/A</v>
      </c>
    </row>
    <row r="1753" spans="1:35" ht="19.95" customHeight="1" x14ac:dyDescent="0.3">
      <c r="A1753" s="33" t="s">
        <v>6192</v>
      </c>
      <c r="B1753" s="34">
        <v>45944.513877314814</v>
      </c>
      <c r="C1753" s="34" t="str">
        <f t="shared" si="40"/>
        <v>202510</v>
      </c>
      <c r="D1753" s="35" t="s">
        <v>951</v>
      </c>
      <c r="E1753" s="36" t="s">
        <v>910</v>
      </c>
      <c r="F1753" s="36" t="s">
        <v>1750</v>
      </c>
      <c r="G1753" s="37" t="s">
        <v>6193</v>
      </c>
      <c r="H1753" s="36" t="s">
        <v>1048</v>
      </c>
      <c r="I1753" s="35" t="s">
        <v>6194</v>
      </c>
      <c r="J1753" s="36" t="s">
        <v>914</v>
      </c>
      <c r="K1753" s="33" t="s">
        <v>916</v>
      </c>
      <c r="L1753" s="35" t="s">
        <v>916</v>
      </c>
      <c r="M1753" s="36" t="s">
        <v>916</v>
      </c>
      <c r="N1753" s="45">
        <v>46022</v>
      </c>
      <c r="O1753" s="36" t="s">
        <v>25</v>
      </c>
      <c r="P1753" s="38">
        <v>77.486122685200002</v>
      </c>
      <c r="Q1753" s="39" t="s">
        <v>6191</v>
      </c>
      <c r="R1753" s="35" t="s">
        <v>916</v>
      </c>
      <c r="S1753" s="35" t="s">
        <v>6195</v>
      </c>
      <c r="T1753" s="35" t="s">
        <v>1701</v>
      </c>
      <c r="U1753" s="40">
        <v>45945</v>
      </c>
      <c r="V1753" s="41">
        <v>46153.532986111109</v>
      </c>
      <c r="W1753" s="40">
        <v>45944</v>
      </c>
      <c r="X1753" s="35" t="s">
        <v>916</v>
      </c>
      <c r="Y1753" s="35" t="s">
        <v>916</v>
      </c>
      <c r="Z1753" s="35" t="s">
        <v>916</v>
      </c>
      <c r="AA1753" s="38">
        <v>1859.6669444448</v>
      </c>
      <c r="AB1753" s="42" t="s">
        <v>916</v>
      </c>
      <c r="AC1753" s="43" t="s">
        <v>916</v>
      </c>
      <c r="AD1753" s="43" t="s">
        <v>916</v>
      </c>
      <c r="AE1753" s="33" t="s">
        <v>3982</v>
      </c>
      <c r="AF1753" s="35" t="s">
        <v>916</v>
      </c>
      <c r="AG1753" s="44">
        <v>489012.33305555547</v>
      </c>
      <c r="AH1753" s="42" t="s">
        <v>916</v>
      </c>
      <c r="AI1753" s="32" t="e">
        <f>VLOOKUP(A1753,'4月明細'!B:B,1,0)</f>
        <v>#N/A</v>
      </c>
    </row>
    <row r="1754" spans="1:35" ht="19.95" customHeight="1" x14ac:dyDescent="0.3">
      <c r="A1754" s="33" t="s">
        <v>6196</v>
      </c>
      <c r="B1754" s="34">
        <v>45944.46503472222</v>
      </c>
      <c r="C1754" s="34" t="str">
        <f t="shared" si="40"/>
        <v>202510</v>
      </c>
      <c r="D1754" s="35" t="s">
        <v>5467</v>
      </c>
      <c r="E1754" s="36" t="s">
        <v>910</v>
      </c>
      <c r="F1754" s="36" t="s">
        <v>2225</v>
      </c>
      <c r="G1754" s="37" t="s">
        <v>6197</v>
      </c>
      <c r="H1754" s="36" t="s">
        <v>4007</v>
      </c>
      <c r="I1754" s="35" t="s">
        <v>6198</v>
      </c>
      <c r="J1754" s="36" t="s">
        <v>914</v>
      </c>
      <c r="K1754" s="33" t="s">
        <v>916</v>
      </c>
      <c r="L1754" s="35" t="s">
        <v>916</v>
      </c>
      <c r="M1754" s="36" t="s">
        <v>916</v>
      </c>
      <c r="N1754" s="45">
        <v>46022</v>
      </c>
      <c r="O1754" s="36" t="s">
        <v>25</v>
      </c>
      <c r="P1754" s="38">
        <v>77.534965277799998</v>
      </c>
      <c r="Q1754" s="36" t="s">
        <v>916</v>
      </c>
      <c r="R1754" s="35" t="s">
        <v>916</v>
      </c>
      <c r="S1754" s="35"/>
      <c r="T1754" s="35" t="s">
        <v>1624</v>
      </c>
      <c r="U1754" s="40">
        <v>45945</v>
      </c>
      <c r="V1754" s="41">
        <v>46153.532986111109</v>
      </c>
      <c r="W1754" s="40">
        <v>45944</v>
      </c>
      <c r="X1754" s="35" t="s">
        <v>916</v>
      </c>
      <c r="Y1754" s="35" t="s">
        <v>916</v>
      </c>
      <c r="Z1754" s="35" t="s">
        <v>916</v>
      </c>
      <c r="AA1754" s="38">
        <v>1860.8391666672001</v>
      </c>
      <c r="AB1754" s="42" t="s">
        <v>916</v>
      </c>
      <c r="AC1754" s="43" t="s">
        <v>916</v>
      </c>
      <c r="AD1754" s="43" t="s">
        <v>916</v>
      </c>
      <c r="AE1754" s="33" t="s">
        <v>3982</v>
      </c>
      <c r="AF1754" s="35" t="s">
        <v>916</v>
      </c>
      <c r="AG1754" s="44">
        <v>489011.16083333339</v>
      </c>
      <c r="AH1754" s="42" t="s">
        <v>916</v>
      </c>
      <c r="AI1754" s="32" t="e">
        <f>VLOOKUP(A1754,'4月明細'!B:B,1,0)</f>
        <v>#N/A</v>
      </c>
    </row>
    <row r="1755" spans="1:35" ht="19.95" customHeight="1" x14ac:dyDescent="0.3">
      <c r="A1755" s="33" t="s">
        <v>6199</v>
      </c>
      <c r="B1755" s="34">
        <v>45944.46230324074</v>
      </c>
      <c r="C1755" s="34" t="str">
        <f t="shared" si="40"/>
        <v>202510</v>
      </c>
      <c r="D1755" s="35" t="s">
        <v>951</v>
      </c>
      <c r="E1755" s="36" t="s">
        <v>910</v>
      </c>
      <c r="F1755" s="36" t="s">
        <v>2225</v>
      </c>
      <c r="G1755" s="37" t="s">
        <v>6200</v>
      </c>
      <c r="H1755" s="36" t="s">
        <v>4007</v>
      </c>
      <c r="I1755" s="35" t="s">
        <v>6201</v>
      </c>
      <c r="J1755" s="36" t="s">
        <v>916</v>
      </c>
      <c r="K1755" s="33" t="s">
        <v>916</v>
      </c>
      <c r="L1755" s="35" t="s">
        <v>916</v>
      </c>
      <c r="M1755" s="36" t="s">
        <v>916</v>
      </c>
      <c r="N1755" s="45">
        <v>46022</v>
      </c>
      <c r="O1755" s="36" t="s">
        <v>25</v>
      </c>
      <c r="P1755" s="38">
        <v>77.537696759300005</v>
      </c>
      <c r="Q1755" s="39" t="s">
        <v>6202</v>
      </c>
      <c r="R1755" s="35" t="s">
        <v>916</v>
      </c>
      <c r="S1755" s="35" t="s">
        <v>6203</v>
      </c>
      <c r="T1755" s="35" t="s">
        <v>1701</v>
      </c>
      <c r="U1755" s="40">
        <v>45945</v>
      </c>
      <c r="V1755" s="41">
        <v>46153.532986111109</v>
      </c>
      <c r="W1755" s="40">
        <v>45944</v>
      </c>
      <c r="X1755" s="35" t="s">
        <v>916</v>
      </c>
      <c r="Y1755" s="35" t="s">
        <v>916</v>
      </c>
      <c r="Z1755" s="35" t="s">
        <v>916</v>
      </c>
      <c r="AA1755" s="38">
        <v>1860.9047222232</v>
      </c>
      <c r="AB1755" s="42" t="s">
        <v>916</v>
      </c>
      <c r="AC1755" s="43" t="s">
        <v>916</v>
      </c>
      <c r="AD1755" s="43" t="s">
        <v>916</v>
      </c>
      <c r="AE1755" s="33" t="s">
        <v>3982</v>
      </c>
      <c r="AF1755" s="35" t="s">
        <v>916</v>
      </c>
      <c r="AG1755" s="44">
        <v>489011.09527777781</v>
      </c>
      <c r="AH1755" s="42" t="s">
        <v>916</v>
      </c>
      <c r="AI1755" s="32" t="e">
        <f>VLOOKUP(A1755,'4月明細'!B:B,1,0)</f>
        <v>#N/A</v>
      </c>
    </row>
    <row r="1756" spans="1:35" ht="19.95" customHeight="1" x14ac:dyDescent="0.3">
      <c r="A1756" s="33" t="s">
        <v>6204</v>
      </c>
      <c r="B1756" s="34">
        <v>45944.453645833331</v>
      </c>
      <c r="C1756" s="34" t="str">
        <f t="shared" si="40"/>
        <v>202510</v>
      </c>
      <c r="D1756" s="35" t="s">
        <v>996</v>
      </c>
      <c r="E1756" s="36" t="s">
        <v>910</v>
      </c>
      <c r="F1756" s="36" t="s">
        <v>1386</v>
      </c>
      <c r="G1756" s="37" t="s">
        <v>6205</v>
      </c>
      <c r="H1756" s="36" t="s">
        <v>4267</v>
      </c>
      <c r="I1756" s="35" t="s">
        <v>6206</v>
      </c>
      <c r="J1756" s="36" t="s">
        <v>914</v>
      </c>
      <c r="K1756" s="33" t="s">
        <v>916</v>
      </c>
      <c r="L1756" s="35" t="s">
        <v>916</v>
      </c>
      <c r="M1756" s="36" t="s">
        <v>916</v>
      </c>
      <c r="N1756" s="45">
        <v>46022</v>
      </c>
      <c r="O1756" s="36" t="s">
        <v>25</v>
      </c>
      <c r="P1756" s="38">
        <v>77.546354166699999</v>
      </c>
      <c r="Q1756" s="39" t="s">
        <v>6202</v>
      </c>
      <c r="R1756" s="35" t="s">
        <v>916</v>
      </c>
      <c r="S1756" s="35" t="s">
        <v>6207</v>
      </c>
      <c r="T1756" s="35" t="s">
        <v>1701</v>
      </c>
      <c r="U1756" s="40">
        <v>45945</v>
      </c>
      <c r="V1756" s="41">
        <v>46153.532986111109</v>
      </c>
      <c r="W1756" s="40">
        <v>45944</v>
      </c>
      <c r="X1756" s="35" t="s">
        <v>916</v>
      </c>
      <c r="Y1756" s="35" t="s">
        <v>916</v>
      </c>
      <c r="Z1756" s="35" t="s">
        <v>916</v>
      </c>
      <c r="AA1756" s="38">
        <v>1861.1125000008001</v>
      </c>
      <c r="AB1756" s="42" t="s">
        <v>916</v>
      </c>
      <c r="AC1756" s="43" t="s">
        <v>916</v>
      </c>
      <c r="AD1756" s="43" t="s">
        <v>916</v>
      </c>
      <c r="AE1756" s="33" t="s">
        <v>3982</v>
      </c>
      <c r="AF1756" s="35" t="s">
        <v>916</v>
      </c>
      <c r="AG1756" s="44">
        <v>489010.88750000013</v>
      </c>
      <c r="AH1756" s="42" t="s">
        <v>916</v>
      </c>
      <c r="AI1756" s="32" t="e">
        <f>VLOOKUP(A1756,'4月明細'!B:B,1,0)</f>
        <v>#N/A</v>
      </c>
    </row>
    <row r="1757" spans="1:35" ht="19.95" customHeight="1" x14ac:dyDescent="0.3">
      <c r="A1757" s="33" t="s">
        <v>6208</v>
      </c>
      <c r="B1757" s="34">
        <v>45944.45171296296</v>
      </c>
      <c r="C1757" s="34" t="str">
        <f t="shared" si="40"/>
        <v>202510</v>
      </c>
      <c r="D1757" s="35" t="s">
        <v>5467</v>
      </c>
      <c r="E1757" s="36" t="s">
        <v>910</v>
      </c>
      <c r="F1757" s="36" t="s">
        <v>1229</v>
      </c>
      <c r="G1757" s="37" t="s">
        <v>6209</v>
      </c>
      <c r="H1757" s="36" t="s">
        <v>4065</v>
      </c>
      <c r="I1757" s="35" t="s">
        <v>6210</v>
      </c>
      <c r="J1757" s="36" t="s">
        <v>929</v>
      </c>
      <c r="K1757" s="33" t="s">
        <v>916</v>
      </c>
      <c r="L1757" s="35" t="s">
        <v>916</v>
      </c>
      <c r="M1757" s="36" t="s">
        <v>916</v>
      </c>
      <c r="N1757" s="45">
        <v>46022</v>
      </c>
      <c r="O1757" s="36" t="s">
        <v>25</v>
      </c>
      <c r="P1757" s="38">
        <v>77.548287036999994</v>
      </c>
      <c r="Q1757" s="39" t="s">
        <v>6211</v>
      </c>
      <c r="R1757" s="35" t="s">
        <v>916</v>
      </c>
      <c r="S1757" s="35" t="s">
        <v>6212</v>
      </c>
      <c r="T1757" s="35" t="s">
        <v>1701</v>
      </c>
      <c r="U1757" s="40">
        <v>45945</v>
      </c>
      <c r="V1757" s="41">
        <v>46153.532986111109</v>
      </c>
      <c r="W1757" s="40">
        <v>45944</v>
      </c>
      <c r="X1757" s="35" t="s">
        <v>916</v>
      </c>
      <c r="Y1757" s="35" t="s">
        <v>916</v>
      </c>
      <c r="Z1757" s="35" t="s">
        <v>916</v>
      </c>
      <c r="AA1757" s="38">
        <v>1861.1588888880001</v>
      </c>
      <c r="AB1757" s="42" t="s">
        <v>916</v>
      </c>
      <c r="AC1757" s="43" t="s">
        <v>916</v>
      </c>
      <c r="AD1757" s="43" t="s">
        <v>916</v>
      </c>
      <c r="AE1757" s="33" t="s">
        <v>3982</v>
      </c>
      <c r="AF1757" s="35" t="s">
        <v>916</v>
      </c>
      <c r="AG1757" s="44">
        <v>489010.84111111111</v>
      </c>
      <c r="AH1757" s="42" t="s">
        <v>916</v>
      </c>
      <c r="AI1757" s="32" t="e">
        <f>VLOOKUP(A1757,'4月明細'!B:B,1,0)</f>
        <v>#N/A</v>
      </c>
    </row>
    <row r="1758" spans="1:35" ht="19.95" customHeight="1" x14ac:dyDescent="0.3">
      <c r="A1758" s="33" t="s">
        <v>6213</v>
      </c>
      <c r="B1758" s="34">
        <v>45944.326550925929</v>
      </c>
      <c r="C1758" s="34" t="str">
        <f t="shared" si="40"/>
        <v>202510</v>
      </c>
      <c r="D1758" s="35" t="s">
        <v>1597</v>
      </c>
      <c r="E1758" s="36" t="s">
        <v>1112</v>
      </c>
      <c r="F1758" s="36" t="s">
        <v>1423</v>
      </c>
      <c r="G1758" s="37" t="s">
        <v>6214</v>
      </c>
      <c r="H1758" s="36" t="s">
        <v>956</v>
      </c>
      <c r="I1758" s="35"/>
      <c r="J1758" s="36" t="s">
        <v>945</v>
      </c>
      <c r="K1758" s="33" t="s">
        <v>916</v>
      </c>
      <c r="L1758" s="35" t="s">
        <v>916</v>
      </c>
      <c r="M1758" s="36" t="s">
        <v>916</v>
      </c>
      <c r="N1758" s="45">
        <v>46022</v>
      </c>
      <c r="O1758" s="36" t="s">
        <v>25</v>
      </c>
      <c r="P1758" s="38">
        <v>77.673449074100006</v>
      </c>
      <c r="Q1758" s="39" t="s">
        <v>5957</v>
      </c>
      <c r="R1758" s="35" t="s">
        <v>916</v>
      </c>
      <c r="S1758" s="35" t="s">
        <v>6215</v>
      </c>
      <c r="T1758" s="35" t="s">
        <v>1701</v>
      </c>
      <c r="U1758" s="40">
        <v>45945</v>
      </c>
      <c r="V1758" s="41">
        <v>46153.532986111109</v>
      </c>
      <c r="W1758" s="40">
        <v>45944</v>
      </c>
      <c r="X1758" s="35" t="s">
        <v>916</v>
      </c>
      <c r="Y1758" s="35" t="s">
        <v>916</v>
      </c>
      <c r="Z1758" s="35" t="s">
        <v>916</v>
      </c>
      <c r="AA1758" s="38">
        <v>1864.1627777783999</v>
      </c>
      <c r="AB1758" s="42" t="s">
        <v>916</v>
      </c>
      <c r="AC1758" s="43" t="s">
        <v>916</v>
      </c>
      <c r="AD1758" s="43" t="s">
        <v>916</v>
      </c>
      <c r="AE1758" s="33" t="s">
        <v>3982</v>
      </c>
      <c r="AF1758" s="35" t="s">
        <v>916</v>
      </c>
      <c r="AG1758" s="44">
        <v>489007.83722222218</v>
      </c>
      <c r="AH1758" s="42" t="s">
        <v>916</v>
      </c>
      <c r="AI1758" s="32" t="e">
        <f>VLOOKUP(A1758,'4月明細'!B:B,1,0)</f>
        <v>#N/A</v>
      </c>
    </row>
    <row r="1759" spans="1:35" ht="19.95" customHeight="1" x14ac:dyDescent="0.3">
      <c r="A1759" s="33" t="s">
        <v>6216</v>
      </c>
      <c r="B1759" s="34">
        <v>45943.557430555556</v>
      </c>
      <c r="C1759" s="34" t="str">
        <f t="shared" si="40"/>
        <v>202510</v>
      </c>
      <c r="D1759" s="35" t="s">
        <v>2278</v>
      </c>
      <c r="E1759" s="36" t="s">
        <v>910</v>
      </c>
      <c r="F1759" s="36" t="s">
        <v>1419</v>
      </c>
      <c r="G1759" s="37" t="s">
        <v>6217</v>
      </c>
      <c r="H1759" s="36" t="s">
        <v>4185</v>
      </c>
      <c r="I1759" s="35"/>
      <c r="J1759" s="36" t="s">
        <v>914</v>
      </c>
      <c r="K1759" s="33" t="s">
        <v>916</v>
      </c>
      <c r="L1759" s="35" t="s">
        <v>916</v>
      </c>
      <c r="M1759" s="36" t="s">
        <v>916</v>
      </c>
      <c r="N1759" s="45">
        <v>46022</v>
      </c>
      <c r="O1759" s="36" t="s">
        <v>25</v>
      </c>
      <c r="P1759" s="38">
        <v>78.442569444399993</v>
      </c>
      <c r="Q1759" s="39" t="s">
        <v>1376</v>
      </c>
      <c r="R1759" s="35" t="s">
        <v>916</v>
      </c>
      <c r="S1759" s="35"/>
      <c r="T1759" s="35" t="s">
        <v>1701</v>
      </c>
      <c r="U1759" s="40">
        <v>45944</v>
      </c>
      <c r="V1759" s="41">
        <v>46153.532986111109</v>
      </c>
      <c r="W1759" s="40">
        <v>45943</v>
      </c>
      <c r="X1759" s="35" t="s">
        <v>916</v>
      </c>
      <c r="Y1759" s="35" t="s">
        <v>916</v>
      </c>
      <c r="Z1759" s="35" t="s">
        <v>916</v>
      </c>
      <c r="AA1759" s="38">
        <v>1882.6216666656001</v>
      </c>
      <c r="AB1759" s="42" t="s">
        <v>916</v>
      </c>
      <c r="AC1759" s="43" t="s">
        <v>916</v>
      </c>
      <c r="AD1759" s="43" t="s">
        <v>916</v>
      </c>
      <c r="AE1759" s="33" t="s">
        <v>3982</v>
      </c>
      <c r="AF1759" s="35" t="s">
        <v>916</v>
      </c>
      <c r="AG1759" s="44">
        <v>488989.37833333341</v>
      </c>
      <c r="AH1759" s="42" t="s">
        <v>916</v>
      </c>
      <c r="AI1759" s="32" t="e">
        <f>VLOOKUP(A1759,'4月明細'!B:B,1,0)</f>
        <v>#N/A</v>
      </c>
    </row>
    <row r="1760" spans="1:35" ht="19.95" customHeight="1" x14ac:dyDescent="0.3">
      <c r="A1760" s="33" t="s">
        <v>6218</v>
      </c>
      <c r="B1760" s="34">
        <v>45943.506122685183</v>
      </c>
      <c r="C1760" s="34" t="str">
        <f t="shared" si="40"/>
        <v>202510</v>
      </c>
      <c r="D1760" s="35" t="s">
        <v>5467</v>
      </c>
      <c r="E1760" s="36" t="s">
        <v>910</v>
      </c>
      <c r="F1760" s="36" t="s">
        <v>1792</v>
      </c>
      <c r="G1760" s="37" t="s">
        <v>6217</v>
      </c>
      <c r="H1760" s="36" t="s">
        <v>4185</v>
      </c>
      <c r="I1760" s="35"/>
      <c r="J1760" s="36" t="s">
        <v>914</v>
      </c>
      <c r="K1760" s="33" t="s">
        <v>916</v>
      </c>
      <c r="L1760" s="35" t="s">
        <v>916</v>
      </c>
      <c r="M1760" s="36" t="s">
        <v>916</v>
      </c>
      <c r="N1760" s="45">
        <v>46022</v>
      </c>
      <c r="O1760" s="36" t="s">
        <v>25</v>
      </c>
      <c r="P1760" s="38">
        <v>78.493877314800002</v>
      </c>
      <c r="Q1760" s="39" t="s">
        <v>1376</v>
      </c>
      <c r="R1760" s="35" t="s">
        <v>916</v>
      </c>
      <c r="S1760" s="35"/>
      <c r="T1760" s="35" t="s">
        <v>1701</v>
      </c>
      <c r="U1760" s="40">
        <v>45944</v>
      </c>
      <c r="V1760" s="41">
        <v>46153.532986111109</v>
      </c>
      <c r="W1760" s="40">
        <v>45943</v>
      </c>
      <c r="X1760" s="35" t="s">
        <v>916</v>
      </c>
      <c r="Y1760" s="35" t="s">
        <v>916</v>
      </c>
      <c r="Z1760" s="35" t="s">
        <v>916</v>
      </c>
      <c r="AA1760" s="38">
        <v>1883.8530555551999</v>
      </c>
      <c r="AB1760" s="42" t="s">
        <v>916</v>
      </c>
      <c r="AC1760" s="43" t="s">
        <v>916</v>
      </c>
      <c r="AD1760" s="43" t="s">
        <v>916</v>
      </c>
      <c r="AE1760" s="33" t="s">
        <v>3982</v>
      </c>
      <c r="AF1760" s="35" t="s">
        <v>916</v>
      </c>
      <c r="AG1760" s="44">
        <v>488988.14694444451</v>
      </c>
      <c r="AH1760" s="42" t="s">
        <v>916</v>
      </c>
      <c r="AI1760" s="32" t="e">
        <f>VLOOKUP(A1760,'4月明細'!B:B,1,0)</f>
        <v>#N/A</v>
      </c>
    </row>
    <row r="1761" spans="1:35" ht="19.95" customHeight="1" x14ac:dyDescent="0.3">
      <c r="A1761" s="33" t="s">
        <v>6219</v>
      </c>
      <c r="B1761" s="34">
        <v>45943.495717592596</v>
      </c>
      <c r="C1761" s="34" t="str">
        <f t="shared" si="40"/>
        <v>202510</v>
      </c>
      <c r="D1761" s="35" t="s">
        <v>5413</v>
      </c>
      <c r="E1761" s="36" t="s">
        <v>910</v>
      </c>
      <c r="F1761" s="36" t="s">
        <v>2017</v>
      </c>
      <c r="G1761" s="37" t="s">
        <v>6217</v>
      </c>
      <c r="H1761" s="36" t="s">
        <v>4185</v>
      </c>
      <c r="I1761" s="35"/>
      <c r="J1761" s="36" t="s">
        <v>914</v>
      </c>
      <c r="K1761" s="33" t="s">
        <v>916</v>
      </c>
      <c r="L1761" s="35" t="s">
        <v>916</v>
      </c>
      <c r="M1761" s="36" t="s">
        <v>916</v>
      </c>
      <c r="N1761" s="45">
        <v>46022</v>
      </c>
      <c r="O1761" s="36" t="s">
        <v>25</v>
      </c>
      <c r="P1761" s="38">
        <v>78.504282407399998</v>
      </c>
      <c r="Q1761" s="39" t="s">
        <v>1376</v>
      </c>
      <c r="R1761" s="35" t="s">
        <v>916</v>
      </c>
      <c r="S1761" s="35"/>
      <c r="T1761" s="35" t="s">
        <v>1701</v>
      </c>
      <c r="U1761" s="40">
        <v>45944</v>
      </c>
      <c r="V1761" s="41">
        <v>46153.532986111109</v>
      </c>
      <c r="W1761" s="40">
        <v>45943</v>
      </c>
      <c r="X1761" s="35" t="s">
        <v>916</v>
      </c>
      <c r="Y1761" s="35" t="s">
        <v>916</v>
      </c>
      <c r="Z1761" s="35" t="s">
        <v>916</v>
      </c>
      <c r="AA1761" s="38">
        <v>1884.1027777776001</v>
      </c>
      <c r="AB1761" s="42" t="s">
        <v>916</v>
      </c>
      <c r="AC1761" s="43" t="s">
        <v>916</v>
      </c>
      <c r="AD1761" s="43" t="s">
        <v>916</v>
      </c>
      <c r="AE1761" s="33" t="s">
        <v>3982</v>
      </c>
      <c r="AF1761" s="35" t="s">
        <v>916</v>
      </c>
      <c r="AG1761" s="44">
        <v>488987.89722222218</v>
      </c>
      <c r="AH1761" s="42" t="s">
        <v>916</v>
      </c>
      <c r="AI1761" s="32" t="e">
        <f>VLOOKUP(A1761,'4月明細'!B:B,1,0)</f>
        <v>#N/A</v>
      </c>
    </row>
    <row r="1762" spans="1:35" ht="19.95" customHeight="1" x14ac:dyDescent="0.3">
      <c r="A1762" s="33" t="s">
        <v>6220</v>
      </c>
      <c r="B1762" s="34">
        <v>45943.491168981483</v>
      </c>
      <c r="C1762" s="34" t="str">
        <f t="shared" si="40"/>
        <v>202510</v>
      </c>
      <c r="D1762" s="35" t="s">
        <v>5467</v>
      </c>
      <c r="E1762" s="36" t="s">
        <v>910</v>
      </c>
      <c r="F1762" s="36" t="s">
        <v>2804</v>
      </c>
      <c r="G1762" s="37" t="s">
        <v>6217</v>
      </c>
      <c r="H1762" s="36" t="s">
        <v>4185</v>
      </c>
      <c r="I1762" s="35"/>
      <c r="J1762" s="36" t="s">
        <v>914</v>
      </c>
      <c r="K1762" s="33" t="s">
        <v>916</v>
      </c>
      <c r="L1762" s="35" t="s">
        <v>916</v>
      </c>
      <c r="M1762" s="36" t="s">
        <v>916</v>
      </c>
      <c r="N1762" s="45">
        <v>46022</v>
      </c>
      <c r="O1762" s="36" t="s">
        <v>25</v>
      </c>
      <c r="P1762" s="38">
        <v>78.508831018500004</v>
      </c>
      <c r="Q1762" s="39" t="s">
        <v>1376</v>
      </c>
      <c r="R1762" s="35" t="s">
        <v>916</v>
      </c>
      <c r="S1762" s="35"/>
      <c r="T1762" s="35" t="s">
        <v>1701</v>
      </c>
      <c r="U1762" s="40">
        <v>45944</v>
      </c>
      <c r="V1762" s="41">
        <v>46153.532986111109</v>
      </c>
      <c r="W1762" s="40">
        <v>45943</v>
      </c>
      <c r="X1762" s="35" t="s">
        <v>916</v>
      </c>
      <c r="Y1762" s="35" t="s">
        <v>916</v>
      </c>
      <c r="Z1762" s="35" t="s">
        <v>916</v>
      </c>
      <c r="AA1762" s="38">
        <v>1884.211944444</v>
      </c>
      <c r="AB1762" s="42" t="s">
        <v>916</v>
      </c>
      <c r="AC1762" s="43" t="s">
        <v>916</v>
      </c>
      <c r="AD1762" s="43" t="s">
        <v>916</v>
      </c>
      <c r="AE1762" s="33" t="s">
        <v>3982</v>
      </c>
      <c r="AF1762" s="35" t="s">
        <v>916</v>
      </c>
      <c r="AG1762" s="44">
        <v>488987.7880555556</v>
      </c>
      <c r="AH1762" s="42" t="s">
        <v>916</v>
      </c>
      <c r="AI1762" s="32" t="e">
        <f>VLOOKUP(A1762,'4月明細'!B:B,1,0)</f>
        <v>#N/A</v>
      </c>
    </row>
    <row r="1763" spans="1:35" ht="19.95" customHeight="1" x14ac:dyDescent="0.3">
      <c r="A1763" s="33" t="s">
        <v>6221</v>
      </c>
      <c r="B1763" s="34">
        <v>45943.465370370373</v>
      </c>
      <c r="C1763" s="34" t="str">
        <f t="shared" si="40"/>
        <v>202510</v>
      </c>
      <c r="D1763" s="35" t="s">
        <v>5467</v>
      </c>
      <c r="E1763" s="36" t="s">
        <v>910</v>
      </c>
      <c r="F1763" s="36" t="s">
        <v>1344</v>
      </c>
      <c r="G1763" s="37" t="s">
        <v>6217</v>
      </c>
      <c r="H1763" s="36" t="s">
        <v>4185</v>
      </c>
      <c r="I1763" s="35"/>
      <c r="J1763" s="36" t="s">
        <v>914</v>
      </c>
      <c r="K1763" s="33" t="s">
        <v>916</v>
      </c>
      <c r="L1763" s="35" t="s">
        <v>916</v>
      </c>
      <c r="M1763" s="36" t="s">
        <v>916</v>
      </c>
      <c r="N1763" s="45">
        <v>46022</v>
      </c>
      <c r="O1763" s="36" t="s">
        <v>25</v>
      </c>
      <c r="P1763" s="38">
        <v>78.534629629600005</v>
      </c>
      <c r="Q1763" s="39" t="s">
        <v>1376</v>
      </c>
      <c r="R1763" s="35" t="s">
        <v>916</v>
      </c>
      <c r="S1763" s="35"/>
      <c r="T1763" s="35" t="s">
        <v>1701</v>
      </c>
      <c r="U1763" s="40">
        <v>45944</v>
      </c>
      <c r="V1763" s="41">
        <v>46153.532986111109</v>
      </c>
      <c r="W1763" s="40">
        <v>45943</v>
      </c>
      <c r="X1763" s="35" t="s">
        <v>916</v>
      </c>
      <c r="Y1763" s="35" t="s">
        <v>916</v>
      </c>
      <c r="Z1763" s="35" t="s">
        <v>916</v>
      </c>
      <c r="AA1763" s="38">
        <v>1884.8311111103999</v>
      </c>
      <c r="AB1763" s="42" t="s">
        <v>916</v>
      </c>
      <c r="AC1763" s="43" t="s">
        <v>916</v>
      </c>
      <c r="AD1763" s="43" t="s">
        <v>916</v>
      </c>
      <c r="AE1763" s="33" t="s">
        <v>3982</v>
      </c>
      <c r="AF1763" s="35" t="s">
        <v>916</v>
      </c>
      <c r="AG1763" s="44">
        <v>488987.1688888889</v>
      </c>
      <c r="AH1763" s="42" t="s">
        <v>916</v>
      </c>
      <c r="AI1763" s="32" t="e">
        <f>VLOOKUP(A1763,'4月明細'!B:B,1,0)</f>
        <v>#N/A</v>
      </c>
    </row>
    <row r="1764" spans="1:35" ht="19.95" customHeight="1" x14ac:dyDescent="0.3">
      <c r="A1764" s="33" t="s">
        <v>6222</v>
      </c>
      <c r="B1764" s="34">
        <v>45943.313981481479</v>
      </c>
      <c r="C1764" s="34" t="str">
        <f t="shared" si="40"/>
        <v>202510</v>
      </c>
      <c r="D1764" s="35" t="s">
        <v>1217</v>
      </c>
      <c r="E1764" s="36" t="s">
        <v>1112</v>
      </c>
      <c r="F1764" s="36" t="s">
        <v>1227</v>
      </c>
      <c r="G1764" s="37" t="s">
        <v>6223</v>
      </c>
      <c r="H1764" s="36" t="s">
        <v>4240</v>
      </c>
      <c r="I1764" s="35"/>
      <c r="J1764" s="36" t="s">
        <v>929</v>
      </c>
      <c r="K1764" s="33" t="s">
        <v>916</v>
      </c>
      <c r="L1764" s="35" t="s">
        <v>916</v>
      </c>
      <c r="M1764" s="36" t="s">
        <v>916</v>
      </c>
      <c r="N1764" s="45">
        <v>46022</v>
      </c>
      <c r="O1764" s="36" t="s">
        <v>25</v>
      </c>
      <c r="P1764" s="38">
        <v>78.686018518500006</v>
      </c>
      <c r="Q1764" s="39" t="s">
        <v>6224</v>
      </c>
      <c r="R1764" s="35" t="s">
        <v>916</v>
      </c>
      <c r="S1764" s="35"/>
      <c r="T1764" s="35" t="s">
        <v>1701</v>
      </c>
      <c r="U1764" s="40">
        <v>45944</v>
      </c>
      <c r="V1764" s="41">
        <v>46153.532986111109</v>
      </c>
      <c r="W1764" s="40">
        <v>45943</v>
      </c>
      <c r="X1764" s="35" t="s">
        <v>916</v>
      </c>
      <c r="Y1764" s="35" t="s">
        <v>916</v>
      </c>
      <c r="Z1764" s="35" t="s">
        <v>916</v>
      </c>
      <c r="AA1764" s="38">
        <v>1888.464444444</v>
      </c>
      <c r="AB1764" s="42" t="s">
        <v>916</v>
      </c>
      <c r="AC1764" s="43" t="s">
        <v>916</v>
      </c>
      <c r="AD1764" s="43" t="s">
        <v>916</v>
      </c>
      <c r="AE1764" s="33" t="s">
        <v>3982</v>
      </c>
      <c r="AF1764" s="35" t="s">
        <v>916</v>
      </c>
      <c r="AG1764" s="44">
        <v>488983.5355555556</v>
      </c>
      <c r="AH1764" s="42" t="s">
        <v>916</v>
      </c>
      <c r="AI1764" s="32" t="e">
        <f>VLOOKUP(A1764,'4月明細'!B:B,1,0)</f>
        <v>#N/A</v>
      </c>
    </row>
    <row r="1765" spans="1:35" ht="19.95" customHeight="1" x14ac:dyDescent="0.3">
      <c r="A1765" s="33" t="s">
        <v>6225</v>
      </c>
      <c r="B1765" s="34">
        <v>45942.960185185184</v>
      </c>
      <c r="C1765" s="34" t="str">
        <f t="shared" si="40"/>
        <v>202510</v>
      </c>
      <c r="D1765" s="35" t="s">
        <v>6226</v>
      </c>
      <c r="E1765" s="36" t="s">
        <v>1112</v>
      </c>
      <c r="F1765" s="36" t="s">
        <v>1227</v>
      </c>
      <c r="G1765" s="37" t="s">
        <v>6227</v>
      </c>
      <c r="H1765" s="36" t="s">
        <v>5940</v>
      </c>
      <c r="I1765" s="35"/>
      <c r="J1765" s="36" t="s">
        <v>929</v>
      </c>
      <c r="K1765" s="33" t="s">
        <v>916</v>
      </c>
      <c r="L1765" s="35" t="s">
        <v>916</v>
      </c>
      <c r="M1765" s="36" t="s">
        <v>916</v>
      </c>
      <c r="N1765" s="45">
        <v>46022</v>
      </c>
      <c r="O1765" s="36" t="s">
        <v>25</v>
      </c>
      <c r="P1765" s="38">
        <v>79.039814814799996</v>
      </c>
      <c r="Q1765" s="39" t="s">
        <v>6228</v>
      </c>
      <c r="R1765" s="35" t="s">
        <v>916</v>
      </c>
      <c r="S1765" s="35"/>
      <c r="T1765" s="35" t="s">
        <v>1701</v>
      </c>
      <c r="U1765" s="40">
        <v>45943</v>
      </c>
      <c r="V1765" s="41">
        <v>46153.532986111109</v>
      </c>
      <c r="W1765" s="40">
        <v>45943</v>
      </c>
      <c r="X1765" s="35" t="s">
        <v>916</v>
      </c>
      <c r="Y1765" s="35" t="s">
        <v>916</v>
      </c>
      <c r="Z1765" s="35" t="s">
        <v>916</v>
      </c>
      <c r="AA1765" s="38">
        <v>1896.9555555551999</v>
      </c>
      <c r="AB1765" s="42" t="s">
        <v>916</v>
      </c>
      <c r="AC1765" s="43" t="s">
        <v>916</v>
      </c>
      <c r="AD1765" s="43" t="s">
        <v>916</v>
      </c>
      <c r="AE1765" s="33" t="s">
        <v>3982</v>
      </c>
      <c r="AF1765" s="35" t="s">
        <v>916</v>
      </c>
      <c r="AG1765" s="44">
        <v>488975.04444444447</v>
      </c>
      <c r="AH1765" s="42" t="s">
        <v>916</v>
      </c>
      <c r="AI1765" s="32" t="e">
        <f>VLOOKUP(A1765,'4月明細'!B:B,1,0)</f>
        <v>#N/A</v>
      </c>
    </row>
    <row r="1766" spans="1:35" ht="19.95" customHeight="1" x14ac:dyDescent="0.3">
      <c r="A1766" s="33" t="s">
        <v>6229</v>
      </c>
      <c r="B1766" s="34">
        <v>45942.900613425925</v>
      </c>
      <c r="C1766" s="34" t="str">
        <f t="shared" si="40"/>
        <v>202510</v>
      </c>
      <c r="D1766" s="35" t="s">
        <v>960</v>
      </c>
      <c r="E1766" s="36" t="s">
        <v>1112</v>
      </c>
      <c r="F1766" s="36" t="s">
        <v>1534</v>
      </c>
      <c r="G1766" s="37" t="s">
        <v>6230</v>
      </c>
      <c r="H1766" s="36" t="s">
        <v>1048</v>
      </c>
      <c r="I1766" s="35"/>
      <c r="J1766" s="36" t="s">
        <v>929</v>
      </c>
      <c r="K1766" s="33" t="s">
        <v>916</v>
      </c>
      <c r="L1766" s="35" t="s">
        <v>916</v>
      </c>
      <c r="M1766" s="36" t="s">
        <v>916</v>
      </c>
      <c r="N1766" s="45">
        <v>46022</v>
      </c>
      <c r="O1766" s="36" t="s">
        <v>25</v>
      </c>
      <c r="P1766" s="38">
        <v>79.099386574099995</v>
      </c>
      <c r="Q1766" s="39" t="s">
        <v>6231</v>
      </c>
      <c r="R1766" s="35" t="s">
        <v>916</v>
      </c>
      <c r="S1766" s="35"/>
      <c r="T1766" s="35" t="s">
        <v>1701</v>
      </c>
      <c r="U1766" s="40">
        <v>45943</v>
      </c>
      <c r="V1766" s="41">
        <v>46153.532986111109</v>
      </c>
      <c r="W1766" s="40">
        <v>45943</v>
      </c>
      <c r="X1766" s="35" t="s">
        <v>916</v>
      </c>
      <c r="Y1766" s="35" t="s">
        <v>916</v>
      </c>
      <c r="Z1766" s="35" t="s">
        <v>916</v>
      </c>
      <c r="AA1766" s="38">
        <v>1898.3852777784</v>
      </c>
      <c r="AB1766" s="42" t="s">
        <v>916</v>
      </c>
      <c r="AC1766" s="43" t="s">
        <v>916</v>
      </c>
      <c r="AD1766" s="43" t="s">
        <v>916</v>
      </c>
      <c r="AE1766" s="33" t="s">
        <v>3982</v>
      </c>
      <c r="AF1766" s="35" t="s">
        <v>916</v>
      </c>
      <c r="AG1766" s="44">
        <v>488973.61472222221</v>
      </c>
      <c r="AH1766" s="42" t="s">
        <v>916</v>
      </c>
      <c r="AI1766" s="32" t="e">
        <f>VLOOKUP(A1766,'4月明細'!B:B,1,0)</f>
        <v>#N/A</v>
      </c>
    </row>
    <row r="1767" spans="1:35" ht="19.95" customHeight="1" x14ac:dyDescent="0.3">
      <c r="A1767" s="33" t="s">
        <v>6232</v>
      </c>
      <c r="B1767" s="34">
        <v>45942.704189814816</v>
      </c>
      <c r="C1767" s="34" t="str">
        <f t="shared" si="40"/>
        <v>202510</v>
      </c>
      <c r="D1767" s="35" t="s">
        <v>5380</v>
      </c>
      <c r="E1767" s="36" t="s">
        <v>910</v>
      </c>
      <c r="F1767" s="36" t="s">
        <v>2298</v>
      </c>
      <c r="G1767" s="37" t="s">
        <v>6233</v>
      </c>
      <c r="H1767" s="36" t="s">
        <v>5940</v>
      </c>
      <c r="I1767" s="35" t="s">
        <v>6234</v>
      </c>
      <c r="J1767" s="36" t="s">
        <v>929</v>
      </c>
      <c r="K1767" s="33" t="s">
        <v>916</v>
      </c>
      <c r="L1767" s="35" t="s">
        <v>916</v>
      </c>
      <c r="M1767" s="36" t="s">
        <v>916</v>
      </c>
      <c r="N1767" s="45">
        <v>46022</v>
      </c>
      <c r="O1767" s="36" t="s">
        <v>25</v>
      </c>
      <c r="P1767" s="38">
        <v>79.295810185199997</v>
      </c>
      <c r="Q1767" s="39" t="s">
        <v>6235</v>
      </c>
      <c r="R1767" s="35" t="s">
        <v>916</v>
      </c>
      <c r="S1767" s="35"/>
      <c r="T1767" s="35" t="s">
        <v>1701</v>
      </c>
      <c r="U1767" s="40">
        <v>45943</v>
      </c>
      <c r="V1767" s="41">
        <v>46153.532986111109</v>
      </c>
      <c r="W1767" s="40">
        <v>45942</v>
      </c>
      <c r="X1767" s="35" t="s">
        <v>916</v>
      </c>
      <c r="Y1767" s="35" t="s">
        <v>916</v>
      </c>
      <c r="Z1767" s="35" t="s">
        <v>916</v>
      </c>
      <c r="AA1767" s="38">
        <v>1903.0994444447999</v>
      </c>
      <c r="AB1767" s="42" t="s">
        <v>916</v>
      </c>
      <c r="AC1767" s="43" t="s">
        <v>916</v>
      </c>
      <c r="AD1767" s="43" t="s">
        <v>916</v>
      </c>
      <c r="AE1767" s="33" t="s">
        <v>3982</v>
      </c>
      <c r="AF1767" s="35" t="s">
        <v>916</v>
      </c>
      <c r="AG1767" s="44">
        <v>488968.90055555559</v>
      </c>
      <c r="AH1767" s="42" t="s">
        <v>916</v>
      </c>
      <c r="AI1767" s="32" t="e">
        <f>VLOOKUP(A1767,'4月明細'!B:B,1,0)</f>
        <v>#N/A</v>
      </c>
    </row>
    <row r="1768" spans="1:35" ht="19.95" customHeight="1" x14ac:dyDescent="0.3">
      <c r="A1768" s="33" t="s">
        <v>6236</v>
      </c>
      <c r="B1768" s="34">
        <v>45942.664606481485</v>
      </c>
      <c r="C1768" s="34" t="str">
        <f t="shared" si="40"/>
        <v>202510</v>
      </c>
      <c r="D1768" s="35" t="s">
        <v>5380</v>
      </c>
      <c r="E1768" s="36" t="s">
        <v>910</v>
      </c>
      <c r="F1768" s="36" t="s">
        <v>1010</v>
      </c>
      <c r="G1768" s="37" t="s">
        <v>6237</v>
      </c>
      <c r="H1768" s="36" t="s">
        <v>1007</v>
      </c>
      <c r="I1768" s="35" t="s">
        <v>6238</v>
      </c>
      <c r="J1768" s="36" t="s">
        <v>929</v>
      </c>
      <c r="K1768" s="33" t="s">
        <v>916</v>
      </c>
      <c r="L1768" s="35" t="s">
        <v>916</v>
      </c>
      <c r="M1768" s="36" t="s">
        <v>916</v>
      </c>
      <c r="N1768" s="45">
        <v>46022</v>
      </c>
      <c r="O1768" s="36" t="s">
        <v>25</v>
      </c>
      <c r="P1768" s="38">
        <v>79.335393518499998</v>
      </c>
      <c r="Q1768" s="39" t="s">
        <v>6239</v>
      </c>
      <c r="R1768" s="35" t="s">
        <v>916</v>
      </c>
      <c r="S1768" s="35" t="s">
        <v>6240</v>
      </c>
      <c r="T1768" s="35" t="s">
        <v>1701</v>
      </c>
      <c r="U1768" s="40">
        <v>45943</v>
      </c>
      <c r="V1768" s="41">
        <v>46153.532986111109</v>
      </c>
      <c r="W1768" s="40">
        <v>45942</v>
      </c>
      <c r="X1768" s="35" t="s">
        <v>916</v>
      </c>
      <c r="Y1768" s="35" t="s">
        <v>916</v>
      </c>
      <c r="Z1768" s="35" t="s">
        <v>916</v>
      </c>
      <c r="AA1768" s="38">
        <v>1904.0494444440001</v>
      </c>
      <c r="AB1768" s="42" t="s">
        <v>916</v>
      </c>
      <c r="AC1768" s="43" t="s">
        <v>916</v>
      </c>
      <c r="AD1768" s="43" t="s">
        <v>916</v>
      </c>
      <c r="AE1768" s="33" t="s">
        <v>3982</v>
      </c>
      <c r="AF1768" s="35" t="s">
        <v>916</v>
      </c>
      <c r="AG1768" s="44">
        <v>488967.95055555552</v>
      </c>
      <c r="AH1768" s="42" t="s">
        <v>916</v>
      </c>
      <c r="AI1768" s="32" t="e">
        <f>VLOOKUP(A1768,'4月明細'!B:B,1,0)</f>
        <v>#N/A</v>
      </c>
    </row>
    <row r="1769" spans="1:35" ht="19.95" customHeight="1" x14ac:dyDescent="0.3">
      <c r="A1769" s="33" t="s">
        <v>6241</v>
      </c>
      <c r="B1769" s="34">
        <v>45942.6328587963</v>
      </c>
      <c r="C1769" s="34" t="str">
        <f t="shared" si="40"/>
        <v>202510</v>
      </c>
      <c r="D1769" s="35" t="s">
        <v>5380</v>
      </c>
      <c r="E1769" s="36" t="s">
        <v>910</v>
      </c>
      <c r="F1769" s="36" t="s">
        <v>1064</v>
      </c>
      <c r="G1769" s="37" t="s">
        <v>5945</v>
      </c>
      <c r="H1769" s="36" t="s">
        <v>4401</v>
      </c>
      <c r="I1769" s="35" t="s">
        <v>6242</v>
      </c>
      <c r="J1769" s="36" t="s">
        <v>929</v>
      </c>
      <c r="K1769" s="33" t="s">
        <v>916</v>
      </c>
      <c r="L1769" s="35" t="s">
        <v>916</v>
      </c>
      <c r="M1769" s="36" t="s">
        <v>916</v>
      </c>
      <c r="N1769" s="45">
        <v>46022</v>
      </c>
      <c r="O1769" s="36" t="s">
        <v>25</v>
      </c>
      <c r="P1769" s="38">
        <v>79.367141203700001</v>
      </c>
      <c r="Q1769" s="39" t="s">
        <v>5947</v>
      </c>
      <c r="R1769" s="35" t="s">
        <v>916</v>
      </c>
      <c r="S1769" s="35"/>
      <c r="T1769" s="35" t="s">
        <v>1701</v>
      </c>
      <c r="U1769" s="40">
        <v>45943</v>
      </c>
      <c r="V1769" s="41">
        <v>46153.532986111109</v>
      </c>
      <c r="W1769" s="40">
        <v>45942</v>
      </c>
      <c r="X1769" s="35" t="s">
        <v>916</v>
      </c>
      <c r="Y1769" s="35" t="s">
        <v>916</v>
      </c>
      <c r="Z1769" s="35" t="s">
        <v>916</v>
      </c>
      <c r="AA1769" s="38">
        <v>1904.8113888887999</v>
      </c>
      <c r="AB1769" s="42" t="s">
        <v>916</v>
      </c>
      <c r="AC1769" s="43" t="s">
        <v>916</v>
      </c>
      <c r="AD1769" s="43" t="s">
        <v>916</v>
      </c>
      <c r="AE1769" s="33" t="s">
        <v>3982</v>
      </c>
      <c r="AF1769" s="35" t="s">
        <v>916</v>
      </c>
      <c r="AG1769" s="44">
        <v>488967.18861111108</v>
      </c>
      <c r="AH1769" s="42" t="s">
        <v>916</v>
      </c>
      <c r="AI1769" s="32" t="e">
        <f>VLOOKUP(A1769,'4月明細'!B:B,1,0)</f>
        <v>#N/A</v>
      </c>
    </row>
    <row r="1770" spans="1:35" ht="19.95" customHeight="1" x14ac:dyDescent="0.3">
      <c r="A1770" s="33" t="s">
        <v>6243</v>
      </c>
      <c r="B1770" s="34">
        <v>45942.583969907406</v>
      </c>
      <c r="C1770" s="34" t="str">
        <f t="shared" si="40"/>
        <v>202510</v>
      </c>
      <c r="D1770" s="35" t="s">
        <v>5380</v>
      </c>
      <c r="E1770" s="36" t="s">
        <v>910</v>
      </c>
      <c r="F1770" s="36" t="s">
        <v>1130</v>
      </c>
      <c r="G1770" s="37" t="s">
        <v>6244</v>
      </c>
      <c r="H1770" s="36" t="s">
        <v>4401</v>
      </c>
      <c r="I1770" s="35" t="s">
        <v>6245</v>
      </c>
      <c r="J1770" s="36" t="s">
        <v>929</v>
      </c>
      <c r="K1770" s="33" t="s">
        <v>916</v>
      </c>
      <c r="L1770" s="35" t="s">
        <v>916</v>
      </c>
      <c r="M1770" s="36" t="s">
        <v>916</v>
      </c>
      <c r="N1770" s="45">
        <v>46022</v>
      </c>
      <c r="O1770" s="36" t="s">
        <v>25</v>
      </c>
      <c r="P1770" s="38">
        <v>79.416030092599996</v>
      </c>
      <c r="Q1770" s="39" t="s">
        <v>6246</v>
      </c>
      <c r="R1770" s="35" t="s">
        <v>916</v>
      </c>
      <c r="S1770" s="35"/>
      <c r="T1770" s="35" t="s">
        <v>1701</v>
      </c>
      <c r="U1770" s="40">
        <v>45943</v>
      </c>
      <c r="V1770" s="41">
        <v>46153.532986111109</v>
      </c>
      <c r="W1770" s="40">
        <v>45942</v>
      </c>
      <c r="X1770" s="35" t="s">
        <v>916</v>
      </c>
      <c r="Y1770" s="35" t="s">
        <v>916</v>
      </c>
      <c r="Z1770" s="35" t="s">
        <v>916</v>
      </c>
      <c r="AA1770" s="38">
        <v>1905.9847222224</v>
      </c>
      <c r="AB1770" s="42" t="s">
        <v>916</v>
      </c>
      <c r="AC1770" s="43" t="s">
        <v>916</v>
      </c>
      <c r="AD1770" s="43" t="s">
        <v>916</v>
      </c>
      <c r="AE1770" s="33" t="s">
        <v>3982</v>
      </c>
      <c r="AF1770" s="35" t="s">
        <v>916</v>
      </c>
      <c r="AG1770" s="44">
        <v>488966.0152777778</v>
      </c>
      <c r="AH1770" s="42" t="s">
        <v>916</v>
      </c>
      <c r="AI1770" s="32" t="e">
        <f>VLOOKUP(A1770,'4月明細'!B:B,1,0)</f>
        <v>#N/A</v>
      </c>
    </row>
    <row r="1771" spans="1:35" ht="19.95" customHeight="1" x14ac:dyDescent="0.3">
      <c r="A1771" s="33" t="s">
        <v>6247</v>
      </c>
      <c r="B1771" s="34">
        <v>45942.427025462966</v>
      </c>
      <c r="C1771" s="34" t="str">
        <f t="shared" si="40"/>
        <v>202510</v>
      </c>
      <c r="D1771" s="35" t="s">
        <v>3889</v>
      </c>
      <c r="E1771" s="36" t="s">
        <v>1112</v>
      </c>
      <c r="F1771" s="36" t="s">
        <v>1211</v>
      </c>
      <c r="G1771" s="37" t="s">
        <v>6248</v>
      </c>
      <c r="H1771" s="36" t="s">
        <v>5586</v>
      </c>
      <c r="I1771" s="35"/>
      <c r="J1771" s="36" t="s">
        <v>938</v>
      </c>
      <c r="K1771" s="33" t="s">
        <v>916</v>
      </c>
      <c r="L1771" s="35" t="s">
        <v>916</v>
      </c>
      <c r="M1771" s="36" t="s">
        <v>916</v>
      </c>
      <c r="N1771" s="45">
        <v>46022</v>
      </c>
      <c r="O1771" s="36" t="s">
        <v>25</v>
      </c>
      <c r="P1771" s="38">
        <v>79.572974536999993</v>
      </c>
      <c r="Q1771" s="39" t="s">
        <v>6249</v>
      </c>
      <c r="R1771" s="35" t="s">
        <v>916</v>
      </c>
      <c r="S1771" s="35"/>
      <c r="T1771" s="35" t="s">
        <v>1701</v>
      </c>
      <c r="U1771" s="40">
        <v>45943</v>
      </c>
      <c r="V1771" s="41">
        <v>46153.532986111109</v>
      </c>
      <c r="W1771" s="40">
        <v>45942</v>
      </c>
      <c r="X1771" s="35" t="s">
        <v>916</v>
      </c>
      <c r="Y1771" s="35" t="s">
        <v>916</v>
      </c>
      <c r="Z1771" s="35" t="s">
        <v>916</v>
      </c>
      <c r="AA1771" s="38">
        <v>1909.7513888880001</v>
      </c>
      <c r="AB1771" s="42" t="s">
        <v>916</v>
      </c>
      <c r="AC1771" s="43" t="s">
        <v>916</v>
      </c>
      <c r="AD1771" s="43" t="s">
        <v>916</v>
      </c>
      <c r="AE1771" s="33" t="s">
        <v>3982</v>
      </c>
      <c r="AF1771" s="35" t="s">
        <v>916</v>
      </c>
      <c r="AG1771" s="44">
        <v>488962.24861111108</v>
      </c>
      <c r="AH1771" s="42" t="s">
        <v>916</v>
      </c>
      <c r="AI1771" s="32" t="e">
        <f>VLOOKUP(A1771,'4月明細'!B:B,1,0)</f>
        <v>#N/A</v>
      </c>
    </row>
    <row r="1772" spans="1:35" ht="19.95" customHeight="1" x14ac:dyDescent="0.3">
      <c r="A1772" s="33" t="s">
        <v>6250</v>
      </c>
      <c r="B1772" s="34">
        <v>45942.464884259258</v>
      </c>
      <c r="C1772" s="34" t="str">
        <f t="shared" si="40"/>
        <v>202510</v>
      </c>
      <c r="D1772" s="35" t="s">
        <v>5380</v>
      </c>
      <c r="E1772" s="36" t="s">
        <v>910</v>
      </c>
      <c r="F1772" s="36" t="s">
        <v>1121</v>
      </c>
      <c r="G1772" s="37" t="s">
        <v>6251</v>
      </c>
      <c r="H1772" s="36" t="s">
        <v>970</v>
      </c>
      <c r="I1772" s="35" t="s">
        <v>6252</v>
      </c>
      <c r="J1772" s="36" t="s">
        <v>929</v>
      </c>
      <c r="K1772" s="33" t="s">
        <v>916</v>
      </c>
      <c r="L1772" s="35" t="s">
        <v>916</v>
      </c>
      <c r="M1772" s="36" t="s">
        <v>916</v>
      </c>
      <c r="N1772" s="45">
        <v>46022</v>
      </c>
      <c r="O1772" s="36" t="s">
        <v>25</v>
      </c>
      <c r="P1772" s="38">
        <v>79.535115740699993</v>
      </c>
      <c r="Q1772" s="39" t="s">
        <v>6253</v>
      </c>
      <c r="R1772" s="35" t="s">
        <v>916</v>
      </c>
      <c r="S1772" s="35"/>
      <c r="T1772" s="35" t="s">
        <v>1701</v>
      </c>
      <c r="U1772" s="40">
        <v>45943</v>
      </c>
      <c r="V1772" s="41">
        <v>46153.532986111109</v>
      </c>
      <c r="W1772" s="40">
        <v>45942</v>
      </c>
      <c r="X1772" s="35" t="s">
        <v>916</v>
      </c>
      <c r="Y1772" s="35" t="s">
        <v>916</v>
      </c>
      <c r="Z1772" s="35" t="s">
        <v>916</v>
      </c>
      <c r="AA1772" s="38">
        <v>1908.8427777767999</v>
      </c>
      <c r="AB1772" s="42" t="s">
        <v>916</v>
      </c>
      <c r="AC1772" s="43" t="s">
        <v>916</v>
      </c>
      <c r="AD1772" s="43" t="s">
        <v>916</v>
      </c>
      <c r="AE1772" s="33" t="s">
        <v>3982</v>
      </c>
      <c r="AF1772" s="35" t="s">
        <v>916</v>
      </c>
      <c r="AG1772" s="44">
        <v>488963.1572222223</v>
      </c>
      <c r="AH1772" s="42" t="s">
        <v>916</v>
      </c>
      <c r="AI1772" s="32" t="e">
        <f>VLOOKUP(A1772,'4月明細'!B:B,1,0)</f>
        <v>#N/A</v>
      </c>
    </row>
    <row r="1773" spans="1:35" ht="19.95" customHeight="1" x14ac:dyDescent="0.3">
      <c r="A1773" s="33" t="s">
        <v>6254</v>
      </c>
      <c r="B1773" s="34">
        <v>45942.42597222222</v>
      </c>
      <c r="C1773" s="34" t="str">
        <f t="shared" si="40"/>
        <v>202510</v>
      </c>
      <c r="D1773" s="35" t="s">
        <v>3889</v>
      </c>
      <c r="E1773" s="36" t="s">
        <v>1112</v>
      </c>
      <c r="F1773" s="36" t="s">
        <v>1731</v>
      </c>
      <c r="G1773" s="37" t="s">
        <v>6255</v>
      </c>
      <c r="H1773" s="36" t="s">
        <v>913</v>
      </c>
      <c r="I1773" s="35"/>
      <c r="J1773" s="36" t="s">
        <v>945</v>
      </c>
      <c r="K1773" s="33" t="s">
        <v>916</v>
      </c>
      <c r="L1773" s="35" t="s">
        <v>916</v>
      </c>
      <c r="M1773" s="36" t="s">
        <v>916</v>
      </c>
      <c r="N1773" s="45">
        <v>46022</v>
      </c>
      <c r="O1773" s="36" t="s">
        <v>25</v>
      </c>
      <c r="P1773" s="38">
        <v>79.574027777799998</v>
      </c>
      <c r="Q1773" s="39" t="s">
        <v>6256</v>
      </c>
      <c r="R1773" s="35" t="s">
        <v>916</v>
      </c>
      <c r="S1773" s="35"/>
      <c r="T1773" s="35" t="s">
        <v>1701</v>
      </c>
      <c r="U1773" s="40">
        <v>45943</v>
      </c>
      <c r="V1773" s="41">
        <v>46153.532986111109</v>
      </c>
      <c r="W1773" s="40">
        <v>45942</v>
      </c>
      <c r="X1773" s="35" t="s">
        <v>916</v>
      </c>
      <c r="Y1773" s="35" t="s">
        <v>916</v>
      </c>
      <c r="Z1773" s="35" t="s">
        <v>916</v>
      </c>
      <c r="AA1773" s="38">
        <v>1909.7766666672001</v>
      </c>
      <c r="AB1773" s="42" t="s">
        <v>916</v>
      </c>
      <c r="AC1773" s="43" t="s">
        <v>916</v>
      </c>
      <c r="AD1773" s="43" t="s">
        <v>916</v>
      </c>
      <c r="AE1773" s="33" t="s">
        <v>3982</v>
      </c>
      <c r="AF1773" s="35" t="s">
        <v>916</v>
      </c>
      <c r="AG1773" s="44">
        <v>488962.22333333339</v>
      </c>
      <c r="AH1773" s="42" t="s">
        <v>916</v>
      </c>
      <c r="AI1773" s="32" t="e">
        <f>VLOOKUP(A1773,'4月明細'!B:B,1,0)</f>
        <v>#N/A</v>
      </c>
    </row>
    <row r="1774" spans="1:35" ht="19.95" customHeight="1" x14ac:dyDescent="0.3">
      <c r="A1774" s="33" t="s">
        <v>6257</v>
      </c>
      <c r="B1774" s="34">
        <v>45942.385763888888</v>
      </c>
      <c r="C1774" s="34" t="str">
        <f t="shared" si="40"/>
        <v>202510</v>
      </c>
      <c r="D1774" s="35" t="s">
        <v>5380</v>
      </c>
      <c r="E1774" s="36" t="s">
        <v>910</v>
      </c>
      <c r="F1774" s="36" t="s">
        <v>1232</v>
      </c>
      <c r="G1774" s="37" t="s">
        <v>6258</v>
      </c>
      <c r="H1774" s="36" t="s">
        <v>4029</v>
      </c>
      <c r="I1774" s="35" t="s">
        <v>6259</v>
      </c>
      <c r="J1774" s="36" t="s">
        <v>929</v>
      </c>
      <c r="K1774" s="33" t="s">
        <v>916</v>
      </c>
      <c r="L1774" s="35" t="s">
        <v>916</v>
      </c>
      <c r="M1774" s="36" t="s">
        <v>916</v>
      </c>
      <c r="N1774" s="45">
        <v>46022</v>
      </c>
      <c r="O1774" s="36" t="s">
        <v>25</v>
      </c>
      <c r="P1774" s="38">
        <v>79.614236111099999</v>
      </c>
      <c r="Q1774" s="39" t="s">
        <v>6260</v>
      </c>
      <c r="R1774" s="35" t="s">
        <v>916</v>
      </c>
      <c r="S1774" s="35"/>
      <c r="T1774" s="35" t="s">
        <v>1701</v>
      </c>
      <c r="U1774" s="40">
        <v>45943</v>
      </c>
      <c r="V1774" s="41">
        <v>46153.532986111109</v>
      </c>
      <c r="W1774" s="40">
        <v>45942</v>
      </c>
      <c r="X1774" s="35" t="s">
        <v>916</v>
      </c>
      <c r="Y1774" s="35" t="s">
        <v>916</v>
      </c>
      <c r="Z1774" s="35" t="s">
        <v>916</v>
      </c>
      <c r="AA1774" s="38">
        <v>1910.7416666664001</v>
      </c>
      <c r="AB1774" s="42" t="s">
        <v>916</v>
      </c>
      <c r="AC1774" s="43" t="s">
        <v>916</v>
      </c>
      <c r="AD1774" s="43" t="s">
        <v>916</v>
      </c>
      <c r="AE1774" s="33" t="s">
        <v>3982</v>
      </c>
      <c r="AF1774" s="35" t="s">
        <v>916</v>
      </c>
      <c r="AG1774" s="44">
        <v>488961.2583333333</v>
      </c>
      <c r="AH1774" s="42" t="s">
        <v>916</v>
      </c>
      <c r="AI1774" s="32" t="e">
        <f>VLOOKUP(A1774,'4月明細'!B:B,1,0)</f>
        <v>#N/A</v>
      </c>
    </row>
    <row r="1775" spans="1:35" ht="19.95" customHeight="1" x14ac:dyDescent="0.3">
      <c r="A1775" s="33" t="s">
        <v>6261</v>
      </c>
      <c r="B1775" s="34">
        <v>45942.023333333331</v>
      </c>
      <c r="C1775" s="34" t="str">
        <f t="shared" si="40"/>
        <v>202510</v>
      </c>
      <c r="D1775" s="35" t="s">
        <v>1217</v>
      </c>
      <c r="E1775" s="36" t="s">
        <v>1112</v>
      </c>
      <c r="F1775" s="36" t="s">
        <v>1588</v>
      </c>
      <c r="G1775" s="37" t="s">
        <v>6262</v>
      </c>
      <c r="H1775" s="36" t="s">
        <v>1079</v>
      </c>
      <c r="I1775" s="35"/>
      <c r="J1775" s="36" t="s">
        <v>945</v>
      </c>
      <c r="K1775" s="33" t="s">
        <v>916</v>
      </c>
      <c r="L1775" s="35" t="s">
        <v>916</v>
      </c>
      <c r="M1775" s="36" t="s">
        <v>916</v>
      </c>
      <c r="N1775" s="45">
        <v>46022</v>
      </c>
      <c r="O1775" s="36" t="s">
        <v>25</v>
      </c>
      <c r="P1775" s="38">
        <v>79.976666666699998</v>
      </c>
      <c r="Q1775" s="39" t="s">
        <v>6263</v>
      </c>
      <c r="R1775" s="35" t="s">
        <v>916</v>
      </c>
      <c r="S1775" s="35"/>
      <c r="T1775" s="35" t="s">
        <v>1701</v>
      </c>
      <c r="U1775" s="40">
        <v>45943</v>
      </c>
      <c r="V1775" s="41">
        <v>46153.532986111109</v>
      </c>
      <c r="W1775" s="40">
        <v>45942</v>
      </c>
      <c r="X1775" s="35" t="s">
        <v>916</v>
      </c>
      <c r="Y1775" s="35" t="s">
        <v>916</v>
      </c>
      <c r="Z1775" s="35" t="s">
        <v>916</v>
      </c>
      <c r="AA1775" s="38">
        <v>1919.4400000008</v>
      </c>
      <c r="AB1775" s="42" t="s">
        <v>916</v>
      </c>
      <c r="AC1775" s="43" t="s">
        <v>916</v>
      </c>
      <c r="AD1775" s="43" t="s">
        <v>916</v>
      </c>
      <c r="AE1775" s="33" t="s">
        <v>3982</v>
      </c>
      <c r="AF1775" s="35" t="s">
        <v>916</v>
      </c>
      <c r="AG1775" s="44">
        <v>488952.56000000011</v>
      </c>
      <c r="AH1775" s="42" t="s">
        <v>916</v>
      </c>
      <c r="AI1775" s="32" t="e">
        <f>VLOOKUP(A1775,'4月明細'!B:B,1,0)</f>
        <v>#N/A</v>
      </c>
    </row>
    <row r="1776" spans="1:35" ht="19.95" customHeight="1" x14ac:dyDescent="0.3">
      <c r="A1776" s="33" t="s">
        <v>6264</v>
      </c>
      <c r="B1776" s="34">
        <v>45941.717199074075</v>
      </c>
      <c r="C1776" s="34" t="str">
        <f t="shared" si="40"/>
        <v>202510</v>
      </c>
      <c r="D1776" s="35" t="s">
        <v>951</v>
      </c>
      <c r="E1776" s="36" t="s">
        <v>910</v>
      </c>
      <c r="F1776" s="36" t="s">
        <v>1750</v>
      </c>
      <c r="G1776" s="37" t="s">
        <v>6265</v>
      </c>
      <c r="H1776" s="36" t="s">
        <v>3991</v>
      </c>
      <c r="I1776" s="35" t="s">
        <v>6266</v>
      </c>
      <c r="J1776" s="36" t="s">
        <v>929</v>
      </c>
      <c r="K1776" s="33" t="s">
        <v>916</v>
      </c>
      <c r="L1776" s="35" t="s">
        <v>916</v>
      </c>
      <c r="M1776" s="36" t="s">
        <v>916</v>
      </c>
      <c r="N1776" s="45">
        <v>46022</v>
      </c>
      <c r="O1776" s="36" t="s">
        <v>25</v>
      </c>
      <c r="P1776" s="38">
        <v>80.282800925900005</v>
      </c>
      <c r="Q1776" s="39" t="s">
        <v>6267</v>
      </c>
      <c r="R1776" s="35" t="s">
        <v>916</v>
      </c>
      <c r="S1776" s="35"/>
      <c r="T1776" s="35" t="s">
        <v>1701</v>
      </c>
      <c r="U1776" s="40">
        <v>45942</v>
      </c>
      <c r="V1776" s="41">
        <v>46153.532986111109</v>
      </c>
      <c r="W1776" s="40">
        <v>45941</v>
      </c>
      <c r="X1776" s="35" t="s">
        <v>916</v>
      </c>
      <c r="Y1776" s="35" t="s">
        <v>916</v>
      </c>
      <c r="Z1776" s="35" t="s">
        <v>916</v>
      </c>
      <c r="AA1776" s="38">
        <v>1926.7872222215999</v>
      </c>
      <c r="AB1776" s="42" t="s">
        <v>916</v>
      </c>
      <c r="AC1776" s="43" t="s">
        <v>916</v>
      </c>
      <c r="AD1776" s="43" t="s">
        <v>916</v>
      </c>
      <c r="AE1776" s="33" t="s">
        <v>3982</v>
      </c>
      <c r="AF1776" s="35" t="s">
        <v>916</v>
      </c>
      <c r="AG1776" s="44">
        <v>488945.21277777781</v>
      </c>
      <c r="AH1776" s="42" t="s">
        <v>916</v>
      </c>
      <c r="AI1776" s="32" t="e">
        <f>VLOOKUP(A1776,'4月明細'!B:B,1,0)</f>
        <v>#N/A</v>
      </c>
    </row>
    <row r="1777" spans="1:35" ht="19.95" customHeight="1" x14ac:dyDescent="0.3">
      <c r="A1777" s="33" t="s">
        <v>6268</v>
      </c>
      <c r="B1777" s="34">
        <v>45941.641527777778</v>
      </c>
      <c r="C1777" s="34" t="str">
        <f t="shared" si="40"/>
        <v>202510</v>
      </c>
      <c r="D1777" s="35" t="s">
        <v>951</v>
      </c>
      <c r="E1777" s="36" t="s">
        <v>910</v>
      </c>
      <c r="F1777" s="36" t="s">
        <v>1121</v>
      </c>
      <c r="G1777" s="37" t="s">
        <v>6269</v>
      </c>
      <c r="H1777" s="36" t="s">
        <v>956</v>
      </c>
      <c r="I1777" s="35" t="s">
        <v>6270</v>
      </c>
      <c r="J1777" s="36" t="s">
        <v>929</v>
      </c>
      <c r="K1777" s="33" t="s">
        <v>916</v>
      </c>
      <c r="L1777" s="35" t="s">
        <v>916</v>
      </c>
      <c r="M1777" s="36" t="s">
        <v>917</v>
      </c>
      <c r="N1777" s="45">
        <v>46022</v>
      </c>
      <c r="O1777" s="36" t="s">
        <v>25</v>
      </c>
      <c r="P1777" s="38">
        <v>80.358472222200007</v>
      </c>
      <c r="Q1777" s="39" t="s">
        <v>958</v>
      </c>
      <c r="R1777" s="35" t="s">
        <v>916</v>
      </c>
      <c r="S1777" s="35" t="s">
        <v>6271</v>
      </c>
      <c r="T1777" s="35" t="s">
        <v>1701</v>
      </c>
      <c r="U1777" s="40">
        <v>45942</v>
      </c>
      <c r="V1777" s="41">
        <v>46153.532986111109</v>
      </c>
      <c r="W1777" s="40">
        <v>45941</v>
      </c>
      <c r="X1777" s="35" t="s">
        <v>916</v>
      </c>
      <c r="Y1777" s="35" t="s">
        <v>916</v>
      </c>
      <c r="Z1777" s="35" t="s">
        <v>916</v>
      </c>
      <c r="AA1777" s="38">
        <v>1928.6033333328</v>
      </c>
      <c r="AB1777" s="42" t="s">
        <v>916</v>
      </c>
      <c r="AC1777" s="43" t="s">
        <v>916</v>
      </c>
      <c r="AD1777" s="43" t="s">
        <v>916</v>
      </c>
      <c r="AE1777" s="33" t="s">
        <v>3982</v>
      </c>
      <c r="AF1777" s="35" t="s">
        <v>916</v>
      </c>
      <c r="AG1777" s="44">
        <v>488943.39666666673</v>
      </c>
      <c r="AH1777" s="42" t="s">
        <v>916</v>
      </c>
      <c r="AI1777" s="32" t="e">
        <f>VLOOKUP(A1777,'4月明細'!B:B,1,0)</f>
        <v>#N/A</v>
      </c>
    </row>
    <row r="1778" spans="1:35" ht="19.95" customHeight="1" x14ac:dyDescent="0.3">
      <c r="A1778" s="33" t="s">
        <v>6272</v>
      </c>
      <c r="B1778" s="34">
        <v>45941.603668981479</v>
      </c>
      <c r="C1778" s="34" t="str">
        <f t="shared" si="40"/>
        <v>202510</v>
      </c>
      <c r="D1778" s="35" t="s">
        <v>951</v>
      </c>
      <c r="E1778" s="36" t="s">
        <v>910</v>
      </c>
      <c r="F1778" s="36" t="s">
        <v>1386</v>
      </c>
      <c r="G1778" s="37" t="s">
        <v>6273</v>
      </c>
      <c r="H1778" s="36" t="s">
        <v>4023</v>
      </c>
      <c r="I1778" s="35"/>
      <c r="J1778" s="36" t="s">
        <v>929</v>
      </c>
      <c r="K1778" s="33" t="s">
        <v>916</v>
      </c>
      <c r="L1778" s="35" t="s">
        <v>916</v>
      </c>
      <c r="M1778" s="36" t="s">
        <v>917</v>
      </c>
      <c r="N1778" s="45">
        <v>46022</v>
      </c>
      <c r="O1778" s="36" t="s">
        <v>25</v>
      </c>
      <c r="P1778" s="38">
        <v>80.396331018500007</v>
      </c>
      <c r="Q1778" s="39" t="s">
        <v>6274</v>
      </c>
      <c r="R1778" s="35" t="s">
        <v>916</v>
      </c>
      <c r="S1778" s="35" t="s">
        <v>6275</v>
      </c>
      <c r="T1778" s="35" t="s">
        <v>1701</v>
      </c>
      <c r="U1778" s="40">
        <v>45942</v>
      </c>
      <c r="V1778" s="41">
        <v>46153.532986111109</v>
      </c>
      <c r="W1778" s="40">
        <v>45941</v>
      </c>
      <c r="X1778" s="35" t="s">
        <v>916</v>
      </c>
      <c r="Y1778" s="35" t="s">
        <v>916</v>
      </c>
      <c r="Z1778" s="35" t="s">
        <v>916</v>
      </c>
      <c r="AA1778" s="38">
        <v>1929.5119444439999</v>
      </c>
      <c r="AB1778" s="42" t="s">
        <v>916</v>
      </c>
      <c r="AC1778" s="43" t="s">
        <v>916</v>
      </c>
      <c r="AD1778" s="43" t="s">
        <v>916</v>
      </c>
      <c r="AE1778" s="33" t="s">
        <v>3982</v>
      </c>
      <c r="AF1778" s="35" t="s">
        <v>916</v>
      </c>
      <c r="AG1778" s="44">
        <v>488942.48805555562</v>
      </c>
      <c r="AH1778" s="42" t="s">
        <v>916</v>
      </c>
      <c r="AI1778" s="32" t="e">
        <f>VLOOKUP(A1778,'4月明細'!B:B,1,0)</f>
        <v>#N/A</v>
      </c>
    </row>
    <row r="1779" spans="1:35" ht="19.95" customHeight="1" x14ac:dyDescent="0.3">
      <c r="A1779" s="33" t="s">
        <v>6276</v>
      </c>
      <c r="B1779" s="34">
        <v>45941.44121527778</v>
      </c>
      <c r="C1779" s="34" t="str">
        <f t="shared" si="40"/>
        <v>202510</v>
      </c>
      <c r="D1779" s="35" t="s">
        <v>951</v>
      </c>
      <c r="E1779" s="36" t="s">
        <v>910</v>
      </c>
      <c r="F1779" s="36" t="s">
        <v>1207</v>
      </c>
      <c r="G1779" s="37" t="s">
        <v>6277</v>
      </c>
      <c r="H1779" s="36" t="s">
        <v>1043</v>
      </c>
      <c r="I1779" s="35" t="s">
        <v>6278</v>
      </c>
      <c r="J1779" s="36" t="s">
        <v>929</v>
      </c>
      <c r="K1779" s="33" t="s">
        <v>916</v>
      </c>
      <c r="L1779" s="35" t="s">
        <v>916</v>
      </c>
      <c r="M1779" s="36" t="s">
        <v>917</v>
      </c>
      <c r="N1779" s="45">
        <v>46022</v>
      </c>
      <c r="O1779" s="36" t="s">
        <v>25</v>
      </c>
      <c r="P1779" s="38">
        <v>80.558784722200002</v>
      </c>
      <c r="Q1779" s="39" t="s">
        <v>1404</v>
      </c>
      <c r="R1779" s="35" t="s">
        <v>916</v>
      </c>
      <c r="S1779" s="35" t="s">
        <v>6279</v>
      </c>
      <c r="T1779" s="35" t="s">
        <v>1701</v>
      </c>
      <c r="U1779" s="40">
        <v>45942</v>
      </c>
      <c r="V1779" s="41">
        <v>46153.532986111109</v>
      </c>
      <c r="W1779" s="40">
        <v>45941</v>
      </c>
      <c r="X1779" s="35" t="s">
        <v>916</v>
      </c>
      <c r="Y1779" s="35" t="s">
        <v>916</v>
      </c>
      <c r="Z1779" s="35" t="s">
        <v>916</v>
      </c>
      <c r="AA1779" s="38">
        <v>1933.4108333327999</v>
      </c>
      <c r="AB1779" s="42" t="s">
        <v>916</v>
      </c>
      <c r="AC1779" s="43" t="s">
        <v>916</v>
      </c>
      <c r="AD1779" s="43" t="s">
        <v>916</v>
      </c>
      <c r="AE1779" s="33" t="s">
        <v>3982</v>
      </c>
      <c r="AF1779" s="35" t="s">
        <v>916</v>
      </c>
      <c r="AG1779" s="44">
        <v>488938.58944444451</v>
      </c>
      <c r="AH1779" s="42" t="s">
        <v>916</v>
      </c>
      <c r="AI1779" s="32" t="e">
        <f>VLOOKUP(A1779,'4月明細'!B:B,1,0)</f>
        <v>#N/A</v>
      </c>
    </row>
    <row r="1780" spans="1:35" ht="19.95" customHeight="1" x14ac:dyDescent="0.3">
      <c r="A1780" s="33" t="s">
        <v>6280</v>
      </c>
      <c r="B1780" s="34">
        <v>45941.489687499998</v>
      </c>
      <c r="C1780" s="34" t="str">
        <f t="shared" si="40"/>
        <v>202510</v>
      </c>
      <c r="D1780" s="35" t="s">
        <v>6281</v>
      </c>
      <c r="E1780" s="36" t="s">
        <v>910</v>
      </c>
      <c r="F1780" s="36" t="s">
        <v>3890</v>
      </c>
      <c r="G1780" s="37" t="s">
        <v>6282</v>
      </c>
      <c r="H1780" s="36" t="s">
        <v>4401</v>
      </c>
      <c r="I1780" s="35" t="s">
        <v>6283</v>
      </c>
      <c r="J1780" s="36" t="s">
        <v>929</v>
      </c>
      <c r="K1780" s="33" t="s">
        <v>916</v>
      </c>
      <c r="L1780" s="35" t="s">
        <v>916</v>
      </c>
      <c r="M1780" s="36" t="s">
        <v>916</v>
      </c>
      <c r="N1780" s="45">
        <v>46022</v>
      </c>
      <c r="O1780" s="36" t="s">
        <v>25</v>
      </c>
      <c r="P1780" s="38">
        <v>80.510312499999998</v>
      </c>
      <c r="Q1780" s="39" t="s">
        <v>6284</v>
      </c>
      <c r="R1780" s="35" t="s">
        <v>916</v>
      </c>
      <c r="S1780" s="35"/>
      <c r="T1780" s="35" t="s">
        <v>1701</v>
      </c>
      <c r="U1780" s="40">
        <v>45942</v>
      </c>
      <c r="V1780" s="41">
        <v>46153.532986111109</v>
      </c>
      <c r="W1780" s="40">
        <v>45941</v>
      </c>
      <c r="X1780" s="35" t="s">
        <v>916</v>
      </c>
      <c r="Y1780" s="35" t="s">
        <v>916</v>
      </c>
      <c r="Z1780" s="35" t="s">
        <v>916</v>
      </c>
      <c r="AA1780" s="38">
        <v>1932.2474999999999</v>
      </c>
      <c r="AB1780" s="42" t="s">
        <v>916</v>
      </c>
      <c r="AC1780" s="43" t="s">
        <v>916</v>
      </c>
      <c r="AD1780" s="43" t="s">
        <v>916</v>
      </c>
      <c r="AE1780" s="33" t="s">
        <v>3982</v>
      </c>
      <c r="AF1780" s="35" t="s">
        <v>916</v>
      </c>
      <c r="AG1780" s="44">
        <v>488939.75250000012</v>
      </c>
      <c r="AH1780" s="42" t="s">
        <v>916</v>
      </c>
      <c r="AI1780" s="32" t="e">
        <f>VLOOKUP(A1780,'4月明細'!B:B,1,0)</f>
        <v>#N/A</v>
      </c>
    </row>
    <row r="1781" spans="1:35" ht="19.95" customHeight="1" x14ac:dyDescent="0.3">
      <c r="A1781" s="33" t="s">
        <v>6285</v>
      </c>
      <c r="B1781" s="34">
        <v>45941.489166666666</v>
      </c>
      <c r="C1781" s="34" t="str">
        <f t="shared" si="40"/>
        <v>202510</v>
      </c>
      <c r="D1781" s="35" t="s">
        <v>6281</v>
      </c>
      <c r="E1781" s="36" t="s">
        <v>910</v>
      </c>
      <c r="F1781" s="36" t="s">
        <v>3890</v>
      </c>
      <c r="G1781" s="37" t="s">
        <v>6286</v>
      </c>
      <c r="H1781" s="36" t="s">
        <v>1079</v>
      </c>
      <c r="I1781" s="35"/>
      <c r="J1781" s="36" t="s">
        <v>929</v>
      </c>
      <c r="K1781" s="33" t="s">
        <v>916</v>
      </c>
      <c r="L1781" s="35" t="s">
        <v>916</v>
      </c>
      <c r="M1781" s="36" t="s">
        <v>916</v>
      </c>
      <c r="N1781" s="45">
        <v>46022</v>
      </c>
      <c r="O1781" s="36" t="s">
        <v>25</v>
      </c>
      <c r="P1781" s="38">
        <v>80.510833333299999</v>
      </c>
      <c r="Q1781" s="39" t="s">
        <v>6284</v>
      </c>
      <c r="R1781" s="35" t="s">
        <v>916</v>
      </c>
      <c r="S1781" s="35"/>
      <c r="T1781" s="35" t="s">
        <v>1701</v>
      </c>
      <c r="U1781" s="40">
        <v>45942</v>
      </c>
      <c r="V1781" s="41">
        <v>46153.532986111109</v>
      </c>
      <c r="W1781" s="40">
        <v>45941</v>
      </c>
      <c r="X1781" s="35" t="s">
        <v>916</v>
      </c>
      <c r="Y1781" s="35" t="s">
        <v>916</v>
      </c>
      <c r="Z1781" s="35" t="s">
        <v>916</v>
      </c>
      <c r="AA1781" s="38">
        <v>1932.2599999992001</v>
      </c>
      <c r="AB1781" s="42" t="s">
        <v>916</v>
      </c>
      <c r="AC1781" s="43" t="s">
        <v>916</v>
      </c>
      <c r="AD1781" s="43" t="s">
        <v>916</v>
      </c>
      <c r="AE1781" s="33" t="s">
        <v>3982</v>
      </c>
      <c r="AF1781" s="35" t="s">
        <v>916</v>
      </c>
      <c r="AG1781" s="44">
        <v>488939.74</v>
      </c>
      <c r="AH1781" s="42" t="s">
        <v>916</v>
      </c>
      <c r="AI1781" s="32" t="e">
        <f>VLOOKUP(A1781,'4月明細'!B:B,1,0)</f>
        <v>#N/A</v>
      </c>
    </row>
    <row r="1782" spans="1:35" ht="19.95" customHeight="1" x14ac:dyDescent="0.3">
      <c r="A1782" s="33" t="s">
        <v>6287</v>
      </c>
      <c r="B1782" s="34">
        <v>45941.47934027778</v>
      </c>
      <c r="C1782" s="34" t="str">
        <f t="shared" si="40"/>
        <v>202510</v>
      </c>
      <c r="D1782" s="35" t="s">
        <v>5380</v>
      </c>
      <c r="E1782" s="36" t="s">
        <v>910</v>
      </c>
      <c r="F1782" s="36" t="s">
        <v>1469</v>
      </c>
      <c r="G1782" s="37" t="s">
        <v>6288</v>
      </c>
      <c r="H1782" s="36" t="s">
        <v>4029</v>
      </c>
      <c r="I1782" s="35" t="s">
        <v>6289</v>
      </c>
      <c r="J1782" s="36" t="s">
        <v>929</v>
      </c>
      <c r="K1782" s="33" t="s">
        <v>916</v>
      </c>
      <c r="L1782" s="35" t="s">
        <v>916</v>
      </c>
      <c r="M1782" s="36" t="s">
        <v>916</v>
      </c>
      <c r="N1782" s="45">
        <v>46022</v>
      </c>
      <c r="O1782" s="36" t="s">
        <v>25</v>
      </c>
      <c r="P1782" s="38">
        <v>80.520659722199994</v>
      </c>
      <c r="Q1782" s="36" t="s">
        <v>916</v>
      </c>
      <c r="R1782" s="35" t="s">
        <v>916</v>
      </c>
      <c r="S1782" s="35"/>
      <c r="T1782" s="35" t="s">
        <v>1624</v>
      </c>
      <c r="U1782" s="40">
        <v>45942</v>
      </c>
      <c r="V1782" s="41">
        <v>46153.532986111109</v>
      </c>
      <c r="W1782" s="40">
        <v>45941</v>
      </c>
      <c r="X1782" s="35" t="s">
        <v>916</v>
      </c>
      <c r="Y1782" s="35" t="s">
        <v>916</v>
      </c>
      <c r="Z1782" s="35" t="s">
        <v>916</v>
      </c>
      <c r="AA1782" s="38">
        <v>1932.4958333328</v>
      </c>
      <c r="AB1782" s="42" t="s">
        <v>916</v>
      </c>
      <c r="AC1782" s="43" t="s">
        <v>916</v>
      </c>
      <c r="AD1782" s="43" t="s">
        <v>916</v>
      </c>
      <c r="AE1782" s="33" t="s">
        <v>3982</v>
      </c>
      <c r="AF1782" s="35" t="s">
        <v>916</v>
      </c>
      <c r="AG1782" s="44">
        <v>488939.50416666671</v>
      </c>
      <c r="AH1782" s="42" t="s">
        <v>916</v>
      </c>
      <c r="AI1782" s="32" t="e">
        <f>VLOOKUP(A1782,'4月明細'!B:B,1,0)</f>
        <v>#N/A</v>
      </c>
    </row>
    <row r="1783" spans="1:35" ht="19.95" customHeight="1" x14ac:dyDescent="0.3">
      <c r="A1783" s="33" t="s">
        <v>6290</v>
      </c>
      <c r="B1783" s="34">
        <v>45941.465162037035</v>
      </c>
      <c r="C1783" s="34" t="str">
        <f t="shared" si="40"/>
        <v>202510</v>
      </c>
      <c r="D1783" s="35" t="s">
        <v>6281</v>
      </c>
      <c r="E1783" s="36" t="s">
        <v>910</v>
      </c>
      <c r="F1783" s="36" t="s">
        <v>1335</v>
      </c>
      <c r="G1783" s="37" t="s">
        <v>6291</v>
      </c>
      <c r="H1783" s="36" t="s">
        <v>4185</v>
      </c>
      <c r="I1783" s="35"/>
      <c r="J1783" s="36" t="s">
        <v>914</v>
      </c>
      <c r="K1783" s="33" t="s">
        <v>916</v>
      </c>
      <c r="L1783" s="35" t="s">
        <v>916</v>
      </c>
      <c r="M1783" s="36" t="s">
        <v>1039</v>
      </c>
      <c r="N1783" s="45">
        <v>46022</v>
      </c>
      <c r="O1783" s="36" t="s">
        <v>25</v>
      </c>
      <c r="P1783" s="38">
        <v>80.534837963000001</v>
      </c>
      <c r="Q1783" s="39" t="s">
        <v>6292</v>
      </c>
      <c r="R1783" s="35" t="s">
        <v>916</v>
      </c>
      <c r="S1783" s="35"/>
      <c r="T1783" s="35" t="s">
        <v>1624</v>
      </c>
      <c r="U1783" s="40">
        <v>45942</v>
      </c>
      <c r="V1783" s="41">
        <v>46153.532986111109</v>
      </c>
      <c r="W1783" s="40">
        <v>45941</v>
      </c>
      <c r="X1783" s="35" t="s">
        <v>916</v>
      </c>
      <c r="Y1783" s="35" t="s">
        <v>916</v>
      </c>
      <c r="Z1783" s="35" t="s">
        <v>916</v>
      </c>
      <c r="AA1783" s="38">
        <v>1932.836111112</v>
      </c>
      <c r="AB1783" s="42" t="s">
        <v>916</v>
      </c>
      <c r="AC1783" s="43" t="s">
        <v>916</v>
      </c>
      <c r="AD1783" s="43" t="s">
        <v>916</v>
      </c>
      <c r="AE1783" s="33" t="s">
        <v>3982</v>
      </c>
      <c r="AF1783" s="35" t="s">
        <v>916</v>
      </c>
      <c r="AG1783" s="44">
        <v>978529.61388888897</v>
      </c>
      <c r="AH1783" s="42" t="s">
        <v>916</v>
      </c>
      <c r="AI1783" s="32" t="e">
        <f>VLOOKUP(A1783,'4月明細'!B:B,1,0)</f>
        <v>#N/A</v>
      </c>
    </row>
    <row r="1784" spans="1:35" ht="19.95" customHeight="1" x14ac:dyDescent="0.3">
      <c r="A1784" s="33" t="s">
        <v>6293</v>
      </c>
      <c r="B1784" s="34">
        <v>45940.71539351852</v>
      </c>
      <c r="C1784" s="34" t="str">
        <f t="shared" si="40"/>
        <v>202510</v>
      </c>
      <c r="D1784" s="35" t="s">
        <v>3889</v>
      </c>
      <c r="E1784" s="36" t="s">
        <v>1112</v>
      </c>
      <c r="F1784" s="36" t="s">
        <v>1564</v>
      </c>
      <c r="G1784" s="37" t="s">
        <v>6294</v>
      </c>
      <c r="H1784" s="36" t="s">
        <v>4185</v>
      </c>
      <c r="I1784" s="35"/>
      <c r="J1784" s="36" t="s">
        <v>938</v>
      </c>
      <c r="K1784" s="33" t="s">
        <v>916</v>
      </c>
      <c r="L1784" s="35" t="s">
        <v>916</v>
      </c>
      <c r="M1784" s="36" t="s">
        <v>916</v>
      </c>
      <c r="N1784" s="45">
        <v>46022</v>
      </c>
      <c r="O1784" s="36" t="s">
        <v>25</v>
      </c>
      <c r="P1784" s="38">
        <v>81.284606481500006</v>
      </c>
      <c r="Q1784" s="39" t="s">
        <v>6295</v>
      </c>
      <c r="R1784" s="35" t="s">
        <v>916</v>
      </c>
      <c r="S1784" s="35"/>
      <c r="T1784" s="35" t="s">
        <v>1701</v>
      </c>
      <c r="U1784" s="40">
        <v>45941</v>
      </c>
      <c r="V1784" s="41">
        <v>46153.532986111109</v>
      </c>
      <c r="W1784" s="40">
        <v>45940</v>
      </c>
      <c r="X1784" s="35" t="s">
        <v>916</v>
      </c>
      <c r="Y1784" s="35" t="s">
        <v>916</v>
      </c>
      <c r="Z1784" s="35" t="s">
        <v>916</v>
      </c>
      <c r="AA1784" s="38">
        <v>1950.830555556</v>
      </c>
      <c r="AB1784" s="42" t="s">
        <v>916</v>
      </c>
      <c r="AC1784" s="43" t="s">
        <v>916</v>
      </c>
      <c r="AD1784" s="43" t="s">
        <v>916</v>
      </c>
      <c r="AE1784" s="33" t="s">
        <v>3982</v>
      </c>
      <c r="AF1784" s="35" t="s">
        <v>916</v>
      </c>
      <c r="AG1784" s="44">
        <v>488921.16944444447</v>
      </c>
      <c r="AH1784" s="42" t="s">
        <v>916</v>
      </c>
      <c r="AI1784" s="32" t="e">
        <f>VLOOKUP(A1784,'4月明細'!B:B,1,0)</f>
        <v>#N/A</v>
      </c>
    </row>
    <row r="1785" spans="1:35" ht="19.95" customHeight="1" x14ac:dyDescent="0.3">
      <c r="A1785" s="33" t="s">
        <v>6296</v>
      </c>
      <c r="B1785" s="34">
        <v>45940.711840277778</v>
      </c>
      <c r="C1785" s="34" t="str">
        <f t="shared" si="40"/>
        <v>202510</v>
      </c>
      <c r="D1785" s="35" t="s">
        <v>5380</v>
      </c>
      <c r="E1785" s="36" t="s">
        <v>910</v>
      </c>
      <c r="F1785" s="36" t="s">
        <v>972</v>
      </c>
      <c r="G1785" s="37" t="s">
        <v>6297</v>
      </c>
      <c r="H1785" s="36" t="s">
        <v>4185</v>
      </c>
      <c r="I1785" s="35" t="s">
        <v>6298</v>
      </c>
      <c r="J1785" s="36" t="s">
        <v>1058</v>
      </c>
      <c r="K1785" s="33" t="s">
        <v>916</v>
      </c>
      <c r="L1785" s="35" t="s">
        <v>916</v>
      </c>
      <c r="M1785" s="36" t="s">
        <v>916</v>
      </c>
      <c r="N1785" s="45">
        <v>46022</v>
      </c>
      <c r="O1785" s="36" t="s">
        <v>25</v>
      </c>
      <c r="P1785" s="38">
        <v>81.288159722200007</v>
      </c>
      <c r="Q1785" s="39" t="s">
        <v>6299</v>
      </c>
      <c r="R1785" s="35" t="s">
        <v>916</v>
      </c>
      <c r="S1785" s="35"/>
      <c r="T1785" s="35" t="s">
        <v>1701</v>
      </c>
      <c r="U1785" s="40">
        <v>45941</v>
      </c>
      <c r="V1785" s="41">
        <v>46153.532986111109</v>
      </c>
      <c r="W1785" s="40">
        <v>45940</v>
      </c>
      <c r="X1785" s="35" t="s">
        <v>916</v>
      </c>
      <c r="Y1785" s="35" t="s">
        <v>916</v>
      </c>
      <c r="Z1785" s="35" t="s">
        <v>916</v>
      </c>
      <c r="AA1785" s="38">
        <v>1950.9158333328</v>
      </c>
      <c r="AB1785" s="42" t="s">
        <v>916</v>
      </c>
      <c r="AC1785" s="43" t="s">
        <v>916</v>
      </c>
      <c r="AD1785" s="43" t="s">
        <v>916</v>
      </c>
      <c r="AE1785" s="33" t="s">
        <v>3982</v>
      </c>
      <c r="AF1785" s="35" t="s">
        <v>916</v>
      </c>
      <c r="AG1785" s="44">
        <v>488921.08444444439</v>
      </c>
      <c r="AH1785" s="42" t="s">
        <v>916</v>
      </c>
      <c r="AI1785" s="32" t="e">
        <f>VLOOKUP(A1785,'4月明細'!B:B,1,0)</f>
        <v>#N/A</v>
      </c>
    </row>
    <row r="1786" spans="1:35" ht="19.95" customHeight="1" x14ac:dyDescent="0.3">
      <c r="A1786" s="33" t="s">
        <v>6300</v>
      </c>
      <c r="B1786" s="34">
        <v>45940.666192129633</v>
      </c>
      <c r="C1786" s="34" t="str">
        <f t="shared" si="40"/>
        <v>202510</v>
      </c>
      <c r="D1786" s="35" t="s">
        <v>951</v>
      </c>
      <c r="E1786" s="36" t="s">
        <v>910</v>
      </c>
      <c r="F1786" s="36" t="s">
        <v>972</v>
      </c>
      <c r="G1786" s="37" t="s">
        <v>6301</v>
      </c>
      <c r="H1786" s="36" t="s">
        <v>4185</v>
      </c>
      <c r="I1786" s="35"/>
      <c r="J1786" s="36" t="s">
        <v>1058</v>
      </c>
      <c r="K1786" s="33" t="s">
        <v>916</v>
      </c>
      <c r="L1786" s="35" t="s">
        <v>916</v>
      </c>
      <c r="M1786" s="36" t="s">
        <v>916</v>
      </c>
      <c r="N1786" s="45">
        <v>46022</v>
      </c>
      <c r="O1786" s="36" t="s">
        <v>25</v>
      </c>
      <c r="P1786" s="38">
        <v>81.333807870399994</v>
      </c>
      <c r="Q1786" s="39" t="s">
        <v>6302</v>
      </c>
      <c r="R1786" s="35" t="s">
        <v>916</v>
      </c>
      <c r="S1786" s="35"/>
      <c r="T1786" s="35" t="s">
        <v>1701</v>
      </c>
      <c r="U1786" s="40">
        <v>45941</v>
      </c>
      <c r="V1786" s="41">
        <v>46153.532986111109</v>
      </c>
      <c r="W1786" s="40">
        <v>45940</v>
      </c>
      <c r="X1786" s="35" t="s">
        <v>916</v>
      </c>
      <c r="Y1786" s="35" t="s">
        <v>916</v>
      </c>
      <c r="Z1786" s="35" t="s">
        <v>916</v>
      </c>
      <c r="AA1786" s="38">
        <v>1952.0113888896001</v>
      </c>
      <c r="AB1786" s="42" t="s">
        <v>916</v>
      </c>
      <c r="AC1786" s="43" t="s">
        <v>916</v>
      </c>
      <c r="AD1786" s="43" t="s">
        <v>916</v>
      </c>
      <c r="AE1786" s="33" t="s">
        <v>3982</v>
      </c>
      <c r="AF1786" s="35" t="s">
        <v>916</v>
      </c>
      <c r="AG1786" s="44">
        <v>488919.98861111113</v>
      </c>
      <c r="AH1786" s="42" t="s">
        <v>916</v>
      </c>
      <c r="AI1786" s="32" t="e">
        <f>VLOOKUP(A1786,'4月明細'!B:B,1,0)</f>
        <v>#N/A</v>
      </c>
    </row>
    <row r="1787" spans="1:35" ht="19.95" customHeight="1" x14ac:dyDescent="0.3">
      <c r="A1787" s="33" t="s">
        <v>6303</v>
      </c>
      <c r="B1787" s="34">
        <v>45940.676851851851</v>
      </c>
      <c r="C1787" s="34" t="str">
        <f t="shared" si="40"/>
        <v>202510</v>
      </c>
      <c r="D1787" s="35" t="s">
        <v>5380</v>
      </c>
      <c r="E1787" s="36" t="s">
        <v>910</v>
      </c>
      <c r="F1787" s="36" t="s">
        <v>1870</v>
      </c>
      <c r="G1787" s="37" t="s">
        <v>6131</v>
      </c>
      <c r="H1787" s="36" t="s">
        <v>4065</v>
      </c>
      <c r="I1787" s="35" t="s">
        <v>6304</v>
      </c>
      <c r="J1787" s="36" t="s">
        <v>929</v>
      </c>
      <c r="K1787" s="33" t="s">
        <v>916</v>
      </c>
      <c r="L1787" s="35" t="s">
        <v>916</v>
      </c>
      <c r="M1787" s="36" t="s">
        <v>916</v>
      </c>
      <c r="N1787" s="45">
        <v>46022</v>
      </c>
      <c r="O1787" s="36" t="s">
        <v>25</v>
      </c>
      <c r="P1787" s="38">
        <v>81.323148148100003</v>
      </c>
      <c r="Q1787" s="39" t="s">
        <v>6305</v>
      </c>
      <c r="R1787" s="35" t="s">
        <v>916</v>
      </c>
      <c r="S1787" s="35"/>
      <c r="T1787" s="35" t="s">
        <v>1701</v>
      </c>
      <c r="U1787" s="40">
        <v>45941</v>
      </c>
      <c r="V1787" s="41">
        <v>46153.532986111109</v>
      </c>
      <c r="W1787" s="40">
        <v>45940</v>
      </c>
      <c r="X1787" s="35" t="s">
        <v>916</v>
      </c>
      <c r="Y1787" s="35" t="s">
        <v>916</v>
      </c>
      <c r="Z1787" s="35" t="s">
        <v>916</v>
      </c>
      <c r="AA1787" s="38">
        <v>1951.7555555544</v>
      </c>
      <c r="AB1787" s="42" t="s">
        <v>916</v>
      </c>
      <c r="AC1787" s="43" t="s">
        <v>916</v>
      </c>
      <c r="AD1787" s="43" t="s">
        <v>916</v>
      </c>
      <c r="AE1787" s="33" t="s">
        <v>3982</v>
      </c>
      <c r="AF1787" s="35" t="s">
        <v>916</v>
      </c>
      <c r="AG1787" s="44">
        <v>488920.24444444443</v>
      </c>
      <c r="AH1787" s="42" t="s">
        <v>916</v>
      </c>
      <c r="AI1787" s="32" t="e">
        <f>VLOOKUP(A1787,'4月明細'!B:B,1,0)</f>
        <v>#N/A</v>
      </c>
    </row>
    <row r="1788" spans="1:35" ht="19.95" customHeight="1" x14ac:dyDescent="0.3">
      <c r="A1788" s="33" t="s">
        <v>6306</v>
      </c>
      <c r="B1788" s="34">
        <v>45940.636388888888</v>
      </c>
      <c r="C1788" s="34" t="str">
        <f t="shared" si="40"/>
        <v>202510</v>
      </c>
      <c r="D1788" s="35" t="s">
        <v>951</v>
      </c>
      <c r="E1788" s="36" t="s">
        <v>910</v>
      </c>
      <c r="F1788" s="36" t="s">
        <v>1783</v>
      </c>
      <c r="G1788" s="37" t="s">
        <v>6307</v>
      </c>
      <c r="H1788" s="36" t="s">
        <v>970</v>
      </c>
      <c r="I1788" s="35" t="s">
        <v>6308</v>
      </c>
      <c r="J1788" s="36" t="s">
        <v>929</v>
      </c>
      <c r="K1788" s="33" t="s">
        <v>916</v>
      </c>
      <c r="L1788" s="35" t="s">
        <v>916</v>
      </c>
      <c r="M1788" s="36" t="s">
        <v>916</v>
      </c>
      <c r="N1788" s="45">
        <v>46022</v>
      </c>
      <c r="O1788" s="36" t="s">
        <v>25</v>
      </c>
      <c r="P1788" s="38">
        <v>81.363611111099999</v>
      </c>
      <c r="Q1788" s="39" t="s">
        <v>6309</v>
      </c>
      <c r="R1788" s="35" t="s">
        <v>916</v>
      </c>
      <c r="S1788" s="35" t="s">
        <v>6310</v>
      </c>
      <c r="T1788" s="35" t="s">
        <v>1701</v>
      </c>
      <c r="U1788" s="40">
        <v>45941</v>
      </c>
      <c r="V1788" s="41">
        <v>46153.532986111109</v>
      </c>
      <c r="W1788" s="40">
        <v>45940</v>
      </c>
      <c r="X1788" s="35" t="s">
        <v>916</v>
      </c>
      <c r="Y1788" s="35" t="s">
        <v>916</v>
      </c>
      <c r="Z1788" s="35" t="s">
        <v>916</v>
      </c>
      <c r="AA1788" s="38">
        <v>1952.7266666664</v>
      </c>
      <c r="AB1788" s="42" t="s">
        <v>916</v>
      </c>
      <c r="AC1788" s="43" t="s">
        <v>916</v>
      </c>
      <c r="AD1788" s="43" t="s">
        <v>916</v>
      </c>
      <c r="AE1788" s="33" t="s">
        <v>3982</v>
      </c>
      <c r="AF1788" s="35" t="s">
        <v>916</v>
      </c>
      <c r="AG1788" s="44">
        <v>488919.27333333332</v>
      </c>
      <c r="AH1788" s="42" t="s">
        <v>916</v>
      </c>
      <c r="AI1788" s="32" t="e">
        <f>VLOOKUP(A1788,'4月明細'!B:B,1,0)</f>
        <v>#N/A</v>
      </c>
    </row>
    <row r="1789" spans="1:35" ht="19.95" customHeight="1" x14ac:dyDescent="0.3">
      <c r="A1789" s="33" t="s">
        <v>6311</v>
      </c>
      <c r="B1789" s="34">
        <v>45940.616203703707</v>
      </c>
      <c r="C1789" s="34" t="str">
        <f t="shared" si="40"/>
        <v>202510</v>
      </c>
      <c r="D1789" s="35" t="s">
        <v>951</v>
      </c>
      <c r="E1789" s="36" t="s">
        <v>910</v>
      </c>
      <c r="F1789" s="36" t="s">
        <v>1370</v>
      </c>
      <c r="G1789" s="37" t="s">
        <v>6312</v>
      </c>
      <c r="H1789" s="36" t="s">
        <v>970</v>
      </c>
      <c r="I1789" s="35" t="s">
        <v>6313</v>
      </c>
      <c r="J1789" s="36" t="s">
        <v>929</v>
      </c>
      <c r="K1789" s="33" t="s">
        <v>916</v>
      </c>
      <c r="L1789" s="35" t="s">
        <v>916</v>
      </c>
      <c r="M1789" s="36" t="s">
        <v>916</v>
      </c>
      <c r="N1789" s="45">
        <v>46022</v>
      </c>
      <c r="O1789" s="36" t="s">
        <v>25</v>
      </c>
      <c r="P1789" s="38">
        <v>81.383796296300005</v>
      </c>
      <c r="Q1789" s="39" t="s">
        <v>6314</v>
      </c>
      <c r="R1789" s="35" t="s">
        <v>916</v>
      </c>
      <c r="S1789" s="35"/>
      <c r="T1789" s="35" t="s">
        <v>1701</v>
      </c>
      <c r="U1789" s="40">
        <v>45941</v>
      </c>
      <c r="V1789" s="41">
        <v>46153.532986111109</v>
      </c>
      <c r="W1789" s="40">
        <v>45940</v>
      </c>
      <c r="X1789" s="35" t="s">
        <v>916</v>
      </c>
      <c r="Y1789" s="35" t="s">
        <v>916</v>
      </c>
      <c r="Z1789" s="35" t="s">
        <v>916</v>
      </c>
      <c r="AA1789" s="38">
        <v>1953.2111111111999</v>
      </c>
      <c r="AB1789" s="42" t="s">
        <v>916</v>
      </c>
      <c r="AC1789" s="43" t="s">
        <v>916</v>
      </c>
      <c r="AD1789" s="43" t="s">
        <v>916</v>
      </c>
      <c r="AE1789" s="33" t="s">
        <v>3982</v>
      </c>
      <c r="AF1789" s="35" t="s">
        <v>916</v>
      </c>
      <c r="AG1789" s="44">
        <v>488918.7888888889</v>
      </c>
      <c r="AH1789" s="42" t="s">
        <v>916</v>
      </c>
      <c r="AI1789" s="32" t="e">
        <f>VLOOKUP(A1789,'4月明細'!B:B,1,0)</f>
        <v>#N/A</v>
      </c>
    </row>
    <row r="1790" spans="1:35" ht="19.95" customHeight="1" x14ac:dyDescent="0.3">
      <c r="A1790" s="33" t="s">
        <v>6315</v>
      </c>
      <c r="B1790" s="34">
        <v>45940.615810185183</v>
      </c>
      <c r="C1790" s="34" t="str">
        <f t="shared" si="40"/>
        <v>202510</v>
      </c>
      <c r="D1790" s="35" t="s">
        <v>951</v>
      </c>
      <c r="E1790" s="36" t="s">
        <v>910</v>
      </c>
      <c r="F1790" s="36" t="s">
        <v>1423</v>
      </c>
      <c r="G1790" s="37" t="s">
        <v>6316</v>
      </c>
      <c r="H1790" s="36" t="s">
        <v>1048</v>
      </c>
      <c r="I1790" s="35" t="s">
        <v>6317</v>
      </c>
      <c r="J1790" s="36" t="s">
        <v>914</v>
      </c>
      <c r="K1790" s="33" t="s">
        <v>916</v>
      </c>
      <c r="L1790" s="35" t="s">
        <v>916</v>
      </c>
      <c r="M1790" s="36" t="s">
        <v>916</v>
      </c>
      <c r="N1790" s="45">
        <v>46022</v>
      </c>
      <c r="O1790" s="36" t="s">
        <v>25</v>
      </c>
      <c r="P1790" s="38">
        <v>81.384189814799996</v>
      </c>
      <c r="Q1790" s="39" t="s">
        <v>6318</v>
      </c>
      <c r="R1790" s="35" t="s">
        <v>916</v>
      </c>
      <c r="S1790" s="35"/>
      <c r="T1790" s="35" t="s">
        <v>1701</v>
      </c>
      <c r="U1790" s="40">
        <v>45941</v>
      </c>
      <c r="V1790" s="41">
        <v>46153.532986111109</v>
      </c>
      <c r="W1790" s="40">
        <v>45940</v>
      </c>
      <c r="X1790" s="35" t="s">
        <v>916</v>
      </c>
      <c r="Y1790" s="35" t="s">
        <v>916</v>
      </c>
      <c r="Z1790" s="35" t="s">
        <v>916</v>
      </c>
      <c r="AA1790" s="38">
        <v>1953.2205555552</v>
      </c>
      <c r="AB1790" s="42" t="s">
        <v>916</v>
      </c>
      <c r="AC1790" s="43" t="s">
        <v>916</v>
      </c>
      <c r="AD1790" s="43" t="s">
        <v>916</v>
      </c>
      <c r="AE1790" s="33" t="s">
        <v>3982</v>
      </c>
      <c r="AF1790" s="35" t="s">
        <v>916</v>
      </c>
      <c r="AG1790" s="44">
        <v>488918.77944444452</v>
      </c>
      <c r="AH1790" s="42" t="s">
        <v>916</v>
      </c>
      <c r="AI1790" s="32" t="e">
        <f>VLOOKUP(A1790,'4月明細'!B:B,1,0)</f>
        <v>#N/A</v>
      </c>
    </row>
    <row r="1791" spans="1:35" ht="19.95" customHeight="1" x14ac:dyDescent="0.3">
      <c r="A1791" s="33" t="s">
        <v>6319</v>
      </c>
      <c r="B1791" s="34">
        <v>45940.597743055558</v>
      </c>
      <c r="C1791" s="34" t="str">
        <f t="shared" si="40"/>
        <v>202510</v>
      </c>
      <c r="D1791" s="35" t="s">
        <v>951</v>
      </c>
      <c r="E1791" s="36" t="s">
        <v>910</v>
      </c>
      <c r="F1791" s="36" t="s">
        <v>1423</v>
      </c>
      <c r="G1791" s="37" t="s">
        <v>6320</v>
      </c>
      <c r="H1791" s="36" t="s">
        <v>4267</v>
      </c>
      <c r="I1791" s="35" t="s">
        <v>6321</v>
      </c>
      <c r="J1791" s="36" t="s">
        <v>914</v>
      </c>
      <c r="K1791" s="33" t="s">
        <v>916</v>
      </c>
      <c r="L1791" s="35" t="s">
        <v>916</v>
      </c>
      <c r="M1791" s="36" t="s">
        <v>916</v>
      </c>
      <c r="N1791" s="45">
        <v>46022</v>
      </c>
      <c r="O1791" s="36" t="s">
        <v>25</v>
      </c>
      <c r="P1791" s="38">
        <v>81.402256944399994</v>
      </c>
      <c r="Q1791" s="39" t="s">
        <v>6318</v>
      </c>
      <c r="R1791" s="35" t="s">
        <v>916</v>
      </c>
      <c r="S1791" s="35"/>
      <c r="T1791" s="35" t="s">
        <v>1701</v>
      </c>
      <c r="U1791" s="40">
        <v>45941</v>
      </c>
      <c r="V1791" s="41">
        <v>46153.532986111109</v>
      </c>
      <c r="W1791" s="40">
        <v>45940</v>
      </c>
      <c r="X1791" s="35" t="s">
        <v>916</v>
      </c>
      <c r="Y1791" s="35" t="s">
        <v>916</v>
      </c>
      <c r="Z1791" s="35" t="s">
        <v>916</v>
      </c>
      <c r="AA1791" s="38">
        <v>1953.6541666656001</v>
      </c>
      <c r="AB1791" s="42" t="s">
        <v>916</v>
      </c>
      <c r="AC1791" s="43" t="s">
        <v>916</v>
      </c>
      <c r="AD1791" s="43" t="s">
        <v>916</v>
      </c>
      <c r="AE1791" s="33" t="s">
        <v>3982</v>
      </c>
      <c r="AF1791" s="35" t="s">
        <v>916</v>
      </c>
      <c r="AG1791" s="44">
        <v>488918.34583333338</v>
      </c>
      <c r="AH1791" s="42" t="s">
        <v>916</v>
      </c>
      <c r="AI1791" s="32" t="e">
        <f>VLOOKUP(A1791,'4月明細'!B:B,1,0)</f>
        <v>#N/A</v>
      </c>
    </row>
    <row r="1792" spans="1:35" ht="19.95" customHeight="1" x14ac:dyDescent="0.3">
      <c r="A1792" s="33" t="s">
        <v>6322</v>
      </c>
      <c r="B1792" s="34">
        <v>45940.608749999999</v>
      </c>
      <c r="C1792" s="34" t="str">
        <f t="shared" si="40"/>
        <v>202510</v>
      </c>
      <c r="D1792" s="35" t="s">
        <v>6281</v>
      </c>
      <c r="E1792" s="36" t="s">
        <v>910</v>
      </c>
      <c r="F1792" s="36" t="s">
        <v>1568</v>
      </c>
      <c r="G1792" s="37" t="s">
        <v>6323</v>
      </c>
      <c r="H1792" s="36" t="s">
        <v>4162</v>
      </c>
      <c r="I1792" s="35"/>
      <c r="J1792" s="36" t="s">
        <v>914</v>
      </c>
      <c r="K1792" s="33" t="s">
        <v>916</v>
      </c>
      <c r="L1792" s="35" t="s">
        <v>916</v>
      </c>
      <c r="M1792" s="36" t="s">
        <v>916</v>
      </c>
      <c r="N1792" s="45">
        <v>46022</v>
      </c>
      <c r="O1792" s="36" t="s">
        <v>25</v>
      </c>
      <c r="P1792" s="38">
        <v>81.391249999999999</v>
      </c>
      <c r="Q1792" s="39" t="s">
        <v>6324</v>
      </c>
      <c r="R1792" s="35" t="s">
        <v>916</v>
      </c>
      <c r="S1792" s="35"/>
      <c r="T1792" s="35" t="s">
        <v>1701</v>
      </c>
      <c r="U1792" s="40">
        <v>45941</v>
      </c>
      <c r="V1792" s="41">
        <v>46153.532986111109</v>
      </c>
      <c r="W1792" s="40">
        <v>45940</v>
      </c>
      <c r="X1792" s="35" t="s">
        <v>916</v>
      </c>
      <c r="Y1792" s="35" t="s">
        <v>916</v>
      </c>
      <c r="Z1792" s="35" t="s">
        <v>916</v>
      </c>
      <c r="AA1792" s="38">
        <v>1953.39</v>
      </c>
      <c r="AB1792" s="42" t="s">
        <v>916</v>
      </c>
      <c r="AC1792" s="43" t="s">
        <v>916</v>
      </c>
      <c r="AD1792" s="43" t="s">
        <v>916</v>
      </c>
      <c r="AE1792" s="33" t="s">
        <v>3982</v>
      </c>
      <c r="AF1792" s="35" t="s">
        <v>916</v>
      </c>
      <c r="AG1792" s="44">
        <v>488918.61</v>
      </c>
      <c r="AH1792" s="42" t="s">
        <v>916</v>
      </c>
      <c r="AI1792" s="32" t="e">
        <f>VLOOKUP(A1792,'4月明細'!B:B,1,0)</f>
        <v>#N/A</v>
      </c>
    </row>
    <row r="1793" spans="1:35" ht="19.95" customHeight="1" x14ac:dyDescent="0.3">
      <c r="A1793" s="33" t="s">
        <v>6325</v>
      </c>
      <c r="B1793" s="34">
        <v>45940.578067129631</v>
      </c>
      <c r="C1793" s="34" t="str">
        <f t="shared" si="40"/>
        <v>202510</v>
      </c>
      <c r="D1793" s="35" t="s">
        <v>951</v>
      </c>
      <c r="E1793" s="36" t="s">
        <v>910</v>
      </c>
      <c r="F1793" s="36" t="s">
        <v>926</v>
      </c>
      <c r="G1793" s="37" t="s">
        <v>6326</v>
      </c>
      <c r="H1793" s="36" t="s">
        <v>970</v>
      </c>
      <c r="I1793" s="35" t="s">
        <v>6327</v>
      </c>
      <c r="J1793" s="36" t="s">
        <v>929</v>
      </c>
      <c r="K1793" s="33" t="s">
        <v>916</v>
      </c>
      <c r="L1793" s="35" t="s">
        <v>916</v>
      </c>
      <c r="M1793" s="36" t="s">
        <v>916</v>
      </c>
      <c r="N1793" s="45">
        <v>46022</v>
      </c>
      <c r="O1793" s="36" t="s">
        <v>25</v>
      </c>
      <c r="P1793" s="38">
        <v>81.421932870399999</v>
      </c>
      <c r="Q1793" s="39" t="s">
        <v>6328</v>
      </c>
      <c r="R1793" s="35" t="s">
        <v>916</v>
      </c>
      <c r="S1793" s="35"/>
      <c r="T1793" s="35" t="s">
        <v>1624</v>
      </c>
      <c r="U1793" s="40">
        <v>45941</v>
      </c>
      <c r="V1793" s="41">
        <v>46153.532986111109</v>
      </c>
      <c r="W1793" s="40">
        <v>45940</v>
      </c>
      <c r="X1793" s="35" t="s">
        <v>916</v>
      </c>
      <c r="Y1793" s="35" t="s">
        <v>916</v>
      </c>
      <c r="Z1793" s="35" t="s">
        <v>916</v>
      </c>
      <c r="AA1793" s="38">
        <v>1954.1263888896001</v>
      </c>
      <c r="AB1793" s="42" t="s">
        <v>916</v>
      </c>
      <c r="AC1793" s="43" t="s">
        <v>916</v>
      </c>
      <c r="AD1793" s="43" t="s">
        <v>916</v>
      </c>
      <c r="AE1793" s="33" t="s">
        <v>3982</v>
      </c>
      <c r="AF1793" s="35" t="s">
        <v>916</v>
      </c>
      <c r="AG1793" s="44">
        <v>488917.87361111108</v>
      </c>
      <c r="AH1793" s="42" t="s">
        <v>916</v>
      </c>
      <c r="AI1793" s="32" t="e">
        <f>VLOOKUP(A1793,'4月明細'!B:B,1,0)</f>
        <v>#N/A</v>
      </c>
    </row>
    <row r="1794" spans="1:35" ht="19.95" customHeight="1" x14ac:dyDescent="0.3">
      <c r="A1794" s="33" t="s">
        <v>6329</v>
      </c>
      <c r="B1794" s="34">
        <v>45940.577430555553</v>
      </c>
      <c r="C1794" s="34" t="str">
        <f t="shared" si="40"/>
        <v>202510</v>
      </c>
      <c r="D1794" s="35" t="s">
        <v>951</v>
      </c>
      <c r="E1794" s="36" t="s">
        <v>910</v>
      </c>
      <c r="F1794" s="36" t="s">
        <v>1898</v>
      </c>
      <c r="G1794" s="37" t="s">
        <v>6330</v>
      </c>
      <c r="H1794" s="36" t="s">
        <v>4401</v>
      </c>
      <c r="I1794" s="35"/>
      <c r="J1794" s="36" t="s">
        <v>914</v>
      </c>
      <c r="K1794" s="33" t="s">
        <v>916</v>
      </c>
      <c r="L1794" s="35" t="s">
        <v>916</v>
      </c>
      <c r="M1794" s="36" t="s">
        <v>916</v>
      </c>
      <c r="N1794" s="45">
        <v>46022</v>
      </c>
      <c r="O1794" s="36" t="s">
        <v>25</v>
      </c>
      <c r="P1794" s="38">
        <v>81.422569444399997</v>
      </c>
      <c r="Q1794" s="39" t="s">
        <v>6331</v>
      </c>
      <c r="R1794" s="35" t="s">
        <v>916</v>
      </c>
      <c r="S1794" s="35"/>
      <c r="T1794" s="35" t="s">
        <v>1701</v>
      </c>
      <c r="U1794" s="40">
        <v>45941</v>
      </c>
      <c r="V1794" s="41">
        <v>46153.532986111109</v>
      </c>
      <c r="W1794" s="40">
        <v>45940</v>
      </c>
      <c r="X1794" s="35" t="s">
        <v>916</v>
      </c>
      <c r="Y1794" s="35" t="s">
        <v>916</v>
      </c>
      <c r="Z1794" s="35" t="s">
        <v>916</v>
      </c>
      <c r="AA1794" s="38">
        <v>1954.1416666656</v>
      </c>
      <c r="AB1794" s="42" t="s">
        <v>916</v>
      </c>
      <c r="AC1794" s="43" t="s">
        <v>916</v>
      </c>
      <c r="AD1794" s="43" t="s">
        <v>916</v>
      </c>
      <c r="AE1794" s="33" t="s">
        <v>3982</v>
      </c>
      <c r="AF1794" s="35" t="s">
        <v>916</v>
      </c>
      <c r="AG1794" s="44">
        <v>488917.8583333334</v>
      </c>
      <c r="AH1794" s="42" t="s">
        <v>916</v>
      </c>
      <c r="AI1794" s="32" t="e">
        <f>VLOOKUP(A1794,'4月明細'!B:B,1,0)</f>
        <v>#N/A</v>
      </c>
    </row>
    <row r="1795" spans="1:35" ht="19.95" customHeight="1" x14ac:dyDescent="0.3">
      <c r="A1795" s="33" t="s">
        <v>6332</v>
      </c>
      <c r="B1795" s="34">
        <v>45940.533993055556</v>
      </c>
      <c r="C1795" s="34" t="str">
        <f t="shared" ref="C1795:C1858" si="41">TEXT(B1795,"YYYYMM")</f>
        <v>202510</v>
      </c>
      <c r="D1795" s="35" t="s">
        <v>951</v>
      </c>
      <c r="E1795" s="36" t="s">
        <v>910</v>
      </c>
      <c r="F1795" s="36" t="s">
        <v>1898</v>
      </c>
      <c r="G1795" s="37" t="s">
        <v>6333</v>
      </c>
      <c r="H1795" s="36" t="s">
        <v>1352</v>
      </c>
      <c r="I1795" s="35" t="s">
        <v>6334</v>
      </c>
      <c r="J1795" s="36" t="s">
        <v>914</v>
      </c>
      <c r="K1795" s="33" t="s">
        <v>916</v>
      </c>
      <c r="L1795" s="35" t="s">
        <v>916</v>
      </c>
      <c r="M1795" s="36" t="s">
        <v>916</v>
      </c>
      <c r="N1795" s="45">
        <v>46022</v>
      </c>
      <c r="O1795" s="36" t="s">
        <v>25</v>
      </c>
      <c r="P1795" s="38">
        <v>81.466006944399993</v>
      </c>
      <c r="Q1795" s="39" t="s">
        <v>6335</v>
      </c>
      <c r="R1795" s="35" t="s">
        <v>916</v>
      </c>
      <c r="S1795" s="35" t="s">
        <v>6336</v>
      </c>
      <c r="T1795" s="35" t="s">
        <v>1701</v>
      </c>
      <c r="U1795" s="40">
        <v>45941</v>
      </c>
      <c r="V1795" s="41">
        <v>46153.532986111109</v>
      </c>
      <c r="W1795" s="40">
        <v>45940</v>
      </c>
      <c r="X1795" s="35" t="s">
        <v>916</v>
      </c>
      <c r="Y1795" s="35" t="s">
        <v>916</v>
      </c>
      <c r="Z1795" s="35" t="s">
        <v>916</v>
      </c>
      <c r="AA1795" s="38">
        <v>1955.1841666656001</v>
      </c>
      <c r="AB1795" s="42" t="s">
        <v>916</v>
      </c>
      <c r="AC1795" s="43" t="s">
        <v>916</v>
      </c>
      <c r="AD1795" s="43" t="s">
        <v>916</v>
      </c>
      <c r="AE1795" s="33" t="s">
        <v>3982</v>
      </c>
      <c r="AF1795" s="35" t="s">
        <v>916</v>
      </c>
      <c r="AG1795" s="44">
        <v>488916.81583333341</v>
      </c>
      <c r="AH1795" s="42" t="s">
        <v>916</v>
      </c>
      <c r="AI1795" s="32" t="e">
        <f>VLOOKUP(A1795,'4月明細'!B:B,1,0)</f>
        <v>#N/A</v>
      </c>
    </row>
    <row r="1796" spans="1:35" ht="19.95" customHeight="1" x14ac:dyDescent="0.3">
      <c r="A1796" s="33" t="s">
        <v>6337</v>
      </c>
      <c r="B1796" s="34">
        <v>45940.564560185187</v>
      </c>
      <c r="C1796" s="34" t="str">
        <f t="shared" si="41"/>
        <v>202510</v>
      </c>
      <c r="D1796" s="35" t="s">
        <v>5380</v>
      </c>
      <c r="E1796" s="36" t="s">
        <v>910</v>
      </c>
      <c r="F1796" s="36" t="s">
        <v>1232</v>
      </c>
      <c r="G1796" s="37" t="s">
        <v>6338</v>
      </c>
      <c r="H1796" s="36" t="s">
        <v>4029</v>
      </c>
      <c r="I1796" s="35" t="s">
        <v>6339</v>
      </c>
      <c r="J1796" s="36" t="s">
        <v>929</v>
      </c>
      <c r="K1796" s="33" t="s">
        <v>916</v>
      </c>
      <c r="L1796" s="35" t="s">
        <v>916</v>
      </c>
      <c r="M1796" s="36" t="s">
        <v>916</v>
      </c>
      <c r="N1796" s="45">
        <v>46022</v>
      </c>
      <c r="O1796" s="36" t="s">
        <v>25</v>
      </c>
      <c r="P1796" s="38">
        <v>81.435439814800006</v>
      </c>
      <c r="Q1796" s="39" t="s">
        <v>6340</v>
      </c>
      <c r="R1796" s="35" t="s">
        <v>916</v>
      </c>
      <c r="S1796" s="35"/>
      <c r="T1796" s="35" t="s">
        <v>1701</v>
      </c>
      <c r="U1796" s="40">
        <v>45941</v>
      </c>
      <c r="V1796" s="41">
        <v>46153.532986111109</v>
      </c>
      <c r="W1796" s="40">
        <v>45940</v>
      </c>
      <c r="X1796" s="35" t="s">
        <v>916</v>
      </c>
      <c r="Y1796" s="35" t="s">
        <v>916</v>
      </c>
      <c r="Z1796" s="35" t="s">
        <v>916</v>
      </c>
      <c r="AA1796" s="38">
        <v>1954.4505555552</v>
      </c>
      <c r="AB1796" s="42" t="s">
        <v>916</v>
      </c>
      <c r="AC1796" s="43" t="s">
        <v>916</v>
      </c>
      <c r="AD1796" s="43" t="s">
        <v>916</v>
      </c>
      <c r="AE1796" s="33" t="s">
        <v>3982</v>
      </c>
      <c r="AF1796" s="35" t="s">
        <v>916</v>
      </c>
      <c r="AG1796" s="44">
        <v>488917.54944444448</v>
      </c>
      <c r="AH1796" s="42" t="s">
        <v>916</v>
      </c>
      <c r="AI1796" s="32" t="e">
        <f>VLOOKUP(A1796,'4月明細'!B:B,1,0)</f>
        <v>#N/A</v>
      </c>
    </row>
    <row r="1797" spans="1:35" ht="19.95" customHeight="1" x14ac:dyDescent="0.3">
      <c r="A1797" s="33" t="s">
        <v>6341</v>
      </c>
      <c r="B1797" s="34">
        <v>45940.53365740741</v>
      </c>
      <c r="C1797" s="34" t="str">
        <f t="shared" si="41"/>
        <v>202510</v>
      </c>
      <c r="D1797" s="35" t="s">
        <v>951</v>
      </c>
      <c r="E1797" s="36" t="s">
        <v>910</v>
      </c>
      <c r="F1797" s="36" t="s">
        <v>1768</v>
      </c>
      <c r="G1797" s="37" t="s">
        <v>6342</v>
      </c>
      <c r="H1797" s="36" t="s">
        <v>1048</v>
      </c>
      <c r="I1797" s="35" t="s">
        <v>6343</v>
      </c>
      <c r="J1797" s="36" t="s">
        <v>929</v>
      </c>
      <c r="K1797" s="33" t="s">
        <v>916</v>
      </c>
      <c r="L1797" s="35" t="s">
        <v>916</v>
      </c>
      <c r="M1797" s="36" t="s">
        <v>916</v>
      </c>
      <c r="N1797" s="45">
        <v>46022</v>
      </c>
      <c r="O1797" s="36" t="s">
        <v>25</v>
      </c>
      <c r="P1797" s="38">
        <v>81.4663425926</v>
      </c>
      <c r="Q1797" s="39" t="s">
        <v>6344</v>
      </c>
      <c r="R1797" s="35" t="s">
        <v>916</v>
      </c>
      <c r="S1797" s="35"/>
      <c r="T1797" s="35" t="s">
        <v>1701</v>
      </c>
      <c r="U1797" s="40">
        <v>45941</v>
      </c>
      <c r="V1797" s="41">
        <v>46153.532986111109</v>
      </c>
      <c r="W1797" s="40">
        <v>45940</v>
      </c>
      <c r="X1797" s="35" t="s">
        <v>916</v>
      </c>
      <c r="Y1797" s="35" t="s">
        <v>916</v>
      </c>
      <c r="Z1797" s="35" t="s">
        <v>916</v>
      </c>
      <c r="AA1797" s="38">
        <v>1955.1922222224</v>
      </c>
      <c r="AB1797" s="42" t="s">
        <v>916</v>
      </c>
      <c r="AC1797" s="43" t="s">
        <v>916</v>
      </c>
      <c r="AD1797" s="43" t="s">
        <v>916</v>
      </c>
      <c r="AE1797" s="33" t="s">
        <v>3982</v>
      </c>
      <c r="AF1797" s="35" t="s">
        <v>916</v>
      </c>
      <c r="AG1797" s="44">
        <v>488916.80777777778</v>
      </c>
      <c r="AH1797" s="42" t="s">
        <v>916</v>
      </c>
      <c r="AI1797" s="32" t="e">
        <f>VLOOKUP(A1797,'4月明細'!B:B,1,0)</f>
        <v>#N/A</v>
      </c>
    </row>
    <row r="1798" spans="1:35" ht="19.95" customHeight="1" x14ac:dyDescent="0.3">
      <c r="A1798" s="33" t="s">
        <v>6345</v>
      </c>
      <c r="B1798" s="34">
        <v>45940.529942129629</v>
      </c>
      <c r="C1798" s="34" t="str">
        <f t="shared" si="41"/>
        <v>202510</v>
      </c>
      <c r="D1798" s="35" t="s">
        <v>951</v>
      </c>
      <c r="E1798" s="36" t="s">
        <v>910</v>
      </c>
      <c r="F1798" s="36" t="s">
        <v>1768</v>
      </c>
      <c r="G1798" s="37" t="s">
        <v>6346</v>
      </c>
      <c r="H1798" s="36" t="s">
        <v>4542</v>
      </c>
      <c r="I1798" s="35" t="s">
        <v>6347</v>
      </c>
      <c r="J1798" s="36" t="s">
        <v>929</v>
      </c>
      <c r="K1798" s="33" t="s">
        <v>916</v>
      </c>
      <c r="L1798" s="35" t="s">
        <v>916</v>
      </c>
      <c r="M1798" s="36" t="s">
        <v>916</v>
      </c>
      <c r="N1798" s="45">
        <v>46022</v>
      </c>
      <c r="O1798" s="36" t="s">
        <v>25</v>
      </c>
      <c r="P1798" s="38">
        <v>81.470057870399998</v>
      </c>
      <c r="Q1798" s="39" t="s">
        <v>6348</v>
      </c>
      <c r="R1798" s="35" t="s">
        <v>916</v>
      </c>
      <c r="S1798" s="35"/>
      <c r="T1798" s="35" t="s">
        <v>1701</v>
      </c>
      <c r="U1798" s="40">
        <v>45941</v>
      </c>
      <c r="V1798" s="41">
        <v>46153.532986111109</v>
      </c>
      <c r="W1798" s="40">
        <v>45940</v>
      </c>
      <c r="X1798" s="35" t="s">
        <v>916</v>
      </c>
      <c r="Y1798" s="35" t="s">
        <v>916</v>
      </c>
      <c r="Z1798" s="35" t="s">
        <v>916</v>
      </c>
      <c r="AA1798" s="38">
        <v>1955.2813888896001</v>
      </c>
      <c r="AB1798" s="42" t="s">
        <v>916</v>
      </c>
      <c r="AC1798" s="43" t="s">
        <v>916</v>
      </c>
      <c r="AD1798" s="43" t="s">
        <v>916</v>
      </c>
      <c r="AE1798" s="33" t="s">
        <v>3982</v>
      </c>
      <c r="AF1798" s="35" t="s">
        <v>916</v>
      </c>
      <c r="AG1798" s="44">
        <v>488916.71861111111</v>
      </c>
      <c r="AH1798" s="42" t="s">
        <v>916</v>
      </c>
      <c r="AI1798" s="32" t="e">
        <f>VLOOKUP(A1798,'4月明細'!B:B,1,0)</f>
        <v>#N/A</v>
      </c>
    </row>
    <row r="1799" spans="1:35" ht="19.95" customHeight="1" x14ac:dyDescent="0.3">
      <c r="A1799" s="33" t="s">
        <v>6349</v>
      </c>
      <c r="B1799" s="34">
        <v>45940.529178240744</v>
      </c>
      <c r="C1799" s="34" t="str">
        <f t="shared" si="41"/>
        <v>202510</v>
      </c>
      <c r="D1799" s="35" t="s">
        <v>951</v>
      </c>
      <c r="E1799" s="36" t="s">
        <v>910</v>
      </c>
      <c r="F1799" s="36" t="s">
        <v>1783</v>
      </c>
      <c r="G1799" s="37" t="s">
        <v>6350</v>
      </c>
      <c r="H1799" s="36" t="s">
        <v>4267</v>
      </c>
      <c r="I1799" s="35" t="s">
        <v>6351</v>
      </c>
      <c r="J1799" s="36" t="s">
        <v>929</v>
      </c>
      <c r="K1799" s="33" t="s">
        <v>916</v>
      </c>
      <c r="L1799" s="35" t="s">
        <v>916</v>
      </c>
      <c r="M1799" s="36" t="s">
        <v>916</v>
      </c>
      <c r="N1799" s="45">
        <v>46022</v>
      </c>
      <c r="O1799" s="36" t="s">
        <v>25</v>
      </c>
      <c r="P1799" s="38">
        <v>81.470821759299994</v>
      </c>
      <c r="Q1799" s="39" t="s">
        <v>6352</v>
      </c>
      <c r="R1799" s="35" t="s">
        <v>916</v>
      </c>
      <c r="S1799" s="35"/>
      <c r="T1799" s="35" t="s">
        <v>1701</v>
      </c>
      <c r="U1799" s="40">
        <v>45941</v>
      </c>
      <c r="V1799" s="41">
        <v>46153.532986111109</v>
      </c>
      <c r="W1799" s="40">
        <v>45940</v>
      </c>
      <c r="X1799" s="35" t="s">
        <v>916</v>
      </c>
      <c r="Y1799" s="35" t="s">
        <v>916</v>
      </c>
      <c r="Z1799" s="35" t="s">
        <v>916</v>
      </c>
      <c r="AA1799" s="38">
        <v>1955.2997222232</v>
      </c>
      <c r="AB1799" s="42" t="s">
        <v>916</v>
      </c>
      <c r="AC1799" s="43" t="s">
        <v>916</v>
      </c>
      <c r="AD1799" s="43" t="s">
        <v>916</v>
      </c>
      <c r="AE1799" s="33" t="s">
        <v>3982</v>
      </c>
      <c r="AF1799" s="35" t="s">
        <v>916</v>
      </c>
      <c r="AG1799" s="44">
        <v>488916.70027777768</v>
      </c>
      <c r="AH1799" s="42" t="s">
        <v>916</v>
      </c>
      <c r="AI1799" s="32" t="e">
        <f>VLOOKUP(A1799,'4月明細'!B:B,1,0)</f>
        <v>#N/A</v>
      </c>
    </row>
    <row r="1800" spans="1:35" ht="19.95" customHeight="1" x14ac:dyDescent="0.3">
      <c r="A1800" s="33" t="s">
        <v>6353</v>
      </c>
      <c r="B1800" s="34">
        <v>45940.528715277775</v>
      </c>
      <c r="C1800" s="34" t="str">
        <f t="shared" si="41"/>
        <v>202510</v>
      </c>
      <c r="D1800" s="35" t="s">
        <v>951</v>
      </c>
      <c r="E1800" s="36" t="s">
        <v>910</v>
      </c>
      <c r="F1800" s="36" t="s">
        <v>1783</v>
      </c>
      <c r="G1800" s="37" t="s">
        <v>6354</v>
      </c>
      <c r="H1800" s="36" t="s">
        <v>4324</v>
      </c>
      <c r="I1800" s="35" t="s">
        <v>6355</v>
      </c>
      <c r="J1800" s="36" t="s">
        <v>929</v>
      </c>
      <c r="K1800" s="33" t="s">
        <v>916</v>
      </c>
      <c r="L1800" s="35" t="s">
        <v>916</v>
      </c>
      <c r="M1800" s="36" t="s">
        <v>916</v>
      </c>
      <c r="N1800" s="45">
        <v>46022</v>
      </c>
      <c r="O1800" s="36" t="s">
        <v>25</v>
      </c>
      <c r="P1800" s="38">
        <v>81.471284722199997</v>
      </c>
      <c r="Q1800" s="39" t="s">
        <v>6356</v>
      </c>
      <c r="R1800" s="35" t="s">
        <v>916</v>
      </c>
      <c r="S1800" s="35"/>
      <c r="T1800" s="35" t="s">
        <v>1701</v>
      </c>
      <c r="U1800" s="40">
        <v>45941</v>
      </c>
      <c r="V1800" s="41">
        <v>46153.532986111109</v>
      </c>
      <c r="W1800" s="40">
        <v>45940</v>
      </c>
      <c r="X1800" s="35" t="s">
        <v>916</v>
      </c>
      <c r="Y1800" s="35" t="s">
        <v>916</v>
      </c>
      <c r="Z1800" s="35" t="s">
        <v>916</v>
      </c>
      <c r="AA1800" s="38">
        <v>1955.3108333328</v>
      </c>
      <c r="AB1800" s="42" t="s">
        <v>916</v>
      </c>
      <c r="AC1800" s="43" t="s">
        <v>916</v>
      </c>
      <c r="AD1800" s="43" t="s">
        <v>916</v>
      </c>
      <c r="AE1800" s="33" t="s">
        <v>3982</v>
      </c>
      <c r="AF1800" s="35" t="s">
        <v>916</v>
      </c>
      <c r="AG1800" s="44">
        <v>488916.68916666671</v>
      </c>
      <c r="AH1800" s="42" t="s">
        <v>916</v>
      </c>
      <c r="AI1800" s="32" t="e">
        <f>VLOOKUP(A1800,'4月明細'!B:B,1,0)</f>
        <v>#N/A</v>
      </c>
    </row>
    <row r="1801" spans="1:35" ht="19.95" customHeight="1" x14ac:dyDescent="0.3">
      <c r="A1801" s="33" t="s">
        <v>6357</v>
      </c>
      <c r="B1801" s="34">
        <v>45940.504861111112</v>
      </c>
      <c r="C1801" s="34" t="str">
        <f t="shared" si="41"/>
        <v>202510</v>
      </c>
      <c r="D1801" s="35" t="s">
        <v>951</v>
      </c>
      <c r="E1801" s="36" t="s">
        <v>910</v>
      </c>
      <c r="F1801" s="36" t="s">
        <v>1783</v>
      </c>
      <c r="G1801" s="37" t="s">
        <v>6358</v>
      </c>
      <c r="H1801" s="36" t="s">
        <v>970</v>
      </c>
      <c r="I1801" s="35" t="s">
        <v>6359</v>
      </c>
      <c r="J1801" s="36" t="s">
        <v>929</v>
      </c>
      <c r="K1801" s="33" t="s">
        <v>916</v>
      </c>
      <c r="L1801" s="35" t="s">
        <v>916</v>
      </c>
      <c r="M1801" s="36" t="s">
        <v>916</v>
      </c>
      <c r="N1801" s="45">
        <v>46022</v>
      </c>
      <c r="O1801" s="36" t="s">
        <v>25</v>
      </c>
      <c r="P1801" s="38">
        <v>81.495138888900001</v>
      </c>
      <c r="Q1801" s="39" t="s">
        <v>6360</v>
      </c>
      <c r="R1801" s="35" t="s">
        <v>916</v>
      </c>
      <c r="S1801" s="35"/>
      <c r="T1801" s="35" t="s">
        <v>1701</v>
      </c>
      <c r="U1801" s="40">
        <v>45941</v>
      </c>
      <c r="V1801" s="41">
        <v>46153.532986111109</v>
      </c>
      <c r="W1801" s="40">
        <v>45940</v>
      </c>
      <c r="X1801" s="35" t="s">
        <v>916</v>
      </c>
      <c r="Y1801" s="35" t="s">
        <v>916</v>
      </c>
      <c r="Z1801" s="35" t="s">
        <v>916</v>
      </c>
      <c r="AA1801" s="38">
        <v>1955.8833333335999</v>
      </c>
      <c r="AB1801" s="42" t="s">
        <v>916</v>
      </c>
      <c r="AC1801" s="43" t="s">
        <v>916</v>
      </c>
      <c r="AD1801" s="43" t="s">
        <v>916</v>
      </c>
      <c r="AE1801" s="33" t="s">
        <v>3982</v>
      </c>
      <c r="AF1801" s="35" t="s">
        <v>916</v>
      </c>
      <c r="AG1801" s="44">
        <v>488916.1166666667</v>
      </c>
      <c r="AH1801" s="42" t="s">
        <v>916</v>
      </c>
      <c r="AI1801" s="32" t="e">
        <f>VLOOKUP(A1801,'4月明細'!B:B,1,0)</f>
        <v>#N/A</v>
      </c>
    </row>
    <row r="1802" spans="1:35" ht="19.95" customHeight="1" x14ac:dyDescent="0.3">
      <c r="A1802" s="33" t="s">
        <v>6361</v>
      </c>
      <c r="B1802" s="34">
        <v>45940.49318287037</v>
      </c>
      <c r="C1802" s="34" t="str">
        <f t="shared" si="41"/>
        <v>202510</v>
      </c>
      <c r="D1802" s="35" t="s">
        <v>951</v>
      </c>
      <c r="E1802" s="36" t="s">
        <v>910</v>
      </c>
      <c r="F1802" s="36" t="s">
        <v>947</v>
      </c>
      <c r="G1802" s="37" t="s">
        <v>6362</v>
      </c>
      <c r="H1802" s="36" t="s">
        <v>3996</v>
      </c>
      <c r="I1802" s="35" t="s">
        <v>6363</v>
      </c>
      <c r="J1802" s="36" t="s">
        <v>914</v>
      </c>
      <c r="K1802" s="33" t="s">
        <v>916</v>
      </c>
      <c r="L1802" s="35" t="s">
        <v>916</v>
      </c>
      <c r="M1802" s="36" t="s">
        <v>916</v>
      </c>
      <c r="N1802" s="45">
        <v>46022</v>
      </c>
      <c r="O1802" s="36" t="s">
        <v>25</v>
      </c>
      <c r="P1802" s="38">
        <v>81.506817129599995</v>
      </c>
      <c r="Q1802" s="39" t="s">
        <v>1328</v>
      </c>
      <c r="R1802" s="35" t="s">
        <v>916</v>
      </c>
      <c r="S1802" s="35"/>
      <c r="T1802" s="35" t="s">
        <v>1701</v>
      </c>
      <c r="U1802" s="40">
        <v>45941</v>
      </c>
      <c r="V1802" s="41">
        <v>46153.532986111109</v>
      </c>
      <c r="W1802" s="40">
        <v>45940</v>
      </c>
      <c r="X1802" s="35" t="s">
        <v>916</v>
      </c>
      <c r="Y1802" s="35" t="s">
        <v>916</v>
      </c>
      <c r="Z1802" s="35" t="s">
        <v>916</v>
      </c>
      <c r="AA1802" s="38">
        <v>1956.1636111104001</v>
      </c>
      <c r="AB1802" s="42" t="s">
        <v>916</v>
      </c>
      <c r="AC1802" s="43" t="s">
        <v>916</v>
      </c>
      <c r="AD1802" s="43" t="s">
        <v>916</v>
      </c>
      <c r="AE1802" s="33" t="s">
        <v>3982</v>
      </c>
      <c r="AF1802" s="35" t="s">
        <v>916</v>
      </c>
      <c r="AG1802" s="44">
        <v>488915.83638888889</v>
      </c>
      <c r="AH1802" s="42" t="s">
        <v>916</v>
      </c>
      <c r="AI1802" s="32" t="e">
        <f>VLOOKUP(A1802,'4月明細'!B:B,1,0)</f>
        <v>#N/A</v>
      </c>
    </row>
    <row r="1803" spans="1:35" ht="19.95" customHeight="1" x14ac:dyDescent="0.3">
      <c r="A1803" s="33" t="s">
        <v>6364</v>
      </c>
      <c r="B1803" s="34">
        <v>45940.464513888888</v>
      </c>
      <c r="C1803" s="34" t="str">
        <f t="shared" si="41"/>
        <v>202510</v>
      </c>
      <c r="D1803" s="35" t="s">
        <v>951</v>
      </c>
      <c r="E1803" s="36" t="s">
        <v>910</v>
      </c>
      <c r="F1803" s="36" t="s">
        <v>2039</v>
      </c>
      <c r="G1803" s="37" t="s">
        <v>6365</v>
      </c>
      <c r="H1803" s="36" t="s">
        <v>1352</v>
      </c>
      <c r="I1803" s="35" t="s">
        <v>6366</v>
      </c>
      <c r="J1803" s="36" t="s">
        <v>914</v>
      </c>
      <c r="K1803" s="33" t="s">
        <v>916</v>
      </c>
      <c r="L1803" s="35" t="s">
        <v>916</v>
      </c>
      <c r="M1803" s="36" t="s">
        <v>916</v>
      </c>
      <c r="N1803" s="45">
        <v>46022</v>
      </c>
      <c r="O1803" s="36" t="s">
        <v>25</v>
      </c>
      <c r="P1803" s="38">
        <v>81.535486111099999</v>
      </c>
      <c r="Q1803" s="39" t="s">
        <v>6367</v>
      </c>
      <c r="R1803" s="35" t="s">
        <v>916</v>
      </c>
      <c r="S1803" s="35" t="s">
        <v>6368</v>
      </c>
      <c r="T1803" s="35" t="s">
        <v>1701</v>
      </c>
      <c r="U1803" s="40">
        <v>45941</v>
      </c>
      <c r="V1803" s="41">
        <v>46153.532986111109</v>
      </c>
      <c r="W1803" s="40">
        <v>45940</v>
      </c>
      <c r="X1803" s="35" t="s">
        <v>916</v>
      </c>
      <c r="Y1803" s="35" t="s">
        <v>916</v>
      </c>
      <c r="Z1803" s="35" t="s">
        <v>916</v>
      </c>
      <c r="AA1803" s="38">
        <v>1956.8516666664</v>
      </c>
      <c r="AB1803" s="42" t="s">
        <v>916</v>
      </c>
      <c r="AC1803" s="43" t="s">
        <v>916</v>
      </c>
      <c r="AD1803" s="43" t="s">
        <v>916</v>
      </c>
      <c r="AE1803" s="33" t="s">
        <v>3982</v>
      </c>
      <c r="AF1803" s="35" t="s">
        <v>916</v>
      </c>
      <c r="AG1803" s="44">
        <v>488915.14833333332</v>
      </c>
      <c r="AH1803" s="42" t="s">
        <v>916</v>
      </c>
      <c r="AI1803" s="32" t="e">
        <f>VLOOKUP(A1803,'4月明細'!B:B,1,0)</f>
        <v>#N/A</v>
      </c>
    </row>
    <row r="1804" spans="1:35" ht="19.95" customHeight="1" x14ac:dyDescent="0.3">
      <c r="A1804" s="33" t="s">
        <v>6369</v>
      </c>
      <c r="B1804" s="34">
        <v>45940.464189814818</v>
      </c>
      <c r="C1804" s="34" t="str">
        <f t="shared" si="41"/>
        <v>202510</v>
      </c>
      <c r="D1804" s="35" t="s">
        <v>951</v>
      </c>
      <c r="E1804" s="36" t="s">
        <v>910</v>
      </c>
      <c r="F1804" s="36" t="s">
        <v>1335</v>
      </c>
      <c r="G1804" s="37" t="s">
        <v>6370</v>
      </c>
      <c r="H1804" s="36" t="s">
        <v>970</v>
      </c>
      <c r="I1804" s="35" t="s">
        <v>6371</v>
      </c>
      <c r="J1804" s="36" t="s">
        <v>929</v>
      </c>
      <c r="K1804" s="33" t="s">
        <v>916</v>
      </c>
      <c r="L1804" s="35" t="s">
        <v>916</v>
      </c>
      <c r="M1804" s="36" t="s">
        <v>916</v>
      </c>
      <c r="N1804" s="45">
        <v>46022</v>
      </c>
      <c r="O1804" s="36" t="s">
        <v>25</v>
      </c>
      <c r="P1804" s="38">
        <v>81.535810185200006</v>
      </c>
      <c r="Q1804" s="39" t="s">
        <v>6372</v>
      </c>
      <c r="R1804" s="35" t="s">
        <v>916</v>
      </c>
      <c r="S1804" s="35"/>
      <c r="T1804" s="35" t="s">
        <v>1701</v>
      </c>
      <c r="U1804" s="40">
        <v>45941</v>
      </c>
      <c r="V1804" s="41">
        <v>46153.532986111109</v>
      </c>
      <c r="W1804" s="40">
        <v>45940</v>
      </c>
      <c r="X1804" s="35" t="s">
        <v>916</v>
      </c>
      <c r="Y1804" s="35" t="s">
        <v>916</v>
      </c>
      <c r="Z1804" s="35" t="s">
        <v>916</v>
      </c>
      <c r="AA1804" s="38">
        <v>1956.8594444447999</v>
      </c>
      <c r="AB1804" s="42" t="s">
        <v>916</v>
      </c>
      <c r="AC1804" s="43" t="s">
        <v>916</v>
      </c>
      <c r="AD1804" s="43" t="s">
        <v>916</v>
      </c>
      <c r="AE1804" s="33" t="s">
        <v>3982</v>
      </c>
      <c r="AF1804" s="35" t="s">
        <v>916</v>
      </c>
      <c r="AG1804" s="44">
        <v>488915.14055555558</v>
      </c>
      <c r="AH1804" s="42" t="s">
        <v>916</v>
      </c>
      <c r="AI1804" s="32" t="e">
        <f>VLOOKUP(A1804,'4月明細'!B:B,1,0)</f>
        <v>#N/A</v>
      </c>
    </row>
    <row r="1805" spans="1:35" ht="19.95" customHeight="1" x14ac:dyDescent="0.3">
      <c r="A1805" s="33" t="s">
        <v>6373</v>
      </c>
      <c r="B1805" s="34">
        <v>45940.445254629631</v>
      </c>
      <c r="C1805" s="34" t="str">
        <f t="shared" si="41"/>
        <v>202510</v>
      </c>
      <c r="D1805" s="35" t="s">
        <v>3889</v>
      </c>
      <c r="E1805" s="36" t="s">
        <v>1112</v>
      </c>
      <c r="F1805" s="36" t="s">
        <v>935</v>
      </c>
      <c r="G1805" s="37" t="s">
        <v>6374</v>
      </c>
      <c r="H1805" s="36" t="s">
        <v>4683</v>
      </c>
      <c r="I1805" s="35" t="s">
        <v>6375</v>
      </c>
      <c r="J1805" s="36" t="s">
        <v>938</v>
      </c>
      <c r="K1805" s="33" t="s">
        <v>916</v>
      </c>
      <c r="L1805" s="35" t="s">
        <v>916</v>
      </c>
      <c r="M1805" s="36" t="s">
        <v>916</v>
      </c>
      <c r="N1805" s="45">
        <v>46022</v>
      </c>
      <c r="O1805" s="36" t="s">
        <v>25</v>
      </c>
      <c r="P1805" s="38">
        <v>81.554745370399999</v>
      </c>
      <c r="Q1805" s="39" t="s">
        <v>6376</v>
      </c>
      <c r="R1805" s="35" t="s">
        <v>916</v>
      </c>
      <c r="S1805" s="35"/>
      <c r="T1805" s="35" t="s">
        <v>1701</v>
      </c>
      <c r="U1805" s="40">
        <v>45941</v>
      </c>
      <c r="V1805" s="41">
        <v>46153.532997685186</v>
      </c>
      <c r="W1805" s="40">
        <v>45940</v>
      </c>
      <c r="X1805" s="35" t="s">
        <v>916</v>
      </c>
      <c r="Y1805" s="35" t="s">
        <v>916</v>
      </c>
      <c r="Z1805" s="35" t="s">
        <v>916</v>
      </c>
      <c r="AA1805" s="38">
        <v>1957.3138888896001</v>
      </c>
      <c r="AB1805" s="42" t="s">
        <v>916</v>
      </c>
      <c r="AC1805" s="43" t="s">
        <v>916</v>
      </c>
      <c r="AD1805" s="43" t="s">
        <v>916</v>
      </c>
      <c r="AE1805" s="33" t="s">
        <v>3982</v>
      </c>
      <c r="AF1805" s="35" t="s">
        <v>916</v>
      </c>
      <c r="AG1805" s="44">
        <v>488914.68611111108</v>
      </c>
      <c r="AH1805" s="42" t="s">
        <v>916</v>
      </c>
      <c r="AI1805" s="32" t="e">
        <f>VLOOKUP(A1805,'4月明細'!B:B,1,0)</f>
        <v>#N/A</v>
      </c>
    </row>
    <row r="1806" spans="1:35" ht="19.95" customHeight="1" x14ac:dyDescent="0.3">
      <c r="A1806" s="33" t="s">
        <v>6377</v>
      </c>
      <c r="B1806" s="34">
        <v>45940.444166666668</v>
      </c>
      <c r="C1806" s="34" t="str">
        <f t="shared" si="41"/>
        <v>202510</v>
      </c>
      <c r="D1806" s="35" t="s">
        <v>3889</v>
      </c>
      <c r="E1806" s="36" t="s">
        <v>1112</v>
      </c>
      <c r="F1806" s="36" t="s">
        <v>1193</v>
      </c>
      <c r="G1806" s="37" t="s">
        <v>6378</v>
      </c>
      <c r="H1806" s="36" t="s">
        <v>5927</v>
      </c>
      <c r="I1806" s="35"/>
      <c r="J1806" s="36" t="s">
        <v>938</v>
      </c>
      <c r="K1806" s="33" t="s">
        <v>916</v>
      </c>
      <c r="L1806" s="35" t="s">
        <v>916</v>
      </c>
      <c r="M1806" s="36" t="s">
        <v>916</v>
      </c>
      <c r="N1806" s="45">
        <v>46022</v>
      </c>
      <c r="O1806" s="36" t="s">
        <v>25</v>
      </c>
      <c r="P1806" s="38">
        <v>81.555833333300001</v>
      </c>
      <c r="Q1806" s="39" t="s">
        <v>6379</v>
      </c>
      <c r="R1806" s="35" t="s">
        <v>916</v>
      </c>
      <c r="S1806" s="35"/>
      <c r="T1806" s="35" t="s">
        <v>1701</v>
      </c>
      <c r="U1806" s="40">
        <v>45941</v>
      </c>
      <c r="V1806" s="41">
        <v>46153.532997685186</v>
      </c>
      <c r="W1806" s="40">
        <v>45940</v>
      </c>
      <c r="X1806" s="35" t="s">
        <v>916</v>
      </c>
      <c r="Y1806" s="35" t="s">
        <v>916</v>
      </c>
      <c r="Z1806" s="35" t="s">
        <v>916</v>
      </c>
      <c r="AA1806" s="38">
        <v>1957.3399999992</v>
      </c>
      <c r="AB1806" s="42" t="s">
        <v>916</v>
      </c>
      <c r="AC1806" s="43" t="s">
        <v>916</v>
      </c>
      <c r="AD1806" s="43" t="s">
        <v>916</v>
      </c>
      <c r="AE1806" s="33" t="s">
        <v>3982</v>
      </c>
      <c r="AF1806" s="35" t="s">
        <v>916</v>
      </c>
      <c r="AG1806" s="44">
        <v>488914.66</v>
      </c>
      <c r="AH1806" s="42" t="s">
        <v>916</v>
      </c>
      <c r="AI1806" s="32" t="e">
        <f>VLOOKUP(A1806,'4月明細'!B:B,1,0)</f>
        <v>#N/A</v>
      </c>
    </row>
    <row r="1807" spans="1:35" ht="19.95" customHeight="1" x14ac:dyDescent="0.3">
      <c r="A1807" s="33" t="s">
        <v>6380</v>
      </c>
      <c r="B1807" s="34">
        <v>45940.442928240744</v>
      </c>
      <c r="C1807" s="34" t="str">
        <f t="shared" si="41"/>
        <v>202510</v>
      </c>
      <c r="D1807" s="35" t="s">
        <v>3889</v>
      </c>
      <c r="E1807" s="36" t="s">
        <v>1112</v>
      </c>
      <c r="F1807" s="36" t="s">
        <v>1193</v>
      </c>
      <c r="G1807" s="37" t="s">
        <v>6381</v>
      </c>
      <c r="H1807" s="36" t="s">
        <v>4065</v>
      </c>
      <c r="I1807" s="35"/>
      <c r="J1807" s="36" t="s">
        <v>938</v>
      </c>
      <c r="K1807" s="33" t="s">
        <v>916</v>
      </c>
      <c r="L1807" s="35" t="s">
        <v>916</v>
      </c>
      <c r="M1807" s="36" t="s">
        <v>916</v>
      </c>
      <c r="N1807" s="45">
        <v>46022</v>
      </c>
      <c r="O1807" s="36" t="s">
        <v>25</v>
      </c>
      <c r="P1807" s="38">
        <v>81.557071759300001</v>
      </c>
      <c r="Q1807" s="39" t="s">
        <v>6202</v>
      </c>
      <c r="R1807" s="35" t="s">
        <v>916</v>
      </c>
      <c r="S1807" s="35" t="s">
        <v>6382</v>
      </c>
      <c r="T1807" s="35" t="s">
        <v>1701</v>
      </c>
      <c r="U1807" s="40">
        <v>45941</v>
      </c>
      <c r="V1807" s="41">
        <v>46153.532997685186</v>
      </c>
      <c r="W1807" s="40">
        <v>45940</v>
      </c>
      <c r="X1807" s="35" t="s">
        <v>916</v>
      </c>
      <c r="Y1807" s="35" t="s">
        <v>916</v>
      </c>
      <c r="Z1807" s="35" t="s">
        <v>916</v>
      </c>
      <c r="AA1807" s="38">
        <v>1957.3697222231999</v>
      </c>
      <c r="AB1807" s="42" t="s">
        <v>916</v>
      </c>
      <c r="AC1807" s="43" t="s">
        <v>916</v>
      </c>
      <c r="AD1807" s="43" t="s">
        <v>916</v>
      </c>
      <c r="AE1807" s="33" t="s">
        <v>3982</v>
      </c>
      <c r="AF1807" s="35" t="s">
        <v>916</v>
      </c>
      <c r="AG1807" s="44">
        <v>488914.63027777779</v>
      </c>
      <c r="AH1807" s="42" t="s">
        <v>916</v>
      </c>
      <c r="AI1807" s="32" t="e">
        <f>VLOOKUP(A1807,'4月明細'!B:B,1,0)</f>
        <v>#N/A</v>
      </c>
    </row>
    <row r="1808" spans="1:35" ht="19.95" customHeight="1" x14ac:dyDescent="0.3">
      <c r="A1808" s="33" t="s">
        <v>6383</v>
      </c>
      <c r="B1808" s="34">
        <v>45940.427453703705</v>
      </c>
      <c r="C1808" s="34" t="str">
        <f t="shared" si="41"/>
        <v>202510</v>
      </c>
      <c r="D1808" s="35" t="s">
        <v>941</v>
      </c>
      <c r="E1808" s="36" t="s">
        <v>1112</v>
      </c>
      <c r="F1808" s="36" t="s">
        <v>1316</v>
      </c>
      <c r="G1808" s="37" t="s">
        <v>6384</v>
      </c>
      <c r="H1808" s="36" t="s">
        <v>4401</v>
      </c>
      <c r="I1808" s="35"/>
      <c r="J1808" s="36" t="s">
        <v>945</v>
      </c>
      <c r="K1808" s="33" t="s">
        <v>916</v>
      </c>
      <c r="L1808" s="35" t="s">
        <v>916</v>
      </c>
      <c r="M1808" s="36" t="s">
        <v>916</v>
      </c>
      <c r="N1808" s="45">
        <v>46022</v>
      </c>
      <c r="O1808" s="36" t="s">
        <v>25</v>
      </c>
      <c r="P1808" s="38">
        <v>81.572546296300004</v>
      </c>
      <c r="Q1808" s="39" t="s">
        <v>1328</v>
      </c>
      <c r="R1808" s="35" t="s">
        <v>916</v>
      </c>
      <c r="S1808" s="35"/>
      <c r="T1808" s="35" t="s">
        <v>1701</v>
      </c>
      <c r="U1808" s="40">
        <v>45941</v>
      </c>
      <c r="V1808" s="41">
        <v>46153.532997685186</v>
      </c>
      <c r="W1808" s="40">
        <v>45940</v>
      </c>
      <c r="X1808" s="35" t="s">
        <v>916</v>
      </c>
      <c r="Y1808" s="35" t="s">
        <v>916</v>
      </c>
      <c r="Z1808" s="35" t="s">
        <v>916</v>
      </c>
      <c r="AA1808" s="38">
        <v>1957.7411111112001</v>
      </c>
      <c r="AB1808" s="42" t="s">
        <v>916</v>
      </c>
      <c r="AC1808" s="43" t="s">
        <v>916</v>
      </c>
      <c r="AD1808" s="43" t="s">
        <v>916</v>
      </c>
      <c r="AE1808" s="33" t="s">
        <v>3982</v>
      </c>
      <c r="AF1808" s="35" t="s">
        <v>916</v>
      </c>
      <c r="AG1808" s="44">
        <v>488914.25888888887</v>
      </c>
      <c r="AH1808" s="42" t="s">
        <v>916</v>
      </c>
      <c r="AI1808" s="32" t="e">
        <f>VLOOKUP(A1808,'4月明細'!B:B,1,0)</f>
        <v>#N/A</v>
      </c>
    </row>
    <row r="1809" spans="1:35" ht="19.95" customHeight="1" x14ac:dyDescent="0.3">
      <c r="A1809" s="33" t="s">
        <v>6385</v>
      </c>
      <c r="B1809" s="34">
        <v>45940.422083333331</v>
      </c>
      <c r="C1809" s="34" t="str">
        <f t="shared" si="41"/>
        <v>202510</v>
      </c>
      <c r="D1809" s="35" t="s">
        <v>941</v>
      </c>
      <c r="E1809" s="36" t="s">
        <v>1112</v>
      </c>
      <c r="F1809" s="36" t="s">
        <v>1731</v>
      </c>
      <c r="G1809" s="37" t="s">
        <v>6386</v>
      </c>
      <c r="H1809" s="36" t="s">
        <v>4542</v>
      </c>
      <c r="I1809" s="35"/>
      <c r="J1809" s="36" t="s">
        <v>945</v>
      </c>
      <c r="K1809" s="33" t="s">
        <v>916</v>
      </c>
      <c r="L1809" s="35" t="s">
        <v>916</v>
      </c>
      <c r="M1809" s="36" t="s">
        <v>916</v>
      </c>
      <c r="N1809" s="45">
        <v>46022</v>
      </c>
      <c r="O1809" s="36" t="s">
        <v>25</v>
      </c>
      <c r="P1809" s="38">
        <v>81.577916666700006</v>
      </c>
      <c r="Q1809" s="39" t="s">
        <v>6387</v>
      </c>
      <c r="R1809" s="35" t="s">
        <v>916</v>
      </c>
      <c r="S1809" s="35"/>
      <c r="T1809" s="35" t="s">
        <v>1701</v>
      </c>
      <c r="U1809" s="40">
        <v>45941</v>
      </c>
      <c r="V1809" s="41">
        <v>46153.532997685186</v>
      </c>
      <c r="W1809" s="40">
        <v>45940</v>
      </c>
      <c r="X1809" s="35" t="s">
        <v>916</v>
      </c>
      <c r="Y1809" s="35" t="s">
        <v>916</v>
      </c>
      <c r="Z1809" s="35" t="s">
        <v>916</v>
      </c>
      <c r="AA1809" s="38">
        <v>1957.8700000008</v>
      </c>
      <c r="AB1809" s="42" t="s">
        <v>916</v>
      </c>
      <c r="AC1809" s="43" t="s">
        <v>916</v>
      </c>
      <c r="AD1809" s="43" t="s">
        <v>916</v>
      </c>
      <c r="AE1809" s="33" t="s">
        <v>3982</v>
      </c>
      <c r="AF1809" s="35" t="s">
        <v>916</v>
      </c>
      <c r="AG1809" s="44">
        <v>488914.13</v>
      </c>
      <c r="AH1809" s="42" t="s">
        <v>916</v>
      </c>
      <c r="AI1809" s="32" t="e">
        <f>VLOOKUP(A1809,'4月明細'!B:B,1,0)</f>
        <v>#N/A</v>
      </c>
    </row>
    <row r="1810" spans="1:35" ht="19.95" customHeight="1" x14ac:dyDescent="0.3">
      <c r="A1810" s="33" t="s">
        <v>6388</v>
      </c>
      <c r="B1810" s="34">
        <v>45940.412581018521</v>
      </c>
      <c r="C1810" s="34" t="str">
        <f t="shared" si="41"/>
        <v>202510</v>
      </c>
      <c r="D1810" s="35" t="s">
        <v>6389</v>
      </c>
      <c r="E1810" s="36" t="s">
        <v>910</v>
      </c>
      <c r="F1810" s="36" t="s">
        <v>2441</v>
      </c>
      <c r="G1810" s="37" t="s">
        <v>6390</v>
      </c>
      <c r="H1810" s="36" t="s">
        <v>4065</v>
      </c>
      <c r="I1810" s="35"/>
      <c r="J1810" s="36" t="s">
        <v>938</v>
      </c>
      <c r="K1810" s="33" t="s">
        <v>916</v>
      </c>
      <c r="L1810" s="35" t="s">
        <v>916</v>
      </c>
      <c r="M1810" s="36" t="s">
        <v>916</v>
      </c>
      <c r="N1810" s="45">
        <v>46022</v>
      </c>
      <c r="O1810" s="36" t="s">
        <v>25</v>
      </c>
      <c r="P1810" s="38">
        <v>81.587418981499994</v>
      </c>
      <c r="Q1810" s="39" t="s">
        <v>6391</v>
      </c>
      <c r="R1810" s="35" t="s">
        <v>916</v>
      </c>
      <c r="S1810" s="35" t="s">
        <v>6392</v>
      </c>
      <c r="T1810" s="35" t="s">
        <v>1701</v>
      </c>
      <c r="U1810" s="40">
        <v>45941</v>
      </c>
      <c r="V1810" s="41">
        <v>46153.532997685186</v>
      </c>
      <c r="W1810" s="40">
        <v>45940</v>
      </c>
      <c r="X1810" s="35" t="s">
        <v>916</v>
      </c>
      <c r="Y1810" s="35" t="s">
        <v>916</v>
      </c>
      <c r="Z1810" s="35" t="s">
        <v>916</v>
      </c>
      <c r="AA1810" s="38">
        <v>1958.098055556</v>
      </c>
      <c r="AB1810" s="42" t="s">
        <v>916</v>
      </c>
      <c r="AC1810" s="43" t="s">
        <v>916</v>
      </c>
      <c r="AD1810" s="43" t="s">
        <v>916</v>
      </c>
      <c r="AE1810" s="33" t="s">
        <v>3982</v>
      </c>
      <c r="AF1810" s="35" t="s">
        <v>916</v>
      </c>
      <c r="AG1810" s="44">
        <v>488913.9019444444</v>
      </c>
      <c r="AH1810" s="42" t="s">
        <v>916</v>
      </c>
      <c r="AI1810" s="32" t="e">
        <f>VLOOKUP(A1810,'4月明細'!B:B,1,0)</f>
        <v>#N/A</v>
      </c>
    </row>
    <row r="1811" spans="1:35" ht="19.95" customHeight="1" x14ac:dyDescent="0.3">
      <c r="A1811" s="33" t="s">
        <v>6393</v>
      </c>
      <c r="B1811" s="34">
        <v>45940.358229166668</v>
      </c>
      <c r="C1811" s="34" t="str">
        <f t="shared" si="41"/>
        <v>202510</v>
      </c>
      <c r="D1811" s="35" t="s">
        <v>6394</v>
      </c>
      <c r="E1811" s="36" t="s">
        <v>910</v>
      </c>
      <c r="F1811" s="36" t="s">
        <v>1183</v>
      </c>
      <c r="G1811" s="37" t="s">
        <v>6395</v>
      </c>
      <c r="H1811" s="36" t="s">
        <v>4324</v>
      </c>
      <c r="I1811" s="35"/>
      <c r="J1811" s="36" t="s">
        <v>914</v>
      </c>
      <c r="K1811" s="33" t="s">
        <v>916</v>
      </c>
      <c r="L1811" s="35" t="s">
        <v>916</v>
      </c>
      <c r="M1811" s="36" t="s">
        <v>916</v>
      </c>
      <c r="N1811" s="45">
        <v>46022</v>
      </c>
      <c r="O1811" s="36" t="s">
        <v>25</v>
      </c>
      <c r="P1811" s="38">
        <v>81.641770833300001</v>
      </c>
      <c r="Q1811" s="39" t="s">
        <v>6396</v>
      </c>
      <c r="R1811" s="35" t="s">
        <v>916</v>
      </c>
      <c r="S1811" s="35"/>
      <c r="T1811" s="35" t="s">
        <v>1701</v>
      </c>
      <c r="U1811" s="40">
        <v>45941</v>
      </c>
      <c r="V1811" s="41">
        <v>46153.532997685186</v>
      </c>
      <c r="W1811" s="40">
        <v>45940</v>
      </c>
      <c r="X1811" s="35" t="s">
        <v>916</v>
      </c>
      <c r="Y1811" s="35" t="s">
        <v>916</v>
      </c>
      <c r="Z1811" s="35" t="s">
        <v>916</v>
      </c>
      <c r="AA1811" s="38">
        <v>1959.4024999992</v>
      </c>
      <c r="AB1811" s="42" t="s">
        <v>916</v>
      </c>
      <c r="AC1811" s="43" t="s">
        <v>916</v>
      </c>
      <c r="AD1811" s="43" t="s">
        <v>916</v>
      </c>
      <c r="AE1811" s="33" t="s">
        <v>3982</v>
      </c>
      <c r="AF1811" s="35" t="s">
        <v>916</v>
      </c>
      <c r="AG1811" s="44">
        <v>488912.59749999997</v>
      </c>
      <c r="AH1811" s="42" t="s">
        <v>916</v>
      </c>
      <c r="AI1811" s="32" t="e">
        <f>VLOOKUP(A1811,'4月明細'!B:B,1,0)</f>
        <v>#N/A</v>
      </c>
    </row>
    <row r="1812" spans="1:35" ht="19.95" customHeight="1" x14ac:dyDescent="0.3">
      <c r="A1812" s="33" t="s">
        <v>6397</v>
      </c>
      <c r="B1812" s="34">
        <v>45939.714791666665</v>
      </c>
      <c r="C1812" s="34" t="str">
        <f t="shared" si="41"/>
        <v>202510</v>
      </c>
      <c r="D1812" s="35" t="s">
        <v>6389</v>
      </c>
      <c r="E1812" s="36" t="s">
        <v>910</v>
      </c>
      <c r="F1812" s="36" t="s">
        <v>1783</v>
      </c>
      <c r="G1812" s="37" t="s">
        <v>6398</v>
      </c>
      <c r="H1812" s="36" t="s">
        <v>4107</v>
      </c>
      <c r="I1812" s="35"/>
      <c r="J1812" s="36" t="s">
        <v>929</v>
      </c>
      <c r="K1812" s="33" t="s">
        <v>916</v>
      </c>
      <c r="L1812" s="35" t="s">
        <v>916</v>
      </c>
      <c r="M1812" s="36" t="s">
        <v>916</v>
      </c>
      <c r="N1812" s="45">
        <v>46022</v>
      </c>
      <c r="O1812" s="36" t="s">
        <v>25</v>
      </c>
      <c r="P1812" s="38">
        <v>82.285208333300005</v>
      </c>
      <c r="Q1812" s="39" t="s">
        <v>6399</v>
      </c>
      <c r="R1812" s="35" t="s">
        <v>916</v>
      </c>
      <c r="S1812" s="35"/>
      <c r="T1812" s="35" t="s">
        <v>1701</v>
      </c>
      <c r="U1812" s="40">
        <v>45940</v>
      </c>
      <c r="V1812" s="41">
        <v>46153.532997685186</v>
      </c>
      <c r="W1812" s="40">
        <v>45939</v>
      </c>
      <c r="X1812" s="35" t="s">
        <v>916</v>
      </c>
      <c r="Y1812" s="35" t="s">
        <v>916</v>
      </c>
      <c r="Z1812" s="35" t="s">
        <v>916</v>
      </c>
      <c r="AA1812" s="38">
        <v>1974.8449999991999</v>
      </c>
      <c r="AB1812" s="42" t="s">
        <v>916</v>
      </c>
      <c r="AC1812" s="43" t="s">
        <v>916</v>
      </c>
      <c r="AD1812" s="43" t="s">
        <v>916</v>
      </c>
      <c r="AE1812" s="33" t="s">
        <v>3982</v>
      </c>
      <c r="AF1812" s="35" t="s">
        <v>916</v>
      </c>
      <c r="AG1812" s="44">
        <v>488897.15500000003</v>
      </c>
      <c r="AH1812" s="42" t="s">
        <v>916</v>
      </c>
      <c r="AI1812" s="32" t="e">
        <f>VLOOKUP(A1812,'4月明細'!B:B,1,0)</f>
        <v>#N/A</v>
      </c>
    </row>
    <row r="1813" spans="1:35" ht="19.95" customHeight="1" x14ac:dyDescent="0.3">
      <c r="A1813" s="33" t="s">
        <v>6400</v>
      </c>
      <c r="B1813" s="34">
        <v>45939.680868055555</v>
      </c>
      <c r="C1813" s="34" t="str">
        <f t="shared" si="41"/>
        <v>202510</v>
      </c>
      <c r="D1813" s="35" t="s">
        <v>6389</v>
      </c>
      <c r="E1813" s="36" t="s">
        <v>910</v>
      </c>
      <c r="F1813" s="36" t="s">
        <v>1350</v>
      </c>
      <c r="G1813" s="37" t="s">
        <v>6401</v>
      </c>
      <c r="H1813" s="36" t="s">
        <v>3996</v>
      </c>
      <c r="I1813" s="35" t="s">
        <v>6402</v>
      </c>
      <c r="J1813" s="36" t="s">
        <v>929</v>
      </c>
      <c r="K1813" s="33" t="s">
        <v>916</v>
      </c>
      <c r="L1813" s="35" t="s">
        <v>916</v>
      </c>
      <c r="M1813" s="36" t="s">
        <v>916</v>
      </c>
      <c r="N1813" s="45">
        <v>46022</v>
      </c>
      <c r="O1813" s="36" t="s">
        <v>25</v>
      </c>
      <c r="P1813" s="38">
        <v>82.319131944399999</v>
      </c>
      <c r="Q1813" s="39" t="s">
        <v>6403</v>
      </c>
      <c r="R1813" s="35" t="s">
        <v>916</v>
      </c>
      <c r="S1813" s="35" t="s">
        <v>6404</v>
      </c>
      <c r="T1813" s="35" t="s">
        <v>1701</v>
      </c>
      <c r="U1813" s="40">
        <v>45940</v>
      </c>
      <c r="V1813" s="41">
        <v>46153.532997685186</v>
      </c>
      <c r="W1813" s="40">
        <v>45939</v>
      </c>
      <c r="X1813" s="35" t="s">
        <v>916</v>
      </c>
      <c r="Y1813" s="35" t="s">
        <v>916</v>
      </c>
      <c r="Z1813" s="35" t="s">
        <v>916</v>
      </c>
      <c r="AA1813" s="38">
        <v>1975.6591666656</v>
      </c>
      <c r="AB1813" s="42" t="s">
        <v>916</v>
      </c>
      <c r="AC1813" s="43" t="s">
        <v>916</v>
      </c>
      <c r="AD1813" s="43" t="s">
        <v>916</v>
      </c>
      <c r="AE1813" s="33" t="s">
        <v>3982</v>
      </c>
      <c r="AF1813" s="35" t="s">
        <v>916</v>
      </c>
      <c r="AG1813" s="44">
        <v>488896.34083333332</v>
      </c>
      <c r="AH1813" s="42" t="s">
        <v>916</v>
      </c>
      <c r="AI1813" s="32" t="e">
        <f>VLOOKUP(A1813,'4月明細'!B:B,1,0)</f>
        <v>#N/A</v>
      </c>
    </row>
    <row r="1814" spans="1:35" ht="19.95" customHeight="1" x14ac:dyDescent="0.3">
      <c r="A1814" s="33" t="s">
        <v>6405</v>
      </c>
      <c r="B1814" s="34">
        <v>45939.452499999999</v>
      </c>
      <c r="C1814" s="34" t="str">
        <f t="shared" si="41"/>
        <v>202510</v>
      </c>
      <c r="D1814" s="35" t="s">
        <v>6389</v>
      </c>
      <c r="E1814" s="36" t="s">
        <v>910</v>
      </c>
      <c r="F1814" s="36" t="s">
        <v>1354</v>
      </c>
      <c r="G1814" s="37" t="s">
        <v>6406</v>
      </c>
      <c r="H1814" s="36" t="s">
        <v>3996</v>
      </c>
      <c r="I1814" s="35"/>
      <c r="J1814" s="36" t="s">
        <v>929</v>
      </c>
      <c r="K1814" s="33" t="s">
        <v>916</v>
      </c>
      <c r="L1814" s="35" t="s">
        <v>916</v>
      </c>
      <c r="M1814" s="36" t="s">
        <v>916</v>
      </c>
      <c r="N1814" s="45">
        <v>46022</v>
      </c>
      <c r="O1814" s="36" t="s">
        <v>25</v>
      </c>
      <c r="P1814" s="38">
        <v>82.547499999999999</v>
      </c>
      <c r="Q1814" s="39" t="s">
        <v>6407</v>
      </c>
      <c r="R1814" s="35" t="s">
        <v>916</v>
      </c>
      <c r="S1814" s="35" t="s">
        <v>6408</v>
      </c>
      <c r="T1814" s="35" t="s">
        <v>1701</v>
      </c>
      <c r="U1814" s="40">
        <v>45940</v>
      </c>
      <c r="V1814" s="41">
        <v>46153.532997685186</v>
      </c>
      <c r="W1814" s="40">
        <v>45939</v>
      </c>
      <c r="X1814" s="35" t="s">
        <v>916</v>
      </c>
      <c r="Y1814" s="35" t="s">
        <v>916</v>
      </c>
      <c r="Z1814" s="35" t="s">
        <v>916</v>
      </c>
      <c r="AA1814" s="38">
        <v>1981.14</v>
      </c>
      <c r="AB1814" s="42" t="s">
        <v>916</v>
      </c>
      <c r="AC1814" s="43" t="s">
        <v>916</v>
      </c>
      <c r="AD1814" s="43" t="s">
        <v>916</v>
      </c>
      <c r="AE1814" s="33" t="s">
        <v>3982</v>
      </c>
      <c r="AF1814" s="35" t="s">
        <v>916</v>
      </c>
      <c r="AG1814" s="44">
        <v>488890.86</v>
      </c>
      <c r="AH1814" s="42" t="s">
        <v>916</v>
      </c>
      <c r="AI1814" s="32" t="e">
        <f>VLOOKUP(A1814,'4月明細'!B:B,1,0)</f>
        <v>#N/A</v>
      </c>
    </row>
    <row r="1815" spans="1:35" ht="19.95" customHeight="1" x14ac:dyDescent="0.3">
      <c r="A1815" s="33" t="s">
        <v>6409</v>
      </c>
      <c r="B1815" s="34">
        <v>45939.441481481481</v>
      </c>
      <c r="C1815" s="34" t="str">
        <f t="shared" si="41"/>
        <v>202510</v>
      </c>
      <c r="D1815" s="35" t="s">
        <v>996</v>
      </c>
      <c r="E1815" s="36" t="s">
        <v>910</v>
      </c>
      <c r="F1815" s="36" t="s">
        <v>1260</v>
      </c>
      <c r="G1815" s="37" t="s">
        <v>6410</v>
      </c>
      <c r="H1815" s="36" t="s">
        <v>5083</v>
      </c>
      <c r="I1815" s="35" t="s">
        <v>6411</v>
      </c>
      <c r="J1815" s="36" t="s">
        <v>914</v>
      </c>
      <c r="K1815" s="33" t="s">
        <v>916</v>
      </c>
      <c r="L1815" s="35" t="s">
        <v>916</v>
      </c>
      <c r="M1815" s="36" t="s">
        <v>916</v>
      </c>
      <c r="N1815" s="45">
        <v>46022</v>
      </c>
      <c r="O1815" s="36" t="s">
        <v>25</v>
      </c>
      <c r="P1815" s="38">
        <v>82.558518518499994</v>
      </c>
      <c r="Q1815" s="39" t="s">
        <v>6412</v>
      </c>
      <c r="R1815" s="35" t="s">
        <v>916</v>
      </c>
      <c r="S1815" s="35" t="s">
        <v>6413</v>
      </c>
      <c r="T1815" s="35" t="s">
        <v>1701</v>
      </c>
      <c r="U1815" s="40">
        <v>45940</v>
      </c>
      <c r="V1815" s="41">
        <v>46153.532997685186</v>
      </c>
      <c r="W1815" s="40">
        <v>45939</v>
      </c>
      <c r="X1815" s="35" t="s">
        <v>916</v>
      </c>
      <c r="Y1815" s="35" t="s">
        <v>916</v>
      </c>
      <c r="Z1815" s="35" t="s">
        <v>916</v>
      </c>
      <c r="AA1815" s="38">
        <v>1981.4044444440001</v>
      </c>
      <c r="AB1815" s="42" t="s">
        <v>916</v>
      </c>
      <c r="AC1815" s="43" t="s">
        <v>916</v>
      </c>
      <c r="AD1815" s="43" t="s">
        <v>916</v>
      </c>
      <c r="AE1815" s="33" t="s">
        <v>3982</v>
      </c>
      <c r="AF1815" s="35" t="s">
        <v>916</v>
      </c>
      <c r="AG1815" s="44">
        <v>488890.59555555548</v>
      </c>
      <c r="AH1815" s="42" t="s">
        <v>916</v>
      </c>
      <c r="AI1815" s="32" t="e">
        <f>VLOOKUP(A1815,'4月明細'!B:B,1,0)</f>
        <v>#N/A</v>
      </c>
    </row>
    <row r="1816" spans="1:35" ht="19.95" customHeight="1" x14ac:dyDescent="0.3">
      <c r="A1816" s="33" t="s">
        <v>6414</v>
      </c>
      <c r="B1816" s="34">
        <v>45939.432708333334</v>
      </c>
      <c r="C1816" s="34" t="str">
        <f t="shared" si="41"/>
        <v>202510</v>
      </c>
      <c r="D1816" s="35" t="s">
        <v>941</v>
      </c>
      <c r="E1816" s="36" t="s">
        <v>1112</v>
      </c>
      <c r="F1816" s="36" t="s">
        <v>1713</v>
      </c>
      <c r="G1816" s="37" t="s">
        <v>6415</v>
      </c>
      <c r="H1816" s="36" t="s">
        <v>3985</v>
      </c>
      <c r="I1816" s="35"/>
      <c r="J1816" s="36" t="s">
        <v>929</v>
      </c>
      <c r="K1816" s="33" t="s">
        <v>916</v>
      </c>
      <c r="L1816" s="35" t="s">
        <v>916</v>
      </c>
      <c r="M1816" s="36" t="s">
        <v>916</v>
      </c>
      <c r="N1816" s="45">
        <v>46022</v>
      </c>
      <c r="O1816" s="36" t="s">
        <v>25</v>
      </c>
      <c r="P1816" s="38">
        <v>82.567291666700001</v>
      </c>
      <c r="Q1816" s="39" t="s">
        <v>6416</v>
      </c>
      <c r="R1816" s="35" t="s">
        <v>916</v>
      </c>
      <c r="S1816" s="35"/>
      <c r="T1816" s="35" t="s">
        <v>1624</v>
      </c>
      <c r="U1816" s="40">
        <v>45940</v>
      </c>
      <c r="V1816" s="41">
        <v>46153.532997685186</v>
      </c>
      <c r="W1816" s="40">
        <v>45939</v>
      </c>
      <c r="X1816" s="35" t="s">
        <v>916</v>
      </c>
      <c r="Y1816" s="35" t="s">
        <v>916</v>
      </c>
      <c r="Z1816" s="35" t="s">
        <v>916</v>
      </c>
      <c r="AA1816" s="38">
        <v>1981.6150000007999</v>
      </c>
      <c r="AB1816" s="42" t="s">
        <v>916</v>
      </c>
      <c r="AC1816" s="43" t="s">
        <v>916</v>
      </c>
      <c r="AD1816" s="43" t="s">
        <v>916</v>
      </c>
      <c r="AE1816" s="33" t="s">
        <v>3982</v>
      </c>
      <c r="AF1816" s="35" t="s">
        <v>916</v>
      </c>
      <c r="AG1816" s="44">
        <v>488890.38500000001</v>
      </c>
      <c r="AH1816" s="42" t="s">
        <v>916</v>
      </c>
      <c r="AI1816" s="32" t="e">
        <f>VLOOKUP(A1816,'4月明細'!B:B,1,0)</f>
        <v>#N/A</v>
      </c>
    </row>
    <row r="1817" spans="1:35" ht="19.95" customHeight="1" x14ac:dyDescent="0.3">
      <c r="A1817" s="33" t="s">
        <v>6417</v>
      </c>
      <c r="B1817" s="34">
        <v>45939.426666666666</v>
      </c>
      <c r="C1817" s="34" t="str">
        <f t="shared" si="41"/>
        <v>202510</v>
      </c>
      <c r="D1817" s="35" t="s">
        <v>996</v>
      </c>
      <c r="E1817" s="36" t="s">
        <v>910</v>
      </c>
      <c r="F1817" s="36" t="s">
        <v>1161</v>
      </c>
      <c r="G1817" s="37" t="s">
        <v>6418</v>
      </c>
      <c r="H1817" s="36" t="s">
        <v>4029</v>
      </c>
      <c r="I1817" s="35" t="s">
        <v>6419</v>
      </c>
      <c r="J1817" s="36" t="s">
        <v>929</v>
      </c>
      <c r="K1817" s="33" t="s">
        <v>916</v>
      </c>
      <c r="L1817" s="35" t="s">
        <v>916</v>
      </c>
      <c r="M1817" s="36" t="s">
        <v>916</v>
      </c>
      <c r="N1817" s="45">
        <v>46022</v>
      </c>
      <c r="O1817" s="36" t="s">
        <v>25</v>
      </c>
      <c r="P1817" s="38">
        <v>82.573333333299999</v>
      </c>
      <c r="Q1817" s="39" t="s">
        <v>6420</v>
      </c>
      <c r="R1817" s="35" t="s">
        <v>916</v>
      </c>
      <c r="S1817" s="35" t="s">
        <v>6421</v>
      </c>
      <c r="T1817" s="35" t="s">
        <v>1701</v>
      </c>
      <c r="U1817" s="40">
        <v>45940</v>
      </c>
      <c r="V1817" s="41">
        <v>46153.532997685186</v>
      </c>
      <c r="W1817" s="40">
        <v>45939</v>
      </c>
      <c r="X1817" s="35" t="s">
        <v>916</v>
      </c>
      <c r="Y1817" s="35" t="s">
        <v>916</v>
      </c>
      <c r="Z1817" s="35" t="s">
        <v>916</v>
      </c>
      <c r="AA1817" s="38">
        <v>1981.7599999992001</v>
      </c>
      <c r="AB1817" s="42" t="s">
        <v>916</v>
      </c>
      <c r="AC1817" s="43" t="s">
        <v>916</v>
      </c>
      <c r="AD1817" s="43" t="s">
        <v>916</v>
      </c>
      <c r="AE1817" s="33" t="s">
        <v>3982</v>
      </c>
      <c r="AF1817" s="35" t="s">
        <v>916</v>
      </c>
      <c r="AG1817" s="44">
        <v>488890.24</v>
      </c>
      <c r="AH1817" s="42" t="s">
        <v>916</v>
      </c>
      <c r="AI1817" s="32" t="e">
        <f>VLOOKUP(A1817,'4月明細'!B:B,1,0)</f>
        <v>#N/A</v>
      </c>
    </row>
    <row r="1818" spans="1:35" ht="19.95" customHeight="1" x14ac:dyDescent="0.3">
      <c r="A1818" s="33" t="s">
        <v>6422</v>
      </c>
      <c r="B1818" s="34">
        <v>45938.725740740738</v>
      </c>
      <c r="C1818" s="34" t="str">
        <f t="shared" si="41"/>
        <v>202510</v>
      </c>
      <c r="D1818" s="35" t="s">
        <v>5380</v>
      </c>
      <c r="E1818" s="36" t="s">
        <v>910</v>
      </c>
      <c r="F1818" s="36" t="s">
        <v>1534</v>
      </c>
      <c r="G1818" s="37" t="s">
        <v>6423</v>
      </c>
      <c r="H1818" s="36" t="s">
        <v>4162</v>
      </c>
      <c r="I1818" s="35" t="s">
        <v>6424</v>
      </c>
      <c r="J1818" s="36" t="s">
        <v>929</v>
      </c>
      <c r="K1818" s="33" t="s">
        <v>916</v>
      </c>
      <c r="L1818" s="35" t="s">
        <v>916</v>
      </c>
      <c r="M1818" s="36" t="s">
        <v>916</v>
      </c>
      <c r="N1818" s="45">
        <v>46022</v>
      </c>
      <c r="O1818" s="36" t="s">
        <v>25</v>
      </c>
      <c r="P1818" s="38">
        <v>83.274259259299996</v>
      </c>
      <c r="Q1818" s="39" t="s">
        <v>6425</v>
      </c>
      <c r="R1818" s="35" t="s">
        <v>916</v>
      </c>
      <c r="S1818" s="35" t="s">
        <v>6426</v>
      </c>
      <c r="T1818" s="35" t="s">
        <v>1701</v>
      </c>
      <c r="U1818" s="40">
        <v>45939</v>
      </c>
      <c r="V1818" s="41">
        <v>46153.532997685186</v>
      </c>
      <c r="W1818" s="40">
        <v>45938</v>
      </c>
      <c r="X1818" s="35" t="s">
        <v>916</v>
      </c>
      <c r="Y1818" s="35" t="s">
        <v>916</v>
      </c>
      <c r="Z1818" s="35" t="s">
        <v>916</v>
      </c>
      <c r="AA1818" s="38">
        <v>1998.5822222232</v>
      </c>
      <c r="AB1818" s="42" t="s">
        <v>916</v>
      </c>
      <c r="AC1818" s="43" t="s">
        <v>916</v>
      </c>
      <c r="AD1818" s="43" t="s">
        <v>916</v>
      </c>
      <c r="AE1818" s="33" t="s">
        <v>3982</v>
      </c>
      <c r="AF1818" s="35" t="s">
        <v>916</v>
      </c>
      <c r="AG1818" s="44">
        <v>488873.41777777782</v>
      </c>
      <c r="AH1818" s="42" t="s">
        <v>916</v>
      </c>
      <c r="AI1818" s="32" t="e">
        <f>VLOOKUP(A1818,'4月明細'!B:B,1,0)</f>
        <v>#N/A</v>
      </c>
    </row>
    <row r="1819" spans="1:35" ht="19.95" customHeight="1" x14ac:dyDescent="0.3">
      <c r="A1819" s="33" t="s">
        <v>6427</v>
      </c>
      <c r="B1819" s="34">
        <v>45938.691701388889</v>
      </c>
      <c r="C1819" s="34" t="str">
        <f t="shared" si="41"/>
        <v>202510</v>
      </c>
      <c r="D1819" s="35" t="s">
        <v>5380</v>
      </c>
      <c r="E1819" s="36" t="s">
        <v>910</v>
      </c>
      <c r="F1819" s="36" t="s">
        <v>1792</v>
      </c>
      <c r="G1819" s="37" t="s">
        <v>6428</v>
      </c>
      <c r="H1819" s="36" t="s">
        <v>1352</v>
      </c>
      <c r="I1819" s="35" t="s">
        <v>6429</v>
      </c>
      <c r="J1819" s="36" t="s">
        <v>929</v>
      </c>
      <c r="K1819" s="33" t="s">
        <v>916</v>
      </c>
      <c r="L1819" s="35" t="s">
        <v>916</v>
      </c>
      <c r="M1819" s="36" t="s">
        <v>916</v>
      </c>
      <c r="N1819" s="45">
        <v>46022</v>
      </c>
      <c r="O1819" s="36" t="s">
        <v>25</v>
      </c>
      <c r="P1819" s="38">
        <v>83.3082986111</v>
      </c>
      <c r="Q1819" s="39" t="s">
        <v>6430</v>
      </c>
      <c r="R1819" s="35" t="s">
        <v>916</v>
      </c>
      <c r="S1819" s="35" t="s">
        <v>6431</v>
      </c>
      <c r="T1819" s="35" t="s">
        <v>1701</v>
      </c>
      <c r="U1819" s="40">
        <v>45939</v>
      </c>
      <c r="V1819" s="41">
        <v>46153.532997685186</v>
      </c>
      <c r="W1819" s="40">
        <v>45938</v>
      </c>
      <c r="X1819" s="35" t="s">
        <v>916</v>
      </c>
      <c r="Y1819" s="35" t="s">
        <v>916</v>
      </c>
      <c r="Z1819" s="35" t="s">
        <v>916</v>
      </c>
      <c r="AA1819" s="38">
        <v>1999.3991666664001</v>
      </c>
      <c r="AB1819" s="42" t="s">
        <v>916</v>
      </c>
      <c r="AC1819" s="43" t="s">
        <v>916</v>
      </c>
      <c r="AD1819" s="43" t="s">
        <v>916</v>
      </c>
      <c r="AE1819" s="33" t="s">
        <v>3982</v>
      </c>
      <c r="AF1819" s="35" t="s">
        <v>916</v>
      </c>
      <c r="AG1819" s="44">
        <v>488872.60083333327</v>
      </c>
      <c r="AH1819" s="42" t="s">
        <v>916</v>
      </c>
      <c r="AI1819" s="32" t="e">
        <f>VLOOKUP(A1819,'4月明細'!B:B,1,0)</f>
        <v>#N/A</v>
      </c>
    </row>
    <row r="1820" spans="1:35" ht="19.95" customHeight="1" x14ac:dyDescent="0.3">
      <c r="A1820" s="33" t="s">
        <v>6432</v>
      </c>
      <c r="B1820" s="34">
        <v>45938.66300925926</v>
      </c>
      <c r="C1820" s="34" t="str">
        <f t="shared" si="41"/>
        <v>202510</v>
      </c>
      <c r="D1820" s="35" t="s">
        <v>5380</v>
      </c>
      <c r="E1820" s="36" t="s">
        <v>910</v>
      </c>
      <c r="F1820" s="36" t="s">
        <v>1534</v>
      </c>
      <c r="G1820" s="37" t="s">
        <v>6433</v>
      </c>
      <c r="H1820" s="36" t="s">
        <v>4157</v>
      </c>
      <c r="I1820" s="35" t="s">
        <v>6434</v>
      </c>
      <c r="J1820" s="36" t="s">
        <v>929</v>
      </c>
      <c r="K1820" s="33" t="s">
        <v>916</v>
      </c>
      <c r="L1820" s="35" t="s">
        <v>916</v>
      </c>
      <c r="M1820" s="36" t="s">
        <v>916</v>
      </c>
      <c r="N1820" s="45">
        <v>46022</v>
      </c>
      <c r="O1820" s="36" t="s">
        <v>25</v>
      </c>
      <c r="P1820" s="38">
        <v>83.336990740700003</v>
      </c>
      <c r="Q1820" s="39" t="s">
        <v>6435</v>
      </c>
      <c r="R1820" s="35" t="s">
        <v>916</v>
      </c>
      <c r="S1820" s="35"/>
      <c r="T1820" s="35" t="s">
        <v>1701</v>
      </c>
      <c r="U1820" s="40">
        <v>45939</v>
      </c>
      <c r="V1820" s="41">
        <v>46153.532997685186</v>
      </c>
      <c r="W1820" s="40">
        <v>45938</v>
      </c>
      <c r="X1820" s="35" t="s">
        <v>916</v>
      </c>
      <c r="Y1820" s="35" t="s">
        <v>916</v>
      </c>
      <c r="Z1820" s="35" t="s">
        <v>916</v>
      </c>
      <c r="AA1820" s="38">
        <v>2000.0877777768001</v>
      </c>
      <c r="AB1820" s="42" t="s">
        <v>916</v>
      </c>
      <c r="AC1820" s="43" t="s">
        <v>916</v>
      </c>
      <c r="AD1820" s="43" t="s">
        <v>916</v>
      </c>
      <c r="AE1820" s="33" t="s">
        <v>3982</v>
      </c>
      <c r="AF1820" s="35" t="s">
        <v>916</v>
      </c>
      <c r="AG1820" s="44">
        <v>488871.91222222231</v>
      </c>
      <c r="AH1820" s="42" t="s">
        <v>916</v>
      </c>
      <c r="AI1820" s="32" t="e">
        <f>VLOOKUP(A1820,'4月明細'!B:B,1,0)</f>
        <v>#N/A</v>
      </c>
    </row>
    <row r="1821" spans="1:35" ht="19.95" customHeight="1" x14ac:dyDescent="0.3">
      <c r="A1821" s="33" t="s">
        <v>6436</v>
      </c>
      <c r="B1821" s="34">
        <v>45938.615555555552</v>
      </c>
      <c r="C1821" s="34" t="str">
        <f t="shared" si="41"/>
        <v>202510</v>
      </c>
      <c r="D1821" s="35" t="s">
        <v>5380</v>
      </c>
      <c r="E1821" s="36" t="s">
        <v>910</v>
      </c>
      <c r="F1821" s="36" t="s">
        <v>1870</v>
      </c>
      <c r="G1821" s="37" t="s">
        <v>6437</v>
      </c>
      <c r="H1821" s="36" t="s">
        <v>4185</v>
      </c>
      <c r="I1821" s="35" t="s">
        <v>6438</v>
      </c>
      <c r="J1821" s="36" t="s">
        <v>938</v>
      </c>
      <c r="K1821" s="33" t="s">
        <v>916</v>
      </c>
      <c r="L1821" s="35" t="s">
        <v>916</v>
      </c>
      <c r="M1821" s="36" t="s">
        <v>916</v>
      </c>
      <c r="N1821" s="45">
        <v>46022</v>
      </c>
      <c r="O1821" s="36" t="s">
        <v>25</v>
      </c>
      <c r="P1821" s="38">
        <v>83.384444444400003</v>
      </c>
      <c r="Q1821" s="39" t="s">
        <v>6439</v>
      </c>
      <c r="R1821" s="35" t="s">
        <v>916</v>
      </c>
      <c r="S1821" s="35" t="s">
        <v>6440</v>
      </c>
      <c r="T1821" s="35" t="s">
        <v>1701</v>
      </c>
      <c r="U1821" s="40">
        <v>45939</v>
      </c>
      <c r="V1821" s="41">
        <v>46153.532997685186</v>
      </c>
      <c r="W1821" s="40">
        <v>45938</v>
      </c>
      <c r="X1821" s="35" t="s">
        <v>916</v>
      </c>
      <c r="Y1821" s="35" t="s">
        <v>916</v>
      </c>
      <c r="Z1821" s="35" t="s">
        <v>916</v>
      </c>
      <c r="AA1821" s="38">
        <v>2001.2266666656001</v>
      </c>
      <c r="AB1821" s="42" t="s">
        <v>916</v>
      </c>
      <c r="AC1821" s="43" t="s">
        <v>916</v>
      </c>
      <c r="AD1821" s="43" t="s">
        <v>916</v>
      </c>
      <c r="AE1821" s="33" t="s">
        <v>3982</v>
      </c>
      <c r="AF1821" s="35" t="s">
        <v>916</v>
      </c>
      <c r="AG1821" s="44">
        <v>488870.77333333332</v>
      </c>
      <c r="AH1821" s="42" t="s">
        <v>916</v>
      </c>
      <c r="AI1821" s="32" t="e">
        <f>VLOOKUP(A1821,'4月明細'!B:B,1,0)</f>
        <v>#N/A</v>
      </c>
    </row>
    <row r="1822" spans="1:35" ht="19.95" customHeight="1" x14ac:dyDescent="0.3">
      <c r="A1822" s="33" t="s">
        <v>6441</v>
      </c>
      <c r="B1822" s="34">
        <v>45938.609224537038</v>
      </c>
      <c r="C1822" s="34" t="str">
        <f t="shared" si="41"/>
        <v>202510</v>
      </c>
      <c r="D1822" s="35" t="s">
        <v>5380</v>
      </c>
      <c r="E1822" s="36" t="s">
        <v>910</v>
      </c>
      <c r="F1822" s="36" t="s">
        <v>1743</v>
      </c>
      <c r="G1822" s="37" t="s">
        <v>6442</v>
      </c>
      <c r="H1822" s="36" t="s">
        <v>970</v>
      </c>
      <c r="I1822" s="35" t="s">
        <v>6443</v>
      </c>
      <c r="J1822" s="36" t="s">
        <v>929</v>
      </c>
      <c r="K1822" s="33" t="s">
        <v>916</v>
      </c>
      <c r="L1822" s="35" t="s">
        <v>916</v>
      </c>
      <c r="M1822" s="36" t="s">
        <v>916</v>
      </c>
      <c r="N1822" s="45">
        <v>46022</v>
      </c>
      <c r="O1822" s="36" t="s">
        <v>25</v>
      </c>
      <c r="P1822" s="38">
        <v>83.390775462999997</v>
      </c>
      <c r="Q1822" s="39" t="s">
        <v>6444</v>
      </c>
      <c r="R1822" s="35" t="s">
        <v>916</v>
      </c>
      <c r="S1822" s="35" t="s">
        <v>6445</v>
      </c>
      <c r="T1822" s="35" t="s">
        <v>1701</v>
      </c>
      <c r="U1822" s="40">
        <v>45939</v>
      </c>
      <c r="V1822" s="41">
        <v>46153.532997685186</v>
      </c>
      <c r="W1822" s="40">
        <v>45938</v>
      </c>
      <c r="X1822" s="35" t="s">
        <v>916</v>
      </c>
      <c r="Y1822" s="35" t="s">
        <v>916</v>
      </c>
      <c r="Z1822" s="35" t="s">
        <v>916</v>
      </c>
      <c r="AA1822" s="38">
        <v>2001.378611112</v>
      </c>
      <c r="AB1822" s="42" t="s">
        <v>916</v>
      </c>
      <c r="AC1822" s="43" t="s">
        <v>916</v>
      </c>
      <c r="AD1822" s="43" t="s">
        <v>916</v>
      </c>
      <c r="AE1822" s="33" t="s">
        <v>3982</v>
      </c>
      <c r="AF1822" s="35" t="s">
        <v>916</v>
      </c>
      <c r="AG1822" s="44">
        <v>488870.62138888892</v>
      </c>
      <c r="AH1822" s="42" t="s">
        <v>916</v>
      </c>
      <c r="AI1822" s="32" t="e">
        <f>VLOOKUP(A1822,'4月明細'!B:B,1,0)</f>
        <v>#N/A</v>
      </c>
    </row>
    <row r="1823" spans="1:35" ht="19.95" customHeight="1" x14ac:dyDescent="0.3">
      <c r="A1823" s="33" t="s">
        <v>6446</v>
      </c>
      <c r="B1823" s="34">
        <v>45938.605416666665</v>
      </c>
      <c r="C1823" s="34" t="str">
        <f t="shared" si="41"/>
        <v>202510</v>
      </c>
      <c r="D1823" s="35" t="s">
        <v>5380</v>
      </c>
      <c r="E1823" s="36" t="s">
        <v>910</v>
      </c>
      <c r="F1823" s="36" t="s">
        <v>2298</v>
      </c>
      <c r="G1823" s="37" t="s">
        <v>6447</v>
      </c>
      <c r="H1823" s="36" t="s">
        <v>970</v>
      </c>
      <c r="I1823" s="35" t="s">
        <v>6448</v>
      </c>
      <c r="J1823" s="36" t="s">
        <v>929</v>
      </c>
      <c r="K1823" s="33" t="s">
        <v>916</v>
      </c>
      <c r="L1823" s="35" t="s">
        <v>916</v>
      </c>
      <c r="M1823" s="36" t="s">
        <v>916</v>
      </c>
      <c r="N1823" s="45">
        <v>46022</v>
      </c>
      <c r="O1823" s="36" t="s">
        <v>25</v>
      </c>
      <c r="P1823" s="38">
        <v>83.394583333300005</v>
      </c>
      <c r="Q1823" s="39" t="s">
        <v>6449</v>
      </c>
      <c r="R1823" s="35" t="s">
        <v>916</v>
      </c>
      <c r="S1823" s="35"/>
      <c r="T1823" s="35" t="s">
        <v>1701</v>
      </c>
      <c r="U1823" s="40">
        <v>45939</v>
      </c>
      <c r="V1823" s="41">
        <v>46153.532997685186</v>
      </c>
      <c r="W1823" s="40">
        <v>45938</v>
      </c>
      <c r="X1823" s="35" t="s">
        <v>916</v>
      </c>
      <c r="Y1823" s="35" t="s">
        <v>916</v>
      </c>
      <c r="Z1823" s="35" t="s">
        <v>916</v>
      </c>
      <c r="AA1823" s="38">
        <v>2001.4699999991999</v>
      </c>
      <c r="AB1823" s="42" t="s">
        <v>916</v>
      </c>
      <c r="AC1823" s="43" t="s">
        <v>916</v>
      </c>
      <c r="AD1823" s="43" t="s">
        <v>916</v>
      </c>
      <c r="AE1823" s="33" t="s">
        <v>3982</v>
      </c>
      <c r="AF1823" s="35" t="s">
        <v>916</v>
      </c>
      <c r="AG1823" s="44">
        <v>488870.53</v>
      </c>
      <c r="AH1823" s="42" t="s">
        <v>916</v>
      </c>
      <c r="AI1823" s="32" t="e">
        <f>VLOOKUP(A1823,'4月明細'!B:B,1,0)</f>
        <v>#N/A</v>
      </c>
    </row>
    <row r="1824" spans="1:35" ht="19.95" customHeight="1" x14ac:dyDescent="0.3">
      <c r="A1824" s="33" t="s">
        <v>6450</v>
      </c>
      <c r="B1824" s="34">
        <v>45938.598252314812</v>
      </c>
      <c r="C1824" s="34" t="str">
        <f t="shared" si="41"/>
        <v>202510</v>
      </c>
      <c r="D1824" s="35" t="s">
        <v>5380</v>
      </c>
      <c r="E1824" s="36" t="s">
        <v>910</v>
      </c>
      <c r="F1824" s="36" t="s">
        <v>1260</v>
      </c>
      <c r="G1824" s="37" t="s">
        <v>6451</v>
      </c>
      <c r="H1824" s="36" t="s">
        <v>5927</v>
      </c>
      <c r="I1824" s="35" t="s">
        <v>6452</v>
      </c>
      <c r="J1824" s="36" t="s">
        <v>929</v>
      </c>
      <c r="K1824" s="33" t="s">
        <v>916</v>
      </c>
      <c r="L1824" s="35" t="s">
        <v>916</v>
      </c>
      <c r="M1824" s="36" t="s">
        <v>916</v>
      </c>
      <c r="N1824" s="45">
        <v>46022</v>
      </c>
      <c r="O1824" s="36" t="s">
        <v>25</v>
      </c>
      <c r="P1824" s="38">
        <v>83.401747685199993</v>
      </c>
      <c r="Q1824" s="39" t="s">
        <v>6453</v>
      </c>
      <c r="R1824" s="35" t="s">
        <v>916</v>
      </c>
      <c r="S1824" s="35" t="s">
        <v>6454</v>
      </c>
      <c r="T1824" s="35" t="s">
        <v>1701</v>
      </c>
      <c r="U1824" s="40">
        <v>45939</v>
      </c>
      <c r="V1824" s="41">
        <v>46153.532997685186</v>
      </c>
      <c r="W1824" s="40">
        <v>45938</v>
      </c>
      <c r="X1824" s="35" t="s">
        <v>916</v>
      </c>
      <c r="Y1824" s="35" t="s">
        <v>916</v>
      </c>
      <c r="Z1824" s="35" t="s">
        <v>916</v>
      </c>
      <c r="AA1824" s="38">
        <v>2001.6419444447999</v>
      </c>
      <c r="AB1824" s="42" t="s">
        <v>916</v>
      </c>
      <c r="AC1824" s="43" t="s">
        <v>916</v>
      </c>
      <c r="AD1824" s="43" t="s">
        <v>916</v>
      </c>
      <c r="AE1824" s="33" t="s">
        <v>3982</v>
      </c>
      <c r="AF1824" s="35" t="s">
        <v>916</v>
      </c>
      <c r="AG1824" s="44">
        <v>488870.35805555561</v>
      </c>
      <c r="AH1824" s="42" t="s">
        <v>916</v>
      </c>
      <c r="AI1824" s="32" t="e">
        <f>VLOOKUP(A1824,'4月明細'!B:B,1,0)</f>
        <v>#N/A</v>
      </c>
    </row>
    <row r="1825" spans="1:35" ht="19.95" customHeight="1" x14ac:dyDescent="0.3">
      <c r="A1825" s="33" t="s">
        <v>6455</v>
      </c>
      <c r="B1825" s="34">
        <v>45938.58935185185</v>
      </c>
      <c r="C1825" s="34" t="str">
        <f t="shared" si="41"/>
        <v>202510</v>
      </c>
      <c r="D1825" s="35" t="s">
        <v>5380</v>
      </c>
      <c r="E1825" s="36" t="s">
        <v>910</v>
      </c>
      <c r="F1825" s="36" t="s">
        <v>1260</v>
      </c>
      <c r="G1825" s="37" t="s">
        <v>1803</v>
      </c>
      <c r="H1825" s="36" t="s">
        <v>4185</v>
      </c>
      <c r="I1825" s="35" t="s">
        <v>6456</v>
      </c>
      <c r="J1825" s="36" t="s">
        <v>929</v>
      </c>
      <c r="K1825" s="33" t="s">
        <v>916</v>
      </c>
      <c r="L1825" s="35" t="s">
        <v>916</v>
      </c>
      <c r="M1825" s="36" t="s">
        <v>916</v>
      </c>
      <c r="N1825" s="45">
        <v>46022</v>
      </c>
      <c r="O1825" s="36" t="s">
        <v>25</v>
      </c>
      <c r="P1825" s="38">
        <v>83.410648148099995</v>
      </c>
      <c r="Q1825" s="39" t="s">
        <v>6457</v>
      </c>
      <c r="R1825" s="35" t="s">
        <v>916</v>
      </c>
      <c r="S1825" s="35" t="s">
        <v>6458</v>
      </c>
      <c r="T1825" s="35" t="s">
        <v>1701</v>
      </c>
      <c r="U1825" s="40">
        <v>45939</v>
      </c>
      <c r="V1825" s="41">
        <v>46153.532997685186</v>
      </c>
      <c r="W1825" s="40">
        <v>45938</v>
      </c>
      <c r="X1825" s="35" t="s">
        <v>916</v>
      </c>
      <c r="Y1825" s="35" t="s">
        <v>916</v>
      </c>
      <c r="Z1825" s="35" t="s">
        <v>916</v>
      </c>
      <c r="AA1825" s="38">
        <v>2001.8555555544001</v>
      </c>
      <c r="AB1825" s="42" t="s">
        <v>916</v>
      </c>
      <c r="AC1825" s="43" t="s">
        <v>916</v>
      </c>
      <c r="AD1825" s="43" t="s">
        <v>916</v>
      </c>
      <c r="AE1825" s="33" t="s">
        <v>3982</v>
      </c>
      <c r="AF1825" s="35" t="s">
        <v>916</v>
      </c>
      <c r="AG1825" s="44">
        <v>488870.14444444439</v>
      </c>
      <c r="AH1825" s="42" t="s">
        <v>916</v>
      </c>
      <c r="AI1825" s="32" t="e">
        <f>VLOOKUP(A1825,'4月明細'!B:B,1,0)</f>
        <v>#N/A</v>
      </c>
    </row>
    <row r="1826" spans="1:35" ht="19.95" customHeight="1" x14ac:dyDescent="0.3">
      <c r="A1826" s="33" t="s">
        <v>6459</v>
      </c>
      <c r="B1826" s="34">
        <v>45938.534328703703</v>
      </c>
      <c r="C1826" s="34" t="str">
        <f t="shared" si="41"/>
        <v>202510</v>
      </c>
      <c r="D1826" s="35" t="s">
        <v>5380</v>
      </c>
      <c r="E1826" s="36" t="s">
        <v>910</v>
      </c>
      <c r="F1826" s="36" t="s">
        <v>2501</v>
      </c>
      <c r="G1826" s="37" t="s">
        <v>927</v>
      </c>
      <c r="H1826" s="36" t="s">
        <v>3979</v>
      </c>
      <c r="I1826" s="35" t="s">
        <v>6460</v>
      </c>
      <c r="J1826" s="36" t="s">
        <v>929</v>
      </c>
      <c r="K1826" s="33" t="s">
        <v>916</v>
      </c>
      <c r="L1826" s="35" t="s">
        <v>916</v>
      </c>
      <c r="M1826" s="36" t="s">
        <v>916</v>
      </c>
      <c r="N1826" s="45">
        <v>46022</v>
      </c>
      <c r="O1826" s="36" t="s">
        <v>25</v>
      </c>
      <c r="P1826" s="38">
        <v>83.465671296300002</v>
      </c>
      <c r="Q1826" s="39" t="s">
        <v>6461</v>
      </c>
      <c r="R1826" s="35" t="s">
        <v>916</v>
      </c>
      <c r="S1826" s="35"/>
      <c r="T1826" s="35" t="s">
        <v>1701</v>
      </c>
      <c r="U1826" s="40">
        <v>45939</v>
      </c>
      <c r="V1826" s="41">
        <v>46153.532997685186</v>
      </c>
      <c r="W1826" s="40">
        <v>45938</v>
      </c>
      <c r="X1826" s="35" t="s">
        <v>916</v>
      </c>
      <c r="Y1826" s="35" t="s">
        <v>916</v>
      </c>
      <c r="Z1826" s="35" t="s">
        <v>916</v>
      </c>
      <c r="AA1826" s="38">
        <v>2003.1761111112</v>
      </c>
      <c r="AB1826" s="42" t="s">
        <v>916</v>
      </c>
      <c r="AC1826" s="43" t="s">
        <v>916</v>
      </c>
      <c r="AD1826" s="43" t="s">
        <v>916</v>
      </c>
      <c r="AE1826" s="33" t="s">
        <v>3982</v>
      </c>
      <c r="AF1826" s="35" t="s">
        <v>916</v>
      </c>
      <c r="AG1826" s="44">
        <v>488868.82388888887</v>
      </c>
      <c r="AH1826" s="42" t="s">
        <v>916</v>
      </c>
      <c r="AI1826" s="32" t="e">
        <f>VLOOKUP(A1826,'4月明細'!B:B,1,0)</f>
        <v>#N/A</v>
      </c>
    </row>
    <row r="1827" spans="1:35" ht="19.95" customHeight="1" x14ac:dyDescent="0.3">
      <c r="A1827" s="33" t="s">
        <v>6462</v>
      </c>
      <c r="B1827" s="34">
        <v>45938.502071759256</v>
      </c>
      <c r="C1827" s="34" t="str">
        <f t="shared" si="41"/>
        <v>202510</v>
      </c>
      <c r="D1827" s="35" t="s">
        <v>5380</v>
      </c>
      <c r="E1827" s="36" t="s">
        <v>910</v>
      </c>
      <c r="F1827" s="36" t="s">
        <v>1055</v>
      </c>
      <c r="G1827" s="37" t="s">
        <v>6463</v>
      </c>
      <c r="H1827" s="36" t="s">
        <v>4683</v>
      </c>
      <c r="I1827" s="35" t="s">
        <v>6464</v>
      </c>
      <c r="J1827" s="36" t="s">
        <v>929</v>
      </c>
      <c r="K1827" s="33" t="s">
        <v>916</v>
      </c>
      <c r="L1827" s="35" t="s">
        <v>916</v>
      </c>
      <c r="M1827" s="36" t="s">
        <v>916</v>
      </c>
      <c r="N1827" s="45">
        <v>46022</v>
      </c>
      <c r="O1827" s="36" t="s">
        <v>25</v>
      </c>
      <c r="P1827" s="38">
        <v>83.497928240700006</v>
      </c>
      <c r="Q1827" s="39" t="s">
        <v>6465</v>
      </c>
      <c r="R1827" s="35" t="s">
        <v>916</v>
      </c>
      <c r="S1827" s="35" t="s">
        <v>6454</v>
      </c>
      <c r="T1827" s="35" t="s">
        <v>1701</v>
      </c>
      <c r="U1827" s="40">
        <v>45939</v>
      </c>
      <c r="V1827" s="41">
        <v>46153.532997685186</v>
      </c>
      <c r="W1827" s="40">
        <v>45938</v>
      </c>
      <c r="X1827" s="35" t="s">
        <v>916</v>
      </c>
      <c r="Y1827" s="35" t="s">
        <v>916</v>
      </c>
      <c r="Z1827" s="35" t="s">
        <v>916</v>
      </c>
      <c r="AA1827" s="38">
        <v>2003.9502777768</v>
      </c>
      <c r="AB1827" s="42" t="s">
        <v>916</v>
      </c>
      <c r="AC1827" s="43" t="s">
        <v>916</v>
      </c>
      <c r="AD1827" s="43" t="s">
        <v>916</v>
      </c>
      <c r="AE1827" s="33" t="s">
        <v>3982</v>
      </c>
      <c r="AF1827" s="35" t="s">
        <v>916</v>
      </c>
      <c r="AG1827" s="44">
        <v>488868.04972222232</v>
      </c>
      <c r="AH1827" s="42" t="s">
        <v>916</v>
      </c>
      <c r="AI1827" s="32" t="e">
        <f>VLOOKUP(A1827,'4月明細'!B:B,1,0)</f>
        <v>#N/A</v>
      </c>
    </row>
    <row r="1828" spans="1:35" ht="19.95" customHeight="1" x14ac:dyDescent="0.3">
      <c r="A1828" s="33" t="s">
        <v>6466</v>
      </c>
      <c r="B1828" s="34">
        <v>45938.487662037034</v>
      </c>
      <c r="C1828" s="34" t="str">
        <f t="shared" si="41"/>
        <v>202510</v>
      </c>
      <c r="D1828" s="35" t="s">
        <v>5380</v>
      </c>
      <c r="E1828" s="36" t="s">
        <v>910</v>
      </c>
      <c r="F1828" s="36" t="s">
        <v>1010</v>
      </c>
      <c r="G1828" s="37" t="s">
        <v>6467</v>
      </c>
      <c r="H1828" s="36" t="s">
        <v>913</v>
      </c>
      <c r="I1828" s="35"/>
      <c r="J1828" s="36" t="s">
        <v>929</v>
      </c>
      <c r="K1828" s="33" t="s">
        <v>916</v>
      </c>
      <c r="L1828" s="35" t="s">
        <v>916</v>
      </c>
      <c r="M1828" s="36" t="s">
        <v>923</v>
      </c>
      <c r="N1828" s="45">
        <v>46022</v>
      </c>
      <c r="O1828" s="36" t="s">
        <v>25</v>
      </c>
      <c r="P1828" s="38">
        <v>83.512337962999993</v>
      </c>
      <c r="Q1828" s="39" t="s">
        <v>6468</v>
      </c>
      <c r="R1828" s="35" t="s">
        <v>916</v>
      </c>
      <c r="S1828" s="35"/>
      <c r="T1828" s="35" t="s">
        <v>1624</v>
      </c>
      <c r="U1828" s="40">
        <v>45939</v>
      </c>
      <c r="V1828" s="41">
        <v>46153.532997685186</v>
      </c>
      <c r="W1828" s="40">
        <v>45938</v>
      </c>
      <c r="X1828" s="35" t="s">
        <v>916</v>
      </c>
      <c r="Y1828" s="35" t="s">
        <v>916</v>
      </c>
      <c r="Z1828" s="35" t="s">
        <v>916</v>
      </c>
      <c r="AA1828" s="38">
        <v>2004.2961111120001</v>
      </c>
      <c r="AB1828" s="42" t="s">
        <v>916</v>
      </c>
      <c r="AC1828" s="43" t="s">
        <v>916</v>
      </c>
      <c r="AD1828" s="43" t="s">
        <v>916</v>
      </c>
      <c r="AE1828" s="33" t="s">
        <v>3982</v>
      </c>
      <c r="AF1828" s="35" t="s">
        <v>916</v>
      </c>
      <c r="AG1828" s="44">
        <v>488867.70388888888</v>
      </c>
      <c r="AH1828" s="42" t="s">
        <v>916</v>
      </c>
      <c r="AI1828" s="32" t="e">
        <f>VLOOKUP(A1828,'4月明細'!B:B,1,0)</f>
        <v>#N/A</v>
      </c>
    </row>
    <row r="1829" spans="1:35" ht="19.95" customHeight="1" x14ac:dyDescent="0.3">
      <c r="A1829" s="33" t="s">
        <v>6469</v>
      </c>
      <c r="B1829" s="34">
        <v>45937.703206018516</v>
      </c>
      <c r="C1829" s="34" t="str">
        <f t="shared" si="41"/>
        <v>202510</v>
      </c>
      <c r="D1829" s="35" t="s">
        <v>5380</v>
      </c>
      <c r="E1829" s="36" t="s">
        <v>910</v>
      </c>
      <c r="F1829" s="36" t="s">
        <v>1546</v>
      </c>
      <c r="G1829" s="37" t="s">
        <v>6470</v>
      </c>
      <c r="H1829" s="36" t="s">
        <v>4542</v>
      </c>
      <c r="I1829" s="35" t="s">
        <v>6471</v>
      </c>
      <c r="J1829" s="36" t="s">
        <v>929</v>
      </c>
      <c r="K1829" s="33" t="s">
        <v>916</v>
      </c>
      <c r="L1829" s="35" t="s">
        <v>916</v>
      </c>
      <c r="M1829" s="36" t="s">
        <v>916</v>
      </c>
      <c r="N1829" s="45">
        <v>46022</v>
      </c>
      <c r="O1829" s="36" t="s">
        <v>25</v>
      </c>
      <c r="P1829" s="38">
        <v>84.296793981500002</v>
      </c>
      <c r="Q1829" s="39" t="s">
        <v>6472</v>
      </c>
      <c r="R1829" s="35" t="s">
        <v>916</v>
      </c>
      <c r="S1829" s="35"/>
      <c r="T1829" s="35" t="s">
        <v>1701</v>
      </c>
      <c r="U1829" s="40">
        <v>45938</v>
      </c>
      <c r="V1829" s="41">
        <v>46153.532997685186</v>
      </c>
      <c r="W1829" s="40">
        <v>45937</v>
      </c>
      <c r="X1829" s="35" t="s">
        <v>916</v>
      </c>
      <c r="Y1829" s="35" t="s">
        <v>916</v>
      </c>
      <c r="Z1829" s="35" t="s">
        <v>916</v>
      </c>
      <c r="AA1829" s="38">
        <v>2023.1230555560001</v>
      </c>
      <c r="AB1829" s="42" t="s">
        <v>916</v>
      </c>
      <c r="AC1829" s="43" t="s">
        <v>916</v>
      </c>
      <c r="AD1829" s="43" t="s">
        <v>916</v>
      </c>
      <c r="AE1829" s="33" t="s">
        <v>3982</v>
      </c>
      <c r="AF1829" s="35" t="s">
        <v>916</v>
      </c>
      <c r="AG1829" s="44">
        <v>488848.87694444449</v>
      </c>
      <c r="AH1829" s="42" t="s">
        <v>916</v>
      </c>
      <c r="AI1829" s="32" t="e">
        <f>VLOOKUP(A1829,'4月明細'!B:B,1,0)</f>
        <v>#N/A</v>
      </c>
    </row>
    <row r="1830" spans="1:35" ht="19.95" customHeight="1" x14ac:dyDescent="0.3">
      <c r="A1830" s="33" t="s">
        <v>6473</v>
      </c>
      <c r="B1830" s="34">
        <v>45937.681458333333</v>
      </c>
      <c r="C1830" s="34" t="str">
        <f t="shared" si="41"/>
        <v>202510</v>
      </c>
      <c r="D1830" s="35" t="s">
        <v>996</v>
      </c>
      <c r="E1830" s="36" t="s">
        <v>910</v>
      </c>
      <c r="F1830" s="36" t="s">
        <v>972</v>
      </c>
      <c r="G1830" s="37" t="s">
        <v>5399</v>
      </c>
      <c r="H1830" s="36" t="s">
        <v>970</v>
      </c>
      <c r="I1830" s="35" t="s">
        <v>6474</v>
      </c>
      <c r="J1830" s="36" t="s">
        <v>929</v>
      </c>
      <c r="K1830" s="33" t="s">
        <v>916</v>
      </c>
      <c r="L1830" s="35" t="s">
        <v>916</v>
      </c>
      <c r="M1830" s="36" t="s">
        <v>916</v>
      </c>
      <c r="N1830" s="45">
        <v>46022</v>
      </c>
      <c r="O1830" s="36" t="s">
        <v>25</v>
      </c>
      <c r="P1830" s="38">
        <v>84.3185416667</v>
      </c>
      <c r="Q1830" s="39" t="s">
        <v>6475</v>
      </c>
      <c r="R1830" s="35" t="s">
        <v>916</v>
      </c>
      <c r="S1830" s="35" t="s">
        <v>6476</v>
      </c>
      <c r="T1830" s="35" t="s">
        <v>1701</v>
      </c>
      <c r="U1830" s="40">
        <v>45938</v>
      </c>
      <c r="V1830" s="41">
        <v>46153.532997685186</v>
      </c>
      <c r="W1830" s="40">
        <v>45937</v>
      </c>
      <c r="X1830" s="35" t="s">
        <v>916</v>
      </c>
      <c r="Y1830" s="35" t="s">
        <v>916</v>
      </c>
      <c r="Z1830" s="35" t="s">
        <v>916</v>
      </c>
      <c r="AA1830" s="38">
        <v>2023.6450000008001</v>
      </c>
      <c r="AB1830" s="42" t="s">
        <v>916</v>
      </c>
      <c r="AC1830" s="43" t="s">
        <v>916</v>
      </c>
      <c r="AD1830" s="43" t="s">
        <v>916</v>
      </c>
      <c r="AE1830" s="33" t="s">
        <v>3982</v>
      </c>
      <c r="AF1830" s="35" t="s">
        <v>916</v>
      </c>
      <c r="AG1830" s="44">
        <v>488848.35499999998</v>
      </c>
      <c r="AH1830" s="42" t="s">
        <v>916</v>
      </c>
      <c r="AI1830" s="32" t="e">
        <f>VLOOKUP(A1830,'4月明細'!B:B,1,0)</f>
        <v>#N/A</v>
      </c>
    </row>
    <row r="1831" spans="1:35" ht="19.95" customHeight="1" x14ac:dyDescent="0.3">
      <c r="A1831" s="33" t="s">
        <v>6477</v>
      </c>
      <c r="B1831" s="34">
        <v>45937.672581018516</v>
      </c>
      <c r="C1831" s="34" t="str">
        <f t="shared" si="41"/>
        <v>202510</v>
      </c>
      <c r="D1831" s="35" t="s">
        <v>951</v>
      </c>
      <c r="E1831" s="36" t="s">
        <v>910</v>
      </c>
      <c r="F1831" s="36" t="s">
        <v>972</v>
      </c>
      <c r="G1831" s="37" t="s">
        <v>6478</v>
      </c>
      <c r="H1831" s="36" t="s">
        <v>970</v>
      </c>
      <c r="I1831" s="35"/>
      <c r="J1831" s="36" t="s">
        <v>929</v>
      </c>
      <c r="K1831" s="33" t="s">
        <v>916</v>
      </c>
      <c r="L1831" s="35" t="s">
        <v>916</v>
      </c>
      <c r="M1831" s="36" t="s">
        <v>916</v>
      </c>
      <c r="N1831" s="45">
        <v>46022</v>
      </c>
      <c r="O1831" s="36" t="s">
        <v>25</v>
      </c>
      <c r="P1831" s="38">
        <v>84.327418981500003</v>
      </c>
      <c r="Q1831" s="39" t="s">
        <v>6479</v>
      </c>
      <c r="R1831" s="35" t="s">
        <v>916</v>
      </c>
      <c r="S1831" s="35"/>
      <c r="T1831" s="35" t="s">
        <v>1701</v>
      </c>
      <c r="U1831" s="40">
        <v>45938</v>
      </c>
      <c r="V1831" s="41">
        <v>46153.532997685186</v>
      </c>
      <c r="W1831" s="40">
        <v>45937</v>
      </c>
      <c r="X1831" s="35" t="s">
        <v>916</v>
      </c>
      <c r="Y1831" s="35" t="s">
        <v>916</v>
      </c>
      <c r="Z1831" s="35" t="s">
        <v>916</v>
      </c>
      <c r="AA1831" s="38">
        <v>2023.858055556</v>
      </c>
      <c r="AB1831" s="42" t="s">
        <v>916</v>
      </c>
      <c r="AC1831" s="43" t="s">
        <v>916</v>
      </c>
      <c r="AD1831" s="43" t="s">
        <v>916</v>
      </c>
      <c r="AE1831" s="33" t="s">
        <v>3982</v>
      </c>
      <c r="AF1831" s="35" t="s">
        <v>916</v>
      </c>
      <c r="AG1831" s="44">
        <v>488848.14194444451</v>
      </c>
      <c r="AH1831" s="42" t="s">
        <v>916</v>
      </c>
      <c r="AI1831" s="32" t="e">
        <f>VLOOKUP(A1831,'4月明細'!B:B,1,0)</f>
        <v>#N/A</v>
      </c>
    </row>
    <row r="1832" spans="1:35" ht="19.95" customHeight="1" x14ac:dyDescent="0.3">
      <c r="A1832" s="33" t="s">
        <v>6480</v>
      </c>
      <c r="B1832" s="34">
        <v>45937.647499999999</v>
      </c>
      <c r="C1832" s="34" t="str">
        <f t="shared" si="41"/>
        <v>202510</v>
      </c>
      <c r="D1832" s="35" t="s">
        <v>5380</v>
      </c>
      <c r="E1832" s="36" t="s">
        <v>910</v>
      </c>
      <c r="F1832" s="36" t="s">
        <v>1740</v>
      </c>
      <c r="G1832" s="37" t="s">
        <v>6481</v>
      </c>
      <c r="H1832" s="36" t="s">
        <v>4065</v>
      </c>
      <c r="I1832" s="35" t="s">
        <v>5027</v>
      </c>
      <c r="J1832" s="36" t="s">
        <v>929</v>
      </c>
      <c r="K1832" s="33" t="s">
        <v>916</v>
      </c>
      <c r="L1832" s="35" t="s">
        <v>916</v>
      </c>
      <c r="M1832" s="36" t="s">
        <v>916</v>
      </c>
      <c r="N1832" s="45">
        <v>46022</v>
      </c>
      <c r="O1832" s="36" t="s">
        <v>25</v>
      </c>
      <c r="P1832" s="38">
        <v>84.352500000000006</v>
      </c>
      <c r="Q1832" s="39" t="s">
        <v>6482</v>
      </c>
      <c r="R1832" s="35" t="s">
        <v>916</v>
      </c>
      <c r="S1832" s="35" t="s">
        <v>6483</v>
      </c>
      <c r="T1832" s="35" t="s">
        <v>1701</v>
      </c>
      <c r="U1832" s="40">
        <v>45938</v>
      </c>
      <c r="V1832" s="41">
        <v>46153.532997685186</v>
      </c>
      <c r="W1832" s="40">
        <v>45937</v>
      </c>
      <c r="X1832" s="35" t="s">
        <v>916</v>
      </c>
      <c r="Y1832" s="35" t="s">
        <v>916</v>
      </c>
      <c r="Z1832" s="35" t="s">
        <v>916</v>
      </c>
      <c r="AA1832" s="38">
        <v>2024.46</v>
      </c>
      <c r="AB1832" s="42" t="s">
        <v>916</v>
      </c>
      <c r="AC1832" s="43" t="s">
        <v>916</v>
      </c>
      <c r="AD1832" s="43" t="s">
        <v>916</v>
      </c>
      <c r="AE1832" s="33" t="s">
        <v>3982</v>
      </c>
      <c r="AF1832" s="35" t="s">
        <v>916</v>
      </c>
      <c r="AG1832" s="44">
        <v>488847.54027777782</v>
      </c>
      <c r="AH1832" s="42" t="s">
        <v>916</v>
      </c>
      <c r="AI1832" s="32" t="e">
        <f>VLOOKUP(A1832,'4月明細'!B:B,1,0)</f>
        <v>#N/A</v>
      </c>
    </row>
    <row r="1833" spans="1:35" ht="19.95" customHeight="1" x14ac:dyDescent="0.3">
      <c r="A1833" s="33" t="s">
        <v>6484</v>
      </c>
      <c r="B1833" s="34">
        <v>45937.625717592593</v>
      </c>
      <c r="C1833" s="34" t="str">
        <f t="shared" si="41"/>
        <v>202510</v>
      </c>
      <c r="D1833" s="35" t="s">
        <v>996</v>
      </c>
      <c r="E1833" s="36" t="s">
        <v>910</v>
      </c>
      <c r="F1833" s="36" t="s">
        <v>1799</v>
      </c>
      <c r="G1833" s="37" t="s">
        <v>5399</v>
      </c>
      <c r="H1833" s="36" t="s">
        <v>970</v>
      </c>
      <c r="I1833" s="35" t="s">
        <v>6485</v>
      </c>
      <c r="J1833" s="36" t="s">
        <v>929</v>
      </c>
      <c r="K1833" s="33" t="s">
        <v>916</v>
      </c>
      <c r="L1833" s="35" t="s">
        <v>916</v>
      </c>
      <c r="M1833" s="36" t="s">
        <v>916</v>
      </c>
      <c r="N1833" s="45">
        <v>46022</v>
      </c>
      <c r="O1833" s="36" t="s">
        <v>25</v>
      </c>
      <c r="P1833" s="38">
        <v>84.374282407400003</v>
      </c>
      <c r="Q1833" s="39" t="s">
        <v>6486</v>
      </c>
      <c r="R1833" s="35" t="s">
        <v>916</v>
      </c>
      <c r="S1833" s="35" t="s">
        <v>6487</v>
      </c>
      <c r="T1833" s="35" t="s">
        <v>1701</v>
      </c>
      <c r="U1833" s="40">
        <v>45938</v>
      </c>
      <c r="V1833" s="41">
        <v>46153.532997685186</v>
      </c>
      <c r="W1833" s="40">
        <v>45937</v>
      </c>
      <c r="X1833" s="35" t="s">
        <v>916</v>
      </c>
      <c r="Y1833" s="35" t="s">
        <v>916</v>
      </c>
      <c r="Z1833" s="35" t="s">
        <v>916</v>
      </c>
      <c r="AA1833" s="38">
        <v>2024.9827777775999</v>
      </c>
      <c r="AB1833" s="42" t="s">
        <v>916</v>
      </c>
      <c r="AC1833" s="43" t="s">
        <v>916</v>
      </c>
      <c r="AD1833" s="43" t="s">
        <v>916</v>
      </c>
      <c r="AE1833" s="33" t="s">
        <v>3982</v>
      </c>
      <c r="AF1833" s="35" t="s">
        <v>916</v>
      </c>
      <c r="AG1833" s="44">
        <v>488847.01750000002</v>
      </c>
      <c r="AH1833" s="42" t="s">
        <v>916</v>
      </c>
      <c r="AI1833" s="32" t="e">
        <f>VLOOKUP(A1833,'4月明細'!B:B,1,0)</f>
        <v>#N/A</v>
      </c>
    </row>
    <row r="1834" spans="1:35" ht="19.95" customHeight="1" x14ac:dyDescent="0.3">
      <c r="A1834" s="33" t="s">
        <v>6488</v>
      </c>
      <c r="B1834" s="34">
        <v>45937.588784722226</v>
      </c>
      <c r="C1834" s="34" t="str">
        <f t="shared" si="41"/>
        <v>202510</v>
      </c>
      <c r="D1834" s="35" t="s">
        <v>996</v>
      </c>
      <c r="E1834" s="36" t="s">
        <v>910</v>
      </c>
      <c r="F1834" s="36" t="s">
        <v>1295</v>
      </c>
      <c r="G1834" s="37" t="s">
        <v>6489</v>
      </c>
      <c r="H1834" s="36" t="s">
        <v>4157</v>
      </c>
      <c r="I1834" s="35" t="s">
        <v>6490</v>
      </c>
      <c r="J1834" s="36" t="s">
        <v>929</v>
      </c>
      <c r="K1834" s="33" t="s">
        <v>916</v>
      </c>
      <c r="L1834" s="35" t="s">
        <v>916</v>
      </c>
      <c r="M1834" s="36" t="s">
        <v>916</v>
      </c>
      <c r="N1834" s="45">
        <v>46022</v>
      </c>
      <c r="O1834" s="36" t="s">
        <v>25</v>
      </c>
      <c r="P1834" s="38">
        <v>84.411215277799997</v>
      </c>
      <c r="Q1834" s="39" t="s">
        <v>6491</v>
      </c>
      <c r="R1834" s="35" t="s">
        <v>916</v>
      </c>
      <c r="S1834" s="35" t="s">
        <v>6492</v>
      </c>
      <c r="T1834" s="35" t="s">
        <v>1701</v>
      </c>
      <c r="U1834" s="40">
        <v>45938</v>
      </c>
      <c r="V1834" s="41">
        <v>46153.532997685186</v>
      </c>
      <c r="W1834" s="40">
        <v>45937</v>
      </c>
      <c r="X1834" s="35" t="s">
        <v>916</v>
      </c>
      <c r="Y1834" s="35" t="s">
        <v>916</v>
      </c>
      <c r="Z1834" s="35" t="s">
        <v>916</v>
      </c>
      <c r="AA1834" s="38">
        <v>2025.8691666672</v>
      </c>
      <c r="AB1834" s="42" t="s">
        <v>916</v>
      </c>
      <c r="AC1834" s="43" t="s">
        <v>916</v>
      </c>
      <c r="AD1834" s="43" t="s">
        <v>916</v>
      </c>
      <c r="AE1834" s="33" t="s">
        <v>3982</v>
      </c>
      <c r="AF1834" s="35" t="s">
        <v>916</v>
      </c>
      <c r="AG1834" s="44">
        <v>488846.13083333342</v>
      </c>
      <c r="AH1834" s="42" t="s">
        <v>916</v>
      </c>
      <c r="AI1834" s="32" t="e">
        <f>VLOOKUP(A1834,'4月明細'!B:B,1,0)</f>
        <v>#N/A</v>
      </c>
    </row>
    <row r="1835" spans="1:35" ht="19.95" customHeight="1" x14ac:dyDescent="0.3">
      <c r="A1835" s="33" t="s">
        <v>6493</v>
      </c>
      <c r="B1835" s="34">
        <v>45937.573449074072</v>
      </c>
      <c r="C1835" s="34" t="str">
        <f t="shared" si="41"/>
        <v>202510</v>
      </c>
      <c r="D1835" s="35" t="s">
        <v>996</v>
      </c>
      <c r="E1835" s="36" t="s">
        <v>910</v>
      </c>
      <c r="F1835" s="36" t="s">
        <v>1397</v>
      </c>
      <c r="G1835" s="37" t="s">
        <v>6494</v>
      </c>
      <c r="H1835" s="36" t="s">
        <v>4162</v>
      </c>
      <c r="I1835" s="35" t="s">
        <v>6495</v>
      </c>
      <c r="J1835" s="36" t="s">
        <v>914</v>
      </c>
      <c r="K1835" s="33" t="s">
        <v>916</v>
      </c>
      <c r="L1835" s="35" t="s">
        <v>916</v>
      </c>
      <c r="M1835" s="36" t="s">
        <v>916</v>
      </c>
      <c r="N1835" s="45">
        <v>46022</v>
      </c>
      <c r="O1835" s="36" t="s">
        <v>25</v>
      </c>
      <c r="P1835" s="38">
        <v>84.426550925900003</v>
      </c>
      <c r="Q1835" s="39" t="s">
        <v>6496</v>
      </c>
      <c r="R1835" s="35" t="s">
        <v>916</v>
      </c>
      <c r="S1835" s="35" t="s">
        <v>6497</v>
      </c>
      <c r="T1835" s="35" t="s">
        <v>1701</v>
      </c>
      <c r="U1835" s="40">
        <v>45938</v>
      </c>
      <c r="V1835" s="41">
        <v>46153.532997685186</v>
      </c>
      <c r="W1835" s="40">
        <v>45937</v>
      </c>
      <c r="X1835" s="35" t="s">
        <v>916</v>
      </c>
      <c r="Y1835" s="35" t="s">
        <v>916</v>
      </c>
      <c r="Z1835" s="35" t="s">
        <v>916</v>
      </c>
      <c r="AA1835" s="38">
        <v>2026.2372222215999</v>
      </c>
      <c r="AB1835" s="42" t="s">
        <v>916</v>
      </c>
      <c r="AC1835" s="43" t="s">
        <v>916</v>
      </c>
      <c r="AD1835" s="43" t="s">
        <v>916</v>
      </c>
      <c r="AE1835" s="33" t="s">
        <v>3982</v>
      </c>
      <c r="AF1835" s="35" t="s">
        <v>916</v>
      </c>
      <c r="AG1835" s="44">
        <v>488845.76277777791</v>
      </c>
      <c r="AH1835" s="42" t="s">
        <v>916</v>
      </c>
      <c r="AI1835" s="32" t="e">
        <f>VLOOKUP(A1835,'4月明細'!B:B,1,0)</f>
        <v>#N/A</v>
      </c>
    </row>
    <row r="1836" spans="1:35" ht="19.95" customHeight="1" x14ac:dyDescent="0.3">
      <c r="A1836" s="33" t="s">
        <v>6498</v>
      </c>
      <c r="B1836" s="34">
        <v>45937.563518518517</v>
      </c>
      <c r="C1836" s="34" t="str">
        <f t="shared" si="41"/>
        <v>202510</v>
      </c>
      <c r="D1836" s="35" t="s">
        <v>996</v>
      </c>
      <c r="E1836" s="36" t="s">
        <v>910</v>
      </c>
      <c r="F1836" s="36" t="s">
        <v>1397</v>
      </c>
      <c r="G1836" s="37" t="s">
        <v>6499</v>
      </c>
      <c r="H1836" s="36" t="s">
        <v>970</v>
      </c>
      <c r="I1836" s="35" t="s">
        <v>6500</v>
      </c>
      <c r="J1836" s="36" t="s">
        <v>914</v>
      </c>
      <c r="K1836" s="33" t="s">
        <v>916</v>
      </c>
      <c r="L1836" s="35" t="s">
        <v>916</v>
      </c>
      <c r="M1836" s="36" t="s">
        <v>916</v>
      </c>
      <c r="N1836" s="45">
        <v>46022</v>
      </c>
      <c r="O1836" s="36" t="s">
        <v>25</v>
      </c>
      <c r="P1836" s="38">
        <v>84.436481481499996</v>
      </c>
      <c r="Q1836" s="39" t="s">
        <v>6501</v>
      </c>
      <c r="R1836" s="35" t="s">
        <v>916</v>
      </c>
      <c r="S1836" s="35" t="s">
        <v>6502</v>
      </c>
      <c r="T1836" s="35" t="s">
        <v>1701</v>
      </c>
      <c r="U1836" s="40">
        <v>45938</v>
      </c>
      <c r="V1836" s="41">
        <v>46153.532997685186</v>
      </c>
      <c r="W1836" s="40">
        <v>45937</v>
      </c>
      <c r="X1836" s="35" t="s">
        <v>916</v>
      </c>
      <c r="Y1836" s="35" t="s">
        <v>916</v>
      </c>
      <c r="Z1836" s="35" t="s">
        <v>916</v>
      </c>
      <c r="AA1836" s="38">
        <v>2026.475555556</v>
      </c>
      <c r="AB1836" s="42" t="s">
        <v>916</v>
      </c>
      <c r="AC1836" s="43" t="s">
        <v>916</v>
      </c>
      <c r="AD1836" s="43" t="s">
        <v>916</v>
      </c>
      <c r="AE1836" s="33" t="s">
        <v>3982</v>
      </c>
      <c r="AF1836" s="35" t="s">
        <v>916</v>
      </c>
      <c r="AG1836" s="44">
        <v>488845.52444444451</v>
      </c>
      <c r="AH1836" s="42" t="s">
        <v>916</v>
      </c>
      <c r="AI1836" s="32" t="e">
        <f>VLOOKUP(A1836,'4月明細'!B:B,1,0)</f>
        <v>#N/A</v>
      </c>
    </row>
    <row r="1837" spans="1:35" ht="19.95" customHeight="1" x14ac:dyDescent="0.3">
      <c r="A1837" s="33" t="s">
        <v>6503</v>
      </c>
      <c r="B1837" s="34">
        <v>45937.530555555553</v>
      </c>
      <c r="C1837" s="34" t="str">
        <f t="shared" si="41"/>
        <v>202510</v>
      </c>
      <c r="D1837" s="35" t="s">
        <v>996</v>
      </c>
      <c r="E1837" s="36" t="s">
        <v>910</v>
      </c>
      <c r="F1837" s="36" t="s">
        <v>1350</v>
      </c>
      <c r="G1837" s="37" t="s">
        <v>6504</v>
      </c>
      <c r="H1837" s="36" t="s">
        <v>4157</v>
      </c>
      <c r="I1837" s="35" t="s">
        <v>6505</v>
      </c>
      <c r="J1837" s="36" t="s">
        <v>929</v>
      </c>
      <c r="K1837" s="33" t="s">
        <v>916</v>
      </c>
      <c r="L1837" s="35" t="s">
        <v>916</v>
      </c>
      <c r="M1837" s="36" t="s">
        <v>916</v>
      </c>
      <c r="N1837" s="45">
        <v>46022</v>
      </c>
      <c r="O1837" s="36" t="s">
        <v>25</v>
      </c>
      <c r="P1837" s="38">
        <v>84.469444444399997</v>
      </c>
      <c r="Q1837" s="39" t="s">
        <v>6506</v>
      </c>
      <c r="R1837" s="35" t="s">
        <v>916</v>
      </c>
      <c r="S1837" s="35"/>
      <c r="T1837" s="35" t="s">
        <v>1701</v>
      </c>
      <c r="U1837" s="40">
        <v>45938</v>
      </c>
      <c r="V1837" s="41">
        <v>46153.532997685186</v>
      </c>
      <c r="W1837" s="40">
        <v>45937</v>
      </c>
      <c r="X1837" s="35" t="s">
        <v>916</v>
      </c>
      <c r="Y1837" s="35" t="s">
        <v>916</v>
      </c>
      <c r="Z1837" s="35" t="s">
        <v>916</v>
      </c>
      <c r="AA1837" s="38">
        <v>2027.2666666656</v>
      </c>
      <c r="AB1837" s="42" t="s">
        <v>916</v>
      </c>
      <c r="AC1837" s="43" t="s">
        <v>916</v>
      </c>
      <c r="AD1837" s="43" t="s">
        <v>916</v>
      </c>
      <c r="AE1837" s="33" t="s">
        <v>3982</v>
      </c>
      <c r="AF1837" s="35" t="s">
        <v>916</v>
      </c>
      <c r="AG1837" s="44">
        <v>488844.7333333334</v>
      </c>
      <c r="AH1837" s="42" t="s">
        <v>916</v>
      </c>
      <c r="AI1837" s="32" t="e">
        <f>VLOOKUP(A1837,'4月明細'!B:B,1,0)</f>
        <v>#N/A</v>
      </c>
    </row>
    <row r="1838" spans="1:35" ht="19.95" customHeight="1" x14ac:dyDescent="0.3">
      <c r="A1838" s="33" t="s">
        <v>6507</v>
      </c>
      <c r="B1838" s="34">
        <v>45937.523923611108</v>
      </c>
      <c r="C1838" s="34" t="str">
        <f t="shared" si="41"/>
        <v>202510</v>
      </c>
      <c r="D1838" s="35" t="s">
        <v>996</v>
      </c>
      <c r="E1838" s="36" t="s">
        <v>910</v>
      </c>
      <c r="F1838" s="36" t="s">
        <v>1350</v>
      </c>
      <c r="G1838" s="37" t="s">
        <v>6508</v>
      </c>
      <c r="H1838" s="36" t="s">
        <v>3991</v>
      </c>
      <c r="I1838" s="35" t="s">
        <v>6509</v>
      </c>
      <c r="J1838" s="36" t="s">
        <v>929</v>
      </c>
      <c r="K1838" s="33" t="s">
        <v>916</v>
      </c>
      <c r="L1838" s="35" t="s">
        <v>916</v>
      </c>
      <c r="M1838" s="36" t="s">
        <v>916</v>
      </c>
      <c r="N1838" s="45">
        <v>46022</v>
      </c>
      <c r="O1838" s="36" t="s">
        <v>25</v>
      </c>
      <c r="P1838" s="38">
        <v>84.476076388899997</v>
      </c>
      <c r="Q1838" s="39" t="s">
        <v>6506</v>
      </c>
      <c r="R1838" s="35" t="s">
        <v>916</v>
      </c>
      <c r="S1838" s="35" t="s">
        <v>6510</v>
      </c>
      <c r="T1838" s="35" t="s">
        <v>1701</v>
      </c>
      <c r="U1838" s="40">
        <v>45938</v>
      </c>
      <c r="V1838" s="41">
        <v>46153.532997685186</v>
      </c>
      <c r="W1838" s="40">
        <v>45937</v>
      </c>
      <c r="X1838" s="35" t="s">
        <v>916</v>
      </c>
      <c r="Y1838" s="35" t="s">
        <v>916</v>
      </c>
      <c r="Z1838" s="35" t="s">
        <v>916</v>
      </c>
      <c r="AA1838" s="38">
        <v>2027.4258333335999</v>
      </c>
      <c r="AB1838" s="42" t="s">
        <v>916</v>
      </c>
      <c r="AC1838" s="43" t="s">
        <v>916</v>
      </c>
      <c r="AD1838" s="43" t="s">
        <v>916</v>
      </c>
      <c r="AE1838" s="33" t="s">
        <v>3982</v>
      </c>
      <c r="AF1838" s="35" t="s">
        <v>916</v>
      </c>
      <c r="AG1838" s="44">
        <v>488844.57416666672</v>
      </c>
      <c r="AH1838" s="42" t="s">
        <v>916</v>
      </c>
      <c r="AI1838" s="32" t="e">
        <f>VLOOKUP(A1838,'4月明細'!B:B,1,0)</f>
        <v>#N/A</v>
      </c>
    </row>
    <row r="1839" spans="1:35" ht="19.95" customHeight="1" x14ac:dyDescent="0.3">
      <c r="A1839" s="33" t="s">
        <v>6511</v>
      </c>
      <c r="B1839" s="34">
        <v>45937.516851851855</v>
      </c>
      <c r="C1839" s="34" t="str">
        <f t="shared" si="41"/>
        <v>202510</v>
      </c>
      <c r="D1839" s="35" t="s">
        <v>1578</v>
      </c>
      <c r="E1839" s="36" t="s">
        <v>910</v>
      </c>
      <c r="F1839" s="36" t="s">
        <v>1000</v>
      </c>
      <c r="G1839" s="37" t="s">
        <v>6512</v>
      </c>
      <c r="H1839" s="36" t="s">
        <v>4157</v>
      </c>
      <c r="I1839" s="35" t="s">
        <v>6513</v>
      </c>
      <c r="J1839" s="36" t="s">
        <v>929</v>
      </c>
      <c r="K1839" s="33" t="s">
        <v>916</v>
      </c>
      <c r="L1839" s="35" t="s">
        <v>916</v>
      </c>
      <c r="M1839" s="36" t="s">
        <v>916</v>
      </c>
      <c r="N1839" s="45">
        <v>46022</v>
      </c>
      <c r="O1839" s="36" t="s">
        <v>25</v>
      </c>
      <c r="P1839" s="38">
        <v>84.4831481481</v>
      </c>
      <c r="Q1839" s="39" t="s">
        <v>6514</v>
      </c>
      <c r="R1839" s="35" t="s">
        <v>916</v>
      </c>
      <c r="S1839" s="35" t="s">
        <v>6515</v>
      </c>
      <c r="T1839" s="35" t="s">
        <v>1701</v>
      </c>
      <c r="U1839" s="40">
        <v>45938</v>
      </c>
      <c r="V1839" s="41">
        <v>46153.532997685186</v>
      </c>
      <c r="W1839" s="40">
        <v>45937</v>
      </c>
      <c r="X1839" s="35" t="s">
        <v>916</v>
      </c>
      <c r="Y1839" s="35" t="s">
        <v>916</v>
      </c>
      <c r="Z1839" s="35" t="s">
        <v>916</v>
      </c>
      <c r="AA1839" s="38">
        <v>2027.5955555544001</v>
      </c>
      <c r="AB1839" s="42" t="s">
        <v>916</v>
      </c>
      <c r="AC1839" s="43" t="s">
        <v>916</v>
      </c>
      <c r="AD1839" s="43" t="s">
        <v>916</v>
      </c>
      <c r="AE1839" s="33" t="s">
        <v>3982</v>
      </c>
      <c r="AF1839" s="35" t="s">
        <v>916</v>
      </c>
      <c r="AG1839" s="44">
        <v>488844.40444444452</v>
      </c>
      <c r="AH1839" s="42" t="s">
        <v>916</v>
      </c>
      <c r="AI1839" s="32" t="e">
        <f>VLOOKUP(A1839,'4月明細'!B:B,1,0)</f>
        <v>#N/A</v>
      </c>
    </row>
    <row r="1840" spans="1:35" ht="19.95" customHeight="1" x14ac:dyDescent="0.3">
      <c r="A1840" s="33" t="s">
        <v>6516</v>
      </c>
      <c r="B1840" s="34">
        <v>45937.515740740739</v>
      </c>
      <c r="C1840" s="34" t="str">
        <f t="shared" si="41"/>
        <v>202510</v>
      </c>
      <c r="D1840" s="35" t="s">
        <v>5380</v>
      </c>
      <c r="E1840" s="36" t="s">
        <v>910</v>
      </c>
      <c r="F1840" s="36" t="s">
        <v>976</v>
      </c>
      <c r="G1840" s="37" t="s">
        <v>6517</v>
      </c>
      <c r="H1840" s="36" t="s">
        <v>4185</v>
      </c>
      <c r="I1840" s="35" t="s">
        <v>6518</v>
      </c>
      <c r="J1840" s="36" t="s">
        <v>929</v>
      </c>
      <c r="K1840" s="33" t="s">
        <v>916</v>
      </c>
      <c r="L1840" s="35" t="s">
        <v>916</v>
      </c>
      <c r="M1840" s="36" t="s">
        <v>916</v>
      </c>
      <c r="N1840" s="45">
        <v>46022</v>
      </c>
      <c r="O1840" s="36" t="s">
        <v>25</v>
      </c>
      <c r="P1840" s="38">
        <v>84.484259259300003</v>
      </c>
      <c r="Q1840" s="39" t="s">
        <v>6519</v>
      </c>
      <c r="R1840" s="35" t="s">
        <v>916</v>
      </c>
      <c r="S1840" s="35"/>
      <c r="T1840" s="35" t="s">
        <v>1701</v>
      </c>
      <c r="U1840" s="40">
        <v>45938</v>
      </c>
      <c r="V1840" s="41">
        <v>46153.532997685186</v>
      </c>
      <c r="W1840" s="40">
        <v>45937</v>
      </c>
      <c r="X1840" s="35" t="s">
        <v>916</v>
      </c>
      <c r="Y1840" s="35" t="s">
        <v>916</v>
      </c>
      <c r="Z1840" s="35" t="s">
        <v>916</v>
      </c>
      <c r="AA1840" s="38">
        <v>2027.6222222232</v>
      </c>
      <c r="AB1840" s="42" t="s">
        <v>916</v>
      </c>
      <c r="AC1840" s="43" t="s">
        <v>916</v>
      </c>
      <c r="AD1840" s="43" t="s">
        <v>916</v>
      </c>
      <c r="AE1840" s="33" t="s">
        <v>3982</v>
      </c>
      <c r="AF1840" s="35" t="s">
        <v>916</v>
      </c>
      <c r="AG1840" s="44">
        <v>488844.37777777779</v>
      </c>
      <c r="AH1840" s="42" t="s">
        <v>916</v>
      </c>
      <c r="AI1840" s="32" t="e">
        <f>VLOOKUP(A1840,'4月明細'!B:B,1,0)</f>
        <v>#N/A</v>
      </c>
    </row>
    <row r="1841" spans="1:35" ht="19.95" customHeight="1" x14ac:dyDescent="0.3">
      <c r="A1841" s="33" t="s">
        <v>6520</v>
      </c>
      <c r="B1841" s="34">
        <v>45937.512430555558</v>
      </c>
      <c r="C1841" s="34" t="str">
        <f t="shared" si="41"/>
        <v>202510</v>
      </c>
      <c r="D1841" s="35" t="s">
        <v>996</v>
      </c>
      <c r="E1841" s="36" t="s">
        <v>910</v>
      </c>
      <c r="F1841" s="36" t="s">
        <v>1000</v>
      </c>
      <c r="G1841" s="37" t="s">
        <v>6521</v>
      </c>
      <c r="H1841" s="36" t="s">
        <v>970</v>
      </c>
      <c r="I1841" s="35" t="s">
        <v>6522</v>
      </c>
      <c r="J1841" s="36" t="s">
        <v>929</v>
      </c>
      <c r="K1841" s="33" t="s">
        <v>916</v>
      </c>
      <c r="L1841" s="35" t="s">
        <v>916</v>
      </c>
      <c r="M1841" s="36" t="s">
        <v>916</v>
      </c>
      <c r="N1841" s="45">
        <v>46022</v>
      </c>
      <c r="O1841" s="36" t="s">
        <v>25</v>
      </c>
      <c r="P1841" s="38">
        <v>84.487569444399995</v>
      </c>
      <c r="Q1841" s="39" t="s">
        <v>6523</v>
      </c>
      <c r="R1841" s="35" t="s">
        <v>916</v>
      </c>
      <c r="S1841" s="35" t="s">
        <v>6524</v>
      </c>
      <c r="T1841" s="35" t="s">
        <v>1701</v>
      </c>
      <c r="U1841" s="40">
        <v>45938</v>
      </c>
      <c r="V1841" s="41">
        <v>46153.532997685186</v>
      </c>
      <c r="W1841" s="40">
        <v>45937</v>
      </c>
      <c r="X1841" s="35" t="s">
        <v>916</v>
      </c>
      <c r="Y1841" s="35" t="s">
        <v>916</v>
      </c>
      <c r="Z1841" s="35" t="s">
        <v>916</v>
      </c>
      <c r="AA1841" s="38">
        <v>2027.7016666656</v>
      </c>
      <c r="AB1841" s="42" t="s">
        <v>916</v>
      </c>
      <c r="AC1841" s="43" t="s">
        <v>916</v>
      </c>
      <c r="AD1841" s="43" t="s">
        <v>916</v>
      </c>
      <c r="AE1841" s="33" t="s">
        <v>3982</v>
      </c>
      <c r="AF1841" s="35" t="s">
        <v>916</v>
      </c>
      <c r="AG1841" s="44">
        <v>488844.29833333328</v>
      </c>
      <c r="AH1841" s="42" t="s">
        <v>916</v>
      </c>
      <c r="AI1841" s="32" t="e">
        <f>VLOOKUP(A1841,'4月明細'!B:B,1,0)</f>
        <v>#N/A</v>
      </c>
    </row>
    <row r="1842" spans="1:35" ht="19.95" customHeight="1" x14ac:dyDescent="0.3">
      <c r="A1842" s="33" t="s">
        <v>6525</v>
      </c>
      <c r="B1842" s="34">
        <v>45937.504502314812</v>
      </c>
      <c r="C1842" s="34" t="str">
        <f t="shared" si="41"/>
        <v>202510</v>
      </c>
      <c r="D1842" s="35" t="s">
        <v>996</v>
      </c>
      <c r="E1842" s="36" t="s">
        <v>910</v>
      </c>
      <c r="F1842" s="36" t="s">
        <v>1682</v>
      </c>
      <c r="G1842" s="37" t="s">
        <v>1317</v>
      </c>
      <c r="H1842" s="36" t="s">
        <v>4017</v>
      </c>
      <c r="I1842" s="35" t="s">
        <v>6526</v>
      </c>
      <c r="J1842" s="36" t="s">
        <v>929</v>
      </c>
      <c r="K1842" s="33" t="s">
        <v>916</v>
      </c>
      <c r="L1842" s="35" t="s">
        <v>916</v>
      </c>
      <c r="M1842" s="36" t="s">
        <v>916</v>
      </c>
      <c r="N1842" s="45">
        <v>46022</v>
      </c>
      <c r="O1842" s="36" t="s">
        <v>25</v>
      </c>
      <c r="P1842" s="38">
        <v>84.495497685199993</v>
      </c>
      <c r="Q1842" s="39" t="s">
        <v>6527</v>
      </c>
      <c r="R1842" s="35" t="s">
        <v>916</v>
      </c>
      <c r="S1842" s="35" t="s">
        <v>6528</v>
      </c>
      <c r="T1842" s="35" t="s">
        <v>1701</v>
      </c>
      <c r="U1842" s="40">
        <v>45938</v>
      </c>
      <c r="V1842" s="41">
        <v>46153.532997685186</v>
      </c>
      <c r="W1842" s="40">
        <v>45937</v>
      </c>
      <c r="X1842" s="35" t="s">
        <v>916</v>
      </c>
      <c r="Y1842" s="35" t="s">
        <v>916</v>
      </c>
      <c r="Z1842" s="35" t="s">
        <v>916</v>
      </c>
      <c r="AA1842" s="38">
        <v>2027.8919444447999</v>
      </c>
      <c r="AB1842" s="42" t="s">
        <v>916</v>
      </c>
      <c r="AC1842" s="43" t="s">
        <v>916</v>
      </c>
      <c r="AD1842" s="43" t="s">
        <v>916</v>
      </c>
      <c r="AE1842" s="33" t="s">
        <v>3982</v>
      </c>
      <c r="AF1842" s="35" t="s">
        <v>916</v>
      </c>
      <c r="AG1842" s="44">
        <v>488844.10805555561</v>
      </c>
      <c r="AH1842" s="42" t="s">
        <v>916</v>
      </c>
      <c r="AI1842" s="32" t="e">
        <f>VLOOKUP(A1842,'4月明細'!B:B,1,0)</f>
        <v>#N/A</v>
      </c>
    </row>
    <row r="1843" spans="1:35" ht="19.95" customHeight="1" x14ac:dyDescent="0.3">
      <c r="A1843" s="33" t="s">
        <v>6529</v>
      </c>
      <c r="B1843" s="34">
        <v>45937.500879629632</v>
      </c>
      <c r="C1843" s="34" t="str">
        <f t="shared" si="41"/>
        <v>202510</v>
      </c>
      <c r="D1843" s="35" t="s">
        <v>6281</v>
      </c>
      <c r="E1843" s="36" t="s">
        <v>910</v>
      </c>
      <c r="F1843" s="36" t="s">
        <v>1213</v>
      </c>
      <c r="G1843" s="37" t="s">
        <v>6530</v>
      </c>
      <c r="H1843" s="36" t="s">
        <v>4185</v>
      </c>
      <c r="I1843" s="35"/>
      <c r="J1843" s="36" t="s">
        <v>929</v>
      </c>
      <c r="K1843" s="33" t="s">
        <v>916</v>
      </c>
      <c r="L1843" s="35" t="s">
        <v>916</v>
      </c>
      <c r="M1843" s="36" t="s">
        <v>916</v>
      </c>
      <c r="N1843" s="45">
        <v>46022</v>
      </c>
      <c r="O1843" s="36" t="s">
        <v>25</v>
      </c>
      <c r="P1843" s="38">
        <v>84.499120370399993</v>
      </c>
      <c r="Q1843" s="39" t="s">
        <v>6531</v>
      </c>
      <c r="R1843" s="35" t="s">
        <v>916</v>
      </c>
      <c r="S1843" s="35"/>
      <c r="T1843" s="35" t="s">
        <v>1701</v>
      </c>
      <c r="U1843" s="40">
        <v>45938</v>
      </c>
      <c r="V1843" s="41">
        <v>46153.532997685186</v>
      </c>
      <c r="W1843" s="40">
        <v>45937</v>
      </c>
      <c r="X1843" s="35" t="s">
        <v>916</v>
      </c>
      <c r="Y1843" s="35" t="s">
        <v>916</v>
      </c>
      <c r="Z1843" s="35" t="s">
        <v>916</v>
      </c>
      <c r="AA1843" s="38">
        <v>2027.9788888896001</v>
      </c>
      <c r="AB1843" s="42" t="s">
        <v>916</v>
      </c>
      <c r="AC1843" s="43" t="s">
        <v>916</v>
      </c>
      <c r="AD1843" s="43" t="s">
        <v>916</v>
      </c>
      <c r="AE1843" s="33" t="s">
        <v>3982</v>
      </c>
      <c r="AF1843" s="35" t="s">
        <v>916</v>
      </c>
      <c r="AG1843" s="44">
        <v>488844.02111111121</v>
      </c>
      <c r="AH1843" s="42" t="s">
        <v>916</v>
      </c>
      <c r="AI1843" s="32" t="e">
        <f>VLOOKUP(A1843,'4月明細'!B:B,1,0)</f>
        <v>#N/A</v>
      </c>
    </row>
    <row r="1844" spans="1:35" ht="19.95" customHeight="1" x14ac:dyDescent="0.3">
      <c r="A1844" s="33" t="s">
        <v>6532</v>
      </c>
      <c r="B1844" s="34">
        <v>45937.495937500003</v>
      </c>
      <c r="C1844" s="34" t="str">
        <f t="shared" si="41"/>
        <v>202510</v>
      </c>
      <c r="D1844" s="35" t="s">
        <v>996</v>
      </c>
      <c r="E1844" s="36" t="s">
        <v>910</v>
      </c>
      <c r="F1844" s="36" t="s">
        <v>1682</v>
      </c>
      <c r="G1844" s="37" t="s">
        <v>6533</v>
      </c>
      <c r="H1844" s="36" t="s">
        <v>970</v>
      </c>
      <c r="I1844" s="35" t="s">
        <v>6534</v>
      </c>
      <c r="J1844" s="36" t="s">
        <v>929</v>
      </c>
      <c r="K1844" s="33" t="s">
        <v>916</v>
      </c>
      <c r="L1844" s="35" t="s">
        <v>916</v>
      </c>
      <c r="M1844" s="36" t="s">
        <v>916</v>
      </c>
      <c r="N1844" s="45">
        <v>46022</v>
      </c>
      <c r="O1844" s="36" t="s">
        <v>25</v>
      </c>
      <c r="P1844" s="38">
        <v>84.504062500000003</v>
      </c>
      <c r="Q1844" s="39" t="s">
        <v>6535</v>
      </c>
      <c r="R1844" s="35" t="s">
        <v>916</v>
      </c>
      <c r="S1844" s="35"/>
      <c r="T1844" s="35" t="s">
        <v>1701</v>
      </c>
      <c r="U1844" s="40">
        <v>45938</v>
      </c>
      <c r="V1844" s="41">
        <v>46153.532997685186</v>
      </c>
      <c r="W1844" s="40">
        <v>45937</v>
      </c>
      <c r="X1844" s="35" t="s">
        <v>916</v>
      </c>
      <c r="Y1844" s="35" t="s">
        <v>916</v>
      </c>
      <c r="Z1844" s="35" t="s">
        <v>916</v>
      </c>
      <c r="AA1844" s="38">
        <v>2028.0975000000001</v>
      </c>
      <c r="AB1844" s="42" t="s">
        <v>916</v>
      </c>
      <c r="AC1844" s="43" t="s">
        <v>916</v>
      </c>
      <c r="AD1844" s="43" t="s">
        <v>916</v>
      </c>
      <c r="AE1844" s="33" t="s">
        <v>3982</v>
      </c>
      <c r="AF1844" s="35" t="s">
        <v>916</v>
      </c>
      <c r="AG1844" s="44">
        <v>488843.90250000003</v>
      </c>
      <c r="AH1844" s="42" t="s">
        <v>916</v>
      </c>
      <c r="AI1844" s="32" t="e">
        <f>VLOOKUP(A1844,'4月明細'!B:B,1,0)</f>
        <v>#N/A</v>
      </c>
    </row>
    <row r="1845" spans="1:35" ht="19.95" customHeight="1" x14ac:dyDescent="0.3">
      <c r="A1845" s="33" t="s">
        <v>6536</v>
      </c>
      <c r="B1845" s="34">
        <v>45937.483599537038</v>
      </c>
      <c r="C1845" s="34" t="str">
        <f t="shared" si="41"/>
        <v>202510</v>
      </c>
      <c r="D1845" s="35" t="s">
        <v>6281</v>
      </c>
      <c r="E1845" s="36" t="s">
        <v>910</v>
      </c>
      <c r="F1845" s="36" t="s">
        <v>1534</v>
      </c>
      <c r="G1845" s="37" t="s">
        <v>6537</v>
      </c>
      <c r="H1845" s="36" t="s">
        <v>1043</v>
      </c>
      <c r="I1845" s="35" t="s">
        <v>3234</v>
      </c>
      <c r="J1845" s="36" t="s">
        <v>914</v>
      </c>
      <c r="K1845" s="33" t="s">
        <v>916</v>
      </c>
      <c r="L1845" s="35" t="s">
        <v>916</v>
      </c>
      <c r="M1845" s="36" t="s">
        <v>916</v>
      </c>
      <c r="N1845" s="45">
        <v>46022</v>
      </c>
      <c r="O1845" s="36" t="s">
        <v>25</v>
      </c>
      <c r="P1845" s="38">
        <v>84.516400462999997</v>
      </c>
      <c r="Q1845" s="39" t="s">
        <v>6538</v>
      </c>
      <c r="R1845" s="35" t="s">
        <v>916</v>
      </c>
      <c r="S1845" s="35" t="s">
        <v>6539</v>
      </c>
      <c r="T1845" s="35" t="s">
        <v>1701</v>
      </c>
      <c r="U1845" s="40">
        <v>45938</v>
      </c>
      <c r="V1845" s="41">
        <v>46153.532997685186</v>
      </c>
      <c r="W1845" s="40">
        <v>45937</v>
      </c>
      <c r="X1845" s="35" t="s">
        <v>916</v>
      </c>
      <c r="Y1845" s="35" t="s">
        <v>916</v>
      </c>
      <c r="Z1845" s="35" t="s">
        <v>916</v>
      </c>
      <c r="AA1845" s="38">
        <v>2028.3936111119999</v>
      </c>
      <c r="AB1845" s="42" t="s">
        <v>916</v>
      </c>
      <c r="AC1845" s="43" t="s">
        <v>916</v>
      </c>
      <c r="AD1845" s="43" t="s">
        <v>916</v>
      </c>
      <c r="AE1845" s="33" t="s">
        <v>3982</v>
      </c>
      <c r="AF1845" s="35" t="s">
        <v>916</v>
      </c>
      <c r="AG1845" s="44">
        <v>488843.6063888889</v>
      </c>
      <c r="AH1845" s="42" t="s">
        <v>916</v>
      </c>
      <c r="AI1845" s="32" t="e">
        <f>VLOOKUP(A1845,'4月明細'!B:B,1,0)</f>
        <v>#N/A</v>
      </c>
    </row>
    <row r="1846" spans="1:35" ht="19.95" customHeight="1" x14ac:dyDescent="0.3">
      <c r="A1846" s="33" t="s">
        <v>6540</v>
      </c>
      <c r="B1846" s="34">
        <v>45937.478877314818</v>
      </c>
      <c r="C1846" s="34" t="str">
        <f t="shared" si="41"/>
        <v>202510</v>
      </c>
      <c r="D1846" s="35" t="s">
        <v>6281</v>
      </c>
      <c r="E1846" s="36" t="s">
        <v>910</v>
      </c>
      <c r="F1846" s="36" t="s">
        <v>926</v>
      </c>
      <c r="G1846" s="37" t="s">
        <v>6537</v>
      </c>
      <c r="H1846" s="36" t="s">
        <v>1043</v>
      </c>
      <c r="I1846" s="35" t="s">
        <v>6541</v>
      </c>
      <c r="J1846" s="36" t="s">
        <v>914</v>
      </c>
      <c r="K1846" s="33" t="s">
        <v>916</v>
      </c>
      <c r="L1846" s="35" t="s">
        <v>916</v>
      </c>
      <c r="M1846" s="36" t="s">
        <v>916</v>
      </c>
      <c r="N1846" s="45">
        <v>46022</v>
      </c>
      <c r="O1846" s="36" t="s">
        <v>25</v>
      </c>
      <c r="P1846" s="38">
        <v>84.521122685199998</v>
      </c>
      <c r="Q1846" s="39" t="s">
        <v>6542</v>
      </c>
      <c r="R1846" s="35" t="s">
        <v>916</v>
      </c>
      <c r="S1846" s="35" t="s">
        <v>6543</v>
      </c>
      <c r="T1846" s="35" t="s">
        <v>1701</v>
      </c>
      <c r="U1846" s="40">
        <v>45938</v>
      </c>
      <c r="V1846" s="41">
        <v>46153.532997685186</v>
      </c>
      <c r="W1846" s="40">
        <v>45937</v>
      </c>
      <c r="X1846" s="35" t="s">
        <v>916</v>
      </c>
      <c r="Y1846" s="35" t="s">
        <v>916</v>
      </c>
      <c r="Z1846" s="35" t="s">
        <v>916</v>
      </c>
      <c r="AA1846" s="38">
        <v>2028.5069444448</v>
      </c>
      <c r="AB1846" s="42" t="s">
        <v>916</v>
      </c>
      <c r="AC1846" s="43" t="s">
        <v>916</v>
      </c>
      <c r="AD1846" s="43" t="s">
        <v>916</v>
      </c>
      <c r="AE1846" s="33" t="s">
        <v>3982</v>
      </c>
      <c r="AF1846" s="35" t="s">
        <v>916</v>
      </c>
      <c r="AG1846" s="44">
        <v>488843.4930555555</v>
      </c>
      <c r="AH1846" s="42" t="s">
        <v>916</v>
      </c>
      <c r="AI1846" s="32" t="e">
        <f>VLOOKUP(A1846,'4月明細'!B:B,1,0)</f>
        <v>#N/A</v>
      </c>
    </row>
    <row r="1847" spans="1:35" ht="19.95" customHeight="1" x14ac:dyDescent="0.3">
      <c r="A1847" s="33" t="s">
        <v>6544</v>
      </c>
      <c r="B1847" s="34">
        <v>45937.053182870368</v>
      </c>
      <c r="C1847" s="34" t="str">
        <f t="shared" si="41"/>
        <v>202510</v>
      </c>
      <c r="D1847" s="35" t="s">
        <v>1217</v>
      </c>
      <c r="E1847" s="36" t="s">
        <v>1112</v>
      </c>
      <c r="F1847" s="36" t="s">
        <v>1713</v>
      </c>
      <c r="G1847" s="37" t="s">
        <v>6545</v>
      </c>
      <c r="H1847" s="36" t="s">
        <v>1184</v>
      </c>
      <c r="I1847" s="35"/>
      <c r="J1847" s="36" t="s">
        <v>945</v>
      </c>
      <c r="K1847" s="33" t="s">
        <v>916</v>
      </c>
      <c r="L1847" s="35" t="s">
        <v>916</v>
      </c>
      <c r="M1847" s="36" t="s">
        <v>916</v>
      </c>
      <c r="N1847" s="45">
        <v>46022</v>
      </c>
      <c r="O1847" s="36" t="s">
        <v>25</v>
      </c>
      <c r="P1847" s="38">
        <v>84.946817129600007</v>
      </c>
      <c r="Q1847" s="39" t="s">
        <v>6546</v>
      </c>
      <c r="R1847" s="35" t="s">
        <v>916</v>
      </c>
      <c r="S1847" s="35"/>
      <c r="T1847" s="35" t="s">
        <v>1701</v>
      </c>
      <c r="U1847" s="40">
        <v>45938</v>
      </c>
      <c r="V1847" s="41">
        <v>46153.532997685186</v>
      </c>
      <c r="W1847" s="40">
        <v>45937</v>
      </c>
      <c r="X1847" s="35" t="s">
        <v>916</v>
      </c>
      <c r="Y1847" s="35" t="s">
        <v>916</v>
      </c>
      <c r="Z1847" s="35" t="s">
        <v>916</v>
      </c>
      <c r="AA1847" s="38">
        <v>2038.7236111104</v>
      </c>
      <c r="AB1847" s="42" t="s">
        <v>916</v>
      </c>
      <c r="AC1847" s="43" t="s">
        <v>916</v>
      </c>
      <c r="AD1847" s="43" t="s">
        <v>916</v>
      </c>
      <c r="AE1847" s="33" t="s">
        <v>3982</v>
      </c>
      <c r="AF1847" s="35" t="s">
        <v>916</v>
      </c>
      <c r="AG1847" s="44">
        <v>488833.27638888889</v>
      </c>
      <c r="AH1847" s="42" t="s">
        <v>916</v>
      </c>
      <c r="AI1847" s="32" t="e">
        <f>VLOOKUP(A1847,'4月明細'!B:B,1,0)</f>
        <v>#N/A</v>
      </c>
    </row>
    <row r="1848" spans="1:35" ht="19.95" customHeight="1" x14ac:dyDescent="0.3">
      <c r="A1848" s="33" t="s">
        <v>6547</v>
      </c>
      <c r="B1848" s="34">
        <v>45937.051828703705</v>
      </c>
      <c r="C1848" s="34" t="str">
        <f t="shared" si="41"/>
        <v>202510</v>
      </c>
      <c r="D1848" s="35" t="s">
        <v>1217</v>
      </c>
      <c r="E1848" s="36" t="s">
        <v>1112</v>
      </c>
      <c r="F1848" s="36" t="s">
        <v>1713</v>
      </c>
      <c r="G1848" s="37" t="s">
        <v>6548</v>
      </c>
      <c r="H1848" s="36" t="s">
        <v>1079</v>
      </c>
      <c r="I1848" s="35"/>
      <c r="J1848" s="36" t="s">
        <v>945</v>
      </c>
      <c r="K1848" s="33" t="s">
        <v>916</v>
      </c>
      <c r="L1848" s="35" t="s">
        <v>916</v>
      </c>
      <c r="M1848" s="36" t="s">
        <v>916</v>
      </c>
      <c r="N1848" s="45">
        <v>46022</v>
      </c>
      <c r="O1848" s="36" t="s">
        <v>25</v>
      </c>
      <c r="P1848" s="38">
        <v>84.948171296300004</v>
      </c>
      <c r="Q1848" s="39" t="s">
        <v>6549</v>
      </c>
      <c r="R1848" s="35" t="s">
        <v>916</v>
      </c>
      <c r="S1848" s="35"/>
      <c r="T1848" s="35" t="s">
        <v>1701</v>
      </c>
      <c r="U1848" s="40">
        <v>45938</v>
      </c>
      <c r="V1848" s="41">
        <v>46153.532997685186</v>
      </c>
      <c r="W1848" s="40">
        <v>45937</v>
      </c>
      <c r="X1848" s="35" t="s">
        <v>916</v>
      </c>
      <c r="Y1848" s="35" t="s">
        <v>916</v>
      </c>
      <c r="Z1848" s="35" t="s">
        <v>916</v>
      </c>
      <c r="AA1848" s="38">
        <v>2038.7561111112</v>
      </c>
      <c r="AB1848" s="42" t="s">
        <v>916</v>
      </c>
      <c r="AC1848" s="43" t="s">
        <v>916</v>
      </c>
      <c r="AD1848" s="43" t="s">
        <v>916</v>
      </c>
      <c r="AE1848" s="33" t="s">
        <v>3982</v>
      </c>
      <c r="AF1848" s="35" t="s">
        <v>916</v>
      </c>
      <c r="AG1848" s="44">
        <v>488833.24388888892</v>
      </c>
      <c r="AH1848" s="42" t="s">
        <v>916</v>
      </c>
      <c r="AI1848" s="32" t="e">
        <f>VLOOKUP(A1848,'4月明細'!B:B,1,0)</f>
        <v>#N/A</v>
      </c>
    </row>
    <row r="1849" spans="1:35" ht="19.95" customHeight="1" x14ac:dyDescent="0.3">
      <c r="A1849" s="33" t="s">
        <v>6550</v>
      </c>
      <c r="B1849" s="34">
        <v>45936.685810185183</v>
      </c>
      <c r="C1849" s="34" t="str">
        <f t="shared" si="41"/>
        <v>202510</v>
      </c>
      <c r="D1849" s="35" t="s">
        <v>996</v>
      </c>
      <c r="E1849" s="36" t="s">
        <v>910</v>
      </c>
      <c r="F1849" s="36" t="s">
        <v>1731</v>
      </c>
      <c r="G1849" s="37" t="s">
        <v>6551</v>
      </c>
      <c r="H1849" s="36" t="s">
        <v>1043</v>
      </c>
      <c r="I1849" s="35" t="s">
        <v>6552</v>
      </c>
      <c r="J1849" s="36" t="s">
        <v>929</v>
      </c>
      <c r="K1849" s="33" t="s">
        <v>916</v>
      </c>
      <c r="L1849" s="35" t="s">
        <v>916</v>
      </c>
      <c r="M1849" s="36" t="s">
        <v>916</v>
      </c>
      <c r="N1849" s="45">
        <v>46022</v>
      </c>
      <c r="O1849" s="36" t="s">
        <v>25</v>
      </c>
      <c r="P1849" s="38">
        <v>85.314189814800002</v>
      </c>
      <c r="Q1849" s="39" t="s">
        <v>6553</v>
      </c>
      <c r="R1849" s="35" t="s">
        <v>916</v>
      </c>
      <c r="S1849" s="35"/>
      <c r="T1849" s="35" t="s">
        <v>1701</v>
      </c>
      <c r="U1849" s="40">
        <v>45937</v>
      </c>
      <c r="V1849" s="41">
        <v>46153.532997685186</v>
      </c>
      <c r="W1849" s="40">
        <v>45936</v>
      </c>
      <c r="X1849" s="35" t="s">
        <v>916</v>
      </c>
      <c r="Y1849" s="35" t="s">
        <v>916</v>
      </c>
      <c r="Z1849" s="35" t="s">
        <v>916</v>
      </c>
      <c r="AA1849" s="38">
        <v>2047.5405555551999</v>
      </c>
      <c r="AB1849" s="42" t="s">
        <v>916</v>
      </c>
      <c r="AC1849" s="43" t="s">
        <v>916</v>
      </c>
      <c r="AD1849" s="43" t="s">
        <v>916</v>
      </c>
      <c r="AE1849" s="33" t="s">
        <v>3982</v>
      </c>
      <c r="AF1849" s="35" t="s">
        <v>916</v>
      </c>
      <c r="AG1849" s="44">
        <v>488824.45944444451</v>
      </c>
      <c r="AH1849" s="42" t="s">
        <v>916</v>
      </c>
      <c r="AI1849" s="32" t="e">
        <f>VLOOKUP(A1849,'4月明細'!B:B,1,0)</f>
        <v>#N/A</v>
      </c>
    </row>
    <row r="1850" spans="1:35" ht="19.95" customHeight="1" x14ac:dyDescent="0.3">
      <c r="A1850" s="33" t="s">
        <v>6554</v>
      </c>
      <c r="B1850" s="34">
        <v>45936.663298611114</v>
      </c>
      <c r="C1850" s="34" t="str">
        <f t="shared" si="41"/>
        <v>202510</v>
      </c>
      <c r="D1850" s="35" t="s">
        <v>996</v>
      </c>
      <c r="E1850" s="36" t="s">
        <v>910</v>
      </c>
      <c r="F1850" s="36" t="s">
        <v>1723</v>
      </c>
      <c r="G1850" s="37" t="s">
        <v>5399</v>
      </c>
      <c r="H1850" s="36" t="s">
        <v>970</v>
      </c>
      <c r="I1850" s="35" t="s">
        <v>6555</v>
      </c>
      <c r="J1850" s="36" t="s">
        <v>929</v>
      </c>
      <c r="K1850" s="33" t="s">
        <v>916</v>
      </c>
      <c r="L1850" s="35" t="s">
        <v>916</v>
      </c>
      <c r="M1850" s="36" t="s">
        <v>916</v>
      </c>
      <c r="N1850" s="45">
        <v>46022</v>
      </c>
      <c r="O1850" s="36" t="s">
        <v>25</v>
      </c>
      <c r="P1850" s="38">
        <v>85.336701388899996</v>
      </c>
      <c r="Q1850" s="39" t="s">
        <v>2722</v>
      </c>
      <c r="R1850" s="35" t="s">
        <v>916</v>
      </c>
      <c r="S1850" s="35" t="s">
        <v>6556</v>
      </c>
      <c r="T1850" s="35" t="s">
        <v>1701</v>
      </c>
      <c r="U1850" s="40">
        <v>45937</v>
      </c>
      <c r="V1850" s="41">
        <v>46153.532997685186</v>
      </c>
      <c r="W1850" s="40">
        <v>45936</v>
      </c>
      <c r="X1850" s="35" t="s">
        <v>916</v>
      </c>
      <c r="Y1850" s="35" t="s">
        <v>916</v>
      </c>
      <c r="Z1850" s="35" t="s">
        <v>916</v>
      </c>
      <c r="AA1850" s="38">
        <v>2048.0808333335999</v>
      </c>
      <c r="AB1850" s="42" t="s">
        <v>916</v>
      </c>
      <c r="AC1850" s="43" t="s">
        <v>916</v>
      </c>
      <c r="AD1850" s="43" t="s">
        <v>916</v>
      </c>
      <c r="AE1850" s="33" t="s">
        <v>3982</v>
      </c>
      <c r="AF1850" s="35" t="s">
        <v>916</v>
      </c>
      <c r="AG1850" s="44">
        <v>488823.91916666669</v>
      </c>
      <c r="AH1850" s="42" t="s">
        <v>916</v>
      </c>
      <c r="AI1850" s="32" t="e">
        <f>VLOOKUP(A1850,'4月明細'!B:B,1,0)</f>
        <v>#N/A</v>
      </c>
    </row>
    <row r="1851" spans="1:35" ht="19.95" customHeight="1" x14ac:dyDescent="0.3">
      <c r="A1851" s="33" t="s">
        <v>6557</v>
      </c>
      <c r="B1851" s="34">
        <v>45936.631261574075</v>
      </c>
      <c r="C1851" s="34" t="str">
        <f t="shared" si="41"/>
        <v>202510</v>
      </c>
      <c r="D1851" s="35" t="s">
        <v>996</v>
      </c>
      <c r="E1851" s="36" t="s">
        <v>910</v>
      </c>
      <c r="F1851" s="36" t="s">
        <v>1179</v>
      </c>
      <c r="G1851" s="37" t="s">
        <v>6558</v>
      </c>
      <c r="H1851" s="36" t="s">
        <v>4157</v>
      </c>
      <c r="I1851" s="35" t="s">
        <v>6559</v>
      </c>
      <c r="J1851" s="36" t="s">
        <v>929</v>
      </c>
      <c r="K1851" s="33" t="s">
        <v>916</v>
      </c>
      <c r="L1851" s="35" t="s">
        <v>916</v>
      </c>
      <c r="M1851" s="36" t="s">
        <v>916</v>
      </c>
      <c r="N1851" s="45">
        <v>46022</v>
      </c>
      <c r="O1851" s="36" t="s">
        <v>25</v>
      </c>
      <c r="P1851" s="38">
        <v>85.368738425900005</v>
      </c>
      <c r="Q1851" s="39" t="s">
        <v>6560</v>
      </c>
      <c r="R1851" s="35" t="s">
        <v>916</v>
      </c>
      <c r="S1851" s="35" t="s">
        <v>6561</v>
      </c>
      <c r="T1851" s="35" t="s">
        <v>1701</v>
      </c>
      <c r="U1851" s="40">
        <v>45937</v>
      </c>
      <c r="V1851" s="41">
        <v>46153.532997685186</v>
      </c>
      <c r="W1851" s="40">
        <v>45936</v>
      </c>
      <c r="X1851" s="35" t="s">
        <v>916</v>
      </c>
      <c r="Y1851" s="35" t="s">
        <v>916</v>
      </c>
      <c r="Z1851" s="35" t="s">
        <v>916</v>
      </c>
      <c r="AA1851" s="38">
        <v>2048.8497222216001</v>
      </c>
      <c r="AB1851" s="42" t="s">
        <v>916</v>
      </c>
      <c r="AC1851" s="43" t="s">
        <v>916</v>
      </c>
      <c r="AD1851" s="43" t="s">
        <v>916</v>
      </c>
      <c r="AE1851" s="33" t="s">
        <v>3982</v>
      </c>
      <c r="AF1851" s="35" t="s">
        <v>916</v>
      </c>
      <c r="AG1851" s="44">
        <v>488823.15027777781</v>
      </c>
      <c r="AH1851" s="42" t="s">
        <v>916</v>
      </c>
      <c r="AI1851" s="32" t="e">
        <f>VLOOKUP(A1851,'4月明細'!B:B,1,0)</f>
        <v>#N/A</v>
      </c>
    </row>
    <row r="1852" spans="1:35" ht="19.95" customHeight="1" x14ac:dyDescent="0.3">
      <c r="A1852" s="33" t="s">
        <v>6562</v>
      </c>
      <c r="B1852" s="34">
        <v>45936.564467592594</v>
      </c>
      <c r="C1852" s="34" t="str">
        <f t="shared" si="41"/>
        <v>202510</v>
      </c>
      <c r="D1852" s="35" t="s">
        <v>996</v>
      </c>
      <c r="E1852" s="36" t="s">
        <v>910</v>
      </c>
      <c r="F1852" s="36" t="s">
        <v>1341</v>
      </c>
      <c r="G1852" s="37" t="s">
        <v>6563</v>
      </c>
      <c r="H1852" s="36" t="s">
        <v>1043</v>
      </c>
      <c r="I1852" s="35" t="s">
        <v>6564</v>
      </c>
      <c r="J1852" s="36" t="s">
        <v>929</v>
      </c>
      <c r="K1852" s="33" t="s">
        <v>916</v>
      </c>
      <c r="L1852" s="35" t="s">
        <v>916</v>
      </c>
      <c r="M1852" s="36" t="s">
        <v>916</v>
      </c>
      <c r="N1852" s="45">
        <v>46022</v>
      </c>
      <c r="O1852" s="36" t="s">
        <v>25</v>
      </c>
      <c r="P1852" s="38">
        <v>85.435532407400004</v>
      </c>
      <c r="Q1852" s="39" t="s">
        <v>6565</v>
      </c>
      <c r="R1852" s="35" t="s">
        <v>916</v>
      </c>
      <c r="S1852" s="35" t="s">
        <v>6566</v>
      </c>
      <c r="T1852" s="35" t="s">
        <v>1701</v>
      </c>
      <c r="U1852" s="40">
        <v>45937</v>
      </c>
      <c r="V1852" s="41">
        <v>46153.532997685186</v>
      </c>
      <c r="W1852" s="40">
        <v>45936</v>
      </c>
      <c r="X1852" s="35" t="s">
        <v>916</v>
      </c>
      <c r="Y1852" s="35" t="s">
        <v>916</v>
      </c>
      <c r="Z1852" s="35" t="s">
        <v>916</v>
      </c>
      <c r="AA1852" s="38">
        <v>2050.4527777776002</v>
      </c>
      <c r="AB1852" s="42" t="s">
        <v>916</v>
      </c>
      <c r="AC1852" s="43" t="s">
        <v>916</v>
      </c>
      <c r="AD1852" s="43" t="s">
        <v>916</v>
      </c>
      <c r="AE1852" s="33" t="s">
        <v>3982</v>
      </c>
      <c r="AF1852" s="35" t="s">
        <v>916</v>
      </c>
      <c r="AG1852" s="44">
        <v>488821.54722222232</v>
      </c>
      <c r="AH1852" s="42" t="s">
        <v>916</v>
      </c>
      <c r="AI1852" s="32" t="e">
        <f>VLOOKUP(A1852,'4月明細'!B:B,1,0)</f>
        <v>#N/A</v>
      </c>
    </row>
    <row r="1853" spans="1:35" ht="19.95" customHeight="1" x14ac:dyDescent="0.3">
      <c r="A1853" s="33" t="s">
        <v>6567</v>
      </c>
      <c r="B1853" s="34">
        <v>45936.53460648148</v>
      </c>
      <c r="C1853" s="34" t="str">
        <f t="shared" si="41"/>
        <v>202510</v>
      </c>
      <c r="D1853" s="35" t="s">
        <v>6389</v>
      </c>
      <c r="E1853" s="36" t="s">
        <v>910</v>
      </c>
      <c r="F1853" s="36" t="s">
        <v>3890</v>
      </c>
      <c r="G1853" s="37" t="s">
        <v>6568</v>
      </c>
      <c r="H1853" s="36" t="s">
        <v>4683</v>
      </c>
      <c r="I1853" s="35"/>
      <c r="J1853" s="36" t="s">
        <v>929</v>
      </c>
      <c r="K1853" s="33" t="s">
        <v>916</v>
      </c>
      <c r="L1853" s="35" t="s">
        <v>916</v>
      </c>
      <c r="M1853" s="36" t="s">
        <v>916</v>
      </c>
      <c r="N1853" s="45">
        <v>46022</v>
      </c>
      <c r="O1853" s="36" t="s">
        <v>25</v>
      </c>
      <c r="P1853" s="38">
        <v>85.465393518499994</v>
      </c>
      <c r="Q1853" s="39" t="s">
        <v>6569</v>
      </c>
      <c r="R1853" s="35" t="s">
        <v>916</v>
      </c>
      <c r="S1853" s="35" t="s">
        <v>6570</v>
      </c>
      <c r="T1853" s="35" t="s">
        <v>1701</v>
      </c>
      <c r="U1853" s="40">
        <v>45937</v>
      </c>
      <c r="V1853" s="41">
        <v>46153.532997685186</v>
      </c>
      <c r="W1853" s="40">
        <v>45936</v>
      </c>
      <c r="X1853" s="35" t="s">
        <v>916</v>
      </c>
      <c r="Y1853" s="35" t="s">
        <v>916</v>
      </c>
      <c r="Z1853" s="35" t="s">
        <v>916</v>
      </c>
      <c r="AA1853" s="38">
        <v>2051.169444444</v>
      </c>
      <c r="AB1853" s="42" t="s">
        <v>916</v>
      </c>
      <c r="AC1853" s="43" t="s">
        <v>916</v>
      </c>
      <c r="AD1853" s="43" t="s">
        <v>916</v>
      </c>
      <c r="AE1853" s="33" t="s">
        <v>3982</v>
      </c>
      <c r="AF1853" s="35" t="s">
        <v>916</v>
      </c>
      <c r="AG1853" s="44">
        <v>488820.83055555553</v>
      </c>
      <c r="AH1853" s="42" t="s">
        <v>916</v>
      </c>
      <c r="AI1853" s="32" t="e">
        <f>VLOOKUP(A1853,'4月明細'!B:B,1,0)</f>
        <v>#N/A</v>
      </c>
    </row>
    <row r="1854" spans="1:35" ht="19.95" customHeight="1" x14ac:dyDescent="0.3">
      <c r="A1854" s="33" t="s">
        <v>6571</v>
      </c>
      <c r="B1854" s="34">
        <v>45936.528252314813</v>
      </c>
      <c r="C1854" s="34" t="str">
        <f t="shared" si="41"/>
        <v>202510</v>
      </c>
      <c r="D1854" s="35" t="s">
        <v>6389</v>
      </c>
      <c r="E1854" s="36" t="s">
        <v>910</v>
      </c>
      <c r="F1854" s="36" t="s">
        <v>987</v>
      </c>
      <c r="G1854" s="37" t="s">
        <v>6572</v>
      </c>
      <c r="H1854" s="36" t="s">
        <v>970</v>
      </c>
      <c r="I1854" s="35"/>
      <c r="J1854" s="36" t="s">
        <v>914</v>
      </c>
      <c r="K1854" s="33" t="s">
        <v>916</v>
      </c>
      <c r="L1854" s="35" t="s">
        <v>916</v>
      </c>
      <c r="M1854" s="36" t="s">
        <v>916</v>
      </c>
      <c r="N1854" s="45">
        <v>46022</v>
      </c>
      <c r="O1854" s="36" t="s">
        <v>25</v>
      </c>
      <c r="P1854" s="38">
        <v>85.4717476852</v>
      </c>
      <c r="Q1854" s="39" t="s">
        <v>6573</v>
      </c>
      <c r="R1854" s="35" t="s">
        <v>916</v>
      </c>
      <c r="S1854" s="35" t="s">
        <v>6574</v>
      </c>
      <c r="T1854" s="35" t="s">
        <v>1701</v>
      </c>
      <c r="U1854" s="40">
        <v>45937</v>
      </c>
      <c r="V1854" s="41">
        <v>46153.532997685186</v>
      </c>
      <c r="W1854" s="40">
        <v>45936</v>
      </c>
      <c r="X1854" s="35" t="s">
        <v>916</v>
      </c>
      <c r="Y1854" s="35" t="s">
        <v>916</v>
      </c>
      <c r="Z1854" s="35" t="s">
        <v>916</v>
      </c>
      <c r="AA1854" s="38">
        <v>2051.3219444448</v>
      </c>
      <c r="AB1854" s="42" t="s">
        <v>916</v>
      </c>
      <c r="AC1854" s="43" t="s">
        <v>916</v>
      </c>
      <c r="AD1854" s="43" t="s">
        <v>916</v>
      </c>
      <c r="AE1854" s="33" t="s">
        <v>3982</v>
      </c>
      <c r="AF1854" s="35" t="s">
        <v>916</v>
      </c>
      <c r="AG1854" s="44">
        <v>488820.67805555562</v>
      </c>
      <c r="AH1854" s="42" t="s">
        <v>916</v>
      </c>
      <c r="AI1854" s="32" t="e">
        <f>VLOOKUP(A1854,'4月明細'!B:B,1,0)</f>
        <v>#N/A</v>
      </c>
    </row>
    <row r="1855" spans="1:35" ht="19.95" customHeight="1" x14ac:dyDescent="0.3">
      <c r="A1855" s="33" t="s">
        <v>6575</v>
      </c>
      <c r="B1855" s="34">
        <v>45936.493333333332</v>
      </c>
      <c r="C1855" s="34" t="str">
        <f t="shared" si="41"/>
        <v>202510</v>
      </c>
      <c r="D1855" s="35" t="s">
        <v>6389</v>
      </c>
      <c r="E1855" s="36" t="s">
        <v>910</v>
      </c>
      <c r="F1855" s="36" t="s">
        <v>1222</v>
      </c>
      <c r="G1855" s="37" t="s">
        <v>6576</v>
      </c>
      <c r="H1855" s="36" t="s">
        <v>3996</v>
      </c>
      <c r="I1855" s="35"/>
      <c r="J1855" s="36" t="s">
        <v>929</v>
      </c>
      <c r="K1855" s="33" t="s">
        <v>916</v>
      </c>
      <c r="L1855" s="35" t="s">
        <v>916</v>
      </c>
      <c r="M1855" s="36" t="s">
        <v>916</v>
      </c>
      <c r="N1855" s="45">
        <v>46022</v>
      </c>
      <c r="O1855" s="36" t="s">
        <v>25</v>
      </c>
      <c r="P1855" s="38">
        <v>85.506666666699999</v>
      </c>
      <c r="Q1855" s="39" t="s">
        <v>6577</v>
      </c>
      <c r="R1855" s="35" t="s">
        <v>916</v>
      </c>
      <c r="S1855" s="35"/>
      <c r="T1855" s="35" t="s">
        <v>1701</v>
      </c>
      <c r="U1855" s="40">
        <v>45937</v>
      </c>
      <c r="V1855" s="41">
        <v>46153.532997685186</v>
      </c>
      <c r="W1855" s="40">
        <v>45936</v>
      </c>
      <c r="X1855" s="35" t="s">
        <v>916</v>
      </c>
      <c r="Y1855" s="35" t="s">
        <v>916</v>
      </c>
      <c r="Z1855" s="35" t="s">
        <v>916</v>
      </c>
      <c r="AA1855" s="38">
        <v>2052.1600000008002</v>
      </c>
      <c r="AB1855" s="42" t="s">
        <v>916</v>
      </c>
      <c r="AC1855" s="43" t="s">
        <v>916</v>
      </c>
      <c r="AD1855" s="43" t="s">
        <v>916</v>
      </c>
      <c r="AE1855" s="33" t="s">
        <v>3982</v>
      </c>
      <c r="AF1855" s="35" t="s">
        <v>916</v>
      </c>
      <c r="AG1855" s="44">
        <v>488819.84000000008</v>
      </c>
      <c r="AH1855" s="42" t="s">
        <v>916</v>
      </c>
      <c r="AI1855" s="32" t="e">
        <f>VLOOKUP(A1855,'4月明細'!B:B,1,0)</f>
        <v>#N/A</v>
      </c>
    </row>
    <row r="1856" spans="1:35" ht="19.95" customHeight="1" x14ac:dyDescent="0.3">
      <c r="A1856" s="33" t="s">
        <v>6578</v>
      </c>
      <c r="B1856" s="34">
        <v>45936.493055555555</v>
      </c>
      <c r="C1856" s="34" t="str">
        <f t="shared" si="41"/>
        <v>202510</v>
      </c>
      <c r="D1856" s="35" t="s">
        <v>6389</v>
      </c>
      <c r="E1856" s="36" t="s">
        <v>910</v>
      </c>
      <c r="F1856" s="36" t="s">
        <v>1222</v>
      </c>
      <c r="G1856" s="37" t="s">
        <v>6579</v>
      </c>
      <c r="H1856" s="36" t="s">
        <v>4060</v>
      </c>
      <c r="I1856" s="35"/>
      <c r="J1856" s="36" t="s">
        <v>929</v>
      </c>
      <c r="K1856" s="33" t="s">
        <v>916</v>
      </c>
      <c r="L1856" s="35" t="s">
        <v>916</v>
      </c>
      <c r="M1856" s="36" t="s">
        <v>916</v>
      </c>
      <c r="N1856" s="45">
        <v>46022</v>
      </c>
      <c r="O1856" s="36" t="s">
        <v>25</v>
      </c>
      <c r="P1856" s="38">
        <v>85.506944444400006</v>
      </c>
      <c r="Q1856" s="39" t="s">
        <v>5957</v>
      </c>
      <c r="R1856" s="35" t="s">
        <v>916</v>
      </c>
      <c r="S1856" s="35"/>
      <c r="T1856" s="35" t="s">
        <v>1701</v>
      </c>
      <c r="U1856" s="40">
        <v>45937</v>
      </c>
      <c r="V1856" s="41">
        <v>46153.532997685186</v>
      </c>
      <c r="W1856" s="40">
        <v>45936</v>
      </c>
      <c r="X1856" s="35" t="s">
        <v>916</v>
      </c>
      <c r="Y1856" s="35" t="s">
        <v>916</v>
      </c>
      <c r="Z1856" s="35" t="s">
        <v>916</v>
      </c>
      <c r="AA1856" s="38">
        <v>2052.1666666656001</v>
      </c>
      <c r="AB1856" s="42" t="s">
        <v>916</v>
      </c>
      <c r="AC1856" s="43" t="s">
        <v>916</v>
      </c>
      <c r="AD1856" s="43" t="s">
        <v>916</v>
      </c>
      <c r="AE1856" s="33" t="s">
        <v>3982</v>
      </c>
      <c r="AF1856" s="35" t="s">
        <v>916</v>
      </c>
      <c r="AG1856" s="44">
        <v>488819.83333333331</v>
      </c>
      <c r="AH1856" s="42" t="s">
        <v>916</v>
      </c>
      <c r="AI1856" s="32" t="e">
        <f>VLOOKUP(A1856,'4月明細'!B:B,1,0)</f>
        <v>#N/A</v>
      </c>
    </row>
    <row r="1857" spans="1:35" ht="19.95" customHeight="1" x14ac:dyDescent="0.3">
      <c r="A1857" s="33" t="s">
        <v>6580</v>
      </c>
      <c r="B1857" s="34">
        <v>45936.492569444446</v>
      </c>
      <c r="C1857" s="34" t="str">
        <f t="shared" si="41"/>
        <v>202510</v>
      </c>
      <c r="D1857" s="35" t="s">
        <v>6389</v>
      </c>
      <c r="E1857" s="36" t="s">
        <v>910</v>
      </c>
      <c r="F1857" s="36" t="s">
        <v>1222</v>
      </c>
      <c r="G1857" s="37" t="s">
        <v>6581</v>
      </c>
      <c r="H1857" s="36" t="s">
        <v>4542</v>
      </c>
      <c r="I1857" s="35"/>
      <c r="J1857" s="36" t="s">
        <v>929</v>
      </c>
      <c r="K1857" s="33" t="s">
        <v>916</v>
      </c>
      <c r="L1857" s="35" t="s">
        <v>916</v>
      </c>
      <c r="M1857" s="36" t="s">
        <v>916</v>
      </c>
      <c r="N1857" s="45">
        <v>46022</v>
      </c>
      <c r="O1857" s="36" t="s">
        <v>25</v>
      </c>
      <c r="P1857" s="38">
        <v>85.507430555599996</v>
      </c>
      <c r="Q1857" s="39" t="s">
        <v>6582</v>
      </c>
      <c r="R1857" s="35" t="s">
        <v>916</v>
      </c>
      <c r="S1857" s="35" t="s">
        <v>6583</v>
      </c>
      <c r="T1857" s="35" t="s">
        <v>1701</v>
      </c>
      <c r="U1857" s="40">
        <v>45937</v>
      </c>
      <c r="V1857" s="41">
        <v>46153.532997685186</v>
      </c>
      <c r="W1857" s="40">
        <v>45936</v>
      </c>
      <c r="X1857" s="35" t="s">
        <v>916</v>
      </c>
      <c r="Y1857" s="35" t="s">
        <v>916</v>
      </c>
      <c r="Z1857" s="35" t="s">
        <v>916</v>
      </c>
      <c r="AA1857" s="38">
        <v>2052.1783333344001</v>
      </c>
      <c r="AB1857" s="42" t="s">
        <v>916</v>
      </c>
      <c r="AC1857" s="43" t="s">
        <v>916</v>
      </c>
      <c r="AD1857" s="43" t="s">
        <v>916</v>
      </c>
      <c r="AE1857" s="33" t="s">
        <v>3982</v>
      </c>
      <c r="AF1857" s="35" t="s">
        <v>916</v>
      </c>
      <c r="AG1857" s="44">
        <v>488819.82166666671</v>
      </c>
      <c r="AH1857" s="42" t="s">
        <v>916</v>
      </c>
      <c r="AI1857" s="32" t="e">
        <f>VLOOKUP(A1857,'4月明細'!B:B,1,0)</f>
        <v>#N/A</v>
      </c>
    </row>
    <row r="1858" spans="1:35" ht="19.95" customHeight="1" x14ac:dyDescent="0.3">
      <c r="A1858" s="33" t="s">
        <v>6584</v>
      </c>
      <c r="B1858" s="34">
        <v>45936.492060185185</v>
      </c>
      <c r="C1858" s="34" t="str">
        <f t="shared" si="41"/>
        <v>202510</v>
      </c>
      <c r="D1858" s="35" t="s">
        <v>6389</v>
      </c>
      <c r="E1858" s="36" t="s">
        <v>910</v>
      </c>
      <c r="F1858" s="36" t="s">
        <v>1222</v>
      </c>
      <c r="G1858" s="37" t="s">
        <v>6585</v>
      </c>
      <c r="H1858" s="36" t="s">
        <v>1079</v>
      </c>
      <c r="I1858" s="35"/>
      <c r="J1858" s="36" t="s">
        <v>929</v>
      </c>
      <c r="K1858" s="33" t="s">
        <v>916</v>
      </c>
      <c r="L1858" s="35" t="s">
        <v>916</v>
      </c>
      <c r="M1858" s="36" t="s">
        <v>916</v>
      </c>
      <c r="N1858" s="45">
        <v>46022</v>
      </c>
      <c r="O1858" s="36" t="s">
        <v>25</v>
      </c>
      <c r="P1858" s="38">
        <v>85.507939814799997</v>
      </c>
      <c r="Q1858" s="39" t="s">
        <v>6586</v>
      </c>
      <c r="R1858" s="35" t="s">
        <v>916</v>
      </c>
      <c r="S1858" s="35"/>
      <c r="T1858" s="35" t="s">
        <v>1624</v>
      </c>
      <c r="U1858" s="40">
        <v>45937</v>
      </c>
      <c r="V1858" s="41">
        <v>46153.532997685186</v>
      </c>
      <c r="W1858" s="40">
        <v>45936</v>
      </c>
      <c r="X1858" s="35" t="s">
        <v>916</v>
      </c>
      <c r="Y1858" s="35" t="s">
        <v>916</v>
      </c>
      <c r="Z1858" s="35" t="s">
        <v>916</v>
      </c>
      <c r="AA1858" s="38">
        <v>2052.1905555551998</v>
      </c>
      <c r="AB1858" s="42" t="s">
        <v>916</v>
      </c>
      <c r="AC1858" s="43" t="s">
        <v>916</v>
      </c>
      <c r="AD1858" s="43" t="s">
        <v>916</v>
      </c>
      <c r="AE1858" s="33" t="s">
        <v>3982</v>
      </c>
      <c r="AF1858" s="35" t="s">
        <v>916</v>
      </c>
      <c r="AG1858" s="44">
        <v>488819.80944444443</v>
      </c>
      <c r="AH1858" s="42" t="s">
        <v>916</v>
      </c>
      <c r="AI1858" s="32" t="e">
        <f>VLOOKUP(A1858,'4月明細'!B:B,1,0)</f>
        <v>#N/A</v>
      </c>
    </row>
    <row r="1859" spans="1:35" ht="19.95" customHeight="1" x14ac:dyDescent="0.3">
      <c r="A1859" s="33" t="s">
        <v>6587</v>
      </c>
      <c r="B1859" s="34">
        <v>45936.475358796299</v>
      </c>
      <c r="C1859" s="34" t="str">
        <f t="shared" ref="C1859:C1922" si="42">TEXT(B1859,"YYYYMM")</f>
        <v>202510</v>
      </c>
      <c r="D1859" s="35" t="s">
        <v>996</v>
      </c>
      <c r="E1859" s="36" t="s">
        <v>910</v>
      </c>
      <c r="F1859" s="36" t="s">
        <v>1253</v>
      </c>
      <c r="G1859" s="37" t="s">
        <v>6588</v>
      </c>
      <c r="H1859" s="36" t="s">
        <v>5940</v>
      </c>
      <c r="I1859" s="35" t="s">
        <v>6589</v>
      </c>
      <c r="J1859" s="36" t="s">
        <v>929</v>
      </c>
      <c r="K1859" s="33" t="s">
        <v>916</v>
      </c>
      <c r="L1859" s="35" t="s">
        <v>916</v>
      </c>
      <c r="M1859" s="36" t="s">
        <v>916</v>
      </c>
      <c r="N1859" s="45">
        <v>46022</v>
      </c>
      <c r="O1859" s="36" t="s">
        <v>25</v>
      </c>
      <c r="P1859" s="38">
        <v>85.5246412037</v>
      </c>
      <c r="Q1859" s="39" t="s">
        <v>6582</v>
      </c>
      <c r="R1859" s="35" t="s">
        <v>916</v>
      </c>
      <c r="S1859" s="35" t="s">
        <v>6590</v>
      </c>
      <c r="T1859" s="35" t="s">
        <v>1701</v>
      </c>
      <c r="U1859" s="40">
        <v>45937</v>
      </c>
      <c r="V1859" s="41">
        <v>46153.532997685186</v>
      </c>
      <c r="W1859" s="40">
        <v>45936</v>
      </c>
      <c r="X1859" s="35" t="s">
        <v>916</v>
      </c>
      <c r="Y1859" s="35" t="s">
        <v>916</v>
      </c>
      <c r="Z1859" s="35" t="s">
        <v>916</v>
      </c>
      <c r="AA1859" s="38">
        <v>2052.5913888887999</v>
      </c>
      <c r="AB1859" s="42" t="s">
        <v>916</v>
      </c>
      <c r="AC1859" s="43" t="s">
        <v>916</v>
      </c>
      <c r="AD1859" s="43" t="s">
        <v>916</v>
      </c>
      <c r="AE1859" s="33" t="s">
        <v>3982</v>
      </c>
      <c r="AF1859" s="35" t="s">
        <v>916</v>
      </c>
      <c r="AG1859" s="44">
        <v>488819.40861111123</v>
      </c>
      <c r="AH1859" s="42" t="s">
        <v>916</v>
      </c>
      <c r="AI1859" s="32" t="e">
        <f>VLOOKUP(A1859,'4月明細'!B:B,1,0)</f>
        <v>#N/A</v>
      </c>
    </row>
    <row r="1860" spans="1:35" ht="19.95" customHeight="1" x14ac:dyDescent="0.3">
      <c r="A1860" s="33" t="s">
        <v>6591</v>
      </c>
      <c r="B1860" s="34">
        <v>45936.46266203704</v>
      </c>
      <c r="C1860" s="34" t="str">
        <f t="shared" si="42"/>
        <v>202510</v>
      </c>
      <c r="D1860" s="35" t="s">
        <v>996</v>
      </c>
      <c r="E1860" s="36" t="s">
        <v>910</v>
      </c>
      <c r="F1860" s="36" t="s">
        <v>1010</v>
      </c>
      <c r="G1860" s="37" t="s">
        <v>6592</v>
      </c>
      <c r="H1860" s="36" t="s">
        <v>913</v>
      </c>
      <c r="I1860" s="35"/>
      <c r="J1860" s="36" t="s">
        <v>929</v>
      </c>
      <c r="K1860" s="33" t="s">
        <v>916</v>
      </c>
      <c r="L1860" s="35" t="s">
        <v>916</v>
      </c>
      <c r="M1860" s="36" t="s">
        <v>916</v>
      </c>
      <c r="N1860" s="45">
        <v>46022</v>
      </c>
      <c r="O1860" s="36" t="s">
        <v>25</v>
      </c>
      <c r="P1860" s="38">
        <v>85.537337962999999</v>
      </c>
      <c r="Q1860" s="39" t="s">
        <v>6593</v>
      </c>
      <c r="R1860" s="35" t="s">
        <v>916</v>
      </c>
      <c r="S1860" s="35" t="s">
        <v>6594</v>
      </c>
      <c r="T1860" s="35" t="s">
        <v>1701</v>
      </c>
      <c r="U1860" s="40">
        <v>45937</v>
      </c>
      <c r="V1860" s="41">
        <v>46153.533009259256</v>
      </c>
      <c r="W1860" s="40">
        <v>45936</v>
      </c>
      <c r="X1860" s="35" t="s">
        <v>916</v>
      </c>
      <c r="Y1860" s="35" t="s">
        <v>916</v>
      </c>
      <c r="Z1860" s="35" t="s">
        <v>916</v>
      </c>
      <c r="AA1860" s="38">
        <v>2052.8961111120002</v>
      </c>
      <c r="AB1860" s="42" t="s">
        <v>916</v>
      </c>
      <c r="AC1860" s="43" t="s">
        <v>916</v>
      </c>
      <c r="AD1860" s="43" t="s">
        <v>916</v>
      </c>
      <c r="AE1860" s="33" t="s">
        <v>3982</v>
      </c>
      <c r="AF1860" s="35" t="s">
        <v>916</v>
      </c>
      <c r="AG1860" s="44">
        <v>488819.10388888879</v>
      </c>
      <c r="AH1860" s="42" t="s">
        <v>916</v>
      </c>
      <c r="AI1860" s="32" t="e">
        <f>VLOOKUP(A1860,'4月明細'!B:B,1,0)</f>
        <v>#N/A</v>
      </c>
    </row>
    <row r="1861" spans="1:35" ht="19.95" customHeight="1" x14ac:dyDescent="0.3">
      <c r="A1861" s="33" t="s">
        <v>6595</v>
      </c>
      <c r="B1861" s="34">
        <v>45936.447210648148</v>
      </c>
      <c r="C1861" s="34" t="str">
        <f t="shared" si="42"/>
        <v>202510</v>
      </c>
      <c r="D1861" s="35" t="s">
        <v>996</v>
      </c>
      <c r="E1861" s="36" t="s">
        <v>910</v>
      </c>
      <c r="F1861" s="36" t="s">
        <v>1161</v>
      </c>
      <c r="G1861" s="37" t="s">
        <v>6596</v>
      </c>
      <c r="H1861" s="36" t="s">
        <v>4029</v>
      </c>
      <c r="I1861" s="35" t="s">
        <v>6597</v>
      </c>
      <c r="J1861" s="36" t="s">
        <v>929</v>
      </c>
      <c r="K1861" s="33" t="s">
        <v>916</v>
      </c>
      <c r="L1861" s="35" t="s">
        <v>916</v>
      </c>
      <c r="M1861" s="36" t="s">
        <v>916</v>
      </c>
      <c r="N1861" s="45">
        <v>46022</v>
      </c>
      <c r="O1861" s="36" t="s">
        <v>25</v>
      </c>
      <c r="P1861" s="38">
        <v>85.552789351900003</v>
      </c>
      <c r="Q1861" s="39" t="s">
        <v>6553</v>
      </c>
      <c r="R1861" s="35" t="s">
        <v>916</v>
      </c>
      <c r="S1861" s="35"/>
      <c r="T1861" s="35" t="s">
        <v>1701</v>
      </c>
      <c r="U1861" s="40">
        <v>45937</v>
      </c>
      <c r="V1861" s="41">
        <v>46153.533009259256</v>
      </c>
      <c r="W1861" s="40">
        <v>45936</v>
      </c>
      <c r="X1861" s="35" t="s">
        <v>916</v>
      </c>
      <c r="Y1861" s="35" t="s">
        <v>916</v>
      </c>
      <c r="Z1861" s="35" t="s">
        <v>916</v>
      </c>
      <c r="AA1861" s="38">
        <v>2053.2669444456001</v>
      </c>
      <c r="AB1861" s="42" t="s">
        <v>916</v>
      </c>
      <c r="AC1861" s="43" t="s">
        <v>916</v>
      </c>
      <c r="AD1861" s="43" t="s">
        <v>916</v>
      </c>
      <c r="AE1861" s="33" t="s">
        <v>3982</v>
      </c>
      <c r="AF1861" s="35" t="s">
        <v>916</v>
      </c>
      <c r="AG1861" s="44">
        <v>488818.73305555561</v>
      </c>
      <c r="AH1861" s="42" t="s">
        <v>916</v>
      </c>
      <c r="AI1861" s="32" t="e">
        <f>VLOOKUP(A1861,'4月明細'!B:B,1,0)</f>
        <v>#N/A</v>
      </c>
    </row>
    <row r="1862" spans="1:35" ht="19.95" customHeight="1" x14ac:dyDescent="0.3">
      <c r="A1862" s="33" t="s">
        <v>6598</v>
      </c>
      <c r="B1862" s="34">
        <v>45935.608587962961</v>
      </c>
      <c r="C1862" s="34" t="str">
        <f t="shared" si="42"/>
        <v>202510</v>
      </c>
      <c r="D1862" s="35" t="s">
        <v>996</v>
      </c>
      <c r="E1862" s="36" t="s">
        <v>910</v>
      </c>
      <c r="F1862" s="36" t="s">
        <v>1282</v>
      </c>
      <c r="G1862" s="37" t="s">
        <v>6599</v>
      </c>
      <c r="H1862" s="36" t="s">
        <v>5927</v>
      </c>
      <c r="I1862" s="35" t="s">
        <v>6600</v>
      </c>
      <c r="J1862" s="36" t="s">
        <v>914</v>
      </c>
      <c r="K1862" s="33" t="s">
        <v>916</v>
      </c>
      <c r="L1862" s="35" t="s">
        <v>916</v>
      </c>
      <c r="M1862" s="36" t="s">
        <v>916</v>
      </c>
      <c r="N1862" s="45">
        <v>46022</v>
      </c>
      <c r="O1862" s="36" t="s">
        <v>25</v>
      </c>
      <c r="P1862" s="38">
        <v>86.391412036999995</v>
      </c>
      <c r="Q1862" s="39" t="s">
        <v>6601</v>
      </c>
      <c r="R1862" s="35" t="s">
        <v>916</v>
      </c>
      <c r="S1862" s="35" t="s">
        <v>6602</v>
      </c>
      <c r="T1862" s="35" t="s">
        <v>1701</v>
      </c>
      <c r="U1862" s="40">
        <v>45936</v>
      </c>
      <c r="V1862" s="41">
        <v>46153.533009259256</v>
      </c>
      <c r="W1862" s="40">
        <v>45935</v>
      </c>
      <c r="X1862" s="35" t="s">
        <v>916</v>
      </c>
      <c r="Y1862" s="35" t="s">
        <v>916</v>
      </c>
      <c r="Z1862" s="35" t="s">
        <v>916</v>
      </c>
      <c r="AA1862" s="38">
        <v>2073.3938888880002</v>
      </c>
      <c r="AB1862" s="42" t="s">
        <v>916</v>
      </c>
      <c r="AC1862" s="43" t="s">
        <v>916</v>
      </c>
      <c r="AD1862" s="43" t="s">
        <v>916</v>
      </c>
      <c r="AE1862" s="33" t="s">
        <v>3982</v>
      </c>
      <c r="AF1862" s="35" t="s">
        <v>916</v>
      </c>
      <c r="AG1862" s="44">
        <v>488798.60611111112</v>
      </c>
      <c r="AH1862" s="42" t="s">
        <v>916</v>
      </c>
      <c r="AI1862" s="32" t="e">
        <f>VLOOKUP(A1862,'4月明細'!B:B,1,0)</f>
        <v>#N/A</v>
      </c>
    </row>
    <row r="1863" spans="1:35" ht="19.95" customHeight="1" x14ac:dyDescent="0.3">
      <c r="A1863" s="33" t="s">
        <v>6603</v>
      </c>
      <c r="B1863" s="34">
        <v>45935.521215277775</v>
      </c>
      <c r="C1863" s="34" t="str">
        <f t="shared" si="42"/>
        <v>202510</v>
      </c>
      <c r="D1863" s="35" t="s">
        <v>1597</v>
      </c>
      <c r="E1863" s="36" t="s">
        <v>1112</v>
      </c>
      <c r="F1863" s="36" t="s">
        <v>1010</v>
      </c>
      <c r="G1863" s="37" t="s">
        <v>6604</v>
      </c>
      <c r="H1863" s="36" t="s">
        <v>3991</v>
      </c>
      <c r="I1863" s="35"/>
      <c r="J1863" s="36" t="s">
        <v>929</v>
      </c>
      <c r="K1863" s="33" t="s">
        <v>916</v>
      </c>
      <c r="L1863" s="35" t="s">
        <v>916</v>
      </c>
      <c r="M1863" s="36" t="s">
        <v>916</v>
      </c>
      <c r="N1863" s="45">
        <v>46022</v>
      </c>
      <c r="O1863" s="36" t="s">
        <v>25</v>
      </c>
      <c r="P1863" s="38">
        <v>86.478784722200004</v>
      </c>
      <c r="Q1863" s="39" t="s">
        <v>6605</v>
      </c>
      <c r="R1863" s="35" t="s">
        <v>916</v>
      </c>
      <c r="S1863" s="35"/>
      <c r="T1863" s="35" t="s">
        <v>1701</v>
      </c>
      <c r="U1863" s="40">
        <v>45936</v>
      </c>
      <c r="V1863" s="41">
        <v>46153.533009259256</v>
      </c>
      <c r="W1863" s="40">
        <v>45935</v>
      </c>
      <c r="X1863" s="35" t="s">
        <v>916</v>
      </c>
      <c r="Y1863" s="35" t="s">
        <v>916</v>
      </c>
      <c r="Z1863" s="35" t="s">
        <v>916</v>
      </c>
      <c r="AA1863" s="38">
        <v>2075.4908333327999</v>
      </c>
      <c r="AB1863" s="42" t="s">
        <v>916</v>
      </c>
      <c r="AC1863" s="43" t="s">
        <v>916</v>
      </c>
      <c r="AD1863" s="43" t="s">
        <v>916</v>
      </c>
      <c r="AE1863" s="33" t="s">
        <v>3982</v>
      </c>
      <c r="AF1863" s="35" t="s">
        <v>916</v>
      </c>
      <c r="AG1863" s="44">
        <v>488796.50916666671</v>
      </c>
      <c r="AH1863" s="42" t="s">
        <v>916</v>
      </c>
      <c r="AI1863" s="32" t="e">
        <f>VLOOKUP(A1863,'4月明細'!B:B,1,0)</f>
        <v>#N/A</v>
      </c>
    </row>
    <row r="1864" spans="1:35" ht="19.95" customHeight="1" x14ac:dyDescent="0.3">
      <c r="A1864" s="33" t="s">
        <v>6606</v>
      </c>
      <c r="B1864" s="34">
        <v>45935.464594907404</v>
      </c>
      <c r="C1864" s="34" t="str">
        <f t="shared" si="42"/>
        <v>202510</v>
      </c>
      <c r="D1864" s="35" t="s">
        <v>996</v>
      </c>
      <c r="E1864" s="36" t="s">
        <v>910</v>
      </c>
      <c r="F1864" s="36" t="s">
        <v>1564</v>
      </c>
      <c r="G1864" s="37" t="s">
        <v>4737</v>
      </c>
      <c r="H1864" s="36" t="s">
        <v>913</v>
      </c>
      <c r="I1864" s="35"/>
      <c r="J1864" s="36" t="s">
        <v>914</v>
      </c>
      <c r="K1864" s="33" t="s">
        <v>916</v>
      </c>
      <c r="L1864" s="35" t="s">
        <v>916</v>
      </c>
      <c r="M1864" s="36" t="s">
        <v>916</v>
      </c>
      <c r="N1864" s="45">
        <v>46022</v>
      </c>
      <c r="O1864" s="36" t="s">
        <v>25</v>
      </c>
      <c r="P1864" s="38">
        <v>86.535405092600001</v>
      </c>
      <c r="Q1864" s="39" t="s">
        <v>6607</v>
      </c>
      <c r="R1864" s="35" t="s">
        <v>916</v>
      </c>
      <c r="S1864" s="35"/>
      <c r="T1864" s="35" t="s">
        <v>1701</v>
      </c>
      <c r="U1864" s="40">
        <v>45936</v>
      </c>
      <c r="V1864" s="41">
        <v>46153.533009259256</v>
      </c>
      <c r="W1864" s="40">
        <v>45935</v>
      </c>
      <c r="X1864" s="35" t="s">
        <v>916</v>
      </c>
      <c r="Y1864" s="35" t="s">
        <v>916</v>
      </c>
      <c r="Z1864" s="35" t="s">
        <v>916</v>
      </c>
      <c r="AA1864" s="38">
        <v>2076.8497222224</v>
      </c>
      <c r="AB1864" s="42" t="s">
        <v>916</v>
      </c>
      <c r="AC1864" s="43" t="s">
        <v>916</v>
      </c>
      <c r="AD1864" s="43" t="s">
        <v>916</v>
      </c>
      <c r="AE1864" s="33" t="s">
        <v>3982</v>
      </c>
      <c r="AF1864" s="35" t="s">
        <v>916</v>
      </c>
      <c r="AG1864" s="44">
        <v>488795.15027777781</v>
      </c>
      <c r="AH1864" s="42" t="s">
        <v>916</v>
      </c>
      <c r="AI1864" s="32" t="e">
        <f>VLOOKUP(A1864,'4月明細'!B:B,1,0)</f>
        <v>#N/A</v>
      </c>
    </row>
    <row r="1865" spans="1:35" ht="19.95" customHeight="1" x14ac:dyDescent="0.3">
      <c r="A1865" s="33" t="s">
        <v>6608</v>
      </c>
      <c r="B1865" s="34">
        <v>45935.459537037037</v>
      </c>
      <c r="C1865" s="34" t="str">
        <f t="shared" si="42"/>
        <v>202510</v>
      </c>
      <c r="D1865" s="35" t="s">
        <v>1597</v>
      </c>
      <c r="E1865" s="36" t="s">
        <v>1112</v>
      </c>
      <c r="F1865" s="36" t="s">
        <v>1282</v>
      </c>
      <c r="G1865" s="37" t="s">
        <v>6609</v>
      </c>
      <c r="H1865" s="36" t="s">
        <v>3991</v>
      </c>
      <c r="I1865" s="35"/>
      <c r="J1865" s="36" t="s">
        <v>929</v>
      </c>
      <c r="K1865" s="33" t="s">
        <v>916</v>
      </c>
      <c r="L1865" s="35" t="s">
        <v>916</v>
      </c>
      <c r="M1865" s="36" t="s">
        <v>916</v>
      </c>
      <c r="N1865" s="45">
        <v>46022</v>
      </c>
      <c r="O1865" s="36" t="s">
        <v>25</v>
      </c>
      <c r="P1865" s="38">
        <v>86.540462962999996</v>
      </c>
      <c r="Q1865" s="39" t="s">
        <v>2199</v>
      </c>
      <c r="R1865" s="35" t="s">
        <v>916</v>
      </c>
      <c r="S1865" s="35"/>
      <c r="T1865" s="35" t="s">
        <v>1701</v>
      </c>
      <c r="U1865" s="40">
        <v>45936</v>
      </c>
      <c r="V1865" s="41">
        <v>46153.533009259256</v>
      </c>
      <c r="W1865" s="40">
        <v>45935</v>
      </c>
      <c r="X1865" s="35" t="s">
        <v>916</v>
      </c>
      <c r="Y1865" s="35" t="s">
        <v>916</v>
      </c>
      <c r="Z1865" s="35" t="s">
        <v>916</v>
      </c>
      <c r="AA1865" s="38">
        <v>2076.971111112</v>
      </c>
      <c r="AB1865" s="42" t="s">
        <v>916</v>
      </c>
      <c r="AC1865" s="43" t="s">
        <v>916</v>
      </c>
      <c r="AD1865" s="43" t="s">
        <v>916</v>
      </c>
      <c r="AE1865" s="33" t="s">
        <v>3982</v>
      </c>
      <c r="AF1865" s="35" t="s">
        <v>916</v>
      </c>
      <c r="AG1865" s="44">
        <v>488795.02888888889</v>
      </c>
      <c r="AH1865" s="42" t="s">
        <v>916</v>
      </c>
      <c r="AI1865" s="32" t="e">
        <f>VLOOKUP(A1865,'4月明細'!B:B,1,0)</f>
        <v>#N/A</v>
      </c>
    </row>
    <row r="1866" spans="1:35" ht="19.95" customHeight="1" x14ac:dyDescent="0.3">
      <c r="A1866" s="33" t="s">
        <v>6610</v>
      </c>
      <c r="B1866" s="34">
        <v>45935.459502314814</v>
      </c>
      <c r="C1866" s="34" t="str">
        <f t="shared" si="42"/>
        <v>202510</v>
      </c>
      <c r="D1866" s="35" t="s">
        <v>996</v>
      </c>
      <c r="E1866" s="36" t="s">
        <v>910</v>
      </c>
      <c r="F1866" s="36" t="s">
        <v>1534</v>
      </c>
      <c r="G1866" s="37" t="s">
        <v>6611</v>
      </c>
      <c r="H1866" s="36" t="s">
        <v>4203</v>
      </c>
      <c r="I1866" s="35"/>
      <c r="J1866" s="36" t="s">
        <v>916</v>
      </c>
      <c r="K1866" s="33" t="s">
        <v>916</v>
      </c>
      <c r="L1866" s="35" t="s">
        <v>916</v>
      </c>
      <c r="M1866" s="36" t="s">
        <v>916</v>
      </c>
      <c r="N1866" s="45">
        <v>46022</v>
      </c>
      <c r="O1866" s="36" t="s">
        <v>25</v>
      </c>
      <c r="P1866" s="38">
        <v>86.540497685199995</v>
      </c>
      <c r="Q1866" s="39" t="s">
        <v>1366</v>
      </c>
      <c r="R1866" s="35" t="s">
        <v>916</v>
      </c>
      <c r="S1866" s="35"/>
      <c r="T1866" s="35" t="s">
        <v>1701</v>
      </c>
      <c r="U1866" s="40">
        <v>45936</v>
      </c>
      <c r="V1866" s="41">
        <v>46153.533009259256</v>
      </c>
      <c r="W1866" s="40">
        <v>45935</v>
      </c>
      <c r="X1866" s="35" t="s">
        <v>916</v>
      </c>
      <c r="Y1866" s="35" t="s">
        <v>916</v>
      </c>
      <c r="Z1866" s="35" t="s">
        <v>916</v>
      </c>
      <c r="AA1866" s="38">
        <v>2076.9719444448001</v>
      </c>
      <c r="AB1866" s="42" t="s">
        <v>916</v>
      </c>
      <c r="AC1866" s="43" t="s">
        <v>916</v>
      </c>
      <c r="AD1866" s="43" t="s">
        <v>916</v>
      </c>
      <c r="AE1866" s="33" t="s">
        <v>3982</v>
      </c>
      <c r="AF1866" s="35" t="s">
        <v>916</v>
      </c>
      <c r="AG1866" s="44">
        <v>488795.02805555548</v>
      </c>
      <c r="AH1866" s="42" t="s">
        <v>916</v>
      </c>
      <c r="AI1866" s="32" t="e">
        <f>VLOOKUP(A1866,'4月明細'!B:B,1,0)</f>
        <v>#N/A</v>
      </c>
    </row>
    <row r="1867" spans="1:35" ht="19.95" customHeight="1" x14ac:dyDescent="0.3">
      <c r="A1867" s="33" t="s">
        <v>6612</v>
      </c>
      <c r="B1867" s="34">
        <v>45935.353958333333</v>
      </c>
      <c r="C1867" s="34" t="str">
        <f t="shared" si="42"/>
        <v>202510</v>
      </c>
      <c r="D1867" s="35" t="s">
        <v>1217</v>
      </c>
      <c r="E1867" s="36" t="s">
        <v>1112</v>
      </c>
      <c r="F1867" s="36" t="s">
        <v>1068</v>
      </c>
      <c r="G1867" s="37" t="s">
        <v>6613</v>
      </c>
      <c r="H1867" s="36" t="s">
        <v>1007</v>
      </c>
      <c r="I1867" s="35"/>
      <c r="J1867" s="36" t="s">
        <v>945</v>
      </c>
      <c r="K1867" s="33" t="s">
        <v>916</v>
      </c>
      <c r="L1867" s="35" t="s">
        <v>916</v>
      </c>
      <c r="M1867" s="36" t="s">
        <v>916</v>
      </c>
      <c r="N1867" s="45">
        <v>46022</v>
      </c>
      <c r="O1867" s="36" t="s">
        <v>25</v>
      </c>
      <c r="P1867" s="38">
        <v>86.6460416667</v>
      </c>
      <c r="Q1867" s="39" t="s">
        <v>6614</v>
      </c>
      <c r="R1867" s="35" t="s">
        <v>916</v>
      </c>
      <c r="S1867" s="35"/>
      <c r="T1867" s="35" t="s">
        <v>1701</v>
      </c>
      <c r="U1867" s="40">
        <v>45936</v>
      </c>
      <c r="V1867" s="41">
        <v>46153.533009259256</v>
      </c>
      <c r="W1867" s="40">
        <v>45935</v>
      </c>
      <c r="X1867" s="35" t="s">
        <v>916</v>
      </c>
      <c r="Y1867" s="35" t="s">
        <v>916</v>
      </c>
      <c r="Z1867" s="35" t="s">
        <v>916</v>
      </c>
      <c r="AA1867" s="38">
        <v>2079.5050000008</v>
      </c>
      <c r="AB1867" s="42" t="s">
        <v>916</v>
      </c>
      <c r="AC1867" s="43" t="s">
        <v>916</v>
      </c>
      <c r="AD1867" s="43" t="s">
        <v>916</v>
      </c>
      <c r="AE1867" s="33" t="s">
        <v>3982</v>
      </c>
      <c r="AF1867" s="35" t="s">
        <v>916</v>
      </c>
      <c r="AG1867" s="44">
        <v>488792.495</v>
      </c>
      <c r="AH1867" s="42" t="s">
        <v>916</v>
      </c>
      <c r="AI1867" s="32" t="e">
        <f>VLOOKUP(A1867,'4月明細'!B:B,1,0)</f>
        <v>#N/A</v>
      </c>
    </row>
    <row r="1868" spans="1:35" ht="19.95" customHeight="1" x14ac:dyDescent="0.3">
      <c r="A1868" s="33" t="s">
        <v>6615</v>
      </c>
      <c r="B1868" s="34">
        <v>45934.705092592594</v>
      </c>
      <c r="C1868" s="34" t="str">
        <f t="shared" si="42"/>
        <v>202510</v>
      </c>
      <c r="D1868" s="35" t="s">
        <v>6616</v>
      </c>
      <c r="E1868" s="36" t="s">
        <v>910</v>
      </c>
      <c r="F1868" s="36" t="s">
        <v>1316</v>
      </c>
      <c r="G1868" s="37" t="s">
        <v>6617</v>
      </c>
      <c r="H1868" s="36" t="s">
        <v>4162</v>
      </c>
      <c r="I1868" s="35"/>
      <c r="J1868" s="36" t="s">
        <v>914</v>
      </c>
      <c r="K1868" s="33" t="s">
        <v>916</v>
      </c>
      <c r="L1868" s="35" t="s">
        <v>916</v>
      </c>
      <c r="M1868" s="36" t="s">
        <v>917</v>
      </c>
      <c r="N1868" s="45">
        <v>46022</v>
      </c>
      <c r="O1868" s="36" t="s">
        <v>25</v>
      </c>
      <c r="P1868" s="38">
        <v>87.294907407400004</v>
      </c>
      <c r="Q1868" s="39" t="s">
        <v>2199</v>
      </c>
      <c r="R1868" s="35" t="s">
        <v>916</v>
      </c>
      <c r="S1868" s="35"/>
      <c r="T1868" s="35" t="s">
        <v>1701</v>
      </c>
      <c r="U1868" s="40">
        <v>45935</v>
      </c>
      <c r="V1868" s="41">
        <v>46153.533009259256</v>
      </c>
      <c r="W1868" s="40">
        <v>45934</v>
      </c>
      <c r="X1868" s="35" t="s">
        <v>916</v>
      </c>
      <c r="Y1868" s="35" t="s">
        <v>916</v>
      </c>
      <c r="Z1868" s="35" t="s">
        <v>916</v>
      </c>
      <c r="AA1868" s="38">
        <v>2095.0777777776002</v>
      </c>
      <c r="AB1868" s="42" t="s">
        <v>916</v>
      </c>
      <c r="AC1868" s="43" t="s">
        <v>916</v>
      </c>
      <c r="AD1868" s="43" t="s">
        <v>916</v>
      </c>
      <c r="AE1868" s="33" t="s">
        <v>3982</v>
      </c>
      <c r="AF1868" s="35" t="s">
        <v>916</v>
      </c>
      <c r="AG1868" s="44">
        <v>488776.92222222232</v>
      </c>
      <c r="AH1868" s="42" t="s">
        <v>916</v>
      </c>
      <c r="AI1868" s="32" t="e">
        <f>VLOOKUP(A1868,'4月明細'!B:B,1,0)</f>
        <v>#N/A</v>
      </c>
    </row>
    <row r="1869" spans="1:35" ht="19.95" customHeight="1" x14ac:dyDescent="0.3">
      <c r="A1869" s="33" t="s">
        <v>6618</v>
      </c>
      <c r="B1869" s="34">
        <v>45934.468182870369</v>
      </c>
      <c r="C1869" s="34" t="str">
        <f t="shared" si="42"/>
        <v>202510</v>
      </c>
      <c r="D1869" s="35" t="s">
        <v>951</v>
      </c>
      <c r="E1869" s="36" t="s">
        <v>910</v>
      </c>
      <c r="F1869" s="36" t="s">
        <v>997</v>
      </c>
      <c r="G1869" s="37" t="s">
        <v>6619</v>
      </c>
      <c r="H1869" s="36" t="s">
        <v>970</v>
      </c>
      <c r="I1869" s="35" t="s">
        <v>6620</v>
      </c>
      <c r="J1869" s="36" t="s">
        <v>929</v>
      </c>
      <c r="K1869" s="33" t="s">
        <v>916</v>
      </c>
      <c r="L1869" s="35" t="s">
        <v>916</v>
      </c>
      <c r="M1869" s="36" t="s">
        <v>916</v>
      </c>
      <c r="N1869" s="45">
        <v>46022</v>
      </c>
      <c r="O1869" s="36" t="s">
        <v>25</v>
      </c>
      <c r="P1869" s="38">
        <v>87.5318171296</v>
      </c>
      <c r="Q1869" s="39" t="s">
        <v>2217</v>
      </c>
      <c r="R1869" s="35" t="s">
        <v>916</v>
      </c>
      <c r="S1869" s="35"/>
      <c r="T1869" s="35" t="s">
        <v>1701</v>
      </c>
      <c r="U1869" s="40">
        <v>45935</v>
      </c>
      <c r="V1869" s="41">
        <v>46153.533009259256</v>
      </c>
      <c r="W1869" s="40">
        <v>45934</v>
      </c>
      <c r="X1869" s="35" t="s">
        <v>916</v>
      </c>
      <c r="Y1869" s="35" t="s">
        <v>916</v>
      </c>
      <c r="Z1869" s="35" t="s">
        <v>916</v>
      </c>
      <c r="AA1869" s="38">
        <v>2100.7636111103998</v>
      </c>
      <c r="AB1869" s="42" t="s">
        <v>916</v>
      </c>
      <c r="AC1869" s="43" t="s">
        <v>916</v>
      </c>
      <c r="AD1869" s="43" t="s">
        <v>916</v>
      </c>
      <c r="AE1869" s="33" t="s">
        <v>3982</v>
      </c>
      <c r="AF1869" s="35" t="s">
        <v>916</v>
      </c>
      <c r="AG1869" s="44">
        <v>488771.23638888891</v>
      </c>
      <c r="AH1869" s="42" t="s">
        <v>916</v>
      </c>
      <c r="AI1869" s="32" t="e">
        <f>VLOOKUP(A1869,'4月明細'!B:B,1,0)</f>
        <v>#N/A</v>
      </c>
    </row>
    <row r="1870" spans="1:35" ht="19.95" customHeight="1" x14ac:dyDescent="0.3">
      <c r="A1870" s="33" t="s">
        <v>6621</v>
      </c>
      <c r="B1870" s="34">
        <v>45934.694791666669</v>
      </c>
      <c r="C1870" s="34" t="str">
        <f t="shared" si="42"/>
        <v>202510</v>
      </c>
      <c r="D1870" s="35" t="s">
        <v>996</v>
      </c>
      <c r="E1870" s="36" t="s">
        <v>910</v>
      </c>
      <c r="F1870" s="36" t="s">
        <v>2225</v>
      </c>
      <c r="G1870" s="37" t="s">
        <v>4737</v>
      </c>
      <c r="H1870" s="36" t="s">
        <v>913</v>
      </c>
      <c r="I1870" s="35"/>
      <c r="J1870" s="36" t="s">
        <v>914</v>
      </c>
      <c r="K1870" s="33" t="s">
        <v>916</v>
      </c>
      <c r="L1870" s="35" t="s">
        <v>916</v>
      </c>
      <c r="M1870" s="36" t="s">
        <v>1039</v>
      </c>
      <c r="N1870" s="45">
        <v>46022</v>
      </c>
      <c r="O1870" s="36" t="s">
        <v>25</v>
      </c>
      <c r="P1870" s="38">
        <v>87.305208333300001</v>
      </c>
      <c r="Q1870" s="39" t="s">
        <v>6622</v>
      </c>
      <c r="R1870" s="35" t="s">
        <v>916</v>
      </c>
      <c r="S1870" s="35"/>
      <c r="T1870" s="35" t="s">
        <v>1701</v>
      </c>
      <c r="U1870" s="40">
        <v>45935</v>
      </c>
      <c r="V1870" s="41">
        <v>46153.533009259256</v>
      </c>
      <c r="W1870" s="40">
        <v>45934</v>
      </c>
      <c r="X1870" s="35" t="s">
        <v>916</v>
      </c>
      <c r="Y1870" s="35" t="s">
        <v>916</v>
      </c>
      <c r="Z1870" s="35" t="s">
        <v>916</v>
      </c>
      <c r="AA1870" s="38">
        <v>2095.3249999991999</v>
      </c>
      <c r="AB1870" s="42" t="s">
        <v>916</v>
      </c>
      <c r="AC1870" s="43" t="s">
        <v>916</v>
      </c>
      <c r="AD1870" s="43" t="s">
        <v>916</v>
      </c>
      <c r="AE1870" s="33" t="s">
        <v>3982</v>
      </c>
      <c r="AF1870" s="35" t="s">
        <v>916</v>
      </c>
      <c r="AG1870" s="44">
        <v>488776.67499999999</v>
      </c>
      <c r="AH1870" s="42" t="s">
        <v>916</v>
      </c>
      <c r="AI1870" s="32" t="e">
        <f>VLOOKUP(A1870,'4月明細'!B:B,1,0)</f>
        <v>#N/A</v>
      </c>
    </row>
    <row r="1871" spans="1:35" ht="19.95" customHeight="1" x14ac:dyDescent="0.3">
      <c r="A1871" s="33" t="s">
        <v>6623</v>
      </c>
      <c r="B1871" s="34">
        <v>45934.465543981481</v>
      </c>
      <c r="C1871" s="34" t="str">
        <f t="shared" si="42"/>
        <v>202510</v>
      </c>
      <c r="D1871" s="35" t="s">
        <v>6281</v>
      </c>
      <c r="E1871" s="36" t="s">
        <v>910</v>
      </c>
      <c r="F1871" s="36" t="s">
        <v>1568</v>
      </c>
      <c r="G1871" s="37" t="s">
        <v>6624</v>
      </c>
      <c r="H1871" s="36" t="s">
        <v>1352</v>
      </c>
      <c r="I1871" s="35"/>
      <c r="J1871" s="36" t="s">
        <v>914</v>
      </c>
      <c r="K1871" s="33" t="s">
        <v>916</v>
      </c>
      <c r="L1871" s="35" t="s">
        <v>916</v>
      </c>
      <c r="M1871" s="36" t="s">
        <v>917</v>
      </c>
      <c r="N1871" s="45">
        <v>46022</v>
      </c>
      <c r="O1871" s="36" t="s">
        <v>25</v>
      </c>
      <c r="P1871" s="38">
        <v>87.534456018499995</v>
      </c>
      <c r="Q1871" s="39" t="s">
        <v>2633</v>
      </c>
      <c r="R1871" s="35" t="s">
        <v>916</v>
      </c>
      <c r="S1871" s="35"/>
      <c r="T1871" s="35" t="s">
        <v>1701</v>
      </c>
      <c r="U1871" s="40">
        <v>45935</v>
      </c>
      <c r="V1871" s="41">
        <v>46153.533009259256</v>
      </c>
      <c r="W1871" s="40">
        <v>45934</v>
      </c>
      <c r="X1871" s="35" t="s">
        <v>916</v>
      </c>
      <c r="Y1871" s="35" t="s">
        <v>916</v>
      </c>
      <c r="Z1871" s="35" t="s">
        <v>916</v>
      </c>
      <c r="AA1871" s="38">
        <v>2100.8269444440002</v>
      </c>
      <c r="AB1871" s="42" t="s">
        <v>916</v>
      </c>
      <c r="AC1871" s="43" t="s">
        <v>916</v>
      </c>
      <c r="AD1871" s="43" t="s">
        <v>916</v>
      </c>
      <c r="AE1871" s="33" t="s">
        <v>3982</v>
      </c>
      <c r="AF1871" s="35" t="s">
        <v>916</v>
      </c>
      <c r="AG1871" s="44">
        <v>488771.17305555561</v>
      </c>
      <c r="AH1871" s="42" t="s">
        <v>916</v>
      </c>
      <c r="AI1871" s="32" t="e">
        <f>VLOOKUP(A1871,'4月明細'!B:B,1,0)</f>
        <v>#N/A</v>
      </c>
    </row>
    <row r="1872" spans="1:35" ht="19.95" customHeight="1" x14ac:dyDescent="0.3">
      <c r="A1872" s="33" t="s">
        <v>6625</v>
      </c>
      <c r="B1872" s="34">
        <v>45934.449224537035</v>
      </c>
      <c r="C1872" s="34" t="str">
        <f t="shared" si="42"/>
        <v>202510</v>
      </c>
      <c r="D1872" s="35" t="s">
        <v>5380</v>
      </c>
      <c r="E1872" s="36" t="s">
        <v>910</v>
      </c>
      <c r="F1872" s="36" t="s">
        <v>1572</v>
      </c>
      <c r="G1872" s="37" t="s">
        <v>927</v>
      </c>
      <c r="H1872" s="36" t="s">
        <v>3979</v>
      </c>
      <c r="I1872" s="35" t="s">
        <v>6626</v>
      </c>
      <c r="J1872" s="36" t="s">
        <v>914</v>
      </c>
      <c r="K1872" s="33" t="s">
        <v>916</v>
      </c>
      <c r="L1872" s="35" t="s">
        <v>916</v>
      </c>
      <c r="M1872" s="36" t="s">
        <v>917</v>
      </c>
      <c r="N1872" s="45">
        <v>46022</v>
      </c>
      <c r="O1872" s="36" t="s">
        <v>25</v>
      </c>
      <c r="P1872" s="38">
        <v>87.550775462999994</v>
      </c>
      <c r="Q1872" s="39" t="s">
        <v>6627</v>
      </c>
      <c r="R1872" s="35" t="s">
        <v>916</v>
      </c>
      <c r="S1872" s="35"/>
      <c r="T1872" s="35" t="s">
        <v>1701</v>
      </c>
      <c r="U1872" s="40">
        <v>45935</v>
      </c>
      <c r="V1872" s="41">
        <v>46153.533009259256</v>
      </c>
      <c r="W1872" s="40">
        <v>45934</v>
      </c>
      <c r="X1872" s="35" t="s">
        <v>916</v>
      </c>
      <c r="Y1872" s="35" t="s">
        <v>916</v>
      </c>
      <c r="Z1872" s="35" t="s">
        <v>916</v>
      </c>
      <c r="AA1872" s="38">
        <v>2101.218611112</v>
      </c>
      <c r="AB1872" s="42" t="s">
        <v>916</v>
      </c>
      <c r="AC1872" s="43" t="s">
        <v>916</v>
      </c>
      <c r="AD1872" s="43" t="s">
        <v>916</v>
      </c>
      <c r="AE1872" s="33" t="s">
        <v>3982</v>
      </c>
      <c r="AF1872" s="35" t="s">
        <v>916</v>
      </c>
      <c r="AG1872" s="44">
        <v>488770.78166666668</v>
      </c>
      <c r="AH1872" s="42" t="s">
        <v>916</v>
      </c>
      <c r="AI1872" s="32" t="e">
        <f>VLOOKUP(A1872,'4月明細'!B:B,1,0)</f>
        <v>#N/A</v>
      </c>
    </row>
    <row r="1873" spans="1:35" ht="19.95" customHeight="1" x14ac:dyDescent="0.3">
      <c r="A1873" s="33" t="s">
        <v>6628</v>
      </c>
      <c r="B1873" s="34">
        <v>45934.432326388887</v>
      </c>
      <c r="C1873" s="34" t="str">
        <f t="shared" si="42"/>
        <v>202510</v>
      </c>
      <c r="D1873" s="35" t="s">
        <v>996</v>
      </c>
      <c r="E1873" s="36" t="s">
        <v>910</v>
      </c>
      <c r="F1873" s="36" t="s">
        <v>1089</v>
      </c>
      <c r="G1873" s="37" t="s">
        <v>6629</v>
      </c>
      <c r="H1873" s="36" t="s">
        <v>4029</v>
      </c>
      <c r="I1873" s="35" t="s">
        <v>6630</v>
      </c>
      <c r="J1873" s="36" t="s">
        <v>929</v>
      </c>
      <c r="K1873" s="33" t="s">
        <v>916</v>
      </c>
      <c r="L1873" s="35" t="s">
        <v>916</v>
      </c>
      <c r="M1873" s="36" t="s">
        <v>1039</v>
      </c>
      <c r="N1873" s="45">
        <v>46022</v>
      </c>
      <c r="O1873" s="36" t="s">
        <v>25</v>
      </c>
      <c r="P1873" s="38">
        <v>87.567673611100005</v>
      </c>
      <c r="Q1873" s="39" t="s">
        <v>6631</v>
      </c>
      <c r="R1873" s="35" t="s">
        <v>916</v>
      </c>
      <c r="S1873" s="35"/>
      <c r="T1873" s="35" t="s">
        <v>1701</v>
      </c>
      <c r="U1873" s="40">
        <v>45935</v>
      </c>
      <c r="V1873" s="41">
        <v>46153.533009259256</v>
      </c>
      <c r="W1873" s="40">
        <v>45934</v>
      </c>
      <c r="X1873" s="35" t="s">
        <v>916</v>
      </c>
      <c r="Y1873" s="35" t="s">
        <v>916</v>
      </c>
      <c r="Z1873" s="35" t="s">
        <v>916</v>
      </c>
      <c r="AA1873" s="38">
        <v>2101.6241666664</v>
      </c>
      <c r="AB1873" s="42" t="s">
        <v>916</v>
      </c>
      <c r="AC1873" s="43" t="s">
        <v>916</v>
      </c>
      <c r="AD1873" s="43" t="s">
        <v>916</v>
      </c>
      <c r="AE1873" s="33" t="s">
        <v>3982</v>
      </c>
      <c r="AF1873" s="35" t="s">
        <v>916</v>
      </c>
      <c r="AG1873" s="44">
        <v>488770.3758333333</v>
      </c>
      <c r="AH1873" s="42" t="s">
        <v>916</v>
      </c>
      <c r="AI1873" s="32" t="e">
        <f>VLOOKUP(A1873,'4月明細'!B:B,1,0)</f>
        <v>#N/A</v>
      </c>
    </row>
    <row r="1874" spans="1:35" ht="19.95" customHeight="1" x14ac:dyDescent="0.3">
      <c r="A1874" s="33" t="s">
        <v>6632</v>
      </c>
      <c r="B1874" s="34">
        <v>45934.414953703701</v>
      </c>
      <c r="C1874" s="34" t="str">
        <f t="shared" si="42"/>
        <v>202510</v>
      </c>
      <c r="D1874" s="35" t="s">
        <v>1198</v>
      </c>
      <c r="E1874" s="36" t="s">
        <v>1199</v>
      </c>
      <c r="F1874" s="36" t="s">
        <v>1429</v>
      </c>
      <c r="G1874" s="37" t="s">
        <v>6633</v>
      </c>
      <c r="H1874" s="36" t="s">
        <v>4401</v>
      </c>
      <c r="I1874" s="35" t="s">
        <v>1362</v>
      </c>
      <c r="J1874" s="36" t="s">
        <v>938</v>
      </c>
      <c r="K1874" s="33" t="s">
        <v>916</v>
      </c>
      <c r="L1874" s="35" t="s">
        <v>916</v>
      </c>
      <c r="M1874" s="36" t="s">
        <v>917</v>
      </c>
      <c r="N1874" s="45">
        <v>46022</v>
      </c>
      <c r="O1874" s="36" t="s">
        <v>25</v>
      </c>
      <c r="P1874" s="38">
        <v>87.585046296300007</v>
      </c>
      <c r="Q1874" s="39" t="s">
        <v>6634</v>
      </c>
      <c r="R1874" s="35" t="s">
        <v>916</v>
      </c>
      <c r="S1874" s="35"/>
      <c r="T1874" s="35" t="s">
        <v>1701</v>
      </c>
      <c r="U1874" s="40">
        <v>45935</v>
      </c>
      <c r="V1874" s="41">
        <v>46153.533009259256</v>
      </c>
      <c r="W1874" s="40">
        <v>45934</v>
      </c>
      <c r="X1874" s="35" t="s">
        <v>916</v>
      </c>
      <c r="Y1874" s="35" t="s">
        <v>916</v>
      </c>
      <c r="Z1874" s="35" t="s">
        <v>916</v>
      </c>
      <c r="AA1874" s="38">
        <v>2102.0411111111998</v>
      </c>
      <c r="AB1874" s="42" t="s">
        <v>916</v>
      </c>
      <c r="AC1874" s="43" t="s">
        <v>916</v>
      </c>
      <c r="AD1874" s="43" t="s">
        <v>916</v>
      </c>
      <c r="AE1874" s="33" t="s">
        <v>3982</v>
      </c>
      <c r="AF1874" s="35" t="s">
        <v>916</v>
      </c>
      <c r="AG1874" s="44">
        <v>488769.95888888888</v>
      </c>
      <c r="AH1874" s="42" t="s">
        <v>916</v>
      </c>
      <c r="AI1874" s="32" t="e">
        <f>VLOOKUP(A1874,'4月明細'!B:B,1,0)</f>
        <v>#N/A</v>
      </c>
    </row>
    <row r="1875" spans="1:35" ht="19.95" customHeight="1" x14ac:dyDescent="0.3">
      <c r="A1875" s="33" t="s">
        <v>6635</v>
      </c>
      <c r="B1875" s="34">
        <v>45933.676736111112</v>
      </c>
      <c r="C1875" s="34" t="str">
        <f t="shared" si="42"/>
        <v>202510</v>
      </c>
      <c r="D1875" s="35" t="s">
        <v>2953</v>
      </c>
      <c r="E1875" s="36" t="s">
        <v>1112</v>
      </c>
      <c r="F1875" s="36" t="s">
        <v>1354</v>
      </c>
      <c r="G1875" s="37" t="s">
        <v>6636</v>
      </c>
      <c r="H1875" s="36" t="s">
        <v>4185</v>
      </c>
      <c r="I1875" s="35"/>
      <c r="J1875" s="36" t="s">
        <v>938</v>
      </c>
      <c r="K1875" s="33" t="s">
        <v>916</v>
      </c>
      <c r="L1875" s="35" t="s">
        <v>916</v>
      </c>
      <c r="M1875" s="36" t="s">
        <v>916</v>
      </c>
      <c r="N1875" s="45">
        <v>46022</v>
      </c>
      <c r="O1875" s="36" t="s">
        <v>25</v>
      </c>
      <c r="P1875" s="38">
        <v>88.323263888900001</v>
      </c>
      <c r="Q1875" s="39" t="s">
        <v>6637</v>
      </c>
      <c r="R1875" s="35" t="s">
        <v>916</v>
      </c>
      <c r="S1875" s="35"/>
      <c r="T1875" s="35" t="s">
        <v>1701</v>
      </c>
      <c r="U1875" s="40">
        <v>45934</v>
      </c>
      <c r="V1875" s="41">
        <v>46153.533009259256</v>
      </c>
      <c r="W1875" s="40">
        <v>45933</v>
      </c>
      <c r="X1875" s="35" t="s">
        <v>916</v>
      </c>
      <c r="Y1875" s="35" t="s">
        <v>916</v>
      </c>
      <c r="Z1875" s="35" t="s">
        <v>916</v>
      </c>
      <c r="AA1875" s="38">
        <v>2119.7583333336001</v>
      </c>
      <c r="AB1875" s="42" t="s">
        <v>916</v>
      </c>
      <c r="AC1875" s="43" t="s">
        <v>916</v>
      </c>
      <c r="AD1875" s="43" t="s">
        <v>916</v>
      </c>
      <c r="AE1875" s="33" t="s">
        <v>3982</v>
      </c>
      <c r="AF1875" s="35" t="s">
        <v>916</v>
      </c>
      <c r="AG1875" s="44">
        <v>488752.2416666667</v>
      </c>
      <c r="AH1875" s="42" t="s">
        <v>916</v>
      </c>
      <c r="AI1875" s="32" t="e">
        <f>VLOOKUP(A1875,'4月明細'!B:B,1,0)</f>
        <v>#N/A</v>
      </c>
    </row>
    <row r="1876" spans="1:35" ht="19.95" customHeight="1" x14ac:dyDescent="0.3">
      <c r="A1876" s="33" t="s">
        <v>6638</v>
      </c>
      <c r="B1876" s="34">
        <v>45933.666597222225</v>
      </c>
      <c r="C1876" s="34" t="str">
        <f t="shared" si="42"/>
        <v>202510</v>
      </c>
      <c r="D1876" s="35" t="s">
        <v>5380</v>
      </c>
      <c r="E1876" s="36" t="s">
        <v>910</v>
      </c>
      <c r="F1876" s="36" t="s">
        <v>1386</v>
      </c>
      <c r="G1876" s="37" t="s">
        <v>6639</v>
      </c>
      <c r="H1876" s="36" t="s">
        <v>3991</v>
      </c>
      <c r="I1876" s="35" t="s">
        <v>6640</v>
      </c>
      <c r="J1876" s="36" t="s">
        <v>929</v>
      </c>
      <c r="K1876" s="33" t="s">
        <v>916</v>
      </c>
      <c r="L1876" s="35" t="s">
        <v>916</v>
      </c>
      <c r="M1876" s="36" t="s">
        <v>916</v>
      </c>
      <c r="N1876" s="45">
        <v>46022</v>
      </c>
      <c r="O1876" s="36" t="s">
        <v>25</v>
      </c>
      <c r="P1876" s="38">
        <v>88.333402777800003</v>
      </c>
      <c r="Q1876" s="39" t="s">
        <v>6641</v>
      </c>
      <c r="R1876" s="35" t="s">
        <v>916</v>
      </c>
      <c r="S1876" s="35" t="s">
        <v>6642</v>
      </c>
      <c r="T1876" s="35" t="s">
        <v>1701</v>
      </c>
      <c r="U1876" s="40">
        <v>45934</v>
      </c>
      <c r="V1876" s="41">
        <v>46153.533009259256</v>
      </c>
      <c r="W1876" s="40">
        <v>45933</v>
      </c>
      <c r="X1876" s="35" t="s">
        <v>916</v>
      </c>
      <c r="Y1876" s="35" t="s">
        <v>916</v>
      </c>
      <c r="Z1876" s="35" t="s">
        <v>916</v>
      </c>
      <c r="AA1876" s="38">
        <v>2120.0016666672</v>
      </c>
      <c r="AB1876" s="42" t="s">
        <v>916</v>
      </c>
      <c r="AC1876" s="43" t="s">
        <v>916</v>
      </c>
      <c r="AD1876" s="43" t="s">
        <v>916</v>
      </c>
      <c r="AE1876" s="33" t="s">
        <v>3982</v>
      </c>
      <c r="AF1876" s="35" t="s">
        <v>916</v>
      </c>
      <c r="AG1876" s="44">
        <v>488751.99833333329</v>
      </c>
      <c r="AH1876" s="42" t="s">
        <v>916</v>
      </c>
      <c r="AI1876" s="32" t="e">
        <f>VLOOKUP(A1876,'4月明細'!B:B,1,0)</f>
        <v>#N/A</v>
      </c>
    </row>
    <row r="1877" spans="1:35" ht="19.95" customHeight="1" x14ac:dyDescent="0.3">
      <c r="A1877" s="33" t="s">
        <v>6643</v>
      </c>
      <c r="B1877" s="34">
        <v>45933.662465277775</v>
      </c>
      <c r="C1877" s="34" t="str">
        <f t="shared" si="42"/>
        <v>202510</v>
      </c>
      <c r="D1877" s="35" t="s">
        <v>5380</v>
      </c>
      <c r="E1877" s="36" t="s">
        <v>910</v>
      </c>
      <c r="F1877" s="36" t="s">
        <v>1386</v>
      </c>
      <c r="G1877" s="37" t="s">
        <v>6644</v>
      </c>
      <c r="H1877" s="36" t="s">
        <v>4481</v>
      </c>
      <c r="I1877" s="35" t="s">
        <v>6645</v>
      </c>
      <c r="J1877" s="36" t="s">
        <v>929</v>
      </c>
      <c r="K1877" s="33" t="s">
        <v>916</v>
      </c>
      <c r="L1877" s="35" t="s">
        <v>916</v>
      </c>
      <c r="M1877" s="36" t="s">
        <v>916</v>
      </c>
      <c r="N1877" s="45">
        <v>46022</v>
      </c>
      <c r="O1877" s="36" t="s">
        <v>25</v>
      </c>
      <c r="P1877" s="38">
        <v>88.337534722200004</v>
      </c>
      <c r="Q1877" s="39" t="s">
        <v>1366</v>
      </c>
      <c r="R1877" s="35" t="s">
        <v>916</v>
      </c>
      <c r="S1877" s="35"/>
      <c r="T1877" s="35" t="s">
        <v>1701</v>
      </c>
      <c r="U1877" s="40">
        <v>45934</v>
      </c>
      <c r="V1877" s="41">
        <v>46153.533009259256</v>
      </c>
      <c r="W1877" s="40">
        <v>45933</v>
      </c>
      <c r="X1877" s="35" t="s">
        <v>916</v>
      </c>
      <c r="Y1877" s="35" t="s">
        <v>916</v>
      </c>
      <c r="Z1877" s="35" t="s">
        <v>916</v>
      </c>
      <c r="AA1877" s="38">
        <v>2120.1008333328</v>
      </c>
      <c r="AB1877" s="42" t="s">
        <v>916</v>
      </c>
      <c r="AC1877" s="43" t="s">
        <v>916</v>
      </c>
      <c r="AD1877" s="43" t="s">
        <v>916</v>
      </c>
      <c r="AE1877" s="33" t="s">
        <v>3982</v>
      </c>
      <c r="AF1877" s="35" t="s">
        <v>916</v>
      </c>
      <c r="AG1877" s="44">
        <v>488751.89916666673</v>
      </c>
      <c r="AH1877" s="42" t="s">
        <v>916</v>
      </c>
      <c r="AI1877" s="32" t="e">
        <f>VLOOKUP(A1877,'4月明細'!B:B,1,0)</f>
        <v>#N/A</v>
      </c>
    </row>
    <row r="1878" spans="1:35" ht="19.95" customHeight="1" x14ac:dyDescent="0.3">
      <c r="A1878" s="33" t="s">
        <v>6646</v>
      </c>
      <c r="B1878" s="34">
        <v>45933.581921296296</v>
      </c>
      <c r="C1878" s="34" t="str">
        <f t="shared" si="42"/>
        <v>202510</v>
      </c>
      <c r="D1878" s="35" t="s">
        <v>5380</v>
      </c>
      <c r="E1878" s="36" t="s">
        <v>910</v>
      </c>
      <c r="F1878" s="36" t="s">
        <v>1568</v>
      </c>
      <c r="G1878" s="37" t="s">
        <v>6647</v>
      </c>
      <c r="H1878" s="36" t="s">
        <v>3985</v>
      </c>
      <c r="I1878" s="35" t="s">
        <v>6648</v>
      </c>
      <c r="J1878" s="36" t="s">
        <v>929</v>
      </c>
      <c r="K1878" s="33" t="s">
        <v>916</v>
      </c>
      <c r="L1878" s="35" t="s">
        <v>916</v>
      </c>
      <c r="M1878" s="36" t="s">
        <v>916</v>
      </c>
      <c r="N1878" s="45">
        <v>46022</v>
      </c>
      <c r="O1878" s="36" t="s">
        <v>25</v>
      </c>
      <c r="P1878" s="38">
        <v>88.418078703700004</v>
      </c>
      <c r="Q1878" s="39" t="s">
        <v>6649</v>
      </c>
      <c r="R1878" s="35" t="s">
        <v>916</v>
      </c>
      <c r="S1878" s="35"/>
      <c r="T1878" s="35" t="s">
        <v>1701</v>
      </c>
      <c r="U1878" s="40">
        <v>45934</v>
      </c>
      <c r="V1878" s="41">
        <v>46153.533009259256</v>
      </c>
      <c r="W1878" s="40">
        <v>45933</v>
      </c>
      <c r="X1878" s="35" t="s">
        <v>916</v>
      </c>
      <c r="Y1878" s="35" t="s">
        <v>916</v>
      </c>
      <c r="Z1878" s="35" t="s">
        <v>916</v>
      </c>
      <c r="AA1878" s="38">
        <v>2122.0338888888</v>
      </c>
      <c r="AB1878" s="42" t="s">
        <v>916</v>
      </c>
      <c r="AC1878" s="43" t="s">
        <v>916</v>
      </c>
      <c r="AD1878" s="43" t="s">
        <v>916</v>
      </c>
      <c r="AE1878" s="33" t="s">
        <v>3982</v>
      </c>
      <c r="AF1878" s="35" t="s">
        <v>916</v>
      </c>
      <c r="AG1878" s="44">
        <v>488749.96611111111</v>
      </c>
      <c r="AH1878" s="42" t="s">
        <v>916</v>
      </c>
      <c r="AI1878" s="32" t="e">
        <f>VLOOKUP(A1878,'4月明細'!B:B,1,0)</f>
        <v>#N/A</v>
      </c>
    </row>
    <row r="1879" spans="1:35" ht="19.95" customHeight="1" x14ac:dyDescent="0.3">
      <c r="A1879" s="33" t="s">
        <v>6650</v>
      </c>
      <c r="B1879" s="34">
        <v>45933.476064814815</v>
      </c>
      <c r="C1879" s="34" t="str">
        <f t="shared" si="42"/>
        <v>202510</v>
      </c>
      <c r="D1879" s="35" t="s">
        <v>6389</v>
      </c>
      <c r="E1879" s="36" t="s">
        <v>910</v>
      </c>
      <c r="F1879" s="36" t="s">
        <v>1568</v>
      </c>
      <c r="G1879" s="37" t="s">
        <v>6651</v>
      </c>
      <c r="H1879" s="36" t="s">
        <v>970</v>
      </c>
      <c r="I1879" s="35"/>
      <c r="J1879" s="36" t="s">
        <v>938</v>
      </c>
      <c r="K1879" s="33" t="s">
        <v>916</v>
      </c>
      <c r="L1879" s="35" t="s">
        <v>916</v>
      </c>
      <c r="M1879" s="36" t="s">
        <v>916</v>
      </c>
      <c r="N1879" s="45">
        <v>46022</v>
      </c>
      <c r="O1879" s="36" t="s">
        <v>25</v>
      </c>
      <c r="P1879" s="38">
        <v>88.523935185200003</v>
      </c>
      <c r="Q1879" s="39" t="s">
        <v>6652</v>
      </c>
      <c r="R1879" s="35" t="s">
        <v>916</v>
      </c>
      <c r="S1879" s="35" t="s">
        <v>6653</v>
      </c>
      <c r="T1879" s="35" t="s">
        <v>1701</v>
      </c>
      <c r="U1879" s="40">
        <v>45934</v>
      </c>
      <c r="V1879" s="41">
        <v>46153.533009259256</v>
      </c>
      <c r="W1879" s="40">
        <v>45933</v>
      </c>
      <c r="X1879" s="35" t="s">
        <v>916</v>
      </c>
      <c r="Y1879" s="35" t="s">
        <v>916</v>
      </c>
      <c r="Z1879" s="35" t="s">
        <v>916</v>
      </c>
      <c r="AA1879" s="38">
        <v>2124.5744444448001</v>
      </c>
      <c r="AB1879" s="42" t="s">
        <v>916</v>
      </c>
      <c r="AC1879" s="43" t="s">
        <v>916</v>
      </c>
      <c r="AD1879" s="43" t="s">
        <v>916</v>
      </c>
      <c r="AE1879" s="33" t="s">
        <v>3982</v>
      </c>
      <c r="AF1879" s="35" t="s">
        <v>916</v>
      </c>
      <c r="AG1879" s="44">
        <v>488747.42555555562</v>
      </c>
      <c r="AH1879" s="42" t="s">
        <v>916</v>
      </c>
      <c r="AI1879" s="32" t="e">
        <f>VLOOKUP(A1879,'4月明細'!B:B,1,0)</f>
        <v>#N/A</v>
      </c>
    </row>
    <row r="1880" spans="1:35" ht="19.95" customHeight="1" x14ac:dyDescent="0.3">
      <c r="A1880" s="33" t="s">
        <v>6654</v>
      </c>
      <c r="B1880" s="34">
        <v>45933.475578703707</v>
      </c>
      <c r="C1880" s="34" t="str">
        <f t="shared" si="42"/>
        <v>202510</v>
      </c>
      <c r="D1880" s="35" t="s">
        <v>6389</v>
      </c>
      <c r="E1880" s="36" t="s">
        <v>910</v>
      </c>
      <c r="F1880" s="36" t="s">
        <v>3496</v>
      </c>
      <c r="G1880" s="37" t="s">
        <v>6655</v>
      </c>
      <c r="H1880" s="36" t="s">
        <v>4065</v>
      </c>
      <c r="I1880" s="35"/>
      <c r="J1880" s="36" t="s">
        <v>938</v>
      </c>
      <c r="K1880" s="33" t="s">
        <v>916</v>
      </c>
      <c r="L1880" s="35" t="s">
        <v>916</v>
      </c>
      <c r="M1880" s="36" t="s">
        <v>916</v>
      </c>
      <c r="N1880" s="45">
        <v>46022</v>
      </c>
      <c r="O1880" s="36" t="s">
        <v>25</v>
      </c>
      <c r="P1880" s="38">
        <v>88.524421296300005</v>
      </c>
      <c r="Q1880" s="39" t="s">
        <v>6656</v>
      </c>
      <c r="R1880" s="35" t="s">
        <v>916</v>
      </c>
      <c r="S1880" s="35" t="s">
        <v>6657</v>
      </c>
      <c r="T1880" s="35" t="s">
        <v>1701</v>
      </c>
      <c r="U1880" s="40">
        <v>45934</v>
      </c>
      <c r="V1880" s="41">
        <v>46153.533009259256</v>
      </c>
      <c r="W1880" s="40">
        <v>45933</v>
      </c>
      <c r="X1880" s="35" t="s">
        <v>916</v>
      </c>
      <c r="Y1880" s="35" t="s">
        <v>916</v>
      </c>
      <c r="Z1880" s="35" t="s">
        <v>916</v>
      </c>
      <c r="AA1880" s="38">
        <v>2124.5861111111999</v>
      </c>
      <c r="AB1880" s="42" t="s">
        <v>916</v>
      </c>
      <c r="AC1880" s="43" t="s">
        <v>916</v>
      </c>
      <c r="AD1880" s="43" t="s">
        <v>916</v>
      </c>
      <c r="AE1880" s="33" t="s">
        <v>3982</v>
      </c>
      <c r="AF1880" s="35" t="s">
        <v>916</v>
      </c>
      <c r="AG1880" s="44">
        <v>488747.4138888889</v>
      </c>
      <c r="AH1880" s="42" t="s">
        <v>916</v>
      </c>
      <c r="AI1880" s="32" t="e">
        <f>VLOOKUP(A1880,'4月明細'!B:B,1,0)</f>
        <v>#N/A</v>
      </c>
    </row>
    <row r="1881" spans="1:35" ht="19.95" customHeight="1" x14ac:dyDescent="0.3">
      <c r="A1881" s="33" t="s">
        <v>6658</v>
      </c>
      <c r="B1881" s="34">
        <v>45932.75818287037</v>
      </c>
      <c r="C1881" s="34" t="str">
        <f t="shared" si="42"/>
        <v>202510</v>
      </c>
      <c r="D1881" s="35" t="s">
        <v>941</v>
      </c>
      <c r="E1881" s="36" t="s">
        <v>1112</v>
      </c>
      <c r="F1881" s="36" t="s">
        <v>1211</v>
      </c>
      <c r="G1881" s="37" t="s">
        <v>6659</v>
      </c>
      <c r="H1881" s="36" t="s">
        <v>4267</v>
      </c>
      <c r="I1881" s="35"/>
      <c r="J1881" s="36" t="s">
        <v>1058</v>
      </c>
      <c r="K1881" s="33" t="s">
        <v>916</v>
      </c>
      <c r="L1881" s="35" t="s">
        <v>916</v>
      </c>
      <c r="M1881" s="36" t="s">
        <v>916</v>
      </c>
      <c r="N1881" s="45">
        <v>46022</v>
      </c>
      <c r="O1881" s="36" t="s">
        <v>25</v>
      </c>
      <c r="P1881" s="38">
        <v>89.241817129599994</v>
      </c>
      <c r="Q1881" s="39" t="s">
        <v>6660</v>
      </c>
      <c r="R1881" s="35" t="s">
        <v>916</v>
      </c>
      <c r="S1881" s="35"/>
      <c r="T1881" s="35" t="s">
        <v>1701</v>
      </c>
      <c r="U1881" s="40">
        <v>45933</v>
      </c>
      <c r="V1881" s="41">
        <v>46153.533009259256</v>
      </c>
      <c r="W1881" s="40">
        <v>45932</v>
      </c>
      <c r="X1881" s="35" t="s">
        <v>916</v>
      </c>
      <c r="Y1881" s="35" t="s">
        <v>916</v>
      </c>
      <c r="Z1881" s="35" t="s">
        <v>916</v>
      </c>
      <c r="AA1881" s="38">
        <v>2141.8036111104002</v>
      </c>
      <c r="AB1881" s="42" t="s">
        <v>916</v>
      </c>
      <c r="AC1881" s="43" t="s">
        <v>916</v>
      </c>
      <c r="AD1881" s="43" t="s">
        <v>916</v>
      </c>
      <c r="AE1881" s="33" t="s">
        <v>3982</v>
      </c>
      <c r="AF1881" s="35" t="s">
        <v>916</v>
      </c>
      <c r="AG1881" s="44">
        <v>488730.19638888887</v>
      </c>
      <c r="AH1881" s="42" t="s">
        <v>916</v>
      </c>
      <c r="AI1881" s="32" t="e">
        <f>VLOOKUP(A1881,'4月明細'!B:B,1,0)</f>
        <v>#N/A</v>
      </c>
    </row>
    <row r="1882" spans="1:35" ht="19.95" customHeight="1" x14ac:dyDescent="0.3">
      <c r="A1882" s="33" t="s">
        <v>6661</v>
      </c>
      <c r="B1882" s="34">
        <v>45932.699467592596</v>
      </c>
      <c r="C1882" s="34" t="str">
        <f t="shared" si="42"/>
        <v>202510</v>
      </c>
      <c r="D1882" s="35" t="s">
        <v>996</v>
      </c>
      <c r="E1882" s="36" t="s">
        <v>910</v>
      </c>
      <c r="F1882" s="36" t="s">
        <v>2017</v>
      </c>
      <c r="G1882" s="37" t="s">
        <v>6662</v>
      </c>
      <c r="H1882" s="36" t="s">
        <v>970</v>
      </c>
      <c r="I1882" s="35" t="s">
        <v>6663</v>
      </c>
      <c r="J1882" s="36" t="s">
        <v>929</v>
      </c>
      <c r="K1882" s="33" t="s">
        <v>916</v>
      </c>
      <c r="L1882" s="35" t="s">
        <v>916</v>
      </c>
      <c r="M1882" s="36" t="s">
        <v>916</v>
      </c>
      <c r="N1882" s="45">
        <v>46022</v>
      </c>
      <c r="O1882" s="36" t="s">
        <v>25</v>
      </c>
      <c r="P1882" s="38">
        <v>89.300532407399999</v>
      </c>
      <c r="Q1882" s="39" t="s">
        <v>6664</v>
      </c>
      <c r="R1882" s="35" t="s">
        <v>916</v>
      </c>
      <c r="S1882" s="35"/>
      <c r="T1882" s="35" t="s">
        <v>1701</v>
      </c>
      <c r="U1882" s="40">
        <v>45933</v>
      </c>
      <c r="V1882" s="41">
        <v>46153.533009259256</v>
      </c>
      <c r="W1882" s="40">
        <v>45932</v>
      </c>
      <c r="X1882" s="35" t="s">
        <v>916</v>
      </c>
      <c r="Y1882" s="35" t="s">
        <v>916</v>
      </c>
      <c r="Z1882" s="35" t="s">
        <v>916</v>
      </c>
      <c r="AA1882" s="38">
        <v>2143.2127777776</v>
      </c>
      <c r="AB1882" s="42" t="s">
        <v>916</v>
      </c>
      <c r="AC1882" s="43" t="s">
        <v>916</v>
      </c>
      <c r="AD1882" s="43" t="s">
        <v>916</v>
      </c>
      <c r="AE1882" s="33" t="s">
        <v>3982</v>
      </c>
      <c r="AF1882" s="35" t="s">
        <v>916</v>
      </c>
      <c r="AG1882" s="44">
        <v>488728.78722222219</v>
      </c>
      <c r="AH1882" s="42" t="s">
        <v>916</v>
      </c>
      <c r="AI1882" s="32" t="e">
        <f>VLOOKUP(A1882,'4月明細'!B:B,1,0)</f>
        <v>#N/A</v>
      </c>
    </row>
    <row r="1883" spans="1:35" ht="19.95" customHeight="1" x14ac:dyDescent="0.3">
      <c r="A1883" s="33" t="s">
        <v>6665</v>
      </c>
      <c r="B1883" s="34">
        <v>45932.698368055557</v>
      </c>
      <c r="C1883" s="34" t="str">
        <f t="shared" si="42"/>
        <v>202510</v>
      </c>
      <c r="D1883" s="35" t="s">
        <v>996</v>
      </c>
      <c r="E1883" s="36" t="s">
        <v>910</v>
      </c>
      <c r="F1883" s="36" t="s">
        <v>2017</v>
      </c>
      <c r="G1883" s="37" t="s">
        <v>2708</v>
      </c>
      <c r="H1883" s="36" t="s">
        <v>1043</v>
      </c>
      <c r="I1883" s="35" t="s">
        <v>6666</v>
      </c>
      <c r="J1883" s="36" t="s">
        <v>929</v>
      </c>
      <c r="K1883" s="33" t="s">
        <v>916</v>
      </c>
      <c r="L1883" s="35" t="s">
        <v>916</v>
      </c>
      <c r="M1883" s="36" t="s">
        <v>916</v>
      </c>
      <c r="N1883" s="45">
        <v>46022</v>
      </c>
      <c r="O1883" s="36" t="s">
        <v>25</v>
      </c>
      <c r="P1883" s="38">
        <v>89.3016319444</v>
      </c>
      <c r="Q1883" s="39" t="s">
        <v>6667</v>
      </c>
      <c r="R1883" s="35" t="s">
        <v>916</v>
      </c>
      <c r="S1883" s="35"/>
      <c r="T1883" s="35" t="s">
        <v>1701</v>
      </c>
      <c r="U1883" s="40">
        <v>45933</v>
      </c>
      <c r="V1883" s="41">
        <v>46153.533009259256</v>
      </c>
      <c r="W1883" s="40">
        <v>45932</v>
      </c>
      <c r="X1883" s="35" t="s">
        <v>916</v>
      </c>
      <c r="Y1883" s="35" t="s">
        <v>916</v>
      </c>
      <c r="Z1883" s="35" t="s">
        <v>916</v>
      </c>
      <c r="AA1883" s="38">
        <v>2143.2391666655999</v>
      </c>
      <c r="AB1883" s="42" t="s">
        <v>916</v>
      </c>
      <c r="AC1883" s="43" t="s">
        <v>916</v>
      </c>
      <c r="AD1883" s="43" t="s">
        <v>916</v>
      </c>
      <c r="AE1883" s="33" t="s">
        <v>3982</v>
      </c>
      <c r="AF1883" s="35" t="s">
        <v>916</v>
      </c>
      <c r="AG1883" s="44">
        <v>488728.76083333342</v>
      </c>
      <c r="AH1883" s="42" t="s">
        <v>916</v>
      </c>
      <c r="AI1883" s="32" t="e">
        <f>VLOOKUP(A1883,'4月明細'!B:B,1,0)</f>
        <v>#N/A</v>
      </c>
    </row>
    <row r="1884" spans="1:35" ht="19.95" customHeight="1" x14ac:dyDescent="0.3">
      <c r="A1884" s="33" t="s">
        <v>6668</v>
      </c>
      <c r="B1884" s="34">
        <v>45932.694895833331</v>
      </c>
      <c r="C1884" s="34" t="str">
        <f t="shared" si="42"/>
        <v>202510</v>
      </c>
      <c r="D1884" s="35" t="s">
        <v>6126</v>
      </c>
      <c r="E1884" s="36" t="s">
        <v>1112</v>
      </c>
      <c r="F1884" s="36" t="s">
        <v>6669</v>
      </c>
      <c r="G1884" s="37" t="s">
        <v>6670</v>
      </c>
      <c r="H1884" s="36" t="s">
        <v>4267</v>
      </c>
      <c r="I1884" s="35"/>
      <c r="J1884" s="36" t="s">
        <v>938</v>
      </c>
      <c r="K1884" s="33" t="s">
        <v>916</v>
      </c>
      <c r="L1884" s="35" t="s">
        <v>916</v>
      </c>
      <c r="M1884" s="36" t="s">
        <v>916</v>
      </c>
      <c r="N1884" s="45">
        <v>46022</v>
      </c>
      <c r="O1884" s="36" t="s">
        <v>25</v>
      </c>
      <c r="P1884" s="38">
        <v>89.305104166700005</v>
      </c>
      <c r="Q1884" s="39" t="s">
        <v>958</v>
      </c>
      <c r="R1884" s="35" t="s">
        <v>916</v>
      </c>
      <c r="S1884" s="35"/>
      <c r="T1884" s="35" t="s">
        <v>1701</v>
      </c>
      <c r="U1884" s="40">
        <v>45933</v>
      </c>
      <c r="V1884" s="41">
        <v>46153.533009259256</v>
      </c>
      <c r="W1884" s="40">
        <v>45932</v>
      </c>
      <c r="X1884" s="35" t="s">
        <v>916</v>
      </c>
      <c r="Y1884" s="35" t="s">
        <v>916</v>
      </c>
      <c r="Z1884" s="35" t="s">
        <v>916</v>
      </c>
      <c r="AA1884" s="38">
        <v>2143.3225000008001</v>
      </c>
      <c r="AB1884" s="42" t="s">
        <v>916</v>
      </c>
      <c r="AC1884" s="43" t="s">
        <v>916</v>
      </c>
      <c r="AD1884" s="43" t="s">
        <v>916</v>
      </c>
      <c r="AE1884" s="33" t="s">
        <v>3982</v>
      </c>
      <c r="AF1884" s="35" t="s">
        <v>916</v>
      </c>
      <c r="AG1884" s="44">
        <v>488728.67749999999</v>
      </c>
      <c r="AH1884" s="42" t="s">
        <v>916</v>
      </c>
      <c r="AI1884" s="32" t="e">
        <f>VLOOKUP(A1884,'4月明細'!B:B,1,0)</f>
        <v>#N/A</v>
      </c>
    </row>
    <row r="1885" spans="1:35" ht="19.95" customHeight="1" x14ac:dyDescent="0.3">
      <c r="A1885" s="33" t="s">
        <v>6671</v>
      </c>
      <c r="B1885" s="34">
        <v>45932.689699074072</v>
      </c>
      <c r="C1885" s="34" t="str">
        <f t="shared" si="42"/>
        <v>202510</v>
      </c>
      <c r="D1885" s="35" t="s">
        <v>5380</v>
      </c>
      <c r="E1885" s="36" t="s">
        <v>910</v>
      </c>
      <c r="F1885" s="36" t="s">
        <v>1222</v>
      </c>
      <c r="G1885" s="37" t="s">
        <v>6672</v>
      </c>
      <c r="H1885" s="36" t="s">
        <v>970</v>
      </c>
      <c r="I1885" s="35" t="s">
        <v>6673</v>
      </c>
      <c r="J1885" s="36" t="s">
        <v>929</v>
      </c>
      <c r="K1885" s="33" t="s">
        <v>916</v>
      </c>
      <c r="L1885" s="35" t="s">
        <v>916</v>
      </c>
      <c r="M1885" s="36" t="s">
        <v>916</v>
      </c>
      <c r="N1885" s="45">
        <v>46022</v>
      </c>
      <c r="O1885" s="36" t="s">
        <v>25</v>
      </c>
      <c r="P1885" s="38">
        <v>89.310300925899995</v>
      </c>
      <c r="Q1885" s="39" t="s">
        <v>6348</v>
      </c>
      <c r="R1885" s="35" t="s">
        <v>916</v>
      </c>
      <c r="S1885" s="35" t="s">
        <v>6674</v>
      </c>
      <c r="T1885" s="35" t="s">
        <v>1701</v>
      </c>
      <c r="U1885" s="40">
        <v>45933</v>
      </c>
      <c r="V1885" s="41">
        <v>46153.533009259256</v>
      </c>
      <c r="W1885" s="40">
        <v>45932</v>
      </c>
      <c r="X1885" s="35" t="s">
        <v>916</v>
      </c>
      <c r="Y1885" s="35" t="s">
        <v>916</v>
      </c>
      <c r="Z1885" s="35" t="s">
        <v>916</v>
      </c>
      <c r="AA1885" s="38">
        <v>2143.4472222216</v>
      </c>
      <c r="AB1885" s="42" t="s">
        <v>916</v>
      </c>
      <c r="AC1885" s="43" t="s">
        <v>916</v>
      </c>
      <c r="AD1885" s="43" t="s">
        <v>916</v>
      </c>
      <c r="AE1885" s="33" t="s">
        <v>3982</v>
      </c>
      <c r="AF1885" s="35" t="s">
        <v>916</v>
      </c>
      <c r="AG1885" s="44">
        <v>488728.55277777778</v>
      </c>
      <c r="AH1885" s="42" t="s">
        <v>916</v>
      </c>
      <c r="AI1885" s="32" t="e">
        <f>VLOOKUP(A1885,'4月明細'!B:B,1,0)</f>
        <v>#N/A</v>
      </c>
    </row>
    <row r="1886" spans="1:35" ht="19.95" customHeight="1" x14ac:dyDescent="0.3">
      <c r="A1886" s="33" t="s">
        <v>6675</v>
      </c>
      <c r="B1886" s="34">
        <v>45932.671898148146</v>
      </c>
      <c r="C1886" s="34" t="str">
        <f t="shared" si="42"/>
        <v>202510</v>
      </c>
      <c r="D1886" s="35" t="s">
        <v>996</v>
      </c>
      <c r="E1886" s="36" t="s">
        <v>910</v>
      </c>
      <c r="F1886" s="36" t="s">
        <v>1089</v>
      </c>
      <c r="G1886" s="37" t="s">
        <v>6676</v>
      </c>
      <c r="H1886" s="36" t="s">
        <v>4029</v>
      </c>
      <c r="I1886" s="35" t="s">
        <v>6677</v>
      </c>
      <c r="J1886" s="36" t="s">
        <v>929</v>
      </c>
      <c r="K1886" s="33" t="s">
        <v>916</v>
      </c>
      <c r="L1886" s="35" t="s">
        <v>916</v>
      </c>
      <c r="M1886" s="36" t="s">
        <v>916</v>
      </c>
      <c r="N1886" s="45">
        <v>46022</v>
      </c>
      <c r="O1886" s="36" t="s">
        <v>25</v>
      </c>
      <c r="P1886" s="38">
        <v>89.328101851900001</v>
      </c>
      <c r="Q1886" s="39" t="s">
        <v>6678</v>
      </c>
      <c r="R1886" s="35" t="s">
        <v>916</v>
      </c>
      <c r="S1886" s="35"/>
      <c r="T1886" s="35" t="s">
        <v>1701</v>
      </c>
      <c r="U1886" s="40">
        <v>45933</v>
      </c>
      <c r="V1886" s="41">
        <v>46153.533009259256</v>
      </c>
      <c r="W1886" s="40">
        <v>45932</v>
      </c>
      <c r="X1886" s="35" t="s">
        <v>916</v>
      </c>
      <c r="Y1886" s="35" t="s">
        <v>916</v>
      </c>
      <c r="Z1886" s="35" t="s">
        <v>916</v>
      </c>
      <c r="AA1886" s="38">
        <v>2143.8744444456001</v>
      </c>
      <c r="AB1886" s="42" t="s">
        <v>916</v>
      </c>
      <c r="AC1886" s="43" t="s">
        <v>916</v>
      </c>
      <c r="AD1886" s="43" t="s">
        <v>916</v>
      </c>
      <c r="AE1886" s="33" t="s">
        <v>3982</v>
      </c>
      <c r="AF1886" s="35" t="s">
        <v>916</v>
      </c>
      <c r="AG1886" s="44">
        <v>488728.12583333341</v>
      </c>
      <c r="AH1886" s="42" t="s">
        <v>916</v>
      </c>
      <c r="AI1886" s="32" t="e">
        <f>VLOOKUP(A1886,'4月明細'!B:B,1,0)</f>
        <v>#N/A</v>
      </c>
    </row>
    <row r="1887" spans="1:35" ht="19.95" customHeight="1" x14ac:dyDescent="0.3">
      <c r="A1887" s="33" t="s">
        <v>6679</v>
      </c>
      <c r="B1887" s="34">
        <v>45932.663437499999</v>
      </c>
      <c r="C1887" s="34" t="str">
        <f t="shared" si="42"/>
        <v>202510</v>
      </c>
      <c r="D1887" s="35" t="s">
        <v>996</v>
      </c>
      <c r="E1887" s="36" t="s">
        <v>910</v>
      </c>
      <c r="F1887" s="36" t="s">
        <v>1089</v>
      </c>
      <c r="G1887" s="37" t="s">
        <v>6680</v>
      </c>
      <c r="H1887" s="36" t="s">
        <v>5940</v>
      </c>
      <c r="I1887" s="35"/>
      <c r="J1887" s="36" t="s">
        <v>929</v>
      </c>
      <c r="K1887" s="33" t="s">
        <v>916</v>
      </c>
      <c r="L1887" s="35" t="s">
        <v>916</v>
      </c>
      <c r="M1887" s="36" t="s">
        <v>916</v>
      </c>
      <c r="N1887" s="45">
        <v>46022</v>
      </c>
      <c r="O1887" s="36" t="s">
        <v>25</v>
      </c>
      <c r="P1887" s="38">
        <v>89.336562499999999</v>
      </c>
      <c r="Q1887" s="39" t="s">
        <v>1739</v>
      </c>
      <c r="R1887" s="35" t="s">
        <v>916</v>
      </c>
      <c r="S1887" s="35"/>
      <c r="T1887" s="35" t="s">
        <v>1701</v>
      </c>
      <c r="U1887" s="40">
        <v>45933</v>
      </c>
      <c r="V1887" s="41">
        <v>46153.533009259256</v>
      </c>
      <c r="W1887" s="40">
        <v>45932</v>
      </c>
      <c r="X1887" s="35" t="s">
        <v>916</v>
      </c>
      <c r="Y1887" s="35" t="s">
        <v>916</v>
      </c>
      <c r="Z1887" s="35" t="s">
        <v>916</v>
      </c>
      <c r="AA1887" s="38">
        <v>2144.0774999999999</v>
      </c>
      <c r="AB1887" s="42" t="s">
        <v>916</v>
      </c>
      <c r="AC1887" s="43" t="s">
        <v>916</v>
      </c>
      <c r="AD1887" s="43" t="s">
        <v>916</v>
      </c>
      <c r="AE1887" s="33" t="s">
        <v>3982</v>
      </c>
      <c r="AF1887" s="35" t="s">
        <v>916</v>
      </c>
      <c r="AG1887" s="44">
        <v>488727.92249999999</v>
      </c>
      <c r="AH1887" s="42" t="s">
        <v>916</v>
      </c>
      <c r="AI1887" s="32" t="e">
        <f>VLOOKUP(A1887,'4月明細'!B:B,1,0)</f>
        <v>#N/A</v>
      </c>
    </row>
    <row r="1888" spans="1:35" ht="19.95" customHeight="1" x14ac:dyDescent="0.3">
      <c r="A1888" s="33" t="s">
        <v>6681</v>
      </c>
      <c r="B1888" s="34">
        <v>45932.651516203703</v>
      </c>
      <c r="C1888" s="34" t="str">
        <f t="shared" si="42"/>
        <v>202510</v>
      </c>
      <c r="D1888" s="35" t="s">
        <v>996</v>
      </c>
      <c r="E1888" s="36" t="s">
        <v>910</v>
      </c>
      <c r="F1888" s="36" t="s">
        <v>1441</v>
      </c>
      <c r="G1888" s="37" t="s">
        <v>4737</v>
      </c>
      <c r="H1888" s="36" t="s">
        <v>913</v>
      </c>
      <c r="I1888" s="35"/>
      <c r="J1888" s="36" t="s">
        <v>929</v>
      </c>
      <c r="K1888" s="33" t="s">
        <v>916</v>
      </c>
      <c r="L1888" s="35" t="s">
        <v>916</v>
      </c>
      <c r="M1888" s="36" t="s">
        <v>916</v>
      </c>
      <c r="N1888" s="45">
        <v>46022</v>
      </c>
      <c r="O1888" s="36" t="s">
        <v>25</v>
      </c>
      <c r="P1888" s="38">
        <v>89.348483796300002</v>
      </c>
      <c r="Q1888" s="39" t="s">
        <v>6682</v>
      </c>
      <c r="R1888" s="35" t="s">
        <v>916</v>
      </c>
      <c r="S1888" s="35" t="s">
        <v>6683</v>
      </c>
      <c r="T1888" s="35" t="s">
        <v>1701</v>
      </c>
      <c r="U1888" s="40">
        <v>45933</v>
      </c>
      <c r="V1888" s="41">
        <v>46153.533009259256</v>
      </c>
      <c r="W1888" s="40">
        <v>45932</v>
      </c>
      <c r="X1888" s="35" t="s">
        <v>916</v>
      </c>
      <c r="Y1888" s="35" t="s">
        <v>916</v>
      </c>
      <c r="Z1888" s="35" t="s">
        <v>916</v>
      </c>
      <c r="AA1888" s="38">
        <v>2144.3636111112</v>
      </c>
      <c r="AB1888" s="42" t="s">
        <v>916</v>
      </c>
      <c r="AC1888" s="43" t="s">
        <v>916</v>
      </c>
      <c r="AD1888" s="43" t="s">
        <v>916</v>
      </c>
      <c r="AE1888" s="33" t="s">
        <v>3982</v>
      </c>
      <c r="AF1888" s="35" t="s">
        <v>916</v>
      </c>
      <c r="AG1888" s="44">
        <v>488727.63638888887</v>
      </c>
      <c r="AH1888" s="42" t="s">
        <v>916</v>
      </c>
      <c r="AI1888" s="32" t="e">
        <f>VLOOKUP(A1888,'4月明細'!B:B,1,0)</f>
        <v>#N/A</v>
      </c>
    </row>
    <row r="1889" spans="1:35" ht="19.95" customHeight="1" x14ac:dyDescent="0.3">
      <c r="A1889" s="33" t="s">
        <v>6684</v>
      </c>
      <c r="B1889" s="34">
        <v>45932.620972222219</v>
      </c>
      <c r="C1889" s="34" t="str">
        <f t="shared" si="42"/>
        <v>202510</v>
      </c>
      <c r="D1889" s="35" t="s">
        <v>996</v>
      </c>
      <c r="E1889" s="36" t="s">
        <v>910</v>
      </c>
      <c r="F1889" s="36" t="s">
        <v>1045</v>
      </c>
      <c r="G1889" s="37" t="s">
        <v>6685</v>
      </c>
      <c r="H1889" s="36" t="s">
        <v>4029</v>
      </c>
      <c r="I1889" s="35"/>
      <c r="J1889" s="36" t="s">
        <v>929</v>
      </c>
      <c r="K1889" s="33" t="s">
        <v>916</v>
      </c>
      <c r="L1889" s="35" t="s">
        <v>916</v>
      </c>
      <c r="M1889" s="36" t="s">
        <v>916</v>
      </c>
      <c r="N1889" s="45">
        <v>46022</v>
      </c>
      <c r="O1889" s="36" t="s">
        <v>25</v>
      </c>
      <c r="P1889" s="38">
        <v>89.379027777800005</v>
      </c>
      <c r="Q1889" s="39" t="s">
        <v>6686</v>
      </c>
      <c r="R1889" s="35" t="s">
        <v>916</v>
      </c>
      <c r="S1889" s="35"/>
      <c r="T1889" s="35" t="s">
        <v>1701</v>
      </c>
      <c r="U1889" s="40">
        <v>45933</v>
      </c>
      <c r="V1889" s="41">
        <v>46153.533009259256</v>
      </c>
      <c r="W1889" s="40">
        <v>45932</v>
      </c>
      <c r="X1889" s="35" t="s">
        <v>916</v>
      </c>
      <c r="Y1889" s="35" t="s">
        <v>916</v>
      </c>
      <c r="Z1889" s="35" t="s">
        <v>916</v>
      </c>
      <c r="AA1889" s="38">
        <v>2145.0966666672002</v>
      </c>
      <c r="AB1889" s="42" t="s">
        <v>916</v>
      </c>
      <c r="AC1889" s="43" t="s">
        <v>916</v>
      </c>
      <c r="AD1889" s="43" t="s">
        <v>916</v>
      </c>
      <c r="AE1889" s="33" t="s">
        <v>3982</v>
      </c>
      <c r="AF1889" s="35" t="s">
        <v>916</v>
      </c>
      <c r="AG1889" s="44">
        <v>488726.90333333332</v>
      </c>
      <c r="AH1889" s="42" t="s">
        <v>916</v>
      </c>
      <c r="AI1889" s="32" t="e">
        <f>VLOOKUP(A1889,'4月明細'!B:B,1,0)</f>
        <v>#N/A</v>
      </c>
    </row>
    <row r="1890" spans="1:35" ht="19.95" customHeight="1" x14ac:dyDescent="0.3">
      <c r="A1890" s="33" t="s">
        <v>6687</v>
      </c>
      <c r="B1890" s="34">
        <v>45932.620057870372</v>
      </c>
      <c r="C1890" s="34" t="str">
        <f t="shared" si="42"/>
        <v>202510</v>
      </c>
      <c r="D1890" s="35" t="s">
        <v>5380</v>
      </c>
      <c r="E1890" s="36" t="s">
        <v>910</v>
      </c>
      <c r="F1890" s="36" t="s">
        <v>1229</v>
      </c>
      <c r="G1890" s="37" t="s">
        <v>6688</v>
      </c>
      <c r="H1890" s="36" t="s">
        <v>4029</v>
      </c>
      <c r="I1890" s="35" t="s">
        <v>6689</v>
      </c>
      <c r="J1890" s="36" t="s">
        <v>929</v>
      </c>
      <c r="K1890" s="33" t="s">
        <v>916</v>
      </c>
      <c r="L1890" s="35" t="s">
        <v>916</v>
      </c>
      <c r="M1890" s="36" t="s">
        <v>916</v>
      </c>
      <c r="N1890" s="45">
        <v>46022</v>
      </c>
      <c r="O1890" s="36" t="s">
        <v>25</v>
      </c>
      <c r="P1890" s="38">
        <v>89.379942129599996</v>
      </c>
      <c r="Q1890" s="39" t="s">
        <v>6690</v>
      </c>
      <c r="R1890" s="35" t="s">
        <v>916</v>
      </c>
      <c r="S1890" s="35"/>
      <c r="T1890" s="35" t="s">
        <v>1701</v>
      </c>
      <c r="U1890" s="40">
        <v>45933</v>
      </c>
      <c r="V1890" s="41">
        <v>46153.533009259256</v>
      </c>
      <c r="W1890" s="40">
        <v>45932</v>
      </c>
      <c r="X1890" s="35" t="s">
        <v>916</v>
      </c>
      <c r="Y1890" s="35" t="s">
        <v>916</v>
      </c>
      <c r="Z1890" s="35" t="s">
        <v>916</v>
      </c>
      <c r="AA1890" s="38">
        <v>2145.1186111103998</v>
      </c>
      <c r="AB1890" s="42" t="s">
        <v>916</v>
      </c>
      <c r="AC1890" s="43" t="s">
        <v>916</v>
      </c>
      <c r="AD1890" s="43" t="s">
        <v>916</v>
      </c>
      <c r="AE1890" s="33" t="s">
        <v>3982</v>
      </c>
      <c r="AF1890" s="35" t="s">
        <v>916</v>
      </c>
      <c r="AG1890" s="44">
        <v>488726.88138888893</v>
      </c>
      <c r="AH1890" s="42" t="s">
        <v>916</v>
      </c>
      <c r="AI1890" s="32" t="e">
        <f>VLOOKUP(A1890,'4月明細'!B:B,1,0)</f>
        <v>#N/A</v>
      </c>
    </row>
    <row r="1891" spans="1:35" ht="19.95" customHeight="1" x14ac:dyDescent="0.3">
      <c r="A1891" s="33" t="s">
        <v>6691</v>
      </c>
      <c r="B1891" s="34">
        <v>45932.58662037037</v>
      </c>
      <c r="C1891" s="34" t="str">
        <f t="shared" si="42"/>
        <v>202510</v>
      </c>
      <c r="D1891" s="35" t="s">
        <v>5380</v>
      </c>
      <c r="E1891" s="36" t="s">
        <v>910</v>
      </c>
      <c r="F1891" s="36" t="s">
        <v>1295</v>
      </c>
      <c r="G1891" s="37" t="s">
        <v>6644</v>
      </c>
      <c r="H1891" s="36" t="s">
        <v>4481</v>
      </c>
      <c r="I1891" s="35" t="s">
        <v>6692</v>
      </c>
      <c r="J1891" s="36" t="s">
        <v>929</v>
      </c>
      <c r="K1891" s="33" t="s">
        <v>916</v>
      </c>
      <c r="L1891" s="35" t="s">
        <v>916</v>
      </c>
      <c r="M1891" s="36" t="s">
        <v>916</v>
      </c>
      <c r="N1891" s="45">
        <v>46022</v>
      </c>
      <c r="O1891" s="36" t="s">
        <v>25</v>
      </c>
      <c r="P1891" s="38">
        <v>89.413379629600001</v>
      </c>
      <c r="Q1891" s="39" t="s">
        <v>5957</v>
      </c>
      <c r="R1891" s="35" t="s">
        <v>916</v>
      </c>
      <c r="S1891" s="35"/>
      <c r="T1891" s="35" t="s">
        <v>1701</v>
      </c>
      <c r="U1891" s="40">
        <v>45933</v>
      </c>
      <c r="V1891" s="41">
        <v>46153.533009259256</v>
      </c>
      <c r="W1891" s="40">
        <v>45932</v>
      </c>
      <c r="X1891" s="35" t="s">
        <v>916</v>
      </c>
      <c r="Y1891" s="35" t="s">
        <v>916</v>
      </c>
      <c r="Z1891" s="35" t="s">
        <v>916</v>
      </c>
      <c r="AA1891" s="38">
        <v>2145.9211111104</v>
      </c>
      <c r="AB1891" s="42" t="s">
        <v>916</v>
      </c>
      <c r="AC1891" s="43" t="s">
        <v>916</v>
      </c>
      <c r="AD1891" s="43" t="s">
        <v>916</v>
      </c>
      <c r="AE1891" s="33" t="s">
        <v>3982</v>
      </c>
      <c r="AF1891" s="35" t="s">
        <v>916</v>
      </c>
      <c r="AG1891" s="44">
        <v>488726.07888888888</v>
      </c>
      <c r="AH1891" s="42" t="s">
        <v>916</v>
      </c>
      <c r="AI1891" s="32" t="e">
        <f>VLOOKUP(A1891,'4月明細'!B:B,1,0)</f>
        <v>#N/A</v>
      </c>
    </row>
    <row r="1892" spans="1:35" ht="19.95" customHeight="1" x14ac:dyDescent="0.3">
      <c r="A1892" s="33" t="s">
        <v>6693</v>
      </c>
      <c r="B1892" s="34">
        <v>45932.570625</v>
      </c>
      <c r="C1892" s="34" t="str">
        <f t="shared" si="42"/>
        <v>202510</v>
      </c>
      <c r="D1892" s="35" t="s">
        <v>996</v>
      </c>
      <c r="E1892" s="36" t="s">
        <v>910</v>
      </c>
      <c r="F1892" s="36" t="s">
        <v>1237</v>
      </c>
      <c r="G1892" s="37" t="s">
        <v>5117</v>
      </c>
      <c r="H1892" s="36" t="s">
        <v>970</v>
      </c>
      <c r="I1892" s="35"/>
      <c r="J1892" s="36" t="s">
        <v>929</v>
      </c>
      <c r="K1892" s="33" t="s">
        <v>916</v>
      </c>
      <c r="L1892" s="35" t="s">
        <v>916</v>
      </c>
      <c r="M1892" s="36" t="s">
        <v>916</v>
      </c>
      <c r="N1892" s="45">
        <v>46022</v>
      </c>
      <c r="O1892" s="36" t="s">
        <v>25</v>
      </c>
      <c r="P1892" s="38">
        <v>89.429374999999993</v>
      </c>
      <c r="Q1892" s="39" t="s">
        <v>3375</v>
      </c>
      <c r="R1892" s="35" t="s">
        <v>916</v>
      </c>
      <c r="S1892" s="35"/>
      <c r="T1892" s="35" t="s">
        <v>1701</v>
      </c>
      <c r="U1892" s="40">
        <v>45933</v>
      </c>
      <c r="V1892" s="41">
        <v>46153.533009259256</v>
      </c>
      <c r="W1892" s="40">
        <v>45932</v>
      </c>
      <c r="X1892" s="35" t="s">
        <v>916</v>
      </c>
      <c r="Y1892" s="35" t="s">
        <v>916</v>
      </c>
      <c r="Z1892" s="35" t="s">
        <v>916</v>
      </c>
      <c r="AA1892" s="38">
        <v>2146.3049999999998</v>
      </c>
      <c r="AB1892" s="42" t="s">
        <v>916</v>
      </c>
      <c r="AC1892" s="43" t="s">
        <v>916</v>
      </c>
      <c r="AD1892" s="43" t="s">
        <v>916</v>
      </c>
      <c r="AE1892" s="33" t="s">
        <v>3982</v>
      </c>
      <c r="AF1892" s="35" t="s">
        <v>916</v>
      </c>
      <c r="AG1892" s="44">
        <v>488725.69500000001</v>
      </c>
      <c r="AH1892" s="42" t="s">
        <v>916</v>
      </c>
      <c r="AI1892" s="32" t="e">
        <f>VLOOKUP(A1892,'4月明細'!B:B,1,0)</f>
        <v>#N/A</v>
      </c>
    </row>
    <row r="1893" spans="1:35" ht="19.95" customHeight="1" x14ac:dyDescent="0.3">
      <c r="A1893" s="33" t="s">
        <v>6694</v>
      </c>
      <c r="B1893" s="34">
        <v>45932.503657407404</v>
      </c>
      <c r="C1893" s="34" t="str">
        <f t="shared" si="42"/>
        <v>202510</v>
      </c>
      <c r="D1893" s="35" t="s">
        <v>6389</v>
      </c>
      <c r="E1893" s="36" t="s">
        <v>910</v>
      </c>
      <c r="F1893" s="36" t="s">
        <v>1947</v>
      </c>
      <c r="G1893" s="37" t="s">
        <v>6695</v>
      </c>
      <c r="H1893" s="36" t="s">
        <v>1352</v>
      </c>
      <c r="I1893" s="35"/>
      <c r="J1893" s="36" t="s">
        <v>938</v>
      </c>
      <c r="K1893" s="33" t="s">
        <v>916</v>
      </c>
      <c r="L1893" s="35" t="s">
        <v>916</v>
      </c>
      <c r="M1893" s="36" t="s">
        <v>916</v>
      </c>
      <c r="N1893" s="45">
        <v>46022</v>
      </c>
      <c r="O1893" s="36" t="s">
        <v>25</v>
      </c>
      <c r="P1893" s="38">
        <v>89.496342592600001</v>
      </c>
      <c r="Q1893" s="39" t="s">
        <v>6696</v>
      </c>
      <c r="R1893" s="35" t="s">
        <v>916</v>
      </c>
      <c r="S1893" s="35"/>
      <c r="T1893" s="35" t="s">
        <v>1701</v>
      </c>
      <c r="U1893" s="40">
        <v>45933</v>
      </c>
      <c r="V1893" s="41">
        <v>46153.533009259256</v>
      </c>
      <c r="W1893" s="40">
        <v>45932</v>
      </c>
      <c r="X1893" s="35" t="s">
        <v>916</v>
      </c>
      <c r="Y1893" s="35" t="s">
        <v>916</v>
      </c>
      <c r="Z1893" s="35" t="s">
        <v>916</v>
      </c>
      <c r="AA1893" s="38">
        <v>2147.9122222224</v>
      </c>
      <c r="AB1893" s="42" t="s">
        <v>916</v>
      </c>
      <c r="AC1893" s="43" t="s">
        <v>916</v>
      </c>
      <c r="AD1893" s="43" t="s">
        <v>916</v>
      </c>
      <c r="AE1893" s="33" t="s">
        <v>3982</v>
      </c>
      <c r="AF1893" s="35" t="s">
        <v>916</v>
      </c>
      <c r="AG1893" s="44">
        <v>488724.08777777781</v>
      </c>
      <c r="AH1893" s="42" t="s">
        <v>916</v>
      </c>
      <c r="AI1893" s="32" t="e">
        <f>VLOOKUP(A1893,'4月明細'!B:B,1,0)</f>
        <v>#N/A</v>
      </c>
    </row>
    <row r="1894" spans="1:35" ht="19.95" customHeight="1" x14ac:dyDescent="0.3">
      <c r="A1894" s="33" t="s">
        <v>6697</v>
      </c>
      <c r="B1894" s="34">
        <v>45931.697905092595</v>
      </c>
      <c r="C1894" s="34" t="str">
        <f t="shared" si="42"/>
        <v>202510</v>
      </c>
      <c r="D1894" s="35" t="s">
        <v>996</v>
      </c>
      <c r="E1894" s="36" t="s">
        <v>910</v>
      </c>
      <c r="F1894" s="36" t="s">
        <v>2059</v>
      </c>
      <c r="G1894" s="37" t="s">
        <v>977</v>
      </c>
      <c r="H1894" s="36" t="s">
        <v>4203</v>
      </c>
      <c r="I1894" s="35" t="s">
        <v>6698</v>
      </c>
      <c r="J1894" s="36" t="s">
        <v>929</v>
      </c>
      <c r="K1894" s="33" t="s">
        <v>916</v>
      </c>
      <c r="L1894" s="35" t="s">
        <v>916</v>
      </c>
      <c r="M1894" s="36" t="s">
        <v>916</v>
      </c>
      <c r="N1894" s="45">
        <v>46022</v>
      </c>
      <c r="O1894" s="36" t="s">
        <v>25</v>
      </c>
      <c r="P1894" s="38">
        <v>90.302094907400004</v>
      </c>
      <c r="Q1894" s="39" t="s">
        <v>6699</v>
      </c>
      <c r="R1894" s="35" t="s">
        <v>916</v>
      </c>
      <c r="S1894" s="35"/>
      <c r="T1894" s="35" t="s">
        <v>1701</v>
      </c>
      <c r="U1894" s="40">
        <v>45932</v>
      </c>
      <c r="V1894" s="41">
        <v>46153.533009259256</v>
      </c>
      <c r="W1894" s="40">
        <v>45931</v>
      </c>
      <c r="X1894" s="35" t="s">
        <v>916</v>
      </c>
      <c r="Y1894" s="35" t="s">
        <v>916</v>
      </c>
      <c r="Z1894" s="35" t="s">
        <v>916</v>
      </c>
      <c r="AA1894" s="38">
        <v>2167.2502777775999</v>
      </c>
      <c r="AB1894" s="42" t="s">
        <v>916</v>
      </c>
      <c r="AC1894" s="43" t="s">
        <v>916</v>
      </c>
      <c r="AD1894" s="43" t="s">
        <v>916</v>
      </c>
      <c r="AE1894" s="33" t="s">
        <v>3982</v>
      </c>
      <c r="AF1894" s="35" t="s">
        <v>916</v>
      </c>
      <c r="AG1894" s="44">
        <v>488704.74972222227</v>
      </c>
      <c r="AH1894" s="42" t="s">
        <v>916</v>
      </c>
      <c r="AI1894" s="32" t="e">
        <f>VLOOKUP(A1894,'4月明細'!B:B,1,0)</f>
        <v>#N/A</v>
      </c>
    </row>
    <row r="1895" spans="1:35" ht="19.95" customHeight="1" x14ac:dyDescent="0.3">
      <c r="A1895" s="33" t="s">
        <v>6700</v>
      </c>
      <c r="B1895" s="34">
        <v>45931.651469907411</v>
      </c>
      <c r="C1895" s="34" t="str">
        <f t="shared" si="42"/>
        <v>202510</v>
      </c>
      <c r="D1895" s="35" t="s">
        <v>996</v>
      </c>
      <c r="E1895" s="36" t="s">
        <v>910</v>
      </c>
      <c r="F1895" s="36" t="s">
        <v>1386</v>
      </c>
      <c r="G1895" s="37" t="s">
        <v>6701</v>
      </c>
      <c r="H1895" s="36" t="s">
        <v>4023</v>
      </c>
      <c r="I1895" s="35" t="s">
        <v>6702</v>
      </c>
      <c r="J1895" s="36" t="s">
        <v>929</v>
      </c>
      <c r="K1895" s="33" t="s">
        <v>916</v>
      </c>
      <c r="L1895" s="35" t="s">
        <v>916</v>
      </c>
      <c r="M1895" s="36" t="s">
        <v>916</v>
      </c>
      <c r="N1895" s="45">
        <v>46022</v>
      </c>
      <c r="O1895" s="36" t="s">
        <v>25</v>
      </c>
      <c r="P1895" s="38">
        <v>90.348530092600001</v>
      </c>
      <c r="Q1895" s="39" t="s">
        <v>5957</v>
      </c>
      <c r="R1895" s="35" t="s">
        <v>916</v>
      </c>
      <c r="S1895" s="35" t="s">
        <v>6703</v>
      </c>
      <c r="T1895" s="35" t="s">
        <v>1701</v>
      </c>
      <c r="U1895" s="40">
        <v>45932</v>
      </c>
      <c r="V1895" s="41">
        <v>46153.533009259256</v>
      </c>
      <c r="W1895" s="40">
        <v>45931</v>
      </c>
      <c r="X1895" s="35" t="s">
        <v>916</v>
      </c>
      <c r="Y1895" s="35" t="s">
        <v>916</v>
      </c>
      <c r="Z1895" s="35" t="s">
        <v>916</v>
      </c>
      <c r="AA1895" s="38">
        <v>2168.3647222223999</v>
      </c>
      <c r="AB1895" s="42" t="s">
        <v>916</v>
      </c>
      <c r="AC1895" s="43" t="s">
        <v>916</v>
      </c>
      <c r="AD1895" s="43" t="s">
        <v>916</v>
      </c>
      <c r="AE1895" s="33" t="s">
        <v>3982</v>
      </c>
      <c r="AF1895" s="35" t="s">
        <v>916</v>
      </c>
      <c r="AG1895" s="44">
        <v>488703.63527777779</v>
      </c>
      <c r="AH1895" s="42" t="s">
        <v>916</v>
      </c>
      <c r="AI1895" s="32" t="e">
        <f>VLOOKUP(A1895,'4月明細'!B:B,1,0)</f>
        <v>#N/A</v>
      </c>
    </row>
    <row r="1896" spans="1:35" ht="19.95" customHeight="1" x14ac:dyDescent="0.3">
      <c r="A1896" s="33" t="s">
        <v>6704</v>
      </c>
      <c r="B1896" s="34">
        <v>45931.629930555559</v>
      </c>
      <c r="C1896" s="34" t="str">
        <f t="shared" si="42"/>
        <v>202510</v>
      </c>
      <c r="D1896" s="35" t="s">
        <v>996</v>
      </c>
      <c r="E1896" s="36" t="s">
        <v>910</v>
      </c>
      <c r="F1896" s="36" t="s">
        <v>1441</v>
      </c>
      <c r="G1896" s="37" t="s">
        <v>3307</v>
      </c>
      <c r="H1896" s="36" t="s">
        <v>4324</v>
      </c>
      <c r="I1896" s="35"/>
      <c r="J1896" s="36" t="s">
        <v>929</v>
      </c>
      <c r="K1896" s="33" t="s">
        <v>916</v>
      </c>
      <c r="L1896" s="35" t="s">
        <v>916</v>
      </c>
      <c r="M1896" s="36" t="s">
        <v>916</v>
      </c>
      <c r="N1896" s="45">
        <v>46022</v>
      </c>
      <c r="O1896" s="36" t="s">
        <v>25</v>
      </c>
      <c r="P1896" s="38">
        <v>90.370069444400002</v>
      </c>
      <c r="Q1896" s="39" t="s">
        <v>6705</v>
      </c>
      <c r="R1896" s="35" t="s">
        <v>916</v>
      </c>
      <c r="S1896" s="35"/>
      <c r="T1896" s="35" t="s">
        <v>1701</v>
      </c>
      <c r="U1896" s="40">
        <v>45932</v>
      </c>
      <c r="V1896" s="41">
        <v>46153.533009259256</v>
      </c>
      <c r="W1896" s="40">
        <v>45931</v>
      </c>
      <c r="X1896" s="35" t="s">
        <v>916</v>
      </c>
      <c r="Y1896" s="35" t="s">
        <v>916</v>
      </c>
      <c r="Z1896" s="35" t="s">
        <v>916</v>
      </c>
      <c r="AA1896" s="38">
        <v>2168.8816666655998</v>
      </c>
      <c r="AB1896" s="42" t="s">
        <v>916</v>
      </c>
      <c r="AC1896" s="43" t="s">
        <v>916</v>
      </c>
      <c r="AD1896" s="43" t="s">
        <v>916</v>
      </c>
      <c r="AE1896" s="33" t="s">
        <v>3982</v>
      </c>
      <c r="AF1896" s="35" t="s">
        <v>916</v>
      </c>
      <c r="AG1896" s="44">
        <v>488703.11833333329</v>
      </c>
      <c r="AH1896" s="42" t="s">
        <v>916</v>
      </c>
      <c r="AI1896" s="32" t="e">
        <f>VLOOKUP(A1896,'4月明細'!B:B,1,0)</f>
        <v>#N/A</v>
      </c>
    </row>
    <row r="1897" spans="1:35" ht="19.95" customHeight="1" x14ac:dyDescent="0.3">
      <c r="A1897" s="33" t="s">
        <v>6706</v>
      </c>
      <c r="B1897" s="34">
        <v>45931.627465277779</v>
      </c>
      <c r="C1897" s="34" t="str">
        <f t="shared" si="42"/>
        <v>202510</v>
      </c>
      <c r="D1897" s="35" t="s">
        <v>996</v>
      </c>
      <c r="E1897" s="36" t="s">
        <v>910</v>
      </c>
      <c r="F1897" s="36" t="s">
        <v>1123</v>
      </c>
      <c r="G1897" s="37" t="s">
        <v>3307</v>
      </c>
      <c r="H1897" s="36" t="s">
        <v>4324</v>
      </c>
      <c r="I1897" s="35" t="s">
        <v>6707</v>
      </c>
      <c r="J1897" s="36" t="s">
        <v>929</v>
      </c>
      <c r="K1897" s="33" t="s">
        <v>916</v>
      </c>
      <c r="L1897" s="35" t="s">
        <v>916</v>
      </c>
      <c r="M1897" s="36" t="s">
        <v>916</v>
      </c>
      <c r="N1897" s="45">
        <v>46022</v>
      </c>
      <c r="O1897" s="36" t="s">
        <v>25</v>
      </c>
      <c r="P1897" s="38">
        <v>90.372534722200001</v>
      </c>
      <c r="Q1897" s="39" t="s">
        <v>6708</v>
      </c>
      <c r="R1897" s="35" t="s">
        <v>916</v>
      </c>
      <c r="S1897" s="35"/>
      <c r="T1897" s="35" t="s">
        <v>1701</v>
      </c>
      <c r="U1897" s="40">
        <v>45932</v>
      </c>
      <c r="V1897" s="41">
        <v>46153.533009259256</v>
      </c>
      <c r="W1897" s="40">
        <v>45931</v>
      </c>
      <c r="X1897" s="35" t="s">
        <v>916</v>
      </c>
      <c r="Y1897" s="35" t="s">
        <v>916</v>
      </c>
      <c r="Z1897" s="35" t="s">
        <v>916</v>
      </c>
      <c r="AA1897" s="38">
        <v>2168.9408333328001</v>
      </c>
      <c r="AB1897" s="42" t="s">
        <v>916</v>
      </c>
      <c r="AC1897" s="43" t="s">
        <v>916</v>
      </c>
      <c r="AD1897" s="43" t="s">
        <v>916</v>
      </c>
      <c r="AE1897" s="33" t="s">
        <v>3982</v>
      </c>
      <c r="AF1897" s="35" t="s">
        <v>916</v>
      </c>
      <c r="AG1897" s="44">
        <v>488703.0591666667</v>
      </c>
      <c r="AH1897" s="42" t="s">
        <v>916</v>
      </c>
      <c r="AI1897" s="32" t="e">
        <f>VLOOKUP(A1897,'4月明細'!B:B,1,0)</f>
        <v>#N/A</v>
      </c>
    </row>
    <row r="1898" spans="1:35" ht="19.95" customHeight="1" x14ac:dyDescent="0.3">
      <c r="A1898" s="33" t="s">
        <v>6709</v>
      </c>
      <c r="B1898" s="34">
        <v>45931.626111111109</v>
      </c>
      <c r="C1898" s="34" t="str">
        <f t="shared" si="42"/>
        <v>202510</v>
      </c>
      <c r="D1898" s="35" t="s">
        <v>996</v>
      </c>
      <c r="E1898" s="36" t="s">
        <v>910</v>
      </c>
      <c r="F1898" s="36" t="s">
        <v>1123</v>
      </c>
      <c r="G1898" s="37" t="s">
        <v>3307</v>
      </c>
      <c r="H1898" s="36" t="s">
        <v>4324</v>
      </c>
      <c r="I1898" s="35" t="s">
        <v>6707</v>
      </c>
      <c r="J1898" s="36" t="s">
        <v>929</v>
      </c>
      <c r="K1898" s="33" t="s">
        <v>916</v>
      </c>
      <c r="L1898" s="35" t="s">
        <v>916</v>
      </c>
      <c r="M1898" s="36" t="s">
        <v>916</v>
      </c>
      <c r="N1898" s="45">
        <v>46022</v>
      </c>
      <c r="O1898" s="36" t="s">
        <v>25</v>
      </c>
      <c r="P1898" s="38">
        <v>90.373888888899998</v>
      </c>
      <c r="Q1898" s="39" t="s">
        <v>6710</v>
      </c>
      <c r="R1898" s="35" t="s">
        <v>916</v>
      </c>
      <c r="S1898" s="35"/>
      <c r="T1898" s="35" t="s">
        <v>1701</v>
      </c>
      <c r="U1898" s="40">
        <v>45932</v>
      </c>
      <c r="V1898" s="41">
        <v>46153.533009259256</v>
      </c>
      <c r="W1898" s="40">
        <v>45931</v>
      </c>
      <c r="X1898" s="35" t="s">
        <v>916</v>
      </c>
      <c r="Y1898" s="35" t="s">
        <v>916</v>
      </c>
      <c r="Z1898" s="35" t="s">
        <v>916</v>
      </c>
      <c r="AA1898" s="38">
        <v>2168.9733333335998</v>
      </c>
      <c r="AB1898" s="42" t="s">
        <v>916</v>
      </c>
      <c r="AC1898" s="43" t="s">
        <v>916</v>
      </c>
      <c r="AD1898" s="43" t="s">
        <v>916</v>
      </c>
      <c r="AE1898" s="33" t="s">
        <v>3982</v>
      </c>
      <c r="AF1898" s="35" t="s">
        <v>916</v>
      </c>
      <c r="AG1898" s="44">
        <v>488703.02666666667</v>
      </c>
      <c r="AH1898" s="42" t="s">
        <v>916</v>
      </c>
      <c r="AI1898" s="32" t="e">
        <f>VLOOKUP(A1898,'4月明細'!B:B,1,0)</f>
        <v>#N/A</v>
      </c>
    </row>
    <row r="1899" spans="1:35" ht="19.95" customHeight="1" x14ac:dyDescent="0.3">
      <c r="A1899" s="33" t="s">
        <v>6711</v>
      </c>
      <c r="B1899" s="34">
        <v>45931.625081018516</v>
      </c>
      <c r="C1899" s="34" t="str">
        <f t="shared" si="42"/>
        <v>202510</v>
      </c>
      <c r="D1899" s="35" t="s">
        <v>996</v>
      </c>
      <c r="E1899" s="36" t="s">
        <v>910</v>
      </c>
      <c r="F1899" s="36" t="s">
        <v>1123</v>
      </c>
      <c r="G1899" s="37" t="s">
        <v>3307</v>
      </c>
      <c r="H1899" s="36" t="s">
        <v>4324</v>
      </c>
      <c r="I1899" s="35"/>
      <c r="J1899" s="36" t="s">
        <v>929</v>
      </c>
      <c r="K1899" s="33" t="s">
        <v>916</v>
      </c>
      <c r="L1899" s="35" t="s">
        <v>916</v>
      </c>
      <c r="M1899" s="36" t="s">
        <v>916</v>
      </c>
      <c r="N1899" s="45">
        <v>46022</v>
      </c>
      <c r="O1899" s="36" t="s">
        <v>25</v>
      </c>
      <c r="P1899" s="38">
        <v>90.374918981500002</v>
      </c>
      <c r="Q1899" s="39" t="s">
        <v>6710</v>
      </c>
      <c r="R1899" s="35" t="s">
        <v>916</v>
      </c>
      <c r="S1899" s="35"/>
      <c r="T1899" s="35" t="s">
        <v>1701</v>
      </c>
      <c r="U1899" s="40">
        <v>45932</v>
      </c>
      <c r="V1899" s="41">
        <v>46153.533009259256</v>
      </c>
      <c r="W1899" s="40">
        <v>45931</v>
      </c>
      <c r="X1899" s="35" t="s">
        <v>916</v>
      </c>
      <c r="Y1899" s="35" t="s">
        <v>916</v>
      </c>
      <c r="Z1899" s="35" t="s">
        <v>916</v>
      </c>
      <c r="AA1899" s="38">
        <v>2168.9980555560001</v>
      </c>
      <c r="AB1899" s="42" t="s">
        <v>916</v>
      </c>
      <c r="AC1899" s="43" t="s">
        <v>916</v>
      </c>
      <c r="AD1899" s="43" t="s">
        <v>916</v>
      </c>
      <c r="AE1899" s="33" t="s">
        <v>3982</v>
      </c>
      <c r="AF1899" s="35" t="s">
        <v>916</v>
      </c>
      <c r="AG1899" s="44">
        <v>488703.00194444449</v>
      </c>
      <c r="AH1899" s="42" t="s">
        <v>916</v>
      </c>
      <c r="AI1899" s="32" t="e">
        <f>VLOOKUP(A1899,'4月明細'!B:B,1,0)</f>
        <v>#N/A</v>
      </c>
    </row>
    <row r="1900" spans="1:35" ht="19.95" customHeight="1" x14ac:dyDescent="0.3">
      <c r="A1900" s="33" t="s">
        <v>6712</v>
      </c>
      <c r="B1900" s="34">
        <v>45931.581087962964</v>
      </c>
      <c r="C1900" s="34" t="str">
        <f t="shared" si="42"/>
        <v>202510</v>
      </c>
      <c r="D1900" s="35" t="s">
        <v>996</v>
      </c>
      <c r="E1900" s="36" t="s">
        <v>910</v>
      </c>
      <c r="F1900" s="36" t="s">
        <v>1531</v>
      </c>
      <c r="G1900" s="37" t="s">
        <v>6713</v>
      </c>
      <c r="H1900" s="36" t="s">
        <v>6714</v>
      </c>
      <c r="I1900" s="35"/>
      <c r="J1900" s="36" t="s">
        <v>929</v>
      </c>
      <c r="K1900" s="33" t="s">
        <v>916</v>
      </c>
      <c r="L1900" s="35" t="s">
        <v>916</v>
      </c>
      <c r="M1900" s="36" t="s">
        <v>916</v>
      </c>
      <c r="N1900" s="45">
        <v>46022</v>
      </c>
      <c r="O1900" s="36" t="s">
        <v>25</v>
      </c>
      <c r="P1900" s="38">
        <v>90.418912036999998</v>
      </c>
      <c r="Q1900" s="39" t="s">
        <v>6715</v>
      </c>
      <c r="R1900" s="35" t="s">
        <v>916</v>
      </c>
      <c r="S1900" s="35"/>
      <c r="T1900" s="35" t="s">
        <v>1701</v>
      </c>
      <c r="U1900" s="40">
        <v>45932</v>
      </c>
      <c r="V1900" s="41">
        <v>46153.533009259256</v>
      </c>
      <c r="W1900" s="40">
        <v>45931</v>
      </c>
      <c r="X1900" s="35" t="s">
        <v>916</v>
      </c>
      <c r="Y1900" s="35" t="s">
        <v>916</v>
      </c>
      <c r="Z1900" s="35" t="s">
        <v>916</v>
      </c>
      <c r="AA1900" s="38">
        <v>2170.0538888880001</v>
      </c>
      <c r="AB1900" s="42" t="s">
        <v>916</v>
      </c>
      <c r="AC1900" s="43" t="s">
        <v>916</v>
      </c>
      <c r="AD1900" s="43" t="s">
        <v>916</v>
      </c>
      <c r="AE1900" s="33" t="s">
        <v>3982</v>
      </c>
      <c r="AF1900" s="35" t="s">
        <v>916</v>
      </c>
      <c r="AG1900" s="44">
        <v>488701.94611111109</v>
      </c>
      <c r="AH1900" s="42" t="s">
        <v>916</v>
      </c>
      <c r="AI1900" s="32" t="e">
        <f>VLOOKUP(A1900,'4月明細'!B:B,1,0)</f>
        <v>#N/A</v>
      </c>
    </row>
    <row r="1901" spans="1:35" ht="19.95" customHeight="1" x14ac:dyDescent="0.3">
      <c r="A1901" s="33" t="s">
        <v>6716</v>
      </c>
      <c r="B1901" s="34">
        <v>45931.555937500001</v>
      </c>
      <c r="C1901" s="34" t="str">
        <f t="shared" si="42"/>
        <v>202510</v>
      </c>
      <c r="D1901" s="35" t="s">
        <v>996</v>
      </c>
      <c r="E1901" s="36" t="s">
        <v>910</v>
      </c>
      <c r="F1901" s="36" t="s">
        <v>1055</v>
      </c>
      <c r="G1901" s="37" t="s">
        <v>6717</v>
      </c>
      <c r="H1901" s="36" t="s">
        <v>3985</v>
      </c>
      <c r="I1901" s="35"/>
      <c r="J1901" s="36" t="s">
        <v>929</v>
      </c>
      <c r="K1901" s="33" t="s">
        <v>916</v>
      </c>
      <c r="L1901" s="35" t="s">
        <v>916</v>
      </c>
      <c r="M1901" s="36" t="s">
        <v>916</v>
      </c>
      <c r="N1901" s="45">
        <v>46022</v>
      </c>
      <c r="O1901" s="36" t="s">
        <v>25</v>
      </c>
      <c r="P1901" s="38">
        <v>90.444062500000001</v>
      </c>
      <c r="Q1901" s="39" t="s">
        <v>2266</v>
      </c>
      <c r="R1901" s="35" t="s">
        <v>916</v>
      </c>
      <c r="S1901" s="35" t="s">
        <v>6718</v>
      </c>
      <c r="T1901" s="35" t="s">
        <v>1701</v>
      </c>
      <c r="U1901" s="40">
        <v>45932</v>
      </c>
      <c r="V1901" s="41">
        <v>46153.533009259256</v>
      </c>
      <c r="W1901" s="40">
        <v>45931</v>
      </c>
      <c r="X1901" s="35" t="s">
        <v>916</v>
      </c>
      <c r="Y1901" s="35" t="s">
        <v>916</v>
      </c>
      <c r="Z1901" s="35" t="s">
        <v>916</v>
      </c>
      <c r="AA1901" s="38">
        <v>2170.6574999999998</v>
      </c>
      <c r="AB1901" s="42" t="s">
        <v>916</v>
      </c>
      <c r="AC1901" s="43" t="s">
        <v>916</v>
      </c>
      <c r="AD1901" s="43" t="s">
        <v>916</v>
      </c>
      <c r="AE1901" s="33" t="s">
        <v>3982</v>
      </c>
      <c r="AF1901" s="35" t="s">
        <v>916</v>
      </c>
      <c r="AG1901" s="44">
        <v>488701.34250000003</v>
      </c>
      <c r="AH1901" s="42" t="s">
        <v>916</v>
      </c>
      <c r="AI1901" s="32" t="e">
        <f>VLOOKUP(A1901,'4月明細'!B:B,1,0)</f>
        <v>#N/A</v>
      </c>
    </row>
    <row r="1902" spans="1:35" ht="19.95" customHeight="1" x14ac:dyDescent="0.3">
      <c r="A1902" s="33" t="s">
        <v>6719</v>
      </c>
      <c r="B1902" s="34">
        <v>45931.555254629631</v>
      </c>
      <c r="C1902" s="34" t="str">
        <f t="shared" si="42"/>
        <v>202510</v>
      </c>
      <c r="D1902" s="35" t="s">
        <v>996</v>
      </c>
      <c r="E1902" s="36" t="s">
        <v>910</v>
      </c>
      <c r="F1902" s="36" t="s">
        <v>1055</v>
      </c>
      <c r="G1902" s="37" t="s">
        <v>5117</v>
      </c>
      <c r="H1902" s="36" t="s">
        <v>970</v>
      </c>
      <c r="I1902" s="35" t="s">
        <v>6720</v>
      </c>
      <c r="J1902" s="36" t="s">
        <v>929</v>
      </c>
      <c r="K1902" s="33" t="s">
        <v>916</v>
      </c>
      <c r="L1902" s="35" t="s">
        <v>916</v>
      </c>
      <c r="M1902" s="36" t="s">
        <v>916</v>
      </c>
      <c r="N1902" s="45">
        <v>46022</v>
      </c>
      <c r="O1902" s="36" t="s">
        <v>25</v>
      </c>
      <c r="P1902" s="38">
        <v>90.4447453704</v>
      </c>
      <c r="Q1902" s="39" t="s">
        <v>5957</v>
      </c>
      <c r="R1902" s="35" t="s">
        <v>916</v>
      </c>
      <c r="S1902" s="35" t="s">
        <v>6721</v>
      </c>
      <c r="T1902" s="35" t="s">
        <v>1701</v>
      </c>
      <c r="U1902" s="40">
        <v>45932</v>
      </c>
      <c r="V1902" s="41">
        <v>46153.533009259256</v>
      </c>
      <c r="W1902" s="40">
        <v>45931</v>
      </c>
      <c r="X1902" s="35" t="s">
        <v>916</v>
      </c>
      <c r="Y1902" s="35" t="s">
        <v>916</v>
      </c>
      <c r="Z1902" s="35" t="s">
        <v>916</v>
      </c>
      <c r="AA1902" s="38">
        <v>2170.6738888896002</v>
      </c>
      <c r="AB1902" s="42" t="s">
        <v>916</v>
      </c>
      <c r="AC1902" s="43" t="s">
        <v>916</v>
      </c>
      <c r="AD1902" s="43" t="s">
        <v>916</v>
      </c>
      <c r="AE1902" s="33" t="s">
        <v>3982</v>
      </c>
      <c r="AF1902" s="35" t="s">
        <v>916</v>
      </c>
      <c r="AG1902" s="44">
        <v>488701.32611111109</v>
      </c>
      <c r="AH1902" s="42" t="s">
        <v>916</v>
      </c>
      <c r="AI1902" s="32" t="e">
        <f>VLOOKUP(A1902,'4月明細'!B:B,1,0)</f>
        <v>#N/A</v>
      </c>
    </row>
    <row r="1903" spans="1:35" ht="19.95" customHeight="1" x14ac:dyDescent="0.3">
      <c r="A1903" s="33" t="s">
        <v>6722</v>
      </c>
      <c r="B1903" s="34">
        <v>45931.541307870371</v>
      </c>
      <c r="C1903" s="34" t="str">
        <f t="shared" si="42"/>
        <v>202510</v>
      </c>
      <c r="D1903" s="35" t="s">
        <v>996</v>
      </c>
      <c r="E1903" s="36" t="s">
        <v>910</v>
      </c>
      <c r="F1903" s="36" t="s">
        <v>1392</v>
      </c>
      <c r="G1903" s="37" t="s">
        <v>1096</v>
      </c>
      <c r="H1903" s="36" t="s">
        <v>3979</v>
      </c>
      <c r="I1903" s="35"/>
      <c r="J1903" s="36" t="s">
        <v>914</v>
      </c>
      <c r="K1903" s="33" t="s">
        <v>916</v>
      </c>
      <c r="L1903" s="35" t="s">
        <v>916</v>
      </c>
      <c r="M1903" s="36" t="s">
        <v>916</v>
      </c>
      <c r="N1903" s="45">
        <v>46022</v>
      </c>
      <c r="O1903" s="36" t="s">
        <v>25</v>
      </c>
      <c r="P1903" s="38">
        <v>90.458692129599996</v>
      </c>
      <c r="Q1903" s="39" t="s">
        <v>958</v>
      </c>
      <c r="R1903" s="35" t="s">
        <v>916</v>
      </c>
      <c r="S1903" s="35"/>
      <c r="T1903" s="35" t="s">
        <v>1701</v>
      </c>
      <c r="U1903" s="40">
        <v>45932</v>
      </c>
      <c r="V1903" s="41">
        <v>46153.533009259256</v>
      </c>
      <c r="W1903" s="40">
        <v>45931</v>
      </c>
      <c r="X1903" s="35" t="s">
        <v>916</v>
      </c>
      <c r="Y1903" s="35" t="s">
        <v>916</v>
      </c>
      <c r="Z1903" s="35" t="s">
        <v>916</v>
      </c>
      <c r="AA1903" s="38">
        <v>2171.0086111104001</v>
      </c>
      <c r="AB1903" s="42" t="s">
        <v>916</v>
      </c>
      <c r="AC1903" s="43" t="s">
        <v>916</v>
      </c>
      <c r="AD1903" s="43" t="s">
        <v>916</v>
      </c>
      <c r="AE1903" s="33" t="s">
        <v>3982</v>
      </c>
      <c r="AF1903" s="35" t="s">
        <v>916</v>
      </c>
      <c r="AG1903" s="44">
        <v>488700.99138888891</v>
      </c>
      <c r="AH1903" s="42" t="s">
        <v>916</v>
      </c>
      <c r="AI1903" s="32" t="e">
        <f>VLOOKUP(A1903,'4月明細'!B:B,1,0)</f>
        <v>#N/A</v>
      </c>
    </row>
    <row r="1904" spans="1:35" ht="19.95" customHeight="1" x14ac:dyDescent="0.3">
      <c r="A1904" s="33" t="s">
        <v>6723</v>
      </c>
      <c r="B1904" s="34">
        <v>45931.451157407406</v>
      </c>
      <c r="C1904" s="34" t="str">
        <f t="shared" si="42"/>
        <v>202510</v>
      </c>
      <c r="D1904" s="35" t="s">
        <v>951</v>
      </c>
      <c r="E1904" s="36" t="s">
        <v>910</v>
      </c>
      <c r="F1904" s="36" t="s">
        <v>1377</v>
      </c>
      <c r="G1904" s="37" t="s">
        <v>6724</v>
      </c>
      <c r="H1904" s="36" t="s">
        <v>1043</v>
      </c>
      <c r="I1904" s="35" t="s">
        <v>6725</v>
      </c>
      <c r="J1904" s="36" t="s">
        <v>929</v>
      </c>
      <c r="K1904" s="33" t="s">
        <v>916</v>
      </c>
      <c r="L1904" s="35" t="s">
        <v>916</v>
      </c>
      <c r="M1904" s="36" t="s">
        <v>916</v>
      </c>
      <c r="N1904" s="45">
        <v>46022</v>
      </c>
      <c r="O1904" s="36" t="s">
        <v>25</v>
      </c>
      <c r="P1904" s="38">
        <v>90.548842592599996</v>
      </c>
      <c r="Q1904" s="39" t="s">
        <v>958</v>
      </c>
      <c r="R1904" s="35" t="s">
        <v>916</v>
      </c>
      <c r="S1904" s="35"/>
      <c r="T1904" s="35" t="s">
        <v>1701</v>
      </c>
      <c r="U1904" s="40">
        <v>45932</v>
      </c>
      <c r="V1904" s="41">
        <v>46153.533009259256</v>
      </c>
      <c r="W1904" s="40">
        <v>45931</v>
      </c>
      <c r="X1904" s="35" t="s">
        <v>916</v>
      </c>
      <c r="Y1904" s="35" t="s">
        <v>916</v>
      </c>
      <c r="Z1904" s="35" t="s">
        <v>916</v>
      </c>
      <c r="AA1904" s="38">
        <v>2173.1722222223998</v>
      </c>
      <c r="AB1904" s="42" t="s">
        <v>916</v>
      </c>
      <c r="AC1904" s="43" t="s">
        <v>916</v>
      </c>
      <c r="AD1904" s="43" t="s">
        <v>916</v>
      </c>
      <c r="AE1904" s="33" t="s">
        <v>3982</v>
      </c>
      <c r="AF1904" s="35" t="s">
        <v>916</v>
      </c>
      <c r="AG1904" s="44">
        <v>488698.8277777778</v>
      </c>
      <c r="AH1904" s="42" t="s">
        <v>916</v>
      </c>
      <c r="AI1904" s="32" t="e">
        <f>VLOOKUP(A1904,'4月明細'!B:B,1,0)</f>
        <v>#N/A</v>
      </c>
    </row>
    <row r="1905" spans="1:35" ht="19.95" customHeight="1" x14ac:dyDescent="0.3">
      <c r="A1905" s="33" t="s">
        <v>6726</v>
      </c>
      <c r="B1905" s="34">
        <v>45931.486157407409</v>
      </c>
      <c r="C1905" s="34" t="str">
        <f t="shared" si="42"/>
        <v>202510</v>
      </c>
      <c r="D1905" s="35" t="s">
        <v>996</v>
      </c>
      <c r="E1905" s="36" t="s">
        <v>910</v>
      </c>
      <c r="F1905" s="36" t="s">
        <v>1830</v>
      </c>
      <c r="G1905" s="37" t="s">
        <v>6727</v>
      </c>
      <c r="H1905" s="36" t="s">
        <v>4324</v>
      </c>
      <c r="I1905" s="35"/>
      <c r="J1905" s="36" t="s">
        <v>929</v>
      </c>
      <c r="K1905" s="33" t="s">
        <v>916</v>
      </c>
      <c r="L1905" s="35" t="s">
        <v>916</v>
      </c>
      <c r="M1905" s="36" t="s">
        <v>917</v>
      </c>
      <c r="N1905" s="45">
        <v>46022</v>
      </c>
      <c r="O1905" s="36" t="s">
        <v>25</v>
      </c>
      <c r="P1905" s="38">
        <v>90.5138425926</v>
      </c>
      <c r="Q1905" s="39" t="s">
        <v>931</v>
      </c>
      <c r="R1905" s="35" t="s">
        <v>916</v>
      </c>
      <c r="S1905" s="35"/>
      <c r="T1905" s="35" t="s">
        <v>1624</v>
      </c>
      <c r="U1905" s="40">
        <v>45932</v>
      </c>
      <c r="V1905" s="41">
        <v>46153.533009259256</v>
      </c>
      <c r="W1905" s="40">
        <v>45931</v>
      </c>
      <c r="X1905" s="35" t="s">
        <v>916</v>
      </c>
      <c r="Y1905" s="35" t="s">
        <v>916</v>
      </c>
      <c r="Z1905" s="35" t="s">
        <v>916</v>
      </c>
      <c r="AA1905" s="38">
        <v>2172.3322222224001</v>
      </c>
      <c r="AB1905" s="42" t="s">
        <v>916</v>
      </c>
      <c r="AC1905" s="43" t="s">
        <v>916</v>
      </c>
      <c r="AD1905" s="43" t="s">
        <v>916</v>
      </c>
      <c r="AE1905" s="33" t="s">
        <v>3982</v>
      </c>
      <c r="AF1905" s="35" t="s">
        <v>916</v>
      </c>
      <c r="AG1905" s="44">
        <v>488699.66777777782</v>
      </c>
      <c r="AH1905" s="42" t="s">
        <v>916</v>
      </c>
      <c r="AI1905" s="32" t="e">
        <f>VLOOKUP(A1905,'4月明細'!B:B,1,0)</f>
        <v>#N/A</v>
      </c>
    </row>
    <row r="1906" spans="1:35" ht="19.95" customHeight="1" x14ac:dyDescent="0.3">
      <c r="A1906" s="33" t="s">
        <v>6728</v>
      </c>
      <c r="B1906" s="34">
        <v>45931.479907407411</v>
      </c>
      <c r="C1906" s="34" t="str">
        <f t="shared" si="42"/>
        <v>202510</v>
      </c>
      <c r="D1906" s="35" t="s">
        <v>996</v>
      </c>
      <c r="E1906" s="36" t="s">
        <v>910</v>
      </c>
      <c r="F1906" s="36" t="s">
        <v>1975</v>
      </c>
      <c r="G1906" s="37" t="s">
        <v>6727</v>
      </c>
      <c r="H1906" s="36" t="s">
        <v>4324</v>
      </c>
      <c r="I1906" s="35"/>
      <c r="J1906" s="36" t="s">
        <v>914</v>
      </c>
      <c r="K1906" s="33" t="s">
        <v>916</v>
      </c>
      <c r="L1906" s="35" t="s">
        <v>916</v>
      </c>
      <c r="M1906" s="36" t="s">
        <v>917</v>
      </c>
      <c r="N1906" s="45">
        <v>46022</v>
      </c>
      <c r="O1906" s="36" t="s">
        <v>25</v>
      </c>
      <c r="P1906" s="38">
        <v>90.520092592599994</v>
      </c>
      <c r="Q1906" s="39" t="s">
        <v>931</v>
      </c>
      <c r="R1906" s="35" t="s">
        <v>916</v>
      </c>
      <c r="S1906" s="35"/>
      <c r="T1906" s="35" t="s">
        <v>1701</v>
      </c>
      <c r="U1906" s="40">
        <v>45932</v>
      </c>
      <c r="V1906" s="41">
        <v>46153.533009259256</v>
      </c>
      <c r="W1906" s="40">
        <v>45931</v>
      </c>
      <c r="X1906" s="35" t="s">
        <v>916</v>
      </c>
      <c r="Y1906" s="35" t="s">
        <v>916</v>
      </c>
      <c r="Z1906" s="35" t="s">
        <v>916</v>
      </c>
      <c r="AA1906" s="38">
        <v>2172.4822222224002</v>
      </c>
      <c r="AB1906" s="42" t="s">
        <v>916</v>
      </c>
      <c r="AC1906" s="43" t="s">
        <v>916</v>
      </c>
      <c r="AD1906" s="43" t="s">
        <v>916</v>
      </c>
      <c r="AE1906" s="33" t="s">
        <v>3982</v>
      </c>
      <c r="AF1906" s="35" t="s">
        <v>916</v>
      </c>
      <c r="AG1906" s="44">
        <v>488699.51777777768</v>
      </c>
      <c r="AH1906" s="42" t="s">
        <v>916</v>
      </c>
      <c r="AI1906" s="32" t="e">
        <f>VLOOKUP(A1906,'4月明細'!B:B,1,0)</f>
        <v>#N/A</v>
      </c>
    </row>
    <row r="1907" spans="1:35" ht="19.95" customHeight="1" x14ac:dyDescent="0.3">
      <c r="A1907" s="33" t="s">
        <v>6729</v>
      </c>
      <c r="B1907" s="34">
        <v>45931.477175925924</v>
      </c>
      <c r="C1907" s="34" t="str">
        <f t="shared" si="42"/>
        <v>202510</v>
      </c>
      <c r="D1907" s="35" t="s">
        <v>996</v>
      </c>
      <c r="E1907" s="36" t="s">
        <v>910</v>
      </c>
      <c r="F1907" s="36" t="s">
        <v>1531</v>
      </c>
      <c r="G1907" s="37" t="s">
        <v>6727</v>
      </c>
      <c r="H1907" s="36" t="s">
        <v>4324</v>
      </c>
      <c r="I1907" s="35"/>
      <c r="J1907" s="36" t="s">
        <v>929</v>
      </c>
      <c r="K1907" s="33" t="s">
        <v>916</v>
      </c>
      <c r="L1907" s="35" t="s">
        <v>916</v>
      </c>
      <c r="M1907" s="36" t="s">
        <v>917</v>
      </c>
      <c r="N1907" s="45">
        <v>46022</v>
      </c>
      <c r="O1907" s="36" t="s">
        <v>25</v>
      </c>
      <c r="P1907" s="38">
        <v>90.522824074100001</v>
      </c>
      <c r="Q1907" s="39" t="s">
        <v>931</v>
      </c>
      <c r="R1907" s="35" t="s">
        <v>916</v>
      </c>
      <c r="S1907" s="35"/>
      <c r="T1907" s="35" t="s">
        <v>1701</v>
      </c>
      <c r="U1907" s="40">
        <v>45932</v>
      </c>
      <c r="V1907" s="41">
        <v>46153.533009259256</v>
      </c>
      <c r="W1907" s="40">
        <v>45931</v>
      </c>
      <c r="X1907" s="35" t="s">
        <v>916</v>
      </c>
      <c r="Y1907" s="35" t="s">
        <v>916</v>
      </c>
      <c r="Z1907" s="35" t="s">
        <v>916</v>
      </c>
      <c r="AA1907" s="38">
        <v>2172.5477777783999</v>
      </c>
      <c r="AB1907" s="42" t="s">
        <v>916</v>
      </c>
      <c r="AC1907" s="43" t="s">
        <v>916</v>
      </c>
      <c r="AD1907" s="43" t="s">
        <v>916</v>
      </c>
      <c r="AE1907" s="33" t="s">
        <v>3982</v>
      </c>
      <c r="AF1907" s="35" t="s">
        <v>916</v>
      </c>
      <c r="AG1907" s="44">
        <v>488699.45222222217</v>
      </c>
      <c r="AH1907" s="42" t="s">
        <v>916</v>
      </c>
      <c r="AI1907" s="32" t="e">
        <f>VLOOKUP(A1907,'4月明細'!B:B,1,0)</f>
        <v>#N/A</v>
      </c>
    </row>
    <row r="1908" spans="1:35" ht="19.95" customHeight="1" x14ac:dyDescent="0.3">
      <c r="A1908" s="33" t="s">
        <v>6730</v>
      </c>
      <c r="B1908" s="34">
        <v>45931.475960648146</v>
      </c>
      <c r="C1908" s="34" t="str">
        <f t="shared" si="42"/>
        <v>202510</v>
      </c>
      <c r="D1908" s="35" t="s">
        <v>996</v>
      </c>
      <c r="E1908" s="36" t="s">
        <v>910</v>
      </c>
      <c r="F1908" s="36" t="s">
        <v>1967</v>
      </c>
      <c r="G1908" s="37" t="s">
        <v>6727</v>
      </c>
      <c r="H1908" s="36" t="s">
        <v>4324</v>
      </c>
      <c r="I1908" s="35"/>
      <c r="J1908" s="36" t="s">
        <v>929</v>
      </c>
      <c r="K1908" s="33" t="s">
        <v>916</v>
      </c>
      <c r="L1908" s="35" t="s">
        <v>916</v>
      </c>
      <c r="M1908" s="36" t="s">
        <v>917</v>
      </c>
      <c r="N1908" s="45">
        <v>46022</v>
      </c>
      <c r="O1908" s="36" t="s">
        <v>25</v>
      </c>
      <c r="P1908" s="38">
        <v>90.524039351900001</v>
      </c>
      <c r="Q1908" s="39" t="s">
        <v>931</v>
      </c>
      <c r="R1908" s="35" t="s">
        <v>916</v>
      </c>
      <c r="S1908" s="35"/>
      <c r="T1908" s="35" t="s">
        <v>1701</v>
      </c>
      <c r="U1908" s="40">
        <v>45932</v>
      </c>
      <c r="V1908" s="41">
        <v>46153.533009259256</v>
      </c>
      <c r="W1908" s="40">
        <v>45931</v>
      </c>
      <c r="X1908" s="35" t="s">
        <v>916</v>
      </c>
      <c r="Y1908" s="35" t="s">
        <v>916</v>
      </c>
      <c r="Z1908" s="35" t="s">
        <v>916</v>
      </c>
      <c r="AA1908" s="38">
        <v>2172.5769444456</v>
      </c>
      <c r="AB1908" s="42" t="s">
        <v>916</v>
      </c>
      <c r="AC1908" s="43" t="s">
        <v>916</v>
      </c>
      <c r="AD1908" s="43" t="s">
        <v>916</v>
      </c>
      <c r="AE1908" s="33" t="s">
        <v>3982</v>
      </c>
      <c r="AF1908" s="35" t="s">
        <v>916</v>
      </c>
      <c r="AG1908" s="44">
        <v>488699.42305555561</v>
      </c>
      <c r="AH1908" s="42" t="s">
        <v>916</v>
      </c>
      <c r="AI1908" s="32" t="e">
        <f>VLOOKUP(A1908,'4月明細'!B:B,1,0)</f>
        <v>#N/A</v>
      </c>
    </row>
    <row r="1909" spans="1:35" ht="19.95" customHeight="1" x14ac:dyDescent="0.3">
      <c r="A1909" s="33" t="s">
        <v>6731</v>
      </c>
      <c r="B1909" s="34">
        <v>45931.468113425923</v>
      </c>
      <c r="C1909" s="34" t="str">
        <f t="shared" si="42"/>
        <v>202510</v>
      </c>
      <c r="D1909" s="35" t="s">
        <v>996</v>
      </c>
      <c r="E1909" s="36" t="s">
        <v>910</v>
      </c>
      <c r="F1909" s="36" t="s">
        <v>1050</v>
      </c>
      <c r="G1909" s="37" t="s">
        <v>6727</v>
      </c>
      <c r="H1909" s="36" t="s">
        <v>4324</v>
      </c>
      <c r="I1909" s="35"/>
      <c r="J1909" s="36" t="s">
        <v>914</v>
      </c>
      <c r="K1909" s="33" t="s">
        <v>916</v>
      </c>
      <c r="L1909" s="35" t="s">
        <v>916</v>
      </c>
      <c r="M1909" s="36" t="s">
        <v>917</v>
      </c>
      <c r="N1909" s="45">
        <v>46022</v>
      </c>
      <c r="O1909" s="36" t="s">
        <v>25</v>
      </c>
      <c r="P1909" s="38">
        <v>90.5318865741</v>
      </c>
      <c r="Q1909" s="39" t="s">
        <v>931</v>
      </c>
      <c r="R1909" s="35" t="s">
        <v>916</v>
      </c>
      <c r="S1909" s="35"/>
      <c r="T1909" s="35" t="s">
        <v>1701</v>
      </c>
      <c r="U1909" s="40">
        <v>45932</v>
      </c>
      <c r="V1909" s="41">
        <v>46153.533009259256</v>
      </c>
      <c r="W1909" s="40">
        <v>45931</v>
      </c>
      <c r="X1909" s="35" t="s">
        <v>916</v>
      </c>
      <c r="Y1909" s="35" t="s">
        <v>916</v>
      </c>
      <c r="Z1909" s="35" t="s">
        <v>916</v>
      </c>
      <c r="AA1909" s="38">
        <v>2172.7652777784001</v>
      </c>
      <c r="AB1909" s="42" t="s">
        <v>916</v>
      </c>
      <c r="AC1909" s="43" t="s">
        <v>916</v>
      </c>
      <c r="AD1909" s="43" t="s">
        <v>916</v>
      </c>
      <c r="AE1909" s="33" t="s">
        <v>3982</v>
      </c>
      <c r="AF1909" s="35" t="s">
        <v>916</v>
      </c>
      <c r="AG1909" s="44">
        <v>488699.2347222222</v>
      </c>
      <c r="AH1909" s="42" t="s">
        <v>916</v>
      </c>
      <c r="AI1909" s="32" t="e">
        <f>VLOOKUP(A1909,'4月明細'!B:B,1,0)</f>
        <v>#N/A</v>
      </c>
    </row>
    <row r="1910" spans="1:35" ht="19.95" customHeight="1" x14ac:dyDescent="0.3">
      <c r="A1910" s="33" t="s">
        <v>6732</v>
      </c>
      <c r="B1910" s="34">
        <v>45931.467118055552</v>
      </c>
      <c r="C1910" s="34" t="str">
        <f t="shared" si="42"/>
        <v>202510</v>
      </c>
      <c r="D1910" s="35" t="s">
        <v>996</v>
      </c>
      <c r="E1910" s="36" t="s">
        <v>910</v>
      </c>
      <c r="F1910" s="36" t="s">
        <v>976</v>
      </c>
      <c r="G1910" s="37" t="s">
        <v>6733</v>
      </c>
      <c r="H1910" s="36" t="s">
        <v>4324</v>
      </c>
      <c r="I1910" s="35"/>
      <c r="J1910" s="36" t="s">
        <v>914</v>
      </c>
      <c r="K1910" s="33" t="s">
        <v>916</v>
      </c>
      <c r="L1910" s="35" t="s">
        <v>916</v>
      </c>
      <c r="M1910" s="36" t="s">
        <v>917</v>
      </c>
      <c r="N1910" s="45">
        <v>46022</v>
      </c>
      <c r="O1910" s="36" t="s">
        <v>25</v>
      </c>
      <c r="P1910" s="38">
        <v>90.532881944400003</v>
      </c>
      <c r="Q1910" s="39" t="s">
        <v>931</v>
      </c>
      <c r="R1910" s="35" t="s">
        <v>916</v>
      </c>
      <c r="S1910" s="35"/>
      <c r="T1910" s="35" t="s">
        <v>1701</v>
      </c>
      <c r="U1910" s="40">
        <v>45932</v>
      </c>
      <c r="V1910" s="41">
        <v>46153.533009259256</v>
      </c>
      <c r="W1910" s="40">
        <v>45931</v>
      </c>
      <c r="X1910" s="35" t="s">
        <v>916</v>
      </c>
      <c r="Y1910" s="35" t="s">
        <v>916</v>
      </c>
      <c r="Z1910" s="35" t="s">
        <v>916</v>
      </c>
      <c r="AA1910" s="38">
        <v>2172.7891666656001</v>
      </c>
      <c r="AB1910" s="42" t="s">
        <v>916</v>
      </c>
      <c r="AC1910" s="43" t="s">
        <v>916</v>
      </c>
      <c r="AD1910" s="43" t="s">
        <v>916</v>
      </c>
      <c r="AE1910" s="33" t="s">
        <v>3982</v>
      </c>
      <c r="AF1910" s="35" t="s">
        <v>916</v>
      </c>
      <c r="AG1910" s="44">
        <v>488699.2111111111</v>
      </c>
      <c r="AH1910" s="42" t="s">
        <v>916</v>
      </c>
      <c r="AI1910" s="32" t="e">
        <f>VLOOKUP(A1910,'4月明細'!B:B,1,0)</f>
        <v>#N/A</v>
      </c>
    </row>
    <row r="1911" spans="1:35" ht="19.95" customHeight="1" x14ac:dyDescent="0.3">
      <c r="A1911" s="33" t="s">
        <v>6734</v>
      </c>
      <c r="B1911" s="34">
        <v>45931.387199074074</v>
      </c>
      <c r="C1911" s="34" t="str">
        <f t="shared" si="42"/>
        <v>202510</v>
      </c>
      <c r="D1911" s="35" t="s">
        <v>1597</v>
      </c>
      <c r="E1911" s="36" t="s">
        <v>1112</v>
      </c>
      <c r="F1911" s="36" t="s">
        <v>2515</v>
      </c>
      <c r="G1911" s="37" t="s">
        <v>1721</v>
      </c>
      <c r="H1911" s="36" t="s">
        <v>913</v>
      </c>
      <c r="I1911" s="35"/>
      <c r="J1911" s="36" t="s">
        <v>929</v>
      </c>
      <c r="K1911" s="33" t="s">
        <v>916</v>
      </c>
      <c r="L1911" s="35" t="s">
        <v>916</v>
      </c>
      <c r="M1911" s="36" t="s">
        <v>916</v>
      </c>
      <c r="N1911" s="45">
        <v>46022</v>
      </c>
      <c r="O1911" s="36" t="s">
        <v>25</v>
      </c>
      <c r="P1911" s="38">
        <v>90.612800925900004</v>
      </c>
      <c r="Q1911" s="39" t="s">
        <v>6735</v>
      </c>
      <c r="R1911" s="35" t="s">
        <v>916</v>
      </c>
      <c r="S1911" s="35"/>
      <c r="T1911" s="35" t="s">
        <v>1701</v>
      </c>
      <c r="U1911" s="40">
        <v>45932</v>
      </c>
      <c r="V1911" s="41">
        <v>46153.533009259256</v>
      </c>
      <c r="W1911" s="40">
        <v>45931</v>
      </c>
      <c r="X1911" s="35" t="s">
        <v>916</v>
      </c>
      <c r="Y1911" s="35" t="s">
        <v>916</v>
      </c>
      <c r="Z1911" s="35" t="s">
        <v>916</v>
      </c>
      <c r="AA1911" s="38">
        <v>2174.7072222216002</v>
      </c>
      <c r="AB1911" s="42" t="s">
        <v>916</v>
      </c>
      <c r="AC1911" s="43" t="s">
        <v>916</v>
      </c>
      <c r="AD1911" s="43" t="s">
        <v>916</v>
      </c>
      <c r="AE1911" s="33" t="s">
        <v>3982</v>
      </c>
      <c r="AF1911" s="35" t="s">
        <v>916</v>
      </c>
      <c r="AG1911" s="44">
        <v>488697.29277777782</v>
      </c>
      <c r="AH1911" s="42" t="s">
        <v>916</v>
      </c>
      <c r="AI1911" s="32" t="e">
        <f>VLOOKUP(A1911,'4月明細'!B:B,1,0)</f>
        <v>#N/A</v>
      </c>
    </row>
    <row r="1912" spans="1:35" ht="19.95" customHeight="1" x14ac:dyDescent="0.3">
      <c r="A1912" s="33" t="s">
        <v>6736</v>
      </c>
      <c r="B1912" s="34">
        <v>45930.927303240744</v>
      </c>
      <c r="C1912" s="34" t="str">
        <f t="shared" si="42"/>
        <v>202509</v>
      </c>
      <c r="D1912" s="35" t="s">
        <v>5008</v>
      </c>
      <c r="E1912" s="36" t="s">
        <v>1112</v>
      </c>
      <c r="F1912" s="36" t="s">
        <v>2515</v>
      </c>
      <c r="G1912" s="37" t="s">
        <v>6737</v>
      </c>
      <c r="H1912" s="36" t="s">
        <v>1007</v>
      </c>
      <c r="I1912" s="35"/>
      <c r="J1912" s="36" t="s">
        <v>929</v>
      </c>
      <c r="K1912" s="33" t="s">
        <v>916</v>
      </c>
      <c r="L1912" s="35" t="s">
        <v>916</v>
      </c>
      <c r="M1912" s="36" t="s">
        <v>917</v>
      </c>
      <c r="N1912" s="45">
        <v>46022</v>
      </c>
      <c r="O1912" s="36" t="s">
        <v>25</v>
      </c>
      <c r="P1912" s="38">
        <v>91.072696759300001</v>
      </c>
      <c r="Q1912" s="39" t="s">
        <v>6738</v>
      </c>
      <c r="R1912" s="35" t="s">
        <v>916</v>
      </c>
      <c r="S1912" s="35"/>
      <c r="T1912" s="35" t="s">
        <v>1624</v>
      </c>
      <c r="U1912" s="40">
        <v>45931</v>
      </c>
      <c r="V1912" s="41">
        <v>46153.533009259256</v>
      </c>
      <c r="W1912" s="40">
        <v>45931</v>
      </c>
      <c r="X1912" s="35" t="s">
        <v>916</v>
      </c>
      <c r="Y1912" s="35" t="s">
        <v>916</v>
      </c>
      <c r="Z1912" s="35" t="s">
        <v>916</v>
      </c>
      <c r="AA1912" s="38">
        <v>2185.7447222231999</v>
      </c>
      <c r="AB1912" s="42" t="s">
        <v>916</v>
      </c>
      <c r="AC1912" s="43" t="s">
        <v>916</v>
      </c>
      <c r="AD1912" s="43" t="s">
        <v>916</v>
      </c>
      <c r="AE1912" s="33" t="s">
        <v>3982</v>
      </c>
      <c r="AF1912" s="35" t="s">
        <v>916</v>
      </c>
      <c r="AG1912" s="44">
        <v>488686.25527777779</v>
      </c>
      <c r="AH1912" s="42" t="s">
        <v>916</v>
      </c>
      <c r="AI1912" s="32" t="e">
        <f>VLOOKUP(A1912,'4月明細'!B:B,1,0)</f>
        <v>#N/A</v>
      </c>
    </row>
    <row r="1913" spans="1:35" ht="19.95" customHeight="1" x14ac:dyDescent="0.3">
      <c r="A1913" s="33" t="s">
        <v>6739</v>
      </c>
      <c r="B1913" s="34">
        <v>45930.694386574076</v>
      </c>
      <c r="C1913" s="34" t="str">
        <f t="shared" si="42"/>
        <v>202509</v>
      </c>
      <c r="D1913" s="35" t="s">
        <v>5380</v>
      </c>
      <c r="E1913" s="36" t="s">
        <v>910</v>
      </c>
      <c r="F1913" s="36" t="s">
        <v>1830</v>
      </c>
      <c r="G1913" s="37" t="s">
        <v>6740</v>
      </c>
      <c r="H1913" s="36" t="s">
        <v>5927</v>
      </c>
      <c r="I1913" s="35" t="s">
        <v>6741</v>
      </c>
      <c r="J1913" s="36" t="s">
        <v>929</v>
      </c>
      <c r="K1913" s="33" t="s">
        <v>916</v>
      </c>
      <c r="L1913" s="35" t="s">
        <v>916</v>
      </c>
      <c r="M1913" s="36" t="s">
        <v>916</v>
      </c>
      <c r="N1913" s="45">
        <v>46022</v>
      </c>
      <c r="O1913" s="36" t="s">
        <v>25</v>
      </c>
      <c r="P1913" s="38">
        <v>91.305613425900006</v>
      </c>
      <c r="Q1913" s="39" t="s">
        <v>958</v>
      </c>
      <c r="R1913" s="35" t="s">
        <v>916</v>
      </c>
      <c r="S1913" s="35" t="s">
        <v>6742</v>
      </c>
      <c r="T1913" s="35" t="s">
        <v>1701</v>
      </c>
      <c r="U1913" s="40">
        <v>45931</v>
      </c>
      <c r="V1913" s="41">
        <v>46153.533009259256</v>
      </c>
      <c r="W1913" s="40">
        <v>45930</v>
      </c>
      <c r="X1913" s="35" t="s">
        <v>916</v>
      </c>
      <c r="Y1913" s="35" t="s">
        <v>916</v>
      </c>
      <c r="Z1913" s="35" t="s">
        <v>916</v>
      </c>
      <c r="AA1913" s="38">
        <v>2191.3347222215998</v>
      </c>
      <c r="AB1913" s="42" t="s">
        <v>916</v>
      </c>
      <c r="AC1913" s="43" t="s">
        <v>916</v>
      </c>
      <c r="AD1913" s="43" t="s">
        <v>916</v>
      </c>
      <c r="AE1913" s="33" t="s">
        <v>3982</v>
      </c>
      <c r="AF1913" s="35" t="s">
        <v>916</v>
      </c>
      <c r="AG1913" s="44">
        <v>488680.66527777782</v>
      </c>
      <c r="AH1913" s="42" t="s">
        <v>916</v>
      </c>
      <c r="AI1913" s="32" t="e">
        <f>VLOOKUP(A1913,'4月明細'!B:B,1,0)</f>
        <v>#N/A</v>
      </c>
    </row>
    <row r="1914" spans="1:35" ht="19.95" customHeight="1" x14ac:dyDescent="0.3">
      <c r="A1914" s="33" t="s">
        <v>6743</v>
      </c>
      <c r="B1914" s="34">
        <v>45930.690983796296</v>
      </c>
      <c r="C1914" s="34" t="str">
        <f t="shared" si="42"/>
        <v>202509</v>
      </c>
      <c r="D1914" s="35" t="s">
        <v>5380</v>
      </c>
      <c r="E1914" s="36" t="s">
        <v>910</v>
      </c>
      <c r="F1914" s="36" t="s">
        <v>1830</v>
      </c>
      <c r="G1914" s="37" t="s">
        <v>1979</v>
      </c>
      <c r="H1914" s="36" t="s">
        <v>5083</v>
      </c>
      <c r="I1914" s="35" t="s">
        <v>6744</v>
      </c>
      <c r="J1914" s="36" t="s">
        <v>929</v>
      </c>
      <c r="K1914" s="33" t="s">
        <v>916</v>
      </c>
      <c r="L1914" s="35" t="s">
        <v>916</v>
      </c>
      <c r="M1914" s="36" t="s">
        <v>916</v>
      </c>
      <c r="N1914" s="45">
        <v>46022</v>
      </c>
      <c r="O1914" s="36" t="s">
        <v>25</v>
      </c>
      <c r="P1914" s="38">
        <v>91.309016203699997</v>
      </c>
      <c r="Q1914" s="39" t="s">
        <v>958</v>
      </c>
      <c r="R1914" s="35" t="s">
        <v>916</v>
      </c>
      <c r="S1914" s="35"/>
      <c r="T1914" s="35" t="s">
        <v>1701</v>
      </c>
      <c r="U1914" s="40">
        <v>45931</v>
      </c>
      <c r="V1914" s="41">
        <v>46153.533009259256</v>
      </c>
      <c r="W1914" s="40">
        <v>45930</v>
      </c>
      <c r="X1914" s="35" t="s">
        <v>916</v>
      </c>
      <c r="Y1914" s="35" t="s">
        <v>916</v>
      </c>
      <c r="Z1914" s="35" t="s">
        <v>916</v>
      </c>
      <c r="AA1914" s="38">
        <v>2191.4163888888002</v>
      </c>
      <c r="AB1914" s="42" t="s">
        <v>916</v>
      </c>
      <c r="AC1914" s="43" t="s">
        <v>916</v>
      </c>
      <c r="AD1914" s="43" t="s">
        <v>916</v>
      </c>
      <c r="AE1914" s="33" t="s">
        <v>3982</v>
      </c>
      <c r="AF1914" s="35" t="s">
        <v>916</v>
      </c>
      <c r="AG1914" s="44">
        <v>488680.5836111111</v>
      </c>
      <c r="AH1914" s="42" t="s">
        <v>916</v>
      </c>
      <c r="AI1914" s="32" t="e">
        <f>VLOOKUP(A1914,'4月明細'!B:B,1,0)</f>
        <v>#N/A</v>
      </c>
    </row>
    <row r="1915" spans="1:35" ht="19.95" customHeight="1" x14ac:dyDescent="0.3">
      <c r="A1915" s="33" t="s">
        <v>6745</v>
      </c>
      <c r="B1915" s="34">
        <v>45930.627638888887</v>
      </c>
      <c r="C1915" s="34" t="str">
        <f t="shared" si="42"/>
        <v>202509</v>
      </c>
      <c r="D1915" s="35" t="s">
        <v>5380</v>
      </c>
      <c r="E1915" s="36" t="s">
        <v>910</v>
      </c>
      <c r="F1915" s="36" t="s">
        <v>1423</v>
      </c>
      <c r="G1915" s="37" t="s">
        <v>6746</v>
      </c>
      <c r="H1915" s="36" t="s">
        <v>5927</v>
      </c>
      <c r="I1915" s="35" t="s">
        <v>6747</v>
      </c>
      <c r="J1915" s="36" t="s">
        <v>929</v>
      </c>
      <c r="K1915" s="33" t="s">
        <v>916</v>
      </c>
      <c r="L1915" s="35" t="s">
        <v>916</v>
      </c>
      <c r="M1915" s="36" t="s">
        <v>916</v>
      </c>
      <c r="N1915" s="45">
        <v>46022</v>
      </c>
      <c r="O1915" s="36" t="s">
        <v>25</v>
      </c>
      <c r="P1915" s="38">
        <v>91.372361111100005</v>
      </c>
      <c r="Q1915" s="39" t="s">
        <v>5957</v>
      </c>
      <c r="R1915" s="35" t="s">
        <v>916</v>
      </c>
      <c r="S1915" s="35" t="s">
        <v>6748</v>
      </c>
      <c r="T1915" s="35" t="s">
        <v>1701</v>
      </c>
      <c r="U1915" s="40">
        <v>45931</v>
      </c>
      <c r="V1915" s="41">
        <v>46153.533009259256</v>
      </c>
      <c r="W1915" s="40">
        <v>45930</v>
      </c>
      <c r="X1915" s="35" t="s">
        <v>916</v>
      </c>
      <c r="Y1915" s="35" t="s">
        <v>916</v>
      </c>
      <c r="Z1915" s="35" t="s">
        <v>916</v>
      </c>
      <c r="AA1915" s="38">
        <v>2192.9366666664</v>
      </c>
      <c r="AB1915" s="42" t="s">
        <v>916</v>
      </c>
      <c r="AC1915" s="43" t="s">
        <v>916</v>
      </c>
      <c r="AD1915" s="43" t="s">
        <v>916</v>
      </c>
      <c r="AE1915" s="33" t="s">
        <v>3982</v>
      </c>
      <c r="AF1915" s="35" t="s">
        <v>916</v>
      </c>
      <c r="AG1915" s="44">
        <v>488679.0633333333</v>
      </c>
      <c r="AH1915" s="42" t="s">
        <v>916</v>
      </c>
      <c r="AI1915" s="32" t="e">
        <f>VLOOKUP(A1915,'4月明細'!B:B,1,0)</f>
        <v>#N/A</v>
      </c>
    </row>
    <row r="1916" spans="1:35" ht="19.95" customHeight="1" x14ac:dyDescent="0.3">
      <c r="A1916" s="33" t="s">
        <v>6749</v>
      </c>
      <c r="B1916" s="34">
        <v>45930.622731481482</v>
      </c>
      <c r="C1916" s="34" t="str">
        <f t="shared" si="42"/>
        <v>202509</v>
      </c>
      <c r="D1916" s="35" t="s">
        <v>5380</v>
      </c>
      <c r="E1916" s="36" t="s">
        <v>910</v>
      </c>
      <c r="F1916" s="36" t="s">
        <v>1423</v>
      </c>
      <c r="G1916" s="37" t="s">
        <v>1979</v>
      </c>
      <c r="H1916" s="36" t="s">
        <v>5083</v>
      </c>
      <c r="I1916" s="35" t="s">
        <v>6750</v>
      </c>
      <c r="J1916" s="36" t="s">
        <v>929</v>
      </c>
      <c r="K1916" s="33" t="s">
        <v>916</v>
      </c>
      <c r="L1916" s="35" t="s">
        <v>916</v>
      </c>
      <c r="M1916" s="36" t="s">
        <v>916</v>
      </c>
      <c r="N1916" s="45">
        <v>46022</v>
      </c>
      <c r="O1916" s="36" t="s">
        <v>25</v>
      </c>
      <c r="P1916" s="38">
        <v>91.377268518500003</v>
      </c>
      <c r="Q1916" s="39" t="s">
        <v>958</v>
      </c>
      <c r="R1916" s="35" t="s">
        <v>916</v>
      </c>
      <c r="S1916" s="35" t="s">
        <v>6751</v>
      </c>
      <c r="T1916" s="35" t="s">
        <v>1701</v>
      </c>
      <c r="U1916" s="40">
        <v>45931</v>
      </c>
      <c r="V1916" s="41">
        <v>46153.533009259256</v>
      </c>
      <c r="W1916" s="40">
        <v>45930</v>
      </c>
      <c r="X1916" s="35" t="s">
        <v>916</v>
      </c>
      <c r="Y1916" s="35" t="s">
        <v>916</v>
      </c>
      <c r="Z1916" s="35" t="s">
        <v>916</v>
      </c>
      <c r="AA1916" s="38">
        <v>2193.0544444440002</v>
      </c>
      <c r="AB1916" s="42" t="s">
        <v>916</v>
      </c>
      <c r="AC1916" s="43" t="s">
        <v>916</v>
      </c>
      <c r="AD1916" s="43" t="s">
        <v>916</v>
      </c>
      <c r="AE1916" s="33" t="s">
        <v>3982</v>
      </c>
      <c r="AF1916" s="35" t="s">
        <v>916</v>
      </c>
      <c r="AG1916" s="44">
        <v>488678.94555555558</v>
      </c>
      <c r="AH1916" s="42" t="s">
        <v>916</v>
      </c>
      <c r="AI1916" s="32" t="e">
        <f>VLOOKUP(A1916,'4月明細'!B:B,1,0)</f>
        <v>#N/A</v>
      </c>
    </row>
    <row r="1917" spans="1:35" ht="19.95" customHeight="1" x14ac:dyDescent="0.3">
      <c r="A1917" s="33" t="s">
        <v>6752</v>
      </c>
      <c r="B1917" s="34">
        <v>45930.619131944448</v>
      </c>
      <c r="C1917" s="34" t="str">
        <f t="shared" si="42"/>
        <v>202509</v>
      </c>
      <c r="D1917" s="35" t="s">
        <v>5380</v>
      </c>
      <c r="E1917" s="36" t="s">
        <v>910</v>
      </c>
      <c r="F1917" s="36" t="s">
        <v>1423</v>
      </c>
      <c r="G1917" s="37" t="s">
        <v>6753</v>
      </c>
      <c r="H1917" s="36" t="s">
        <v>3991</v>
      </c>
      <c r="I1917" s="35" t="s">
        <v>6754</v>
      </c>
      <c r="J1917" s="36" t="s">
        <v>929</v>
      </c>
      <c r="K1917" s="33" t="s">
        <v>916</v>
      </c>
      <c r="L1917" s="35" t="s">
        <v>916</v>
      </c>
      <c r="M1917" s="36" t="s">
        <v>916</v>
      </c>
      <c r="N1917" s="45">
        <v>46022</v>
      </c>
      <c r="O1917" s="36" t="s">
        <v>25</v>
      </c>
      <c r="P1917" s="38">
        <v>91.380868055600004</v>
      </c>
      <c r="Q1917" s="39" t="s">
        <v>958</v>
      </c>
      <c r="R1917" s="35" t="s">
        <v>916</v>
      </c>
      <c r="S1917" s="35" t="s">
        <v>6755</v>
      </c>
      <c r="T1917" s="35" t="s">
        <v>1701</v>
      </c>
      <c r="U1917" s="40">
        <v>45931</v>
      </c>
      <c r="V1917" s="41">
        <v>46153.533009259256</v>
      </c>
      <c r="W1917" s="40">
        <v>45930</v>
      </c>
      <c r="X1917" s="35" t="s">
        <v>916</v>
      </c>
      <c r="Y1917" s="35" t="s">
        <v>916</v>
      </c>
      <c r="Z1917" s="35" t="s">
        <v>916</v>
      </c>
      <c r="AA1917" s="38">
        <v>2193.1408333344002</v>
      </c>
      <c r="AB1917" s="42" t="s">
        <v>916</v>
      </c>
      <c r="AC1917" s="43" t="s">
        <v>916</v>
      </c>
      <c r="AD1917" s="43" t="s">
        <v>916</v>
      </c>
      <c r="AE1917" s="33" t="s">
        <v>3982</v>
      </c>
      <c r="AF1917" s="35" t="s">
        <v>916</v>
      </c>
      <c r="AG1917" s="44">
        <v>488678.85916666657</v>
      </c>
      <c r="AH1917" s="42" t="s">
        <v>916</v>
      </c>
      <c r="AI1917" s="32" t="e">
        <f>VLOOKUP(A1917,'4月明細'!B:B,1,0)</f>
        <v>#N/A</v>
      </c>
    </row>
    <row r="1918" spans="1:35" ht="19.95" customHeight="1" x14ac:dyDescent="0.3">
      <c r="A1918" s="33" t="s">
        <v>6756</v>
      </c>
      <c r="B1918" s="34">
        <v>45930.583680555559</v>
      </c>
      <c r="C1918" s="34" t="str">
        <f t="shared" si="42"/>
        <v>202509</v>
      </c>
      <c r="D1918" s="35" t="s">
        <v>3875</v>
      </c>
      <c r="E1918" s="36" t="s">
        <v>1112</v>
      </c>
      <c r="F1918" s="36" t="s">
        <v>1055</v>
      </c>
      <c r="G1918" s="37" t="s">
        <v>6757</v>
      </c>
      <c r="H1918" s="36" t="s">
        <v>4683</v>
      </c>
      <c r="I1918" s="35"/>
      <c r="J1918" s="36" t="s">
        <v>929</v>
      </c>
      <c r="K1918" s="33" t="s">
        <v>916</v>
      </c>
      <c r="L1918" s="35" t="s">
        <v>916</v>
      </c>
      <c r="M1918" s="36" t="s">
        <v>916</v>
      </c>
      <c r="N1918" s="45">
        <v>46022</v>
      </c>
      <c r="O1918" s="36" t="s">
        <v>25</v>
      </c>
      <c r="P1918" s="38">
        <v>91.416319444400003</v>
      </c>
      <c r="Q1918" s="39" t="s">
        <v>6758</v>
      </c>
      <c r="R1918" s="35" t="s">
        <v>916</v>
      </c>
      <c r="S1918" s="35"/>
      <c r="T1918" s="35" t="s">
        <v>1624</v>
      </c>
      <c r="U1918" s="40">
        <v>45931</v>
      </c>
      <c r="V1918" s="41">
        <v>46153.533020833333</v>
      </c>
      <c r="W1918" s="40">
        <v>45930</v>
      </c>
      <c r="X1918" s="35" t="s">
        <v>916</v>
      </c>
      <c r="Y1918" s="35" t="s">
        <v>916</v>
      </c>
      <c r="Z1918" s="35" t="s">
        <v>916</v>
      </c>
      <c r="AA1918" s="38">
        <v>2193.9916666656</v>
      </c>
      <c r="AB1918" s="42" t="s">
        <v>916</v>
      </c>
      <c r="AC1918" s="43" t="s">
        <v>916</v>
      </c>
      <c r="AD1918" s="43" t="s">
        <v>916</v>
      </c>
      <c r="AE1918" s="33" t="s">
        <v>3982</v>
      </c>
      <c r="AF1918" s="35" t="s">
        <v>916</v>
      </c>
      <c r="AG1918" s="44">
        <v>488678.0083333333</v>
      </c>
      <c r="AH1918" s="42" t="s">
        <v>916</v>
      </c>
      <c r="AI1918" s="32" t="e">
        <f>VLOOKUP(A1918,'4月明細'!B:B,1,0)</f>
        <v>#N/A</v>
      </c>
    </row>
    <row r="1919" spans="1:35" ht="19.95" customHeight="1" x14ac:dyDescent="0.3">
      <c r="A1919" s="33" t="s">
        <v>6759</v>
      </c>
      <c r="B1919" s="34">
        <v>45930.56318287037</v>
      </c>
      <c r="C1919" s="34" t="str">
        <f t="shared" si="42"/>
        <v>202509</v>
      </c>
      <c r="D1919" s="35" t="s">
        <v>5380</v>
      </c>
      <c r="E1919" s="36" t="s">
        <v>910</v>
      </c>
      <c r="F1919" s="36" t="s">
        <v>1089</v>
      </c>
      <c r="G1919" s="37" t="s">
        <v>6470</v>
      </c>
      <c r="H1919" s="36" t="s">
        <v>4542</v>
      </c>
      <c r="I1919" s="35" t="s">
        <v>6760</v>
      </c>
      <c r="J1919" s="36" t="s">
        <v>929</v>
      </c>
      <c r="K1919" s="33" t="s">
        <v>916</v>
      </c>
      <c r="L1919" s="35" t="s">
        <v>916</v>
      </c>
      <c r="M1919" s="36" t="s">
        <v>916</v>
      </c>
      <c r="N1919" s="45">
        <v>46022</v>
      </c>
      <c r="O1919" s="36" t="s">
        <v>25</v>
      </c>
      <c r="P1919" s="38">
        <v>91.436817129600001</v>
      </c>
      <c r="Q1919" s="39" t="s">
        <v>1896</v>
      </c>
      <c r="R1919" s="35" t="s">
        <v>916</v>
      </c>
      <c r="S1919" s="35"/>
      <c r="T1919" s="35" t="s">
        <v>1701</v>
      </c>
      <c r="U1919" s="40">
        <v>45931</v>
      </c>
      <c r="V1919" s="41">
        <v>46153.533020833333</v>
      </c>
      <c r="W1919" s="40">
        <v>45930</v>
      </c>
      <c r="X1919" s="35" t="s">
        <v>916</v>
      </c>
      <c r="Y1919" s="35" t="s">
        <v>916</v>
      </c>
      <c r="Z1919" s="35" t="s">
        <v>916</v>
      </c>
      <c r="AA1919" s="38">
        <v>2194.4836111104</v>
      </c>
      <c r="AB1919" s="42" t="s">
        <v>916</v>
      </c>
      <c r="AC1919" s="43" t="s">
        <v>916</v>
      </c>
      <c r="AD1919" s="43" t="s">
        <v>916</v>
      </c>
      <c r="AE1919" s="33" t="s">
        <v>3982</v>
      </c>
      <c r="AF1919" s="35" t="s">
        <v>916</v>
      </c>
      <c r="AG1919" s="44">
        <v>488677.51638888888</v>
      </c>
      <c r="AH1919" s="42" t="s">
        <v>916</v>
      </c>
      <c r="AI1919" s="32" t="e">
        <f>VLOOKUP(A1919,'4月明細'!B:B,1,0)</f>
        <v>#N/A</v>
      </c>
    </row>
    <row r="1920" spans="1:35" ht="19.95" customHeight="1" x14ac:dyDescent="0.3">
      <c r="A1920" s="33" t="s">
        <v>6761</v>
      </c>
      <c r="B1920" s="34">
        <v>45930.558449074073</v>
      </c>
      <c r="C1920" s="34" t="str">
        <f t="shared" si="42"/>
        <v>202509</v>
      </c>
      <c r="D1920" s="35" t="s">
        <v>996</v>
      </c>
      <c r="E1920" s="36" t="s">
        <v>910</v>
      </c>
      <c r="F1920" s="36" t="s">
        <v>911</v>
      </c>
      <c r="G1920" s="37" t="s">
        <v>1096</v>
      </c>
      <c r="H1920" s="36" t="s">
        <v>3979</v>
      </c>
      <c r="I1920" s="35"/>
      <c r="J1920" s="36" t="s">
        <v>914</v>
      </c>
      <c r="K1920" s="33" t="s">
        <v>916</v>
      </c>
      <c r="L1920" s="35" t="s">
        <v>916</v>
      </c>
      <c r="M1920" s="36" t="s">
        <v>916</v>
      </c>
      <c r="N1920" s="45">
        <v>46022</v>
      </c>
      <c r="O1920" s="36" t="s">
        <v>25</v>
      </c>
      <c r="P1920" s="38">
        <v>91.441550925900003</v>
      </c>
      <c r="Q1920" s="39" t="s">
        <v>919</v>
      </c>
      <c r="R1920" s="35" t="s">
        <v>916</v>
      </c>
      <c r="S1920" s="35"/>
      <c r="T1920" s="35" t="s">
        <v>1701</v>
      </c>
      <c r="U1920" s="40">
        <v>45931</v>
      </c>
      <c r="V1920" s="41">
        <v>46153.533020833333</v>
      </c>
      <c r="W1920" s="40">
        <v>45930</v>
      </c>
      <c r="X1920" s="35" t="s">
        <v>916</v>
      </c>
      <c r="Y1920" s="35" t="s">
        <v>916</v>
      </c>
      <c r="Z1920" s="35" t="s">
        <v>916</v>
      </c>
      <c r="AA1920" s="38">
        <v>2194.5972222216001</v>
      </c>
      <c r="AB1920" s="42" t="s">
        <v>916</v>
      </c>
      <c r="AC1920" s="43" t="s">
        <v>916</v>
      </c>
      <c r="AD1920" s="43" t="s">
        <v>916</v>
      </c>
      <c r="AE1920" s="33" t="s">
        <v>3982</v>
      </c>
      <c r="AF1920" s="35" t="s">
        <v>916</v>
      </c>
      <c r="AG1920" s="44">
        <v>488677.40277777793</v>
      </c>
      <c r="AH1920" s="42" t="s">
        <v>916</v>
      </c>
      <c r="AI1920" s="32" t="e">
        <f>VLOOKUP(A1920,'4月明細'!B:B,1,0)</f>
        <v>#N/A</v>
      </c>
    </row>
    <row r="1921" spans="1:35" ht="19.95" customHeight="1" x14ac:dyDescent="0.3">
      <c r="A1921" s="33" t="s">
        <v>6762</v>
      </c>
      <c r="B1921" s="34">
        <v>45930.557627314818</v>
      </c>
      <c r="C1921" s="34" t="str">
        <f t="shared" si="42"/>
        <v>202509</v>
      </c>
      <c r="D1921" s="35" t="s">
        <v>996</v>
      </c>
      <c r="E1921" s="36" t="s">
        <v>910</v>
      </c>
      <c r="F1921" s="36" t="s">
        <v>911</v>
      </c>
      <c r="G1921" s="37" t="s">
        <v>6763</v>
      </c>
      <c r="H1921" s="36" t="s">
        <v>4324</v>
      </c>
      <c r="I1921" s="35"/>
      <c r="J1921" s="36" t="s">
        <v>914</v>
      </c>
      <c r="K1921" s="33" t="s">
        <v>916</v>
      </c>
      <c r="L1921" s="35" t="s">
        <v>916</v>
      </c>
      <c r="M1921" s="36" t="s">
        <v>916</v>
      </c>
      <c r="N1921" s="45">
        <v>46022</v>
      </c>
      <c r="O1921" s="36" t="s">
        <v>25</v>
      </c>
      <c r="P1921" s="38">
        <v>91.442372685199999</v>
      </c>
      <c r="Q1921" s="39" t="s">
        <v>6764</v>
      </c>
      <c r="R1921" s="35" t="s">
        <v>916</v>
      </c>
      <c r="S1921" s="35" t="s">
        <v>6765</v>
      </c>
      <c r="T1921" s="35" t="s">
        <v>1701</v>
      </c>
      <c r="U1921" s="40">
        <v>45931</v>
      </c>
      <c r="V1921" s="41">
        <v>46153.533020833333</v>
      </c>
      <c r="W1921" s="40">
        <v>45930</v>
      </c>
      <c r="X1921" s="35" t="s">
        <v>916</v>
      </c>
      <c r="Y1921" s="35" t="s">
        <v>916</v>
      </c>
      <c r="Z1921" s="35" t="s">
        <v>916</v>
      </c>
      <c r="AA1921" s="38">
        <v>2194.6169444448001</v>
      </c>
      <c r="AB1921" s="42" t="s">
        <v>916</v>
      </c>
      <c r="AC1921" s="43" t="s">
        <v>916</v>
      </c>
      <c r="AD1921" s="43" t="s">
        <v>916</v>
      </c>
      <c r="AE1921" s="33" t="s">
        <v>3982</v>
      </c>
      <c r="AF1921" s="35" t="s">
        <v>916</v>
      </c>
      <c r="AG1921" s="44">
        <v>488677.38305555552</v>
      </c>
      <c r="AH1921" s="42" t="s">
        <v>916</v>
      </c>
      <c r="AI1921" s="32" t="e">
        <f>VLOOKUP(A1921,'4月明細'!B:B,1,0)</f>
        <v>#N/A</v>
      </c>
    </row>
    <row r="1922" spans="1:35" ht="19.95" customHeight="1" x14ac:dyDescent="0.3">
      <c r="A1922" s="33" t="s">
        <v>6766</v>
      </c>
      <c r="B1922" s="34">
        <v>45930.54315972222</v>
      </c>
      <c r="C1922" s="34" t="str">
        <f t="shared" si="42"/>
        <v>202509</v>
      </c>
      <c r="D1922" s="35" t="s">
        <v>996</v>
      </c>
      <c r="E1922" s="36" t="s">
        <v>910</v>
      </c>
      <c r="F1922" s="36" t="s">
        <v>1133</v>
      </c>
      <c r="G1922" s="37" t="s">
        <v>1472</v>
      </c>
      <c r="H1922" s="36" t="s">
        <v>5083</v>
      </c>
      <c r="I1922" s="35"/>
      <c r="J1922" s="36" t="s">
        <v>914</v>
      </c>
      <c r="K1922" s="33" t="s">
        <v>916</v>
      </c>
      <c r="L1922" s="35" t="s">
        <v>916</v>
      </c>
      <c r="M1922" s="36" t="s">
        <v>916</v>
      </c>
      <c r="N1922" s="45">
        <v>46022</v>
      </c>
      <c r="O1922" s="36" t="s">
        <v>25</v>
      </c>
      <c r="P1922" s="38">
        <v>91.456840277799998</v>
      </c>
      <c r="Q1922" s="39" t="s">
        <v>6767</v>
      </c>
      <c r="R1922" s="35" t="s">
        <v>916</v>
      </c>
      <c r="S1922" s="35" t="s">
        <v>6768</v>
      </c>
      <c r="T1922" s="35" t="s">
        <v>1701</v>
      </c>
      <c r="U1922" s="40">
        <v>45931</v>
      </c>
      <c r="V1922" s="41">
        <v>46153.533020833333</v>
      </c>
      <c r="W1922" s="40">
        <v>45930</v>
      </c>
      <c r="X1922" s="35" t="s">
        <v>916</v>
      </c>
      <c r="Y1922" s="35" t="s">
        <v>916</v>
      </c>
      <c r="Z1922" s="35" t="s">
        <v>916</v>
      </c>
      <c r="AA1922" s="38">
        <v>2194.9641666672001</v>
      </c>
      <c r="AB1922" s="42" t="s">
        <v>916</v>
      </c>
      <c r="AC1922" s="43" t="s">
        <v>916</v>
      </c>
      <c r="AD1922" s="43" t="s">
        <v>916</v>
      </c>
      <c r="AE1922" s="33" t="s">
        <v>3982</v>
      </c>
      <c r="AF1922" s="35" t="s">
        <v>916</v>
      </c>
      <c r="AG1922" s="44">
        <v>488677.03583333339</v>
      </c>
      <c r="AH1922" s="42" t="s">
        <v>916</v>
      </c>
      <c r="AI1922" s="32" t="e">
        <f>VLOOKUP(A1922,'4月明細'!B:B,1,0)</f>
        <v>#N/A</v>
      </c>
    </row>
    <row r="1923" spans="1:35" ht="19.95" customHeight="1" x14ac:dyDescent="0.3">
      <c r="A1923" s="33" t="s">
        <v>6769</v>
      </c>
      <c r="B1923" s="34">
        <v>45930.538136574076</v>
      </c>
      <c r="C1923" s="34" t="str">
        <f t="shared" ref="C1923:C1986" si="43">TEXT(B1923,"YYYYMM")</f>
        <v>202509</v>
      </c>
      <c r="D1923" s="35" t="s">
        <v>996</v>
      </c>
      <c r="E1923" s="36" t="s">
        <v>910</v>
      </c>
      <c r="F1923" s="36" t="s">
        <v>1133</v>
      </c>
      <c r="G1923" s="37" t="s">
        <v>1979</v>
      </c>
      <c r="H1923" s="36" t="s">
        <v>970</v>
      </c>
      <c r="I1923" s="35" t="s">
        <v>6770</v>
      </c>
      <c r="J1923" s="36" t="s">
        <v>914</v>
      </c>
      <c r="K1923" s="33" t="s">
        <v>916</v>
      </c>
      <c r="L1923" s="35" t="s">
        <v>916</v>
      </c>
      <c r="M1923" s="36" t="s">
        <v>916</v>
      </c>
      <c r="N1923" s="45">
        <v>46022</v>
      </c>
      <c r="O1923" s="36" t="s">
        <v>25</v>
      </c>
      <c r="P1923" s="38">
        <v>91.461863425900006</v>
      </c>
      <c r="Q1923" s="39" t="s">
        <v>6771</v>
      </c>
      <c r="R1923" s="35" t="s">
        <v>916</v>
      </c>
      <c r="S1923" s="35"/>
      <c r="T1923" s="35" t="s">
        <v>1701</v>
      </c>
      <c r="U1923" s="40">
        <v>45931</v>
      </c>
      <c r="V1923" s="41">
        <v>46153.533020833333</v>
      </c>
      <c r="W1923" s="40">
        <v>45930</v>
      </c>
      <c r="X1923" s="35" t="s">
        <v>916</v>
      </c>
      <c r="Y1923" s="35" t="s">
        <v>916</v>
      </c>
      <c r="Z1923" s="35" t="s">
        <v>916</v>
      </c>
      <c r="AA1923" s="38">
        <v>2195.0847222215998</v>
      </c>
      <c r="AB1923" s="42" t="s">
        <v>916</v>
      </c>
      <c r="AC1923" s="43" t="s">
        <v>916</v>
      </c>
      <c r="AD1923" s="43" t="s">
        <v>916</v>
      </c>
      <c r="AE1923" s="33" t="s">
        <v>3982</v>
      </c>
      <c r="AF1923" s="35" t="s">
        <v>916</v>
      </c>
      <c r="AG1923" s="44">
        <v>488676.91527777782</v>
      </c>
      <c r="AH1923" s="42" t="s">
        <v>916</v>
      </c>
      <c r="AI1923" s="32" t="e">
        <f>VLOOKUP(A1923,'4月明細'!B:B,1,0)</f>
        <v>#N/A</v>
      </c>
    </row>
    <row r="1924" spans="1:35" ht="19.95" customHeight="1" x14ac:dyDescent="0.3">
      <c r="A1924" s="33" t="s">
        <v>6772</v>
      </c>
      <c r="B1924" s="34">
        <v>45930.511631944442</v>
      </c>
      <c r="C1924" s="34" t="str">
        <f t="shared" si="43"/>
        <v>202509</v>
      </c>
      <c r="D1924" s="35" t="s">
        <v>4424</v>
      </c>
      <c r="E1924" s="36" t="s">
        <v>910</v>
      </c>
      <c r="F1924" s="36" t="s">
        <v>1335</v>
      </c>
      <c r="G1924" s="37" t="s">
        <v>6773</v>
      </c>
      <c r="H1924" s="36" t="s">
        <v>970</v>
      </c>
      <c r="I1924" s="35" t="s">
        <v>6774</v>
      </c>
      <c r="J1924" s="36" t="s">
        <v>938</v>
      </c>
      <c r="K1924" s="33" t="s">
        <v>916</v>
      </c>
      <c r="L1924" s="35" t="s">
        <v>916</v>
      </c>
      <c r="M1924" s="36" t="s">
        <v>916</v>
      </c>
      <c r="N1924" s="45">
        <v>46022</v>
      </c>
      <c r="O1924" s="36" t="s">
        <v>25</v>
      </c>
      <c r="P1924" s="38">
        <v>91.488368055600006</v>
      </c>
      <c r="Q1924" s="39" t="s">
        <v>6775</v>
      </c>
      <c r="R1924" s="35" t="s">
        <v>916</v>
      </c>
      <c r="S1924" s="35" t="s">
        <v>6776</v>
      </c>
      <c r="T1924" s="35" t="s">
        <v>1624</v>
      </c>
      <c r="U1924" s="40">
        <v>45931</v>
      </c>
      <c r="V1924" s="41">
        <v>46153.533020833333</v>
      </c>
      <c r="W1924" s="40">
        <v>45930</v>
      </c>
      <c r="X1924" s="35" t="s">
        <v>916</v>
      </c>
      <c r="Y1924" s="35" t="s">
        <v>916</v>
      </c>
      <c r="Z1924" s="35" t="s">
        <v>916</v>
      </c>
      <c r="AA1924" s="38">
        <v>2195.7208333344001</v>
      </c>
      <c r="AB1924" s="42" t="s">
        <v>916</v>
      </c>
      <c r="AC1924" s="43" t="s">
        <v>916</v>
      </c>
      <c r="AD1924" s="43" t="s">
        <v>916</v>
      </c>
      <c r="AE1924" s="33" t="s">
        <v>3982</v>
      </c>
      <c r="AF1924" s="35" t="s">
        <v>916</v>
      </c>
      <c r="AG1924" s="44">
        <v>488676.27916666667</v>
      </c>
      <c r="AH1924" s="42" t="s">
        <v>916</v>
      </c>
      <c r="AI1924" s="32" t="e">
        <f>VLOOKUP(A1924,'4月明細'!B:B,1,0)</f>
        <v>#N/A</v>
      </c>
    </row>
    <row r="1925" spans="1:35" ht="19.95" customHeight="1" x14ac:dyDescent="0.3">
      <c r="A1925" s="33" t="s">
        <v>6777</v>
      </c>
      <c r="B1925" s="34">
        <v>45930.523692129631</v>
      </c>
      <c r="C1925" s="34" t="str">
        <f t="shared" si="43"/>
        <v>202509</v>
      </c>
      <c r="D1925" s="35" t="s">
        <v>5380</v>
      </c>
      <c r="E1925" s="36" t="s">
        <v>910</v>
      </c>
      <c r="F1925" s="36" t="s">
        <v>981</v>
      </c>
      <c r="G1925" s="37" t="s">
        <v>6778</v>
      </c>
      <c r="H1925" s="36" t="s">
        <v>3985</v>
      </c>
      <c r="I1925" s="35" t="s">
        <v>6779</v>
      </c>
      <c r="J1925" s="36" t="s">
        <v>929</v>
      </c>
      <c r="K1925" s="33" t="s">
        <v>916</v>
      </c>
      <c r="L1925" s="35" t="s">
        <v>916</v>
      </c>
      <c r="M1925" s="36" t="s">
        <v>916</v>
      </c>
      <c r="N1925" s="45">
        <v>46022</v>
      </c>
      <c r="O1925" s="36" t="s">
        <v>25</v>
      </c>
      <c r="P1925" s="38">
        <v>91.476307870400007</v>
      </c>
      <c r="Q1925" s="39" t="s">
        <v>6767</v>
      </c>
      <c r="R1925" s="35" t="s">
        <v>916</v>
      </c>
      <c r="S1925" s="35" t="s">
        <v>6780</v>
      </c>
      <c r="T1925" s="35" t="s">
        <v>1701</v>
      </c>
      <c r="U1925" s="40">
        <v>45931</v>
      </c>
      <c r="V1925" s="41">
        <v>46153.533020833333</v>
      </c>
      <c r="W1925" s="40">
        <v>45930</v>
      </c>
      <c r="X1925" s="35" t="s">
        <v>916</v>
      </c>
      <c r="Y1925" s="35" t="s">
        <v>916</v>
      </c>
      <c r="Z1925" s="35" t="s">
        <v>916</v>
      </c>
      <c r="AA1925" s="38">
        <v>2195.4313888895999</v>
      </c>
      <c r="AB1925" s="42" t="s">
        <v>916</v>
      </c>
      <c r="AC1925" s="43" t="s">
        <v>916</v>
      </c>
      <c r="AD1925" s="43" t="s">
        <v>916</v>
      </c>
      <c r="AE1925" s="33" t="s">
        <v>3982</v>
      </c>
      <c r="AF1925" s="35" t="s">
        <v>916</v>
      </c>
      <c r="AG1925" s="44">
        <v>488676.56861111108</v>
      </c>
      <c r="AH1925" s="42" t="s">
        <v>916</v>
      </c>
      <c r="AI1925" s="32" t="e">
        <f>VLOOKUP(A1925,'4月明細'!B:B,1,0)</f>
        <v>#N/A</v>
      </c>
    </row>
    <row r="1926" spans="1:35" ht="19.95" customHeight="1" x14ac:dyDescent="0.3">
      <c r="A1926" s="33" t="s">
        <v>6781</v>
      </c>
      <c r="B1926" s="34">
        <v>45930.511817129627</v>
      </c>
      <c r="C1926" s="34" t="str">
        <f t="shared" si="43"/>
        <v>202509</v>
      </c>
      <c r="D1926" s="35" t="s">
        <v>996</v>
      </c>
      <c r="E1926" s="36" t="s">
        <v>910</v>
      </c>
      <c r="F1926" s="36" t="s">
        <v>1138</v>
      </c>
      <c r="G1926" s="37" t="s">
        <v>6782</v>
      </c>
      <c r="H1926" s="36" t="s">
        <v>4324</v>
      </c>
      <c r="I1926" s="35" t="s">
        <v>6783</v>
      </c>
      <c r="J1926" s="36" t="s">
        <v>914</v>
      </c>
      <c r="K1926" s="33" t="s">
        <v>916</v>
      </c>
      <c r="L1926" s="35" t="s">
        <v>916</v>
      </c>
      <c r="M1926" s="36" t="s">
        <v>916</v>
      </c>
      <c r="N1926" s="45">
        <v>46022</v>
      </c>
      <c r="O1926" s="36" t="s">
        <v>25</v>
      </c>
      <c r="P1926" s="38">
        <v>91.488182870399996</v>
      </c>
      <c r="Q1926" s="39" t="s">
        <v>6784</v>
      </c>
      <c r="R1926" s="35" t="s">
        <v>916</v>
      </c>
      <c r="S1926" s="35" t="s">
        <v>6785</v>
      </c>
      <c r="T1926" s="35" t="s">
        <v>1701</v>
      </c>
      <c r="U1926" s="40">
        <v>45931</v>
      </c>
      <c r="V1926" s="41">
        <v>46153.533020833333</v>
      </c>
      <c r="W1926" s="40">
        <v>45930</v>
      </c>
      <c r="X1926" s="35" t="s">
        <v>916</v>
      </c>
      <c r="Y1926" s="35" t="s">
        <v>916</v>
      </c>
      <c r="Z1926" s="35" t="s">
        <v>916</v>
      </c>
      <c r="AA1926" s="38">
        <v>2195.7163888895998</v>
      </c>
      <c r="AB1926" s="42" t="s">
        <v>916</v>
      </c>
      <c r="AC1926" s="43" t="s">
        <v>916</v>
      </c>
      <c r="AD1926" s="43" t="s">
        <v>916</v>
      </c>
      <c r="AE1926" s="33" t="s">
        <v>3982</v>
      </c>
      <c r="AF1926" s="35" t="s">
        <v>916</v>
      </c>
      <c r="AG1926" s="44">
        <v>488676.28361111111</v>
      </c>
      <c r="AH1926" s="42" t="s">
        <v>916</v>
      </c>
      <c r="AI1926" s="32" t="e">
        <f>VLOOKUP(A1926,'4月明細'!B:B,1,0)</f>
        <v>#N/A</v>
      </c>
    </row>
    <row r="1927" spans="1:35" ht="19.95" customHeight="1" x14ac:dyDescent="0.3">
      <c r="A1927" s="33" t="s">
        <v>6786</v>
      </c>
      <c r="B1927" s="34">
        <v>45930.509664351855</v>
      </c>
      <c r="C1927" s="34" t="str">
        <f t="shared" si="43"/>
        <v>202509</v>
      </c>
      <c r="D1927" s="35" t="s">
        <v>4424</v>
      </c>
      <c r="E1927" s="36" t="s">
        <v>910</v>
      </c>
      <c r="F1927" s="36" t="s">
        <v>1475</v>
      </c>
      <c r="G1927" s="37" t="s">
        <v>6787</v>
      </c>
      <c r="H1927" s="36" t="s">
        <v>4683</v>
      </c>
      <c r="I1927" s="35" t="s">
        <v>6788</v>
      </c>
      <c r="J1927" s="36" t="s">
        <v>929</v>
      </c>
      <c r="K1927" s="33" t="s">
        <v>916</v>
      </c>
      <c r="L1927" s="35" t="s">
        <v>916</v>
      </c>
      <c r="M1927" s="36" t="s">
        <v>916</v>
      </c>
      <c r="N1927" s="45">
        <v>46022</v>
      </c>
      <c r="O1927" s="36" t="s">
        <v>25</v>
      </c>
      <c r="P1927" s="38">
        <v>91.4903356481</v>
      </c>
      <c r="Q1927" s="39" t="s">
        <v>6789</v>
      </c>
      <c r="R1927" s="35" t="s">
        <v>916</v>
      </c>
      <c r="S1927" s="35"/>
      <c r="T1927" s="35" t="s">
        <v>1701</v>
      </c>
      <c r="U1927" s="40">
        <v>45931</v>
      </c>
      <c r="V1927" s="41">
        <v>46153.533020833333</v>
      </c>
      <c r="W1927" s="40">
        <v>45930</v>
      </c>
      <c r="X1927" s="35" t="s">
        <v>916</v>
      </c>
      <c r="Y1927" s="35" t="s">
        <v>916</v>
      </c>
      <c r="Z1927" s="35" t="s">
        <v>916</v>
      </c>
      <c r="AA1927" s="38">
        <v>2195.7680555543998</v>
      </c>
      <c r="AB1927" s="42" t="s">
        <v>916</v>
      </c>
      <c r="AC1927" s="43" t="s">
        <v>916</v>
      </c>
      <c r="AD1927" s="43" t="s">
        <v>916</v>
      </c>
      <c r="AE1927" s="33" t="s">
        <v>3982</v>
      </c>
      <c r="AF1927" s="35" t="s">
        <v>916</v>
      </c>
      <c r="AG1927" s="44">
        <v>488676.23194444447</v>
      </c>
      <c r="AH1927" s="42" t="s">
        <v>916</v>
      </c>
      <c r="AI1927" s="32" t="e">
        <f>VLOOKUP(A1927,'4月明細'!B:B,1,0)</f>
        <v>#N/A</v>
      </c>
    </row>
    <row r="1928" spans="1:35" ht="19.95" customHeight="1" x14ac:dyDescent="0.3">
      <c r="A1928" s="33" t="s">
        <v>6790</v>
      </c>
      <c r="B1928" s="34">
        <v>45930.504432870373</v>
      </c>
      <c r="C1928" s="34" t="str">
        <f t="shared" si="43"/>
        <v>202509</v>
      </c>
      <c r="D1928" s="35" t="s">
        <v>5380</v>
      </c>
      <c r="E1928" s="36" t="s">
        <v>910</v>
      </c>
      <c r="F1928" s="36" t="s">
        <v>1253</v>
      </c>
      <c r="G1928" s="37" t="s">
        <v>6791</v>
      </c>
      <c r="H1928" s="36" t="s">
        <v>4185</v>
      </c>
      <c r="I1928" s="35" t="s">
        <v>6792</v>
      </c>
      <c r="J1928" s="36" t="s">
        <v>929</v>
      </c>
      <c r="K1928" s="33" t="s">
        <v>916</v>
      </c>
      <c r="L1928" s="35" t="s">
        <v>916</v>
      </c>
      <c r="M1928" s="36" t="s">
        <v>916</v>
      </c>
      <c r="N1928" s="45">
        <v>46022</v>
      </c>
      <c r="O1928" s="36" t="s">
        <v>25</v>
      </c>
      <c r="P1928" s="38">
        <v>91.495567129600005</v>
      </c>
      <c r="Q1928" s="39" t="s">
        <v>6793</v>
      </c>
      <c r="R1928" s="35" t="s">
        <v>916</v>
      </c>
      <c r="S1928" s="35" t="s">
        <v>6794</v>
      </c>
      <c r="T1928" s="35" t="s">
        <v>1701</v>
      </c>
      <c r="U1928" s="40">
        <v>45931</v>
      </c>
      <c r="V1928" s="41">
        <v>46153.533020833333</v>
      </c>
      <c r="W1928" s="40">
        <v>45930</v>
      </c>
      <c r="X1928" s="35" t="s">
        <v>916</v>
      </c>
      <c r="Y1928" s="35" t="s">
        <v>916</v>
      </c>
      <c r="Z1928" s="35" t="s">
        <v>916</v>
      </c>
      <c r="AA1928" s="38">
        <v>2195.8936111103999</v>
      </c>
      <c r="AB1928" s="42" t="s">
        <v>916</v>
      </c>
      <c r="AC1928" s="43" t="s">
        <v>916</v>
      </c>
      <c r="AD1928" s="43" t="s">
        <v>916</v>
      </c>
      <c r="AE1928" s="33" t="s">
        <v>3982</v>
      </c>
      <c r="AF1928" s="35" t="s">
        <v>916</v>
      </c>
      <c r="AG1928" s="44">
        <v>488676.1063888889</v>
      </c>
      <c r="AH1928" s="42" t="s">
        <v>916</v>
      </c>
      <c r="AI1928" s="32" t="e">
        <f>VLOOKUP(A1928,'4月明細'!B:B,1,0)</f>
        <v>#N/A</v>
      </c>
    </row>
    <row r="1929" spans="1:35" ht="19.95" customHeight="1" x14ac:dyDescent="0.3">
      <c r="A1929" s="33" t="s">
        <v>6795</v>
      </c>
      <c r="B1929" s="34">
        <v>45930.469768518517</v>
      </c>
      <c r="C1929" s="34" t="str">
        <f t="shared" si="43"/>
        <v>202509</v>
      </c>
      <c r="D1929" s="35" t="s">
        <v>996</v>
      </c>
      <c r="E1929" s="36" t="s">
        <v>910</v>
      </c>
      <c r="F1929" s="36" t="s">
        <v>1138</v>
      </c>
      <c r="G1929" s="37" t="s">
        <v>1096</v>
      </c>
      <c r="H1929" s="36" t="s">
        <v>3979</v>
      </c>
      <c r="I1929" s="35"/>
      <c r="J1929" s="36" t="s">
        <v>914</v>
      </c>
      <c r="K1929" s="33" t="s">
        <v>916</v>
      </c>
      <c r="L1929" s="35" t="s">
        <v>916</v>
      </c>
      <c r="M1929" s="36" t="s">
        <v>916</v>
      </c>
      <c r="N1929" s="45">
        <v>46022</v>
      </c>
      <c r="O1929" s="36" t="s">
        <v>25</v>
      </c>
      <c r="P1929" s="38">
        <v>91.530231481499996</v>
      </c>
      <c r="Q1929" s="39" t="s">
        <v>1328</v>
      </c>
      <c r="R1929" s="35" t="s">
        <v>916</v>
      </c>
      <c r="S1929" s="35"/>
      <c r="T1929" s="35" t="s">
        <v>1701</v>
      </c>
      <c r="U1929" s="40">
        <v>45931</v>
      </c>
      <c r="V1929" s="41">
        <v>46153.533020833333</v>
      </c>
      <c r="W1929" s="40">
        <v>45930</v>
      </c>
      <c r="X1929" s="35" t="s">
        <v>916</v>
      </c>
      <c r="Y1929" s="35" t="s">
        <v>916</v>
      </c>
      <c r="Z1929" s="35" t="s">
        <v>916</v>
      </c>
      <c r="AA1929" s="38">
        <v>2196.725555556</v>
      </c>
      <c r="AB1929" s="42" t="s">
        <v>916</v>
      </c>
      <c r="AC1929" s="43" t="s">
        <v>916</v>
      </c>
      <c r="AD1929" s="43" t="s">
        <v>916</v>
      </c>
      <c r="AE1929" s="33" t="s">
        <v>3982</v>
      </c>
      <c r="AF1929" s="35" t="s">
        <v>916</v>
      </c>
      <c r="AG1929" s="44">
        <v>488675.27444444451</v>
      </c>
      <c r="AH1929" s="42" t="s">
        <v>916</v>
      </c>
      <c r="AI1929" s="32" t="e">
        <f>VLOOKUP(A1929,'4月明細'!B:B,1,0)</f>
        <v>#N/A</v>
      </c>
    </row>
    <row r="1930" spans="1:35" ht="19.95" customHeight="1" x14ac:dyDescent="0.3">
      <c r="A1930" s="33" t="s">
        <v>6796</v>
      </c>
      <c r="B1930" s="34">
        <v>45930.444328703707</v>
      </c>
      <c r="C1930" s="34" t="str">
        <f t="shared" si="43"/>
        <v>202509</v>
      </c>
      <c r="D1930" s="35" t="s">
        <v>996</v>
      </c>
      <c r="E1930" s="36" t="s">
        <v>910</v>
      </c>
      <c r="F1930" s="36" t="s">
        <v>1752</v>
      </c>
      <c r="G1930" s="37" t="s">
        <v>6797</v>
      </c>
      <c r="H1930" s="36" t="s">
        <v>4162</v>
      </c>
      <c r="I1930" s="35"/>
      <c r="J1930" s="36" t="s">
        <v>914</v>
      </c>
      <c r="K1930" s="33" t="s">
        <v>916</v>
      </c>
      <c r="L1930" s="35" t="s">
        <v>916</v>
      </c>
      <c r="M1930" s="36" t="s">
        <v>916</v>
      </c>
      <c r="N1930" s="45">
        <v>46022</v>
      </c>
      <c r="O1930" s="36" t="s">
        <v>25</v>
      </c>
      <c r="P1930" s="38">
        <v>91.555671296300005</v>
      </c>
      <c r="Q1930" s="39" t="s">
        <v>919</v>
      </c>
      <c r="R1930" s="35" t="s">
        <v>916</v>
      </c>
      <c r="S1930" s="35" t="s">
        <v>6798</v>
      </c>
      <c r="T1930" s="35" t="s">
        <v>1701</v>
      </c>
      <c r="U1930" s="40">
        <v>45931</v>
      </c>
      <c r="V1930" s="41">
        <v>46153.533020833333</v>
      </c>
      <c r="W1930" s="40">
        <v>45930</v>
      </c>
      <c r="X1930" s="35" t="s">
        <v>916</v>
      </c>
      <c r="Y1930" s="35" t="s">
        <v>916</v>
      </c>
      <c r="Z1930" s="35" t="s">
        <v>916</v>
      </c>
      <c r="AA1930" s="38">
        <v>2197.3361111111999</v>
      </c>
      <c r="AB1930" s="42" t="s">
        <v>916</v>
      </c>
      <c r="AC1930" s="43" t="s">
        <v>916</v>
      </c>
      <c r="AD1930" s="43" t="s">
        <v>916</v>
      </c>
      <c r="AE1930" s="33" t="s">
        <v>3982</v>
      </c>
      <c r="AF1930" s="35" t="s">
        <v>916</v>
      </c>
      <c r="AG1930" s="44">
        <v>488674.6638888889</v>
      </c>
      <c r="AH1930" s="42" t="s">
        <v>916</v>
      </c>
      <c r="AI1930" s="32" t="e">
        <f>VLOOKUP(A1930,'4月明細'!B:B,1,0)</f>
        <v>#N/A</v>
      </c>
    </row>
    <row r="1931" spans="1:35" ht="19.95" customHeight="1" x14ac:dyDescent="0.3">
      <c r="A1931" s="33" t="s">
        <v>6799</v>
      </c>
      <c r="B1931" s="34">
        <v>45930.441423611112</v>
      </c>
      <c r="C1931" s="34" t="str">
        <f t="shared" si="43"/>
        <v>202509</v>
      </c>
      <c r="D1931" s="35" t="s">
        <v>996</v>
      </c>
      <c r="E1931" s="36" t="s">
        <v>910</v>
      </c>
      <c r="F1931" s="36" t="s">
        <v>1588</v>
      </c>
      <c r="G1931" s="37" t="s">
        <v>6800</v>
      </c>
      <c r="H1931" s="36" t="s">
        <v>4162</v>
      </c>
      <c r="I1931" s="35"/>
      <c r="J1931" s="36" t="s">
        <v>914</v>
      </c>
      <c r="K1931" s="33" t="s">
        <v>916</v>
      </c>
      <c r="L1931" s="35" t="s">
        <v>916</v>
      </c>
      <c r="M1931" s="36" t="s">
        <v>916</v>
      </c>
      <c r="N1931" s="45">
        <v>46022</v>
      </c>
      <c r="O1931" s="36" t="s">
        <v>25</v>
      </c>
      <c r="P1931" s="38">
        <v>91.558576388899994</v>
      </c>
      <c r="Q1931" s="39" t="s">
        <v>1328</v>
      </c>
      <c r="R1931" s="35" t="s">
        <v>916</v>
      </c>
      <c r="S1931" s="35" t="s">
        <v>6801</v>
      </c>
      <c r="T1931" s="35" t="s">
        <v>1701</v>
      </c>
      <c r="U1931" s="40">
        <v>45931</v>
      </c>
      <c r="V1931" s="41">
        <v>46153.533020833333</v>
      </c>
      <c r="W1931" s="40">
        <v>45930</v>
      </c>
      <c r="X1931" s="35" t="s">
        <v>916</v>
      </c>
      <c r="Y1931" s="35" t="s">
        <v>916</v>
      </c>
      <c r="Z1931" s="35" t="s">
        <v>916</v>
      </c>
      <c r="AA1931" s="38">
        <v>2197.4058333336002</v>
      </c>
      <c r="AB1931" s="42" t="s">
        <v>916</v>
      </c>
      <c r="AC1931" s="43" t="s">
        <v>916</v>
      </c>
      <c r="AD1931" s="43" t="s">
        <v>916</v>
      </c>
      <c r="AE1931" s="33" t="s">
        <v>3982</v>
      </c>
      <c r="AF1931" s="35" t="s">
        <v>916</v>
      </c>
      <c r="AG1931" s="44">
        <v>488674.59416666668</v>
      </c>
      <c r="AH1931" s="42" t="s">
        <v>916</v>
      </c>
      <c r="AI1931" s="32" t="e">
        <f>VLOOKUP(A1931,'4月明細'!B:B,1,0)</f>
        <v>#N/A</v>
      </c>
    </row>
    <row r="1932" spans="1:35" ht="19.95" customHeight="1" x14ac:dyDescent="0.3">
      <c r="A1932" s="33" t="s">
        <v>6802</v>
      </c>
      <c r="B1932" s="34">
        <v>45930.438981481479</v>
      </c>
      <c r="C1932" s="34" t="str">
        <f t="shared" si="43"/>
        <v>202509</v>
      </c>
      <c r="D1932" s="35" t="s">
        <v>996</v>
      </c>
      <c r="E1932" s="36" t="s">
        <v>910</v>
      </c>
      <c r="F1932" s="36" t="s">
        <v>1588</v>
      </c>
      <c r="G1932" s="37" t="s">
        <v>6803</v>
      </c>
      <c r="H1932" s="36" t="s">
        <v>3979</v>
      </c>
      <c r="I1932" s="35"/>
      <c r="J1932" s="36" t="s">
        <v>914</v>
      </c>
      <c r="K1932" s="33" t="s">
        <v>916</v>
      </c>
      <c r="L1932" s="35" t="s">
        <v>916</v>
      </c>
      <c r="M1932" s="36" t="s">
        <v>916</v>
      </c>
      <c r="N1932" s="45">
        <v>46022</v>
      </c>
      <c r="O1932" s="36" t="s">
        <v>25</v>
      </c>
      <c r="P1932" s="38">
        <v>91.561018518500006</v>
      </c>
      <c r="Q1932" s="39" t="s">
        <v>1328</v>
      </c>
      <c r="R1932" s="35" t="s">
        <v>916</v>
      </c>
      <c r="S1932" s="35"/>
      <c r="T1932" s="35" t="s">
        <v>1701</v>
      </c>
      <c r="U1932" s="40">
        <v>45931</v>
      </c>
      <c r="V1932" s="41">
        <v>46153.533020833333</v>
      </c>
      <c r="W1932" s="40">
        <v>45930</v>
      </c>
      <c r="X1932" s="35" t="s">
        <v>916</v>
      </c>
      <c r="Y1932" s="35" t="s">
        <v>916</v>
      </c>
      <c r="Z1932" s="35" t="s">
        <v>916</v>
      </c>
      <c r="AA1932" s="38">
        <v>2197.464444444</v>
      </c>
      <c r="AB1932" s="42" t="s">
        <v>916</v>
      </c>
      <c r="AC1932" s="43" t="s">
        <v>916</v>
      </c>
      <c r="AD1932" s="43" t="s">
        <v>916</v>
      </c>
      <c r="AE1932" s="33" t="s">
        <v>3982</v>
      </c>
      <c r="AF1932" s="35" t="s">
        <v>916</v>
      </c>
      <c r="AG1932" s="44">
        <v>488674.5355555556</v>
      </c>
      <c r="AH1932" s="42" t="s">
        <v>916</v>
      </c>
      <c r="AI1932" s="32" t="e">
        <f>VLOOKUP(A1932,'4月明細'!B:B,1,0)</f>
        <v>#N/A</v>
      </c>
    </row>
    <row r="1933" spans="1:35" ht="19.95" customHeight="1" x14ac:dyDescent="0.3">
      <c r="A1933" s="33" t="s">
        <v>6804</v>
      </c>
      <c r="B1933" s="34">
        <v>45929.73133101852</v>
      </c>
      <c r="C1933" s="34" t="str">
        <f t="shared" si="43"/>
        <v>202509</v>
      </c>
      <c r="D1933" s="35" t="s">
        <v>951</v>
      </c>
      <c r="E1933" s="36" t="s">
        <v>910</v>
      </c>
      <c r="F1933" s="36" t="s">
        <v>1354</v>
      </c>
      <c r="G1933" s="37" t="s">
        <v>6805</v>
      </c>
      <c r="H1933" s="36" t="s">
        <v>3985</v>
      </c>
      <c r="I1933" s="35"/>
      <c r="J1933" s="36" t="s">
        <v>929</v>
      </c>
      <c r="K1933" s="33" t="s">
        <v>916</v>
      </c>
      <c r="L1933" s="35" t="s">
        <v>916</v>
      </c>
      <c r="M1933" s="36" t="s">
        <v>916</v>
      </c>
      <c r="N1933" s="45">
        <v>46022</v>
      </c>
      <c r="O1933" s="36" t="s">
        <v>25</v>
      </c>
      <c r="P1933" s="38">
        <v>92.268668981499999</v>
      </c>
      <c r="Q1933" s="39" t="s">
        <v>6806</v>
      </c>
      <c r="R1933" s="35" t="s">
        <v>916</v>
      </c>
      <c r="S1933" s="35"/>
      <c r="T1933" s="35" t="s">
        <v>1701</v>
      </c>
      <c r="U1933" s="40">
        <v>45930</v>
      </c>
      <c r="V1933" s="41">
        <v>46153.533020833333</v>
      </c>
      <c r="W1933" s="40">
        <v>45929</v>
      </c>
      <c r="X1933" s="35" t="s">
        <v>916</v>
      </c>
      <c r="Y1933" s="35" t="s">
        <v>916</v>
      </c>
      <c r="Z1933" s="35" t="s">
        <v>916</v>
      </c>
      <c r="AA1933" s="38">
        <v>2214.4480555559999</v>
      </c>
      <c r="AB1933" s="42" t="s">
        <v>916</v>
      </c>
      <c r="AC1933" s="43" t="s">
        <v>916</v>
      </c>
      <c r="AD1933" s="43" t="s">
        <v>916</v>
      </c>
      <c r="AE1933" s="33" t="s">
        <v>3982</v>
      </c>
      <c r="AF1933" s="35" t="s">
        <v>916</v>
      </c>
      <c r="AG1933" s="44">
        <v>488657.55194444448</v>
      </c>
      <c r="AH1933" s="42" t="s">
        <v>916</v>
      </c>
      <c r="AI1933" s="32" t="e">
        <f>VLOOKUP(A1933,'4月明細'!B:B,1,0)</f>
        <v>#N/A</v>
      </c>
    </row>
    <row r="1934" spans="1:35" ht="19.95" customHeight="1" x14ac:dyDescent="0.3">
      <c r="A1934" s="33" t="s">
        <v>6807</v>
      </c>
      <c r="B1934" s="34">
        <v>45929.730717592596</v>
      </c>
      <c r="C1934" s="34" t="str">
        <f t="shared" si="43"/>
        <v>202509</v>
      </c>
      <c r="D1934" s="35" t="s">
        <v>951</v>
      </c>
      <c r="E1934" s="36" t="s">
        <v>910</v>
      </c>
      <c r="F1934" s="36" t="s">
        <v>1354</v>
      </c>
      <c r="G1934" s="37" t="s">
        <v>6808</v>
      </c>
      <c r="H1934" s="36" t="s">
        <v>970</v>
      </c>
      <c r="I1934" s="35"/>
      <c r="J1934" s="36" t="s">
        <v>929</v>
      </c>
      <c r="K1934" s="33" t="s">
        <v>916</v>
      </c>
      <c r="L1934" s="35" t="s">
        <v>916</v>
      </c>
      <c r="M1934" s="36" t="s">
        <v>916</v>
      </c>
      <c r="N1934" s="45">
        <v>46022</v>
      </c>
      <c r="O1934" s="36" t="s">
        <v>25</v>
      </c>
      <c r="P1934" s="38">
        <v>92.269282407399999</v>
      </c>
      <c r="Q1934" s="39" t="s">
        <v>6775</v>
      </c>
      <c r="R1934" s="35" t="s">
        <v>916</v>
      </c>
      <c r="S1934" s="35"/>
      <c r="T1934" s="35" t="s">
        <v>1624</v>
      </c>
      <c r="U1934" s="40">
        <v>45930</v>
      </c>
      <c r="V1934" s="41">
        <v>46153.533020833333</v>
      </c>
      <c r="W1934" s="40">
        <v>45929</v>
      </c>
      <c r="X1934" s="35" t="s">
        <v>916</v>
      </c>
      <c r="Y1934" s="35" t="s">
        <v>916</v>
      </c>
      <c r="Z1934" s="35" t="s">
        <v>916</v>
      </c>
      <c r="AA1934" s="38">
        <v>2214.4627777776</v>
      </c>
      <c r="AB1934" s="42" t="s">
        <v>916</v>
      </c>
      <c r="AC1934" s="43" t="s">
        <v>916</v>
      </c>
      <c r="AD1934" s="43" t="s">
        <v>916</v>
      </c>
      <c r="AE1934" s="33" t="s">
        <v>3982</v>
      </c>
      <c r="AF1934" s="35" t="s">
        <v>916</v>
      </c>
      <c r="AG1934" s="44">
        <v>488657.53722222219</v>
      </c>
      <c r="AH1934" s="42" t="s">
        <v>916</v>
      </c>
      <c r="AI1934" s="32" t="e">
        <f>VLOOKUP(A1934,'4月明細'!B:B,1,0)</f>
        <v>#N/A</v>
      </c>
    </row>
    <row r="1935" spans="1:35" ht="19.95" customHeight="1" x14ac:dyDescent="0.3">
      <c r="A1935" s="33" t="s">
        <v>6809</v>
      </c>
      <c r="B1935" s="34">
        <v>45929.728692129633</v>
      </c>
      <c r="C1935" s="34" t="str">
        <f t="shared" si="43"/>
        <v>202509</v>
      </c>
      <c r="D1935" s="35" t="s">
        <v>951</v>
      </c>
      <c r="E1935" s="36" t="s">
        <v>910</v>
      </c>
      <c r="F1935" s="36" t="s">
        <v>1354</v>
      </c>
      <c r="G1935" s="37" t="s">
        <v>6810</v>
      </c>
      <c r="H1935" s="36" t="s">
        <v>3991</v>
      </c>
      <c r="I1935" s="35" t="s">
        <v>6811</v>
      </c>
      <c r="J1935" s="36" t="s">
        <v>929</v>
      </c>
      <c r="K1935" s="33" t="s">
        <v>916</v>
      </c>
      <c r="L1935" s="35" t="s">
        <v>916</v>
      </c>
      <c r="M1935" s="36" t="s">
        <v>916</v>
      </c>
      <c r="N1935" s="45">
        <v>46022</v>
      </c>
      <c r="O1935" s="36" t="s">
        <v>25</v>
      </c>
      <c r="P1935" s="38">
        <v>92.271307870399994</v>
      </c>
      <c r="Q1935" s="39" t="s">
        <v>1008</v>
      </c>
      <c r="R1935" s="35" t="s">
        <v>916</v>
      </c>
      <c r="S1935" s="35"/>
      <c r="T1935" s="35" t="s">
        <v>1701</v>
      </c>
      <c r="U1935" s="40">
        <v>45930</v>
      </c>
      <c r="V1935" s="41">
        <v>46153.533020833333</v>
      </c>
      <c r="W1935" s="40">
        <v>45929</v>
      </c>
      <c r="X1935" s="35" t="s">
        <v>916</v>
      </c>
      <c r="Y1935" s="35" t="s">
        <v>916</v>
      </c>
      <c r="Z1935" s="35" t="s">
        <v>916</v>
      </c>
      <c r="AA1935" s="38">
        <v>2214.5113888895999</v>
      </c>
      <c r="AB1935" s="42" t="s">
        <v>916</v>
      </c>
      <c r="AC1935" s="43" t="s">
        <v>916</v>
      </c>
      <c r="AD1935" s="43" t="s">
        <v>916</v>
      </c>
      <c r="AE1935" s="33" t="s">
        <v>3982</v>
      </c>
      <c r="AF1935" s="35" t="s">
        <v>916</v>
      </c>
      <c r="AG1935" s="44">
        <v>488657.48861111113</v>
      </c>
      <c r="AH1935" s="42" t="s">
        <v>916</v>
      </c>
      <c r="AI1935" s="32" t="e">
        <f>VLOOKUP(A1935,'4月明細'!B:B,1,0)</f>
        <v>#N/A</v>
      </c>
    </row>
    <row r="1936" spans="1:35" ht="19.95" customHeight="1" x14ac:dyDescent="0.3">
      <c r="A1936" s="33" t="s">
        <v>6812</v>
      </c>
      <c r="B1936" s="34">
        <v>45929.728101851855</v>
      </c>
      <c r="C1936" s="34" t="str">
        <f t="shared" si="43"/>
        <v>202509</v>
      </c>
      <c r="D1936" s="35" t="s">
        <v>951</v>
      </c>
      <c r="E1936" s="36" t="s">
        <v>910</v>
      </c>
      <c r="F1936" s="36" t="s">
        <v>1354</v>
      </c>
      <c r="G1936" s="37" t="s">
        <v>6813</v>
      </c>
      <c r="H1936" s="36" t="s">
        <v>4185</v>
      </c>
      <c r="I1936" s="35" t="s">
        <v>6814</v>
      </c>
      <c r="J1936" s="36" t="s">
        <v>929</v>
      </c>
      <c r="K1936" s="33" t="s">
        <v>916</v>
      </c>
      <c r="L1936" s="35" t="s">
        <v>916</v>
      </c>
      <c r="M1936" s="36" t="s">
        <v>916</v>
      </c>
      <c r="N1936" s="45">
        <v>46022</v>
      </c>
      <c r="O1936" s="36" t="s">
        <v>25</v>
      </c>
      <c r="P1936" s="38">
        <v>92.271898148099993</v>
      </c>
      <c r="Q1936" s="39" t="s">
        <v>1008</v>
      </c>
      <c r="R1936" s="35" t="s">
        <v>916</v>
      </c>
      <c r="S1936" s="35" t="s">
        <v>6815</v>
      </c>
      <c r="T1936" s="35" t="s">
        <v>1701</v>
      </c>
      <c r="U1936" s="40">
        <v>45930</v>
      </c>
      <c r="V1936" s="41">
        <v>46153.533020833333</v>
      </c>
      <c r="W1936" s="40">
        <v>45929</v>
      </c>
      <c r="X1936" s="35" t="s">
        <v>916</v>
      </c>
      <c r="Y1936" s="35" t="s">
        <v>916</v>
      </c>
      <c r="Z1936" s="35" t="s">
        <v>916</v>
      </c>
      <c r="AA1936" s="38">
        <v>2214.5255555543999</v>
      </c>
      <c r="AB1936" s="42" t="s">
        <v>916</v>
      </c>
      <c r="AC1936" s="43" t="s">
        <v>916</v>
      </c>
      <c r="AD1936" s="43" t="s">
        <v>916</v>
      </c>
      <c r="AE1936" s="33" t="s">
        <v>3982</v>
      </c>
      <c r="AF1936" s="35" t="s">
        <v>916</v>
      </c>
      <c r="AG1936" s="44">
        <v>488657.47444444441</v>
      </c>
      <c r="AH1936" s="42" t="s">
        <v>916</v>
      </c>
      <c r="AI1936" s="32" t="e">
        <f>VLOOKUP(A1936,'4月明細'!B:B,1,0)</f>
        <v>#N/A</v>
      </c>
    </row>
    <row r="1937" spans="1:35" ht="19.95" customHeight="1" x14ac:dyDescent="0.3">
      <c r="A1937" s="33" t="s">
        <v>6816</v>
      </c>
      <c r="B1937" s="34">
        <v>45929.727465277778</v>
      </c>
      <c r="C1937" s="34" t="str">
        <f t="shared" si="43"/>
        <v>202509</v>
      </c>
      <c r="D1937" s="35" t="s">
        <v>951</v>
      </c>
      <c r="E1937" s="36" t="s">
        <v>910</v>
      </c>
      <c r="F1937" s="36" t="s">
        <v>1121</v>
      </c>
      <c r="G1937" s="37" t="s">
        <v>6817</v>
      </c>
      <c r="H1937" s="36" t="s">
        <v>4029</v>
      </c>
      <c r="I1937" s="35" t="s">
        <v>6818</v>
      </c>
      <c r="J1937" s="36" t="s">
        <v>929</v>
      </c>
      <c r="K1937" s="33" t="s">
        <v>916</v>
      </c>
      <c r="L1937" s="35" t="s">
        <v>916</v>
      </c>
      <c r="M1937" s="36" t="s">
        <v>916</v>
      </c>
      <c r="N1937" s="45">
        <v>46022</v>
      </c>
      <c r="O1937" s="36" t="s">
        <v>25</v>
      </c>
      <c r="P1937" s="38">
        <v>92.272534722200007</v>
      </c>
      <c r="Q1937" s="39" t="s">
        <v>6678</v>
      </c>
      <c r="R1937" s="35" t="s">
        <v>916</v>
      </c>
      <c r="S1937" s="35"/>
      <c r="T1937" s="35" t="s">
        <v>1624</v>
      </c>
      <c r="U1937" s="40">
        <v>45930</v>
      </c>
      <c r="V1937" s="41">
        <v>46153.533020833333</v>
      </c>
      <c r="W1937" s="40">
        <v>45929</v>
      </c>
      <c r="X1937" s="35" t="s">
        <v>916</v>
      </c>
      <c r="Y1937" s="35" t="s">
        <v>916</v>
      </c>
      <c r="Z1937" s="35" t="s">
        <v>916</v>
      </c>
      <c r="AA1937" s="38">
        <v>2214.5408333328</v>
      </c>
      <c r="AB1937" s="42" t="s">
        <v>916</v>
      </c>
      <c r="AC1937" s="43" t="s">
        <v>916</v>
      </c>
      <c r="AD1937" s="43" t="s">
        <v>916</v>
      </c>
      <c r="AE1937" s="33" t="s">
        <v>3982</v>
      </c>
      <c r="AF1937" s="35" t="s">
        <v>916</v>
      </c>
      <c r="AG1937" s="44">
        <v>488657.45916666673</v>
      </c>
      <c r="AH1937" s="42" t="s">
        <v>916</v>
      </c>
      <c r="AI1937" s="32" t="e">
        <f>VLOOKUP(A1937,'4月明細'!B:B,1,0)</f>
        <v>#N/A</v>
      </c>
    </row>
    <row r="1938" spans="1:35" ht="19.95" customHeight="1" x14ac:dyDescent="0.3">
      <c r="A1938" s="33" t="s">
        <v>6819</v>
      </c>
      <c r="B1938" s="34">
        <v>45929.726921296293</v>
      </c>
      <c r="C1938" s="34" t="str">
        <f t="shared" si="43"/>
        <v>202509</v>
      </c>
      <c r="D1938" s="35" t="s">
        <v>951</v>
      </c>
      <c r="E1938" s="36" t="s">
        <v>910</v>
      </c>
      <c r="F1938" s="36" t="s">
        <v>1045</v>
      </c>
      <c r="G1938" s="37" t="s">
        <v>6820</v>
      </c>
      <c r="H1938" s="36" t="s">
        <v>1352</v>
      </c>
      <c r="I1938" s="35" t="s">
        <v>6821</v>
      </c>
      <c r="J1938" s="36" t="s">
        <v>929</v>
      </c>
      <c r="K1938" s="33" t="s">
        <v>916</v>
      </c>
      <c r="L1938" s="35" t="s">
        <v>916</v>
      </c>
      <c r="M1938" s="36" t="s">
        <v>916</v>
      </c>
      <c r="N1938" s="45">
        <v>46022</v>
      </c>
      <c r="O1938" s="36" t="s">
        <v>25</v>
      </c>
      <c r="P1938" s="38">
        <v>92.273078703699994</v>
      </c>
      <c r="Q1938" s="39" t="s">
        <v>6822</v>
      </c>
      <c r="R1938" s="35" t="s">
        <v>916</v>
      </c>
      <c r="S1938" s="35" t="s">
        <v>6823</v>
      </c>
      <c r="T1938" s="35" t="s">
        <v>1701</v>
      </c>
      <c r="U1938" s="40">
        <v>45930</v>
      </c>
      <c r="V1938" s="41">
        <v>46153.533020833333</v>
      </c>
      <c r="W1938" s="40">
        <v>45929</v>
      </c>
      <c r="X1938" s="35" t="s">
        <v>916</v>
      </c>
      <c r="Y1938" s="35" t="s">
        <v>916</v>
      </c>
      <c r="Z1938" s="35" t="s">
        <v>916</v>
      </c>
      <c r="AA1938" s="38">
        <v>2214.5538888888</v>
      </c>
      <c r="AB1938" s="42" t="s">
        <v>916</v>
      </c>
      <c r="AC1938" s="43" t="s">
        <v>916</v>
      </c>
      <c r="AD1938" s="43" t="s">
        <v>916</v>
      </c>
      <c r="AE1938" s="33" t="s">
        <v>3982</v>
      </c>
      <c r="AF1938" s="35" t="s">
        <v>916</v>
      </c>
      <c r="AG1938" s="44">
        <v>488657.44611111109</v>
      </c>
      <c r="AH1938" s="42" t="s">
        <v>916</v>
      </c>
      <c r="AI1938" s="32" t="e">
        <f>VLOOKUP(A1938,'4月明細'!B:B,1,0)</f>
        <v>#N/A</v>
      </c>
    </row>
    <row r="1939" spans="1:35" ht="19.95" customHeight="1" x14ac:dyDescent="0.3">
      <c r="A1939" s="33" t="s">
        <v>6824</v>
      </c>
      <c r="B1939" s="34">
        <v>45929.726539351854</v>
      </c>
      <c r="C1939" s="34" t="str">
        <f t="shared" si="43"/>
        <v>202509</v>
      </c>
      <c r="D1939" s="35" t="s">
        <v>951</v>
      </c>
      <c r="E1939" s="36" t="s">
        <v>910</v>
      </c>
      <c r="F1939" s="36" t="s">
        <v>1354</v>
      </c>
      <c r="G1939" s="37" t="s">
        <v>6825</v>
      </c>
      <c r="H1939" s="36" t="s">
        <v>1352</v>
      </c>
      <c r="I1939" s="35"/>
      <c r="J1939" s="36" t="s">
        <v>929</v>
      </c>
      <c r="K1939" s="33" t="s">
        <v>916</v>
      </c>
      <c r="L1939" s="35" t="s">
        <v>916</v>
      </c>
      <c r="M1939" s="36" t="s">
        <v>916</v>
      </c>
      <c r="N1939" s="45">
        <v>46022</v>
      </c>
      <c r="O1939" s="36" t="s">
        <v>25</v>
      </c>
      <c r="P1939" s="38">
        <v>92.273460648099999</v>
      </c>
      <c r="Q1939" s="39" t="s">
        <v>6826</v>
      </c>
      <c r="R1939" s="35" t="s">
        <v>916</v>
      </c>
      <c r="S1939" s="35"/>
      <c r="T1939" s="35" t="s">
        <v>1701</v>
      </c>
      <c r="U1939" s="40">
        <v>45930</v>
      </c>
      <c r="V1939" s="41">
        <v>46153.533020833333</v>
      </c>
      <c r="W1939" s="40">
        <v>45929</v>
      </c>
      <c r="X1939" s="35" t="s">
        <v>916</v>
      </c>
      <c r="Y1939" s="35" t="s">
        <v>916</v>
      </c>
      <c r="Z1939" s="35" t="s">
        <v>916</v>
      </c>
      <c r="AA1939" s="38">
        <v>2214.5630555543999</v>
      </c>
      <c r="AB1939" s="42" t="s">
        <v>916</v>
      </c>
      <c r="AC1939" s="43" t="s">
        <v>916</v>
      </c>
      <c r="AD1939" s="43" t="s">
        <v>916</v>
      </c>
      <c r="AE1939" s="33" t="s">
        <v>3982</v>
      </c>
      <c r="AF1939" s="35" t="s">
        <v>916</v>
      </c>
      <c r="AG1939" s="44">
        <v>488657.43694444449</v>
      </c>
      <c r="AH1939" s="42" t="s">
        <v>916</v>
      </c>
      <c r="AI1939" s="32" t="e">
        <f>VLOOKUP(A1939,'4月明細'!B:B,1,0)</f>
        <v>#N/A</v>
      </c>
    </row>
    <row r="1940" spans="1:35" ht="19.95" customHeight="1" x14ac:dyDescent="0.3">
      <c r="A1940" s="33" t="s">
        <v>6827</v>
      </c>
      <c r="B1940" s="34">
        <v>45929.725763888891</v>
      </c>
      <c r="C1940" s="34" t="str">
        <f t="shared" si="43"/>
        <v>202509</v>
      </c>
      <c r="D1940" s="35" t="s">
        <v>951</v>
      </c>
      <c r="E1940" s="36" t="s">
        <v>910</v>
      </c>
      <c r="F1940" s="36" t="s">
        <v>1045</v>
      </c>
      <c r="G1940" s="37" t="s">
        <v>6828</v>
      </c>
      <c r="H1940" s="36" t="s">
        <v>970</v>
      </c>
      <c r="I1940" s="35" t="s">
        <v>6829</v>
      </c>
      <c r="J1940" s="36" t="s">
        <v>929</v>
      </c>
      <c r="K1940" s="33" t="s">
        <v>916</v>
      </c>
      <c r="L1940" s="35" t="s">
        <v>916</v>
      </c>
      <c r="M1940" s="36" t="s">
        <v>916</v>
      </c>
      <c r="N1940" s="45">
        <v>46022</v>
      </c>
      <c r="O1940" s="36" t="s">
        <v>25</v>
      </c>
      <c r="P1940" s="38">
        <v>92.274236111099995</v>
      </c>
      <c r="Q1940" s="39" t="s">
        <v>6775</v>
      </c>
      <c r="R1940" s="35" t="s">
        <v>916</v>
      </c>
      <c r="S1940" s="35"/>
      <c r="T1940" s="35" t="s">
        <v>1624</v>
      </c>
      <c r="U1940" s="40">
        <v>45930</v>
      </c>
      <c r="V1940" s="41">
        <v>46153.533020833333</v>
      </c>
      <c r="W1940" s="40">
        <v>45929</v>
      </c>
      <c r="X1940" s="35" t="s">
        <v>916</v>
      </c>
      <c r="Y1940" s="35" t="s">
        <v>916</v>
      </c>
      <c r="Z1940" s="35" t="s">
        <v>916</v>
      </c>
      <c r="AA1940" s="38">
        <v>2214.5816666664</v>
      </c>
      <c r="AB1940" s="42" t="s">
        <v>916</v>
      </c>
      <c r="AC1940" s="43" t="s">
        <v>916</v>
      </c>
      <c r="AD1940" s="43" t="s">
        <v>916</v>
      </c>
      <c r="AE1940" s="33" t="s">
        <v>3982</v>
      </c>
      <c r="AF1940" s="35" t="s">
        <v>916</v>
      </c>
      <c r="AG1940" s="44">
        <v>488657.41833333328</v>
      </c>
      <c r="AH1940" s="42" t="s">
        <v>916</v>
      </c>
      <c r="AI1940" s="32" t="e">
        <f>VLOOKUP(A1940,'4月明細'!B:B,1,0)</f>
        <v>#N/A</v>
      </c>
    </row>
    <row r="1941" spans="1:35" ht="19.95" customHeight="1" x14ac:dyDescent="0.3">
      <c r="A1941" s="33" t="s">
        <v>6830</v>
      </c>
      <c r="B1941" s="34">
        <v>45929.724872685183</v>
      </c>
      <c r="C1941" s="34" t="str">
        <f t="shared" si="43"/>
        <v>202509</v>
      </c>
      <c r="D1941" s="35" t="s">
        <v>6831</v>
      </c>
      <c r="E1941" s="36" t="s">
        <v>910</v>
      </c>
      <c r="F1941" s="36" t="s">
        <v>1354</v>
      </c>
      <c r="G1941" s="37" t="s">
        <v>6832</v>
      </c>
      <c r="H1941" s="36" t="s">
        <v>4196</v>
      </c>
      <c r="I1941" s="35" t="s">
        <v>6833</v>
      </c>
      <c r="J1941" s="36" t="s">
        <v>929</v>
      </c>
      <c r="K1941" s="33" t="s">
        <v>916</v>
      </c>
      <c r="L1941" s="35" t="s">
        <v>916</v>
      </c>
      <c r="M1941" s="36" t="s">
        <v>916</v>
      </c>
      <c r="N1941" s="45">
        <v>46022</v>
      </c>
      <c r="O1941" s="36" t="s">
        <v>25</v>
      </c>
      <c r="P1941" s="38">
        <v>92.275127314800002</v>
      </c>
      <c r="Q1941" s="39" t="s">
        <v>1008</v>
      </c>
      <c r="R1941" s="35" t="s">
        <v>916</v>
      </c>
      <c r="S1941" s="35"/>
      <c r="T1941" s="35" t="s">
        <v>1701</v>
      </c>
      <c r="U1941" s="40">
        <v>45930</v>
      </c>
      <c r="V1941" s="41">
        <v>46153.533020833333</v>
      </c>
      <c r="W1941" s="40">
        <v>45929</v>
      </c>
      <c r="X1941" s="35" t="s">
        <v>916</v>
      </c>
      <c r="Y1941" s="35" t="s">
        <v>916</v>
      </c>
      <c r="Z1941" s="35" t="s">
        <v>916</v>
      </c>
      <c r="AA1941" s="38">
        <v>2214.6030555552002</v>
      </c>
      <c r="AB1941" s="42" t="s">
        <v>916</v>
      </c>
      <c r="AC1941" s="43" t="s">
        <v>916</v>
      </c>
      <c r="AD1941" s="43" t="s">
        <v>916</v>
      </c>
      <c r="AE1941" s="33" t="s">
        <v>3982</v>
      </c>
      <c r="AF1941" s="35" t="s">
        <v>916</v>
      </c>
      <c r="AG1941" s="44">
        <v>488657.39694444451</v>
      </c>
      <c r="AH1941" s="42" t="s">
        <v>916</v>
      </c>
      <c r="AI1941" s="32" t="e">
        <f>VLOOKUP(A1941,'4月明細'!B:B,1,0)</f>
        <v>#N/A</v>
      </c>
    </row>
    <row r="1942" spans="1:35" ht="19.95" customHeight="1" x14ac:dyDescent="0.3">
      <c r="A1942" s="33" t="s">
        <v>6834</v>
      </c>
      <c r="B1942" s="34">
        <v>45929.681550925925</v>
      </c>
      <c r="C1942" s="34" t="str">
        <f t="shared" si="43"/>
        <v>202509</v>
      </c>
      <c r="D1942" s="35" t="s">
        <v>5380</v>
      </c>
      <c r="E1942" s="36" t="s">
        <v>910</v>
      </c>
      <c r="F1942" s="36" t="s">
        <v>1010</v>
      </c>
      <c r="G1942" s="37" t="s">
        <v>6835</v>
      </c>
      <c r="H1942" s="36" t="s">
        <v>1007</v>
      </c>
      <c r="I1942" s="35" t="s">
        <v>6836</v>
      </c>
      <c r="J1942" s="36" t="s">
        <v>929</v>
      </c>
      <c r="K1942" s="33" t="s">
        <v>916</v>
      </c>
      <c r="L1942" s="35" t="s">
        <v>916</v>
      </c>
      <c r="M1942" s="36" t="s">
        <v>916</v>
      </c>
      <c r="N1942" s="45">
        <v>46022</v>
      </c>
      <c r="O1942" s="36" t="s">
        <v>25</v>
      </c>
      <c r="P1942" s="38">
        <v>92.318449074100002</v>
      </c>
      <c r="Q1942" s="39" t="s">
        <v>6837</v>
      </c>
      <c r="R1942" s="35" t="s">
        <v>916</v>
      </c>
      <c r="S1942" s="35"/>
      <c r="T1942" s="35" t="s">
        <v>1624</v>
      </c>
      <c r="U1942" s="40">
        <v>45930</v>
      </c>
      <c r="V1942" s="41">
        <v>46153.533020833333</v>
      </c>
      <c r="W1942" s="40">
        <v>45929</v>
      </c>
      <c r="X1942" s="35" t="s">
        <v>916</v>
      </c>
      <c r="Y1942" s="35" t="s">
        <v>916</v>
      </c>
      <c r="Z1942" s="35" t="s">
        <v>916</v>
      </c>
      <c r="AA1942" s="38">
        <v>2215.6427777784002</v>
      </c>
      <c r="AB1942" s="42" t="s">
        <v>916</v>
      </c>
      <c r="AC1942" s="43" t="s">
        <v>916</v>
      </c>
      <c r="AD1942" s="43" t="s">
        <v>916</v>
      </c>
      <c r="AE1942" s="33" t="s">
        <v>3982</v>
      </c>
      <c r="AF1942" s="35" t="s">
        <v>916</v>
      </c>
      <c r="AG1942" s="44">
        <v>488656.3572222222</v>
      </c>
      <c r="AH1942" s="42" t="s">
        <v>916</v>
      </c>
      <c r="AI1942" s="32" t="e">
        <f>VLOOKUP(A1942,'4月明細'!B:B,1,0)</f>
        <v>#N/A</v>
      </c>
    </row>
    <row r="1943" spans="1:35" ht="19.95" customHeight="1" x14ac:dyDescent="0.3">
      <c r="A1943" s="33" t="s">
        <v>6838</v>
      </c>
      <c r="B1943" s="34">
        <v>45929.634143518517</v>
      </c>
      <c r="C1943" s="34" t="str">
        <f t="shared" si="43"/>
        <v>202509</v>
      </c>
      <c r="D1943" s="35" t="s">
        <v>5380</v>
      </c>
      <c r="E1943" s="36" t="s">
        <v>910</v>
      </c>
      <c r="F1943" s="36" t="s">
        <v>1121</v>
      </c>
      <c r="G1943" s="37" t="s">
        <v>6839</v>
      </c>
      <c r="H1943" s="36" t="s">
        <v>4481</v>
      </c>
      <c r="I1943" s="35" t="s">
        <v>6840</v>
      </c>
      <c r="J1943" s="36" t="s">
        <v>929</v>
      </c>
      <c r="K1943" s="33" t="s">
        <v>916</v>
      </c>
      <c r="L1943" s="35" t="s">
        <v>916</v>
      </c>
      <c r="M1943" s="36" t="s">
        <v>916</v>
      </c>
      <c r="N1943" s="45">
        <v>46022</v>
      </c>
      <c r="O1943" s="36" t="s">
        <v>25</v>
      </c>
      <c r="P1943" s="38">
        <v>92.365856481500003</v>
      </c>
      <c r="Q1943" s="39" t="s">
        <v>6767</v>
      </c>
      <c r="R1943" s="35" t="s">
        <v>916</v>
      </c>
      <c r="S1943" s="35" t="s">
        <v>6841</v>
      </c>
      <c r="T1943" s="35" t="s">
        <v>1701</v>
      </c>
      <c r="U1943" s="40">
        <v>45930</v>
      </c>
      <c r="V1943" s="41">
        <v>46153.533020833333</v>
      </c>
      <c r="W1943" s="40">
        <v>45929</v>
      </c>
      <c r="X1943" s="35" t="s">
        <v>916</v>
      </c>
      <c r="Y1943" s="35" t="s">
        <v>916</v>
      </c>
      <c r="Z1943" s="35" t="s">
        <v>916</v>
      </c>
      <c r="AA1943" s="38">
        <v>2216.7805555559999</v>
      </c>
      <c r="AB1943" s="42" t="s">
        <v>916</v>
      </c>
      <c r="AC1943" s="43" t="s">
        <v>916</v>
      </c>
      <c r="AD1943" s="43" t="s">
        <v>916</v>
      </c>
      <c r="AE1943" s="33" t="s">
        <v>3982</v>
      </c>
      <c r="AF1943" s="35" t="s">
        <v>916</v>
      </c>
      <c r="AG1943" s="44">
        <v>488655.21944444452</v>
      </c>
      <c r="AH1943" s="42" t="s">
        <v>916</v>
      </c>
      <c r="AI1943" s="32" t="e">
        <f>VLOOKUP(A1943,'4月明細'!B:B,1,0)</f>
        <v>#N/A</v>
      </c>
    </row>
    <row r="1944" spans="1:35" ht="19.95" customHeight="1" x14ac:dyDescent="0.3">
      <c r="A1944" s="33" t="s">
        <v>6842</v>
      </c>
      <c r="B1944" s="34">
        <v>45929.565995370373</v>
      </c>
      <c r="C1944" s="34" t="str">
        <f t="shared" si="43"/>
        <v>202509</v>
      </c>
      <c r="D1944" s="35" t="s">
        <v>996</v>
      </c>
      <c r="E1944" s="36" t="s">
        <v>910</v>
      </c>
      <c r="F1944" s="36" t="s">
        <v>1441</v>
      </c>
      <c r="G1944" s="37" t="s">
        <v>6843</v>
      </c>
      <c r="H1944" s="36" t="s">
        <v>4324</v>
      </c>
      <c r="I1944" s="35"/>
      <c r="J1944" s="36" t="s">
        <v>914</v>
      </c>
      <c r="K1944" s="33" t="s">
        <v>916</v>
      </c>
      <c r="L1944" s="35" t="s">
        <v>916</v>
      </c>
      <c r="M1944" s="36" t="s">
        <v>916</v>
      </c>
      <c r="N1944" s="45">
        <v>46022</v>
      </c>
      <c r="O1944" s="36" t="s">
        <v>25</v>
      </c>
      <c r="P1944" s="38">
        <v>92.434004629599997</v>
      </c>
      <c r="Q1944" s="39" t="s">
        <v>931</v>
      </c>
      <c r="R1944" s="35" t="s">
        <v>916</v>
      </c>
      <c r="S1944" s="35"/>
      <c r="T1944" s="35" t="s">
        <v>1701</v>
      </c>
      <c r="U1944" s="40">
        <v>45930</v>
      </c>
      <c r="V1944" s="41">
        <v>46153.533020833333</v>
      </c>
      <c r="W1944" s="40">
        <v>45929</v>
      </c>
      <c r="X1944" s="35" t="s">
        <v>916</v>
      </c>
      <c r="Y1944" s="35" t="s">
        <v>916</v>
      </c>
      <c r="Z1944" s="35" t="s">
        <v>916</v>
      </c>
      <c r="AA1944" s="38">
        <v>2218.4161111103999</v>
      </c>
      <c r="AB1944" s="42" t="s">
        <v>916</v>
      </c>
      <c r="AC1944" s="43" t="s">
        <v>916</v>
      </c>
      <c r="AD1944" s="43" t="s">
        <v>916</v>
      </c>
      <c r="AE1944" s="33" t="s">
        <v>3982</v>
      </c>
      <c r="AF1944" s="35" t="s">
        <v>916</v>
      </c>
      <c r="AG1944" s="44">
        <v>488653.58388888888</v>
      </c>
      <c r="AH1944" s="42" t="s">
        <v>916</v>
      </c>
      <c r="AI1944" s="32" t="e">
        <f>VLOOKUP(A1944,'4月明細'!B:B,1,0)</f>
        <v>#N/A</v>
      </c>
    </row>
    <row r="1945" spans="1:35" ht="19.95" customHeight="1" x14ac:dyDescent="0.3">
      <c r="A1945" s="33" t="s">
        <v>6844</v>
      </c>
      <c r="B1945" s="34">
        <v>45929.485358796293</v>
      </c>
      <c r="C1945" s="34" t="str">
        <f t="shared" si="43"/>
        <v>202509</v>
      </c>
      <c r="D1945" s="35" t="s">
        <v>996</v>
      </c>
      <c r="E1945" s="36" t="s">
        <v>910</v>
      </c>
      <c r="F1945" s="36" t="s">
        <v>1634</v>
      </c>
      <c r="G1945" s="37" t="s">
        <v>6845</v>
      </c>
      <c r="H1945" s="36" t="s">
        <v>3985</v>
      </c>
      <c r="I1945" s="35"/>
      <c r="J1945" s="36" t="s">
        <v>914</v>
      </c>
      <c r="K1945" s="33" t="s">
        <v>916</v>
      </c>
      <c r="L1945" s="35" t="s">
        <v>916</v>
      </c>
      <c r="M1945" s="36" t="s">
        <v>916</v>
      </c>
      <c r="N1945" s="45">
        <v>46022</v>
      </c>
      <c r="O1945" s="36" t="s">
        <v>25</v>
      </c>
      <c r="P1945" s="38">
        <v>92.514641203699995</v>
      </c>
      <c r="Q1945" s="39" t="s">
        <v>6767</v>
      </c>
      <c r="R1945" s="35" t="s">
        <v>916</v>
      </c>
      <c r="S1945" s="35"/>
      <c r="T1945" s="35" t="s">
        <v>1701</v>
      </c>
      <c r="U1945" s="40">
        <v>45930</v>
      </c>
      <c r="V1945" s="41">
        <v>46153.533020833333</v>
      </c>
      <c r="W1945" s="40">
        <v>45929</v>
      </c>
      <c r="X1945" s="35" t="s">
        <v>916</v>
      </c>
      <c r="Y1945" s="35" t="s">
        <v>916</v>
      </c>
      <c r="Z1945" s="35" t="s">
        <v>916</v>
      </c>
      <c r="AA1945" s="38">
        <v>2220.3513888888001</v>
      </c>
      <c r="AB1945" s="42" t="s">
        <v>916</v>
      </c>
      <c r="AC1945" s="43" t="s">
        <v>916</v>
      </c>
      <c r="AD1945" s="43" t="s">
        <v>916</v>
      </c>
      <c r="AE1945" s="33" t="s">
        <v>3982</v>
      </c>
      <c r="AF1945" s="35" t="s">
        <v>916</v>
      </c>
      <c r="AG1945" s="44">
        <v>488651.6486111111</v>
      </c>
      <c r="AH1945" s="42" t="s">
        <v>916</v>
      </c>
      <c r="AI1945" s="32" t="e">
        <f>VLOOKUP(A1945,'4月明細'!B:B,1,0)</f>
        <v>#N/A</v>
      </c>
    </row>
    <row r="1946" spans="1:35" ht="19.95" customHeight="1" x14ac:dyDescent="0.3">
      <c r="A1946" s="33" t="s">
        <v>6846</v>
      </c>
      <c r="B1946" s="34">
        <v>45928.702037037037</v>
      </c>
      <c r="C1946" s="34" t="str">
        <f t="shared" si="43"/>
        <v>202509</v>
      </c>
      <c r="D1946" s="35" t="s">
        <v>6847</v>
      </c>
      <c r="E1946" s="36" t="s">
        <v>910</v>
      </c>
      <c r="F1946" s="36" t="s">
        <v>1750</v>
      </c>
      <c r="G1946" s="37" t="s">
        <v>6848</v>
      </c>
      <c r="H1946" s="36" t="s">
        <v>4023</v>
      </c>
      <c r="I1946" s="35"/>
      <c r="J1946" s="36" t="s">
        <v>938</v>
      </c>
      <c r="K1946" s="33" t="s">
        <v>916</v>
      </c>
      <c r="L1946" s="35" t="s">
        <v>916</v>
      </c>
      <c r="M1946" s="36" t="s">
        <v>916</v>
      </c>
      <c r="N1946" s="45">
        <v>46022</v>
      </c>
      <c r="O1946" s="36" t="s">
        <v>25</v>
      </c>
      <c r="P1946" s="38">
        <v>93.297962963000003</v>
      </c>
      <c r="Q1946" s="39" t="s">
        <v>6849</v>
      </c>
      <c r="R1946" s="35" t="s">
        <v>916</v>
      </c>
      <c r="S1946" s="35" t="s">
        <v>6850</v>
      </c>
      <c r="T1946" s="35" t="s">
        <v>1701</v>
      </c>
      <c r="U1946" s="40">
        <v>45929</v>
      </c>
      <c r="V1946" s="41">
        <v>46153.533020833333</v>
      </c>
      <c r="W1946" s="40">
        <v>45928</v>
      </c>
      <c r="X1946" s="35" t="s">
        <v>916</v>
      </c>
      <c r="Y1946" s="35" t="s">
        <v>916</v>
      </c>
      <c r="Z1946" s="35" t="s">
        <v>916</v>
      </c>
      <c r="AA1946" s="38">
        <v>2239.1511111119999</v>
      </c>
      <c r="AB1946" s="42" t="s">
        <v>916</v>
      </c>
      <c r="AC1946" s="43" t="s">
        <v>916</v>
      </c>
      <c r="AD1946" s="43" t="s">
        <v>916</v>
      </c>
      <c r="AE1946" s="33" t="s">
        <v>3982</v>
      </c>
      <c r="AF1946" s="35" t="s">
        <v>916</v>
      </c>
      <c r="AG1946" s="44">
        <v>488632.8488888889</v>
      </c>
      <c r="AH1946" s="42" t="s">
        <v>916</v>
      </c>
      <c r="AI1946" s="32" t="e">
        <f>VLOOKUP(A1946,'4月明細'!B:B,1,0)</f>
        <v>#N/A</v>
      </c>
    </row>
    <row r="1947" spans="1:35" ht="19.95" customHeight="1" x14ac:dyDescent="0.3">
      <c r="A1947" s="33" t="s">
        <v>6851</v>
      </c>
      <c r="B1947" s="34">
        <v>45928.681851851848</v>
      </c>
      <c r="C1947" s="34" t="str">
        <f t="shared" si="43"/>
        <v>202509</v>
      </c>
      <c r="D1947" s="35" t="s">
        <v>5380</v>
      </c>
      <c r="E1947" s="36" t="s">
        <v>910</v>
      </c>
      <c r="F1947" s="36" t="s">
        <v>1232</v>
      </c>
      <c r="G1947" s="37" t="s">
        <v>6852</v>
      </c>
      <c r="H1947" s="36" t="s">
        <v>3991</v>
      </c>
      <c r="I1947" s="35" t="s">
        <v>6853</v>
      </c>
      <c r="J1947" s="36" t="s">
        <v>929</v>
      </c>
      <c r="K1947" s="33" t="s">
        <v>916</v>
      </c>
      <c r="L1947" s="35" t="s">
        <v>916</v>
      </c>
      <c r="M1947" s="36" t="s">
        <v>916</v>
      </c>
      <c r="N1947" s="45">
        <v>46022</v>
      </c>
      <c r="O1947" s="36" t="s">
        <v>25</v>
      </c>
      <c r="P1947" s="38">
        <v>93.318148148099993</v>
      </c>
      <c r="Q1947" s="39" t="s">
        <v>6854</v>
      </c>
      <c r="R1947" s="35" t="s">
        <v>916</v>
      </c>
      <c r="S1947" s="35" t="s">
        <v>6855</v>
      </c>
      <c r="T1947" s="35" t="s">
        <v>1701</v>
      </c>
      <c r="U1947" s="40">
        <v>45929</v>
      </c>
      <c r="V1947" s="41">
        <v>46153.533020833333</v>
      </c>
      <c r="W1947" s="40">
        <v>45928</v>
      </c>
      <c r="X1947" s="35" t="s">
        <v>916</v>
      </c>
      <c r="Y1947" s="35" t="s">
        <v>916</v>
      </c>
      <c r="Z1947" s="35" t="s">
        <v>916</v>
      </c>
      <c r="AA1947" s="38">
        <v>2239.6355555544001</v>
      </c>
      <c r="AB1947" s="42" t="s">
        <v>916</v>
      </c>
      <c r="AC1947" s="43" t="s">
        <v>916</v>
      </c>
      <c r="AD1947" s="43" t="s">
        <v>916</v>
      </c>
      <c r="AE1947" s="33" t="s">
        <v>3982</v>
      </c>
      <c r="AF1947" s="35" t="s">
        <v>916</v>
      </c>
      <c r="AG1947" s="44">
        <v>488632.36444444442</v>
      </c>
      <c r="AH1947" s="42" t="s">
        <v>916</v>
      </c>
      <c r="AI1947" s="32" t="e">
        <f>VLOOKUP(A1947,'4月明細'!B:B,1,0)</f>
        <v>#N/A</v>
      </c>
    </row>
    <row r="1948" spans="1:35" ht="19.95" customHeight="1" x14ac:dyDescent="0.3">
      <c r="A1948" s="33" t="s">
        <v>6856</v>
      </c>
      <c r="B1948" s="34">
        <v>45928.615960648145</v>
      </c>
      <c r="C1948" s="34" t="str">
        <f t="shared" si="43"/>
        <v>202509</v>
      </c>
      <c r="D1948" s="35" t="s">
        <v>5380</v>
      </c>
      <c r="E1948" s="36" t="s">
        <v>910</v>
      </c>
      <c r="F1948" s="36" t="s">
        <v>1469</v>
      </c>
      <c r="G1948" s="37" t="s">
        <v>6857</v>
      </c>
      <c r="H1948" s="36" t="s">
        <v>4162</v>
      </c>
      <c r="I1948" s="35" t="s">
        <v>6858</v>
      </c>
      <c r="J1948" s="36" t="s">
        <v>914</v>
      </c>
      <c r="K1948" s="33" t="s">
        <v>916</v>
      </c>
      <c r="L1948" s="35" t="s">
        <v>916</v>
      </c>
      <c r="M1948" s="36" t="s">
        <v>916</v>
      </c>
      <c r="N1948" s="45">
        <v>46022</v>
      </c>
      <c r="O1948" s="36" t="s">
        <v>25</v>
      </c>
      <c r="P1948" s="38">
        <v>93.3840393519</v>
      </c>
      <c r="Q1948" s="39" t="s">
        <v>2266</v>
      </c>
      <c r="R1948" s="35" t="s">
        <v>916</v>
      </c>
      <c r="S1948" s="35" t="s">
        <v>6859</v>
      </c>
      <c r="T1948" s="35" t="s">
        <v>1701</v>
      </c>
      <c r="U1948" s="40">
        <v>45929</v>
      </c>
      <c r="V1948" s="41">
        <v>46153.533020833333</v>
      </c>
      <c r="W1948" s="40">
        <v>45928</v>
      </c>
      <c r="X1948" s="35" t="s">
        <v>916</v>
      </c>
      <c r="Y1948" s="35" t="s">
        <v>916</v>
      </c>
      <c r="Z1948" s="35" t="s">
        <v>916</v>
      </c>
      <c r="AA1948" s="38">
        <v>2241.2169444455999</v>
      </c>
      <c r="AB1948" s="42" t="s">
        <v>916</v>
      </c>
      <c r="AC1948" s="43" t="s">
        <v>916</v>
      </c>
      <c r="AD1948" s="43" t="s">
        <v>916</v>
      </c>
      <c r="AE1948" s="33" t="s">
        <v>3982</v>
      </c>
      <c r="AF1948" s="35" t="s">
        <v>916</v>
      </c>
      <c r="AG1948" s="44">
        <v>488630.78305555548</v>
      </c>
      <c r="AH1948" s="42" t="s">
        <v>916</v>
      </c>
      <c r="AI1948" s="32" t="e">
        <f>VLOOKUP(A1948,'4月明細'!B:B,1,0)</f>
        <v>#N/A</v>
      </c>
    </row>
    <row r="1949" spans="1:35" ht="19.95" customHeight="1" x14ac:dyDescent="0.3">
      <c r="A1949" s="33" t="s">
        <v>6860</v>
      </c>
      <c r="B1949" s="34">
        <v>45928.615810185183</v>
      </c>
      <c r="C1949" s="34" t="str">
        <f t="shared" si="43"/>
        <v>202509</v>
      </c>
      <c r="D1949" s="35" t="s">
        <v>996</v>
      </c>
      <c r="E1949" s="36" t="s">
        <v>910</v>
      </c>
      <c r="F1949" s="36" t="s">
        <v>926</v>
      </c>
      <c r="G1949" s="37" t="s">
        <v>6861</v>
      </c>
      <c r="H1949" s="36" t="s">
        <v>3991</v>
      </c>
      <c r="I1949" s="35"/>
      <c r="J1949" s="36" t="s">
        <v>914</v>
      </c>
      <c r="K1949" s="33" t="s">
        <v>916</v>
      </c>
      <c r="L1949" s="35" t="s">
        <v>916</v>
      </c>
      <c r="M1949" s="36" t="s">
        <v>916</v>
      </c>
      <c r="N1949" s="45">
        <v>46022</v>
      </c>
      <c r="O1949" s="36" t="s">
        <v>25</v>
      </c>
      <c r="P1949" s="38">
        <v>93.384189814799996</v>
      </c>
      <c r="Q1949" s="39" t="s">
        <v>6854</v>
      </c>
      <c r="R1949" s="35" t="s">
        <v>916</v>
      </c>
      <c r="S1949" s="35" t="s">
        <v>6862</v>
      </c>
      <c r="T1949" s="35" t="s">
        <v>1701</v>
      </c>
      <c r="U1949" s="40">
        <v>45929</v>
      </c>
      <c r="V1949" s="41">
        <v>46153.533020833333</v>
      </c>
      <c r="W1949" s="40">
        <v>45928</v>
      </c>
      <c r="X1949" s="35" t="s">
        <v>916</v>
      </c>
      <c r="Y1949" s="35" t="s">
        <v>916</v>
      </c>
      <c r="Z1949" s="35" t="s">
        <v>916</v>
      </c>
      <c r="AA1949" s="38">
        <v>2241.2205555552</v>
      </c>
      <c r="AB1949" s="42" t="s">
        <v>916</v>
      </c>
      <c r="AC1949" s="43" t="s">
        <v>916</v>
      </c>
      <c r="AD1949" s="43" t="s">
        <v>916</v>
      </c>
      <c r="AE1949" s="33" t="s">
        <v>3982</v>
      </c>
      <c r="AF1949" s="35" t="s">
        <v>916</v>
      </c>
      <c r="AG1949" s="44">
        <v>488630.77944444452</v>
      </c>
      <c r="AH1949" s="42" t="s">
        <v>916</v>
      </c>
      <c r="AI1949" s="32" t="e">
        <f>VLOOKUP(A1949,'4月明細'!B:B,1,0)</f>
        <v>#N/A</v>
      </c>
    </row>
    <row r="1950" spans="1:35" ht="19.95" customHeight="1" x14ac:dyDescent="0.3">
      <c r="A1950" s="33" t="s">
        <v>6863</v>
      </c>
      <c r="B1950" s="34">
        <v>45928.600185185183</v>
      </c>
      <c r="C1950" s="34" t="str">
        <f t="shared" si="43"/>
        <v>202509</v>
      </c>
      <c r="D1950" s="35" t="s">
        <v>996</v>
      </c>
      <c r="E1950" s="36" t="s">
        <v>910</v>
      </c>
      <c r="F1950" s="36" t="s">
        <v>1534</v>
      </c>
      <c r="G1950" s="37" t="s">
        <v>6864</v>
      </c>
      <c r="H1950" s="36" t="s">
        <v>1043</v>
      </c>
      <c r="I1950" s="35"/>
      <c r="J1950" s="36" t="s">
        <v>914</v>
      </c>
      <c r="K1950" s="33" t="s">
        <v>916</v>
      </c>
      <c r="L1950" s="35" t="s">
        <v>916</v>
      </c>
      <c r="M1950" s="36" t="s">
        <v>916</v>
      </c>
      <c r="N1950" s="45">
        <v>46022</v>
      </c>
      <c r="O1950" s="36" t="s">
        <v>25</v>
      </c>
      <c r="P1950" s="38">
        <v>93.399814814799996</v>
      </c>
      <c r="Q1950" s="39" t="s">
        <v>6865</v>
      </c>
      <c r="R1950" s="35" t="s">
        <v>916</v>
      </c>
      <c r="S1950" s="35" t="s">
        <v>6866</v>
      </c>
      <c r="T1950" s="35" t="s">
        <v>1701</v>
      </c>
      <c r="U1950" s="40">
        <v>45929</v>
      </c>
      <c r="V1950" s="41">
        <v>46153.533020833333</v>
      </c>
      <c r="W1950" s="40">
        <v>45928</v>
      </c>
      <c r="X1950" s="35" t="s">
        <v>916</v>
      </c>
      <c r="Y1950" s="35" t="s">
        <v>916</v>
      </c>
      <c r="Z1950" s="35" t="s">
        <v>916</v>
      </c>
      <c r="AA1950" s="38">
        <v>2241.5955555552</v>
      </c>
      <c r="AB1950" s="42" t="s">
        <v>916</v>
      </c>
      <c r="AC1950" s="43" t="s">
        <v>916</v>
      </c>
      <c r="AD1950" s="43" t="s">
        <v>916</v>
      </c>
      <c r="AE1950" s="33" t="s">
        <v>3982</v>
      </c>
      <c r="AF1950" s="35" t="s">
        <v>916</v>
      </c>
      <c r="AG1950" s="44">
        <v>488630.40444444452</v>
      </c>
      <c r="AH1950" s="42" t="s">
        <v>916</v>
      </c>
      <c r="AI1950" s="32" t="e">
        <f>VLOOKUP(A1950,'4月明細'!B:B,1,0)</f>
        <v>#N/A</v>
      </c>
    </row>
    <row r="1951" spans="1:35" ht="19.95" customHeight="1" x14ac:dyDescent="0.3">
      <c r="A1951" s="33" t="s">
        <v>6867</v>
      </c>
      <c r="B1951" s="34">
        <v>45928.556909722225</v>
      </c>
      <c r="C1951" s="34" t="str">
        <f t="shared" si="43"/>
        <v>202509</v>
      </c>
      <c r="D1951" s="35" t="s">
        <v>951</v>
      </c>
      <c r="E1951" s="36" t="s">
        <v>910</v>
      </c>
      <c r="F1951" s="36" t="s">
        <v>1612</v>
      </c>
      <c r="G1951" s="37" t="s">
        <v>6868</v>
      </c>
      <c r="H1951" s="36" t="s">
        <v>4324</v>
      </c>
      <c r="I1951" s="35" t="s">
        <v>6869</v>
      </c>
      <c r="J1951" s="36" t="s">
        <v>929</v>
      </c>
      <c r="K1951" s="33" t="s">
        <v>916</v>
      </c>
      <c r="L1951" s="35" t="s">
        <v>916</v>
      </c>
      <c r="M1951" s="36" t="s">
        <v>916</v>
      </c>
      <c r="N1951" s="45">
        <v>46022</v>
      </c>
      <c r="O1951" s="36" t="s">
        <v>25</v>
      </c>
      <c r="P1951" s="38">
        <v>93.443090277799996</v>
      </c>
      <c r="Q1951" s="39" t="s">
        <v>6870</v>
      </c>
      <c r="R1951" s="35" t="s">
        <v>916</v>
      </c>
      <c r="S1951" s="35" t="s">
        <v>6871</v>
      </c>
      <c r="T1951" s="35" t="s">
        <v>1701</v>
      </c>
      <c r="U1951" s="40">
        <v>45929</v>
      </c>
      <c r="V1951" s="41">
        <v>46153.533020833333</v>
      </c>
      <c r="W1951" s="40">
        <v>45928</v>
      </c>
      <c r="X1951" s="35" t="s">
        <v>916</v>
      </c>
      <c r="Y1951" s="35" t="s">
        <v>916</v>
      </c>
      <c r="Z1951" s="35" t="s">
        <v>916</v>
      </c>
      <c r="AA1951" s="38">
        <v>2242.6341666672001</v>
      </c>
      <c r="AB1951" s="42" t="s">
        <v>916</v>
      </c>
      <c r="AC1951" s="43" t="s">
        <v>916</v>
      </c>
      <c r="AD1951" s="43" t="s">
        <v>916</v>
      </c>
      <c r="AE1951" s="33" t="s">
        <v>3982</v>
      </c>
      <c r="AF1951" s="35" t="s">
        <v>916</v>
      </c>
      <c r="AG1951" s="44">
        <v>488629.36583333329</v>
      </c>
      <c r="AH1951" s="42" t="s">
        <v>916</v>
      </c>
      <c r="AI1951" s="32" t="e">
        <f>VLOOKUP(A1951,'4月明細'!B:B,1,0)</f>
        <v>#N/A</v>
      </c>
    </row>
    <row r="1952" spans="1:35" ht="19.95" customHeight="1" x14ac:dyDescent="0.3">
      <c r="A1952" s="33" t="s">
        <v>6872</v>
      </c>
      <c r="B1952" s="34">
        <v>45928.523159722223</v>
      </c>
      <c r="C1952" s="34" t="str">
        <f t="shared" si="43"/>
        <v>202509</v>
      </c>
      <c r="D1952" s="35" t="s">
        <v>951</v>
      </c>
      <c r="E1952" s="36" t="s">
        <v>910</v>
      </c>
      <c r="F1952" s="36" t="s">
        <v>1606</v>
      </c>
      <c r="G1952" s="37" t="s">
        <v>6873</v>
      </c>
      <c r="H1952" s="36" t="s">
        <v>4017</v>
      </c>
      <c r="I1952" s="35" t="s">
        <v>6874</v>
      </c>
      <c r="J1952" s="36" t="s">
        <v>929</v>
      </c>
      <c r="K1952" s="33" t="s">
        <v>916</v>
      </c>
      <c r="L1952" s="35" t="s">
        <v>916</v>
      </c>
      <c r="M1952" s="36" t="s">
        <v>916</v>
      </c>
      <c r="N1952" s="45">
        <v>46022</v>
      </c>
      <c r="O1952" s="36" t="s">
        <v>25</v>
      </c>
      <c r="P1952" s="38">
        <v>93.476840277799994</v>
      </c>
      <c r="Q1952" s="39" t="s">
        <v>6767</v>
      </c>
      <c r="R1952" s="35" t="s">
        <v>916</v>
      </c>
      <c r="S1952" s="35" t="s">
        <v>6875</v>
      </c>
      <c r="T1952" s="35" t="s">
        <v>1701</v>
      </c>
      <c r="U1952" s="40">
        <v>45929</v>
      </c>
      <c r="V1952" s="41">
        <v>46153.533020833333</v>
      </c>
      <c r="W1952" s="40">
        <v>45928</v>
      </c>
      <c r="X1952" s="35" t="s">
        <v>916</v>
      </c>
      <c r="Y1952" s="35" t="s">
        <v>916</v>
      </c>
      <c r="Z1952" s="35" t="s">
        <v>916</v>
      </c>
      <c r="AA1952" s="38">
        <v>2243.4441666672001</v>
      </c>
      <c r="AB1952" s="42" t="s">
        <v>916</v>
      </c>
      <c r="AC1952" s="43" t="s">
        <v>916</v>
      </c>
      <c r="AD1952" s="43" t="s">
        <v>916</v>
      </c>
      <c r="AE1952" s="33" t="s">
        <v>3982</v>
      </c>
      <c r="AF1952" s="35" t="s">
        <v>916</v>
      </c>
      <c r="AG1952" s="44">
        <v>488628.55583333329</v>
      </c>
      <c r="AH1952" s="42" t="s">
        <v>916</v>
      </c>
      <c r="AI1952" s="32" t="e">
        <f>VLOOKUP(A1952,'4月明細'!B:B,1,0)</f>
        <v>#N/A</v>
      </c>
    </row>
    <row r="1953" spans="1:35" ht="19.95" customHeight="1" x14ac:dyDescent="0.3">
      <c r="A1953" s="33" t="s">
        <v>6876</v>
      </c>
      <c r="B1953" s="34">
        <v>45928.520983796298</v>
      </c>
      <c r="C1953" s="34" t="str">
        <f t="shared" si="43"/>
        <v>202509</v>
      </c>
      <c r="D1953" s="35" t="s">
        <v>6877</v>
      </c>
      <c r="E1953" s="36" t="s">
        <v>910</v>
      </c>
      <c r="F1953" s="36" t="s">
        <v>1441</v>
      </c>
      <c r="G1953" s="37" t="s">
        <v>6878</v>
      </c>
      <c r="H1953" s="36" t="s">
        <v>4324</v>
      </c>
      <c r="I1953" s="35" t="s">
        <v>6879</v>
      </c>
      <c r="J1953" s="36" t="s">
        <v>914</v>
      </c>
      <c r="K1953" s="33" t="s">
        <v>916</v>
      </c>
      <c r="L1953" s="35" t="s">
        <v>916</v>
      </c>
      <c r="M1953" s="36" t="s">
        <v>916</v>
      </c>
      <c r="N1953" s="45">
        <v>46022</v>
      </c>
      <c r="O1953" s="36" t="s">
        <v>25</v>
      </c>
      <c r="P1953" s="38">
        <v>93.479016203699999</v>
      </c>
      <c r="Q1953" s="39" t="s">
        <v>6880</v>
      </c>
      <c r="R1953" s="35" t="s">
        <v>916</v>
      </c>
      <c r="S1953" s="35" t="s">
        <v>6881</v>
      </c>
      <c r="T1953" s="35" t="s">
        <v>1701</v>
      </c>
      <c r="U1953" s="40">
        <v>45929</v>
      </c>
      <c r="V1953" s="41">
        <v>46153.533020833333</v>
      </c>
      <c r="W1953" s="40">
        <v>45928</v>
      </c>
      <c r="X1953" s="35" t="s">
        <v>916</v>
      </c>
      <c r="Y1953" s="35" t="s">
        <v>916</v>
      </c>
      <c r="Z1953" s="35" t="s">
        <v>916</v>
      </c>
      <c r="AA1953" s="38">
        <v>2243.4963888888001</v>
      </c>
      <c r="AB1953" s="42" t="s">
        <v>916</v>
      </c>
      <c r="AC1953" s="43" t="s">
        <v>916</v>
      </c>
      <c r="AD1953" s="43" t="s">
        <v>916</v>
      </c>
      <c r="AE1953" s="33" t="s">
        <v>3982</v>
      </c>
      <c r="AF1953" s="35" t="s">
        <v>916</v>
      </c>
      <c r="AG1953" s="44">
        <v>488628.50361111108</v>
      </c>
      <c r="AH1953" s="42" t="s">
        <v>916</v>
      </c>
      <c r="AI1953" s="32" t="e">
        <f>VLOOKUP(A1953,'4月明細'!B:B,1,0)</f>
        <v>#N/A</v>
      </c>
    </row>
    <row r="1954" spans="1:35" ht="19.95" customHeight="1" x14ac:dyDescent="0.3">
      <c r="A1954" s="33" t="s">
        <v>6882</v>
      </c>
      <c r="B1954" s="34">
        <v>45928.519733796296</v>
      </c>
      <c r="C1954" s="34" t="str">
        <f t="shared" si="43"/>
        <v>202509</v>
      </c>
      <c r="D1954" s="35" t="s">
        <v>951</v>
      </c>
      <c r="E1954" s="36" t="s">
        <v>910</v>
      </c>
      <c r="F1954" s="36" t="s">
        <v>981</v>
      </c>
      <c r="G1954" s="37" t="s">
        <v>6883</v>
      </c>
      <c r="H1954" s="36" t="s">
        <v>4324</v>
      </c>
      <c r="I1954" s="35" t="s">
        <v>6884</v>
      </c>
      <c r="J1954" s="36" t="s">
        <v>914</v>
      </c>
      <c r="K1954" s="33" t="s">
        <v>916</v>
      </c>
      <c r="L1954" s="35" t="s">
        <v>916</v>
      </c>
      <c r="M1954" s="36" t="s">
        <v>916</v>
      </c>
      <c r="N1954" s="45">
        <v>46022</v>
      </c>
      <c r="O1954" s="36" t="s">
        <v>25</v>
      </c>
      <c r="P1954" s="38">
        <v>93.480266203699998</v>
      </c>
      <c r="Q1954" s="39" t="s">
        <v>6767</v>
      </c>
      <c r="R1954" s="35" t="s">
        <v>916</v>
      </c>
      <c r="S1954" s="35" t="s">
        <v>6885</v>
      </c>
      <c r="T1954" s="35" t="s">
        <v>1701</v>
      </c>
      <c r="U1954" s="40">
        <v>45929</v>
      </c>
      <c r="V1954" s="41">
        <v>46153.533020833333</v>
      </c>
      <c r="W1954" s="40">
        <v>45928</v>
      </c>
      <c r="X1954" s="35" t="s">
        <v>916</v>
      </c>
      <c r="Y1954" s="35" t="s">
        <v>916</v>
      </c>
      <c r="Z1954" s="35" t="s">
        <v>916</v>
      </c>
      <c r="AA1954" s="38">
        <v>2243.5263888887998</v>
      </c>
      <c r="AB1954" s="42" t="s">
        <v>916</v>
      </c>
      <c r="AC1954" s="43" t="s">
        <v>916</v>
      </c>
      <c r="AD1954" s="43" t="s">
        <v>916</v>
      </c>
      <c r="AE1954" s="33" t="s">
        <v>3982</v>
      </c>
      <c r="AF1954" s="35" t="s">
        <v>916</v>
      </c>
      <c r="AG1954" s="44">
        <v>488628.47361111111</v>
      </c>
      <c r="AH1954" s="42" t="s">
        <v>916</v>
      </c>
      <c r="AI1954" s="32" t="e">
        <f>VLOOKUP(A1954,'4月明細'!B:B,1,0)</f>
        <v>#N/A</v>
      </c>
    </row>
    <row r="1955" spans="1:35" ht="19.95" customHeight="1" x14ac:dyDescent="0.3">
      <c r="A1955" s="33" t="s">
        <v>6886</v>
      </c>
      <c r="B1955" s="34">
        <v>45928.417604166665</v>
      </c>
      <c r="C1955" s="34" t="str">
        <f t="shared" si="43"/>
        <v>202509</v>
      </c>
      <c r="D1955" s="35" t="s">
        <v>6877</v>
      </c>
      <c r="E1955" s="36" t="s">
        <v>910</v>
      </c>
      <c r="F1955" s="36" t="s">
        <v>1718</v>
      </c>
      <c r="G1955" s="37" t="s">
        <v>6887</v>
      </c>
      <c r="H1955" s="36" t="s">
        <v>4324</v>
      </c>
      <c r="I1955" s="35" t="s">
        <v>6879</v>
      </c>
      <c r="J1955" s="36" t="s">
        <v>914</v>
      </c>
      <c r="K1955" s="33" t="s">
        <v>916</v>
      </c>
      <c r="L1955" s="35" t="s">
        <v>916</v>
      </c>
      <c r="M1955" s="36" t="s">
        <v>916</v>
      </c>
      <c r="N1955" s="45">
        <v>46022</v>
      </c>
      <c r="O1955" s="36" t="s">
        <v>25</v>
      </c>
      <c r="P1955" s="38">
        <v>93.582395833299998</v>
      </c>
      <c r="Q1955" s="39" t="s">
        <v>2171</v>
      </c>
      <c r="R1955" s="35" t="s">
        <v>916</v>
      </c>
      <c r="S1955" s="35"/>
      <c r="T1955" s="35" t="s">
        <v>1701</v>
      </c>
      <c r="U1955" s="40">
        <v>45929</v>
      </c>
      <c r="V1955" s="41">
        <v>46153.533020833333</v>
      </c>
      <c r="W1955" s="40">
        <v>45928</v>
      </c>
      <c r="X1955" s="35" t="s">
        <v>916</v>
      </c>
      <c r="Y1955" s="35" t="s">
        <v>916</v>
      </c>
      <c r="Z1955" s="35" t="s">
        <v>916</v>
      </c>
      <c r="AA1955" s="38">
        <v>2245.9774999992001</v>
      </c>
      <c r="AB1955" s="42" t="s">
        <v>916</v>
      </c>
      <c r="AC1955" s="43" t="s">
        <v>916</v>
      </c>
      <c r="AD1955" s="43" t="s">
        <v>916</v>
      </c>
      <c r="AE1955" s="33" t="s">
        <v>3982</v>
      </c>
      <c r="AF1955" s="35" t="s">
        <v>916</v>
      </c>
      <c r="AG1955" s="44">
        <v>488626.02250000008</v>
      </c>
      <c r="AH1955" s="42" t="s">
        <v>916</v>
      </c>
      <c r="AI1955" s="32" t="e">
        <f>VLOOKUP(A1955,'4月明細'!B:B,1,0)</f>
        <v>#N/A</v>
      </c>
    </row>
    <row r="1956" spans="1:35" ht="19.95" customHeight="1" x14ac:dyDescent="0.3">
      <c r="A1956" s="33" t="s">
        <v>6888</v>
      </c>
      <c r="B1956" s="34">
        <v>45928.459918981483</v>
      </c>
      <c r="C1956" s="34" t="str">
        <f t="shared" si="43"/>
        <v>202509</v>
      </c>
      <c r="D1956" s="35" t="s">
        <v>5380</v>
      </c>
      <c r="E1956" s="36" t="s">
        <v>910</v>
      </c>
      <c r="F1956" s="36" t="s">
        <v>1060</v>
      </c>
      <c r="G1956" s="37" t="s">
        <v>6889</v>
      </c>
      <c r="H1956" s="36" t="s">
        <v>3985</v>
      </c>
      <c r="I1956" s="35" t="s">
        <v>6890</v>
      </c>
      <c r="J1956" s="36" t="s">
        <v>914</v>
      </c>
      <c r="K1956" s="33" t="s">
        <v>916</v>
      </c>
      <c r="L1956" s="35" t="s">
        <v>916</v>
      </c>
      <c r="M1956" s="36" t="s">
        <v>916</v>
      </c>
      <c r="N1956" s="45">
        <v>46022</v>
      </c>
      <c r="O1956" s="36" t="s">
        <v>25</v>
      </c>
      <c r="P1956" s="38">
        <v>93.540081018500004</v>
      </c>
      <c r="Q1956" s="39" t="s">
        <v>6767</v>
      </c>
      <c r="R1956" s="35" t="s">
        <v>916</v>
      </c>
      <c r="S1956" s="35" t="s">
        <v>6891</v>
      </c>
      <c r="T1956" s="35" t="s">
        <v>1701</v>
      </c>
      <c r="U1956" s="40">
        <v>45929</v>
      </c>
      <c r="V1956" s="41">
        <v>46153.533020833333</v>
      </c>
      <c r="W1956" s="40">
        <v>45928</v>
      </c>
      <c r="X1956" s="35" t="s">
        <v>916</v>
      </c>
      <c r="Y1956" s="35" t="s">
        <v>916</v>
      </c>
      <c r="Z1956" s="35" t="s">
        <v>916</v>
      </c>
      <c r="AA1956" s="38">
        <v>2244.961944444</v>
      </c>
      <c r="AB1956" s="42" t="s">
        <v>916</v>
      </c>
      <c r="AC1956" s="43" t="s">
        <v>916</v>
      </c>
      <c r="AD1956" s="43" t="s">
        <v>916</v>
      </c>
      <c r="AE1956" s="33" t="s">
        <v>3982</v>
      </c>
      <c r="AF1956" s="35" t="s">
        <v>916</v>
      </c>
      <c r="AG1956" s="44">
        <v>488627.0380555556</v>
      </c>
      <c r="AH1956" s="42" t="s">
        <v>916</v>
      </c>
      <c r="AI1956" s="32" t="e">
        <f>VLOOKUP(A1956,'4月明細'!B:B,1,0)</f>
        <v>#N/A</v>
      </c>
    </row>
    <row r="1957" spans="1:35" ht="19.95" customHeight="1" x14ac:dyDescent="0.3">
      <c r="A1957" s="33" t="s">
        <v>6892</v>
      </c>
      <c r="B1957" s="34">
        <v>45927.656689814816</v>
      </c>
      <c r="C1957" s="34" t="str">
        <f t="shared" si="43"/>
        <v>202509</v>
      </c>
      <c r="D1957" s="35" t="s">
        <v>6281</v>
      </c>
      <c r="E1957" s="36" t="s">
        <v>910</v>
      </c>
      <c r="F1957" s="36" t="s">
        <v>1770</v>
      </c>
      <c r="G1957" s="37" t="s">
        <v>6893</v>
      </c>
      <c r="H1957" s="36" t="s">
        <v>4060</v>
      </c>
      <c r="I1957" s="35"/>
      <c r="J1957" s="36" t="s">
        <v>914</v>
      </c>
      <c r="K1957" s="33" t="s">
        <v>916</v>
      </c>
      <c r="L1957" s="35" t="s">
        <v>916</v>
      </c>
      <c r="M1957" s="36" t="s">
        <v>916</v>
      </c>
      <c r="N1957" s="45">
        <v>46022</v>
      </c>
      <c r="O1957" s="36" t="s">
        <v>25</v>
      </c>
      <c r="P1957" s="38">
        <v>94.343310185199996</v>
      </c>
      <c r="Q1957" s="39" t="s">
        <v>6767</v>
      </c>
      <c r="R1957" s="35" t="s">
        <v>916</v>
      </c>
      <c r="S1957" s="35" t="s">
        <v>6894</v>
      </c>
      <c r="T1957" s="35" t="s">
        <v>1701</v>
      </c>
      <c r="U1957" s="40">
        <v>45928</v>
      </c>
      <c r="V1957" s="41">
        <v>46153.533020833333</v>
      </c>
      <c r="W1957" s="40">
        <v>45927</v>
      </c>
      <c r="X1957" s="35" t="s">
        <v>916</v>
      </c>
      <c r="Y1957" s="35" t="s">
        <v>916</v>
      </c>
      <c r="Z1957" s="35" t="s">
        <v>916</v>
      </c>
      <c r="AA1957" s="38">
        <v>2264.2394444448</v>
      </c>
      <c r="AB1957" s="42" t="s">
        <v>916</v>
      </c>
      <c r="AC1957" s="43" t="s">
        <v>916</v>
      </c>
      <c r="AD1957" s="43" t="s">
        <v>916</v>
      </c>
      <c r="AE1957" s="33" t="s">
        <v>3982</v>
      </c>
      <c r="AF1957" s="35" t="s">
        <v>916</v>
      </c>
      <c r="AG1957" s="44">
        <v>488607.76055555558</v>
      </c>
      <c r="AH1957" s="42" t="s">
        <v>916</v>
      </c>
      <c r="AI1957" s="32" t="e">
        <f>VLOOKUP(A1957,'4月明細'!B:B,1,0)</f>
        <v>#N/A</v>
      </c>
    </row>
    <row r="1958" spans="1:35" ht="19.95" customHeight="1" x14ac:dyDescent="0.3">
      <c r="A1958" s="33" t="s">
        <v>6895</v>
      </c>
      <c r="B1958" s="34">
        <v>45927.608414351853</v>
      </c>
      <c r="C1958" s="34" t="str">
        <f t="shared" si="43"/>
        <v>202509</v>
      </c>
      <c r="D1958" s="35" t="s">
        <v>951</v>
      </c>
      <c r="E1958" s="36" t="s">
        <v>910</v>
      </c>
      <c r="F1958" s="36" t="s">
        <v>987</v>
      </c>
      <c r="G1958" s="37" t="s">
        <v>6896</v>
      </c>
      <c r="H1958" s="36" t="s">
        <v>956</v>
      </c>
      <c r="I1958" s="35"/>
      <c r="J1958" s="36" t="s">
        <v>1058</v>
      </c>
      <c r="K1958" s="33" t="s">
        <v>916</v>
      </c>
      <c r="L1958" s="35" t="s">
        <v>916</v>
      </c>
      <c r="M1958" s="36" t="s">
        <v>916</v>
      </c>
      <c r="N1958" s="45">
        <v>46022</v>
      </c>
      <c r="O1958" s="36" t="s">
        <v>25</v>
      </c>
      <c r="P1958" s="38">
        <v>94.391585648100005</v>
      </c>
      <c r="Q1958" s="39" t="s">
        <v>2171</v>
      </c>
      <c r="R1958" s="35" t="s">
        <v>916</v>
      </c>
      <c r="S1958" s="35" t="s">
        <v>6897</v>
      </c>
      <c r="T1958" s="35" t="s">
        <v>1701</v>
      </c>
      <c r="U1958" s="40">
        <v>45928</v>
      </c>
      <c r="V1958" s="41">
        <v>46153.533020833333</v>
      </c>
      <c r="W1958" s="40">
        <v>45927</v>
      </c>
      <c r="X1958" s="35" t="s">
        <v>916</v>
      </c>
      <c r="Y1958" s="35" t="s">
        <v>916</v>
      </c>
      <c r="Z1958" s="35" t="s">
        <v>916</v>
      </c>
      <c r="AA1958" s="38">
        <v>2265.3980555543999</v>
      </c>
      <c r="AB1958" s="42" t="s">
        <v>916</v>
      </c>
      <c r="AC1958" s="43" t="s">
        <v>916</v>
      </c>
      <c r="AD1958" s="43" t="s">
        <v>916</v>
      </c>
      <c r="AE1958" s="33" t="s">
        <v>3982</v>
      </c>
      <c r="AF1958" s="35" t="s">
        <v>916</v>
      </c>
      <c r="AG1958" s="44">
        <v>488606.60194444453</v>
      </c>
      <c r="AH1958" s="42" t="s">
        <v>916</v>
      </c>
      <c r="AI1958" s="32" t="e">
        <f>VLOOKUP(A1958,'4月明細'!B:B,1,0)</f>
        <v>#N/A</v>
      </c>
    </row>
    <row r="1959" spans="1:35" ht="19.95" customHeight="1" x14ac:dyDescent="0.3">
      <c r="A1959" s="33" t="s">
        <v>6898</v>
      </c>
      <c r="B1959" s="34">
        <v>45927.580266203702</v>
      </c>
      <c r="C1959" s="34" t="str">
        <f t="shared" si="43"/>
        <v>202509</v>
      </c>
      <c r="D1959" s="35" t="s">
        <v>951</v>
      </c>
      <c r="E1959" s="36" t="s">
        <v>910</v>
      </c>
      <c r="F1959" s="36" t="s">
        <v>1870</v>
      </c>
      <c r="G1959" s="37" t="s">
        <v>6899</v>
      </c>
      <c r="H1959" s="36" t="s">
        <v>4065</v>
      </c>
      <c r="I1959" s="35" t="s">
        <v>6900</v>
      </c>
      <c r="J1959" s="36" t="s">
        <v>914</v>
      </c>
      <c r="K1959" s="33" t="s">
        <v>916</v>
      </c>
      <c r="L1959" s="35" t="s">
        <v>916</v>
      </c>
      <c r="M1959" s="36" t="s">
        <v>916</v>
      </c>
      <c r="N1959" s="45">
        <v>46022</v>
      </c>
      <c r="O1959" s="36" t="s">
        <v>25</v>
      </c>
      <c r="P1959" s="38">
        <v>94.419733796299994</v>
      </c>
      <c r="Q1959" s="39" t="s">
        <v>2171</v>
      </c>
      <c r="R1959" s="35" t="s">
        <v>916</v>
      </c>
      <c r="S1959" s="35" t="s">
        <v>6901</v>
      </c>
      <c r="T1959" s="35" t="s">
        <v>1701</v>
      </c>
      <c r="U1959" s="40">
        <v>45928</v>
      </c>
      <c r="V1959" s="41">
        <v>46153.533020833333</v>
      </c>
      <c r="W1959" s="40">
        <v>45927</v>
      </c>
      <c r="X1959" s="35" t="s">
        <v>916</v>
      </c>
      <c r="Y1959" s="35" t="s">
        <v>916</v>
      </c>
      <c r="Z1959" s="35" t="s">
        <v>916</v>
      </c>
      <c r="AA1959" s="38">
        <v>2266.0736111112001</v>
      </c>
      <c r="AB1959" s="42" t="s">
        <v>916</v>
      </c>
      <c r="AC1959" s="43" t="s">
        <v>916</v>
      </c>
      <c r="AD1959" s="43" t="s">
        <v>916</v>
      </c>
      <c r="AE1959" s="33" t="s">
        <v>3982</v>
      </c>
      <c r="AF1959" s="35" t="s">
        <v>916</v>
      </c>
      <c r="AG1959" s="44">
        <v>488605.92638888891</v>
      </c>
      <c r="AH1959" s="42" t="s">
        <v>916</v>
      </c>
      <c r="AI1959" s="32" t="e">
        <f>VLOOKUP(A1959,'4月明細'!B:B,1,0)</f>
        <v>#N/A</v>
      </c>
    </row>
    <row r="1960" spans="1:35" ht="19.95" customHeight="1" x14ac:dyDescent="0.3">
      <c r="A1960" s="33" t="s">
        <v>6902</v>
      </c>
      <c r="B1960" s="34">
        <v>45927.579756944448</v>
      </c>
      <c r="C1960" s="34" t="str">
        <f t="shared" si="43"/>
        <v>202509</v>
      </c>
      <c r="D1960" s="35" t="s">
        <v>951</v>
      </c>
      <c r="E1960" s="36" t="s">
        <v>910</v>
      </c>
      <c r="F1960" s="36" t="s">
        <v>1232</v>
      </c>
      <c r="G1960" s="37" t="s">
        <v>6903</v>
      </c>
      <c r="H1960" s="36" t="s">
        <v>970</v>
      </c>
      <c r="I1960" s="35" t="s">
        <v>6904</v>
      </c>
      <c r="J1960" s="36" t="s">
        <v>914</v>
      </c>
      <c r="K1960" s="33" t="s">
        <v>916</v>
      </c>
      <c r="L1960" s="35" t="s">
        <v>916</v>
      </c>
      <c r="M1960" s="36" t="s">
        <v>916</v>
      </c>
      <c r="N1960" s="45">
        <v>46022</v>
      </c>
      <c r="O1960" s="36" t="s">
        <v>25</v>
      </c>
      <c r="P1960" s="38">
        <v>94.420243055599997</v>
      </c>
      <c r="Q1960" s="39" t="s">
        <v>994</v>
      </c>
      <c r="R1960" s="35" t="s">
        <v>916</v>
      </c>
      <c r="S1960" s="35" t="s">
        <v>6905</v>
      </c>
      <c r="T1960" s="35" t="s">
        <v>1701</v>
      </c>
      <c r="U1960" s="40">
        <v>45928</v>
      </c>
      <c r="V1960" s="41">
        <v>46153.533020833333</v>
      </c>
      <c r="W1960" s="40">
        <v>45927</v>
      </c>
      <c r="X1960" s="35" t="s">
        <v>916</v>
      </c>
      <c r="Y1960" s="35" t="s">
        <v>916</v>
      </c>
      <c r="Z1960" s="35" t="s">
        <v>916</v>
      </c>
      <c r="AA1960" s="38">
        <v>2266.0858333343999</v>
      </c>
      <c r="AB1960" s="42" t="s">
        <v>916</v>
      </c>
      <c r="AC1960" s="43" t="s">
        <v>916</v>
      </c>
      <c r="AD1960" s="43" t="s">
        <v>916</v>
      </c>
      <c r="AE1960" s="33" t="s">
        <v>3982</v>
      </c>
      <c r="AF1960" s="35" t="s">
        <v>916</v>
      </c>
      <c r="AG1960" s="44">
        <v>488605.91416666668</v>
      </c>
      <c r="AH1960" s="42" t="s">
        <v>916</v>
      </c>
      <c r="AI1960" s="32" t="e">
        <f>VLOOKUP(A1960,'4月明細'!B:B,1,0)</f>
        <v>#N/A</v>
      </c>
    </row>
    <row r="1961" spans="1:35" ht="19.95" customHeight="1" x14ac:dyDescent="0.3">
      <c r="A1961" s="33" t="s">
        <v>6906</v>
      </c>
      <c r="B1961" s="34">
        <v>45927.55028935185</v>
      </c>
      <c r="C1961" s="34" t="str">
        <f t="shared" si="43"/>
        <v>202509</v>
      </c>
      <c r="D1961" s="35" t="s">
        <v>951</v>
      </c>
      <c r="E1961" s="36" t="s">
        <v>910</v>
      </c>
      <c r="F1961" s="36" t="s">
        <v>1232</v>
      </c>
      <c r="G1961" s="37" t="s">
        <v>6907</v>
      </c>
      <c r="H1961" s="36" t="s">
        <v>3996</v>
      </c>
      <c r="I1961" s="35" t="s">
        <v>6908</v>
      </c>
      <c r="J1961" s="36" t="s">
        <v>914</v>
      </c>
      <c r="K1961" s="33" t="s">
        <v>916</v>
      </c>
      <c r="L1961" s="35" t="s">
        <v>916</v>
      </c>
      <c r="M1961" s="36" t="s">
        <v>916</v>
      </c>
      <c r="N1961" s="45">
        <v>46022</v>
      </c>
      <c r="O1961" s="36" t="s">
        <v>25</v>
      </c>
      <c r="P1961" s="38">
        <v>94.449710648099995</v>
      </c>
      <c r="Q1961" s="39" t="s">
        <v>2171</v>
      </c>
      <c r="R1961" s="35" t="s">
        <v>916</v>
      </c>
      <c r="S1961" s="35" t="s">
        <v>6909</v>
      </c>
      <c r="T1961" s="35" t="s">
        <v>1701</v>
      </c>
      <c r="U1961" s="40">
        <v>45928</v>
      </c>
      <c r="V1961" s="41">
        <v>46153.533020833333</v>
      </c>
      <c r="W1961" s="40">
        <v>45927</v>
      </c>
      <c r="X1961" s="35" t="s">
        <v>916</v>
      </c>
      <c r="Y1961" s="35" t="s">
        <v>916</v>
      </c>
      <c r="Z1961" s="35" t="s">
        <v>916</v>
      </c>
      <c r="AA1961" s="38">
        <v>2266.7930555543999</v>
      </c>
      <c r="AB1961" s="42" t="s">
        <v>916</v>
      </c>
      <c r="AC1961" s="43" t="s">
        <v>916</v>
      </c>
      <c r="AD1961" s="43" t="s">
        <v>916</v>
      </c>
      <c r="AE1961" s="33" t="s">
        <v>3982</v>
      </c>
      <c r="AF1961" s="35" t="s">
        <v>916</v>
      </c>
      <c r="AG1961" s="44">
        <v>488605.20694444439</v>
      </c>
      <c r="AH1961" s="42" t="s">
        <v>916</v>
      </c>
      <c r="AI1961" s="32" t="e">
        <f>VLOOKUP(A1961,'4月明細'!B:B,1,0)</f>
        <v>#N/A</v>
      </c>
    </row>
    <row r="1962" spans="1:35" ht="19.95" customHeight="1" x14ac:dyDescent="0.3">
      <c r="A1962" s="33" t="s">
        <v>6910</v>
      </c>
      <c r="B1962" s="34">
        <v>45927.478807870371</v>
      </c>
      <c r="C1962" s="34" t="str">
        <f t="shared" si="43"/>
        <v>202509</v>
      </c>
      <c r="D1962" s="35" t="s">
        <v>951</v>
      </c>
      <c r="E1962" s="36" t="s">
        <v>910</v>
      </c>
      <c r="F1962" s="36" t="s">
        <v>1213</v>
      </c>
      <c r="G1962" s="37" t="s">
        <v>6911</v>
      </c>
      <c r="H1962" s="36" t="s">
        <v>1048</v>
      </c>
      <c r="I1962" s="35" t="s">
        <v>6912</v>
      </c>
      <c r="J1962" s="36" t="s">
        <v>914</v>
      </c>
      <c r="K1962" s="33" t="s">
        <v>916</v>
      </c>
      <c r="L1962" s="35" t="s">
        <v>916</v>
      </c>
      <c r="M1962" s="36" t="s">
        <v>916</v>
      </c>
      <c r="N1962" s="45">
        <v>46022</v>
      </c>
      <c r="O1962" s="36" t="s">
        <v>25</v>
      </c>
      <c r="P1962" s="38">
        <v>94.521192129599996</v>
      </c>
      <c r="Q1962" s="39" t="s">
        <v>2171</v>
      </c>
      <c r="R1962" s="35" t="s">
        <v>916</v>
      </c>
      <c r="S1962" s="35" t="s">
        <v>6913</v>
      </c>
      <c r="T1962" s="35" t="s">
        <v>1701</v>
      </c>
      <c r="U1962" s="40">
        <v>45928</v>
      </c>
      <c r="V1962" s="41">
        <v>46153.533020833333</v>
      </c>
      <c r="W1962" s="40">
        <v>45927</v>
      </c>
      <c r="X1962" s="35" t="s">
        <v>916</v>
      </c>
      <c r="Y1962" s="35" t="s">
        <v>916</v>
      </c>
      <c r="Z1962" s="35" t="s">
        <v>916</v>
      </c>
      <c r="AA1962" s="38">
        <v>2268.5086111104001</v>
      </c>
      <c r="AB1962" s="42" t="s">
        <v>916</v>
      </c>
      <c r="AC1962" s="43" t="s">
        <v>916</v>
      </c>
      <c r="AD1962" s="43" t="s">
        <v>916</v>
      </c>
      <c r="AE1962" s="33" t="s">
        <v>3982</v>
      </c>
      <c r="AF1962" s="35" t="s">
        <v>916</v>
      </c>
      <c r="AG1962" s="44">
        <v>488603.49138888891</v>
      </c>
      <c r="AH1962" s="42" t="s">
        <v>916</v>
      </c>
      <c r="AI1962" s="32" t="e">
        <f>VLOOKUP(A1962,'4月明細'!B:B,1,0)</f>
        <v>#N/A</v>
      </c>
    </row>
    <row r="1963" spans="1:35" ht="19.95" customHeight="1" x14ac:dyDescent="0.3">
      <c r="A1963" s="33" t="s">
        <v>6914</v>
      </c>
      <c r="B1963" s="34">
        <v>45927.473969907405</v>
      </c>
      <c r="C1963" s="34" t="str">
        <f t="shared" si="43"/>
        <v>202509</v>
      </c>
      <c r="D1963" s="35" t="s">
        <v>951</v>
      </c>
      <c r="E1963" s="36" t="s">
        <v>910</v>
      </c>
      <c r="F1963" s="36" t="s">
        <v>1469</v>
      </c>
      <c r="G1963" s="37" t="s">
        <v>6915</v>
      </c>
      <c r="H1963" s="36" t="s">
        <v>4324</v>
      </c>
      <c r="I1963" s="35" t="s">
        <v>6916</v>
      </c>
      <c r="J1963" s="36" t="s">
        <v>1058</v>
      </c>
      <c r="K1963" s="33" t="s">
        <v>916</v>
      </c>
      <c r="L1963" s="35" t="s">
        <v>916</v>
      </c>
      <c r="M1963" s="36" t="s">
        <v>916</v>
      </c>
      <c r="N1963" s="45">
        <v>46022</v>
      </c>
      <c r="O1963" s="36" t="s">
        <v>25</v>
      </c>
      <c r="P1963" s="38">
        <v>94.526030092599996</v>
      </c>
      <c r="Q1963" s="39" t="s">
        <v>6767</v>
      </c>
      <c r="R1963" s="35" t="s">
        <v>916</v>
      </c>
      <c r="S1963" s="35" t="s">
        <v>6917</v>
      </c>
      <c r="T1963" s="35" t="s">
        <v>1701</v>
      </c>
      <c r="U1963" s="40">
        <v>45928</v>
      </c>
      <c r="V1963" s="41">
        <v>46153.533020833333</v>
      </c>
      <c r="W1963" s="40">
        <v>45927</v>
      </c>
      <c r="X1963" s="35" t="s">
        <v>916</v>
      </c>
      <c r="Y1963" s="35" t="s">
        <v>916</v>
      </c>
      <c r="Z1963" s="35" t="s">
        <v>916</v>
      </c>
      <c r="AA1963" s="38">
        <v>2268.6247222224001</v>
      </c>
      <c r="AB1963" s="42" t="s">
        <v>916</v>
      </c>
      <c r="AC1963" s="43" t="s">
        <v>916</v>
      </c>
      <c r="AD1963" s="43" t="s">
        <v>916</v>
      </c>
      <c r="AE1963" s="33" t="s">
        <v>3982</v>
      </c>
      <c r="AF1963" s="35" t="s">
        <v>916</v>
      </c>
      <c r="AG1963" s="44">
        <v>488603.37527777778</v>
      </c>
      <c r="AH1963" s="42" t="s">
        <v>916</v>
      </c>
      <c r="AI1963" s="32" t="e">
        <f>VLOOKUP(A1963,'4月明細'!B:B,1,0)</f>
        <v>#N/A</v>
      </c>
    </row>
    <row r="1964" spans="1:35" ht="19.95" customHeight="1" x14ac:dyDescent="0.3">
      <c r="A1964" s="33" t="s">
        <v>6918</v>
      </c>
      <c r="B1964" s="34">
        <v>45927.473645833335</v>
      </c>
      <c r="C1964" s="34" t="str">
        <f t="shared" si="43"/>
        <v>202509</v>
      </c>
      <c r="D1964" s="35" t="s">
        <v>951</v>
      </c>
      <c r="E1964" s="36" t="s">
        <v>910</v>
      </c>
      <c r="F1964" s="36" t="s">
        <v>1534</v>
      </c>
      <c r="G1964" s="37" t="s">
        <v>6919</v>
      </c>
      <c r="H1964" s="36" t="s">
        <v>4060</v>
      </c>
      <c r="I1964" s="35"/>
      <c r="J1964" s="36" t="s">
        <v>914</v>
      </c>
      <c r="K1964" s="33" t="s">
        <v>916</v>
      </c>
      <c r="L1964" s="35" t="s">
        <v>916</v>
      </c>
      <c r="M1964" s="36" t="s">
        <v>916</v>
      </c>
      <c r="N1964" s="45">
        <v>46022</v>
      </c>
      <c r="O1964" s="36" t="s">
        <v>25</v>
      </c>
      <c r="P1964" s="38">
        <v>94.526354166700003</v>
      </c>
      <c r="Q1964" s="39" t="s">
        <v>5957</v>
      </c>
      <c r="R1964" s="35" t="s">
        <v>916</v>
      </c>
      <c r="S1964" s="35" t="s">
        <v>6920</v>
      </c>
      <c r="T1964" s="35" t="s">
        <v>1701</v>
      </c>
      <c r="U1964" s="40">
        <v>45928</v>
      </c>
      <c r="V1964" s="41">
        <v>46153.533020833333</v>
      </c>
      <c r="W1964" s="40">
        <v>45927</v>
      </c>
      <c r="X1964" s="35" t="s">
        <v>916</v>
      </c>
      <c r="Y1964" s="35" t="s">
        <v>916</v>
      </c>
      <c r="Z1964" s="35" t="s">
        <v>916</v>
      </c>
      <c r="AA1964" s="38">
        <v>2268.6325000008001</v>
      </c>
      <c r="AB1964" s="42" t="s">
        <v>916</v>
      </c>
      <c r="AC1964" s="43" t="s">
        <v>916</v>
      </c>
      <c r="AD1964" s="43" t="s">
        <v>916</v>
      </c>
      <c r="AE1964" s="33" t="s">
        <v>3982</v>
      </c>
      <c r="AF1964" s="35" t="s">
        <v>916</v>
      </c>
      <c r="AG1964" s="44">
        <v>488603.36750000011</v>
      </c>
      <c r="AH1964" s="42" t="s">
        <v>916</v>
      </c>
      <c r="AI1964" s="32" t="e">
        <f>VLOOKUP(A1964,'4月明細'!B:B,1,0)</f>
        <v>#N/A</v>
      </c>
    </row>
    <row r="1965" spans="1:35" ht="19.95" customHeight="1" x14ac:dyDescent="0.3">
      <c r="A1965" s="33" t="s">
        <v>6921</v>
      </c>
      <c r="B1965" s="34">
        <v>45927.47315972222</v>
      </c>
      <c r="C1965" s="34" t="str">
        <f t="shared" si="43"/>
        <v>202509</v>
      </c>
      <c r="D1965" s="35" t="s">
        <v>1587</v>
      </c>
      <c r="E1965" s="36" t="s">
        <v>1112</v>
      </c>
      <c r="F1965" s="36" t="s">
        <v>1723</v>
      </c>
      <c r="G1965" s="37" t="s">
        <v>6922</v>
      </c>
      <c r="H1965" s="36" t="s">
        <v>4497</v>
      </c>
      <c r="I1965" s="35"/>
      <c r="J1965" s="36" t="s">
        <v>938</v>
      </c>
      <c r="K1965" s="33" t="s">
        <v>916</v>
      </c>
      <c r="L1965" s="35" t="s">
        <v>916</v>
      </c>
      <c r="M1965" s="36" t="s">
        <v>916</v>
      </c>
      <c r="N1965" s="45">
        <v>46022</v>
      </c>
      <c r="O1965" s="36" t="s">
        <v>25</v>
      </c>
      <c r="P1965" s="38">
        <v>94.526840277800005</v>
      </c>
      <c r="Q1965" s="39" t="s">
        <v>6923</v>
      </c>
      <c r="R1965" s="35" t="s">
        <v>916</v>
      </c>
      <c r="S1965" s="35" t="s">
        <v>6924</v>
      </c>
      <c r="T1965" s="35" t="s">
        <v>1701</v>
      </c>
      <c r="U1965" s="40">
        <v>45928</v>
      </c>
      <c r="V1965" s="41">
        <v>46153.533020833333</v>
      </c>
      <c r="W1965" s="40">
        <v>45927</v>
      </c>
      <c r="X1965" s="35" t="s">
        <v>916</v>
      </c>
      <c r="Y1965" s="35" t="s">
        <v>916</v>
      </c>
      <c r="Z1965" s="35" t="s">
        <v>916</v>
      </c>
      <c r="AA1965" s="38">
        <v>2268.6441666671999</v>
      </c>
      <c r="AB1965" s="42" t="s">
        <v>916</v>
      </c>
      <c r="AC1965" s="43" t="s">
        <v>916</v>
      </c>
      <c r="AD1965" s="43" t="s">
        <v>916</v>
      </c>
      <c r="AE1965" s="33" t="s">
        <v>3982</v>
      </c>
      <c r="AF1965" s="35" t="s">
        <v>916</v>
      </c>
      <c r="AG1965" s="44">
        <v>488603.35583333328</v>
      </c>
      <c r="AH1965" s="42" t="s">
        <v>916</v>
      </c>
      <c r="AI1965" s="32" t="e">
        <f>VLOOKUP(A1965,'4月明細'!B:B,1,0)</f>
        <v>#N/A</v>
      </c>
    </row>
    <row r="1966" spans="1:35" ht="19.95" customHeight="1" x14ac:dyDescent="0.3">
      <c r="A1966" s="33" t="s">
        <v>6925</v>
      </c>
      <c r="B1966" s="34">
        <v>45926.686574074076</v>
      </c>
      <c r="C1966" s="34" t="str">
        <f t="shared" si="43"/>
        <v>202509</v>
      </c>
      <c r="D1966" s="35" t="s">
        <v>951</v>
      </c>
      <c r="E1966" s="36" t="s">
        <v>910</v>
      </c>
      <c r="F1966" s="36" t="s">
        <v>2550</v>
      </c>
      <c r="G1966" s="37" t="s">
        <v>6926</v>
      </c>
      <c r="H1966" s="36" t="s">
        <v>4065</v>
      </c>
      <c r="I1966" s="35" t="s">
        <v>6927</v>
      </c>
      <c r="J1966" s="36" t="s">
        <v>1058</v>
      </c>
      <c r="K1966" s="33" t="s">
        <v>916</v>
      </c>
      <c r="L1966" s="35" t="s">
        <v>916</v>
      </c>
      <c r="M1966" s="36" t="s">
        <v>916</v>
      </c>
      <c r="N1966" s="45">
        <v>46022</v>
      </c>
      <c r="O1966" s="36" t="s">
        <v>25</v>
      </c>
      <c r="P1966" s="38">
        <v>95.313425925900006</v>
      </c>
      <c r="Q1966" s="39" t="s">
        <v>6928</v>
      </c>
      <c r="R1966" s="35" t="s">
        <v>916</v>
      </c>
      <c r="S1966" s="35"/>
      <c r="T1966" s="35" t="s">
        <v>1701</v>
      </c>
      <c r="U1966" s="40">
        <v>45927</v>
      </c>
      <c r="V1966" s="41">
        <v>46153.533020833333</v>
      </c>
      <c r="W1966" s="40">
        <v>45926</v>
      </c>
      <c r="X1966" s="35" t="s">
        <v>916</v>
      </c>
      <c r="Y1966" s="35" t="s">
        <v>916</v>
      </c>
      <c r="Z1966" s="35" t="s">
        <v>916</v>
      </c>
      <c r="AA1966" s="38">
        <v>2287.5222222215998</v>
      </c>
      <c r="AB1966" s="42" t="s">
        <v>916</v>
      </c>
      <c r="AC1966" s="43" t="s">
        <v>916</v>
      </c>
      <c r="AD1966" s="43" t="s">
        <v>916</v>
      </c>
      <c r="AE1966" s="33" t="s">
        <v>3982</v>
      </c>
      <c r="AF1966" s="35" t="s">
        <v>916</v>
      </c>
      <c r="AG1966" s="44">
        <v>488584.47777777782</v>
      </c>
      <c r="AH1966" s="42" t="s">
        <v>916</v>
      </c>
      <c r="AI1966" s="32" t="e">
        <f>VLOOKUP(A1966,'4月明細'!B:B,1,0)</f>
        <v>#N/A</v>
      </c>
    </row>
    <row r="1967" spans="1:35" ht="19.95" customHeight="1" x14ac:dyDescent="0.3">
      <c r="A1967" s="33" t="s">
        <v>6929</v>
      </c>
      <c r="B1967" s="34">
        <v>45926.685624999998</v>
      </c>
      <c r="C1967" s="34" t="str">
        <f t="shared" si="43"/>
        <v>202509</v>
      </c>
      <c r="D1967" s="35" t="s">
        <v>951</v>
      </c>
      <c r="E1967" s="36" t="s">
        <v>910</v>
      </c>
      <c r="F1967" s="36" t="s">
        <v>2550</v>
      </c>
      <c r="G1967" s="37" t="s">
        <v>6930</v>
      </c>
      <c r="H1967" s="36" t="s">
        <v>4065</v>
      </c>
      <c r="I1967" s="35" t="s">
        <v>6927</v>
      </c>
      <c r="J1967" s="36" t="s">
        <v>1058</v>
      </c>
      <c r="K1967" s="33" t="s">
        <v>916</v>
      </c>
      <c r="L1967" s="35" t="s">
        <v>916</v>
      </c>
      <c r="M1967" s="36" t="s">
        <v>916</v>
      </c>
      <c r="N1967" s="45">
        <v>46022</v>
      </c>
      <c r="O1967" s="36" t="s">
        <v>25</v>
      </c>
      <c r="P1967" s="38">
        <v>95.314374999999998</v>
      </c>
      <c r="Q1967" s="39" t="s">
        <v>6931</v>
      </c>
      <c r="R1967" s="35" t="s">
        <v>916</v>
      </c>
      <c r="S1967" s="35" t="s">
        <v>6932</v>
      </c>
      <c r="T1967" s="35" t="s">
        <v>1701</v>
      </c>
      <c r="U1967" s="40">
        <v>45927</v>
      </c>
      <c r="V1967" s="41">
        <v>46153.533020833333</v>
      </c>
      <c r="W1967" s="40">
        <v>45926</v>
      </c>
      <c r="X1967" s="35" t="s">
        <v>916</v>
      </c>
      <c r="Y1967" s="35" t="s">
        <v>916</v>
      </c>
      <c r="Z1967" s="35" t="s">
        <v>916</v>
      </c>
      <c r="AA1967" s="38">
        <v>2287.5450000000001</v>
      </c>
      <c r="AB1967" s="42" t="s">
        <v>916</v>
      </c>
      <c r="AC1967" s="43" t="s">
        <v>916</v>
      </c>
      <c r="AD1967" s="43" t="s">
        <v>916</v>
      </c>
      <c r="AE1967" s="33" t="s">
        <v>3982</v>
      </c>
      <c r="AF1967" s="35" t="s">
        <v>916</v>
      </c>
      <c r="AG1967" s="44">
        <v>488584.45500000002</v>
      </c>
      <c r="AH1967" s="42" t="s">
        <v>916</v>
      </c>
      <c r="AI1967" s="32" t="e">
        <f>VLOOKUP(A1967,'4月明細'!B:B,1,0)</f>
        <v>#N/A</v>
      </c>
    </row>
    <row r="1968" spans="1:35" ht="19.95" customHeight="1" x14ac:dyDescent="0.3">
      <c r="A1968" s="33" t="s">
        <v>6933</v>
      </c>
      <c r="B1968" s="34">
        <v>45926.6716087963</v>
      </c>
      <c r="C1968" s="34" t="str">
        <f t="shared" si="43"/>
        <v>202509</v>
      </c>
      <c r="D1968" s="35" t="s">
        <v>1198</v>
      </c>
      <c r="E1968" s="36" t="s">
        <v>1199</v>
      </c>
      <c r="F1968" s="36" t="s">
        <v>1860</v>
      </c>
      <c r="G1968" s="37" t="s">
        <v>6934</v>
      </c>
      <c r="H1968" s="36" t="s">
        <v>1352</v>
      </c>
      <c r="I1968" s="35" t="s">
        <v>6935</v>
      </c>
      <c r="J1968" s="36" t="s">
        <v>938</v>
      </c>
      <c r="K1968" s="33" t="s">
        <v>916</v>
      </c>
      <c r="L1968" s="35" t="s">
        <v>916</v>
      </c>
      <c r="M1968" s="36" t="s">
        <v>916</v>
      </c>
      <c r="N1968" s="45">
        <v>46022</v>
      </c>
      <c r="O1968" s="36" t="s">
        <v>25</v>
      </c>
      <c r="P1968" s="38">
        <v>95.328391203699994</v>
      </c>
      <c r="Q1968" s="39" t="s">
        <v>6936</v>
      </c>
      <c r="R1968" s="35" t="s">
        <v>916</v>
      </c>
      <c r="S1968" s="35" t="s">
        <v>6937</v>
      </c>
      <c r="T1968" s="35" t="s">
        <v>1701</v>
      </c>
      <c r="U1968" s="40">
        <v>45927</v>
      </c>
      <c r="V1968" s="41">
        <v>46153.533020833333</v>
      </c>
      <c r="W1968" s="40">
        <v>45926</v>
      </c>
      <c r="X1968" s="35" t="s">
        <v>916</v>
      </c>
      <c r="Y1968" s="35" t="s">
        <v>916</v>
      </c>
      <c r="Z1968" s="35" t="s">
        <v>916</v>
      </c>
      <c r="AA1968" s="38">
        <v>2287.8813888887998</v>
      </c>
      <c r="AB1968" s="42" t="s">
        <v>916</v>
      </c>
      <c r="AC1968" s="43" t="s">
        <v>916</v>
      </c>
      <c r="AD1968" s="43" t="s">
        <v>916</v>
      </c>
      <c r="AE1968" s="33" t="s">
        <v>3982</v>
      </c>
      <c r="AF1968" s="35" t="s">
        <v>916</v>
      </c>
      <c r="AG1968" s="44">
        <v>488584.11861111107</v>
      </c>
      <c r="AH1968" s="42" t="s">
        <v>916</v>
      </c>
      <c r="AI1968" s="32" t="e">
        <f>VLOOKUP(A1968,'4月明細'!B:B,1,0)</f>
        <v>#N/A</v>
      </c>
    </row>
    <row r="1969" spans="1:35" ht="19.95" customHeight="1" x14ac:dyDescent="0.3">
      <c r="A1969" s="33" t="s">
        <v>6938</v>
      </c>
      <c r="B1969" s="34">
        <v>45926.667060185187</v>
      </c>
      <c r="C1969" s="34" t="str">
        <f t="shared" si="43"/>
        <v>202509</v>
      </c>
      <c r="D1969" s="35" t="s">
        <v>996</v>
      </c>
      <c r="E1969" s="36" t="s">
        <v>910</v>
      </c>
      <c r="F1969" s="36" t="s">
        <v>1768</v>
      </c>
      <c r="G1969" s="37" t="s">
        <v>6939</v>
      </c>
      <c r="H1969" s="36" t="s">
        <v>1079</v>
      </c>
      <c r="I1969" s="35"/>
      <c r="J1969" s="36" t="s">
        <v>914</v>
      </c>
      <c r="K1969" s="33" t="s">
        <v>916</v>
      </c>
      <c r="L1969" s="35" t="s">
        <v>916</v>
      </c>
      <c r="M1969" s="36" t="s">
        <v>916</v>
      </c>
      <c r="N1969" s="45">
        <v>46022</v>
      </c>
      <c r="O1969" s="36" t="s">
        <v>25</v>
      </c>
      <c r="P1969" s="38">
        <v>95.3329398148</v>
      </c>
      <c r="Q1969" s="39" t="s">
        <v>6940</v>
      </c>
      <c r="R1969" s="35" t="s">
        <v>916</v>
      </c>
      <c r="S1969" s="35"/>
      <c r="T1969" s="35" t="s">
        <v>1701</v>
      </c>
      <c r="U1969" s="40">
        <v>45927</v>
      </c>
      <c r="V1969" s="41">
        <v>46153.533020833333</v>
      </c>
      <c r="W1969" s="40">
        <v>45926</v>
      </c>
      <c r="X1969" s="35" t="s">
        <v>916</v>
      </c>
      <c r="Y1969" s="35" t="s">
        <v>916</v>
      </c>
      <c r="Z1969" s="35" t="s">
        <v>916</v>
      </c>
      <c r="AA1969" s="38">
        <v>2287.9905555552</v>
      </c>
      <c r="AB1969" s="42" t="s">
        <v>916</v>
      </c>
      <c r="AC1969" s="43" t="s">
        <v>916</v>
      </c>
      <c r="AD1969" s="43" t="s">
        <v>916</v>
      </c>
      <c r="AE1969" s="33" t="s">
        <v>3982</v>
      </c>
      <c r="AF1969" s="35" t="s">
        <v>916</v>
      </c>
      <c r="AG1969" s="44">
        <v>488584.0094444445</v>
      </c>
      <c r="AH1969" s="42" t="s">
        <v>916</v>
      </c>
      <c r="AI1969" s="32" t="e">
        <f>VLOOKUP(A1969,'4月明細'!B:B,1,0)</f>
        <v>#N/A</v>
      </c>
    </row>
    <row r="1970" spans="1:35" ht="19.95" customHeight="1" x14ac:dyDescent="0.3">
      <c r="A1970" s="33" t="s">
        <v>6941</v>
      </c>
      <c r="B1970" s="34">
        <v>45926.629178240742</v>
      </c>
      <c r="C1970" s="34" t="str">
        <f t="shared" si="43"/>
        <v>202509</v>
      </c>
      <c r="D1970" s="35" t="s">
        <v>996</v>
      </c>
      <c r="E1970" s="36" t="s">
        <v>910</v>
      </c>
      <c r="F1970" s="36" t="s">
        <v>1521</v>
      </c>
      <c r="G1970" s="37" t="s">
        <v>1096</v>
      </c>
      <c r="H1970" s="36" t="s">
        <v>3979</v>
      </c>
      <c r="I1970" s="35"/>
      <c r="J1970" s="36" t="s">
        <v>914</v>
      </c>
      <c r="K1970" s="33" t="s">
        <v>916</v>
      </c>
      <c r="L1970" s="35" t="s">
        <v>916</v>
      </c>
      <c r="M1970" s="36" t="s">
        <v>916</v>
      </c>
      <c r="N1970" s="45">
        <v>46022</v>
      </c>
      <c r="O1970" s="36" t="s">
        <v>25</v>
      </c>
      <c r="P1970" s="38">
        <v>95.3708217593</v>
      </c>
      <c r="Q1970" s="39" t="s">
        <v>6942</v>
      </c>
      <c r="R1970" s="35" t="s">
        <v>916</v>
      </c>
      <c r="S1970" s="35"/>
      <c r="T1970" s="35" t="s">
        <v>1701</v>
      </c>
      <c r="U1970" s="40">
        <v>45927</v>
      </c>
      <c r="V1970" s="41">
        <v>46153.533020833333</v>
      </c>
      <c r="W1970" s="40">
        <v>45926</v>
      </c>
      <c r="X1970" s="35" t="s">
        <v>916</v>
      </c>
      <c r="Y1970" s="35" t="s">
        <v>916</v>
      </c>
      <c r="Z1970" s="35" t="s">
        <v>916</v>
      </c>
      <c r="AA1970" s="38">
        <v>2288.8997222232001</v>
      </c>
      <c r="AB1970" s="42" t="s">
        <v>916</v>
      </c>
      <c r="AC1970" s="43" t="s">
        <v>916</v>
      </c>
      <c r="AD1970" s="43" t="s">
        <v>916</v>
      </c>
      <c r="AE1970" s="33" t="s">
        <v>3982</v>
      </c>
      <c r="AF1970" s="35" t="s">
        <v>916</v>
      </c>
      <c r="AG1970" s="44">
        <v>488583.10027777782</v>
      </c>
      <c r="AH1970" s="42" t="s">
        <v>916</v>
      </c>
      <c r="AI1970" s="32" t="e">
        <f>VLOOKUP(A1970,'4月明細'!B:B,1,0)</f>
        <v>#N/A</v>
      </c>
    </row>
    <row r="1971" spans="1:35" ht="19.95" customHeight="1" x14ac:dyDescent="0.3">
      <c r="A1971" s="33" t="s">
        <v>6943</v>
      </c>
      <c r="B1971" s="34">
        <v>45926.617523148147</v>
      </c>
      <c r="C1971" s="34" t="str">
        <f t="shared" si="43"/>
        <v>202509</v>
      </c>
      <c r="D1971" s="35" t="s">
        <v>5380</v>
      </c>
      <c r="E1971" s="36" t="s">
        <v>910</v>
      </c>
      <c r="F1971" s="36" t="s">
        <v>2017</v>
      </c>
      <c r="G1971" s="37" t="s">
        <v>6944</v>
      </c>
      <c r="H1971" s="36" t="s">
        <v>3985</v>
      </c>
      <c r="I1971" s="35" t="s">
        <v>6945</v>
      </c>
      <c r="J1971" s="36" t="s">
        <v>914</v>
      </c>
      <c r="K1971" s="33" t="s">
        <v>916</v>
      </c>
      <c r="L1971" s="35" t="s">
        <v>916</v>
      </c>
      <c r="M1971" s="36" t="s">
        <v>916</v>
      </c>
      <c r="N1971" s="45">
        <v>46022</v>
      </c>
      <c r="O1971" s="36" t="s">
        <v>25</v>
      </c>
      <c r="P1971" s="38">
        <v>95.382476851800007</v>
      </c>
      <c r="Q1971" s="39" t="s">
        <v>6946</v>
      </c>
      <c r="R1971" s="35" t="s">
        <v>916</v>
      </c>
      <c r="S1971" s="35"/>
      <c r="T1971" s="35" t="s">
        <v>1701</v>
      </c>
      <c r="U1971" s="40">
        <v>45927</v>
      </c>
      <c r="V1971" s="41">
        <v>46153.533020833333</v>
      </c>
      <c r="W1971" s="40">
        <v>45926</v>
      </c>
      <c r="X1971" s="35" t="s">
        <v>916</v>
      </c>
      <c r="Y1971" s="35" t="s">
        <v>916</v>
      </c>
      <c r="Z1971" s="35" t="s">
        <v>916</v>
      </c>
      <c r="AA1971" s="38">
        <v>2289.1794444431998</v>
      </c>
      <c r="AB1971" s="42" t="s">
        <v>916</v>
      </c>
      <c r="AC1971" s="43" t="s">
        <v>916</v>
      </c>
      <c r="AD1971" s="43" t="s">
        <v>916</v>
      </c>
      <c r="AE1971" s="33" t="s">
        <v>3982</v>
      </c>
      <c r="AF1971" s="35" t="s">
        <v>916</v>
      </c>
      <c r="AG1971" s="44">
        <v>488582.82055555558</v>
      </c>
      <c r="AH1971" s="42" t="s">
        <v>916</v>
      </c>
      <c r="AI1971" s="32" t="e">
        <f>VLOOKUP(A1971,'4月明細'!B:B,1,0)</f>
        <v>#N/A</v>
      </c>
    </row>
    <row r="1972" spans="1:35" ht="19.95" customHeight="1" x14ac:dyDescent="0.3">
      <c r="A1972" s="33" t="s">
        <v>6947</v>
      </c>
      <c r="B1972" s="34">
        <v>45926.611747685187</v>
      </c>
      <c r="C1972" s="34" t="str">
        <f t="shared" si="43"/>
        <v>202509</v>
      </c>
      <c r="D1972" s="35" t="s">
        <v>996</v>
      </c>
      <c r="E1972" s="36" t="s">
        <v>910</v>
      </c>
      <c r="F1972" s="36" t="s">
        <v>2080</v>
      </c>
      <c r="G1972" s="37" t="s">
        <v>1096</v>
      </c>
      <c r="H1972" s="36" t="s">
        <v>3979</v>
      </c>
      <c r="I1972" s="35"/>
      <c r="J1972" s="36" t="s">
        <v>914</v>
      </c>
      <c r="K1972" s="33" t="s">
        <v>916</v>
      </c>
      <c r="L1972" s="35" t="s">
        <v>916</v>
      </c>
      <c r="M1972" s="36" t="s">
        <v>916</v>
      </c>
      <c r="N1972" s="45">
        <v>46022</v>
      </c>
      <c r="O1972" s="36" t="s">
        <v>25</v>
      </c>
      <c r="P1972" s="38">
        <v>95.388252314799999</v>
      </c>
      <c r="Q1972" s="39" t="s">
        <v>6948</v>
      </c>
      <c r="R1972" s="35" t="s">
        <v>916</v>
      </c>
      <c r="S1972" s="35" t="s">
        <v>6949</v>
      </c>
      <c r="T1972" s="35" t="s">
        <v>1701</v>
      </c>
      <c r="U1972" s="40">
        <v>45927</v>
      </c>
      <c r="V1972" s="41">
        <v>46153.533020833333</v>
      </c>
      <c r="W1972" s="40">
        <v>45926</v>
      </c>
      <c r="X1972" s="35" t="s">
        <v>916</v>
      </c>
      <c r="Y1972" s="35" t="s">
        <v>916</v>
      </c>
      <c r="Z1972" s="35" t="s">
        <v>916</v>
      </c>
      <c r="AA1972" s="38">
        <v>2289.3180555551999</v>
      </c>
      <c r="AB1972" s="42" t="s">
        <v>916</v>
      </c>
      <c r="AC1972" s="43" t="s">
        <v>916</v>
      </c>
      <c r="AD1972" s="43" t="s">
        <v>916</v>
      </c>
      <c r="AE1972" s="33" t="s">
        <v>3982</v>
      </c>
      <c r="AF1972" s="35" t="s">
        <v>916</v>
      </c>
      <c r="AG1972" s="44">
        <v>488582.68194444448</v>
      </c>
      <c r="AH1972" s="42" t="s">
        <v>916</v>
      </c>
      <c r="AI1972" s="32" t="e">
        <f>VLOOKUP(A1972,'4月明細'!B:B,1,0)</f>
        <v>#N/A</v>
      </c>
    </row>
    <row r="1973" spans="1:35" ht="19.95" customHeight="1" x14ac:dyDescent="0.3">
      <c r="A1973" s="33" t="s">
        <v>6950</v>
      </c>
      <c r="B1973" s="34">
        <v>45926.603229166663</v>
      </c>
      <c r="C1973" s="34" t="str">
        <f t="shared" si="43"/>
        <v>202509</v>
      </c>
      <c r="D1973" s="35" t="s">
        <v>2624</v>
      </c>
      <c r="E1973" s="36" t="s">
        <v>1112</v>
      </c>
      <c r="F1973" s="36" t="s">
        <v>1768</v>
      </c>
      <c r="G1973" s="37" t="s">
        <v>6951</v>
      </c>
      <c r="H1973" s="36" t="s">
        <v>1007</v>
      </c>
      <c r="I1973" s="35" t="s">
        <v>6952</v>
      </c>
      <c r="J1973" s="36" t="s">
        <v>929</v>
      </c>
      <c r="K1973" s="33" t="s">
        <v>916</v>
      </c>
      <c r="L1973" s="35" t="s">
        <v>916</v>
      </c>
      <c r="M1973" s="36" t="s">
        <v>916</v>
      </c>
      <c r="N1973" s="45">
        <v>46022</v>
      </c>
      <c r="O1973" s="36" t="s">
        <v>25</v>
      </c>
      <c r="P1973" s="38">
        <v>95.396770833299996</v>
      </c>
      <c r="Q1973" s="39" t="s">
        <v>1328</v>
      </c>
      <c r="R1973" s="35" t="s">
        <v>916</v>
      </c>
      <c r="S1973" s="35" t="s">
        <v>6953</v>
      </c>
      <c r="T1973" s="35" t="s">
        <v>1701</v>
      </c>
      <c r="U1973" s="40">
        <v>45927</v>
      </c>
      <c r="V1973" s="41">
        <v>46153.533020833333</v>
      </c>
      <c r="W1973" s="40">
        <v>45926</v>
      </c>
      <c r="X1973" s="35" t="s">
        <v>916</v>
      </c>
      <c r="Y1973" s="35" t="s">
        <v>916</v>
      </c>
      <c r="Z1973" s="35" t="s">
        <v>916</v>
      </c>
      <c r="AA1973" s="38">
        <v>2289.5224999992001</v>
      </c>
      <c r="AB1973" s="42" t="s">
        <v>916</v>
      </c>
      <c r="AC1973" s="43" t="s">
        <v>916</v>
      </c>
      <c r="AD1973" s="43" t="s">
        <v>916</v>
      </c>
      <c r="AE1973" s="33" t="s">
        <v>3982</v>
      </c>
      <c r="AF1973" s="35" t="s">
        <v>916</v>
      </c>
      <c r="AG1973" s="44">
        <v>488582.47749999998</v>
      </c>
      <c r="AH1973" s="42" t="s">
        <v>916</v>
      </c>
      <c r="AI1973" s="32" t="e">
        <f>VLOOKUP(A1973,'4月明細'!B:B,1,0)</f>
        <v>#N/A</v>
      </c>
    </row>
    <row r="1974" spans="1:35" ht="19.95" customHeight="1" x14ac:dyDescent="0.3">
      <c r="A1974" s="33" t="s">
        <v>6954</v>
      </c>
      <c r="B1974" s="34">
        <v>45926.489861111113</v>
      </c>
      <c r="C1974" s="34" t="str">
        <f t="shared" si="43"/>
        <v>202509</v>
      </c>
      <c r="D1974" s="35" t="s">
        <v>5380</v>
      </c>
      <c r="E1974" s="36" t="s">
        <v>910</v>
      </c>
      <c r="F1974" s="36" t="s">
        <v>1060</v>
      </c>
      <c r="G1974" s="37" t="s">
        <v>6955</v>
      </c>
      <c r="H1974" s="36" t="s">
        <v>3985</v>
      </c>
      <c r="I1974" s="35" t="s">
        <v>6956</v>
      </c>
      <c r="J1974" s="36" t="s">
        <v>929</v>
      </c>
      <c r="K1974" s="33" t="s">
        <v>916</v>
      </c>
      <c r="L1974" s="35" t="s">
        <v>916</v>
      </c>
      <c r="M1974" s="36" t="s">
        <v>916</v>
      </c>
      <c r="N1974" s="45">
        <v>46022</v>
      </c>
      <c r="O1974" s="36" t="s">
        <v>25</v>
      </c>
      <c r="P1974" s="38">
        <v>95.510138888900002</v>
      </c>
      <c r="Q1974" s="39" t="s">
        <v>6957</v>
      </c>
      <c r="R1974" s="35" t="s">
        <v>916</v>
      </c>
      <c r="S1974" s="35" t="s">
        <v>6958</v>
      </c>
      <c r="T1974" s="35" t="s">
        <v>1701</v>
      </c>
      <c r="U1974" s="40">
        <v>45927</v>
      </c>
      <c r="V1974" s="41">
        <v>46153.533020833333</v>
      </c>
      <c r="W1974" s="40">
        <v>45926</v>
      </c>
      <c r="X1974" s="35" t="s">
        <v>916</v>
      </c>
      <c r="Y1974" s="35" t="s">
        <v>916</v>
      </c>
      <c r="Z1974" s="35" t="s">
        <v>916</v>
      </c>
      <c r="AA1974" s="38">
        <v>2292.2433333335998</v>
      </c>
      <c r="AB1974" s="42" t="s">
        <v>916</v>
      </c>
      <c r="AC1974" s="43" t="s">
        <v>916</v>
      </c>
      <c r="AD1974" s="43" t="s">
        <v>916</v>
      </c>
      <c r="AE1974" s="33" t="s">
        <v>3982</v>
      </c>
      <c r="AF1974" s="35" t="s">
        <v>916</v>
      </c>
      <c r="AG1974" s="44">
        <v>488579.75666666671</v>
      </c>
      <c r="AH1974" s="42" t="s">
        <v>916</v>
      </c>
      <c r="AI1974" s="32" t="e">
        <f>VLOOKUP(A1974,'4月明細'!B:B,1,0)</f>
        <v>#N/A</v>
      </c>
    </row>
    <row r="1975" spans="1:35" ht="19.95" customHeight="1" x14ac:dyDescent="0.3">
      <c r="A1975" s="33" t="s">
        <v>6959</v>
      </c>
      <c r="B1975" s="34">
        <v>45926.465138888889</v>
      </c>
      <c r="C1975" s="34" t="str">
        <f t="shared" si="43"/>
        <v>202509</v>
      </c>
      <c r="D1975" s="35" t="s">
        <v>5380</v>
      </c>
      <c r="E1975" s="36" t="s">
        <v>910</v>
      </c>
      <c r="F1975" s="36" t="s">
        <v>1225</v>
      </c>
      <c r="G1975" s="37" t="s">
        <v>6960</v>
      </c>
      <c r="H1975" s="36" t="s">
        <v>3985</v>
      </c>
      <c r="I1975" s="35" t="s">
        <v>6961</v>
      </c>
      <c r="J1975" s="36" t="s">
        <v>929</v>
      </c>
      <c r="K1975" s="33" t="s">
        <v>916</v>
      </c>
      <c r="L1975" s="35" t="s">
        <v>916</v>
      </c>
      <c r="M1975" s="36" t="s">
        <v>916</v>
      </c>
      <c r="N1975" s="45">
        <v>46022</v>
      </c>
      <c r="O1975" s="36" t="s">
        <v>25</v>
      </c>
      <c r="P1975" s="38">
        <v>95.5348611111</v>
      </c>
      <c r="Q1975" s="39" t="s">
        <v>6962</v>
      </c>
      <c r="R1975" s="35" t="s">
        <v>916</v>
      </c>
      <c r="S1975" s="35" t="s">
        <v>6963</v>
      </c>
      <c r="T1975" s="35" t="s">
        <v>1701</v>
      </c>
      <c r="U1975" s="40">
        <v>45927</v>
      </c>
      <c r="V1975" s="41">
        <v>46153.533020833333</v>
      </c>
      <c r="W1975" s="40">
        <v>45926</v>
      </c>
      <c r="X1975" s="35" t="s">
        <v>916</v>
      </c>
      <c r="Y1975" s="35" t="s">
        <v>916</v>
      </c>
      <c r="Z1975" s="35" t="s">
        <v>916</v>
      </c>
      <c r="AA1975" s="38">
        <v>2292.8366666664001</v>
      </c>
      <c r="AB1975" s="42" t="s">
        <v>916</v>
      </c>
      <c r="AC1975" s="43" t="s">
        <v>916</v>
      </c>
      <c r="AD1975" s="43" t="s">
        <v>916</v>
      </c>
      <c r="AE1975" s="33" t="s">
        <v>3982</v>
      </c>
      <c r="AF1975" s="35" t="s">
        <v>916</v>
      </c>
      <c r="AG1975" s="44">
        <v>488579.16333333327</v>
      </c>
      <c r="AH1975" s="42" t="s">
        <v>916</v>
      </c>
      <c r="AI1975" s="32" t="e">
        <f>VLOOKUP(A1975,'4月明細'!B:B,1,0)</f>
        <v>#N/A</v>
      </c>
    </row>
    <row r="1976" spans="1:35" ht="19.95" customHeight="1" x14ac:dyDescent="0.3">
      <c r="A1976" s="33" t="s">
        <v>6964</v>
      </c>
      <c r="B1976" s="34">
        <v>45925.723645833335</v>
      </c>
      <c r="C1976" s="34" t="str">
        <f t="shared" si="43"/>
        <v>202509</v>
      </c>
      <c r="D1976" s="35" t="s">
        <v>996</v>
      </c>
      <c r="E1976" s="36" t="s">
        <v>910</v>
      </c>
      <c r="F1976" s="36" t="s">
        <v>1237</v>
      </c>
      <c r="G1976" s="37" t="s">
        <v>6965</v>
      </c>
      <c r="H1976" s="36" t="s">
        <v>1048</v>
      </c>
      <c r="I1976" s="35" t="s">
        <v>6966</v>
      </c>
      <c r="J1976" s="36" t="s">
        <v>929</v>
      </c>
      <c r="K1976" s="33" t="s">
        <v>916</v>
      </c>
      <c r="L1976" s="35" t="s">
        <v>916</v>
      </c>
      <c r="M1976" s="36" t="s">
        <v>916</v>
      </c>
      <c r="N1976" s="45">
        <v>46022</v>
      </c>
      <c r="O1976" s="36" t="s">
        <v>25</v>
      </c>
      <c r="P1976" s="38">
        <v>96.276354166700003</v>
      </c>
      <c r="Q1976" s="39" t="s">
        <v>2171</v>
      </c>
      <c r="R1976" s="35" t="s">
        <v>916</v>
      </c>
      <c r="S1976" s="35" t="s">
        <v>6967</v>
      </c>
      <c r="T1976" s="35" t="s">
        <v>1701</v>
      </c>
      <c r="U1976" s="40">
        <v>45926</v>
      </c>
      <c r="V1976" s="41">
        <v>46153.533020833333</v>
      </c>
      <c r="W1976" s="40">
        <v>45925</v>
      </c>
      <c r="X1976" s="35" t="s">
        <v>916</v>
      </c>
      <c r="Y1976" s="35" t="s">
        <v>916</v>
      </c>
      <c r="Z1976" s="35" t="s">
        <v>916</v>
      </c>
      <c r="AA1976" s="38">
        <v>2310.6325000008001</v>
      </c>
      <c r="AB1976" s="42" t="s">
        <v>916</v>
      </c>
      <c r="AC1976" s="43" t="s">
        <v>916</v>
      </c>
      <c r="AD1976" s="43" t="s">
        <v>916</v>
      </c>
      <c r="AE1976" s="33" t="s">
        <v>3982</v>
      </c>
      <c r="AF1976" s="35" t="s">
        <v>916</v>
      </c>
      <c r="AG1976" s="44">
        <v>488561.36750000011</v>
      </c>
      <c r="AH1976" s="42" t="s">
        <v>916</v>
      </c>
      <c r="AI1976" s="32" t="e">
        <f>VLOOKUP(A1976,'4月明細'!B:B,1,0)</f>
        <v>#N/A</v>
      </c>
    </row>
    <row r="1977" spans="1:35" ht="19.95" customHeight="1" x14ac:dyDescent="0.3">
      <c r="A1977" s="33" t="s">
        <v>6968</v>
      </c>
      <c r="B1977" s="34">
        <v>45925.506793981483</v>
      </c>
      <c r="C1977" s="34" t="str">
        <f t="shared" si="43"/>
        <v>202509</v>
      </c>
      <c r="D1977" s="35" t="s">
        <v>951</v>
      </c>
      <c r="E1977" s="36" t="s">
        <v>910</v>
      </c>
      <c r="F1977" s="36" t="s">
        <v>1591</v>
      </c>
      <c r="G1977" s="37" t="s">
        <v>6969</v>
      </c>
      <c r="H1977" s="36" t="s">
        <v>913</v>
      </c>
      <c r="I1977" s="35"/>
      <c r="J1977" s="36" t="s">
        <v>914</v>
      </c>
      <c r="K1977" s="33" t="s">
        <v>916</v>
      </c>
      <c r="L1977" s="35" t="s">
        <v>916</v>
      </c>
      <c r="M1977" s="36" t="s">
        <v>916</v>
      </c>
      <c r="N1977" s="45">
        <v>46022</v>
      </c>
      <c r="O1977" s="36" t="s">
        <v>25</v>
      </c>
      <c r="P1977" s="38">
        <v>96.493206018500004</v>
      </c>
      <c r="Q1977" s="39" t="s">
        <v>6970</v>
      </c>
      <c r="R1977" s="35" t="s">
        <v>916</v>
      </c>
      <c r="S1977" s="35"/>
      <c r="T1977" s="35" t="s">
        <v>1701</v>
      </c>
      <c r="U1977" s="40">
        <v>45926</v>
      </c>
      <c r="V1977" s="41">
        <v>46153.533020833333</v>
      </c>
      <c r="W1977" s="40">
        <v>45925</v>
      </c>
      <c r="X1977" s="35" t="s">
        <v>916</v>
      </c>
      <c r="Y1977" s="35" t="s">
        <v>916</v>
      </c>
      <c r="Z1977" s="35" t="s">
        <v>916</v>
      </c>
      <c r="AA1977" s="38">
        <v>2315.836944444</v>
      </c>
      <c r="AB1977" s="42" t="s">
        <v>916</v>
      </c>
      <c r="AC1977" s="43" t="s">
        <v>916</v>
      </c>
      <c r="AD1977" s="43" t="s">
        <v>916</v>
      </c>
      <c r="AE1977" s="33" t="s">
        <v>3982</v>
      </c>
      <c r="AF1977" s="35" t="s">
        <v>916</v>
      </c>
      <c r="AG1977" s="44">
        <v>488556.1630555556</v>
      </c>
      <c r="AH1977" s="42" t="s">
        <v>916</v>
      </c>
      <c r="AI1977" s="32" t="e">
        <f>VLOOKUP(A1977,'4月明細'!B:B,1,0)</f>
        <v>#N/A</v>
      </c>
    </row>
    <row r="1978" spans="1:35" ht="19.95" customHeight="1" x14ac:dyDescent="0.3">
      <c r="A1978" s="33" t="s">
        <v>6971</v>
      </c>
      <c r="B1978" s="34">
        <v>45925.62777777778</v>
      </c>
      <c r="C1978" s="34" t="str">
        <f t="shared" si="43"/>
        <v>202509</v>
      </c>
      <c r="D1978" s="35" t="s">
        <v>6847</v>
      </c>
      <c r="E1978" s="36" t="s">
        <v>910</v>
      </c>
      <c r="F1978" s="36" t="s">
        <v>1770</v>
      </c>
      <c r="G1978" s="37" t="s">
        <v>6972</v>
      </c>
      <c r="H1978" s="36" t="s">
        <v>4065</v>
      </c>
      <c r="I1978" s="35"/>
      <c r="J1978" s="36" t="s">
        <v>914</v>
      </c>
      <c r="K1978" s="33" t="s">
        <v>916</v>
      </c>
      <c r="L1978" s="35" t="s">
        <v>916</v>
      </c>
      <c r="M1978" s="36" t="s">
        <v>916</v>
      </c>
      <c r="N1978" s="45">
        <v>46022</v>
      </c>
      <c r="O1978" s="36" t="s">
        <v>25</v>
      </c>
      <c r="P1978" s="38">
        <v>96.372222222199994</v>
      </c>
      <c r="Q1978" s="39" t="s">
        <v>958</v>
      </c>
      <c r="R1978" s="35" t="s">
        <v>916</v>
      </c>
      <c r="S1978" s="35" t="s">
        <v>6973</v>
      </c>
      <c r="T1978" s="35" t="s">
        <v>1701</v>
      </c>
      <c r="U1978" s="40">
        <v>45926</v>
      </c>
      <c r="V1978" s="41">
        <v>46153.533020833333</v>
      </c>
      <c r="W1978" s="40">
        <v>45925</v>
      </c>
      <c r="X1978" s="35" t="s">
        <v>916</v>
      </c>
      <c r="Y1978" s="35" t="s">
        <v>916</v>
      </c>
      <c r="Z1978" s="35" t="s">
        <v>916</v>
      </c>
      <c r="AA1978" s="38">
        <v>2312.9333333328</v>
      </c>
      <c r="AB1978" s="42" t="s">
        <v>916</v>
      </c>
      <c r="AC1978" s="43" t="s">
        <v>916</v>
      </c>
      <c r="AD1978" s="43" t="s">
        <v>916</v>
      </c>
      <c r="AE1978" s="33" t="s">
        <v>3982</v>
      </c>
      <c r="AF1978" s="35" t="s">
        <v>916</v>
      </c>
      <c r="AG1978" s="44">
        <v>488559.06666666671</v>
      </c>
      <c r="AH1978" s="42" t="s">
        <v>916</v>
      </c>
      <c r="AI1978" s="32" t="e">
        <f>VLOOKUP(A1978,'4月明細'!B:B,1,0)</f>
        <v>#N/A</v>
      </c>
    </row>
    <row r="1979" spans="1:35" ht="19.95" customHeight="1" x14ac:dyDescent="0.3">
      <c r="A1979" s="33" t="s">
        <v>6974</v>
      </c>
      <c r="B1979" s="34">
        <v>45925.420972222222</v>
      </c>
      <c r="C1979" s="34" t="str">
        <f t="shared" si="43"/>
        <v>202509</v>
      </c>
      <c r="D1979" s="35" t="s">
        <v>951</v>
      </c>
      <c r="E1979" s="36" t="s">
        <v>910</v>
      </c>
      <c r="F1979" s="36" t="s">
        <v>1133</v>
      </c>
      <c r="G1979" s="37" t="s">
        <v>6975</v>
      </c>
      <c r="H1979" s="36" t="s">
        <v>913</v>
      </c>
      <c r="I1979" s="35"/>
      <c r="J1979" s="36" t="s">
        <v>929</v>
      </c>
      <c r="K1979" s="33" t="s">
        <v>916</v>
      </c>
      <c r="L1979" s="35" t="s">
        <v>916</v>
      </c>
      <c r="M1979" s="36" t="s">
        <v>916</v>
      </c>
      <c r="N1979" s="45">
        <v>46022</v>
      </c>
      <c r="O1979" s="36" t="s">
        <v>25</v>
      </c>
      <c r="P1979" s="38">
        <v>96.579027777799993</v>
      </c>
      <c r="Q1979" s="39" t="s">
        <v>6976</v>
      </c>
      <c r="R1979" s="35" t="s">
        <v>916</v>
      </c>
      <c r="S1979" s="35"/>
      <c r="T1979" s="35" t="s">
        <v>1701</v>
      </c>
      <c r="U1979" s="40">
        <v>45926</v>
      </c>
      <c r="V1979" s="41">
        <v>46153.533020833333</v>
      </c>
      <c r="W1979" s="40">
        <v>45925</v>
      </c>
      <c r="X1979" s="35" t="s">
        <v>916</v>
      </c>
      <c r="Y1979" s="35" t="s">
        <v>916</v>
      </c>
      <c r="Z1979" s="35" t="s">
        <v>916</v>
      </c>
      <c r="AA1979" s="38">
        <v>2317.8966666672</v>
      </c>
      <c r="AB1979" s="42" t="s">
        <v>916</v>
      </c>
      <c r="AC1979" s="43" t="s">
        <v>916</v>
      </c>
      <c r="AD1979" s="43" t="s">
        <v>916</v>
      </c>
      <c r="AE1979" s="33" t="s">
        <v>3982</v>
      </c>
      <c r="AF1979" s="35" t="s">
        <v>916</v>
      </c>
      <c r="AG1979" s="44">
        <v>488554.10333333327</v>
      </c>
      <c r="AH1979" s="42" t="s">
        <v>916</v>
      </c>
      <c r="AI1979" s="32" t="e">
        <f>VLOOKUP(A1979,'4月明細'!B:B,1,0)</f>
        <v>#N/A</v>
      </c>
    </row>
    <row r="1980" spans="1:35" ht="19.95" customHeight="1" x14ac:dyDescent="0.3">
      <c r="A1980" s="33" t="s">
        <v>6977</v>
      </c>
      <c r="B1980" s="34">
        <v>45925.49318287037</v>
      </c>
      <c r="C1980" s="34" t="str">
        <f t="shared" si="43"/>
        <v>202509</v>
      </c>
      <c r="D1980" s="35" t="s">
        <v>996</v>
      </c>
      <c r="E1980" s="36" t="s">
        <v>910</v>
      </c>
      <c r="F1980" s="36" t="s">
        <v>1260</v>
      </c>
      <c r="G1980" s="37" t="s">
        <v>6978</v>
      </c>
      <c r="H1980" s="36" t="s">
        <v>5927</v>
      </c>
      <c r="I1980" s="35"/>
      <c r="J1980" s="36" t="s">
        <v>929</v>
      </c>
      <c r="K1980" s="33" t="s">
        <v>916</v>
      </c>
      <c r="L1980" s="35" t="s">
        <v>916</v>
      </c>
      <c r="M1980" s="36" t="s">
        <v>916</v>
      </c>
      <c r="N1980" s="45">
        <v>46022</v>
      </c>
      <c r="O1980" s="36" t="s">
        <v>25</v>
      </c>
      <c r="P1980" s="38">
        <v>96.506817129599995</v>
      </c>
      <c r="Q1980" s="39" t="s">
        <v>6979</v>
      </c>
      <c r="R1980" s="35" t="s">
        <v>916</v>
      </c>
      <c r="S1980" s="35" t="s">
        <v>6980</v>
      </c>
      <c r="T1980" s="35" t="s">
        <v>1701</v>
      </c>
      <c r="U1980" s="40">
        <v>45926</v>
      </c>
      <c r="V1980" s="41">
        <v>46153.533020833333</v>
      </c>
      <c r="W1980" s="40">
        <v>45925</v>
      </c>
      <c r="X1980" s="35" t="s">
        <v>916</v>
      </c>
      <c r="Y1980" s="35" t="s">
        <v>916</v>
      </c>
      <c r="Z1980" s="35" t="s">
        <v>916</v>
      </c>
      <c r="AA1980" s="38">
        <v>2316.1636111103999</v>
      </c>
      <c r="AB1980" s="42" t="s">
        <v>916</v>
      </c>
      <c r="AC1980" s="43" t="s">
        <v>916</v>
      </c>
      <c r="AD1980" s="43" t="s">
        <v>916</v>
      </c>
      <c r="AE1980" s="33" t="s">
        <v>3982</v>
      </c>
      <c r="AF1980" s="35" t="s">
        <v>916</v>
      </c>
      <c r="AG1980" s="44">
        <v>488555.83638888889</v>
      </c>
      <c r="AH1980" s="42" t="s">
        <v>916</v>
      </c>
      <c r="AI1980" s="32" t="e">
        <f>VLOOKUP(A1980,'4月明細'!B:B,1,0)</f>
        <v>#N/A</v>
      </c>
    </row>
    <row r="1981" spans="1:35" ht="19.95" customHeight="1" x14ac:dyDescent="0.3">
      <c r="A1981" s="33" t="s">
        <v>6981</v>
      </c>
      <c r="B1981" s="34">
        <v>45924.644745370373</v>
      </c>
      <c r="C1981" s="34" t="str">
        <f t="shared" si="43"/>
        <v>202509</v>
      </c>
      <c r="D1981" s="35" t="s">
        <v>996</v>
      </c>
      <c r="E1981" s="36" t="s">
        <v>910</v>
      </c>
      <c r="F1981" s="36" t="s">
        <v>1870</v>
      </c>
      <c r="G1981" s="37" t="s">
        <v>6982</v>
      </c>
      <c r="H1981" s="36" t="s">
        <v>4065</v>
      </c>
      <c r="I1981" s="35" t="s">
        <v>6983</v>
      </c>
      <c r="J1981" s="36" t="s">
        <v>1058</v>
      </c>
      <c r="K1981" s="33" t="s">
        <v>916</v>
      </c>
      <c r="L1981" s="35" t="s">
        <v>916</v>
      </c>
      <c r="M1981" s="36" t="s">
        <v>916</v>
      </c>
      <c r="N1981" s="45">
        <v>46022</v>
      </c>
      <c r="O1981" s="36" t="s">
        <v>25</v>
      </c>
      <c r="P1981" s="38">
        <v>97.355254629599997</v>
      </c>
      <c r="Q1981" s="39" t="s">
        <v>6984</v>
      </c>
      <c r="R1981" s="35" t="s">
        <v>916</v>
      </c>
      <c r="S1981" s="35" t="s">
        <v>6985</v>
      </c>
      <c r="T1981" s="35" t="s">
        <v>1701</v>
      </c>
      <c r="U1981" s="40">
        <v>45925</v>
      </c>
      <c r="V1981" s="41">
        <v>46153.533020833333</v>
      </c>
      <c r="W1981" s="40">
        <v>45924</v>
      </c>
      <c r="X1981" s="35" t="s">
        <v>916</v>
      </c>
      <c r="Y1981" s="35" t="s">
        <v>916</v>
      </c>
      <c r="Z1981" s="35" t="s">
        <v>916</v>
      </c>
      <c r="AA1981" s="38">
        <v>2336.5261111104001</v>
      </c>
      <c r="AB1981" s="42" t="s">
        <v>916</v>
      </c>
      <c r="AC1981" s="43" t="s">
        <v>916</v>
      </c>
      <c r="AD1981" s="43" t="s">
        <v>916</v>
      </c>
      <c r="AE1981" s="33" t="s">
        <v>3982</v>
      </c>
      <c r="AF1981" s="35" t="s">
        <v>916</v>
      </c>
      <c r="AG1981" s="44">
        <v>488535.47388888878</v>
      </c>
      <c r="AH1981" s="42" t="s">
        <v>916</v>
      </c>
      <c r="AI1981" s="32" t="e">
        <f>VLOOKUP(A1981,'4月明細'!B:B,1,0)</f>
        <v>#N/A</v>
      </c>
    </row>
    <row r="1982" spans="1:35" ht="19.95" customHeight="1" x14ac:dyDescent="0.3">
      <c r="A1982" s="33" t="s">
        <v>6986</v>
      </c>
      <c r="B1982" s="34">
        <v>45924.485752314817</v>
      </c>
      <c r="C1982" s="34" t="str">
        <f t="shared" si="43"/>
        <v>202509</v>
      </c>
      <c r="D1982" s="35" t="s">
        <v>996</v>
      </c>
      <c r="E1982" s="36" t="s">
        <v>910</v>
      </c>
      <c r="F1982" s="36" t="s">
        <v>1203</v>
      </c>
      <c r="G1982" s="37" t="s">
        <v>6803</v>
      </c>
      <c r="H1982" s="36" t="s">
        <v>3979</v>
      </c>
      <c r="I1982" s="35"/>
      <c r="J1982" s="36" t="s">
        <v>929</v>
      </c>
      <c r="K1982" s="33" t="s">
        <v>916</v>
      </c>
      <c r="L1982" s="35" t="s">
        <v>916</v>
      </c>
      <c r="M1982" s="36" t="s">
        <v>916</v>
      </c>
      <c r="N1982" s="45">
        <v>46022</v>
      </c>
      <c r="O1982" s="36" t="s">
        <v>25</v>
      </c>
      <c r="P1982" s="38">
        <v>97.514247685200004</v>
      </c>
      <c r="Q1982" s="39" t="s">
        <v>6987</v>
      </c>
      <c r="R1982" s="35" t="s">
        <v>916</v>
      </c>
      <c r="S1982" s="35"/>
      <c r="T1982" s="35" t="s">
        <v>1701</v>
      </c>
      <c r="U1982" s="40">
        <v>45925</v>
      </c>
      <c r="V1982" s="41">
        <v>46153.533032407409</v>
      </c>
      <c r="W1982" s="40">
        <v>45924</v>
      </c>
      <c r="X1982" s="35" t="s">
        <v>916</v>
      </c>
      <c r="Y1982" s="35" t="s">
        <v>916</v>
      </c>
      <c r="Z1982" s="35" t="s">
        <v>916</v>
      </c>
      <c r="AA1982" s="38">
        <v>2340.3419444448</v>
      </c>
      <c r="AB1982" s="42" t="s">
        <v>916</v>
      </c>
      <c r="AC1982" s="43" t="s">
        <v>916</v>
      </c>
      <c r="AD1982" s="43" t="s">
        <v>916</v>
      </c>
      <c r="AE1982" s="33" t="s">
        <v>3982</v>
      </c>
      <c r="AF1982" s="35" t="s">
        <v>916</v>
      </c>
      <c r="AG1982" s="44">
        <v>488531.6580555556</v>
      </c>
      <c r="AH1982" s="42" t="s">
        <v>916</v>
      </c>
      <c r="AI1982" s="32" t="e">
        <f>VLOOKUP(A1982,'4月明細'!B:B,1,0)</f>
        <v>#N/A</v>
      </c>
    </row>
    <row r="1983" spans="1:35" ht="19.95" customHeight="1" x14ac:dyDescent="0.3">
      <c r="A1983" s="33" t="s">
        <v>6988</v>
      </c>
      <c r="B1983" s="34">
        <v>45924.479699074072</v>
      </c>
      <c r="C1983" s="34" t="str">
        <f t="shared" si="43"/>
        <v>202509</v>
      </c>
      <c r="D1983" s="35" t="s">
        <v>996</v>
      </c>
      <c r="E1983" s="36" t="s">
        <v>910</v>
      </c>
      <c r="F1983" s="36" t="s">
        <v>1064</v>
      </c>
      <c r="G1983" s="37" t="s">
        <v>6803</v>
      </c>
      <c r="H1983" s="36" t="s">
        <v>3979</v>
      </c>
      <c r="I1983" s="35"/>
      <c r="J1983" s="36" t="s">
        <v>929</v>
      </c>
      <c r="K1983" s="33" t="s">
        <v>916</v>
      </c>
      <c r="L1983" s="35" t="s">
        <v>916</v>
      </c>
      <c r="M1983" s="36" t="s">
        <v>916</v>
      </c>
      <c r="N1983" s="45">
        <v>46022</v>
      </c>
      <c r="O1983" s="36" t="s">
        <v>25</v>
      </c>
      <c r="P1983" s="38">
        <v>97.520300925900003</v>
      </c>
      <c r="Q1983" s="39" t="s">
        <v>6987</v>
      </c>
      <c r="R1983" s="35" t="s">
        <v>916</v>
      </c>
      <c r="S1983" s="35"/>
      <c r="T1983" s="35" t="s">
        <v>1701</v>
      </c>
      <c r="U1983" s="40">
        <v>45925</v>
      </c>
      <c r="V1983" s="41">
        <v>46153.533032407409</v>
      </c>
      <c r="W1983" s="40">
        <v>45924</v>
      </c>
      <c r="X1983" s="35" t="s">
        <v>916</v>
      </c>
      <c r="Y1983" s="35" t="s">
        <v>916</v>
      </c>
      <c r="Z1983" s="35" t="s">
        <v>916</v>
      </c>
      <c r="AA1983" s="38">
        <v>2340.4872222215999</v>
      </c>
      <c r="AB1983" s="42" t="s">
        <v>916</v>
      </c>
      <c r="AC1983" s="43" t="s">
        <v>916</v>
      </c>
      <c r="AD1983" s="43" t="s">
        <v>916</v>
      </c>
      <c r="AE1983" s="33" t="s">
        <v>3982</v>
      </c>
      <c r="AF1983" s="35" t="s">
        <v>916</v>
      </c>
      <c r="AG1983" s="44">
        <v>488531.51277777791</v>
      </c>
      <c r="AH1983" s="42" t="s">
        <v>916</v>
      </c>
      <c r="AI1983" s="32" t="e">
        <f>VLOOKUP(A1983,'4月明細'!B:B,1,0)</f>
        <v>#N/A</v>
      </c>
    </row>
    <row r="1984" spans="1:35" ht="19.95" customHeight="1" x14ac:dyDescent="0.3">
      <c r="A1984" s="33" t="s">
        <v>6989</v>
      </c>
      <c r="B1984" s="34">
        <v>45924.447974537034</v>
      </c>
      <c r="C1984" s="34" t="str">
        <f t="shared" si="43"/>
        <v>202509</v>
      </c>
      <c r="D1984" s="35" t="s">
        <v>5380</v>
      </c>
      <c r="E1984" s="36" t="s">
        <v>910</v>
      </c>
      <c r="F1984" s="36" t="s">
        <v>964</v>
      </c>
      <c r="G1984" s="37" t="s">
        <v>6990</v>
      </c>
      <c r="H1984" s="36" t="s">
        <v>4481</v>
      </c>
      <c r="I1984" s="35" t="s">
        <v>6991</v>
      </c>
      <c r="J1984" s="36" t="s">
        <v>914</v>
      </c>
      <c r="K1984" s="33" t="s">
        <v>916</v>
      </c>
      <c r="L1984" s="35" t="s">
        <v>916</v>
      </c>
      <c r="M1984" s="36" t="s">
        <v>916</v>
      </c>
      <c r="N1984" s="45">
        <v>46022</v>
      </c>
      <c r="O1984" s="36" t="s">
        <v>25</v>
      </c>
      <c r="P1984" s="38">
        <v>97.552025463000007</v>
      </c>
      <c r="Q1984" s="39" t="s">
        <v>6992</v>
      </c>
      <c r="R1984" s="35" t="s">
        <v>916</v>
      </c>
      <c r="S1984" s="35" t="s">
        <v>6993</v>
      </c>
      <c r="T1984" s="35" t="s">
        <v>1701</v>
      </c>
      <c r="U1984" s="40">
        <v>45925</v>
      </c>
      <c r="V1984" s="41">
        <v>46153.533032407409</v>
      </c>
      <c r="W1984" s="40">
        <v>45924</v>
      </c>
      <c r="X1984" s="35" t="s">
        <v>916</v>
      </c>
      <c r="Y1984" s="35" t="s">
        <v>916</v>
      </c>
      <c r="Z1984" s="35" t="s">
        <v>916</v>
      </c>
      <c r="AA1984" s="38">
        <v>2341.2486111120002</v>
      </c>
      <c r="AB1984" s="42" t="s">
        <v>916</v>
      </c>
      <c r="AC1984" s="43" t="s">
        <v>916</v>
      </c>
      <c r="AD1984" s="43" t="s">
        <v>916</v>
      </c>
      <c r="AE1984" s="33" t="s">
        <v>3982</v>
      </c>
      <c r="AF1984" s="35" t="s">
        <v>916</v>
      </c>
      <c r="AG1984" s="44">
        <v>488530.75138888892</v>
      </c>
      <c r="AH1984" s="42" t="s">
        <v>916</v>
      </c>
      <c r="AI1984" s="32" t="e">
        <f>VLOOKUP(A1984,'4月明細'!B:B,1,0)</f>
        <v>#N/A</v>
      </c>
    </row>
    <row r="1985" spans="1:35" ht="19.95" customHeight="1" x14ac:dyDescent="0.3">
      <c r="A1985" s="33" t="s">
        <v>6994</v>
      </c>
      <c r="B1985" s="34">
        <v>45924.440243055556</v>
      </c>
      <c r="C1985" s="34" t="str">
        <f t="shared" si="43"/>
        <v>202509</v>
      </c>
      <c r="D1985" s="35" t="s">
        <v>996</v>
      </c>
      <c r="E1985" s="36" t="s">
        <v>910</v>
      </c>
      <c r="F1985" s="36" t="s">
        <v>1441</v>
      </c>
      <c r="G1985" s="37" t="s">
        <v>6995</v>
      </c>
      <c r="H1985" s="36" t="s">
        <v>4185</v>
      </c>
      <c r="I1985" s="35" t="s">
        <v>6996</v>
      </c>
      <c r="J1985" s="36" t="s">
        <v>929</v>
      </c>
      <c r="K1985" s="33" t="s">
        <v>916</v>
      </c>
      <c r="L1985" s="35" t="s">
        <v>916</v>
      </c>
      <c r="M1985" s="36" t="s">
        <v>916</v>
      </c>
      <c r="N1985" s="45">
        <v>46022</v>
      </c>
      <c r="O1985" s="36" t="s">
        <v>25</v>
      </c>
      <c r="P1985" s="38">
        <v>97.559756944399993</v>
      </c>
      <c r="Q1985" s="39" t="s">
        <v>6997</v>
      </c>
      <c r="R1985" s="35" t="s">
        <v>916</v>
      </c>
      <c r="S1985" s="35" t="s">
        <v>6998</v>
      </c>
      <c r="T1985" s="35" t="s">
        <v>1701</v>
      </c>
      <c r="U1985" s="40">
        <v>45925</v>
      </c>
      <c r="V1985" s="41">
        <v>46153.533032407409</v>
      </c>
      <c r="W1985" s="40">
        <v>45924</v>
      </c>
      <c r="X1985" s="35" t="s">
        <v>916</v>
      </c>
      <c r="Y1985" s="35" t="s">
        <v>916</v>
      </c>
      <c r="Z1985" s="35" t="s">
        <v>916</v>
      </c>
      <c r="AA1985" s="38">
        <v>2341.4341666656001</v>
      </c>
      <c r="AB1985" s="42" t="s">
        <v>916</v>
      </c>
      <c r="AC1985" s="43" t="s">
        <v>916</v>
      </c>
      <c r="AD1985" s="43" t="s">
        <v>916</v>
      </c>
      <c r="AE1985" s="33" t="s">
        <v>3982</v>
      </c>
      <c r="AF1985" s="35" t="s">
        <v>916</v>
      </c>
      <c r="AG1985" s="44">
        <v>488530.56583333341</v>
      </c>
      <c r="AH1985" s="42" t="s">
        <v>916</v>
      </c>
      <c r="AI1985" s="32" t="e">
        <f>VLOOKUP(A1985,'4月明細'!B:B,1,0)</f>
        <v>#N/A</v>
      </c>
    </row>
    <row r="1986" spans="1:35" ht="19.95" customHeight="1" x14ac:dyDescent="0.3">
      <c r="A1986" s="33" t="s">
        <v>6999</v>
      </c>
      <c r="B1986" s="34">
        <v>45924.311226851853</v>
      </c>
      <c r="C1986" s="34" t="str">
        <f t="shared" si="43"/>
        <v>202509</v>
      </c>
      <c r="D1986" s="35" t="s">
        <v>1217</v>
      </c>
      <c r="E1986" s="36" t="s">
        <v>1112</v>
      </c>
      <c r="F1986" s="36" t="s">
        <v>1830</v>
      </c>
      <c r="G1986" s="37" t="s">
        <v>7000</v>
      </c>
      <c r="H1986" s="36" t="s">
        <v>1184</v>
      </c>
      <c r="I1986" s="35"/>
      <c r="J1986" s="36" t="s">
        <v>945</v>
      </c>
      <c r="K1986" s="33" t="s">
        <v>916</v>
      </c>
      <c r="L1986" s="35" t="s">
        <v>916</v>
      </c>
      <c r="M1986" s="36" t="s">
        <v>916</v>
      </c>
      <c r="N1986" s="45">
        <v>46022</v>
      </c>
      <c r="O1986" s="36" t="s">
        <v>25</v>
      </c>
      <c r="P1986" s="38">
        <v>97.688773148099997</v>
      </c>
      <c r="Q1986" s="39" t="s">
        <v>7001</v>
      </c>
      <c r="R1986" s="35" t="s">
        <v>916</v>
      </c>
      <c r="S1986" s="35" t="s">
        <v>7002</v>
      </c>
      <c r="T1986" s="35" t="s">
        <v>1701</v>
      </c>
      <c r="U1986" s="40">
        <v>45925</v>
      </c>
      <c r="V1986" s="41">
        <v>46153.533032407409</v>
      </c>
      <c r="W1986" s="40">
        <v>45924</v>
      </c>
      <c r="X1986" s="35" t="s">
        <v>916</v>
      </c>
      <c r="Y1986" s="35" t="s">
        <v>916</v>
      </c>
      <c r="Z1986" s="35" t="s">
        <v>916</v>
      </c>
      <c r="AA1986" s="38">
        <v>2344.5305555544001</v>
      </c>
      <c r="AB1986" s="42" t="s">
        <v>916</v>
      </c>
      <c r="AC1986" s="43" t="s">
        <v>916</v>
      </c>
      <c r="AD1986" s="43" t="s">
        <v>916</v>
      </c>
      <c r="AE1986" s="33" t="s">
        <v>3982</v>
      </c>
      <c r="AF1986" s="35" t="s">
        <v>916</v>
      </c>
      <c r="AG1986" s="44">
        <v>488527.46944444452</v>
      </c>
      <c r="AH1986" s="42" t="s">
        <v>916</v>
      </c>
      <c r="AI1986" s="32" t="e">
        <f>VLOOKUP(A1986,'4月明細'!B:B,1,0)</f>
        <v>#N/A</v>
      </c>
    </row>
    <row r="1987" spans="1:35" ht="19.95" customHeight="1" x14ac:dyDescent="0.3">
      <c r="A1987" s="33" t="s">
        <v>7003</v>
      </c>
      <c r="B1987" s="34">
        <v>45923.498124999998</v>
      </c>
      <c r="C1987" s="34" t="str">
        <f t="shared" ref="C1987:C2050" si="44">TEXT(B1987,"YYYYMM")</f>
        <v>202509</v>
      </c>
      <c r="D1987" s="35" t="s">
        <v>941</v>
      </c>
      <c r="E1987" s="36" t="s">
        <v>1112</v>
      </c>
      <c r="F1987" s="36" t="s">
        <v>2600</v>
      </c>
      <c r="G1987" s="37" t="s">
        <v>7004</v>
      </c>
      <c r="H1987" s="36" t="s">
        <v>1184</v>
      </c>
      <c r="I1987" s="35"/>
      <c r="J1987" s="36" t="s">
        <v>945</v>
      </c>
      <c r="K1987" s="33" t="s">
        <v>916</v>
      </c>
      <c r="L1987" s="35" t="s">
        <v>916</v>
      </c>
      <c r="M1987" s="36" t="s">
        <v>916</v>
      </c>
      <c r="N1987" s="45">
        <v>46022</v>
      </c>
      <c r="O1987" s="36" t="s">
        <v>25</v>
      </c>
      <c r="P1987" s="38">
        <v>98.501874999999998</v>
      </c>
      <c r="Q1987" s="39" t="s">
        <v>7005</v>
      </c>
      <c r="R1987" s="35" t="s">
        <v>916</v>
      </c>
      <c r="S1987" s="35" t="s">
        <v>7006</v>
      </c>
      <c r="T1987" s="35" t="s">
        <v>1701</v>
      </c>
      <c r="U1987" s="40">
        <v>45924</v>
      </c>
      <c r="V1987" s="41">
        <v>46153.533032407409</v>
      </c>
      <c r="W1987" s="40">
        <v>45923</v>
      </c>
      <c r="X1987" s="35" t="s">
        <v>916</v>
      </c>
      <c r="Y1987" s="35" t="s">
        <v>916</v>
      </c>
      <c r="Z1987" s="35" t="s">
        <v>916</v>
      </c>
      <c r="AA1987" s="38">
        <v>2364.0450000000001</v>
      </c>
      <c r="AB1987" s="42" t="s">
        <v>916</v>
      </c>
      <c r="AC1987" s="43" t="s">
        <v>916</v>
      </c>
      <c r="AD1987" s="43" t="s">
        <v>916</v>
      </c>
      <c r="AE1987" s="33" t="s">
        <v>3982</v>
      </c>
      <c r="AF1987" s="35" t="s">
        <v>916</v>
      </c>
      <c r="AG1987" s="44">
        <v>488507.95500000002</v>
      </c>
      <c r="AH1987" s="42" t="s">
        <v>916</v>
      </c>
      <c r="AI1987" s="32" t="e">
        <f>VLOOKUP(A1987,'4月明細'!B:B,1,0)</f>
        <v>#N/A</v>
      </c>
    </row>
    <row r="1988" spans="1:35" ht="19.95" customHeight="1" x14ac:dyDescent="0.3">
      <c r="A1988" s="33" t="s">
        <v>7007</v>
      </c>
      <c r="B1988" s="34">
        <v>45923.359212962961</v>
      </c>
      <c r="C1988" s="34" t="str">
        <f t="shared" si="44"/>
        <v>202509</v>
      </c>
      <c r="D1988" s="35" t="s">
        <v>941</v>
      </c>
      <c r="E1988" s="36" t="s">
        <v>1112</v>
      </c>
      <c r="F1988" s="36" t="s">
        <v>1260</v>
      </c>
      <c r="G1988" s="37" t="s">
        <v>7008</v>
      </c>
      <c r="H1988" s="36" t="s">
        <v>1184</v>
      </c>
      <c r="I1988" s="35"/>
      <c r="J1988" s="36" t="s">
        <v>929</v>
      </c>
      <c r="K1988" s="33" t="s">
        <v>916</v>
      </c>
      <c r="L1988" s="35" t="s">
        <v>916</v>
      </c>
      <c r="M1988" s="36" t="s">
        <v>916</v>
      </c>
      <c r="N1988" s="45">
        <v>46022</v>
      </c>
      <c r="O1988" s="36" t="s">
        <v>25</v>
      </c>
      <c r="P1988" s="38">
        <v>98.640787036999996</v>
      </c>
      <c r="Q1988" s="39" t="s">
        <v>7009</v>
      </c>
      <c r="R1988" s="35" t="s">
        <v>916</v>
      </c>
      <c r="S1988" s="35" t="s">
        <v>7010</v>
      </c>
      <c r="T1988" s="35" t="s">
        <v>1701</v>
      </c>
      <c r="U1988" s="40">
        <v>45924</v>
      </c>
      <c r="V1988" s="41">
        <v>46153.533032407409</v>
      </c>
      <c r="W1988" s="40">
        <v>45923</v>
      </c>
      <c r="X1988" s="35" t="s">
        <v>916</v>
      </c>
      <c r="Y1988" s="35" t="s">
        <v>916</v>
      </c>
      <c r="Z1988" s="35" t="s">
        <v>916</v>
      </c>
      <c r="AA1988" s="38">
        <v>2367.3788888879999</v>
      </c>
      <c r="AB1988" s="42" t="s">
        <v>916</v>
      </c>
      <c r="AC1988" s="43" t="s">
        <v>916</v>
      </c>
      <c r="AD1988" s="43" t="s">
        <v>916</v>
      </c>
      <c r="AE1988" s="33" t="s">
        <v>3982</v>
      </c>
      <c r="AF1988" s="35" t="s">
        <v>916</v>
      </c>
      <c r="AG1988" s="44">
        <v>488504.62111111108</v>
      </c>
      <c r="AH1988" s="42" t="s">
        <v>916</v>
      </c>
      <c r="AI1988" s="32" t="e">
        <f>VLOOKUP(A1988,'4月明細'!B:B,1,0)</f>
        <v>#N/A</v>
      </c>
    </row>
    <row r="1989" spans="1:35" ht="19.95" customHeight="1" x14ac:dyDescent="0.3">
      <c r="A1989" s="33" t="s">
        <v>7011</v>
      </c>
      <c r="B1989" s="34">
        <v>45923.144999999997</v>
      </c>
      <c r="C1989" s="34" t="str">
        <f t="shared" si="44"/>
        <v>202509</v>
      </c>
      <c r="D1989" s="35" t="s">
        <v>1217</v>
      </c>
      <c r="E1989" s="36" t="s">
        <v>1112</v>
      </c>
      <c r="F1989" s="36" t="s">
        <v>1150</v>
      </c>
      <c r="G1989" s="37" t="s">
        <v>7012</v>
      </c>
      <c r="H1989" s="36" t="s">
        <v>4877</v>
      </c>
      <c r="I1989" s="35"/>
      <c r="J1989" s="36" t="s">
        <v>1058</v>
      </c>
      <c r="K1989" s="33" t="s">
        <v>916</v>
      </c>
      <c r="L1989" s="35" t="s">
        <v>916</v>
      </c>
      <c r="M1989" s="36" t="s">
        <v>916</v>
      </c>
      <c r="N1989" s="45">
        <v>46022</v>
      </c>
      <c r="O1989" s="36" t="s">
        <v>25</v>
      </c>
      <c r="P1989" s="38">
        <v>98.855000000000004</v>
      </c>
      <c r="Q1989" s="39" t="s">
        <v>7013</v>
      </c>
      <c r="R1989" s="35" t="s">
        <v>916</v>
      </c>
      <c r="S1989" s="35"/>
      <c r="T1989" s="35" t="s">
        <v>1701</v>
      </c>
      <c r="U1989" s="40">
        <v>45924</v>
      </c>
      <c r="V1989" s="41">
        <v>46153.533032407409</v>
      </c>
      <c r="W1989" s="40">
        <v>45923</v>
      </c>
      <c r="X1989" s="35" t="s">
        <v>916</v>
      </c>
      <c r="Y1989" s="35" t="s">
        <v>916</v>
      </c>
      <c r="Z1989" s="35" t="s">
        <v>916</v>
      </c>
      <c r="AA1989" s="38">
        <v>2372.52</v>
      </c>
      <c r="AB1989" s="42" t="s">
        <v>916</v>
      </c>
      <c r="AC1989" s="43" t="s">
        <v>916</v>
      </c>
      <c r="AD1989" s="43" t="s">
        <v>916</v>
      </c>
      <c r="AE1989" s="33" t="s">
        <v>3982</v>
      </c>
      <c r="AF1989" s="35" t="s">
        <v>916</v>
      </c>
      <c r="AG1989" s="44">
        <v>488499.48</v>
      </c>
      <c r="AH1989" s="42" t="s">
        <v>916</v>
      </c>
      <c r="AI1989" s="32" t="e">
        <f>VLOOKUP(A1989,'4月明細'!B:B,1,0)</f>
        <v>#N/A</v>
      </c>
    </row>
    <row r="1990" spans="1:35" ht="19.95" customHeight="1" x14ac:dyDescent="0.3">
      <c r="A1990" s="33" t="s">
        <v>7014</v>
      </c>
      <c r="B1990" s="34">
        <v>45922.713738425926</v>
      </c>
      <c r="C1990" s="34" t="str">
        <f t="shared" si="44"/>
        <v>202509</v>
      </c>
      <c r="D1990" s="35" t="s">
        <v>996</v>
      </c>
      <c r="E1990" s="36" t="s">
        <v>910</v>
      </c>
      <c r="F1990" s="36" t="s">
        <v>1203</v>
      </c>
      <c r="G1990" s="37" t="s">
        <v>7015</v>
      </c>
      <c r="H1990" s="36" t="s">
        <v>4060</v>
      </c>
      <c r="I1990" s="35" t="s">
        <v>7016</v>
      </c>
      <c r="J1990" s="36" t="s">
        <v>929</v>
      </c>
      <c r="K1990" s="33" t="s">
        <v>916</v>
      </c>
      <c r="L1990" s="35" t="s">
        <v>916</v>
      </c>
      <c r="M1990" s="36" t="s">
        <v>916</v>
      </c>
      <c r="N1990" s="45">
        <v>46022</v>
      </c>
      <c r="O1990" s="36" t="s">
        <v>25</v>
      </c>
      <c r="P1990" s="38">
        <v>99.286261574099996</v>
      </c>
      <c r="Q1990" s="39" t="s">
        <v>7017</v>
      </c>
      <c r="R1990" s="35" t="s">
        <v>916</v>
      </c>
      <c r="S1990" s="35" t="s">
        <v>7018</v>
      </c>
      <c r="T1990" s="35" t="s">
        <v>1701</v>
      </c>
      <c r="U1990" s="40">
        <v>45923</v>
      </c>
      <c r="V1990" s="41">
        <v>46153.533032407409</v>
      </c>
      <c r="W1990" s="40">
        <v>45922</v>
      </c>
      <c r="X1990" s="35" t="s">
        <v>916</v>
      </c>
      <c r="Y1990" s="35" t="s">
        <v>916</v>
      </c>
      <c r="Z1990" s="35" t="s">
        <v>916</v>
      </c>
      <c r="AA1990" s="38">
        <v>2382.8702777784001</v>
      </c>
      <c r="AB1990" s="42" t="s">
        <v>916</v>
      </c>
      <c r="AC1990" s="43" t="s">
        <v>916</v>
      </c>
      <c r="AD1990" s="43" t="s">
        <v>916</v>
      </c>
      <c r="AE1990" s="33" t="s">
        <v>3982</v>
      </c>
      <c r="AF1990" s="35" t="s">
        <v>916</v>
      </c>
      <c r="AG1990" s="44">
        <v>488489.12972222222</v>
      </c>
      <c r="AH1990" s="42" t="s">
        <v>916</v>
      </c>
      <c r="AI1990" s="32" t="e">
        <f>VLOOKUP(A1990,'4月明細'!B:B,1,0)</f>
        <v>#N/A</v>
      </c>
    </row>
    <row r="1991" spans="1:35" ht="19.95" customHeight="1" x14ac:dyDescent="0.3">
      <c r="A1991" s="33" t="s">
        <v>7019</v>
      </c>
      <c r="B1991" s="34">
        <v>45922.625833333332</v>
      </c>
      <c r="C1991" s="34" t="str">
        <f t="shared" si="44"/>
        <v>202509</v>
      </c>
      <c r="D1991" s="35" t="s">
        <v>5380</v>
      </c>
      <c r="E1991" s="36" t="s">
        <v>910</v>
      </c>
      <c r="F1991" s="36" t="s">
        <v>2501</v>
      </c>
      <c r="G1991" s="37" t="s">
        <v>6944</v>
      </c>
      <c r="H1991" s="36" t="s">
        <v>3985</v>
      </c>
      <c r="I1991" s="35" t="s">
        <v>7020</v>
      </c>
      <c r="J1991" s="36" t="s">
        <v>914</v>
      </c>
      <c r="K1991" s="33" t="s">
        <v>916</v>
      </c>
      <c r="L1991" s="35" t="s">
        <v>916</v>
      </c>
      <c r="M1991" s="36" t="s">
        <v>916</v>
      </c>
      <c r="N1991" s="45">
        <v>46022</v>
      </c>
      <c r="O1991" s="36" t="s">
        <v>25</v>
      </c>
      <c r="P1991" s="38">
        <v>99.374166666700006</v>
      </c>
      <c r="Q1991" s="39" t="s">
        <v>7021</v>
      </c>
      <c r="R1991" s="35" t="s">
        <v>916</v>
      </c>
      <c r="S1991" s="35" t="s">
        <v>7022</v>
      </c>
      <c r="T1991" s="35" t="s">
        <v>1701</v>
      </c>
      <c r="U1991" s="40">
        <v>45923</v>
      </c>
      <c r="V1991" s="41">
        <v>46153.533032407409</v>
      </c>
      <c r="W1991" s="40">
        <v>45922</v>
      </c>
      <c r="X1991" s="35" t="s">
        <v>916</v>
      </c>
      <c r="Y1991" s="35" t="s">
        <v>916</v>
      </c>
      <c r="Z1991" s="35" t="s">
        <v>916</v>
      </c>
      <c r="AA1991" s="38">
        <v>2384.9800000007999</v>
      </c>
      <c r="AB1991" s="42" t="s">
        <v>916</v>
      </c>
      <c r="AC1991" s="43" t="s">
        <v>916</v>
      </c>
      <c r="AD1991" s="43" t="s">
        <v>916</v>
      </c>
      <c r="AE1991" s="33" t="s">
        <v>3982</v>
      </c>
      <c r="AF1991" s="35" t="s">
        <v>916</v>
      </c>
      <c r="AG1991" s="44">
        <v>488487.02</v>
      </c>
      <c r="AH1991" s="42" t="s">
        <v>916</v>
      </c>
      <c r="AI1991" s="32" t="e">
        <f>VLOOKUP(A1991,'4月明細'!B:B,1,0)</f>
        <v>#N/A</v>
      </c>
    </row>
    <row r="1992" spans="1:35" ht="19.95" customHeight="1" x14ac:dyDescent="0.3">
      <c r="A1992" s="33" t="s">
        <v>7023</v>
      </c>
      <c r="B1992" s="34">
        <v>45922.592326388891</v>
      </c>
      <c r="C1992" s="34" t="str">
        <f t="shared" si="44"/>
        <v>202509</v>
      </c>
      <c r="D1992" s="35" t="s">
        <v>7024</v>
      </c>
      <c r="E1992" s="36" t="s">
        <v>910</v>
      </c>
      <c r="F1992" s="36" t="s">
        <v>1534</v>
      </c>
      <c r="G1992" s="37" t="s">
        <v>7025</v>
      </c>
      <c r="H1992" s="36" t="s">
        <v>3996</v>
      </c>
      <c r="I1992" s="35"/>
      <c r="J1992" s="36" t="s">
        <v>945</v>
      </c>
      <c r="K1992" s="33" t="s">
        <v>916</v>
      </c>
      <c r="L1992" s="35" t="s">
        <v>916</v>
      </c>
      <c r="M1992" s="36" t="s">
        <v>916</v>
      </c>
      <c r="N1992" s="45">
        <v>46022</v>
      </c>
      <c r="O1992" s="36" t="s">
        <v>25</v>
      </c>
      <c r="P1992" s="38">
        <v>99.407673611099995</v>
      </c>
      <c r="Q1992" s="39" t="s">
        <v>7026</v>
      </c>
      <c r="R1992" s="35" t="s">
        <v>916</v>
      </c>
      <c r="S1992" s="35" t="s">
        <v>7027</v>
      </c>
      <c r="T1992" s="35" t="s">
        <v>1701</v>
      </c>
      <c r="U1992" s="40">
        <v>45923</v>
      </c>
      <c r="V1992" s="41">
        <v>46153.533032407409</v>
      </c>
      <c r="W1992" s="40">
        <v>45922</v>
      </c>
      <c r="X1992" s="35" t="s">
        <v>916</v>
      </c>
      <c r="Y1992" s="35" t="s">
        <v>916</v>
      </c>
      <c r="Z1992" s="35" t="s">
        <v>916</v>
      </c>
      <c r="AA1992" s="38">
        <v>2385.7841666663999</v>
      </c>
      <c r="AB1992" s="42" t="s">
        <v>916</v>
      </c>
      <c r="AC1992" s="43" t="s">
        <v>916</v>
      </c>
      <c r="AD1992" s="43" t="s">
        <v>916</v>
      </c>
      <c r="AE1992" s="33" t="s">
        <v>3982</v>
      </c>
      <c r="AF1992" s="35" t="s">
        <v>916</v>
      </c>
      <c r="AG1992" s="44">
        <v>488486.21583333338</v>
      </c>
      <c r="AH1992" s="42" t="s">
        <v>916</v>
      </c>
      <c r="AI1992" s="32" t="e">
        <f>VLOOKUP(A1992,'4月明細'!B:B,1,0)</f>
        <v>#N/A</v>
      </c>
    </row>
    <row r="1993" spans="1:35" ht="19.95" customHeight="1" x14ac:dyDescent="0.3">
      <c r="A1993" s="33" t="s">
        <v>7028</v>
      </c>
      <c r="B1993" s="34">
        <v>45922.587731481479</v>
      </c>
      <c r="C1993" s="34" t="str">
        <f t="shared" si="44"/>
        <v>202509</v>
      </c>
      <c r="D1993" s="35" t="s">
        <v>7029</v>
      </c>
      <c r="E1993" s="36" t="s">
        <v>1112</v>
      </c>
      <c r="F1993" s="36" t="s">
        <v>2501</v>
      </c>
      <c r="G1993" s="37" t="s">
        <v>7030</v>
      </c>
      <c r="H1993" s="36" t="s">
        <v>4060</v>
      </c>
      <c r="I1993" s="35"/>
      <c r="J1993" s="36" t="s">
        <v>938</v>
      </c>
      <c r="K1993" s="33" t="s">
        <v>916</v>
      </c>
      <c r="L1993" s="35" t="s">
        <v>916</v>
      </c>
      <c r="M1993" s="36" t="s">
        <v>916</v>
      </c>
      <c r="N1993" s="45">
        <v>46022</v>
      </c>
      <c r="O1993" s="36" t="s">
        <v>25</v>
      </c>
      <c r="P1993" s="38">
        <v>99.412268518499999</v>
      </c>
      <c r="Q1993" s="39" t="s">
        <v>7031</v>
      </c>
      <c r="R1993" s="35" t="s">
        <v>916</v>
      </c>
      <c r="S1993" s="35"/>
      <c r="T1993" s="35" t="s">
        <v>1701</v>
      </c>
      <c r="U1993" s="40">
        <v>45923</v>
      </c>
      <c r="V1993" s="41">
        <v>46153.533032407409</v>
      </c>
      <c r="W1993" s="40">
        <v>45922</v>
      </c>
      <c r="X1993" s="35" t="s">
        <v>916</v>
      </c>
      <c r="Y1993" s="35" t="s">
        <v>916</v>
      </c>
      <c r="Z1993" s="35" t="s">
        <v>916</v>
      </c>
      <c r="AA1993" s="38">
        <v>2385.8944444439999</v>
      </c>
      <c r="AB1993" s="42" t="s">
        <v>916</v>
      </c>
      <c r="AC1993" s="43" t="s">
        <v>916</v>
      </c>
      <c r="AD1993" s="43" t="s">
        <v>916</v>
      </c>
      <c r="AE1993" s="33" t="s">
        <v>3982</v>
      </c>
      <c r="AF1993" s="35" t="s">
        <v>916</v>
      </c>
      <c r="AG1993" s="44">
        <v>488486.10555555561</v>
      </c>
      <c r="AH1993" s="42" t="s">
        <v>916</v>
      </c>
      <c r="AI1993" s="32" t="e">
        <f>VLOOKUP(A1993,'4月明細'!B:B,1,0)</f>
        <v>#N/A</v>
      </c>
    </row>
    <row r="1994" spans="1:35" ht="19.95" customHeight="1" x14ac:dyDescent="0.3">
      <c r="A1994" s="33" t="s">
        <v>7032</v>
      </c>
      <c r="B1994" s="34">
        <v>45922.519768518519</v>
      </c>
      <c r="C1994" s="34" t="str">
        <f t="shared" si="44"/>
        <v>202509</v>
      </c>
      <c r="D1994" s="35" t="s">
        <v>996</v>
      </c>
      <c r="E1994" s="36" t="s">
        <v>910</v>
      </c>
      <c r="F1994" s="36" t="s">
        <v>1568</v>
      </c>
      <c r="G1994" s="37" t="s">
        <v>7033</v>
      </c>
      <c r="H1994" s="36" t="s">
        <v>4401</v>
      </c>
      <c r="I1994" s="35"/>
      <c r="J1994" s="36" t="s">
        <v>929</v>
      </c>
      <c r="K1994" s="33" t="s">
        <v>916</v>
      </c>
      <c r="L1994" s="35" t="s">
        <v>916</v>
      </c>
      <c r="M1994" s="36" t="s">
        <v>916</v>
      </c>
      <c r="N1994" s="45">
        <v>46022</v>
      </c>
      <c r="O1994" s="36" t="s">
        <v>25</v>
      </c>
      <c r="P1994" s="38">
        <v>99.480231481499999</v>
      </c>
      <c r="Q1994" s="39" t="s">
        <v>7034</v>
      </c>
      <c r="R1994" s="35" t="s">
        <v>916</v>
      </c>
      <c r="S1994" s="35" t="s">
        <v>7035</v>
      </c>
      <c r="T1994" s="35" t="s">
        <v>1701</v>
      </c>
      <c r="U1994" s="40">
        <v>45923</v>
      </c>
      <c r="V1994" s="41">
        <v>46153.533032407409</v>
      </c>
      <c r="W1994" s="40">
        <v>45922</v>
      </c>
      <c r="X1994" s="35" t="s">
        <v>916</v>
      </c>
      <c r="Y1994" s="35" t="s">
        <v>916</v>
      </c>
      <c r="Z1994" s="35" t="s">
        <v>916</v>
      </c>
      <c r="AA1994" s="38">
        <v>2387.5255555560002</v>
      </c>
      <c r="AB1994" s="42" t="s">
        <v>916</v>
      </c>
      <c r="AC1994" s="43" t="s">
        <v>916</v>
      </c>
      <c r="AD1994" s="43" t="s">
        <v>916</v>
      </c>
      <c r="AE1994" s="33" t="s">
        <v>3982</v>
      </c>
      <c r="AF1994" s="35" t="s">
        <v>916</v>
      </c>
      <c r="AG1994" s="44">
        <v>488484.47444444452</v>
      </c>
      <c r="AH1994" s="42" t="s">
        <v>916</v>
      </c>
      <c r="AI1994" s="32" t="e">
        <f>VLOOKUP(A1994,'4月明細'!B:B,1,0)</f>
        <v>#N/A</v>
      </c>
    </row>
    <row r="1995" spans="1:35" ht="19.95" customHeight="1" x14ac:dyDescent="0.3">
      <c r="A1995" s="33" t="s">
        <v>7036</v>
      </c>
      <c r="B1995" s="34">
        <v>45922.471064814818</v>
      </c>
      <c r="C1995" s="34" t="str">
        <f t="shared" si="44"/>
        <v>202509</v>
      </c>
      <c r="D1995" s="35" t="s">
        <v>5380</v>
      </c>
      <c r="E1995" s="36" t="s">
        <v>910</v>
      </c>
      <c r="F1995" s="36" t="s">
        <v>1121</v>
      </c>
      <c r="G1995" s="37" t="s">
        <v>7037</v>
      </c>
      <c r="H1995" s="36" t="s">
        <v>4007</v>
      </c>
      <c r="I1995" s="35" t="s">
        <v>7038</v>
      </c>
      <c r="J1995" s="36" t="s">
        <v>914</v>
      </c>
      <c r="K1995" s="33" t="s">
        <v>916</v>
      </c>
      <c r="L1995" s="35" t="s">
        <v>916</v>
      </c>
      <c r="M1995" s="36" t="s">
        <v>916</v>
      </c>
      <c r="N1995" s="45">
        <v>46022</v>
      </c>
      <c r="O1995" s="36" t="s">
        <v>25</v>
      </c>
      <c r="P1995" s="38">
        <v>99.528935185199998</v>
      </c>
      <c r="Q1995" s="39" t="s">
        <v>7039</v>
      </c>
      <c r="R1995" s="35" t="s">
        <v>916</v>
      </c>
      <c r="S1995" s="35" t="s">
        <v>7040</v>
      </c>
      <c r="T1995" s="35" t="s">
        <v>1701</v>
      </c>
      <c r="U1995" s="40">
        <v>45923</v>
      </c>
      <c r="V1995" s="41">
        <v>46153.533032407409</v>
      </c>
      <c r="W1995" s="40">
        <v>45922</v>
      </c>
      <c r="X1995" s="35" t="s">
        <v>916</v>
      </c>
      <c r="Y1995" s="35" t="s">
        <v>916</v>
      </c>
      <c r="Z1995" s="35" t="s">
        <v>916</v>
      </c>
      <c r="AA1995" s="38">
        <v>2388.6944444448</v>
      </c>
      <c r="AB1995" s="42" t="s">
        <v>916</v>
      </c>
      <c r="AC1995" s="43" t="s">
        <v>916</v>
      </c>
      <c r="AD1995" s="43" t="s">
        <v>916</v>
      </c>
      <c r="AE1995" s="33" t="s">
        <v>3982</v>
      </c>
      <c r="AF1995" s="35" t="s">
        <v>916</v>
      </c>
      <c r="AG1995" s="44">
        <v>488483.3055555555</v>
      </c>
      <c r="AH1995" s="42" t="s">
        <v>916</v>
      </c>
      <c r="AI1995" s="32" t="e">
        <f>VLOOKUP(A1995,'4月明細'!B:B,1,0)</f>
        <v>#N/A</v>
      </c>
    </row>
    <row r="1996" spans="1:35" ht="19.95" customHeight="1" x14ac:dyDescent="0.3">
      <c r="A1996" s="33" t="s">
        <v>7041</v>
      </c>
      <c r="B1996" s="34">
        <v>45921.575833333336</v>
      </c>
      <c r="C1996" s="34" t="str">
        <f t="shared" si="44"/>
        <v>202509</v>
      </c>
      <c r="D1996" s="35" t="s">
        <v>5380</v>
      </c>
      <c r="E1996" s="36" t="s">
        <v>910</v>
      </c>
      <c r="F1996" s="36" t="s">
        <v>1004</v>
      </c>
      <c r="G1996" s="37" t="s">
        <v>7042</v>
      </c>
      <c r="H1996" s="36" t="s">
        <v>3985</v>
      </c>
      <c r="I1996" s="35" t="s">
        <v>7043</v>
      </c>
      <c r="J1996" s="36" t="s">
        <v>914</v>
      </c>
      <c r="K1996" s="33" t="s">
        <v>916</v>
      </c>
      <c r="L1996" s="35" t="s">
        <v>916</v>
      </c>
      <c r="M1996" s="36" t="s">
        <v>916</v>
      </c>
      <c r="N1996" s="45">
        <v>46022</v>
      </c>
      <c r="O1996" s="36" t="s">
        <v>25</v>
      </c>
      <c r="P1996" s="38">
        <v>100.4241666667</v>
      </c>
      <c r="Q1996" s="39" t="s">
        <v>7044</v>
      </c>
      <c r="R1996" s="35" t="s">
        <v>916</v>
      </c>
      <c r="S1996" s="35" t="s">
        <v>7045</v>
      </c>
      <c r="T1996" s="35" t="s">
        <v>1701</v>
      </c>
      <c r="U1996" s="40">
        <v>45922</v>
      </c>
      <c r="V1996" s="41">
        <v>46153.533032407409</v>
      </c>
      <c r="W1996" s="40">
        <v>45921</v>
      </c>
      <c r="X1996" s="35" t="s">
        <v>916</v>
      </c>
      <c r="Y1996" s="35" t="s">
        <v>916</v>
      </c>
      <c r="Z1996" s="35" t="s">
        <v>916</v>
      </c>
      <c r="AA1996" s="38">
        <v>2410.1800000008002</v>
      </c>
      <c r="AB1996" s="42" t="s">
        <v>916</v>
      </c>
      <c r="AC1996" s="43" t="s">
        <v>916</v>
      </c>
      <c r="AD1996" s="43" t="s">
        <v>916</v>
      </c>
      <c r="AE1996" s="33" t="s">
        <v>3982</v>
      </c>
      <c r="AF1996" s="35" t="s">
        <v>916</v>
      </c>
      <c r="AG1996" s="44">
        <v>488461.81999999989</v>
      </c>
      <c r="AH1996" s="42" t="s">
        <v>916</v>
      </c>
      <c r="AI1996" s="32" t="e">
        <f>VLOOKUP(A1996,'4月明細'!B:B,1,0)</f>
        <v>#N/A</v>
      </c>
    </row>
    <row r="1997" spans="1:35" ht="19.95" customHeight="1" x14ac:dyDescent="0.3">
      <c r="A1997" s="33" t="s">
        <v>7046</v>
      </c>
      <c r="B1997" s="34">
        <v>45921.548402777778</v>
      </c>
      <c r="C1997" s="34" t="str">
        <f t="shared" si="44"/>
        <v>202509</v>
      </c>
      <c r="D1997" s="35" t="s">
        <v>7047</v>
      </c>
      <c r="E1997" s="36" t="s">
        <v>910</v>
      </c>
      <c r="F1997" s="36" t="s">
        <v>1612</v>
      </c>
      <c r="G1997" s="37" t="s">
        <v>7048</v>
      </c>
      <c r="H1997" s="36" t="s">
        <v>4324</v>
      </c>
      <c r="I1997" s="35" t="s">
        <v>7049</v>
      </c>
      <c r="J1997" s="36" t="s">
        <v>914</v>
      </c>
      <c r="K1997" s="33" t="s">
        <v>916</v>
      </c>
      <c r="L1997" s="35" t="s">
        <v>916</v>
      </c>
      <c r="M1997" s="36" t="s">
        <v>916</v>
      </c>
      <c r="N1997" s="45">
        <v>46022</v>
      </c>
      <c r="O1997" s="36" t="s">
        <v>25</v>
      </c>
      <c r="P1997" s="38">
        <v>100.45159722219999</v>
      </c>
      <c r="Q1997" s="39" t="s">
        <v>7050</v>
      </c>
      <c r="R1997" s="35" t="s">
        <v>916</v>
      </c>
      <c r="S1997" s="35" t="s">
        <v>7051</v>
      </c>
      <c r="T1997" s="35" t="s">
        <v>1701</v>
      </c>
      <c r="U1997" s="40">
        <v>45922</v>
      </c>
      <c r="V1997" s="41">
        <v>46153.533032407409</v>
      </c>
      <c r="W1997" s="40">
        <v>45921</v>
      </c>
      <c r="X1997" s="35" t="s">
        <v>916</v>
      </c>
      <c r="Y1997" s="35" t="s">
        <v>916</v>
      </c>
      <c r="Z1997" s="35" t="s">
        <v>916</v>
      </c>
      <c r="AA1997" s="38">
        <v>2410.8383333328002</v>
      </c>
      <c r="AB1997" s="42" t="s">
        <v>916</v>
      </c>
      <c r="AC1997" s="43" t="s">
        <v>916</v>
      </c>
      <c r="AD1997" s="43" t="s">
        <v>916</v>
      </c>
      <c r="AE1997" s="33" t="s">
        <v>3982</v>
      </c>
      <c r="AF1997" s="35" t="s">
        <v>916</v>
      </c>
      <c r="AG1997" s="44">
        <v>488461.16166666668</v>
      </c>
      <c r="AH1997" s="42" t="s">
        <v>916</v>
      </c>
      <c r="AI1997" s="32" t="e">
        <f>VLOOKUP(A1997,'4月明細'!B:B,1,0)</f>
        <v>#N/A</v>
      </c>
    </row>
    <row r="1998" spans="1:35" ht="19.95" customHeight="1" x14ac:dyDescent="0.3">
      <c r="A1998" s="33" t="s">
        <v>7052</v>
      </c>
      <c r="B1998" s="34">
        <v>45921.523078703707</v>
      </c>
      <c r="C1998" s="34" t="str">
        <f t="shared" si="44"/>
        <v>202509</v>
      </c>
      <c r="D1998" s="35" t="s">
        <v>6281</v>
      </c>
      <c r="E1998" s="36" t="s">
        <v>910</v>
      </c>
      <c r="F1998" s="36" t="s">
        <v>1397</v>
      </c>
      <c r="G1998" s="37" t="s">
        <v>7053</v>
      </c>
      <c r="H1998" s="36" t="s">
        <v>4683</v>
      </c>
      <c r="I1998" s="35"/>
      <c r="J1998" s="36" t="s">
        <v>914</v>
      </c>
      <c r="K1998" s="33" t="s">
        <v>916</v>
      </c>
      <c r="L1998" s="35" t="s">
        <v>916</v>
      </c>
      <c r="M1998" s="36" t="s">
        <v>916</v>
      </c>
      <c r="N1998" s="45">
        <v>46022</v>
      </c>
      <c r="O1998" s="36" t="s">
        <v>25</v>
      </c>
      <c r="P1998" s="38">
        <v>100.47692129630001</v>
      </c>
      <c r="Q1998" s="39" t="s">
        <v>7054</v>
      </c>
      <c r="R1998" s="35" t="s">
        <v>916</v>
      </c>
      <c r="S1998" s="35" t="s">
        <v>7055</v>
      </c>
      <c r="T1998" s="35" t="s">
        <v>1701</v>
      </c>
      <c r="U1998" s="40">
        <v>45922</v>
      </c>
      <c r="V1998" s="41">
        <v>46153.533032407409</v>
      </c>
      <c r="W1998" s="40">
        <v>45921</v>
      </c>
      <c r="X1998" s="35" t="s">
        <v>916</v>
      </c>
      <c r="Y1998" s="35" t="s">
        <v>916</v>
      </c>
      <c r="Z1998" s="35" t="s">
        <v>916</v>
      </c>
      <c r="AA1998" s="38">
        <v>2411.4461111112</v>
      </c>
      <c r="AB1998" s="42" t="s">
        <v>916</v>
      </c>
      <c r="AC1998" s="43" t="s">
        <v>916</v>
      </c>
      <c r="AD1998" s="43" t="s">
        <v>916</v>
      </c>
      <c r="AE1998" s="33" t="s">
        <v>3982</v>
      </c>
      <c r="AF1998" s="35" t="s">
        <v>916</v>
      </c>
      <c r="AG1998" s="44">
        <v>488460.55388888891</v>
      </c>
      <c r="AH1998" s="42" t="s">
        <v>916</v>
      </c>
      <c r="AI1998" s="32" t="e">
        <f>VLOOKUP(A1998,'4月明細'!B:B,1,0)</f>
        <v>#N/A</v>
      </c>
    </row>
    <row r="1999" spans="1:35" ht="19.95" customHeight="1" x14ac:dyDescent="0.3">
      <c r="A1999" s="33" t="s">
        <v>7056</v>
      </c>
      <c r="B1999" s="34">
        <v>45921.479733796295</v>
      </c>
      <c r="C1999" s="34" t="str">
        <f t="shared" si="44"/>
        <v>202509</v>
      </c>
      <c r="D1999" s="35" t="s">
        <v>1597</v>
      </c>
      <c r="E1999" s="36" t="s">
        <v>910</v>
      </c>
      <c r="F1999" s="36" t="s">
        <v>1240</v>
      </c>
      <c r="G1999" s="37" t="s">
        <v>7057</v>
      </c>
      <c r="H1999" s="36" t="s">
        <v>970</v>
      </c>
      <c r="I1999" s="35"/>
      <c r="J1999" s="36" t="s">
        <v>929</v>
      </c>
      <c r="K1999" s="33" t="s">
        <v>916</v>
      </c>
      <c r="L1999" s="35" t="s">
        <v>916</v>
      </c>
      <c r="M1999" s="36" t="s">
        <v>916</v>
      </c>
      <c r="N1999" s="45">
        <v>46022</v>
      </c>
      <c r="O1999" s="36" t="s">
        <v>25</v>
      </c>
      <c r="P1999" s="38">
        <v>100.5202662037</v>
      </c>
      <c r="Q1999" s="39" t="s">
        <v>7058</v>
      </c>
      <c r="R1999" s="35" t="s">
        <v>916</v>
      </c>
      <c r="S1999" s="35"/>
      <c r="T1999" s="35" t="s">
        <v>1624</v>
      </c>
      <c r="U1999" s="40">
        <v>45922</v>
      </c>
      <c r="V1999" s="41">
        <v>46153.533032407409</v>
      </c>
      <c r="W1999" s="40">
        <v>45921</v>
      </c>
      <c r="X1999" s="35" t="s">
        <v>916</v>
      </c>
      <c r="Y1999" s="35" t="s">
        <v>916</v>
      </c>
      <c r="Z1999" s="35" t="s">
        <v>916</v>
      </c>
      <c r="AA1999" s="38">
        <v>2412.4863888887999</v>
      </c>
      <c r="AB1999" s="42" t="s">
        <v>916</v>
      </c>
      <c r="AC1999" s="43" t="s">
        <v>916</v>
      </c>
      <c r="AD1999" s="43" t="s">
        <v>916</v>
      </c>
      <c r="AE1999" s="33" t="s">
        <v>3982</v>
      </c>
      <c r="AF1999" s="35" t="s">
        <v>916</v>
      </c>
      <c r="AG1999" s="44">
        <v>488459.51361111109</v>
      </c>
      <c r="AH1999" s="42" t="s">
        <v>916</v>
      </c>
      <c r="AI1999" s="32" t="e">
        <f>VLOOKUP(A1999,'4月明細'!B:B,1,0)</f>
        <v>#N/A</v>
      </c>
    </row>
    <row r="2000" spans="1:35" ht="19.95" customHeight="1" x14ac:dyDescent="0.3">
      <c r="A2000" s="33" t="s">
        <v>7059</v>
      </c>
      <c r="B2000" s="34">
        <v>45920.746574074074</v>
      </c>
      <c r="C2000" s="34" t="str">
        <f t="shared" si="44"/>
        <v>202509</v>
      </c>
      <c r="D2000" s="35" t="s">
        <v>5380</v>
      </c>
      <c r="E2000" s="36" t="s">
        <v>910</v>
      </c>
      <c r="F2000" s="36" t="s">
        <v>1584</v>
      </c>
      <c r="G2000" s="37" t="s">
        <v>7060</v>
      </c>
      <c r="H2000" s="36" t="s">
        <v>4029</v>
      </c>
      <c r="I2000" s="35" t="s">
        <v>7061</v>
      </c>
      <c r="J2000" s="36" t="s">
        <v>1058</v>
      </c>
      <c r="K2000" s="33" t="s">
        <v>916</v>
      </c>
      <c r="L2000" s="35" t="s">
        <v>916</v>
      </c>
      <c r="M2000" s="36" t="s">
        <v>916</v>
      </c>
      <c r="N2000" s="45">
        <v>46022</v>
      </c>
      <c r="O2000" s="36" t="s">
        <v>25</v>
      </c>
      <c r="P2000" s="38">
        <v>101.2534259259</v>
      </c>
      <c r="Q2000" s="39" t="s">
        <v>7062</v>
      </c>
      <c r="R2000" s="35" t="s">
        <v>916</v>
      </c>
      <c r="S2000" s="35"/>
      <c r="T2000" s="35" t="s">
        <v>1701</v>
      </c>
      <c r="U2000" s="40">
        <v>45921</v>
      </c>
      <c r="V2000" s="41">
        <v>46153.533032407409</v>
      </c>
      <c r="W2000" s="40">
        <v>45920</v>
      </c>
      <c r="X2000" s="35" t="s">
        <v>916</v>
      </c>
      <c r="Y2000" s="35" t="s">
        <v>916</v>
      </c>
      <c r="Z2000" s="35" t="s">
        <v>916</v>
      </c>
      <c r="AA2000" s="38">
        <v>2430.0822222216002</v>
      </c>
      <c r="AB2000" s="42" t="s">
        <v>916</v>
      </c>
      <c r="AC2000" s="43" t="s">
        <v>916</v>
      </c>
      <c r="AD2000" s="43" t="s">
        <v>916</v>
      </c>
      <c r="AE2000" s="33" t="s">
        <v>3982</v>
      </c>
      <c r="AF2000" s="35" t="s">
        <v>916</v>
      </c>
      <c r="AG2000" s="44">
        <v>488441.91777777782</v>
      </c>
      <c r="AH2000" s="42" t="s">
        <v>916</v>
      </c>
      <c r="AI2000" s="32" t="e">
        <f>VLOOKUP(A2000,'4月明細'!B:B,1,0)</f>
        <v>#N/A</v>
      </c>
    </row>
    <row r="2001" spans="1:35" ht="19.95" customHeight="1" x14ac:dyDescent="0.3">
      <c r="A2001" s="33" t="s">
        <v>7063</v>
      </c>
      <c r="B2001" s="34">
        <v>45920.719097222223</v>
      </c>
      <c r="C2001" s="34" t="str">
        <f t="shared" si="44"/>
        <v>202509</v>
      </c>
      <c r="D2001" s="35" t="s">
        <v>5380</v>
      </c>
      <c r="E2001" s="36" t="s">
        <v>910</v>
      </c>
      <c r="F2001" s="36" t="s">
        <v>1765</v>
      </c>
      <c r="G2001" s="37" t="s">
        <v>7064</v>
      </c>
      <c r="H2001" s="36" t="s">
        <v>3985</v>
      </c>
      <c r="I2001" s="35" t="s">
        <v>7065</v>
      </c>
      <c r="J2001" s="36" t="s">
        <v>914</v>
      </c>
      <c r="K2001" s="33" t="s">
        <v>916</v>
      </c>
      <c r="L2001" s="35" t="s">
        <v>916</v>
      </c>
      <c r="M2001" s="36" t="s">
        <v>916</v>
      </c>
      <c r="N2001" s="45">
        <v>46022</v>
      </c>
      <c r="O2001" s="36" t="s">
        <v>25</v>
      </c>
      <c r="P2001" s="38">
        <v>101.28090277779999</v>
      </c>
      <c r="Q2001" s="39" t="s">
        <v>7066</v>
      </c>
      <c r="R2001" s="35" t="s">
        <v>916</v>
      </c>
      <c r="S2001" s="35"/>
      <c r="T2001" s="35" t="s">
        <v>1701</v>
      </c>
      <c r="U2001" s="40">
        <v>45921</v>
      </c>
      <c r="V2001" s="41">
        <v>46153.533032407409</v>
      </c>
      <c r="W2001" s="40">
        <v>45920</v>
      </c>
      <c r="X2001" s="35" t="s">
        <v>916</v>
      </c>
      <c r="Y2001" s="35" t="s">
        <v>916</v>
      </c>
      <c r="Z2001" s="35" t="s">
        <v>916</v>
      </c>
      <c r="AA2001" s="38">
        <v>2430.7416666672002</v>
      </c>
      <c r="AB2001" s="42" t="s">
        <v>916</v>
      </c>
      <c r="AC2001" s="43" t="s">
        <v>916</v>
      </c>
      <c r="AD2001" s="43" t="s">
        <v>916</v>
      </c>
      <c r="AE2001" s="33" t="s">
        <v>3982</v>
      </c>
      <c r="AF2001" s="35" t="s">
        <v>916</v>
      </c>
      <c r="AG2001" s="44">
        <v>488441.25833333342</v>
      </c>
      <c r="AH2001" s="42" t="s">
        <v>916</v>
      </c>
      <c r="AI2001" s="32" t="e">
        <f>VLOOKUP(A2001,'4月明細'!B:B,1,0)</f>
        <v>#N/A</v>
      </c>
    </row>
    <row r="2002" spans="1:35" ht="19.95" customHeight="1" x14ac:dyDescent="0.3">
      <c r="A2002" s="33" t="s">
        <v>7067</v>
      </c>
      <c r="B2002" s="34">
        <v>45920.717291666668</v>
      </c>
      <c r="C2002" s="34" t="str">
        <f t="shared" si="44"/>
        <v>202509</v>
      </c>
      <c r="D2002" s="35" t="s">
        <v>5380</v>
      </c>
      <c r="E2002" s="36" t="s">
        <v>910</v>
      </c>
      <c r="F2002" s="36" t="s">
        <v>1765</v>
      </c>
      <c r="G2002" s="37" t="s">
        <v>977</v>
      </c>
      <c r="H2002" s="36" t="s">
        <v>4203</v>
      </c>
      <c r="I2002" s="35" t="s">
        <v>7068</v>
      </c>
      <c r="J2002" s="36" t="s">
        <v>914</v>
      </c>
      <c r="K2002" s="33" t="s">
        <v>916</v>
      </c>
      <c r="L2002" s="35" t="s">
        <v>916</v>
      </c>
      <c r="M2002" s="36" t="s">
        <v>916</v>
      </c>
      <c r="N2002" s="45">
        <v>46022</v>
      </c>
      <c r="O2002" s="36" t="s">
        <v>25</v>
      </c>
      <c r="P2002" s="38">
        <v>101.28270833329999</v>
      </c>
      <c r="Q2002" s="39" t="s">
        <v>3375</v>
      </c>
      <c r="R2002" s="35" t="s">
        <v>916</v>
      </c>
      <c r="S2002" s="35"/>
      <c r="T2002" s="35" t="s">
        <v>1701</v>
      </c>
      <c r="U2002" s="40">
        <v>45921</v>
      </c>
      <c r="V2002" s="41">
        <v>46153.533032407409</v>
      </c>
      <c r="W2002" s="40">
        <v>45920</v>
      </c>
      <c r="X2002" s="35" t="s">
        <v>916</v>
      </c>
      <c r="Y2002" s="35" t="s">
        <v>916</v>
      </c>
      <c r="Z2002" s="35" t="s">
        <v>916</v>
      </c>
      <c r="AA2002" s="38">
        <v>2430.7849999992</v>
      </c>
      <c r="AB2002" s="42" t="s">
        <v>916</v>
      </c>
      <c r="AC2002" s="43" t="s">
        <v>916</v>
      </c>
      <c r="AD2002" s="43" t="s">
        <v>916</v>
      </c>
      <c r="AE2002" s="33" t="s">
        <v>3982</v>
      </c>
      <c r="AF2002" s="35" t="s">
        <v>916</v>
      </c>
      <c r="AG2002" s="44">
        <v>488441.21500000003</v>
      </c>
      <c r="AH2002" s="42" t="s">
        <v>916</v>
      </c>
      <c r="AI2002" s="32" t="e">
        <f>VLOOKUP(A2002,'4月明細'!B:B,1,0)</f>
        <v>#N/A</v>
      </c>
    </row>
    <row r="2003" spans="1:35" ht="19.95" customHeight="1" x14ac:dyDescent="0.3">
      <c r="A2003" s="33" t="s">
        <v>7069</v>
      </c>
      <c r="B2003" s="34">
        <v>45920.686863425923</v>
      </c>
      <c r="C2003" s="34" t="str">
        <f t="shared" si="44"/>
        <v>202509</v>
      </c>
      <c r="D2003" s="35" t="s">
        <v>6281</v>
      </c>
      <c r="E2003" s="36" t="s">
        <v>910</v>
      </c>
      <c r="F2003" s="36" t="s">
        <v>1350</v>
      </c>
      <c r="G2003" s="37" t="s">
        <v>7070</v>
      </c>
      <c r="H2003" s="36" t="s">
        <v>1048</v>
      </c>
      <c r="I2003" s="35"/>
      <c r="J2003" s="36" t="s">
        <v>914</v>
      </c>
      <c r="K2003" s="33" t="s">
        <v>916</v>
      </c>
      <c r="L2003" s="35" t="s">
        <v>916</v>
      </c>
      <c r="M2003" s="36" t="s">
        <v>916</v>
      </c>
      <c r="N2003" s="45">
        <v>46022</v>
      </c>
      <c r="O2003" s="36" t="s">
        <v>25</v>
      </c>
      <c r="P2003" s="38">
        <v>101.3131365741</v>
      </c>
      <c r="Q2003" s="39" t="s">
        <v>7071</v>
      </c>
      <c r="R2003" s="35" t="s">
        <v>916</v>
      </c>
      <c r="S2003" s="35" t="s">
        <v>7072</v>
      </c>
      <c r="T2003" s="35" t="s">
        <v>1701</v>
      </c>
      <c r="U2003" s="40">
        <v>45921</v>
      </c>
      <c r="V2003" s="41">
        <v>46153.533032407409</v>
      </c>
      <c r="W2003" s="40">
        <v>45920</v>
      </c>
      <c r="X2003" s="35" t="s">
        <v>916</v>
      </c>
      <c r="Y2003" s="35" t="s">
        <v>916</v>
      </c>
      <c r="Z2003" s="35" t="s">
        <v>916</v>
      </c>
      <c r="AA2003" s="38">
        <v>2431.5152777784001</v>
      </c>
      <c r="AB2003" s="42" t="s">
        <v>916</v>
      </c>
      <c r="AC2003" s="43" t="s">
        <v>916</v>
      </c>
      <c r="AD2003" s="43" t="s">
        <v>916</v>
      </c>
      <c r="AE2003" s="33" t="s">
        <v>3982</v>
      </c>
      <c r="AF2003" s="35" t="s">
        <v>916</v>
      </c>
      <c r="AG2003" s="44">
        <v>488440.4847222222</v>
      </c>
      <c r="AH2003" s="42" t="s">
        <v>916</v>
      </c>
      <c r="AI2003" s="32" t="e">
        <f>VLOOKUP(A2003,'4月明細'!B:B,1,0)</f>
        <v>#N/A</v>
      </c>
    </row>
    <row r="2004" spans="1:35" ht="19.95" customHeight="1" x14ac:dyDescent="0.3">
      <c r="A2004" s="33" t="s">
        <v>7073</v>
      </c>
      <c r="B2004" s="34">
        <v>45920.569710648146</v>
      </c>
      <c r="C2004" s="34" t="str">
        <f t="shared" si="44"/>
        <v>202509</v>
      </c>
      <c r="D2004" s="35" t="s">
        <v>5380</v>
      </c>
      <c r="E2004" s="36" t="s">
        <v>910</v>
      </c>
      <c r="F2004" s="36" t="s">
        <v>2501</v>
      </c>
      <c r="G2004" s="37" t="s">
        <v>927</v>
      </c>
      <c r="H2004" s="36" t="s">
        <v>3979</v>
      </c>
      <c r="I2004" s="35" t="s">
        <v>7074</v>
      </c>
      <c r="J2004" s="36" t="s">
        <v>914</v>
      </c>
      <c r="K2004" s="33" t="s">
        <v>916</v>
      </c>
      <c r="L2004" s="35" t="s">
        <v>916</v>
      </c>
      <c r="M2004" s="36" t="s">
        <v>916</v>
      </c>
      <c r="N2004" s="45">
        <v>46022</v>
      </c>
      <c r="O2004" s="36" t="s">
        <v>25</v>
      </c>
      <c r="P2004" s="38">
        <v>101.4302893519</v>
      </c>
      <c r="Q2004" s="39" t="s">
        <v>7075</v>
      </c>
      <c r="R2004" s="35" t="s">
        <v>916</v>
      </c>
      <c r="S2004" s="35"/>
      <c r="T2004" s="35" t="s">
        <v>1701</v>
      </c>
      <c r="U2004" s="40">
        <v>45921</v>
      </c>
      <c r="V2004" s="41">
        <v>46153.533032407409</v>
      </c>
      <c r="W2004" s="40">
        <v>45920</v>
      </c>
      <c r="X2004" s="35" t="s">
        <v>916</v>
      </c>
      <c r="Y2004" s="35" t="s">
        <v>916</v>
      </c>
      <c r="Z2004" s="35" t="s">
        <v>916</v>
      </c>
      <c r="AA2004" s="38">
        <v>2434.3269444456</v>
      </c>
      <c r="AB2004" s="42" t="s">
        <v>916</v>
      </c>
      <c r="AC2004" s="43" t="s">
        <v>916</v>
      </c>
      <c r="AD2004" s="43" t="s">
        <v>916</v>
      </c>
      <c r="AE2004" s="33" t="s">
        <v>3982</v>
      </c>
      <c r="AF2004" s="35" t="s">
        <v>916</v>
      </c>
      <c r="AG2004" s="44">
        <v>488437.67305555561</v>
      </c>
      <c r="AH2004" s="42" t="s">
        <v>916</v>
      </c>
      <c r="AI2004" s="32" t="e">
        <f>VLOOKUP(A2004,'4月明細'!B:B,1,0)</f>
        <v>#N/A</v>
      </c>
    </row>
    <row r="2005" spans="1:35" ht="19.95" customHeight="1" x14ac:dyDescent="0.3">
      <c r="A2005" s="33" t="s">
        <v>7076</v>
      </c>
      <c r="B2005" s="34">
        <v>45920.451435185183</v>
      </c>
      <c r="C2005" s="34" t="str">
        <f t="shared" si="44"/>
        <v>202509</v>
      </c>
      <c r="D2005" s="35" t="s">
        <v>951</v>
      </c>
      <c r="E2005" s="36" t="s">
        <v>910</v>
      </c>
      <c r="F2005" s="36" t="s">
        <v>1723</v>
      </c>
      <c r="G2005" s="37" t="s">
        <v>7077</v>
      </c>
      <c r="H2005" s="36" t="s">
        <v>4267</v>
      </c>
      <c r="I2005" s="35" t="s">
        <v>7078</v>
      </c>
      <c r="J2005" s="36" t="s">
        <v>914</v>
      </c>
      <c r="K2005" s="33" t="s">
        <v>916</v>
      </c>
      <c r="L2005" s="35" t="s">
        <v>916</v>
      </c>
      <c r="M2005" s="36" t="s">
        <v>916</v>
      </c>
      <c r="N2005" s="45">
        <v>46022</v>
      </c>
      <c r="O2005" s="36" t="s">
        <v>25</v>
      </c>
      <c r="P2005" s="38">
        <v>101.5485648148</v>
      </c>
      <c r="Q2005" s="39" t="s">
        <v>7079</v>
      </c>
      <c r="R2005" s="35" t="s">
        <v>916</v>
      </c>
      <c r="S2005" s="35" t="s">
        <v>7080</v>
      </c>
      <c r="T2005" s="35" t="s">
        <v>1624</v>
      </c>
      <c r="U2005" s="40">
        <v>45921</v>
      </c>
      <c r="V2005" s="41">
        <v>46153.533032407409</v>
      </c>
      <c r="W2005" s="40">
        <v>45920</v>
      </c>
      <c r="X2005" s="35" t="s">
        <v>916</v>
      </c>
      <c r="Y2005" s="35" t="s">
        <v>916</v>
      </c>
      <c r="Z2005" s="35" t="s">
        <v>916</v>
      </c>
      <c r="AA2005" s="38">
        <v>2437.1655555552002</v>
      </c>
      <c r="AB2005" s="42" t="s">
        <v>916</v>
      </c>
      <c r="AC2005" s="43" t="s">
        <v>916</v>
      </c>
      <c r="AD2005" s="43" t="s">
        <v>916</v>
      </c>
      <c r="AE2005" s="33" t="s">
        <v>3982</v>
      </c>
      <c r="AF2005" s="35" t="s">
        <v>916</v>
      </c>
      <c r="AG2005" s="44">
        <v>488434.83444444451</v>
      </c>
      <c r="AH2005" s="42" t="s">
        <v>916</v>
      </c>
      <c r="AI2005" s="32" t="e">
        <f>VLOOKUP(A2005,'4月明細'!B:B,1,0)</f>
        <v>#N/A</v>
      </c>
    </row>
    <row r="2006" spans="1:35" ht="19.95" customHeight="1" x14ac:dyDescent="0.3">
      <c r="A2006" s="33" t="s">
        <v>7081</v>
      </c>
      <c r="B2006" s="34">
        <v>45920.542314814818</v>
      </c>
      <c r="C2006" s="34" t="str">
        <f t="shared" si="44"/>
        <v>202509</v>
      </c>
      <c r="D2006" s="35" t="s">
        <v>5380</v>
      </c>
      <c r="E2006" s="36" t="s">
        <v>910</v>
      </c>
      <c r="F2006" s="36" t="s">
        <v>947</v>
      </c>
      <c r="G2006" s="37" t="s">
        <v>927</v>
      </c>
      <c r="H2006" s="36" t="s">
        <v>3979</v>
      </c>
      <c r="I2006" s="35" t="s">
        <v>7082</v>
      </c>
      <c r="J2006" s="36" t="s">
        <v>914</v>
      </c>
      <c r="K2006" s="33" t="s">
        <v>916</v>
      </c>
      <c r="L2006" s="35" t="s">
        <v>916</v>
      </c>
      <c r="M2006" s="36" t="s">
        <v>916</v>
      </c>
      <c r="N2006" s="45">
        <v>46022</v>
      </c>
      <c r="O2006" s="36" t="s">
        <v>25</v>
      </c>
      <c r="P2006" s="38">
        <v>101.45768518520001</v>
      </c>
      <c r="Q2006" s="39" t="s">
        <v>7083</v>
      </c>
      <c r="R2006" s="35" t="s">
        <v>916</v>
      </c>
      <c r="S2006" s="35"/>
      <c r="T2006" s="35" t="s">
        <v>1701</v>
      </c>
      <c r="U2006" s="40">
        <v>45921</v>
      </c>
      <c r="V2006" s="41">
        <v>46153.533032407409</v>
      </c>
      <c r="W2006" s="40">
        <v>45920</v>
      </c>
      <c r="X2006" s="35" t="s">
        <v>916</v>
      </c>
      <c r="Y2006" s="35" t="s">
        <v>916</v>
      </c>
      <c r="Z2006" s="35" t="s">
        <v>916</v>
      </c>
      <c r="AA2006" s="38">
        <v>2434.9844444447999</v>
      </c>
      <c r="AB2006" s="42" t="s">
        <v>916</v>
      </c>
      <c r="AC2006" s="43" t="s">
        <v>916</v>
      </c>
      <c r="AD2006" s="43" t="s">
        <v>916</v>
      </c>
      <c r="AE2006" s="33" t="s">
        <v>3982</v>
      </c>
      <c r="AF2006" s="35" t="s">
        <v>916</v>
      </c>
      <c r="AG2006" s="44">
        <v>488437.01555555558</v>
      </c>
      <c r="AH2006" s="42" t="s">
        <v>916</v>
      </c>
      <c r="AI2006" s="32" t="e">
        <f>VLOOKUP(A2006,'4月明細'!B:B,1,0)</f>
        <v>#N/A</v>
      </c>
    </row>
    <row r="2007" spans="1:35" ht="19.95" customHeight="1" x14ac:dyDescent="0.3">
      <c r="A2007" s="33" t="s">
        <v>7084</v>
      </c>
      <c r="B2007" s="34">
        <v>45920.530729166669</v>
      </c>
      <c r="C2007" s="34" t="str">
        <f t="shared" si="44"/>
        <v>202509</v>
      </c>
      <c r="D2007" s="35" t="s">
        <v>5380</v>
      </c>
      <c r="E2007" s="36" t="s">
        <v>910</v>
      </c>
      <c r="F2007" s="36" t="s">
        <v>1370</v>
      </c>
      <c r="G2007" s="37" t="s">
        <v>7085</v>
      </c>
      <c r="H2007" s="36" t="s">
        <v>4007</v>
      </c>
      <c r="I2007" s="35" t="s">
        <v>7086</v>
      </c>
      <c r="J2007" s="36" t="s">
        <v>914</v>
      </c>
      <c r="K2007" s="33" t="s">
        <v>916</v>
      </c>
      <c r="L2007" s="35" t="s">
        <v>916</v>
      </c>
      <c r="M2007" s="36" t="s">
        <v>916</v>
      </c>
      <c r="N2007" s="45">
        <v>46022</v>
      </c>
      <c r="O2007" s="36" t="s">
        <v>25</v>
      </c>
      <c r="P2007" s="38">
        <v>101.4692708333</v>
      </c>
      <c r="Q2007" s="39" t="s">
        <v>7087</v>
      </c>
      <c r="R2007" s="35" t="s">
        <v>916</v>
      </c>
      <c r="S2007" s="35" t="s">
        <v>7088</v>
      </c>
      <c r="T2007" s="35" t="s">
        <v>1701</v>
      </c>
      <c r="U2007" s="40">
        <v>45921</v>
      </c>
      <c r="V2007" s="41">
        <v>46153.533032407409</v>
      </c>
      <c r="W2007" s="40">
        <v>45920</v>
      </c>
      <c r="X2007" s="35" t="s">
        <v>916</v>
      </c>
      <c r="Y2007" s="35" t="s">
        <v>916</v>
      </c>
      <c r="Z2007" s="35" t="s">
        <v>916</v>
      </c>
      <c r="AA2007" s="38">
        <v>2435.2624999991999</v>
      </c>
      <c r="AB2007" s="42" t="s">
        <v>916</v>
      </c>
      <c r="AC2007" s="43" t="s">
        <v>916</v>
      </c>
      <c r="AD2007" s="43" t="s">
        <v>916</v>
      </c>
      <c r="AE2007" s="33" t="s">
        <v>3982</v>
      </c>
      <c r="AF2007" s="35" t="s">
        <v>916</v>
      </c>
      <c r="AG2007" s="44">
        <v>488436.73749999999</v>
      </c>
      <c r="AH2007" s="42" t="s">
        <v>916</v>
      </c>
      <c r="AI2007" s="32" t="e">
        <f>VLOOKUP(A2007,'4月明細'!B:B,1,0)</f>
        <v>#N/A</v>
      </c>
    </row>
    <row r="2008" spans="1:35" ht="19.95" customHeight="1" x14ac:dyDescent="0.3">
      <c r="A2008" s="33" t="s">
        <v>7089</v>
      </c>
      <c r="B2008" s="34">
        <v>45920.510185185187</v>
      </c>
      <c r="C2008" s="34" t="str">
        <f t="shared" si="44"/>
        <v>202509</v>
      </c>
      <c r="D2008" s="35" t="s">
        <v>6281</v>
      </c>
      <c r="E2008" s="36" t="s">
        <v>910</v>
      </c>
      <c r="F2008" s="36" t="s">
        <v>964</v>
      </c>
      <c r="G2008" s="37" t="s">
        <v>7090</v>
      </c>
      <c r="H2008" s="36" t="s">
        <v>970</v>
      </c>
      <c r="I2008" s="35" t="s">
        <v>7091</v>
      </c>
      <c r="J2008" s="36" t="s">
        <v>914</v>
      </c>
      <c r="K2008" s="33" t="s">
        <v>916</v>
      </c>
      <c r="L2008" s="35" t="s">
        <v>916</v>
      </c>
      <c r="M2008" s="36" t="s">
        <v>957</v>
      </c>
      <c r="N2008" s="45">
        <v>46022</v>
      </c>
      <c r="O2008" s="36" t="s">
        <v>25</v>
      </c>
      <c r="P2008" s="38">
        <v>101.4898148148</v>
      </c>
      <c r="Q2008" s="39" t="s">
        <v>7092</v>
      </c>
      <c r="R2008" s="35" t="s">
        <v>916</v>
      </c>
      <c r="S2008" s="35" t="s">
        <v>7093</v>
      </c>
      <c r="T2008" s="35" t="s">
        <v>1624</v>
      </c>
      <c r="U2008" s="40">
        <v>45921</v>
      </c>
      <c r="V2008" s="41">
        <v>46153.533032407409</v>
      </c>
      <c r="W2008" s="40">
        <v>45920</v>
      </c>
      <c r="X2008" s="35" t="s">
        <v>916</v>
      </c>
      <c r="Y2008" s="35" t="s">
        <v>916</v>
      </c>
      <c r="Z2008" s="35" t="s">
        <v>916</v>
      </c>
      <c r="AA2008" s="38">
        <v>2435.7555555551999</v>
      </c>
      <c r="AB2008" s="42" t="s">
        <v>916</v>
      </c>
      <c r="AC2008" s="43" t="s">
        <v>916</v>
      </c>
      <c r="AD2008" s="43" t="s">
        <v>916</v>
      </c>
      <c r="AE2008" s="33" t="s">
        <v>3982</v>
      </c>
      <c r="AF2008" s="35" t="s">
        <v>916</v>
      </c>
      <c r="AG2008" s="44">
        <v>977805.27777777775</v>
      </c>
      <c r="AH2008" s="42" t="s">
        <v>916</v>
      </c>
      <c r="AI2008" s="32" t="e">
        <f>VLOOKUP(A2008,'4月明細'!B:B,1,0)</f>
        <v>#N/A</v>
      </c>
    </row>
    <row r="2009" spans="1:35" ht="19.95" customHeight="1" x14ac:dyDescent="0.3">
      <c r="A2009" s="33" t="s">
        <v>7094</v>
      </c>
      <c r="B2009" s="34">
        <v>45919.702835648146</v>
      </c>
      <c r="C2009" s="34" t="str">
        <f t="shared" si="44"/>
        <v>202509</v>
      </c>
      <c r="D2009" s="35" t="s">
        <v>7047</v>
      </c>
      <c r="E2009" s="36" t="s">
        <v>910</v>
      </c>
      <c r="F2009" s="36" t="s">
        <v>976</v>
      </c>
      <c r="G2009" s="37" t="s">
        <v>7095</v>
      </c>
      <c r="H2009" s="36" t="s">
        <v>3985</v>
      </c>
      <c r="I2009" s="35" t="s">
        <v>7096</v>
      </c>
      <c r="J2009" s="36" t="s">
        <v>929</v>
      </c>
      <c r="K2009" s="33" t="s">
        <v>916</v>
      </c>
      <c r="L2009" s="35" t="s">
        <v>916</v>
      </c>
      <c r="M2009" s="36" t="s">
        <v>916</v>
      </c>
      <c r="N2009" s="45">
        <v>46022</v>
      </c>
      <c r="O2009" s="36" t="s">
        <v>25</v>
      </c>
      <c r="P2009" s="38">
        <v>102.29716435189999</v>
      </c>
      <c r="Q2009" s="39" t="s">
        <v>7097</v>
      </c>
      <c r="R2009" s="35" t="s">
        <v>916</v>
      </c>
      <c r="S2009" s="35" t="s">
        <v>7098</v>
      </c>
      <c r="T2009" s="35" t="s">
        <v>1701</v>
      </c>
      <c r="U2009" s="40">
        <v>45920</v>
      </c>
      <c r="V2009" s="41">
        <v>46153.533032407409</v>
      </c>
      <c r="W2009" s="40">
        <v>45919</v>
      </c>
      <c r="X2009" s="35" t="s">
        <v>916</v>
      </c>
      <c r="Y2009" s="35" t="s">
        <v>916</v>
      </c>
      <c r="Z2009" s="35" t="s">
        <v>916</v>
      </c>
      <c r="AA2009" s="38">
        <v>2455.1319444455999</v>
      </c>
      <c r="AB2009" s="42" t="s">
        <v>916</v>
      </c>
      <c r="AC2009" s="43" t="s">
        <v>916</v>
      </c>
      <c r="AD2009" s="43" t="s">
        <v>916</v>
      </c>
      <c r="AE2009" s="33" t="s">
        <v>3982</v>
      </c>
      <c r="AF2009" s="35" t="s">
        <v>916</v>
      </c>
      <c r="AG2009" s="44">
        <v>488416.86805555562</v>
      </c>
      <c r="AH2009" s="42" t="s">
        <v>916</v>
      </c>
      <c r="AI2009" s="32" t="e">
        <f>VLOOKUP(A2009,'4月明細'!B:B,1,0)</f>
        <v>#N/A</v>
      </c>
    </row>
    <row r="2010" spans="1:35" ht="19.95" customHeight="1" x14ac:dyDescent="0.3">
      <c r="A2010" s="33" t="s">
        <v>7099</v>
      </c>
      <c r="B2010" s="34">
        <v>45919.694965277777</v>
      </c>
      <c r="C2010" s="34" t="str">
        <f t="shared" si="44"/>
        <v>202509</v>
      </c>
      <c r="D2010" s="35" t="s">
        <v>996</v>
      </c>
      <c r="E2010" s="36" t="s">
        <v>910</v>
      </c>
      <c r="F2010" s="36" t="s">
        <v>1890</v>
      </c>
      <c r="G2010" s="37" t="s">
        <v>7100</v>
      </c>
      <c r="H2010" s="36" t="s">
        <v>4683</v>
      </c>
      <c r="I2010" s="35"/>
      <c r="J2010" s="36" t="s">
        <v>929</v>
      </c>
      <c r="K2010" s="33" t="s">
        <v>916</v>
      </c>
      <c r="L2010" s="35" t="s">
        <v>916</v>
      </c>
      <c r="M2010" s="36" t="s">
        <v>916</v>
      </c>
      <c r="N2010" s="45">
        <v>46022</v>
      </c>
      <c r="O2010" s="36" t="s">
        <v>25</v>
      </c>
      <c r="P2010" s="38">
        <v>102.30503472220001</v>
      </c>
      <c r="Q2010" s="39" t="s">
        <v>7101</v>
      </c>
      <c r="R2010" s="35" t="s">
        <v>916</v>
      </c>
      <c r="S2010" s="35" t="s">
        <v>7102</v>
      </c>
      <c r="T2010" s="35" t="s">
        <v>1701</v>
      </c>
      <c r="U2010" s="40">
        <v>45920</v>
      </c>
      <c r="V2010" s="41">
        <v>46153.533032407409</v>
      </c>
      <c r="W2010" s="40">
        <v>45919</v>
      </c>
      <c r="X2010" s="35" t="s">
        <v>916</v>
      </c>
      <c r="Y2010" s="35" t="s">
        <v>916</v>
      </c>
      <c r="Z2010" s="35" t="s">
        <v>916</v>
      </c>
      <c r="AA2010" s="38">
        <v>2455.3208333327998</v>
      </c>
      <c r="AB2010" s="42" t="s">
        <v>916</v>
      </c>
      <c r="AC2010" s="43" t="s">
        <v>916</v>
      </c>
      <c r="AD2010" s="43" t="s">
        <v>916</v>
      </c>
      <c r="AE2010" s="33" t="s">
        <v>3982</v>
      </c>
      <c r="AF2010" s="35" t="s">
        <v>916</v>
      </c>
      <c r="AG2010" s="44">
        <v>488416.67916666658</v>
      </c>
      <c r="AH2010" s="42" t="s">
        <v>916</v>
      </c>
      <c r="AI2010" s="32" t="e">
        <f>VLOOKUP(A2010,'4月明細'!B:B,1,0)</f>
        <v>#N/A</v>
      </c>
    </row>
    <row r="2011" spans="1:35" ht="19.95" customHeight="1" x14ac:dyDescent="0.3">
      <c r="A2011" s="33" t="s">
        <v>7103</v>
      </c>
      <c r="B2011" s="34">
        <v>45919.693333333336</v>
      </c>
      <c r="C2011" s="34" t="str">
        <f t="shared" si="44"/>
        <v>202509</v>
      </c>
      <c r="D2011" s="35" t="s">
        <v>996</v>
      </c>
      <c r="E2011" s="36" t="s">
        <v>910</v>
      </c>
      <c r="F2011" s="36" t="s">
        <v>1890</v>
      </c>
      <c r="G2011" s="37" t="s">
        <v>7104</v>
      </c>
      <c r="H2011" s="36" t="s">
        <v>4683</v>
      </c>
      <c r="I2011" s="35"/>
      <c r="J2011" s="36" t="s">
        <v>929</v>
      </c>
      <c r="K2011" s="33" t="s">
        <v>916</v>
      </c>
      <c r="L2011" s="35" t="s">
        <v>916</v>
      </c>
      <c r="M2011" s="36" t="s">
        <v>916</v>
      </c>
      <c r="N2011" s="45">
        <v>46022</v>
      </c>
      <c r="O2011" s="36" t="s">
        <v>25</v>
      </c>
      <c r="P2011" s="38">
        <v>102.3066666667</v>
      </c>
      <c r="Q2011" s="39" t="s">
        <v>7105</v>
      </c>
      <c r="R2011" s="35" t="s">
        <v>916</v>
      </c>
      <c r="S2011" s="35" t="s">
        <v>7106</v>
      </c>
      <c r="T2011" s="35" t="s">
        <v>1701</v>
      </c>
      <c r="U2011" s="40">
        <v>45920</v>
      </c>
      <c r="V2011" s="41">
        <v>46153.533032407409</v>
      </c>
      <c r="W2011" s="40">
        <v>45919</v>
      </c>
      <c r="X2011" s="35" t="s">
        <v>916</v>
      </c>
      <c r="Y2011" s="35" t="s">
        <v>916</v>
      </c>
      <c r="Z2011" s="35" t="s">
        <v>916</v>
      </c>
      <c r="AA2011" s="38">
        <v>2455.3600000008</v>
      </c>
      <c r="AB2011" s="42" t="s">
        <v>916</v>
      </c>
      <c r="AC2011" s="43" t="s">
        <v>916</v>
      </c>
      <c r="AD2011" s="43" t="s">
        <v>916</v>
      </c>
      <c r="AE2011" s="33" t="s">
        <v>3982</v>
      </c>
      <c r="AF2011" s="35" t="s">
        <v>916</v>
      </c>
      <c r="AG2011" s="44">
        <v>488416.64</v>
      </c>
      <c r="AH2011" s="42" t="s">
        <v>916</v>
      </c>
      <c r="AI2011" s="32" t="e">
        <f>VLOOKUP(A2011,'4月明細'!B:B,1,0)</f>
        <v>#N/A</v>
      </c>
    </row>
    <row r="2012" spans="1:35" ht="19.95" customHeight="1" x14ac:dyDescent="0.3">
      <c r="A2012" s="33" t="s">
        <v>7107</v>
      </c>
      <c r="B2012" s="34">
        <v>45919.689479166664</v>
      </c>
      <c r="C2012" s="34" t="str">
        <f t="shared" si="44"/>
        <v>202509</v>
      </c>
      <c r="D2012" s="35" t="s">
        <v>996</v>
      </c>
      <c r="E2012" s="36" t="s">
        <v>910</v>
      </c>
      <c r="F2012" s="36" t="s">
        <v>1890</v>
      </c>
      <c r="G2012" s="37" t="s">
        <v>7108</v>
      </c>
      <c r="H2012" s="36" t="s">
        <v>4007</v>
      </c>
      <c r="I2012" s="35"/>
      <c r="J2012" s="36" t="s">
        <v>929</v>
      </c>
      <c r="K2012" s="33" t="s">
        <v>916</v>
      </c>
      <c r="L2012" s="35" t="s">
        <v>916</v>
      </c>
      <c r="M2012" s="36" t="s">
        <v>916</v>
      </c>
      <c r="N2012" s="45">
        <v>46022</v>
      </c>
      <c r="O2012" s="36" t="s">
        <v>25</v>
      </c>
      <c r="P2012" s="38">
        <v>102.3105208333</v>
      </c>
      <c r="Q2012" s="39" t="s">
        <v>7109</v>
      </c>
      <c r="R2012" s="35" t="s">
        <v>916</v>
      </c>
      <c r="S2012" s="35" t="s">
        <v>7110</v>
      </c>
      <c r="T2012" s="35" t="s">
        <v>1701</v>
      </c>
      <c r="U2012" s="40">
        <v>45920</v>
      </c>
      <c r="V2012" s="41">
        <v>46153.533032407409</v>
      </c>
      <c r="W2012" s="40">
        <v>45919</v>
      </c>
      <c r="X2012" s="35" t="s">
        <v>916</v>
      </c>
      <c r="Y2012" s="35" t="s">
        <v>916</v>
      </c>
      <c r="Z2012" s="35" t="s">
        <v>916</v>
      </c>
      <c r="AA2012" s="38">
        <v>2455.4524999992</v>
      </c>
      <c r="AB2012" s="42" t="s">
        <v>916</v>
      </c>
      <c r="AC2012" s="43" t="s">
        <v>916</v>
      </c>
      <c r="AD2012" s="43" t="s">
        <v>916</v>
      </c>
      <c r="AE2012" s="33" t="s">
        <v>3982</v>
      </c>
      <c r="AF2012" s="35" t="s">
        <v>916</v>
      </c>
      <c r="AG2012" s="44">
        <v>488416.54749999999</v>
      </c>
      <c r="AH2012" s="42" t="s">
        <v>916</v>
      </c>
      <c r="AI2012" s="32" t="e">
        <f>VLOOKUP(A2012,'4月明細'!B:B,1,0)</f>
        <v>#N/A</v>
      </c>
    </row>
    <row r="2013" spans="1:35" ht="19.95" customHeight="1" x14ac:dyDescent="0.3">
      <c r="A2013" s="33" t="s">
        <v>7111</v>
      </c>
      <c r="B2013" s="34">
        <v>45919.666747685187</v>
      </c>
      <c r="C2013" s="34" t="str">
        <f t="shared" si="44"/>
        <v>202509</v>
      </c>
      <c r="D2013" s="35" t="s">
        <v>6281</v>
      </c>
      <c r="E2013" s="36" t="s">
        <v>910</v>
      </c>
      <c r="F2013" s="36" t="s">
        <v>1581</v>
      </c>
      <c r="G2013" s="37" t="s">
        <v>7112</v>
      </c>
      <c r="H2013" s="36" t="s">
        <v>4804</v>
      </c>
      <c r="I2013" s="35" t="s">
        <v>7113</v>
      </c>
      <c r="J2013" s="36" t="s">
        <v>914</v>
      </c>
      <c r="K2013" s="33" t="s">
        <v>916</v>
      </c>
      <c r="L2013" s="35" t="s">
        <v>916</v>
      </c>
      <c r="M2013" s="36" t="s">
        <v>916</v>
      </c>
      <c r="N2013" s="45">
        <v>46022</v>
      </c>
      <c r="O2013" s="36" t="s">
        <v>25</v>
      </c>
      <c r="P2013" s="38">
        <v>102.33325231480001</v>
      </c>
      <c r="Q2013" s="39" t="s">
        <v>6472</v>
      </c>
      <c r="R2013" s="35" t="s">
        <v>916</v>
      </c>
      <c r="S2013" s="35" t="s">
        <v>7114</v>
      </c>
      <c r="T2013" s="35" t="s">
        <v>1701</v>
      </c>
      <c r="U2013" s="40">
        <v>45920</v>
      </c>
      <c r="V2013" s="41">
        <v>46153.533032407409</v>
      </c>
      <c r="W2013" s="40">
        <v>45919</v>
      </c>
      <c r="X2013" s="35" t="s">
        <v>916</v>
      </c>
      <c r="Y2013" s="35" t="s">
        <v>916</v>
      </c>
      <c r="Z2013" s="35" t="s">
        <v>916</v>
      </c>
      <c r="AA2013" s="38">
        <v>2455.9980555552002</v>
      </c>
      <c r="AB2013" s="42" t="s">
        <v>916</v>
      </c>
      <c r="AC2013" s="43" t="s">
        <v>916</v>
      </c>
      <c r="AD2013" s="43" t="s">
        <v>916</v>
      </c>
      <c r="AE2013" s="33" t="s">
        <v>3982</v>
      </c>
      <c r="AF2013" s="35" t="s">
        <v>916</v>
      </c>
      <c r="AG2013" s="44">
        <v>488416.00194444449</v>
      </c>
      <c r="AH2013" s="42" t="s">
        <v>916</v>
      </c>
      <c r="AI2013" s="32" t="e">
        <f>VLOOKUP(A2013,'4月明細'!B:B,1,0)</f>
        <v>#N/A</v>
      </c>
    </row>
    <row r="2014" spans="1:35" ht="19.95" customHeight="1" x14ac:dyDescent="0.3">
      <c r="A2014" s="33" t="s">
        <v>7115</v>
      </c>
      <c r="B2014" s="34">
        <v>45919.5155787037</v>
      </c>
      <c r="C2014" s="34" t="str">
        <f t="shared" si="44"/>
        <v>202509</v>
      </c>
      <c r="D2014" s="35" t="s">
        <v>951</v>
      </c>
      <c r="E2014" s="36" t="s">
        <v>910</v>
      </c>
      <c r="F2014" s="36" t="s">
        <v>1213</v>
      </c>
      <c r="G2014" s="37" t="s">
        <v>7116</v>
      </c>
      <c r="H2014" s="36" t="s">
        <v>4060</v>
      </c>
      <c r="I2014" s="35" t="s">
        <v>7117</v>
      </c>
      <c r="J2014" s="36" t="s">
        <v>929</v>
      </c>
      <c r="K2014" s="33" t="s">
        <v>916</v>
      </c>
      <c r="L2014" s="35" t="s">
        <v>916</v>
      </c>
      <c r="M2014" s="36" t="s">
        <v>916</v>
      </c>
      <c r="N2014" s="45">
        <v>46022</v>
      </c>
      <c r="O2014" s="36" t="s">
        <v>25</v>
      </c>
      <c r="P2014" s="38">
        <v>102.4844212963</v>
      </c>
      <c r="Q2014" s="39" t="s">
        <v>7118</v>
      </c>
      <c r="R2014" s="35" t="s">
        <v>916</v>
      </c>
      <c r="S2014" s="35"/>
      <c r="T2014" s="35" t="s">
        <v>1701</v>
      </c>
      <c r="U2014" s="40">
        <v>45920</v>
      </c>
      <c r="V2014" s="41">
        <v>46153.533032407409</v>
      </c>
      <c r="W2014" s="40">
        <v>45919</v>
      </c>
      <c r="X2014" s="35" t="s">
        <v>916</v>
      </c>
      <c r="Y2014" s="35" t="s">
        <v>916</v>
      </c>
      <c r="Z2014" s="35" t="s">
        <v>916</v>
      </c>
      <c r="AA2014" s="38">
        <v>2459.6261111111999</v>
      </c>
      <c r="AB2014" s="42" t="s">
        <v>916</v>
      </c>
      <c r="AC2014" s="43" t="s">
        <v>916</v>
      </c>
      <c r="AD2014" s="43" t="s">
        <v>916</v>
      </c>
      <c r="AE2014" s="33" t="s">
        <v>3982</v>
      </c>
      <c r="AF2014" s="35" t="s">
        <v>916</v>
      </c>
      <c r="AG2014" s="44">
        <v>488412.37388888892</v>
      </c>
      <c r="AH2014" s="42" t="s">
        <v>916</v>
      </c>
      <c r="AI2014" s="32" t="e">
        <f>VLOOKUP(A2014,'4月明細'!B:B,1,0)</f>
        <v>#N/A</v>
      </c>
    </row>
    <row r="2015" spans="1:35" ht="19.95" customHeight="1" x14ac:dyDescent="0.3">
      <c r="A2015" s="33" t="s">
        <v>7119</v>
      </c>
      <c r="B2015" s="34">
        <v>45919.599421296298</v>
      </c>
      <c r="C2015" s="34" t="str">
        <f t="shared" si="44"/>
        <v>202509</v>
      </c>
      <c r="D2015" s="35" t="s">
        <v>6281</v>
      </c>
      <c r="E2015" s="36" t="s">
        <v>910</v>
      </c>
      <c r="F2015" s="36" t="s">
        <v>1295</v>
      </c>
      <c r="G2015" s="37" t="s">
        <v>7120</v>
      </c>
      <c r="H2015" s="36" t="s">
        <v>1048</v>
      </c>
      <c r="I2015" s="35" t="s">
        <v>7121</v>
      </c>
      <c r="J2015" s="36" t="s">
        <v>914</v>
      </c>
      <c r="K2015" s="33" t="s">
        <v>916</v>
      </c>
      <c r="L2015" s="35" t="s">
        <v>916</v>
      </c>
      <c r="M2015" s="36" t="s">
        <v>916</v>
      </c>
      <c r="N2015" s="45">
        <v>46022</v>
      </c>
      <c r="O2015" s="36" t="s">
        <v>25</v>
      </c>
      <c r="P2015" s="38">
        <v>102.40057870370001</v>
      </c>
      <c r="Q2015" s="39" t="s">
        <v>7122</v>
      </c>
      <c r="R2015" s="35" t="s">
        <v>916</v>
      </c>
      <c r="S2015" s="35" t="s">
        <v>7123</v>
      </c>
      <c r="T2015" s="35" t="s">
        <v>1701</v>
      </c>
      <c r="U2015" s="40">
        <v>45920</v>
      </c>
      <c r="V2015" s="41">
        <v>46153.533032407409</v>
      </c>
      <c r="W2015" s="40">
        <v>45919</v>
      </c>
      <c r="X2015" s="35" t="s">
        <v>916</v>
      </c>
      <c r="Y2015" s="35" t="s">
        <v>916</v>
      </c>
      <c r="Z2015" s="35" t="s">
        <v>916</v>
      </c>
      <c r="AA2015" s="38">
        <v>2457.6138888887999</v>
      </c>
      <c r="AB2015" s="42" t="s">
        <v>916</v>
      </c>
      <c r="AC2015" s="43" t="s">
        <v>916</v>
      </c>
      <c r="AD2015" s="43" t="s">
        <v>916</v>
      </c>
      <c r="AE2015" s="33" t="s">
        <v>3982</v>
      </c>
      <c r="AF2015" s="35" t="s">
        <v>916</v>
      </c>
      <c r="AG2015" s="44">
        <v>488414.38611111109</v>
      </c>
      <c r="AH2015" s="42" t="s">
        <v>916</v>
      </c>
      <c r="AI2015" s="32" t="e">
        <f>VLOOKUP(A2015,'4月明細'!B:B,1,0)</f>
        <v>#N/A</v>
      </c>
    </row>
    <row r="2016" spans="1:35" ht="19.95" customHeight="1" x14ac:dyDescent="0.3">
      <c r="A2016" s="33" t="s">
        <v>7124</v>
      </c>
      <c r="B2016" s="34">
        <v>45919.556828703702</v>
      </c>
      <c r="C2016" s="34" t="str">
        <f t="shared" si="44"/>
        <v>202509</v>
      </c>
      <c r="D2016" s="35" t="s">
        <v>6281</v>
      </c>
      <c r="E2016" s="36" t="s">
        <v>910</v>
      </c>
      <c r="F2016" s="36" t="s">
        <v>1693</v>
      </c>
      <c r="G2016" s="37" t="s">
        <v>7125</v>
      </c>
      <c r="H2016" s="36" t="s">
        <v>1048</v>
      </c>
      <c r="I2016" s="35" t="s">
        <v>7126</v>
      </c>
      <c r="J2016" s="36" t="s">
        <v>914</v>
      </c>
      <c r="K2016" s="33" t="s">
        <v>916</v>
      </c>
      <c r="L2016" s="35" t="s">
        <v>916</v>
      </c>
      <c r="M2016" s="36" t="s">
        <v>916</v>
      </c>
      <c r="N2016" s="45">
        <v>46022</v>
      </c>
      <c r="O2016" s="36" t="s">
        <v>25</v>
      </c>
      <c r="P2016" s="38">
        <v>102.44317129629999</v>
      </c>
      <c r="Q2016" s="39" t="s">
        <v>1328</v>
      </c>
      <c r="R2016" s="35" t="s">
        <v>916</v>
      </c>
      <c r="S2016" s="35" t="s">
        <v>7127</v>
      </c>
      <c r="T2016" s="35" t="s">
        <v>1701</v>
      </c>
      <c r="U2016" s="40">
        <v>45920</v>
      </c>
      <c r="V2016" s="41">
        <v>46153.533032407409</v>
      </c>
      <c r="W2016" s="40">
        <v>45919</v>
      </c>
      <c r="X2016" s="35" t="s">
        <v>916</v>
      </c>
      <c r="Y2016" s="35" t="s">
        <v>916</v>
      </c>
      <c r="Z2016" s="35" t="s">
        <v>916</v>
      </c>
      <c r="AA2016" s="38">
        <v>2458.6361111112001</v>
      </c>
      <c r="AB2016" s="42" t="s">
        <v>916</v>
      </c>
      <c r="AC2016" s="43" t="s">
        <v>916</v>
      </c>
      <c r="AD2016" s="43" t="s">
        <v>916</v>
      </c>
      <c r="AE2016" s="33" t="s">
        <v>3982</v>
      </c>
      <c r="AF2016" s="35" t="s">
        <v>916</v>
      </c>
      <c r="AG2016" s="44">
        <v>488413.36388888891</v>
      </c>
      <c r="AH2016" s="42" t="s">
        <v>916</v>
      </c>
      <c r="AI2016" s="32" t="e">
        <f>VLOOKUP(A2016,'4月明細'!B:B,1,0)</f>
        <v>#N/A</v>
      </c>
    </row>
    <row r="2017" spans="1:35" ht="19.95" customHeight="1" x14ac:dyDescent="0.3">
      <c r="A2017" s="33" t="s">
        <v>7128</v>
      </c>
      <c r="B2017" s="34">
        <v>45919.500578703701</v>
      </c>
      <c r="C2017" s="34" t="str">
        <f t="shared" si="44"/>
        <v>202509</v>
      </c>
      <c r="D2017" s="35" t="s">
        <v>996</v>
      </c>
      <c r="E2017" s="36" t="s">
        <v>910</v>
      </c>
      <c r="F2017" s="36" t="s">
        <v>1386</v>
      </c>
      <c r="G2017" s="37" t="s">
        <v>7129</v>
      </c>
      <c r="H2017" s="36" t="s">
        <v>4542</v>
      </c>
      <c r="I2017" s="35"/>
      <c r="J2017" s="36" t="s">
        <v>914</v>
      </c>
      <c r="K2017" s="33" t="s">
        <v>916</v>
      </c>
      <c r="L2017" s="35" t="s">
        <v>916</v>
      </c>
      <c r="M2017" s="36" t="s">
        <v>916</v>
      </c>
      <c r="N2017" s="45">
        <v>46022</v>
      </c>
      <c r="O2017" s="36" t="s">
        <v>25</v>
      </c>
      <c r="P2017" s="38">
        <v>102.4994212963</v>
      </c>
      <c r="Q2017" s="39" t="s">
        <v>7130</v>
      </c>
      <c r="R2017" s="35" t="s">
        <v>916</v>
      </c>
      <c r="S2017" s="35" t="s">
        <v>7131</v>
      </c>
      <c r="T2017" s="35" t="s">
        <v>1701</v>
      </c>
      <c r="U2017" s="40">
        <v>45920</v>
      </c>
      <c r="V2017" s="41">
        <v>46153.533032407409</v>
      </c>
      <c r="W2017" s="40">
        <v>45919</v>
      </c>
      <c r="X2017" s="35" t="s">
        <v>916</v>
      </c>
      <c r="Y2017" s="35" t="s">
        <v>916</v>
      </c>
      <c r="Z2017" s="35" t="s">
        <v>916</v>
      </c>
      <c r="AA2017" s="38">
        <v>2459.9861111112</v>
      </c>
      <c r="AB2017" s="42" t="s">
        <v>916</v>
      </c>
      <c r="AC2017" s="43" t="s">
        <v>916</v>
      </c>
      <c r="AD2017" s="43" t="s">
        <v>916</v>
      </c>
      <c r="AE2017" s="33" t="s">
        <v>3982</v>
      </c>
      <c r="AF2017" s="35" t="s">
        <v>916</v>
      </c>
      <c r="AG2017" s="44">
        <v>488412.01388888888</v>
      </c>
      <c r="AH2017" s="42" t="s">
        <v>916</v>
      </c>
      <c r="AI2017" s="32" t="e">
        <f>VLOOKUP(A2017,'4月明細'!B:B,1,0)</f>
        <v>#N/A</v>
      </c>
    </row>
    <row r="2018" spans="1:35" ht="19.95" customHeight="1" x14ac:dyDescent="0.3">
      <c r="A2018" s="33" t="s">
        <v>7132</v>
      </c>
      <c r="B2018" s="34">
        <v>45918.734918981485</v>
      </c>
      <c r="C2018" s="34" t="str">
        <f t="shared" si="44"/>
        <v>202509</v>
      </c>
      <c r="D2018" s="35" t="s">
        <v>996</v>
      </c>
      <c r="E2018" s="36" t="s">
        <v>910</v>
      </c>
      <c r="F2018" s="36" t="s">
        <v>1145</v>
      </c>
      <c r="G2018" s="37" t="s">
        <v>7133</v>
      </c>
      <c r="H2018" s="36" t="s">
        <v>4203</v>
      </c>
      <c r="I2018" s="35"/>
      <c r="J2018" s="36" t="s">
        <v>929</v>
      </c>
      <c r="K2018" s="33" t="s">
        <v>916</v>
      </c>
      <c r="L2018" s="35" t="s">
        <v>916</v>
      </c>
      <c r="M2018" s="36" t="s">
        <v>916</v>
      </c>
      <c r="N2018" s="45">
        <v>46022</v>
      </c>
      <c r="O2018" s="36" t="s">
        <v>25</v>
      </c>
      <c r="P2018" s="38">
        <v>103.2650810185</v>
      </c>
      <c r="Q2018" s="39" t="s">
        <v>7134</v>
      </c>
      <c r="R2018" s="35" t="s">
        <v>916</v>
      </c>
      <c r="S2018" s="35" t="s">
        <v>7135</v>
      </c>
      <c r="T2018" s="35" t="s">
        <v>1701</v>
      </c>
      <c r="U2018" s="40">
        <v>45919</v>
      </c>
      <c r="V2018" s="41">
        <v>46153.533032407409</v>
      </c>
      <c r="W2018" s="40">
        <v>45918</v>
      </c>
      <c r="X2018" s="35" t="s">
        <v>916</v>
      </c>
      <c r="Y2018" s="35" t="s">
        <v>916</v>
      </c>
      <c r="Z2018" s="35" t="s">
        <v>916</v>
      </c>
      <c r="AA2018" s="38">
        <v>2478.3619444440001</v>
      </c>
      <c r="AB2018" s="42" t="s">
        <v>916</v>
      </c>
      <c r="AC2018" s="43" t="s">
        <v>916</v>
      </c>
      <c r="AD2018" s="43" t="s">
        <v>916</v>
      </c>
      <c r="AE2018" s="33" t="s">
        <v>3982</v>
      </c>
      <c r="AF2018" s="35" t="s">
        <v>916</v>
      </c>
      <c r="AG2018" s="44">
        <v>488393.63805555552</v>
      </c>
      <c r="AH2018" s="42" t="s">
        <v>916</v>
      </c>
      <c r="AI2018" s="32" t="e">
        <f>VLOOKUP(A2018,'4月明細'!B:B,1,0)</f>
        <v>#N/A</v>
      </c>
    </row>
    <row r="2019" spans="1:35" ht="19.95" customHeight="1" x14ac:dyDescent="0.3">
      <c r="A2019" s="33" t="s">
        <v>7136</v>
      </c>
      <c r="B2019" s="34">
        <v>45918.721608796295</v>
      </c>
      <c r="C2019" s="34" t="str">
        <f t="shared" si="44"/>
        <v>202509</v>
      </c>
      <c r="D2019" s="35" t="s">
        <v>5380</v>
      </c>
      <c r="E2019" s="36" t="s">
        <v>910</v>
      </c>
      <c r="F2019" s="36" t="s">
        <v>1064</v>
      </c>
      <c r="G2019" s="37" t="s">
        <v>7137</v>
      </c>
      <c r="H2019" s="36" t="s">
        <v>4162</v>
      </c>
      <c r="I2019" s="35" t="s">
        <v>7138</v>
      </c>
      <c r="J2019" s="36" t="s">
        <v>929</v>
      </c>
      <c r="K2019" s="33" t="s">
        <v>916</v>
      </c>
      <c r="L2019" s="35" t="s">
        <v>916</v>
      </c>
      <c r="M2019" s="36" t="s">
        <v>916</v>
      </c>
      <c r="N2019" s="45">
        <v>46022</v>
      </c>
      <c r="O2019" s="36" t="s">
        <v>25</v>
      </c>
      <c r="P2019" s="38">
        <v>103.2783912037</v>
      </c>
      <c r="Q2019" s="39" t="s">
        <v>7139</v>
      </c>
      <c r="R2019" s="35" t="s">
        <v>916</v>
      </c>
      <c r="S2019" s="35"/>
      <c r="T2019" s="35" t="s">
        <v>1701</v>
      </c>
      <c r="U2019" s="40">
        <v>45919</v>
      </c>
      <c r="V2019" s="41">
        <v>46153.533032407409</v>
      </c>
      <c r="W2019" s="40">
        <v>45918</v>
      </c>
      <c r="X2019" s="35" t="s">
        <v>916</v>
      </c>
      <c r="Y2019" s="35" t="s">
        <v>916</v>
      </c>
      <c r="Z2019" s="35" t="s">
        <v>916</v>
      </c>
      <c r="AA2019" s="38">
        <v>2478.6813888888</v>
      </c>
      <c r="AB2019" s="42" t="s">
        <v>916</v>
      </c>
      <c r="AC2019" s="43" t="s">
        <v>916</v>
      </c>
      <c r="AD2019" s="43" t="s">
        <v>916</v>
      </c>
      <c r="AE2019" s="33" t="s">
        <v>3982</v>
      </c>
      <c r="AF2019" s="35" t="s">
        <v>916</v>
      </c>
      <c r="AG2019" s="44">
        <v>488393.31861111108</v>
      </c>
      <c r="AH2019" s="42" t="s">
        <v>916</v>
      </c>
      <c r="AI2019" s="32" t="e">
        <f>VLOOKUP(A2019,'4月明細'!B:B,1,0)</f>
        <v>#N/A</v>
      </c>
    </row>
    <row r="2020" spans="1:35" ht="19.95" customHeight="1" x14ac:dyDescent="0.3">
      <c r="A2020" s="33" t="s">
        <v>7140</v>
      </c>
      <c r="B2020" s="34">
        <v>45918.719861111109</v>
      </c>
      <c r="C2020" s="34" t="str">
        <f t="shared" si="44"/>
        <v>202509</v>
      </c>
      <c r="D2020" s="35" t="s">
        <v>996</v>
      </c>
      <c r="E2020" s="36" t="s">
        <v>910</v>
      </c>
      <c r="F2020" s="36" t="s">
        <v>1335</v>
      </c>
      <c r="G2020" s="37" t="s">
        <v>7141</v>
      </c>
      <c r="H2020" s="36" t="s">
        <v>4162</v>
      </c>
      <c r="I2020" s="35"/>
      <c r="J2020" s="36" t="s">
        <v>929</v>
      </c>
      <c r="K2020" s="33" t="s">
        <v>916</v>
      </c>
      <c r="L2020" s="35" t="s">
        <v>916</v>
      </c>
      <c r="M2020" s="36" t="s">
        <v>916</v>
      </c>
      <c r="N2020" s="45">
        <v>46022</v>
      </c>
      <c r="O2020" s="36" t="s">
        <v>25</v>
      </c>
      <c r="P2020" s="38">
        <v>103.2801388889</v>
      </c>
      <c r="Q2020" s="39" t="s">
        <v>7142</v>
      </c>
      <c r="R2020" s="35" t="s">
        <v>916</v>
      </c>
      <c r="S2020" s="35" t="s">
        <v>7143</v>
      </c>
      <c r="T2020" s="35" t="s">
        <v>1701</v>
      </c>
      <c r="U2020" s="40">
        <v>45919</v>
      </c>
      <c r="V2020" s="41">
        <v>46153.533032407409</v>
      </c>
      <c r="W2020" s="40">
        <v>45918</v>
      </c>
      <c r="X2020" s="35" t="s">
        <v>916</v>
      </c>
      <c r="Y2020" s="35" t="s">
        <v>916</v>
      </c>
      <c r="Z2020" s="35" t="s">
        <v>916</v>
      </c>
      <c r="AA2020" s="38">
        <v>2478.7233333335998</v>
      </c>
      <c r="AB2020" s="42" t="s">
        <v>916</v>
      </c>
      <c r="AC2020" s="43" t="s">
        <v>916</v>
      </c>
      <c r="AD2020" s="43" t="s">
        <v>916</v>
      </c>
      <c r="AE2020" s="33" t="s">
        <v>3982</v>
      </c>
      <c r="AF2020" s="35" t="s">
        <v>916</v>
      </c>
      <c r="AG2020" s="44">
        <v>488393.27666666667</v>
      </c>
      <c r="AH2020" s="42" t="s">
        <v>916</v>
      </c>
      <c r="AI2020" s="32" t="e">
        <f>VLOOKUP(A2020,'4月明細'!B:B,1,0)</f>
        <v>#N/A</v>
      </c>
    </row>
    <row r="2021" spans="1:35" ht="19.95" customHeight="1" x14ac:dyDescent="0.3">
      <c r="A2021" s="33" t="s">
        <v>7144</v>
      </c>
      <c r="B2021" s="34">
        <v>45918.674953703703</v>
      </c>
      <c r="C2021" s="34" t="str">
        <f t="shared" si="44"/>
        <v>202509</v>
      </c>
      <c r="D2021" s="35" t="s">
        <v>960</v>
      </c>
      <c r="E2021" s="36" t="s">
        <v>1112</v>
      </c>
      <c r="F2021" s="36" t="s">
        <v>1606</v>
      </c>
      <c r="G2021" s="37" t="s">
        <v>7145</v>
      </c>
      <c r="H2021" s="36" t="s">
        <v>5106</v>
      </c>
      <c r="I2021" s="35"/>
      <c r="J2021" s="36" t="s">
        <v>929</v>
      </c>
      <c r="K2021" s="33" t="s">
        <v>916</v>
      </c>
      <c r="L2021" s="35" t="s">
        <v>916</v>
      </c>
      <c r="M2021" s="36" t="s">
        <v>916</v>
      </c>
      <c r="N2021" s="45">
        <v>46022</v>
      </c>
      <c r="O2021" s="36" t="s">
        <v>25</v>
      </c>
      <c r="P2021" s="38">
        <v>103.3250462963</v>
      </c>
      <c r="Q2021" s="39" t="s">
        <v>1797</v>
      </c>
      <c r="R2021" s="35" t="s">
        <v>916</v>
      </c>
      <c r="S2021" s="35"/>
      <c r="T2021" s="35" t="s">
        <v>1701</v>
      </c>
      <c r="U2021" s="40">
        <v>45919</v>
      </c>
      <c r="V2021" s="41">
        <v>46153.533032407409</v>
      </c>
      <c r="W2021" s="40">
        <v>45918</v>
      </c>
      <c r="X2021" s="35" t="s">
        <v>916</v>
      </c>
      <c r="Y2021" s="35" t="s">
        <v>916</v>
      </c>
      <c r="Z2021" s="35" t="s">
        <v>916</v>
      </c>
      <c r="AA2021" s="38">
        <v>2479.8011111112</v>
      </c>
      <c r="AB2021" s="42" t="s">
        <v>916</v>
      </c>
      <c r="AC2021" s="43" t="s">
        <v>916</v>
      </c>
      <c r="AD2021" s="43" t="s">
        <v>916</v>
      </c>
      <c r="AE2021" s="33" t="s">
        <v>3982</v>
      </c>
      <c r="AF2021" s="35" t="s">
        <v>916</v>
      </c>
      <c r="AG2021" s="44">
        <v>488392.19888888887</v>
      </c>
      <c r="AH2021" s="42" t="s">
        <v>916</v>
      </c>
      <c r="AI2021" s="32" t="e">
        <f>VLOOKUP(A2021,'4月明細'!B:B,1,0)</f>
        <v>#N/A</v>
      </c>
    </row>
    <row r="2022" spans="1:35" ht="19.95" customHeight="1" x14ac:dyDescent="0.3">
      <c r="A2022" s="33" t="s">
        <v>7146</v>
      </c>
      <c r="B2022" s="34">
        <v>45918.673206018517</v>
      </c>
      <c r="C2022" s="34" t="str">
        <f t="shared" si="44"/>
        <v>202509</v>
      </c>
      <c r="D2022" s="35" t="s">
        <v>5380</v>
      </c>
      <c r="E2022" s="36" t="s">
        <v>910</v>
      </c>
      <c r="F2022" s="36" t="s">
        <v>1870</v>
      </c>
      <c r="G2022" s="37" t="s">
        <v>7147</v>
      </c>
      <c r="H2022" s="36" t="s">
        <v>4185</v>
      </c>
      <c r="I2022" s="35" t="s">
        <v>7148</v>
      </c>
      <c r="J2022" s="36" t="s">
        <v>929</v>
      </c>
      <c r="K2022" s="33" t="s">
        <v>916</v>
      </c>
      <c r="L2022" s="35" t="s">
        <v>916</v>
      </c>
      <c r="M2022" s="36" t="s">
        <v>916</v>
      </c>
      <c r="N2022" s="45">
        <v>46022</v>
      </c>
      <c r="O2022" s="36" t="s">
        <v>25</v>
      </c>
      <c r="P2022" s="38">
        <v>103.3267939815</v>
      </c>
      <c r="Q2022" s="39" t="s">
        <v>7149</v>
      </c>
      <c r="R2022" s="35" t="s">
        <v>916</v>
      </c>
      <c r="S2022" s="35"/>
      <c r="T2022" s="35" t="s">
        <v>1701</v>
      </c>
      <c r="U2022" s="40">
        <v>45919</v>
      </c>
      <c r="V2022" s="41">
        <v>46153.533043981479</v>
      </c>
      <c r="W2022" s="40">
        <v>45918</v>
      </c>
      <c r="X2022" s="35" t="s">
        <v>916</v>
      </c>
      <c r="Y2022" s="35" t="s">
        <v>916</v>
      </c>
      <c r="Z2022" s="35" t="s">
        <v>916</v>
      </c>
      <c r="AA2022" s="38">
        <v>2479.8430555559999</v>
      </c>
      <c r="AB2022" s="42" t="s">
        <v>916</v>
      </c>
      <c r="AC2022" s="43" t="s">
        <v>916</v>
      </c>
      <c r="AD2022" s="43" t="s">
        <v>916</v>
      </c>
      <c r="AE2022" s="33" t="s">
        <v>3982</v>
      </c>
      <c r="AF2022" s="35" t="s">
        <v>916</v>
      </c>
      <c r="AG2022" s="44">
        <v>488392.15694444452</v>
      </c>
      <c r="AH2022" s="42" t="s">
        <v>916</v>
      </c>
      <c r="AI2022" s="32" t="e">
        <f>VLOOKUP(A2022,'4月明細'!B:B,1,0)</f>
        <v>#N/A</v>
      </c>
    </row>
    <row r="2023" spans="1:35" ht="19.95" customHeight="1" x14ac:dyDescent="0.3">
      <c r="A2023" s="33" t="s">
        <v>7150</v>
      </c>
      <c r="B2023" s="34">
        <v>45918.674259259256</v>
      </c>
      <c r="C2023" s="34" t="str">
        <f t="shared" si="44"/>
        <v>202509</v>
      </c>
      <c r="D2023" s="35" t="s">
        <v>960</v>
      </c>
      <c r="E2023" s="36" t="s">
        <v>1112</v>
      </c>
      <c r="F2023" s="36" t="s">
        <v>1768</v>
      </c>
      <c r="G2023" s="37" t="s">
        <v>7151</v>
      </c>
      <c r="H2023" s="36" t="s">
        <v>1007</v>
      </c>
      <c r="I2023" s="35"/>
      <c r="J2023" s="36" t="s">
        <v>929</v>
      </c>
      <c r="K2023" s="33" t="s">
        <v>916</v>
      </c>
      <c r="L2023" s="35" t="s">
        <v>916</v>
      </c>
      <c r="M2023" s="36" t="s">
        <v>916</v>
      </c>
      <c r="N2023" s="45">
        <v>46022</v>
      </c>
      <c r="O2023" s="36" t="s">
        <v>25</v>
      </c>
      <c r="P2023" s="38">
        <v>103.3257407407</v>
      </c>
      <c r="Q2023" s="39" t="s">
        <v>7152</v>
      </c>
      <c r="R2023" s="35" t="s">
        <v>916</v>
      </c>
      <c r="S2023" s="35" t="s">
        <v>7153</v>
      </c>
      <c r="T2023" s="35" t="s">
        <v>1701</v>
      </c>
      <c r="U2023" s="40">
        <v>45919</v>
      </c>
      <c r="V2023" s="41">
        <v>46153.533043981479</v>
      </c>
      <c r="W2023" s="40">
        <v>45918</v>
      </c>
      <c r="X2023" s="35" t="s">
        <v>916</v>
      </c>
      <c r="Y2023" s="35" t="s">
        <v>916</v>
      </c>
      <c r="Z2023" s="35" t="s">
        <v>916</v>
      </c>
      <c r="AA2023" s="38">
        <v>2479.8177777768001</v>
      </c>
      <c r="AB2023" s="42" t="s">
        <v>916</v>
      </c>
      <c r="AC2023" s="43" t="s">
        <v>916</v>
      </c>
      <c r="AD2023" s="43" t="s">
        <v>916</v>
      </c>
      <c r="AE2023" s="33" t="s">
        <v>3982</v>
      </c>
      <c r="AF2023" s="35" t="s">
        <v>916</v>
      </c>
      <c r="AG2023" s="44">
        <v>488392.18222222221</v>
      </c>
      <c r="AH2023" s="42" t="s">
        <v>916</v>
      </c>
      <c r="AI2023" s="32" t="e">
        <f>VLOOKUP(A2023,'4月明細'!B:B,1,0)</f>
        <v>#N/A</v>
      </c>
    </row>
    <row r="2024" spans="1:35" ht="19.95" customHeight="1" x14ac:dyDescent="0.3">
      <c r="A2024" s="33" t="s">
        <v>7154</v>
      </c>
      <c r="B2024" s="34">
        <v>45918.673564814817</v>
      </c>
      <c r="C2024" s="34" t="str">
        <f t="shared" si="44"/>
        <v>202509</v>
      </c>
      <c r="D2024" s="35" t="s">
        <v>960</v>
      </c>
      <c r="E2024" s="36" t="s">
        <v>1112</v>
      </c>
      <c r="F2024" s="36" t="s">
        <v>1295</v>
      </c>
      <c r="G2024" s="37" t="s">
        <v>4737</v>
      </c>
      <c r="H2024" s="36" t="s">
        <v>913</v>
      </c>
      <c r="I2024" s="35"/>
      <c r="J2024" s="36" t="s">
        <v>929</v>
      </c>
      <c r="K2024" s="33" t="s">
        <v>916</v>
      </c>
      <c r="L2024" s="35" t="s">
        <v>916</v>
      </c>
      <c r="M2024" s="36" t="s">
        <v>916</v>
      </c>
      <c r="N2024" s="45">
        <v>46022</v>
      </c>
      <c r="O2024" s="36" t="s">
        <v>25</v>
      </c>
      <c r="P2024" s="38">
        <v>103.3264351852</v>
      </c>
      <c r="Q2024" s="39" t="s">
        <v>7155</v>
      </c>
      <c r="R2024" s="35" t="s">
        <v>916</v>
      </c>
      <c r="S2024" s="35"/>
      <c r="T2024" s="35" t="s">
        <v>1701</v>
      </c>
      <c r="U2024" s="40">
        <v>45919</v>
      </c>
      <c r="V2024" s="41">
        <v>46153.533043981479</v>
      </c>
      <c r="W2024" s="40">
        <v>45918</v>
      </c>
      <c r="X2024" s="35" t="s">
        <v>916</v>
      </c>
      <c r="Y2024" s="35" t="s">
        <v>916</v>
      </c>
      <c r="Z2024" s="35" t="s">
        <v>916</v>
      </c>
      <c r="AA2024" s="38">
        <v>2479.8344444447998</v>
      </c>
      <c r="AB2024" s="42" t="s">
        <v>916</v>
      </c>
      <c r="AC2024" s="43" t="s">
        <v>916</v>
      </c>
      <c r="AD2024" s="43" t="s">
        <v>916</v>
      </c>
      <c r="AE2024" s="33" t="s">
        <v>3982</v>
      </c>
      <c r="AF2024" s="35" t="s">
        <v>916</v>
      </c>
      <c r="AG2024" s="44">
        <v>488392.16555555549</v>
      </c>
      <c r="AH2024" s="42" t="s">
        <v>916</v>
      </c>
      <c r="AI2024" s="32" t="e">
        <f>VLOOKUP(A2024,'4月明細'!B:B,1,0)</f>
        <v>#N/A</v>
      </c>
    </row>
    <row r="2025" spans="1:35" ht="19.95" customHeight="1" x14ac:dyDescent="0.3">
      <c r="A2025" s="33" t="s">
        <v>7156</v>
      </c>
      <c r="B2025" s="34">
        <v>45918.642870370371</v>
      </c>
      <c r="C2025" s="34" t="str">
        <f t="shared" si="44"/>
        <v>202509</v>
      </c>
      <c r="D2025" s="35" t="s">
        <v>951</v>
      </c>
      <c r="E2025" s="36" t="s">
        <v>910</v>
      </c>
      <c r="F2025" s="36" t="s">
        <v>1222</v>
      </c>
      <c r="G2025" s="37" t="s">
        <v>7157</v>
      </c>
      <c r="H2025" s="36" t="s">
        <v>970</v>
      </c>
      <c r="I2025" s="35" t="s">
        <v>7158</v>
      </c>
      <c r="J2025" s="36" t="s">
        <v>1058</v>
      </c>
      <c r="K2025" s="33" t="s">
        <v>916</v>
      </c>
      <c r="L2025" s="35" t="s">
        <v>916</v>
      </c>
      <c r="M2025" s="36" t="s">
        <v>916</v>
      </c>
      <c r="N2025" s="45">
        <v>46022</v>
      </c>
      <c r="O2025" s="36" t="s">
        <v>25</v>
      </c>
      <c r="P2025" s="38">
        <v>103.3571296296</v>
      </c>
      <c r="Q2025" s="39" t="s">
        <v>7159</v>
      </c>
      <c r="R2025" s="35" t="s">
        <v>916</v>
      </c>
      <c r="S2025" s="35"/>
      <c r="T2025" s="35" t="s">
        <v>1701</v>
      </c>
      <c r="U2025" s="40">
        <v>45919</v>
      </c>
      <c r="V2025" s="41">
        <v>46153.533043981479</v>
      </c>
      <c r="W2025" s="40">
        <v>45918</v>
      </c>
      <c r="X2025" s="35" t="s">
        <v>916</v>
      </c>
      <c r="Y2025" s="35" t="s">
        <v>916</v>
      </c>
      <c r="Z2025" s="35" t="s">
        <v>916</v>
      </c>
      <c r="AA2025" s="38">
        <v>2480.5711111104001</v>
      </c>
      <c r="AB2025" s="42" t="s">
        <v>916</v>
      </c>
      <c r="AC2025" s="43" t="s">
        <v>916</v>
      </c>
      <c r="AD2025" s="43" t="s">
        <v>916</v>
      </c>
      <c r="AE2025" s="33" t="s">
        <v>3982</v>
      </c>
      <c r="AF2025" s="35" t="s">
        <v>916</v>
      </c>
      <c r="AG2025" s="44">
        <v>488391.42888888891</v>
      </c>
      <c r="AH2025" s="42" t="s">
        <v>916</v>
      </c>
      <c r="AI2025" s="32" t="e">
        <f>VLOOKUP(A2025,'4月明細'!B:B,1,0)</f>
        <v>#N/A</v>
      </c>
    </row>
    <row r="2026" spans="1:35" ht="19.95" customHeight="1" x14ac:dyDescent="0.3">
      <c r="A2026" s="33" t="s">
        <v>7160</v>
      </c>
      <c r="B2026" s="34">
        <v>45918.602175925924</v>
      </c>
      <c r="C2026" s="34" t="str">
        <f t="shared" si="44"/>
        <v>202509</v>
      </c>
      <c r="D2026" s="35" t="s">
        <v>996</v>
      </c>
      <c r="E2026" s="36" t="s">
        <v>910</v>
      </c>
      <c r="F2026" s="36" t="s">
        <v>1141</v>
      </c>
      <c r="G2026" s="37" t="s">
        <v>7161</v>
      </c>
      <c r="H2026" s="36" t="s">
        <v>3985</v>
      </c>
      <c r="I2026" s="35"/>
      <c r="J2026" s="36" t="s">
        <v>914</v>
      </c>
      <c r="K2026" s="33" t="s">
        <v>916</v>
      </c>
      <c r="L2026" s="35" t="s">
        <v>916</v>
      </c>
      <c r="M2026" s="36" t="s">
        <v>916</v>
      </c>
      <c r="N2026" s="45">
        <v>46022</v>
      </c>
      <c r="O2026" s="36" t="s">
        <v>25</v>
      </c>
      <c r="P2026" s="38">
        <v>103.3978240741</v>
      </c>
      <c r="Q2026" s="39" t="s">
        <v>7162</v>
      </c>
      <c r="R2026" s="35" t="s">
        <v>916</v>
      </c>
      <c r="S2026" s="35"/>
      <c r="T2026" s="35" t="s">
        <v>1701</v>
      </c>
      <c r="U2026" s="40">
        <v>45919</v>
      </c>
      <c r="V2026" s="41">
        <v>46153.533043981479</v>
      </c>
      <c r="W2026" s="40">
        <v>45918</v>
      </c>
      <c r="X2026" s="35" t="s">
        <v>916</v>
      </c>
      <c r="Y2026" s="35" t="s">
        <v>916</v>
      </c>
      <c r="Z2026" s="35" t="s">
        <v>916</v>
      </c>
      <c r="AA2026" s="38">
        <v>2481.5477777783999</v>
      </c>
      <c r="AB2026" s="42" t="s">
        <v>916</v>
      </c>
      <c r="AC2026" s="43" t="s">
        <v>916</v>
      </c>
      <c r="AD2026" s="43" t="s">
        <v>916</v>
      </c>
      <c r="AE2026" s="33" t="s">
        <v>3982</v>
      </c>
      <c r="AF2026" s="35" t="s">
        <v>916</v>
      </c>
      <c r="AG2026" s="44">
        <v>488390.45222222217</v>
      </c>
      <c r="AH2026" s="42" t="s">
        <v>916</v>
      </c>
      <c r="AI2026" s="32" t="e">
        <f>VLOOKUP(A2026,'4月明細'!B:B,1,0)</f>
        <v>#N/A</v>
      </c>
    </row>
    <row r="2027" spans="1:35" ht="19.95" customHeight="1" x14ac:dyDescent="0.3">
      <c r="A2027" s="33" t="s">
        <v>7163</v>
      </c>
      <c r="B2027" s="34">
        <v>45918.600624999999</v>
      </c>
      <c r="C2027" s="34" t="str">
        <f t="shared" si="44"/>
        <v>202509</v>
      </c>
      <c r="D2027" s="35" t="s">
        <v>5380</v>
      </c>
      <c r="E2027" s="36" t="s">
        <v>910</v>
      </c>
      <c r="F2027" s="36" t="s">
        <v>1229</v>
      </c>
      <c r="G2027" s="37" t="s">
        <v>3708</v>
      </c>
      <c r="H2027" s="36" t="s">
        <v>4007</v>
      </c>
      <c r="I2027" s="35" t="s">
        <v>7164</v>
      </c>
      <c r="J2027" s="36" t="s">
        <v>929</v>
      </c>
      <c r="K2027" s="33" t="s">
        <v>916</v>
      </c>
      <c r="L2027" s="35" t="s">
        <v>916</v>
      </c>
      <c r="M2027" s="36" t="s">
        <v>916</v>
      </c>
      <c r="N2027" s="45">
        <v>46022</v>
      </c>
      <c r="O2027" s="36" t="s">
        <v>25</v>
      </c>
      <c r="P2027" s="38">
        <v>103.39937500000001</v>
      </c>
      <c r="Q2027" s="39" t="s">
        <v>7165</v>
      </c>
      <c r="R2027" s="35" t="s">
        <v>916</v>
      </c>
      <c r="S2027" s="35" t="s">
        <v>7166</v>
      </c>
      <c r="T2027" s="35" t="s">
        <v>1701</v>
      </c>
      <c r="U2027" s="40">
        <v>45919</v>
      </c>
      <c r="V2027" s="41">
        <v>46153.533043981479</v>
      </c>
      <c r="W2027" s="40">
        <v>45918</v>
      </c>
      <c r="X2027" s="35" t="s">
        <v>916</v>
      </c>
      <c r="Y2027" s="35" t="s">
        <v>916</v>
      </c>
      <c r="Z2027" s="35" t="s">
        <v>916</v>
      </c>
      <c r="AA2027" s="38">
        <v>2481.585</v>
      </c>
      <c r="AB2027" s="42" t="s">
        <v>916</v>
      </c>
      <c r="AC2027" s="43" t="s">
        <v>916</v>
      </c>
      <c r="AD2027" s="43" t="s">
        <v>916</v>
      </c>
      <c r="AE2027" s="33" t="s">
        <v>3982</v>
      </c>
      <c r="AF2027" s="35" t="s">
        <v>916</v>
      </c>
      <c r="AG2027" s="44">
        <v>488390.41499999998</v>
      </c>
      <c r="AH2027" s="42" t="s">
        <v>916</v>
      </c>
      <c r="AI2027" s="32" t="e">
        <f>VLOOKUP(A2027,'4月明細'!B:B,1,0)</f>
        <v>#N/A</v>
      </c>
    </row>
    <row r="2028" spans="1:35" ht="19.95" customHeight="1" x14ac:dyDescent="0.3">
      <c r="A2028" s="33" t="s">
        <v>7167</v>
      </c>
      <c r="B2028" s="34">
        <v>45918.568668981483</v>
      </c>
      <c r="C2028" s="34" t="str">
        <f t="shared" si="44"/>
        <v>202509</v>
      </c>
      <c r="D2028" s="35" t="s">
        <v>5380</v>
      </c>
      <c r="E2028" s="36" t="s">
        <v>910</v>
      </c>
      <c r="F2028" s="36" t="s">
        <v>2515</v>
      </c>
      <c r="G2028" s="37" t="s">
        <v>4998</v>
      </c>
      <c r="H2028" s="36" t="s">
        <v>3985</v>
      </c>
      <c r="I2028" s="35" t="s">
        <v>7168</v>
      </c>
      <c r="J2028" s="36" t="s">
        <v>929</v>
      </c>
      <c r="K2028" s="33" t="s">
        <v>916</v>
      </c>
      <c r="L2028" s="35" t="s">
        <v>916</v>
      </c>
      <c r="M2028" s="36" t="s">
        <v>916</v>
      </c>
      <c r="N2028" s="45">
        <v>46022</v>
      </c>
      <c r="O2028" s="36" t="s">
        <v>25</v>
      </c>
      <c r="P2028" s="38">
        <v>103.4313310185</v>
      </c>
      <c r="Q2028" s="39" t="s">
        <v>7169</v>
      </c>
      <c r="R2028" s="35" t="s">
        <v>916</v>
      </c>
      <c r="S2028" s="35" t="s">
        <v>7170</v>
      </c>
      <c r="T2028" s="35" t="s">
        <v>1701</v>
      </c>
      <c r="U2028" s="40">
        <v>45919</v>
      </c>
      <c r="V2028" s="41">
        <v>46153.533043981479</v>
      </c>
      <c r="W2028" s="40">
        <v>45918</v>
      </c>
      <c r="X2028" s="35" t="s">
        <v>916</v>
      </c>
      <c r="Y2028" s="35" t="s">
        <v>916</v>
      </c>
      <c r="Z2028" s="35" t="s">
        <v>916</v>
      </c>
      <c r="AA2028" s="38">
        <v>2482.3519444439999</v>
      </c>
      <c r="AB2028" s="42" t="s">
        <v>916</v>
      </c>
      <c r="AC2028" s="43" t="s">
        <v>916</v>
      </c>
      <c r="AD2028" s="43" t="s">
        <v>916</v>
      </c>
      <c r="AE2028" s="33" t="s">
        <v>3982</v>
      </c>
      <c r="AF2028" s="35" t="s">
        <v>916</v>
      </c>
      <c r="AG2028" s="44">
        <v>488389.64805555559</v>
      </c>
      <c r="AH2028" s="42" t="s">
        <v>916</v>
      </c>
      <c r="AI2028" s="32" t="e">
        <f>VLOOKUP(A2028,'4月明細'!B:B,1,0)</f>
        <v>#N/A</v>
      </c>
    </row>
    <row r="2029" spans="1:35" ht="19.95" customHeight="1" x14ac:dyDescent="0.3">
      <c r="A2029" s="33" t="s">
        <v>7171</v>
      </c>
      <c r="B2029" s="34">
        <v>45918.566284722219</v>
      </c>
      <c r="C2029" s="34" t="str">
        <f t="shared" si="44"/>
        <v>202509</v>
      </c>
      <c r="D2029" s="35" t="s">
        <v>5380</v>
      </c>
      <c r="E2029" s="36" t="s">
        <v>910</v>
      </c>
      <c r="F2029" s="36" t="s">
        <v>2515</v>
      </c>
      <c r="G2029" s="37" t="s">
        <v>977</v>
      </c>
      <c r="H2029" s="36" t="s">
        <v>4203</v>
      </c>
      <c r="I2029" s="35" t="s">
        <v>7172</v>
      </c>
      <c r="J2029" s="36" t="s">
        <v>929</v>
      </c>
      <c r="K2029" s="33" t="s">
        <v>916</v>
      </c>
      <c r="L2029" s="35" t="s">
        <v>916</v>
      </c>
      <c r="M2029" s="36" t="s">
        <v>916</v>
      </c>
      <c r="N2029" s="45">
        <v>46022</v>
      </c>
      <c r="O2029" s="36" t="s">
        <v>25</v>
      </c>
      <c r="P2029" s="38">
        <v>103.4337152778</v>
      </c>
      <c r="Q2029" s="39" t="s">
        <v>7173</v>
      </c>
      <c r="R2029" s="35" t="s">
        <v>916</v>
      </c>
      <c r="S2029" s="35"/>
      <c r="T2029" s="35" t="s">
        <v>1701</v>
      </c>
      <c r="U2029" s="40">
        <v>45919</v>
      </c>
      <c r="V2029" s="41">
        <v>46153.533043981479</v>
      </c>
      <c r="W2029" s="40">
        <v>45918</v>
      </c>
      <c r="X2029" s="35" t="s">
        <v>916</v>
      </c>
      <c r="Y2029" s="35" t="s">
        <v>916</v>
      </c>
      <c r="Z2029" s="35" t="s">
        <v>916</v>
      </c>
      <c r="AA2029" s="38">
        <v>2482.4091666672002</v>
      </c>
      <c r="AB2029" s="42" t="s">
        <v>916</v>
      </c>
      <c r="AC2029" s="43" t="s">
        <v>916</v>
      </c>
      <c r="AD2029" s="43" t="s">
        <v>916</v>
      </c>
      <c r="AE2029" s="33" t="s">
        <v>3982</v>
      </c>
      <c r="AF2029" s="35" t="s">
        <v>916</v>
      </c>
      <c r="AG2029" s="44">
        <v>488389.59083333332</v>
      </c>
      <c r="AH2029" s="42" t="s">
        <v>916</v>
      </c>
      <c r="AI2029" s="32" t="e">
        <f>VLOOKUP(A2029,'4月明細'!B:B,1,0)</f>
        <v>#N/A</v>
      </c>
    </row>
    <row r="2030" spans="1:35" ht="19.95" customHeight="1" x14ac:dyDescent="0.3">
      <c r="A2030" s="33" t="s">
        <v>7174</v>
      </c>
      <c r="B2030" s="34">
        <v>45918.47283564815</v>
      </c>
      <c r="C2030" s="34" t="str">
        <f t="shared" si="44"/>
        <v>202509</v>
      </c>
      <c r="D2030" s="35" t="s">
        <v>951</v>
      </c>
      <c r="E2030" s="36" t="s">
        <v>910</v>
      </c>
      <c r="F2030" s="36" t="s">
        <v>2090</v>
      </c>
      <c r="G2030" s="37" t="s">
        <v>7175</v>
      </c>
      <c r="H2030" s="36" t="s">
        <v>5102</v>
      </c>
      <c r="I2030" s="35" t="s">
        <v>7176</v>
      </c>
      <c r="J2030" s="36" t="s">
        <v>938</v>
      </c>
      <c r="K2030" s="33" t="s">
        <v>916</v>
      </c>
      <c r="L2030" s="35" t="s">
        <v>916</v>
      </c>
      <c r="M2030" s="36" t="s">
        <v>916</v>
      </c>
      <c r="N2030" s="45">
        <v>46022</v>
      </c>
      <c r="O2030" s="36" t="s">
        <v>25</v>
      </c>
      <c r="P2030" s="38">
        <v>103.5271643518</v>
      </c>
      <c r="Q2030" s="39" t="s">
        <v>7177</v>
      </c>
      <c r="R2030" s="35" t="s">
        <v>916</v>
      </c>
      <c r="S2030" s="35"/>
      <c r="T2030" s="35" t="s">
        <v>1701</v>
      </c>
      <c r="U2030" s="40">
        <v>45919</v>
      </c>
      <c r="V2030" s="41">
        <v>46153.533043981479</v>
      </c>
      <c r="W2030" s="40">
        <v>45918</v>
      </c>
      <c r="X2030" s="35" t="s">
        <v>916</v>
      </c>
      <c r="Y2030" s="35" t="s">
        <v>916</v>
      </c>
      <c r="Z2030" s="35" t="s">
        <v>916</v>
      </c>
      <c r="AA2030" s="38">
        <v>2484.6519444432001</v>
      </c>
      <c r="AB2030" s="42" t="s">
        <v>916</v>
      </c>
      <c r="AC2030" s="43" t="s">
        <v>916</v>
      </c>
      <c r="AD2030" s="43" t="s">
        <v>916</v>
      </c>
      <c r="AE2030" s="33" t="s">
        <v>3982</v>
      </c>
      <c r="AF2030" s="35" t="s">
        <v>916</v>
      </c>
      <c r="AG2030" s="44">
        <v>488387.3480555556</v>
      </c>
      <c r="AH2030" s="42" t="s">
        <v>916</v>
      </c>
      <c r="AI2030" s="32" t="e">
        <f>VLOOKUP(A2030,'4月明細'!B:B,1,0)</f>
        <v>#N/A</v>
      </c>
    </row>
    <row r="2031" spans="1:35" ht="19.95" customHeight="1" x14ac:dyDescent="0.3">
      <c r="A2031" s="33" t="s">
        <v>7178</v>
      </c>
      <c r="B2031" s="34">
        <v>45918.492488425924</v>
      </c>
      <c r="C2031" s="34" t="str">
        <f t="shared" si="44"/>
        <v>202509</v>
      </c>
      <c r="D2031" s="35" t="s">
        <v>5380</v>
      </c>
      <c r="E2031" s="36" t="s">
        <v>910</v>
      </c>
      <c r="F2031" s="36" t="s">
        <v>1055</v>
      </c>
      <c r="G2031" s="37" t="s">
        <v>4998</v>
      </c>
      <c r="H2031" s="36" t="s">
        <v>3985</v>
      </c>
      <c r="I2031" s="35" t="s">
        <v>7179</v>
      </c>
      <c r="J2031" s="36" t="s">
        <v>914</v>
      </c>
      <c r="K2031" s="33" t="s">
        <v>916</v>
      </c>
      <c r="L2031" s="35" t="s">
        <v>916</v>
      </c>
      <c r="M2031" s="36" t="s">
        <v>916</v>
      </c>
      <c r="N2031" s="45">
        <v>46022</v>
      </c>
      <c r="O2031" s="36" t="s">
        <v>25</v>
      </c>
      <c r="P2031" s="38">
        <v>103.50751157409999</v>
      </c>
      <c r="Q2031" s="39" t="s">
        <v>7180</v>
      </c>
      <c r="R2031" s="35" t="s">
        <v>916</v>
      </c>
      <c r="S2031" s="35" t="s">
        <v>7181</v>
      </c>
      <c r="T2031" s="35" t="s">
        <v>1701</v>
      </c>
      <c r="U2031" s="40">
        <v>45919</v>
      </c>
      <c r="V2031" s="41">
        <v>46153.533043981479</v>
      </c>
      <c r="W2031" s="40">
        <v>45918</v>
      </c>
      <c r="X2031" s="35" t="s">
        <v>916</v>
      </c>
      <c r="Y2031" s="35" t="s">
        <v>916</v>
      </c>
      <c r="Z2031" s="35" t="s">
        <v>916</v>
      </c>
      <c r="AA2031" s="38">
        <v>2484.1802777784001</v>
      </c>
      <c r="AB2031" s="42" t="s">
        <v>916</v>
      </c>
      <c r="AC2031" s="43" t="s">
        <v>916</v>
      </c>
      <c r="AD2031" s="43" t="s">
        <v>916</v>
      </c>
      <c r="AE2031" s="33" t="s">
        <v>3982</v>
      </c>
      <c r="AF2031" s="35" t="s">
        <v>916</v>
      </c>
      <c r="AG2031" s="44">
        <v>488387.81972222228</v>
      </c>
      <c r="AH2031" s="42" t="s">
        <v>916</v>
      </c>
      <c r="AI2031" s="32" t="e">
        <f>VLOOKUP(A2031,'4月明細'!B:B,1,0)</f>
        <v>#N/A</v>
      </c>
    </row>
    <row r="2032" spans="1:35" ht="19.95" customHeight="1" x14ac:dyDescent="0.3">
      <c r="A2032" s="33" t="s">
        <v>7182</v>
      </c>
      <c r="B2032" s="34">
        <v>45918.489895833336</v>
      </c>
      <c r="C2032" s="34" t="str">
        <f t="shared" si="44"/>
        <v>202509</v>
      </c>
      <c r="D2032" s="35" t="s">
        <v>996</v>
      </c>
      <c r="E2032" s="36" t="s">
        <v>910</v>
      </c>
      <c r="F2032" s="36" t="s">
        <v>1919</v>
      </c>
      <c r="G2032" s="37" t="s">
        <v>7183</v>
      </c>
      <c r="H2032" s="36" t="s">
        <v>970</v>
      </c>
      <c r="I2032" s="35"/>
      <c r="J2032" s="36" t="s">
        <v>929</v>
      </c>
      <c r="K2032" s="33" t="s">
        <v>916</v>
      </c>
      <c r="L2032" s="35" t="s">
        <v>916</v>
      </c>
      <c r="M2032" s="36" t="s">
        <v>916</v>
      </c>
      <c r="N2032" s="45">
        <v>46022</v>
      </c>
      <c r="O2032" s="36" t="s">
        <v>25</v>
      </c>
      <c r="P2032" s="38">
        <v>103.5101041667</v>
      </c>
      <c r="Q2032" s="39" t="s">
        <v>7184</v>
      </c>
      <c r="R2032" s="35" t="s">
        <v>916</v>
      </c>
      <c r="S2032" s="35"/>
      <c r="T2032" s="35" t="s">
        <v>1701</v>
      </c>
      <c r="U2032" s="40">
        <v>45919</v>
      </c>
      <c r="V2032" s="41">
        <v>46153.533043981479</v>
      </c>
      <c r="W2032" s="40">
        <v>45918</v>
      </c>
      <c r="X2032" s="35" t="s">
        <v>916</v>
      </c>
      <c r="Y2032" s="35" t="s">
        <v>916</v>
      </c>
      <c r="Z2032" s="35" t="s">
        <v>916</v>
      </c>
      <c r="AA2032" s="38">
        <v>2484.2425000008002</v>
      </c>
      <c r="AB2032" s="42" t="s">
        <v>916</v>
      </c>
      <c r="AC2032" s="43" t="s">
        <v>916</v>
      </c>
      <c r="AD2032" s="43" t="s">
        <v>916</v>
      </c>
      <c r="AE2032" s="33" t="s">
        <v>3982</v>
      </c>
      <c r="AF2032" s="35" t="s">
        <v>916</v>
      </c>
      <c r="AG2032" s="44">
        <v>488387.75749999989</v>
      </c>
      <c r="AH2032" s="42" t="s">
        <v>916</v>
      </c>
      <c r="AI2032" s="32" t="e">
        <f>VLOOKUP(A2032,'4月明細'!B:B,1,0)</f>
        <v>#N/A</v>
      </c>
    </row>
    <row r="2033" spans="1:35" ht="19.95" customHeight="1" x14ac:dyDescent="0.3">
      <c r="A2033" s="33" t="s">
        <v>7185</v>
      </c>
      <c r="B2033" s="34">
        <v>45918.462754629632</v>
      </c>
      <c r="C2033" s="34" t="str">
        <f t="shared" si="44"/>
        <v>202509</v>
      </c>
      <c r="D2033" s="35" t="s">
        <v>951</v>
      </c>
      <c r="E2033" s="36" t="s">
        <v>910</v>
      </c>
      <c r="F2033" s="36" t="s">
        <v>1531</v>
      </c>
      <c r="G2033" s="37" t="s">
        <v>7186</v>
      </c>
      <c r="H2033" s="36" t="s">
        <v>1043</v>
      </c>
      <c r="I2033" s="35" t="s">
        <v>7187</v>
      </c>
      <c r="J2033" s="36" t="s">
        <v>929</v>
      </c>
      <c r="K2033" s="33" t="s">
        <v>916</v>
      </c>
      <c r="L2033" s="35" t="s">
        <v>916</v>
      </c>
      <c r="M2033" s="36" t="s">
        <v>916</v>
      </c>
      <c r="N2033" s="45">
        <v>46022</v>
      </c>
      <c r="O2033" s="36" t="s">
        <v>25</v>
      </c>
      <c r="P2033" s="38">
        <v>103.5372453704</v>
      </c>
      <c r="Q2033" s="39" t="s">
        <v>7188</v>
      </c>
      <c r="R2033" s="35" t="s">
        <v>916</v>
      </c>
      <c r="S2033" s="35" t="s">
        <v>7189</v>
      </c>
      <c r="T2033" s="35" t="s">
        <v>1701</v>
      </c>
      <c r="U2033" s="40">
        <v>45919</v>
      </c>
      <c r="V2033" s="41">
        <v>46153.533043981479</v>
      </c>
      <c r="W2033" s="40">
        <v>45918</v>
      </c>
      <c r="X2033" s="35" t="s">
        <v>916</v>
      </c>
      <c r="Y2033" s="35" t="s">
        <v>916</v>
      </c>
      <c r="Z2033" s="35" t="s">
        <v>916</v>
      </c>
      <c r="AA2033" s="38">
        <v>2484.8938888896</v>
      </c>
      <c r="AB2033" s="42" t="s">
        <v>916</v>
      </c>
      <c r="AC2033" s="43" t="s">
        <v>916</v>
      </c>
      <c r="AD2033" s="43" t="s">
        <v>916</v>
      </c>
      <c r="AE2033" s="33" t="s">
        <v>3982</v>
      </c>
      <c r="AF2033" s="35" t="s">
        <v>916</v>
      </c>
      <c r="AG2033" s="44">
        <v>488387.10611111112</v>
      </c>
      <c r="AH2033" s="42" t="s">
        <v>916</v>
      </c>
      <c r="AI2033" s="32" t="e">
        <f>VLOOKUP(A2033,'4月明細'!B:B,1,0)</f>
        <v>#N/A</v>
      </c>
    </row>
    <row r="2034" spans="1:35" ht="19.95" customHeight="1" x14ac:dyDescent="0.3">
      <c r="A2034" s="33" t="s">
        <v>7190</v>
      </c>
      <c r="B2034" s="34">
        <v>45918.461180555554</v>
      </c>
      <c r="C2034" s="34" t="str">
        <f t="shared" si="44"/>
        <v>202509</v>
      </c>
      <c r="D2034" s="35" t="s">
        <v>951</v>
      </c>
      <c r="E2034" s="36" t="s">
        <v>910</v>
      </c>
      <c r="F2034" s="36" t="s">
        <v>1229</v>
      </c>
      <c r="G2034" s="37" t="s">
        <v>7191</v>
      </c>
      <c r="H2034" s="36" t="s">
        <v>1048</v>
      </c>
      <c r="I2034" s="35" t="s">
        <v>7192</v>
      </c>
      <c r="J2034" s="36" t="s">
        <v>929</v>
      </c>
      <c r="K2034" s="33" t="s">
        <v>916</v>
      </c>
      <c r="L2034" s="35" t="s">
        <v>916</v>
      </c>
      <c r="M2034" s="36" t="s">
        <v>916</v>
      </c>
      <c r="N2034" s="45">
        <v>46022</v>
      </c>
      <c r="O2034" s="36" t="s">
        <v>25</v>
      </c>
      <c r="P2034" s="38">
        <v>103.5388194444</v>
      </c>
      <c r="Q2034" s="39" t="s">
        <v>7165</v>
      </c>
      <c r="R2034" s="35" t="s">
        <v>916</v>
      </c>
      <c r="S2034" s="35" t="s">
        <v>7166</v>
      </c>
      <c r="T2034" s="35" t="s">
        <v>1701</v>
      </c>
      <c r="U2034" s="40">
        <v>45919</v>
      </c>
      <c r="V2034" s="41">
        <v>46153.533043981479</v>
      </c>
      <c r="W2034" s="40">
        <v>45918</v>
      </c>
      <c r="X2034" s="35" t="s">
        <v>916</v>
      </c>
      <c r="Y2034" s="35" t="s">
        <v>916</v>
      </c>
      <c r="Z2034" s="35" t="s">
        <v>916</v>
      </c>
      <c r="AA2034" s="38">
        <v>2484.9316666656</v>
      </c>
      <c r="AB2034" s="42" t="s">
        <v>916</v>
      </c>
      <c r="AC2034" s="43" t="s">
        <v>916</v>
      </c>
      <c r="AD2034" s="43" t="s">
        <v>916</v>
      </c>
      <c r="AE2034" s="33" t="s">
        <v>3982</v>
      </c>
      <c r="AF2034" s="35" t="s">
        <v>916</v>
      </c>
      <c r="AG2034" s="44">
        <v>488387.06833333342</v>
      </c>
      <c r="AH2034" s="42" t="s">
        <v>916</v>
      </c>
      <c r="AI2034" s="32" t="e">
        <f>VLOOKUP(A2034,'4月明細'!B:B,1,0)</f>
        <v>#N/A</v>
      </c>
    </row>
    <row r="2035" spans="1:35" ht="19.95" customHeight="1" x14ac:dyDescent="0.3">
      <c r="A2035" s="33" t="s">
        <v>7193</v>
      </c>
      <c r="B2035" s="34">
        <v>45918.460590277777</v>
      </c>
      <c r="C2035" s="34" t="str">
        <f t="shared" si="44"/>
        <v>202509</v>
      </c>
      <c r="D2035" s="35" t="s">
        <v>951</v>
      </c>
      <c r="E2035" s="36" t="s">
        <v>910</v>
      </c>
      <c r="F2035" s="36" t="s">
        <v>1621</v>
      </c>
      <c r="G2035" s="37" t="s">
        <v>7194</v>
      </c>
      <c r="H2035" s="36" t="s">
        <v>4065</v>
      </c>
      <c r="I2035" s="35" t="s">
        <v>7195</v>
      </c>
      <c r="J2035" s="36" t="s">
        <v>1058</v>
      </c>
      <c r="K2035" s="33" t="s">
        <v>916</v>
      </c>
      <c r="L2035" s="35" t="s">
        <v>916</v>
      </c>
      <c r="M2035" s="36" t="s">
        <v>916</v>
      </c>
      <c r="N2035" s="45">
        <v>46022</v>
      </c>
      <c r="O2035" s="36" t="s">
        <v>25</v>
      </c>
      <c r="P2035" s="38">
        <v>103.53940972220001</v>
      </c>
      <c r="Q2035" s="39" t="s">
        <v>958</v>
      </c>
      <c r="R2035" s="35" t="s">
        <v>916</v>
      </c>
      <c r="S2035" s="35"/>
      <c r="T2035" s="35" t="s">
        <v>1624</v>
      </c>
      <c r="U2035" s="40">
        <v>45919</v>
      </c>
      <c r="V2035" s="41">
        <v>46153.533043981479</v>
      </c>
      <c r="W2035" s="40">
        <v>45918</v>
      </c>
      <c r="X2035" s="35" t="s">
        <v>916</v>
      </c>
      <c r="Y2035" s="35" t="s">
        <v>916</v>
      </c>
      <c r="Z2035" s="35" t="s">
        <v>916</v>
      </c>
      <c r="AA2035" s="38">
        <v>2484.9458333327998</v>
      </c>
      <c r="AB2035" s="42" t="s">
        <v>916</v>
      </c>
      <c r="AC2035" s="43" t="s">
        <v>916</v>
      </c>
      <c r="AD2035" s="43" t="s">
        <v>916</v>
      </c>
      <c r="AE2035" s="33" t="s">
        <v>3982</v>
      </c>
      <c r="AF2035" s="35" t="s">
        <v>916</v>
      </c>
      <c r="AG2035" s="44">
        <v>488387.05416666658</v>
      </c>
      <c r="AH2035" s="42" t="s">
        <v>916</v>
      </c>
      <c r="AI2035" s="32" t="e">
        <f>VLOOKUP(A2035,'4月明細'!B:B,1,0)</f>
        <v>#N/A</v>
      </c>
    </row>
    <row r="2036" spans="1:35" ht="19.95" customHeight="1" x14ac:dyDescent="0.3">
      <c r="A2036" s="33" t="s">
        <v>7196</v>
      </c>
      <c r="B2036" s="34">
        <v>45917.999965277777</v>
      </c>
      <c r="C2036" s="34" t="str">
        <f t="shared" si="44"/>
        <v>202509</v>
      </c>
      <c r="D2036" s="35" t="s">
        <v>1840</v>
      </c>
      <c r="E2036" s="36" t="s">
        <v>1112</v>
      </c>
      <c r="F2036" s="36" t="s">
        <v>1584</v>
      </c>
      <c r="G2036" s="37" t="s">
        <v>7197</v>
      </c>
      <c r="H2036" s="36" t="s">
        <v>5106</v>
      </c>
      <c r="I2036" s="35"/>
      <c r="J2036" s="36" t="s">
        <v>945</v>
      </c>
      <c r="K2036" s="33" t="s">
        <v>916</v>
      </c>
      <c r="L2036" s="35" t="s">
        <v>916</v>
      </c>
      <c r="M2036" s="36" t="s">
        <v>7198</v>
      </c>
      <c r="N2036" s="45">
        <v>46022</v>
      </c>
      <c r="O2036" s="36" t="s">
        <v>25</v>
      </c>
      <c r="P2036" s="38">
        <v>104.0000347222</v>
      </c>
      <c r="Q2036" s="39" t="s">
        <v>7199</v>
      </c>
      <c r="R2036" s="35" t="s">
        <v>916</v>
      </c>
      <c r="S2036" s="35"/>
      <c r="T2036" s="35" t="s">
        <v>1624</v>
      </c>
      <c r="U2036" s="40">
        <v>45918</v>
      </c>
      <c r="V2036" s="41">
        <v>46153.533043981479</v>
      </c>
      <c r="W2036" s="40">
        <v>45918</v>
      </c>
      <c r="X2036" s="35" t="s">
        <v>916</v>
      </c>
      <c r="Y2036" s="35" t="s">
        <v>916</v>
      </c>
      <c r="Z2036" s="35" t="s">
        <v>916</v>
      </c>
      <c r="AA2036" s="38">
        <v>2496.0008333328001</v>
      </c>
      <c r="AB2036" s="42" t="s">
        <v>916</v>
      </c>
      <c r="AC2036" s="43" t="s">
        <v>916</v>
      </c>
      <c r="AD2036" s="43" t="s">
        <v>916</v>
      </c>
      <c r="AE2036" s="33" t="s">
        <v>3982</v>
      </c>
      <c r="AF2036" s="35" t="s">
        <v>916</v>
      </c>
      <c r="AG2036" s="44">
        <v>488375.99916666659</v>
      </c>
      <c r="AH2036" s="42" t="s">
        <v>916</v>
      </c>
      <c r="AI2036" s="32" t="e">
        <f>VLOOKUP(A2036,'4月明細'!B:B,1,0)</f>
        <v>#N/A</v>
      </c>
    </row>
    <row r="2037" spans="1:35" ht="19.95" customHeight="1" x14ac:dyDescent="0.3">
      <c r="A2037" s="33" t="s">
        <v>7200</v>
      </c>
      <c r="B2037" s="34">
        <v>45917.575879629629</v>
      </c>
      <c r="C2037" s="34" t="str">
        <f t="shared" si="44"/>
        <v>202509</v>
      </c>
      <c r="D2037" s="35" t="s">
        <v>2053</v>
      </c>
      <c r="E2037" s="36" t="s">
        <v>1149</v>
      </c>
      <c r="F2037" s="36" t="s">
        <v>1433</v>
      </c>
      <c r="G2037" s="37" t="s">
        <v>7201</v>
      </c>
      <c r="H2037" s="36" t="s">
        <v>1352</v>
      </c>
      <c r="I2037" s="35"/>
      <c r="J2037" s="36" t="s">
        <v>938</v>
      </c>
      <c r="K2037" s="33" t="s">
        <v>916</v>
      </c>
      <c r="L2037" s="35" t="s">
        <v>916</v>
      </c>
      <c r="M2037" s="36" t="s">
        <v>916</v>
      </c>
      <c r="N2037" s="45">
        <v>46022</v>
      </c>
      <c r="O2037" s="36" t="s">
        <v>25</v>
      </c>
      <c r="P2037" s="38">
        <v>104.4241203704</v>
      </c>
      <c r="Q2037" s="39" t="s">
        <v>7202</v>
      </c>
      <c r="R2037" s="35" t="s">
        <v>916</v>
      </c>
      <c r="S2037" s="35"/>
      <c r="T2037" s="35" t="s">
        <v>1701</v>
      </c>
      <c r="U2037" s="40">
        <v>45918</v>
      </c>
      <c r="V2037" s="41">
        <v>46153.533043981479</v>
      </c>
      <c r="W2037" s="40">
        <v>45917</v>
      </c>
      <c r="X2037" s="35" t="s">
        <v>916</v>
      </c>
      <c r="Y2037" s="35" t="s">
        <v>916</v>
      </c>
      <c r="Z2037" s="35" t="s">
        <v>916</v>
      </c>
      <c r="AA2037" s="38">
        <v>2506.1788888895999</v>
      </c>
      <c r="AB2037" s="42" t="s">
        <v>916</v>
      </c>
      <c r="AC2037" s="43" t="s">
        <v>916</v>
      </c>
      <c r="AD2037" s="43" t="s">
        <v>916</v>
      </c>
      <c r="AE2037" s="33" t="s">
        <v>3982</v>
      </c>
      <c r="AF2037" s="35" t="s">
        <v>916</v>
      </c>
      <c r="AG2037" s="44">
        <v>488365.82111111109</v>
      </c>
      <c r="AH2037" s="42" t="s">
        <v>916</v>
      </c>
      <c r="AI2037" s="32" t="e">
        <f>VLOOKUP(A2037,'4月明細'!B:B,1,0)</f>
        <v>#N/A</v>
      </c>
    </row>
    <row r="2038" spans="1:35" ht="19.95" customHeight="1" x14ac:dyDescent="0.3">
      <c r="A2038" s="33" t="s">
        <v>7203</v>
      </c>
      <c r="B2038" s="34">
        <v>45917.501840277779</v>
      </c>
      <c r="C2038" s="34" t="str">
        <f t="shared" si="44"/>
        <v>202509</v>
      </c>
      <c r="D2038" s="35" t="s">
        <v>996</v>
      </c>
      <c r="E2038" s="36" t="s">
        <v>910</v>
      </c>
      <c r="F2038" s="36" t="s">
        <v>1133</v>
      </c>
      <c r="G2038" s="37" t="s">
        <v>7204</v>
      </c>
      <c r="H2038" s="36" t="s">
        <v>4542</v>
      </c>
      <c r="I2038" s="35"/>
      <c r="J2038" s="36" t="s">
        <v>914</v>
      </c>
      <c r="K2038" s="33" t="s">
        <v>916</v>
      </c>
      <c r="L2038" s="35" t="s">
        <v>916</v>
      </c>
      <c r="M2038" s="36" t="s">
        <v>916</v>
      </c>
      <c r="N2038" s="45">
        <v>46022</v>
      </c>
      <c r="O2038" s="36" t="s">
        <v>25</v>
      </c>
      <c r="P2038" s="38">
        <v>104.4981597222</v>
      </c>
      <c r="Q2038" s="39" t="s">
        <v>7205</v>
      </c>
      <c r="R2038" s="35" t="s">
        <v>916</v>
      </c>
      <c r="S2038" s="35" t="s">
        <v>7206</v>
      </c>
      <c r="T2038" s="35" t="s">
        <v>1701</v>
      </c>
      <c r="U2038" s="40">
        <v>45918</v>
      </c>
      <c r="V2038" s="41">
        <v>46153.533043981479</v>
      </c>
      <c r="W2038" s="40">
        <v>45917</v>
      </c>
      <c r="X2038" s="35" t="s">
        <v>916</v>
      </c>
      <c r="Y2038" s="35" t="s">
        <v>916</v>
      </c>
      <c r="Z2038" s="35" t="s">
        <v>916</v>
      </c>
      <c r="AA2038" s="38">
        <v>2507.9558333328</v>
      </c>
      <c r="AB2038" s="42" t="s">
        <v>916</v>
      </c>
      <c r="AC2038" s="43" t="s">
        <v>916</v>
      </c>
      <c r="AD2038" s="43" t="s">
        <v>916</v>
      </c>
      <c r="AE2038" s="33" t="s">
        <v>3982</v>
      </c>
      <c r="AF2038" s="35" t="s">
        <v>916</v>
      </c>
      <c r="AG2038" s="44">
        <v>488364.04416666669</v>
      </c>
      <c r="AH2038" s="42" t="s">
        <v>916</v>
      </c>
      <c r="AI2038" s="32" t="e">
        <f>VLOOKUP(A2038,'4月明細'!B:B,1,0)</f>
        <v>#N/A</v>
      </c>
    </row>
    <row r="2039" spans="1:35" ht="19.95" customHeight="1" x14ac:dyDescent="0.3">
      <c r="A2039" s="33" t="s">
        <v>7207</v>
      </c>
      <c r="B2039" s="34">
        <v>45917.444432870368</v>
      </c>
      <c r="C2039" s="34" t="str">
        <f t="shared" si="44"/>
        <v>202509</v>
      </c>
      <c r="D2039" s="35" t="s">
        <v>7208</v>
      </c>
      <c r="E2039" s="36" t="s">
        <v>910</v>
      </c>
      <c r="F2039" s="36" t="s">
        <v>972</v>
      </c>
      <c r="G2039" s="37" t="s">
        <v>7209</v>
      </c>
      <c r="H2039" s="36" t="s">
        <v>1043</v>
      </c>
      <c r="I2039" s="35" t="s">
        <v>7210</v>
      </c>
      <c r="J2039" s="36" t="s">
        <v>914</v>
      </c>
      <c r="K2039" s="33" t="s">
        <v>916</v>
      </c>
      <c r="L2039" s="35" t="s">
        <v>916</v>
      </c>
      <c r="M2039" s="36" t="s">
        <v>916</v>
      </c>
      <c r="N2039" s="45">
        <v>46022</v>
      </c>
      <c r="O2039" s="36" t="s">
        <v>25</v>
      </c>
      <c r="P2039" s="38">
        <v>104.55556712960001</v>
      </c>
      <c r="Q2039" s="39" t="s">
        <v>7211</v>
      </c>
      <c r="R2039" s="35" t="s">
        <v>916</v>
      </c>
      <c r="S2039" s="35" t="s">
        <v>7212</v>
      </c>
      <c r="T2039" s="35" t="s">
        <v>1701</v>
      </c>
      <c r="U2039" s="40">
        <v>45918</v>
      </c>
      <c r="V2039" s="41">
        <v>46153.533043981479</v>
      </c>
      <c r="W2039" s="40">
        <v>45917</v>
      </c>
      <c r="X2039" s="35" t="s">
        <v>916</v>
      </c>
      <c r="Y2039" s="35" t="s">
        <v>916</v>
      </c>
      <c r="Z2039" s="35" t="s">
        <v>916</v>
      </c>
      <c r="AA2039" s="38">
        <v>2509.3336111103999</v>
      </c>
      <c r="AB2039" s="42" t="s">
        <v>916</v>
      </c>
      <c r="AC2039" s="43" t="s">
        <v>916</v>
      </c>
      <c r="AD2039" s="43" t="s">
        <v>916</v>
      </c>
      <c r="AE2039" s="33" t="s">
        <v>3982</v>
      </c>
      <c r="AF2039" s="35" t="s">
        <v>916</v>
      </c>
      <c r="AG2039" s="44">
        <v>488362.66638888902</v>
      </c>
      <c r="AH2039" s="42" t="s">
        <v>916</v>
      </c>
      <c r="AI2039" s="32" t="e">
        <f>VLOOKUP(A2039,'4月明細'!B:B,1,0)</f>
        <v>#N/A</v>
      </c>
    </row>
    <row r="2040" spans="1:35" ht="19.95" customHeight="1" x14ac:dyDescent="0.3">
      <c r="A2040" s="33" t="s">
        <v>7213</v>
      </c>
      <c r="B2040" s="34">
        <v>45917.452430555553</v>
      </c>
      <c r="C2040" s="34" t="str">
        <f t="shared" si="44"/>
        <v>202509</v>
      </c>
      <c r="D2040" s="35" t="s">
        <v>996</v>
      </c>
      <c r="E2040" s="36" t="s">
        <v>910</v>
      </c>
      <c r="F2040" s="36" t="s">
        <v>2059</v>
      </c>
      <c r="G2040" s="37" t="s">
        <v>7214</v>
      </c>
      <c r="H2040" s="36" t="s">
        <v>4007</v>
      </c>
      <c r="I2040" s="35"/>
      <c r="J2040" s="36" t="s">
        <v>1058</v>
      </c>
      <c r="K2040" s="33" t="s">
        <v>916</v>
      </c>
      <c r="L2040" s="35" t="s">
        <v>916</v>
      </c>
      <c r="M2040" s="36" t="s">
        <v>916</v>
      </c>
      <c r="N2040" s="45">
        <v>46022</v>
      </c>
      <c r="O2040" s="36" t="s">
        <v>25</v>
      </c>
      <c r="P2040" s="38">
        <v>104.5475694444</v>
      </c>
      <c r="Q2040" s="39" t="s">
        <v>7215</v>
      </c>
      <c r="R2040" s="35" t="s">
        <v>916</v>
      </c>
      <c r="S2040" s="35"/>
      <c r="T2040" s="35" t="s">
        <v>1701</v>
      </c>
      <c r="U2040" s="40">
        <v>45918</v>
      </c>
      <c r="V2040" s="41">
        <v>46153.533043981479</v>
      </c>
      <c r="W2040" s="40">
        <v>45917</v>
      </c>
      <c r="X2040" s="35" t="s">
        <v>916</v>
      </c>
      <c r="Y2040" s="35" t="s">
        <v>916</v>
      </c>
      <c r="Z2040" s="35" t="s">
        <v>916</v>
      </c>
      <c r="AA2040" s="38">
        <v>2509.1416666656</v>
      </c>
      <c r="AB2040" s="42" t="s">
        <v>916</v>
      </c>
      <c r="AC2040" s="43" t="s">
        <v>916</v>
      </c>
      <c r="AD2040" s="43" t="s">
        <v>916</v>
      </c>
      <c r="AE2040" s="33" t="s">
        <v>3982</v>
      </c>
      <c r="AF2040" s="35" t="s">
        <v>916</v>
      </c>
      <c r="AG2040" s="44">
        <v>488362.8583333334</v>
      </c>
      <c r="AH2040" s="42" t="s">
        <v>916</v>
      </c>
      <c r="AI2040" s="32" t="e">
        <f>VLOOKUP(A2040,'4月明細'!B:B,1,0)</f>
        <v>#N/A</v>
      </c>
    </row>
    <row r="2041" spans="1:35" ht="19.95" customHeight="1" x14ac:dyDescent="0.3">
      <c r="A2041" s="33" t="s">
        <v>7216</v>
      </c>
      <c r="B2041" s="34">
        <v>45917.445104166669</v>
      </c>
      <c r="C2041" s="34" t="str">
        <f t="shared" si="44"/>
        <v>202509</v>
      </c>
      <c r="D2041" s="35" t="s">
        <v>996</v>
      </c>
      <c r="E2041" s="36" t="s">
        <v>910</v>
      </c>
      <c r="F2041" s="36" t="s">
        <v>911</v>
      </c>
      <c r="G2041" s="37" t="s">
        <v>7217</v>
      </c>
      <c r="H2041" s="36" t="s">
        <v>3979</v>
      </c>
      <c r="I2041" s="35"/>
      <c r="J2041" s="36" t="s">
        <v>914</v>
      </c>
      <c r="K2041" s="33" t="s">
        <v>916</v>
      </c>
      <c r="L2041" s="35" t="s">
        <v>916</v>
      </c>
      <c r="M2041" s="36" t="s">
        <v>916</v>
      </c>
      <c r="N2041" s="45">
        <v>46022</v>
      </c>
      <c r="O2041" s="36" t="s">
        <v>25</v>
      </c>
      <c r="P2041" s="38">
        <v>104.55489583329999</v>
      </c>
      <c r="Q2041" s="39" t="s">
        <v>6987</v>
      </c>
      <c r="R2041" s="35" t="s">
        <v>916</v>
      </c>
      <c r="S2041" s="35"/>
      <c r="T2041" s="35" t="s">
        <v>1701</v>
      </c>
      <c r="U2041" s="40">
        <v>45918</v>
      </c>
      <c r="V2041" s="41">
        <v>46153.533043981479</v>
      </c>
      <c r="W2041" s="40">
        <v>45917</v>
      </c>
      <c r="X2041" s="35" t="s">
        <v>916</v>
      </c>
      <c r="Y2041" s="35" t="s">
        <v>916</v>
      </c>
      <c r="Z2041" s="35" t="s">
        <v>916</v>
      </c>
      <c r="AA2041" s="38">
        <v>2509.3174999992002</v>
      </c>
      <c r="AB2041" s="42" t="s">
        <v>916</v>
      </c>
      <c r="AC2041" s="43" t="s">
        <v>916</v>
      </c>
      <c r="AD2041" s="43" t="s">
        <v>916</v>
      </c>
      <c r="AE2041" s="33" t="s">
        <v>3982</v>
      </c>
      <c r="AF2041" s="35" t="s">
        <v>916</v>
      </c>
      <c r="AG2041" s="44">
        <v>488362.6825</v>
      </c>
      <c r="AH2041" s="42" t="s">
        <v>916</v>
      </c>
      <c r="AI2041" s="32" t="e">
        <f>VLOOKUP(A2041,'4月明細'!B:B,1,0)</f>
        <v>#N/A</v>
      </c>
    </row>
    <row r="2042" spans="1:35" ht="19.95" customHeight="1" x14ac:dyDescent="0.3">
      <c r="A2042" s="33" t="s">
        <v>7218</v>
      </c>
      <c r="B2042" s="34">
        <v>45917.437800925924</v>
      </c>
      <c r="C2042" s="34" t="str">
        <f t="shared" si="44"/>
        <v>202509</v>
      </c>
      <c r="D2042" s="35" t="s">
        <v>1198</v>
      </c>
      <c r="E2042" s="36" t="s">
        <v>1199</v>
      </c>
      <c r="F2042" s="36" t="s">
        <v>1200</v>
      </c>
      <c r="G2042" s="37" t="s">
        <v>7219</v>
      </c>
      <c r="H2042" s="36" t="s">
        <v>4065</v>
      </c>
      <c r="I2042" s="35"/>
      <c r="J2042" s="36" t="s">
        <v>938</v>
      </c>
      <c r="K2042" s="33" t="s">
        <v>916</v>
      </c>
      <c r="L2042" s="35" t="s">
        <v>916</v>
      </c>
      <c r="M2042" s="36" t="s">
        <v>916</v>
      </c>
      <c r="N2042" s="45">
        <v>46022</v>
      </c>
      <c r="O2042" s="36" t="s">
        <v>25</v>
      </c>
      <c r="P2042" s="38">
        <v>104.56219907409999</v>
      </c>
      <c r="Q2042" s="39" t="s">
        <v>7220</v>
      </c>
      <c r="R2042" s="35" t="s">
        <v>916</v>
      </c>
      <c r="S2042" s="35"/>
      <c r="T2042" s="35" t="s">
        <v>1701</v>
      </c>
      <c r="U2042" s="40">
        <v>45918</v>
      </c>
      <c r="V2042" s="41">
        <v>46153.533043981479</v>
      </c>
      <c r="W2042" s="40">
        <v>45917</v>
      </c>
      <c r="X2042" s="35" t="s">
        <v>916</v>
      </c>
      <c r="Y2042" s="35" t="s">
        <v>916</v>
      </c>
      <c r="Z2042" s="35" t="s">
        <v>916</v>
      </c>
      <c r="AA2042" s="38">
        <v>2509.4927777784001</v>
      </c>
      <c r="AB2042" s="42" t="s">
        <v>916</v>
      </c>
      <c r="AC2042" s="43" t="s">
        <v>916</v>
      </c>
      <c r="AD2042" s="43" t="s">
        <v>916</v>
      </c>
      <c r="AE2042" s="33" t="s">
        <v>3982</v>
      </c>
      <c r="AF2042" s="35" t="s">
        <v>916</v>
      </c>
      <c r="AG2042" s="44">
        <v>488362.50722222228</v>
      </c>
      <c r="AH2042" s="42" t="s">
        <v>916</v>
      </c>
      <c r="AI2042" s="32" t="e">
        <f>VLOOKUP(A2042,'4月明細'!B:B,1,0)</f>
        <v>#N/A</v>
      </c>
    </row>
    <row r="2043" spans="1:35" ht="19.95" customHeight="1" x14ac:dyDescent="0.3">
      <c r="A2043" s="33" t="s">
        <v>7221</v>
      </c>
      <c r="B2043" s="34">
        <v>45916.534884259258</v>
      </c>
      <c r="C2043" s="34" t="str">
        <f t="shared" si="44"/>
        <v>202509</v>
      </c>
      <c r="D2043" s="35" t="s">
        <v>951</v>
      </c>
      <c r="E2043" s="36" t="s">
        <v>910</v>
      </c>
      <c r="F2043" s="36" t="s">
        <v>1537</v>
      </c>
      <c r="G2043" s="37" t="s">
        <v>7222</v>
      </c>
      <c r="H2043" s="36" t="s">
        <v>913</v>
      </c>
      <c r="I2043" s="35"/>
      <c r="J2043" s="36" t="s">
        <v>914</v>
      </c>
      <c r="K2043" s="33" t="s">
        <v>916</v>
      </c>
      <c r="L2043" s="35" t="s">
        <v>916</v>
      </c>
      <c r="M2043" s="36" t="s">
        <v>916</v>
      </c>
      <c r="N2043" s="45">
        <v>46022</v>
      </c>
      <c r="O2043" s="36" t="s">
        <v>25</v>
      </c>
      <c r="P2043" s="38">
        <v>105.4651157407</v>
      </c>
      <c r="Q2043" s="39" t="s">
        <v>7223</v>
      </c>
      <c r="R2043" s="35" t="s">
        <v>916</v>
      </c>
      <c r="S2043" s="35"/>
      <c r="T2043" s="35" t="s">
        <v>1701</v>
      </c>
      <c r="U2043" s="40">
        <v>45917</v>
      </c>
      <c r="V2043" s="41">
        <v>46153.533043981479</v>
      </c>
      <c r="W2043" s="40">
        <v>45916</v>
      </c>
      <c r="X2043" s="35" t="s">
        <v>916</v>
      </c>
      <c r="Y2043" s="35" t="s">
        <v>916</v>
      </c>
      <c r="Z2043" s="35" t="s">
        <v>916</v>
      </c>
      <c r="AA2043" s="38">
        <v>2531.1627777767999</v>
      </c>
      <c r="AB2043" s="42" t="s">
        <v>916</v>
      </c>
      <c r="AC2043" s="43" t="s">
        <v>916</v>
      </c>
      <c r="AD2043" s="43" t="s">
        <v>916</v>
      </c>
      <c r="AE2043" s="33" t="s">
        <v>3982</v>
      </c>
      <c r="AF2043" s="35" t="s">
        <v>916</v>
      </c>
      <c r="AG2043" s="44">
        <v>488340.83722222218</v>
      </c>
      <c r="AH2043" s="42" t="s">
        <v>916</v>
      </c>
      <c r="AI2043" s="32" t="e">
        <f>VLOOKUP(A2043,'4月明細'!B:B,1,0)</f>
        <v>#N/A</v>
      </c>
    </row>
    <row r="2044" spans="1:35" ht="19.95" customHeight="1" x14ac:dyDescent="0.3">
      <c r="A2044" s="33" t="s">
        <v>7224</v>
      </c>
      <c r="B2044" s="34">
        <v>45916.434004629627</v>
      </c>
      <c r="C2044" s="34" t="str">
        <f t="shared" si="44"/>
        <v>202509</v>
      </c>
      <c r="D2044" s="35" t="s">
        <v>951</v>
      </c>
      <c r="E2044" s="36" t="s">
        <v>910</v>
      </c>
      <c r="F2044" s="36" t="s">
        <v>1227</v>
      </c>
      <c r="G2044" s="37" t="s">
        <v>7225</v>
      </c>
      <c r="H2044" s="36" t="s">
        <v>1043</v>
      </c>
      <c r="I2044" s="35" t="s">
        <v>7226</v>
      </c>
      <c r="J2044" s="36" t="s">
        <v>1058</v>
      </c>
      <c r="K2044" s="33" t="s">
        <v>916</v>
      </c>
      <c r="L2044" s="35" t="s">
        <v>916</v>
      </c>
      <c r="M2044" s="36" t="s">
        <v>916</v>
      </c>
      <c r="N2044" s="45">
        <v>46022</v>
      </c>
      <c r="O2044" s="36" t="s">
        <v>25</v>
      </c>
      <c r="P2044" s="38">
        <v>105.5659953704</v>
      </c>
      <c r="Q2044" s="39" t="s">
        <v>7227</v>
      </c>
      <c r="R2044" s="35" t="s">
        <v>916</v>
      </c>
      <c r="S2044" s="35" t="s">
        <v>7228</v>
      </c>
      <c r="T2044" s="35" t="s">
        <v>1701</v>
      </c>
      <c r="U2044" s="40">
        <v>45917</v>
      </c>
      <c r="V2044" s="41">
        <v>46153.533043981479</v>
      </c>
      <c r="W2044" s="40">
        <v>45916</v>
      </c>
      <c r="X2044" s="35" t="s">
        <v>916</v>
      </c>
      <c r="Y2044" s="35" t="s">
        <v>916</v>
      </c>
      <c r="Z2044" s="35" t="s">
        <v>916</v>
      </c>
      <c r="AA2044" s="38">
        <v>2533.5838888896001</v>
      </c>
      <c r="AB2044" s="42" t="s">
        <v>916</v>
      </c>
      <c r="AC2044" s="43" t="s">
        <v>916</v>
      </c>
      <c r="AD2044" s="43" t="s">
        <v>916</v>
      </c>
      <c r="AE2044" s="33" t="s">
        <v>3982</v>
      </c>
      <c r="AF2044" s="35" t="s">
        <v>916</v>
      </c>
      <c r="AG2044" s="44">
        <v>488338.41611111118</v>
      </c>
      <c r="AH2044" s="42" t="s">
        <v>916</v>
      </c>
      <c r="AI2044" s="32" t="e">
        <f>VLOOKUP(A2044,'4月明細'!B:B,1,0)</f>
        <v>#N/A</v>
      </c>
    </row>
    <row r="2045" spans="1:35" ht="19.95" customHeight="1" x14ac:dyDescent="0.3">
      <c r="A2045" s="33" t="s">
        <v>7229</v>
      </c>
      <c r="B2045" s="34">
        <v>45916.502256944441</v>
      </c>
      <c r="C2045" s="34" t="str">
        <f t="shared" si="44"/>
        <v>202509</v>
      </c>
      <c r="D2045" s="35" t="s">
        <v>996</v>
      </c>
      <c r="E2045" s="36" t="s">
        <v>910</v>
      </c>
      <c r="F2045" s="36" t="s">
        <v>1344</v>
      </c>
      <c r="G2045" s="37" t="s">
        <v>7230</v>
      </c>
      <c r="H2045" s="36" t="s">
        <v>3996</v>
      </c>
      <c r="I2045" s="35"/>
      <c r="J2045" s="36" t="s">
        <v>929</v>
      </c>
      <c r="K2045" s="33" t="s">
        <v>916</v>
      </c>
      <c r="L2045" s="35" t="s">
        <v>916</v>
      </c>
      <c r="M2045" s="36" t="s">
        <v>916</v>
      </c>
      <c r="N2045" s="45">
        <v>46022</v>
      </c>
      <c r="O2045" s="36" t="s">
        <v>25</v>
      </c>
      <c r="P2045" s="38">
        <v>105.4977430556</v>
      </c>
      <c r="Q2045" s="39" t="s">
        <v>7231</v>
      </c>
      <c r="R2045" s="35" t="s">
        <v>916</v>
      </c>
      <c r="S2045" s="35"/>
      <c r="T2045" s="35" t="s">
        <v>1701</v>
      </c>
      <c r="U2045" s="40">
        <v>45917</v>
      </c>
      <c r="V2045" s="41">
        <v>46153.533043981479</v>
      </c>
      <c r="W2045" s="40">
        <v>45916</v>
      </c>
      <c r="X2045" s="35" t="s">
        <v>916</v>
      </c>
      <c r="Y2045" s="35" t="s">
        <v>916</v>
      </c>
      <c r="Z2045" s="35" t="s">
        <v>916</v>
      </c>
      <c r="AA2045" s="38">
        <v>2531.9458333344</v>
      </c>
      <c r="AB2045" s="42" t="s">
        <v>916</v>
      </c>
      <c r="AC2045" s="43" t="s">
        <v>916</v>
      </c>
      <c r="AD2045" s="43" t="s">
        <v>916</v>
      </c>
      <c r="AE2045" s="33" t="s">
        <v>3982</v>
      </c>
      <c r="AF2045" s="35" t="s">
        <v>916</v>
      </c>
      <c r="AG2045" s="44">
        <v>488340.05444444442</v>
      </c>
      <c r="AH2045" s="42" t="s">
        <v>916</v>
      </c>
      <c r="AI2045" s="32" t="e">
        <f>VLOOKUP(A2045,'4月明細'!B:B,1,0)</f>
        <v>#N/A</v>
      </c>
    </row>
    <row r="2046" spans="1:35" ht="19.95" customHeight="1" x14ac:dyDescent="0.3">
      <c r="A2046" s="33" t="s">
        <v>7232</v>
      </c>
      <c r="B2046" s="34">
        <v>45916.492013888892</v>
      </c>
      <c r="C2046" s="34" t="str">
        <f t="shared" si="44"/>
        <v>202509</v>
      </c>
      <c r="D2046" s="35" t="s">
        <v>996</v>
      </c>
      <c r="E2046" s="36" t="s">
        <v>910</v>
      </c>
      <c r="F2046" s="36" t="s">
        <v>1344</v>
      </c>
      <c r="G2046" s="37" t="s">
        <v>7233</v>
      </c>
      <c r="H2046" s="36" t="s">
        <v>3979</v>
      </c>
      <c r="I2046" s="35"/>
      <c r="J2046" s="36" t="s">
        <v>929</v>
      </c>
      <c r="K2046" s="33" t="s">
        <v>916</v>
      </c>
      <c r="L2046" s="35" t="s">
        <v>916</v>
      </c>
      <c r="M2046" s="36" t="s">
        <v>916</v>
      </c>
      <c r="N2046" s="45">
        <v>46022</v>
      </c>
      <c r="O2046" s="36" t="s">
        <v>25</v>
      </c>
      <c r="P2046" s="38">
        <v>105.5079861111</v>
      </c>
      <c r="Q2046" s="39" t="s">
        <v>7234</v>
      </c>
      <c r="R2046" s="35" t="s">
        <v>916</v>
      </c>
      <c r="S2046" s="35"/>
      <c r="T2046" s="35" t="s">
        <v>1701</v>
      </c>
      <c r="U2046" s="40">
        <v>45917</v>
      </c>
      <c r="V2046" s="41">
        <v>46153.533043981479</v>
      </c>
      <c r="W2046" s="40">
        <v>45916</v>
      </c>
      <c r="X2046" s="35" t="s">
        <v>916</v>
      </c>
      <c r="Y2046" s="35" t="s">
        <v>916</v>
      </c>
      <c r="Z2046" s="35" t="s">
        <v>916</v>
      </c>
      <c r="AA2046" s="38">
        <v>2532.1916666664001</v>
      </c>
      <c r="AB2046" s="42" t="s">
        <v>916</v>
      </c>
      <c r="AC2046" s="43" t="s">
        <v>916</v>
      </c>
      <c r="AD2046" s="43" t="s">
        <v>916</v>
      </c>
      <c r="AE2046" s="33" t="s">
        <v>3982</v>
      </c>
      <c r="AF2046" s="35" t="s">
        <v>916</v>
      </c>
      <c r="AG2046" s="44">
        <v>488339.80833333329</v>
      </c>
      <c r="AH2046" s="42" t="s">
        <v>916</v>
      </c>
      <c r="AI2046" s="32" t="e">
        <f>VLOOKUP(A2046,'4月明細'!B:B,1,0)</f>
        <v>#N/A</v>
      </c>
    </row>
    <row r="2047" spans="1:35" ht="19.95" customHeight="1" x14ac:dyDescent="0.3">
      <c r="A2047" s="33" t="s">
        <v>7235</v>
      </c>
      <c r="B2047" s="34">
        <v>45916.491099537037</v>
      </c>
      <c r="C2047" s="34" t="str">
        <f t="shared" si="44"/>
        <v>202509</v>
      </c>
      <c r="D2047" s="35" t="s">
        <v>996</v>
      </c>
      <c r="E2047" s="36" t="s">
        <v>910</v>
      </c>
      <c r="F2047" s="36" t="s">
        <v>1469</v>
      </c>
      <c r="G2047" s="37" t="s">
        <v>7233</v>
      </c>
      <c r="H2047" s="36" t="s">
        <v>3979</v>
      </c>
      <c r="I2047" s="35"/>
      <c r="J2047" s="36" t="s">
        <v>929</v>
      </c>
      <c r="K2047" s="33" t="s">
        <v>916</v>
      </c>
      <c r="L2047" s="35" t="s">
        <v>916</v>
      </c>
      <c r="M2047" s="36" t="s">
        <v>916</v>
      </c>
      <c r="N2047" s="45">
        <v>46022</v>
      </c>
      <c r="O2047" s="36" t="s">
        <v>25</v>
      </c>
      <c r="P2047" s="38">
        <v>105.508900463</v>
      </c>
      <c r="Q2047" s="39" t="s">
        <v>7234</v>
      </c>
      <c r="R2047" s="35" t="s">
        <v>916</v>
      </c>
      <c r="S2047" s="35"/>
      <c r="T2047" s="35" t="s">
        <v>1701</v>
      </c>
      <c r="U2047" s="40">
        <v>45917</v>
      </c>
      <c r="V2047" s="41">
        <v>46153.533043981479</v>
      </c>
      <c r="W2047" s="40">
        <v>45916</v>
      </c>
      <c r="X2047" s="35" t="s">
        <v>916</v>
      </c>
      <c r="Y2047" s="35" t="s">
        <v>916</v>
      </c>
      <c r="Z2047" s="35" t="s">
        <v>916</v>
      </c>
      <c r="AA2047" s="38">
        <v>2532.2136111119999</v>
      </c>
      <c r="AB2047" s="42" t="s">
        <v>916</v>
      </c>
      <c r="AC2047" s="43" t="s">
        <v>916</v>
      </c>
      <c r="AD2047" s="43" t="s">
        <v>916</v>
      </c>
      <c r="AE2047" s="33" t="s">
        <v>3982</v>
      </c>
      <c r="AF2047" s="35" t="s">
        <v>916</v>
      </c>
      <c r="AG2047" s="44">
        <v>488339.7863888889</v>
      </c>
      <c r="AH2047" s="42" t="s">
        <v>916</v>
      </c>
      <c r="AI2047" s="32" t="e">
        <f>VLOOKUP(A2047,'4月明細'!B:B,1,0)</f>
        <v>#N/A</v>
      </c>
    </row>
    <row r="2048" spans="1:35" ht="19.95" customHeight="1" x14ac:dyDescent="0.3">
      <c r="A2048" s="33" t="s">
        <v>7236</v>
      </c>
      <c r="B2048" s="34">
        <v>45916.488946759258</v>
      </c>
      <c r="C2048" s="34" t="str">
        <f t="shared" si="44"/>
        <v>202509</v>
      </c>
      <c r="D2048" s="35" t="s">
        <v>996</v>
      </c>
      <c r="E2048" s="36" t="s">
        <v>910</v>
      </c>
      <c r="F2048" s="36" t="s">
        <v>1740</v>
      </c>
      <c r="G2048" s="37" t="s">
        <v>7233</v>
      </c>
      <c r="H2048" s="36" t="s">
        <v>3979</v>
      </c>
      <c r="I2048" s="35"/>
      <c r="J2048" s="36" t="s">
        <v>914</v>
      </c>
      <c r="K2048" s="33" t="s">
        <v>916</v>
      </c>
      <c r="L2048" s="35" t="s">
        <v>916</v>
      </c>
      <c r="M2048" s="36" t="s">
        <v>916</v>
      </c>
      <c r="N2048" s="45">
        <v>46022</v>
      </c>
      <c r="O2048" s="36" t="s">
        <v>25</v>
      </c>
      <c r="P2048" s="38">
        <v>105.51105324069999</v>
      </c>
      <c r="Q2048" s="39" t="s">
        <v>7234</v>
      </c>
      <c r="R2048" s="35" t="s">
        <v>916</v>
      </c>
      <c r="S2048" s="35"/>
      <c r="T2048" s="35" t="s">
        <v>1701</v>
      </c>
      <c r="U2048" s="40">
        <v>45917</v>
      </c>
      <c r="V2048" s="41">
        <v>46153.533043981479</v>
      </c>
      <c r="W2048" s="40">
        <v>45916</v>
      </c>
      <c r="X2048" s="35" t="s">
        <v>916</v>
      </c>
      <c r="Y2048" s="35" t="s">
        <v>916</v>
      </c>
      <c r="Z2048" s="35" t="s">
        <v>916</v>
      </c>
      <c r="AA2048" s="38">
        <v>2532.2652777767998</v>
      </c>
      <c r="AB2048" s="42" t="s">
        <v>916</v>
      </c>
      <c r="AC2048" s="43" t="s">
        <v>916</v>
      </c>
      <c r="AD2048" s="43" t="s">
        <v>916</v>
      </c>
      <c r="AE2048" s="33" t="s">
        <v>3982</v>
      </c>
      <c r="AF2048" s="35" t="s">
        <v>916</v>
      </c>
      <c r="AG2048" s="44">
        <v>488339.7347222222</v>
      </c>
      <c r="AH2048" s="42" t="s">
        <v>916</v>
      </c>
      <c r="AI2048" s="32" t="e">
        <f>VLOOKUP(A2048,'4月明細'!B:B,1,0)</f>
        <v>#N/A</v>
      </c>
    </row>
    <row r="2049" spans="1:35" ht="19.95" customHeight="1" x14ac:dyDescent="0.3">
      <c r="A2049" s="33" t="s">
        <v>7237</v>
      </c>
      <c r="B2049" s="34">
        <v>45915.683298611111</v>
      </c>
      <c r="C2049" s="34" t="str">
        <f t="shared" si="44"/>
        <v>202509</v>
      </c>
      <c r="D2049" s="35" t="s">
        <v>951</v>
      </c>
      <c r="E2049" s="36" t="s">
        <v>910</v>
      </c>
      <c r="F2049" s="36" t="s">
        <v>1947</v>
      </c>
      <c r="G2049" s="37" t="s">
        <v>7238</v>
      </c>
      <c r="H2049" s="36" t="s">
        <v>1079</v>
      </c>
      <c r="I2049" s="35"/>
      <c r="J2049" s="36" t="s">
        <v>929</v>
      </c>
      <c r="K2049" s="33" t="s">
        <v>916</v>
      </c>
      <c r="L2049" s="35" t="s">
        <v>916</v>
      </c>
      <c r="M2049" s="36" t="s">
        <v>916</v>
      </c>
      <c r="N2049" s="45">
        <v>46022</v>
      </c>
      <c r="O2049" s="36" t="s">
        <v>25</v>
      </c>
      <c r="P2049" s="38">
        <v>106.3167013889</v>
      </c>
      <c r="Q2049" s="39" t="s">
        <v>7239</v>
      </c>
      <c r="R2049" s="35" t="s">
        <v>916</v>
      </c>
      <c r="S2049" s="35" t="s">
        <v>7240</v>
      </c>
      <c r="T2049" s="35" t="s">
        <v>1624</v>
      </c>
      <c r="U2049" s="40">
        <v>45916</v>
      </c>
      <c r="V2049" s="41">
        <v>46153.533043981479</v>
      </c>
      <c r="W2049" s="40">
        <v>45915</v>
      </c>
      <c r="X2049" s="35" t="s">
        <v>916</v>
      </c>
      <c r="Y2049" s="35" t="s">
        <v>916</v>
      </c>
      <c r="Z2049" s="35" t="s">
        <v>916</v>
      </c>
      <c r="AA2049" s="38">
        <v>2551.6008333335999</v>
      </c>
      <c r="AB2049" s="42" t="s">
        <v>916</v>
      </c>
      <c r="AC2049" s="43" t="s">
        <v>916</v>
      </c>
      <c r="AD2049" s="43" t="s">
        <v>916</v>
      </c>
      <c r="AE2049" s="33" t="s">
        <v>3982</v>
      </c>
      <c r="AF2049" s="35" t="s">
        <v>916</v>
      </c>
      <c r="AG2049" s="44">
        <v>1470739.4991666665</v>
      </c>
      <c r="AH2049" s="42" t="s">
        <v>916</v>
      </c>
      <c r="AI2049" s="32" t="e">
        <f>VLOOKUP(A2049,'4月明細'!B:B,1,0)</f>
        <v>#N/A</v>
      </c>
    </row>
    <row r="2050" spans="1:35" ht="19.95" customHeight="1" x14ac:dyDescent="0.3">
      <c r="A2050" s="33" t="s">
        <v>7241</v>
      </c>
      <c r="B2050" s="34">
        <v>45915.683032407411</v>
      </c>
      <c r="C2050" s="34" t="str">
        <f t="shared" si="44"/>
        <v>202509</v>
      </c>
      <c r="D2050" s="35" t="s">
        <v>951</v>
      </c>
      <c r="E2050" s="36" t="s">
        <v>910</v>
      </c>
      <c r="F2050" s="36" t="s">
        <v>1950</v>
      </c>
      <c r="G2050" s="37" t="s">
        <v>7242</v>
      </c>
      <c r="H2050" s="36" t="s">
        <v>1079</v>
      </c>
      <c r="I2050" s="35"/>
      <c r="J2050" s="36" t="s">
        <v>929</v>
      </c>
      <c r="K2050" s="33" t="s">
        <v>916</v>
      </c>
      <c r="L2050" s="35" t="s">
        <v>916</v>
      </c>
      <c r="M2050" s="36" t="s">
        <v>1135</v>
      </c>
      <c r="N2050" s="45">
        <v>46022</v>
      </c>
      <c r="O2050" s="36" t="s">
        <v>25</v>
      </c>
      <c r="P2050" s="38">
        <v>106.31696759259999</v>
      </c>
      <c r="Q2050" s="39" t="s">
        <v>7243</v>
      </c>
      <c r="R2050" s="35" t="s">
        <v>916</v>
      </c>
      <c r="S2050" s="35"/>
      <c r="T2050" s="35" t="s">
        <v>1624</v>
      </c>
      <c r="U2050" s="40">
        <v>45916</v>
      </c>
      <c r="V2050" s="41">
        <v>46153.533043981479</v>
      </c>
      <c r="W2050" s="40">
        <v>45915</v>
      </c>
      <c r="X2050" s="35" t="s">
        <v>916</v>
      </c>
      <c r="Y2050" s="35" t="s">
        <v>916</v>
      </c>
      <c r="Z2050" s="35" t="s">
        <v>916</v>
      </c>
      <c r="AA2050" s="38">
        <v>2551.6072222224002</v>
      </c>
      <c r="AB2050" s="42" t="s">
        <v>916</v>
      </c>
      <c r="AC2050" s="43" t="s">
        <v>916</v>
      </c>
      <c r="AD2050" s="43" t="s">
        <v>916</v>
      </c>
      <c r="AE2050" s="33" t="s">
        <v>3982</v>
      </c>
      <c r="AF2050" s="35" t="s">
        <v>916</v>
      </c>
      <c r="AG2050" s="44">
        <v>979521.69277777767</v>
      </c>
      <c r="AH2050" s="42" t="s">
        <v>916</v>
      </c>
      <c r="AI2050" s="32" t="e">
        <f>VLOOKUP(A2050,'4月明細'!B:B,1,0)</f>
        <v>#N/A</v>
      </c>
    </row>
    <row r="2051" spans="1:35" ht="19.95" customHeight="1" x14ac:dyDescent="0.3">
      <c r="A2051" s="33" t="s">
        <v>7244</v>
      </c>
      <c r="B2051" s="34">
        <v>45915.573750000003</v>
      </c>
      <c r="C2051" s="34" t="str">
        <f t="shared" ref="C2051:C2114" si="45">TEXT(B2051,"YYYYMM")</f>
        <v>202509</v>
      </c>
      <c r="D2051" s="35" t="s">
        <v>951</v>
      </c>
      <c r="E2051" s="36" t="s">
        <v>910</v>
      </c>
      <c r="F2051" s="36" t="s">
        <v>1021</v>
      </c>
      <c r="G2051" s="37" t="s">
        <v>7245</v>
      </c>
      <c r="H2051" s="36" t="s">
        <v>1079</v>
      </c>
      <c r="I2051" s="35"/>
      <c r="J2051" s="36" t="s">
        <v>929</v>
      </c>
      <c r="K2051" s="33" t="s">
        <v>916</v>
      </c>
      <c r="L2051" s="35" t="s">
        <v>916</v>
      </c>
      <c r="M2051" s="36" t="s">
        <v>916</v>
      </c>
      <c r="N2051" s="45">
        <v>46022</v>
      </c>
      <c r="O2051" s="36" t="s">
        <v>25</v>
      </c>
      <c r="P2051" s="38">
        <v>106.42625</v>
      </c>
      <c r="Q2051" s="39" t="s">
        <v>7246</v>
      </c>
      <c r="R2051" s="35" t="s">
        <v>916</v>
      </c>
      <c r="S2051" s="35"/>
      <c r="T2051" s="35" t="s">
        <v>1624</v>
      </c>
      <c r="U2051" s="40">
        <v>45916</v>
      </c>
      <c r="V2051" s="41">
        <v>46153.533043981479</v>
      </c>
      <c r="W2051" s="40">
        <v>45915</v>
      </c>
      <c r="X2051" s="35" t="s">
        <v>916</v>
      </c>
      <c r="Y2051" s="35" t="s">
        <v>916</v>
      </c>
      <c r="Z2051" s="35" t="s">
        <v>916</v>
      </c>
      <c r="AA2051" s="38">
        <v>2554.23</v>
      </c>
      <c r="AB2051" s="42" t="s">
        <v>916</v>
      </c>
      <c r="AC2051" s="43" t="s">
        <v>916</v>
      </c>
      <c r="AD2051" s="43" t="s">
        <v>916</v>
      </c>
      <c r="AE2051" s="33" t="s">
        <v>3982</v>
      </c>
      <c r="AF2051" s="35" t="s">
        <v>916</v>
      </c>
      <c r="AG2051" s="44">
        <v>979519.10333333327</v>
      </c>
      <c r="AH2051" s="42" t="s">
        <v>916</v>
      </c>
      <c r="AI2051" s="32" t="e">
        <f>VLOOKUP(A2051,'4月明細'!B:B,1,0)</f>
        <v>#N/A</v>
      </c>
    </row>
    <row r="2052" spans="1:35" ht="19.95" customHeight="1" x14ac:dyDescent="0.3">
      <c r="A2052" s="33" t="s">
        <v>7247</v>
      </c>
      <c r="B2052" s="34">
        <v>45915.573472222219</v>
      </c>
      <c r="C2052" s="34" t="str">
        <f t="shared" si="45"/>
        <v>202509</v>
      </c>
      <c r="D2052" s="35" t="s">
        <v>951</v>
      </c>
      <c r="E2052" s="36" t="s">
        <v>910</v>
      </c>
      <c r="F2052" s="36" t="s">
        <v>1225</v>
      </c>
      <c r="G2052" s="37" t="s">
        <v>7248</v>
      </c>
      <c r="H2052" s="36" t="s">
        <v>1079</v>
      </c>
      <c r="I2052" s="35"/>
      <c r="J2052" s="36" t="s">
        <v>914</v>
      </c>
      <c r="K2052" s="33" t="s">
        <v>916</v>
      </c>
      <c r="L2052" s="35" t="s">
        <v>916</v>
      </c>
      <c r="M2052" s="36" t="s">
        <v>916</v>
      </c>
      <c r="N2052" s="45">
        <v>46022</v>
      </c>
      <c r="O2052" s="36" t="s">
        <v>25</v>
      </c>
      <c r="P2052" s="38">
        <v>106.4265277778</v>
      </c>
      <c r="Q2052" s="39" t="s">
        <v>1376</v>
      </c>
      <c r="R2052" s="35" t="s">
        <v>916</v>
      </c>
      <c r="S2052" s="35" t="s">
        <v>7249</v>
      </c>
      <c r="T2052" s="35" t="s">
        <v>1701</v>
      </c>
      <c r="U2052" s="40">
        <v>45916</v>
      </c>
      <c r="V2052" s="41">
        <v>46153.533043981479</v>
      </c>
      <c r="W2052" s="40">
        <v>45915</v>
      </c>
      <c r="X2052" s="35" t="s">
        <v>916</v>
      </c>
      <c r="Y2052" s="35" t="s">
        <v>916</v>
      </c>
      <c r="Z2052" s="35" t="s">
        <v>916</v>
      </c>
      <c r="AA2052" s="38">
        <v>2554.2366666672001</v>
      </c>
      <c r="AB2052" s="42" t="s">
        <v>916</v>
      </c>
      <c r="AC2052" s="43" t="s">
        <v>916</v>
      </c>
      <c r="AD2052" s="43" t="s">
        <v>916</v>
      </c>
      <c r="AE2052" s="33" t="s">
        <v>3982</v>
      </c>
      <c r="AF2052" s="35" t="s">
        <v>916</v>
      </c>
      <c r="AG2052" s="44">
        <v>488317.76333333331</v>
      </c>
      <c r="AH2052" s="42" t="s">
        <v>916</v>
      </c>
      <c r="AI2052" s="32" t="e">
        <f>VLOOKUP(A2052,'4月明細'!B:B,1,0)</f>
        <v>#N/A</v>
      </c>
    </row>
    <row r="2053" spans="1:35" ht="19.95" customHeight="1" x14ac:dyDescent="0.3">
      <c r="A2053" s="33" t="s">
        <v>7250</v>
      </c>
      <c r="B2053" s="34">
        <v>45915.466203703705</v>
      </c>
      <c r="C2053" s="34" t="str">
        <f t="shared" si="45"/>
        <v>202509</v>
      </c>
      <c r="D2053" s="35" t="s">
        <v>951</v>
      </c>
      <c r="E2053" s="36" t="s">
        <v>910</v>
      </c>
      <c r="F2053" s="36" t="s">
        <v>1304</v>
      </c>
      <c r="G2053" s="37" t="s">
        <v>7251</v>
      </c>
      <c r="H2053" s="36" t="s">
        <v>1048</v>
      </c>
      <c r="I2053" s="35" t="s">
        <v>7252</v>
      </c>
      <c r="J2053" s="36" t="s">
        <v>914</v>
      </c>
      <c r="K2053" s="33" t="s">
        <v>916</v>
      </c>
      <c r="L2053" s="35" t="s">
        <v>916</v>
      </c>
      <c r="M2053" s="36" t="s">
        <v>916</v>
      </c>
      <c r="N2053" s="45">
        <v>46022</v>
      </c>
      <c r="O2053" s="36" t="s">
        <v>25</v>
      </c>
      <c r="P2053" s="38">
        <v>106.5337962963</v>
      </c>
      <c r="Q2053" s="39" t="s">
        <v>1366</v>
      </c>
      <c r="R2053" s="35" t="s">
        <v>916</v>
      </c>
      <c r="S2053" s="35" t="s">
        <v>7253</v>
      </c>
      <c r="T2053" s="35" t="s">
        <v>1701</v>
      </c>
      <c r="U2053" s="40">
        <v>45916</v>
      </c>
      <c r="V2053" s="41">
        <v>46153.533043981479</v>
      </c>
      <c r="W2053" s="40">
        <v>45915</v>
      </c>
      <c r="X2053" s="35" t="s">
        <v>916</v>
      </c>
      <c r="Y2053" s="35" t="s">
        <v>916</v>
      </c>
      <c r="Z2053" s="35" t="s">
        <v>916</v>
      </c>
      <c r="AA2053" s="38">
        <v>2556.8111111111998</v>
      </c>
      <c r="AB2053" s="42" t="s">
        <v>916</v>
      </c>
      <c r="AC2053" s="43" t="s">
        <v>916</v>
      </c>
      <c r="AD2053" s="43" t="s">
        <v>916</v>
      </c>
      <c r="AE2053" s="33" t="s">
        <v>3982</v>
      </c>
      <c r="AF2053" s="35" t="s">
        <v>916</v>
      </c>
      <c r="AG2053" s="44">
        <v>488315.18888888892</v>
      </c>
      <c r="AH2053" s="42" t="s">
        <v>916</v>
      </c>
      <c r="AI2053" s="32" t="e">
        <f>VLOOKUP(A2053,'4月明細'!B:B,1,0)</f>
        <v>#N/A</v>
      </c>
    </row>
    <row r="2054" spans="1:35" ht="19.95" customHeight="1" x14ac:dyDescent="0.3">
      <c r="A2054" s="33" t="s">
        <v>7254</v>
      </c>
      <c r="B2054" s="34">
        <v>45915.459664351853</v>
      </c>
      <c r="C2054" s="34" t="str">
        <f t="shared" si="45"/>
        <v>202509</v>
      </c>
      <c r="D2054" s="35" t="s">
        <v>951</v>
      </c>
      <c r="E2054" s="36" t="s">
        <v>910</v>
      </c>
      <c r="F2054" s="36" t="s">
        <v>1335</v>
      </c>
      <c r="G2054" s="37" t="s">
        <v>7255</v>
      </c>
      <c r="H2054" s="36" t="s">
        <v>4185</v>
      </c>
      <c r="I2054" s="35"/>
      <c r="J2054" s="36" t="s">
        <v>914</v>
      </c>
      <c r="K2054" s="33" t="s">
        <v>916</v>
      </c>
      <c r="L2054" s="35" t="s">
        <v>916</v>
      </c>
      <c r="M2054" s="36" t="s">
        <v>916</v>
      </c>
      <c r="N2054" s="45">
        <v>46022</v>
      </c>
      <c r="O2054" s="36" t="s">
        <v>25</v>
      </c>
      <c r="P2054" s="38">
        <v>106.5403356481</v>
      </c>
      <c r="Q2054" s="39" t="s">
        <v>1366</v>
      </c>
      <c r="R2054" s="35" t="s">
        <v>916</v>
      </c>
      <c r="S2054" s="35" t="s">
        <v>7256</v>
      </c>
      <c r="T2054" s="35" t="s">
        <v>1701</v>
      </c>
      <c r="U2054" s="40">
        <v>45916</v>
      </c>
      <c r="V2054" s="41">
        <v>46153.533043981479</v>
      </c>
      <c r="W2054" s="40">
        <v>45915</v>
      </c>
      <c r="X2054" s="35" t="s">
        <v>916</v>
      </c>
      <c r="Y2054" s="35" t="s">
        <v>916</v>
      </c>
      <c r="Z2054" s="35" t="s">
        <v>916</v>
      </c>
      <c r="AA2054" s="38">
        <v>2556.9680555544001</v>
      </c>
      <c r="AB2054" s="42" t="s">
        <v>916</v>
      </c>
      <c r="AC2054" s="43" t="s">
        <v>916</v>
      </c>
      <c r="AD2054" s="43" t="s">
        <v>916</v>
      </c>
      <c r="AE2054" s="33" t="s">
        <v>3982</v>
      </c>
      <c r="AF2054" s="35" t="s">
        <v>916</v>
      </c>
      <c r="AG2054" s="44">
        <v>488315.03194444452</v>
      </c>
      <c r="AH2054" s="42" t="s">
        <v>916</v>
      </c>
      <c r="AI2054" s="32" t="e">
        <f>VLOOKUP(A2054,'4月明細'!B:B,1,0)</f>
        <v>#N/A</v>
      </c>
    </row>
    <row r="2055" spans="1:35" ht="19.95" customHeight="1" x14ac:dyDescent="0.3">
      <c r="A2055" s="33" t="s">
        <v>7257</v>
      </c>
      <c r="B2055" s="34">
        <v>45915.371192129627</v>
      </c>
      <c r="C2055" s="34" t="str">
        <f t="shared" si="45"/>
        <v>202509</v>
      </c>
      <c r="D2055" s="35" t="s">
        <v>1597</v>
      </c>
      <c r="E2055" s="36" t="s">
        <v>1112</v>
      </c>
      <c r="F2055" s="36" t="s">
        <v>1720</v>
      </c>
      <c r="G2055" s="37" t="s">
        <v>7258</v>
      </c>
      <c r="H2055" s="36" t="s">
        <v>4196</v>
      </c>
      <c r="I2055" s="35"/>
      <c r="J2055" s="36" t="s">
        <v>945</v>
      </c>
      <c r="K2055" s="33" t="s">
        <v>916</v>
      </c>
      <c r="L2055" s="35" t="s">
        <v>916</v>
      </c>
      <c r="M2055" s="36" t="s">
        <v>916</v>
      </c>
      <c r="N2055" s="45">
        <v>46022</v>
      </c>
      <c r="O2055" s="36" t="s">
        <v>25</v>
      </c>
      <c r="P2055" s="38">
        <v>106.6288078704</v>
      </c>
      <c r="Q2055" s="39" t="s">
        <v>1366</v>
      </c>
      <c r="R2055" s="35" t="s">
        <v>916</v>
      </c>
      <c r="S2055" s="35" t="s">
        <v>7259</v>
      </c>
      <c r="T2055" s="35" t="s">
        <v>1701</v>
      </c>
      <c r="U2055" s="40">
        <v>45916</v>
      </c>
      <c r="V2055" s="41">
        <v>46153.533043981479</v>
      </c>
      <c r="W2055" s="40">
        <v>45915</v>
      </c>
      <c r="X2055" s="35" t="s">
        <v>916</v>
      </c>
      <c r="Y2055" s="35" t="s">
        <v>916</v>
      </c>
      <c r="Z2055" s="35" t="s">
        <v>916</v>
      </c>
      <c r="AA2055" s="38">
        <v>2559.0913888895998</v>
      </c>
      <c r="AB2055" s="42" t="s">
        <v>916</v>
      </c>
      <c r="AC2055" s="43" t="s">
        <v>916</v>
      </c>
      <c r="AD2055" s="43" t="s">
        <v>916</v>
      </c>
      <c r="AE2055" s="33" t="s">
        <v>3982</v>
      </c>
      <c r="AF2055" s="35" t="s">
        <v>916</v>
      </c>
      <c r="AG2055" s="44">
        <v>488312.90861111111</v>
      </c>
      <c r="AH2055" s="42" t="s">
        <v>916</v>
      </c>
      <c r="AI2055" s="32" t="e">
        <f>VLOOKUP(A2055,'4月明細'!B:B,1,0)</f>
        <v>#N/A</v>
      </c>
    </row>
    <row r="2056" spans="1:35" ht="19.95" customHeight="1" x14ac:dyDescent="0.3">
      <c r="A2056" s="33" t="s">
        <v>7260</v>
      </c>
      <c r="B2056" s="34">
        <v>45915.325844907406</v>
      </c>
      <c r="C2056" s="34" t="str">
        <f t="shared" si="45"/>
        <v>202509</v>
      </c>
      <c r="D2056" s="35" t="s">
        <v>7261</v>
      </c>
      <c r="E2056" s="36" t="s">
        <v>1112</v>
      </c>
      <c r="F2056" s="36" t="s">
        <v>1150</v>
      </c>
      <c r="G2056" s="37" t="s">
        <v>7262</v>
      </c>
      <c r="H2056" s="36" t="s">
        <v>1007</v>
      </c>
      <c r="I2056" s="35"/>
      <c r="J2056" s="36" t="s">
        <v>1058</v>
      </c>
      <c r="K2056" s="33" t="s">
        <v>916</v>
      </c>
      <c r="L2056" s="35" t="s">
        <v>916</v>
      </c>
      <c r="M2056" s="36" t="s">
        <v>916</v>
      </c>
      <c r="N2056" s="45">
        <v>46022</v>
      </c>
      <c r="O2056" s="36" t="s">
        <v>25</v>
      </c>
      <c r="P2056" s="38">
        <v>106.6741550926</v>
      </c>
      <c r="Q2056" s="39" t="s">
        <v>1772</v>
      </c>
      <c r="R2056" s="35" t="s">
        <v>916</v>
      </c>
      <c r="S2056" s="35"/>
      <c r="T2056" s="35" t="s">
        <v>1701</v>
      </c>
      <c r="U2056" s="40">
        <v>45916</v>
      </c>
      <c r="V2056" s="41">
        <v>46153.533043981479</v>
      </c>
      <c r="W2056" s="40">
        <v>45915</v>
      </c>
      <c r="X2056" s="35" t="s">
        <v>916</v>
      </c>
      <c r="Y2056" s="35" t="s">
        <v>916</v>
      </c>
      <c r="Z2056" s="35" t="s">
        <v>916</v>
      </c>
      <c r="AA2056" s="38">
        <v>2560.1797222224</v>
      </c>
      <c r="AB2056" s="42" t="s">
        <v>916</v>
      </c>
      <c r="AC2056" s="43" t="s">
        <v>916</v>
      </c>
      <c r="AD2056" s="43" t="s">
        <v>916</v>
      </c>
      <c r="AE2056" s="33" t="s">
        <v>3982</v>
      </c>
      <c r="AF2056" s="35" t="s">
        <v>916</v>
      </c>
      <c r="AG2056" s="44">
        <v>488311.82027777779</v>
      </c>
      <c r="AH2056" s="42" t="s">
        <v>916</v>
      </c>
      <c r="AI2056" s="32" t="e">
        <f>VLOOKUP(A2056,'4月明細'!B:B,1,0)</f>
        <v>#N/A</v>
      </c>
    </row>
    <row r="2057" spans="1:35" ht="19.95" customHeight="1" x14ac:dyDescent="0.3">
      <c r="A2057" s="33" t="s">
        <v>7263</v>
      </c>
      <c r="B2057" s="34">
        <v>45914.919444444444</v>
      </c>
      <c r="C2057" s="34" t="str">
        <f t="shared" si="45"/>
        <v>202509</v>
      </c>
      <c r="D2057" s="35" t="s">
        <v>5008</v>
      </c>
      <c r="E2057" s="36" t="s">
        <v>1112</v>
      </c>
      <c r="F2057" s="36" t="s">
        <v>1150</v>
      </c>
      <c r="G2057" s="37" t="s">
        <v>7264</v>
      </c>
      <c r="H2057" s="36" t="s">
        <v>1007</v>
      </c>
      <c r="I2057" s="35" t="s">
        <v>7265</v>
      </c>
      <c r="J2057" s="36" t="s">
        <v>938</v>
      </c>
      <c r="K2057" s="33" t="s">
        <v>916</v>
      </c>
      <c r="L2057" s="35" t="s">
        <v>916</v>
      </c>
      <c r="M2057" s="36" t="s">
        <v>916</v>
      </c>
      <c r="N2057" s="45">
        <v>46022</v>
      </c>
      <c r="O2057" s="36" t="s">
        <v>25</v>
      </c>
      <c r="P2057" s="38">
        <v>107.0805555556</v>
      </c>
      <c r="Q2057" s="39" t="s">
        <v>1772</v>
      </c>
      <c r="R2057" s="35" t="s">
        <v>916</v>
      </c>
      <c r="S2057" s="35"/>
      <c r="T2057" s="35" t="s">
        <v>1701</v>
      </c>
      <c r="U2057" s="40">
        <v>45915</v>
      </c>
      <c r="V2057" s="41">
        <v>46153.533043981479</v>
      </c>
      <c r="W2057" s="40">
        <v>45915</v>
      </c>
      <c r="X2057" s="35" t="s">
        <v>916</v>
      </c>
      <c r="Y2057" s="35" t="s">
        <v>916</v>
      </c>
      <c r="Z2057" s="35" t="s">
        <v>916</v>
      </c>
      <c r="AA2057" s="38">
        <v>2569.9333333343998</v>
      </c>
      <c r="AB2057" s="42" t="s">
        <v>916</v>
      </c>
      <c r="AC2057" s="43" t="s">
        <v>916</v>
      </c>
      <c r="AD2057" s="43" t="s">
        <v>916</v>
      </c>
      <c r="AE2057" s="33" t="s">
        <v>3982</v>
      </c>
      <c r="AF2057" s="35" t="s">
        <v>916</v>
      </c>
      <c r="AG2057" s="44">
        <v>488302.06666666671</v>
      </c>
      <c r="AH2057" s="42" t="s">
        <v>916</v>
      </c>
      <c r="AI2057" s="32" t="e">
        <f>VLOOKUP(A2057,'4月明細'!B:B,1,0)</f>
        <v>#N/A</v>
      </c>
    </row>
    <row r="2058" spans="1:35" ht="19.95" customHeight="1" x14ac:dyDescent="0.3">
      <c r="A2058" s="33" t="s">
        <v>7266</v>
      </c>
      <c r="B2058" s="34">
        <v>45914.891238425924</v>
      </c>
      <c r="C2058" s="34" t="str">
        <f t="shared" si="45"/>
        <v>202509</v>
      </c>
      <c r="D2058" s="35" t="s">
        <v>5008</v>
      </c>
      <c r="E2058" s="36" t="s">
        <v>1112</v>
      </c>
      <c r="F2058" s="36" t="s">
        <v>1745</v>
      </c>
      <c r="G2058" s="37" t="s">
        <v>2197</v>
      </c>
      <c r="H2058" s="36" t="s">
        <v>956</v>
      </c>
      <c r="I2058" s="35"/>
      <c r="J2058" s="36" t="s">
        <v>1058</v>
      </c>
      <c r="K2058" s="33" t="s">
        <v>916</v>
      </c>
      <c r="L2058" s="35" t="s">
        <v>916</v>
      </c>
      <c r="M2058" s="36" t="s">
        <v>916</v>
      </c>
      <c r="N2058" s="45">
        <v>46022</v>
      </c>
      <c r="O2058" s="36" t="s">
        <v>25</v>
      </c>
      <c r="P2058" s="38">
        <v>107.1087615741</v>
      </c>
      <c r="Q2058" s="39" t="s">
        <v>1772</v>
      </c>
      <c r="R2058" s="35" t="s">
        <v>916</v>
      </c>
      <c r="S2058" s="35"/>
      <c r="T2058" s="35" t="s">
        <v>1701</v>
      </c>
      <c r="U2058" s="40">
        <v>45915</v>
      </c>
      <c r="V2058" s="41">
        <v>46153.533043981479</v>
      </c>
      <c r="W2058" s="40">
        <v>45915</v>
      </c>
      <c r="X2058" s="35" t="s">
        <v>916</v>
      </c>
      <c r="Y2058" s="35" t="s">
        <v>916</v>
      </c>
      <c r="Z2058" s="35" t="s">
        <v>916</v>
      </c>
      <c r="AA2058" s="38">
        <v>2570.6102777783999</v>
      </c>
      <c r="AB2058" s="42" t="s">
        <v>916</v>
      </c>
      <c r="AC2058" s="43" t="s">
        <v>916</v>
      </c>
      <c r="AD2058" s="43" t="s">
        <v>916</v>
      </c>
      <c r="AE2058" s="33" t="s">
        <v>3982</v>
      </c>
      <c r="AF2058" s="35" t="s">
        <v>916</v>
      </c>
      <c r="AG2058" s="44">
        <v>488301.38972222217</v>
      </c>
      <c r="AH2058" s="42" t="s">
        <v>916</v>
      </c>
      <c r="AI2058" s="32" t="e">
        <f>VLOOKUP(A2058,'4月明細'!B:B,1,0)</f>
        <v>#N/A</v>
      </c>
    </row>
    <row r="2059" spans="1:35" ht="19.95" customHeight="1" x14ac:dyDescent="0.3">
      <c r="A2059" s="33" t="s">
        <v>7267</v>
      </c>
      <c r="B2059" s="34">
        <v>45914.883634259262</v>
      </c>
      <c r="C2059" s="34" t="str">
        <f t="shared" si="45"/>
        <v>202509</v>
      </c>
      <c r="D2059" s="35" t="s">
        <v>1747</v>
      </c>
      <c r="E2059" s="36" t="s">
        <v>1112</v>
      </c>
      <c r="F2059" s="36" t="s">
        <v>1745</v>
      </c>
      <c r="G2059" s="37" t="s">
        <v>2197</v>
      </c>
      <c r="H2059" s="36" t="s">
        <v>956</v>
      </c>
      <c r="I2059" s="35"/>
      <c r="J2059" s="36" t="s">
        <v>938</v>
      </c>
      <c r="K2059" s="33" t="s">
        <v>916</v>
      </c>
      <c r="L2059" s="35" t="s">
        <v>916</v>
      </c>
      <c r="M2059" s="36" t="s">
        <v>916</v>
      </c>
      <c r="N2059" s="45">
        <v>46022</v>
      </c>
      <c r="O2059" s="36" t="s">
        <v>25</v>
      </c>
      <c r="P2059" s="38">
        <v>107.1163657407</v>
      </c>
      <c r="Q2059" s="39" t="s">
        <v>1772</v>
      </c>
      <c r="R2059" s="35" t="s">
        <v>916</v>
      </c>
      <c r="S2059" s="35"/>
      <c r="T2059" s="35" t="s">
        <v>1701</v>
      </c>
      <c r="U2059" s="40">
        <v>45915</v>
      </c>
      <c r="V2059" s="41">
        <v>46153.533043981479</v>
      </c>
      <c r="W2059" s="40">
        <v>45915</v>
      </c>
      <c r="X2059" s="35" t="s">
        <v>916</v>
      </c>
      <c r="Y2059" s="35" t="s">
        <v>916</v>
      </c>
      <c r="Z2059" s="35" t="s">
        <v>916</v>
      </c>
      <c r="AA2059" s="38">
        <v>2570.7927777768</v>
      </c>
      <c r="AB2059" s="42" t="s">
        <v>916</v>
      </c>
      <c r="AC2059" s="43" t="s">
        <v>916</v>
      </c>
      <c r="AD2059" s="43" t="s">
        <v>916</v>
      </c>
      <c r="AE2059" s="33" t="s">
        <v>3982</v>
      </c>
      <c r="AF2059" s="35" t="s">
        <v>916</v>
      </c>
      <c r="AG2059" s="44">
        <v>488301.20722222218</v>
      </c>
      <c r="AH2059" s="42" t="s">
        <v>916</v>
      </c>
      <c r="AI2059" s="32" t="e">
        <f>VLOOKUP(A2059,'4月明細'!B:B,1,0)</f>
        <v>#N/A</v>
      </c>
    </row>
    <row r="2060" spans="1:35" ht="19.95" customHeight="1" x14ac:dyDescent="0.3">
      <c r="A2060" s="33" t="s">
        <v>7268</v>
      </c>
      <c r="B2060" s="34">
        <v>45914.719039351854</v>
      </c>
      <c r="C2060" s="34" t="str">
        <f t="shared" si="45"/>
        <v>202509</v>
      </c>
      <c r="D2060" s="35" t="s">
        <v>6847</v>
      </c>
      <c r="E2060" s="36" t="s">
        <v>910</v>
      </c>
      <c r="F2060" s="36" t="s">
        <v>1222</v>
      </c>
      <c r="G2060" s="37" t="s">
        <v>7269</v>
      </c>
      <c r="H2060" s="36" t="s">
        <v>1043</v>
      </c>
      <c r="I2060" s="35"/>
      <c r="J2060" s="36" t="s">
        <v>929</v>
      </c>
      <c r="K2060" s="33" t="s">
        <v>916</v>
      </c>
      <c r="L2060" s="35" t="s">
        <v>916</v>
      </c>
      <c r="M2060" s="36" t="s">
        <v>916</v>
      </c>
      <c r="N2060" s="45">
        <v>46022</v>
      </c>
      <c r="O2060" s="36" t="s">
        <v>25</v>
      </c>
      <c r="P2060" s="38">
        <v>107.28096064810001</v>
      </c>
      <c r="Q2060" s="39" t="s">
        <v>1328</v>
      </c>
      <c r="R2060" s="35" t="s">
        <v>916</v>
      </c>
      <c r="S2060" s="35" t="s">
        <v>7270</v>
      </c>
      <c r="T2060" s="35" t="s">
        <v>1701</v>
      </c>
      <c r="U2060" s="40">
        <v>45915</v>
      </c>
      <c r="V2060" s="41">
        <v>46153.533043981479</v>
      </c>
      <c r="W2060" s="40">
        <v>45914</v>
      </c>
      <c r="X2060" s="35" t="s">
        <v>916</v>
      </c>
      <c r="Y2060" s="35" t="s">
        <v>916</v>
      </c>
      <c r="Z2060" s="35" t="s">
        <v>916</v>
      </c>
      <c r="AA2060" s="38">
        <v>2574.7430555544001</v>
      </c>
      <c r="AB2060" s="42" t="s">
        <v>916</v>
      </c>
      <c r="AC2060" s="43" t="s">
        <v>916</v>
      </c>
      <c r="AD2060" s="43" t="s">
        <v>916</v>
      </c>
      <c r="AE2060" s="33" t="s">
        <v>3982</v>
      </c>
      <c r="AF2060" s="35" t="s">
        <v>916</v>
      </c>
      <c r="AG2060" s="44">
        <v>488297.25694444438</v>
      </c>
      <c r="AH2060" s="42" t="s">
        <v>916</v>
      </c>
      <c r="AI2060" s="32" t="e">
        <f>VLOOKUP(A2060,'4月明細'!B:B,1,0)</f>
        <v>#N/A</v>
      </c>
    </row>
    <row r="2061" spans="1:35" ht="19.95" customHeight="1" x14ac:dyDescent="0.3">
      <c r="A2061" s="33" t="s">
        <v>7271</v>
      </c>
      <c r="B2061" s="34">
        <v>45914.708587962959</v>
      </c>
      <c r="C2061" s="34" t="str">
        <f t="shared" si="45"/>
        <v>202509</v>
      </c>
      <c r="D2061" s="35" t="s">
        <v>5008</v>
      </c>
      <c r="E2061" s="36" t="s">
        <v>1112</v>
      </c>
      <c r="F2061" s="36" t="s">
        <v>5853</v>
      </c>
      <c r="G2061" s="37" t="s">
        <v>7264</v>
      </c>
      <c r="H2061" s="36" t="s">
        <v>1007</v>
      </c>
      <c r="I2061" s="35" t="s">
        <v>7272</v>
      </c>
      <c r="J2061" s="36" t="s">
        <v>938</v>
      </c>
      <c r="K2061" s="33" t="s">
        <v>916</v>
      </c>
      <c r="L2061" s="35" t="s">
        <v>916</v>
      </c>
      <c r="M2061" s="36" t="s">
        <v>916</v>
      </c>
      <c r="N2061" s="45">
        <v>46022</v>
      </c>
      <c r="O2061" s="36" t="s">
        <v>25</v>
      </c>
      <c r="P2061" s="38">
        <v>107.291412037</v>
      </c>
      <c r="Q2061" s="39" t="s">
        <v>1772</v>
      </c>
      <c r="R2061" s="35" t="s">
        <v>916</v>
      </c>
      <c r="S2061" s="35"/>
      <c r="T2061" s="35" t="s">
        <v>1701</v>
      </c>
      <c r="U2061" s="40">
        <v>45915</v>
      </c>
      <c r="V2061" s="41">
        <v>46153.533043981479</v>
      </c>
      <c r="W2061" s="40">
        <v>45914</v>
      </c>
      <c r="X2061" s="35" t="s">
        <v>916</v>
      </c>
      <c r="Y2061" s="35" t="s">
        <v>916</v>
      </c>
      <c r="Z2061" s="35" t="s">
        <v>916</v>
      </c>
      <c r="AA2061" s="38">
        <v>2574.9938888880001</v>
      </c>
      <c r="AB2061" s="42" t="s">
        <v>916</v>
      </c>
      <c r="AC2061" s="43" t="s">
        <v>916</v>
      </c>
      <c r="AD2061" s="43" t="s">
        <v>916</v>
      </c>
      <c r="AE2061" s="33" t="s">
        <v>3982</v>
      </c>
      <c r="AF2061" s="35" t="s">
        <v>916</v>
      </c>
      <c r="AG2061" s="44">
        <v>488297.00611111108</v>
      </c>
      <c r="AH2061" s="42" t="s">
        <v>916</v>
      </c>
      <c r="AI2061" s="32" t="e">
        <f>VLOOKUP(A2061,'4月明細'!B:B,1,0)</f>
        <v>#N/A</v>
      </c>
    </row>
    <row r="2062" spans="1:35" ht="19.95" customHeight="1" x14ac:dyDescent="0.3">
      <c r="A2062" s="33" t="s">
        <v>7273</v>
      </c>
      <c r="B2062" s="34">
        <v>45914.673483796294</v>
      </c>
      <c r="C2062" s="34" t="str">
        <f t="shared" si="45"/>
        <v>202509</v>
      </c>
      <c r="D2062" s="35" t="s">
        <v>6847</v>
      </c>
      <c r="E2062" s="36" t="s">
        <v>910</v>
      </c>
      <c r="F2062" s="36" t="s">
        <v>1068</v>
      </c>
      <c r="G2062" s="37" t="s">
        <v>7274</v>
      </c>
      <c r="H2062" s="36" t="s">
        <v>4162</v>
      </c>
      <c r="I2062" s="35" t="s">
        <v>7275</v>
      </c>
      <c r="J2062" s="36" t="s">
        <v>929</v>
      </c>
      <c r="K2062" s="33" t="s">
        <v>916</v>
      </c>
      <c r="L2062" s="35" t="s">
        <v>916</v>
      </c>
      <c r="M2062" s="36" t="s">
        <v>916</v>
      </c>
      <c r="N2062" s="45">
        <v>46022</v>
      </c>
      <c r="O2062" s="36" t="s">
        <v>25</v>
      </c>
      <c r="P2062" s="38">
        <v>107.3265162037</v>
      </c>
      <c r="Q2062" s="39" t="s">
        <v>5039</v>
      </c>
      <c r="R2062" s="35" t="s">
        <v>916</v>
      </c>
      <c r="S2062" s="35"/>
      <c r="T2062" s="35" t="s">
        <v>1701</v>
      </c>
      <c r="U2062" s="40">
        <v>45915</v>
      </c>
      <c r="V2062" s="41">
        <v>46153.533043981479</v>
      </c>
      <c r="W2062" s="40">
        <v>45914</v>
      </c>
      <c r="X2062" s="35" t="s">
        <v>916</v>
      </c>
      <c r="Y2062" s="35" t="s">
        <v>916</v>
      </c>
      <c r="Z2062" s="35" t="s">
        <v>916</v>
      </c>
      <c r="AA2062" s="38">
        <v>2575.8363888887998</v>
      </c>
      <c r="AB2062" s="42" t="s">
        <v>916</v>
      </c>
      <c r="AC2062" s="43" t="s">
        <v>916</v>
      </c>
      <c r="AD2062" s="43" t="s">
        <v>916</v>
      </c>
      <c r="AE2062" s="33" t="s">
        <v>3982</v>
      </c>
      <c r="AF2062" s="35" t="s">
        <v>916</v>
      </c>
      <c r="AG2062" s="44">
        <v>488296.16361111111</v>
      </c>
      <c r="AH2062" s="42" t="s">
        <v>916</v>
      </c>
      <c r="AI2062" s="32" t="e">
        <f>VLOOKUP(A2062,'4月明細'!B:B,1,0)</f>
        <v>#N/A</v>
      </c>
    </row>
    <row r="2063" spans="1:35" ht="19.95" customHeight="1" x14ac:dyDescent="0.3">
      <c r="A2063" s="33" t="s">
        <v>7276</v>
      </c>
      <c r="B2063" s="34">
        <v>45914.506249999999</v>
      </c>
      <c r="C2063" s="34" t="str">
        <f t="shared" si="45"/>
        <v>202509</v>
      </c>
      <c r="D2063" s="35" t="s">
        <v>951</v>
      </c>
      <c r="E2063" s="36" t="s">
        <v>910</v>
      </c>
      <c r="F2063" s="36" t="s">
        <v>1095</v>
      </c>
      <c r="G2063" s="37" t="s">
        <v>7277</v>
      </c>
      <c r="H2063" s="36" t="s">
        <v>4804</v>
      </c>
      <c r="I2063" s="35" t="s">
        <v>7278</v>
      </c>
      <c r="J2063" s="36" t="s">
        <v>929</v>
      </c>
      <c r="K2063" s="33" t="s">
        <v>916</v>
      </c>
      <c r="L2063" s="35" t="s">
        <v>916</v>
      </c>
      <c r="M2063" s="36" t="s">
        <v>916</v>
      </c>
      <c r="N2063" s="45">
        <v>46022</v>
      </c>
      <c r="O2063" s="36" t="s">
        <v>25</v>
      </c>
      <c r="P2063" s="38">
        <v>107.49375000000001</v>
      </c>
      <c r="Q2063" s="39" t="s">
        <v>6582</v>
      </c>
      <c r="R2063" s="35" t="s">
        <v>916</v>
      </c>
      <c r="S2063" s="35" t="s">
        <v>7279</v>
      </c>
      <c r="T2063" s="35" t="s">
        <v>1701</v>
      </c>
      <c r="U2063" s="40">
        <v>45915</v>
      </c>
      <c r="V2063" s="41">
        <v>46153.533043981479</v>
      </c>
      <c r="W2063" s="40">
        <v>45914</v>
      </c>
      <c r="X2063" s="35" t="s">
        <v>916</v>
      </c>
      <c r="Y2063" s="35" t="s">
        <v>916</v>
      </c>
      <c r="Z2063" s="35" t="s">
        <v>916</v>
      </c>
      <c r="AA2063" s="38">
        <v>2579.85</v>
      </c>
      <c r="AB2063" s="42" t="s">
        <v>916</v>
      </c>
      <c r="AC2063" s="43" t="s">
        <v>916</v>
      </c>
      <c r="AD2063" s="43" t="s">
        <v>916</v>
      </c>
      <c r="AE2063" s="33" t="s">
        <v>3982</v>
      </c>
      <c r="AF2063" s="35" t="s">
        <v>916</v>
      </c>
      <c r="AG2063" s="44">
        <v>488292.15</v>
      </c>
      <c r="AH2063" s="42" t="s">
        <v>916</v>
      </c>
      <c r="AI2063" s="32" t="e">
        <f>VLOOKUP(A2063,'4月明細'!B:B,1,0)</f>
        <v>#N/A</v>
      </c>
    </row>
    <row r="2064" spans="1:35" ht="19.95" customHeight="1" x14ac:dyDescent="0.3">
      <c r="A2064" s="33" t="s">
        <v>7280</v>
      </c>
      <c r="B2064" s="34">
        <v>45914.47457175926</v>
      </c>
      <c r="C2064" s="34" t="str">
        <f t="shared" si="45"/>
        <v>202509</v>
      </c>
      <c r="D2064" s="35" t="s">
        <v>951</v>
      </c>
      <c r="E2064" s="36" t="s">
        <v>910</v>
      </c>
      <c r="F2064" s="36" t="s">
        <v>1537</v>
      </c>
      <c r="G2064" s="37" t="s">
        <v>7281</v>
      </c>
      <c r="H2064" s="36" t="s">
        <v>1079</v>
      </c>
      <c r="I2064" s="35"/>
      <c r="J2064" s="36" t="s">
        <v>929</v>
      </c>
      <c r="K2064" s="33" t="s">
        <v>916</v>
      </c>
      <c r="L2064" s="35" t="s">
        <v>916</v>
      </c>
      <c r="M2064" s="36" t="s">
        <v>916</v>
      </c>
      <c r="N2064" s="45">
        <v>46022</v>
      </c>
      <c r="O2064" s="36" t="s">
        <v>25</v>
      </c>
      <c r="P2064" s="38">
        <v>107.52542824069999</v>
      </c>
      <c r="Q2064" s="39" t="s">
        <v>7282</v>
      </c>
      <c r="R2064" s="35" t="s">
        <v>916</v>
      </c>
      <c r="S2064" s="35"/>
      <c r="T2064" s="35" t="s">
        <v>1701</v>
      </c>
      <c r="U2064" s="40">
        <v>45915</v>
      </c>
      <c r="V2064" s="41">
        <v>46153.533043981479</v>
      </c>
      <c r="W2064" s="40">
        <v>45914</v>
      </c>
      <c r="X2064" s="35" t="s">
        <v>916</v>
      </c>
      <c r="Y2064" s="35" t="s">
        <v>916</v>
      </c>
      <c r="Z2064" s="35" t="s">
        <v>916</v>
      </c>
      <c r="AA2064" s="38">
        <v>2580.6102777768001</v>
      </c>
      <c r="AB2064" s="42" t="s">
        <v>916</v>
      </c>
      <c r="AC2064" s="43" t="s">
        <v>916</v>
      </c>
      <c r="AD2064" s="43" t="s">
        <v>916</v>
      </c>
      <c r="AE2064" s="33" t="s">
        <v>3982</v>
      </c>
      <c r="AF2064" s="35" t="s">
        <v>916</v>
      </c>
      <c r="AG2064" s="44">
        <v>488291.38972222217</v>
      </c>
      <c r="AH2064" s="42" t="s">
        <v>916</v>
      </c>
      <c r="AI2064" s="32" t="e">
        <f>VLOOKUP(A2064,'4月明細'!B:B,1,0)</f>
        <v>#N/A</v>
      </c>
    </row>
    <row r="2065" spans="1:35" ht="19.95" customHeight="1" x14ac:dyDescent="0.3">
      <c r="A2065" s="33" t="s">
        <v>7283</v>
      </c>
      <c r="B2065" s="34">
        <v>45913.81994212963</v>
      </c>
      <c r="C2065" s="34" t="str">
        <f t="shared" si="45"/>
        <v>202509</v>
      </c>
      <c r="D2065" s="35" t="s">
        <v>7284</v>
      </c>
      <c r="E2065" s="36" t="s">
        <v>910</v>
      </c>
      <c r="F2065" s="36" t="s">
        <v>2017</v>
      </c>
      <c r="G2065" s="37" t="s">
        <v>7285</v>
      </c>
      <c r="H2065" s="36" t="s">
        <v>970</v>
      </c>
      <c r="I2065" s="35" t="s">
        <v>7286</v>
      </c>
      <c r="J2065" s="36" t="s">
        <v>914</v>
      </c>
      <c r="K2065" s="33" t="s">
        <v>916</v>
      </c>
      <c r="L2065" s="35" t="s">
        <v>916</v>
      </c>
      <c r="M2065" s="36" t="s">
        <v>916</v>
      </c>
      <c r="N2065" s="45">
        <v>46022</v>
      </c>
      <c r="O2065" s="36" t="s">
        <v>25</v>
      </c>
      <c r="P2065" s="38">
        <v>108.18005787040001</v>
      </c>
      <c r="Q2065" s="39" t="s">
        <v>7287</v>
      </c>
      <c r="R2065" s="35" t="s">
        <v>916</v>
      </c>
      <c r="S2065" s="35" t="s">
        <v>7286</v>
      </c>
      <c r="T2065" s="35" t="s">
        <v>1701</v>
      </c>
      <c r="U2065" s="40">
        <v>45914</v>
      </c>
      <c r="V2065" s="41">
        <v>46153.533043981479</v>
      </c>
      <c r="W2065" s="40">
        <v>45913</v>
      </c>
      <c r="X2065" s="35" t="s">
        <v>916</v>
      </c>
      <c r="Y2065" s="35" t="s">
        <v>916</v>
      </c>
      <c r="Z2065" s="35" t="s">
        <v>916</v>
      </c>
      <c r="AA2065" s="38">
        <v>2596.3213888895998</v>
      </c>
      <c r="AB2065" s="42" t="s">
        <v>916</v>
      </c>
      <c r="AC2065" s="43" t="s">
        <v>916</v>
      </c>
      <c r="AD2065" s="43" t="s">
        <v>916</v>
      </c>
      <c r="AE2065" s="33" t="s">
        <v>3982</v>
      </c>
      <c r="AF2065" s="35" t="s">
        <v>916</v>
      </c>
      <c r="AG2065" s="44">
        <v>488275.67861111113</v>
      </c>
      <c r="AH2065" s="42" t="s">
        <v>916</v>
      </c>
      <c r="AI2065" s="32" t="e">
        <f>VLOOKUP(A2065,'4月明細'!B:B,1,0)</f>
        <v>#N/A</v>
      </c>
    </row>
    <row r="2066" spans="1:35" ht="19.95" customHeight="1" x14ac:dyDescent="0.3">
      <c r="A2066" s="33" t="s">
        <v>7288</v>
      </c>
      <c r="B2066" s="34">
        <v>45913.819409722222</v>
      </c>
      <c r="C2066" s="34" t="str">
        <f t="shared" si="45"/>
        <v>202509</v>
      </c>
      <c r="D2066" s="35" t="s">
        <v>7047</v>
      </c>
      <c r="E2066" s="36" t="s">
        <v>910</v>
      </c>
      <c r="F2066" s="36" t="s">
        <v>1568</v>
      </c>
      <c r="G2066" s="37" t="s">
        <v>7289</v>
      </c>
      <c r="H2066" s="36" t="s">
        <v>1048</v>
      </c>
      <c r="I2066" s="35" t="s">
        <v>7290</v>
      </c>
      <c r="J2066" s="36" t="s">
        <v>914</v>
      </c>
      <c r="K2066" s="33" t="s">
        <v>916</v>
      </c>
      <c r="L2066" s="35" t="s">
        <v>916</v>
      </c>
      <c r="M2066" s="36" t="s">
        <v>916</v>
      </c>
      <c r="N2066" s="45">
        <v>46022</v>
      </c>
      <c r="O2066" s="36" t="s">
        <v>25</v>
      </c>
      <c r="P2066" s="38">
        <v>108.18059027779999</v>
      </c>
      <c r="Q2066" s="39" t="s">
        <v>7291</v>
      </c>
      <c r="R2066" s="35" t="s">
        <v>916</v>
      </c>
      <c r="S2066" s="35" t="s">
        <v>7292</v>
      </c>
      <c r="T2066" s="35" t="s">
        <v>1701</v>
      </c>
      <c r="U2066" s="40">
        <v>45914</v>
      </c>
      <c r="V2066" s="41">
        <v>46153.533043981479</v>
      </c>
      <c r="W2066" s="40">
        <v>45913</v>
      </c>
      <c r="X2066" s="35" t="s">
        <v>916</v>
      </c>
      <c r="Y2066" s="35" t="s">
        <v>916</v>
      </c>
      <c r="Z2066" s="35" t="s">
        <v>916</v>
      </c>
      <c r="AA2066" s="38">
        <v>2596.3341666672</v>
      </c>
      <c r="AB2066" s="42" t="s">
        <v>916</v>
      </c>
      <c r="AC2066" s="43" t="s">
        <v>916</v>
      </c>
      <c r="AD2066" s="43" t="s">
        <v>916</v>
      </c>
      <c r="AE2066" s="33" t="s">
        <v>3982</v>
      </c>
      <c r="AF2066" s="35" t="s">
        <v>916</v>
      </c>
      <c r="AG2066" s="44">
        <v>488275.66583333327</v>
      </c>
      <c r="AH2066" s="42" t="s">
        <v>916</v>
      </c>
      <c r="AI2066" s="32" t="e">
        <f>VLOOKUP(A2066,'4月明細'!B:B,1,0)</f>
        <v>#N/A</v>
      </c>
    </row>
    <row r="2067" spans="1:35" ht="19.95" customHeight="1" x14ac:dyDescent="0.3">
      <c r="A2067" s="33" t="s">
        <v>7293</v>
      </c>
      <c r="B2067" s="34">
        <v>45913.57104166667</v>
      </c>
      <c r="C2067" s="34" t="str">
        <f t="shared" si="45"/>
        <v>202509</v>
      </c>
      <c r="D2067" s="35" t="s">
        <v>941</v>
      </c>
      <c r="E2067" s="36" t="s">
        <v>1112</v>
      </c>
      <c r="F2067" s="36" t="s">
        <v>1745</v>
      </c>
      <c r="G2067" s="37" t="s">
        <v>7294</v>
      </c>
      <c r="H2067" s="36" t="s">
        <v>956</v>
      </c>
      <c r="I2067" s="35"/>
      <c r="J2067" s="36" t="s">
        <v>945</v>
      </c>
      <c r="K2067" s="33" t="s">
        <v>916</v>
      </c>
      <c r="L2067" s="35" t="s">
        <v>916</v>
      </c>
      <c r="M2067" s="36" t="s">
        <v>916</v>
      </c>
      <c r="N2067" s="45">
        <v>46022</v>
      </c>
      <c r="O2067" s="36" t="s">
        <v>25</v>
      </c>
      <c r="P2067" s="38">
        <v>108.4289583333</v>
      </c>
      <c r="Q2067" s="39" t="s">
        <v>7295</v>
      </c>
      <c r="R2067" s="35" t="s">
        <v>916</v>
      </c>
      <c r="S2067" s="35"/>
      <c r="T2067" s="35" t="s">
        <v>1701</v>
      </c>
      <c r="U2067" s="40">
        <v>45914</v>
      </c>
      <c r="V2067" s="41">
        <v>46153.533043981479</v>
      </c>
      <c r="W2067" s="40">
        <v>45913</v>
      </c>
      <c r="X2067" s="35" t="s">
        <v>916</v>
      </c>
      <c r="Y2067" s="35" t="s">
        <v>916</v>
      </c>
      <c r="Z2067" s="35" t="s">
        <v>916</v>
      </c>
      <c r="AA2067" s="38">
        <v>2602.2949999992002</v>
      </c>
      <c r="AB2067" s="42" t="s">
        <v>916</v>
      </c>
      <c r="AC2067" s="43" t="s">
        <v>916</v>
      </c>
      <c r="AD2067" s="43" t="s">
        <v>916</v>
      </c>
      <c r="AE2067" s="33" t="s">
        <v>3982</v>
      </c>
      <c r="AF2067" s="35" t="s">
        <v>916</v>
      </c>
      <c r="AG2067" s="44">
        <v>488269.70500000002</v>
      </c>
      <c r="AH2067" s="42" t="s">
        <v>916</v>
      </c>
      <c r="AI2067" s="32" t="e">
        <f>VLOOKUP(A2067,'4月明細'!B:B,1,0)</f>
        <v>#N/A</v>
      </c>
    </row>
    <row r="2068" spans="1:35" ht="19.95" customHeight="1" x14ac:dyDescent="0.3">
      <c r="A2068" s="33" t="s">
        <v>7296</v>
      </c>
      <c r="B2068" s="34">
        <v>45913.512685185182</v>
      </c>
      <c r="C2068" s="34" t="str">
        <f t="shared" si="45"/>
        <v>202509</v>
      </c>
      <c r="D2068" s="35" t="s">
        <v>7284</v>
      </c>
      <c r="E2068" s="36" t="s">
        <v>910</v>
      </c>
      <c r="F2068" s="36" t="s">
        <v>1260</v>
      </c>
      <c r="G2068" s="37" t="s">
        <v>7297</v>
      </c>
      <c r="H2068" s="36" t="s">
        <v>3991</v>
      </c>
      <c r="I2068" s="35" t="s">
        <v>7298</v>
      </c>
      <c r="J2068" s="36" t="s">
        <v>914</v>
      </c>
      <c r="K2068" s="33" t="s">
        <v>916</v>
      </c>
      <c r="L2068" s="35" t="s">
        <v>916</v>
      </c>
      <c r="M2068" s="36" t="s">
        <v>916</v>
      </c>
      <c r="N2068" s="45">
        <v>46022</v>
      </c>
      <c r="O2068" s="36" t="s">
        <v>25</v>
      </c>
      <c r="P2068" s="38">
        <v>108.4873148148</v>
      </c>
      <c r="Q2068" s="39" t="s">
        <v>2303</v>
      </c>
      <c r="R2068" s="35" t="s">
        <v>916</v>
      </c>
      <c r="S2068" s="35"/>
      <c r="T2068" s="35" t="s">
        <v>1701</v>
      </c>
      <c r="U2068" s="40">
        <v>45914</v>
      </c>
      <c r="V2068" s="41">
        <v>46153.533043981479</v>
      </c>
      <c r="W2068" s="40">
        <v>45913</v>
      </c>
      <c r="X2068" s="35" t="s">
        <v>916</v>
      </c>
      <c r="Y2068" s="35" t="s">
        <v>916</v>
      </c>
      <c r="Z2068" s="35" t="s">
        <v>916</v>
      </c>
      <c r="AA2068" s="38">
        <v>2603.6955555551999</v>
      </c>
      <c r="AB2068" s="42" t="s">
        <v>916</v>
      </c>
      <c r="AC2068" s="43" t="s">
        <v>916</v>
      </c>
      <c r="AD2068" s="43" t="s">
        <v>916</v>
      </c>
      <c r="AE2068" s="33" t="s">
        <v>3982</v>
      </c>
      <c r="AF2068" s="35" t="s">
        <v>916</v>
      </c>
      <c r="AG2068" s="44">
        <v>488268.30444444448</v>
      </c>
      <c r="AH2068" s="42" t="s">
        <v>916</v>
      </c>
      <c r="AI2068" s="32" t="e">
        <f>VLOOKUP(A2068,'4月明細'!B:B,1,0)</f>
        <v>#N/A</v>
      </c>
    </row>
    <row r="2069" spans="1:35" ht="19.95" customHeight="1" x14ac:dyDescent="0.3">
      <c r="A2069" s="33" t="s">
        <v>7299</v>
      </c>
      <c r="B2069" s="34">
        <v>45913.512106481481</v>
      </c>
      <c r="C2069" s="34" t="str">
        <f t="shared" si="45"/>
        <v>202509</v>
      </c>
      <c r="D2069" s="35" t="s">
        <v>7284</v>
      </c>
      <c r="E2069" s="36" t="s">
        <v>910</v>
      </c>
      <c r="F2069" s="36" t="s">
        <v>1750</v>
      </c>
      <c r="G2069" s="37" t="s">
        <v>7300</v>
      </c>
      <c r="H2069" s="36" t="s">
        <v>1352</v>
      </c>
      <c r="I2069" s="35"/>
      <c r="J2069" s="36" t="s">
        <v>914</v>
      </c>
      <c r="K2069" s="33" t="s">
        <v>916</v>
      </c>
      <c r="L2069" s="35" t="s">
        <v>916</v>
      </c>
      <c r="M2069" s="36" t="s">
        <v>916</v>
      </c>
      <c r="N2069" s="45">
        <v>46022</v>
      </c>
      <c r="O2069" s="36" t="s">
        <v>25</v>
      </c>
      <c r="P2069" s="38">
        <v>108.4878935185</v>
      </c>
      <c r="Q2069" s="39" t="s">
        <v>7301</v>
      </c>
      <c r="R2069" s="35" t="s">
        <v>916</v>
      </c>
      <c r="S2069" s="35"/>
      <c r="T2069" s="35" t="s">
        <v>1701</v>
      </c>
      <c r="U2069" s="40">
        <v>45914</v>
      </c>
      <c r="V2069" s="41">
        <v>46153.533043981479</v>
      </c>
      <c r="W2069" s="40">
        <v>45913</v>
      </c>
      <c r="X2069" s="35" t="s">
        <v>916</v>
      </c>
      <c r="Y2069" s="35" t="s">
        <v>916</v>
      </c>
      <c r="Z2069" s="35" t="s">
        <v>916</v>
      </c>
      <c r="AA2069" s="38">
        <v>2603.7094444439999</v>
      </c>
      <c r="AB2069" s="42" t="s">
        <v>916</v>
      </c>
      <c r="AC2069" s="43" t="s">
        <v>916</v>
      </c>
      <c r="AD2069" s="43" t="s">
        <v>916</v>
      </c>
      <c r="AE2069" s="33" t="s">
        <v>3982</v>
      </c>
      <c r="AF2069" s="35" t="s">
        <v>916</v>
      </c>
      <c r="AG2069" s="44">
        <v>488268.29055555549</v>
      </c>
      <c r="AH2069" s="42" t="s">
        <v>916</v>
      </c>
      <c r="AI2069" s="32" t="e">
        <f>VLOOKUP(A2069,'4月明細'!B:B,1,0)</f>
        <v>#N/A</v>
      </c>
    </row>
    <row r="2070" spans="1:35" ht="19.95" customHeight="1" x14ac:dyDescent="0.3">
      <c r="A2070" s="33" t="s">
        <v>7302</v>
      </c>
      <c r="B2070" s="34">
        <v>45913.490277777775</v>
      </c>
      <c r="C2070" s="34" t="str">
        <f t="shared" si="45"/>
        <v>202509</v>
      </c>
      <c r="D2070" s="35" t="s">
        <v>7047</v>
      </c>
      <c r="E2070" s="36" t="s">
        <v>910</v>
      </c>
      <c r="F2070" s="36" t="s">
        <v>1750</v>
      </c>
      <c r="G2070" s="37" t="s">
        <v>7303</v>
      </c>
      <c r="H2070" s="36" t="s">
        <v>5940</v>
      </c>
      <c r="I2070" s="35" t="s">
        <v>7304</v>
      </c>
      <c r="J2070" s="36" t="s">
        <v>914</v>
      </c>
      <c r="K2070" s="33" t="s">
        <v>916</v>
      </c>
      <c r="L2070" s="35" t="s">
        <v>916</v>
      </c>
      <c r="M2070" s="36" t="s">
        <v>916</v>
      </c>
      <c r="N2070" s="45">
        <v>46022</v>
      </c>
      <c r="O2070" s="36" t="s">
        <v>25</v>
      </c>
      <c r="P2070" s="38">
        <v>108.5097222222</v>
      </c>
      <c r="Q2070" s="39" t="s">
        <v>6472</v>
      </c>
      <c r="R2070" s="35" t="s">
        <v>916</v>
      </c>
      <c r="S2070" s="35"/>
      <c r="T2070" s="35" t="s">
        <v>1701</v>
      </c>
      <c r="U2070" s="40">
        <v>45914</v>
      </c>
      <c r="V2070" s="41">
        <v>46153.533043981479</v>
      </c>
      <c r="W2070" s="40">
        <v>45913</v>
      </c>
      <c r="X2070" s="35" t="s">
        <v>916</v>
      </c>
      <c r="Y2070" s="35" t="s">
        <v>916</v>
      </c>
      <c r="Z2070" s="35" t="s">
        <v>916</v>
      </c>
      <c r="AA2070" s="38">
        <v>2604.2333333328002</v>
      </c>
      <c r="AB2070" s="42" t="s">
        <v>916</v>
      </c>
      <c r="AC2070" s="43" t="s">
        <v>916</v>
      </c>
      <c r="AD2070" s="43" t="s">
        <v>916</v>
      </c>
      <c r="AE2070" s="33" t="s">
        <v>3982</v>
      </c>
      <c r="AF2070" s="35" t="s">
        <v>916</v>
      </c>
      <c r="AG2070" s="44">
        <v>488267.76666666672</v>
      </c>
      <c r="AH2070" s="42" t="s">
        <v>916</v>
      </c>
      <c r="AI2070" s="32" t="e">
        <f>VLOOKUP(A2070,'4月明細'!B:B,1,0)</f>
        <v>#N/A</v>
      </c>
    </row>
    <row r="2071" spans="1:35" ht="19.95" customHeight="1" x14ac:dyDescent="0.3">
      <c r="A2071" s="33" t="s">
        <v>7305</v>
      </c>
      <c r="B2071" s="34">
        <v>45913.48810185185</v>
      </c>
      <c r="C2071" s="34" t="str">
        <f t="shared" si="45"/>
        <v>202509</v>
      </c>
      <c r="D2071" s="35" t="s">
        <v>7284</v>
      </c>
      <c r="E2071" s="36" t="s">
        <v>910</v>
      </c>
      <c r="F2071" s="36" t="s">
        <v>1830</v>
      </c>
      <c r="G2071" s="37" t="s">
        <v>7306</v>
      </c>
      <c r="H2071" s="36" t="s">
        <v>3991</v>
      </c>
      <c r="I2071" s="35"/>
      <c r="J2071" s="36" t="s">
        <v>914</v>
      </c>
      <c r="K2071" s="33" t="s">
        <v>916</v>
      </c>
      <c r="L2071" s="35" t="s">
        <v>916</v>
      </c>
      <c r="M2071" s="36" t="s">
        <v>916</v>
      </c>
      <c r="N2071" s="45">
        <v>46022</v>
      </c>
      <c r="O2071" s="36" t="s">
        <v>25</v>
      </c>
      <c r="P2071" s="38">
        <v>108.5118981481</v>
      </c>
      <c r="Q2071" s="39" t="s">
        <v>7307</v>
      </c>
      <c r="R2071" s="35" t="s">
        <v>916</v>
      </c>
      <c r="S2071" s="35"/>
      <c r="T2071" s="35" t="s">
        <v>1701</v>
      </c>
      <c r="U2071" s="40">
        <v>45914</v>
      </c>
      <c r="V2071" s="41">
        <v>46153.533043981479</v>
      </c>
      <c r="W2071" s="40">
        <v>45913</v>
      </c>
      <c r="X2071" s="35" t="s">
        <v>916</v>
      </c>
      <c r="Y2071" s="35" t="s">
        <v>916</v>
      </c>
      <c r="Z2071" s="35" t="s">
        <v>916</v>
      </c>
      <c r="AA2071" s="38">
        <v>2604.2855555544002</v>
      </c>
      <c r="AB2071" s="42" t="s">
        <v>916</v>
      </c>
      <c r="AC2071" s="43" t="s">
        <v>916</v>
      </c>
      <c r="AD2071" s="43" t="s">
        <v>916</v>
      </c>
      <c r="AE2071" s="33" t="s">
        <v>3982</v>
      </c>
      <c r="AF2071" s="35" t="s">
        <v>916</v>
      </c>
      <c r="AG2071" s="44">
        <v>488267.71444444451</v>
      </c>
      <c r="AH2071" s="42" t="s">
        <v>916</v>
      </c>
      <c r="AI2071" s="32" t="e">
        <f>VLOOKUP(A2071,'4月明細'!B:B,1,0)</f>
        <v>#N/A</v>
      </c>
    </row>
    <row r="2072" spans="1:35" ht="19.95" customHeight="1" x14ac:dyDescent="0.3">
      <c r="A2072" s="33" t="s">
        <v>7308</v>
      </c>
      <c r="B2072" s="34">
        <v>45913.487650462965</v>
      </c>
      <c r="C2072" s="34" t="str">
        <f t="shared" si="45"/>
        <v>202509</v>
      </c>
      <c r="D2072" s="35" t="s">
        <v>7284</v>
      </c>
      <c r="E2072" s="36" t="s">
        <v>910</v>
      </c>
      <c r="F2072" s="36" t="s">
        <v>1121</v>
      </c>
      <c r="G2072" s="37" t="s">
        <v>7309</v>
      </c>
      <c r="H2072" s="36" t="s">
        <v>3996</v>
      </c>
      <c r="I2072" s="35"/>
      <c r="J2072" s="36" t="s">
        <v>914</v>
      </c>
      <c r="K2072" s="33" t="s">
        <v>916</v>
      </c>
      <c r="L2072" s="35" t="s">
        <v>916</v>
      </c>
      <c r="M2072" s="36" t="s">
        <v>916</v>
      </c>
      <c r="N2072" s="45">
        <v>46022</v>
      </c>
      <c r="O2072" s="36" t="s">
        <v>25</v>
      </c>
      <c r="P2072" s="38">
        <v>108.51234953700001</v>
      </c>
      <c r="Q2072" s="39" t="s">
        <v>1328</v>
      </c>
      <c r="R2072" s="35" t="s">
        <v>916</v>
      </c>
      <c r="S2072" s="35"/>
      <c r="T2072" s="35" t="s">
        <v>1701</v>
      </c>
      <c r="U2072" s="40">
        <v>45914</v>
      </c>
      <c r="V2072" s="41">
        <v>46153.533043981479</v>
      </c>
      <c r="W2072" s="40">
        <v>45913</v>
      </c>
      <c r="X2072" s="35" t="s">
        <v>916</v>
      </c>
      <c r="Y2072" s="35" t="s">
        <v>916</v>
      </c>
      <c r="Z2072" s="35" t="s">
        <v>916</v>
      </c>
      <c r="AA2072" s="38">
        <v>2604.2963888879999</v>
      </c>
      <c r="AB2072" s="42" t="s">
        <v>916</v>
      </c>
      <c r="AC2072" s="43" t="s">
        <v>916</v>
      </c>
      <c r="AD2072" s="43" t="s">
        <v>916</v>
      </c>
      <c r="AE2072" s="33" t="s">
        <v>3982</v>
      </c>
      <c r="AF2072" s="35" t="s">
        <v>916</v>
      </c>
      <c r="AG2072" s="44">
        <v>488267.70361111121</v>
      </c>
      <c r="AH2072" s="42" t="s">
        <v>916</v>
      </c>
      <c r="AI2072" s="32" t="e">
        <f>VLOOKUP(A2072,'4月明細'!B:B,1,0)</f>
        <v>#N/A</v>
      </c>
    </row>
    <row r="2073" spans="1:35" ht="19.95" customHeight="1" x14ac:dyDescent="0.3">
      <c r="A2073" s="33" t="s">
        <v>7310</v>
      </c>
      <c r="B2073" s="34">
        <v>45913.466203703705</v>
      </c>
      <c r="C2073" s="34" t="str">
        <f t="shared" si="45"/>
        <v>202509</v>
      </c>
      <c r="D2073" s="35" t="s">
        <v>7284</v>
      </c>
      <c r="E2073" s="36" t="s">
        <v>910</v>
      </c>
      <c r="F2073" s="36" t="s">
        <v>1121</v>
      </c>
      <c r="G2073" s="37" t="s">
        <v>7311</v>
      </c>
      <c r="H2073" s="36" t="s">
        <v>3996</v>
      </c>
      <c r="I2073" s="35"/>
      <c r="J2073" s="36" t="s">
        <v>1058</v>
      </c>
      <c r="K2073" s="33" t="s">
        <v>916</v>
      </c>
      <c r="L2073" s="35" t="s">
        <v>916</v>
      </c>
      <c r="M2073" s="36" t="s">
        <v>916</v>
      </c>
      <c r="N2073" s="45">
        <v>46022</v>
      </c>
      <c r="O2073" s="36" t="s">
        <v>25</v>
      </c>
      <c r="P2073" s="38">
        <v>108.5337962963</v>
      </c>
      <c r="Q2073" s="39" t="s">
        <v>1328</v>
      </c>
      <c r="R2073" s="35" t="s">
        <v>916</v>
      </c>
      <c r="S2073" s="35"/>
      <c r="T2073" s="35" t="s">
        <v>1701</v>
      </c>
      <c r="U2073" s="40">
        <v>45914</v>
      </c>
      <c r="V2073" s="41">
        <v>46153.533043981479</v>
      </c>
      <c r="W2073" s="40">
        <v>45913</v>
      </c>
      <c r="X2073" s="35" t="s">
        <v>916</v>
      </c>
      <c r="Y2073" s="35" t="s">
        <v>916</v>
      </c>
      <c r="Z2073" s="35" t="s">
        <v>916</v>
      </c>
      <c r="AA2073" s="38">
        <v>2604.8111111111998</v>
      </c>
      <c r="AB2073" s="42" t="s">
        <v>916</v>
      </c>
      <c r="AC2073" s="43" t="s">
        <v>916</v>
      </c>
      <c r="AD2073" s="43" t="s">
        <v>916</v>
      </c>
      <c r="AE2073" s="33" t="s">
        <v>3982</v>
      </c>
      <c r="AF2073" s="35" t="s">
        <v>916</v>
      </c>
      <c r="AG2073" s="44">
        <v>488267.18888888892</v>
      </c>
      <c r="AH2073" s="42" t="s">
        <v>916</v>
      </c>
      <c r="AI2073" s="32" t="e">
        <f>VLOOKUP(A2073,'4月明細'!B:B,1,0)</f>
        <v>#N/A</v>
      </c>
    </row>
    <row r="2074" spans="1:35" ht="19.95" customHeight="1" x14ac:dyDescent="0.3">
      <c r="A2074" s="33" t="s">
        <v>7312</v>
      </c>
      <c r="B2074" s="34">
        <v>45913.465925925928</v>
      </c>
      <c r="C2074" s="34" t="str">
        <f t="shared" si="45"/>
        <v>202509</v>
      </c>
      <c r="D2074" s="35" t="s">
        <v>951</v>
      </c>
      <c r="E2074" s="36" t="s">
        <v>910</v>
      </c>
      <c r="F2074" s="36" t="s">
        <v>1581</v>
      </c>
      <c r="G2074" s="37" t="s">
        <v>7313</v>
      </c>
      <c r="H2074" s="36" t="s">
        <v>4023</v>
      </c>
      <c r="I2074" s="35" t="s">
        <v>7314</v>
      </c>
      <c r="J2074" s="36" t="s">
        <v>929</v>
      </c>
      <c r="K2074" s="33" t="s">
        <v>916</v>
      </c>
      <c r="L2074" s="35" t="s">
        <v>916</v>
      </c>
      <c r="M2074" s="36" t="s">
        <v>916</v>
      </c>
      <c r="N2074" s="45">
        <v>46022</v>
      </c>
      <c r="O2074" s="36" t="s">
        <v>25</v>
      </c>
      <c r="P2074" s="38">
        <v>108.5340740741</v>
      </c>
      <c r="Q2074" s="39" t="s">
        <v>5803</v>
      </c>
      <c r="R2074" s="35" t="s">
        <v>916</v>
      </c>
      <c r="S2074" s="35" t="s">
        <v>7315</v>
      </c>
      <c r="T2074" s="35" t="s">
        <v>1701</v>
      </c>
      <c r="U2074" s="40">
        <v>45914</v>
      </c>
      <c r="V2074" s="41">
        <v>46153.533043981479</v>
      </c>
      <c r="W2074" s="40">
        <v>45913</v>
      </c>
      <c r="X2074" s="35" t="s">
        <v>916</v>
      </c>
      <c r="Y2074" s="35" t="s">
        <v>916</v>
      </c>
      <c r="Z2074" s="35" t="s">
        <v>916</v>
      </c>
      <c r="AA2074" s="38">
        <v>2604.8177777783999</v>
      </c>
      <c r="AB2074" s="42" t="s">
        <v>916</v>
      </c>
      <c r="AC2074" s="43" t="s">
        <v>916</v>
      </c>
      <c r="AD2074" s="43" t="s">
        <v>916</v>
      </c>
      <c r="AE2074" s="33" t="s">
        <v>3982</v>
      </c>
      <c r="AF2074" s="35" t="s">
        <v>916</v>
      </c>
      <c r="AG2074" s="44">
        <v>488267.18222222221</v>
      </c>
      <c r="AH2074" s="42" t="s">
        <v>916</v>
      </c>
      <c r="AI2074" s="32" t="e">
        <f>VLOOKUP(A2074,'4月明細'!B:B,1,0)</f>
        <v>#N/A</v>
      </c>
    </row>
    <row r="2075" spans="1:35" ht="19.95" customHeight="1" x14ac:dyDescent="0.3">
      <c r="A2075" s="33" t="s">
        <v>7316</v>
      </c>
      <c r="B2075" s="34">
        <v>45913.450532407405</v>
      </c>
      <c r="C2075" s="34" t="str">
        <f t="shared" si="45"/>
        <v>202509</v>
      </c>
      <c r="D2075" s="35" t="s">
        <v>951</v>
      </c>
      <c r="E2075" s="36" t="s">
        <v>910</v>
      </c>
      <c r="F2075" s="36" t="s">
        <v>1095</v>
      </c>
      <c r="G2075" s="37" t="s">
        <v>7317</v>
      </c>
      <c r="H2075" s="36" t="s">
        <v>4023</v>
      </c>
      <c r="I2075" s="35" t="s">
        <v>7314</v>
      </c>
      <c r="J2075" s="36" t="s">
        <v>929</v>
      </c>
      <c r="K2075" s="33" t="s">
        <v>916</v>
      </c>
      <c r="L2075" s="35" t="s">
        <v>916</v>
      </c>
      <c r="M2075" s="36" t="s">
        <v>916</v>
      </c>
      <c r="N2075" s="45">
        <v>46022</v>
      </c>
      <c r="O2075" s="36" t="s">
        <v>25</v>
      </c>
      <c r="P2075" s="38">
        <v>108.5494675926</v>
      </c>
      <c r="Q2075" s="39" t="s">
        <v>7318</v>
      </c>
      <c r="R2075" s="35" t="s">
        <v>916</v>
      </c>
      <c r="S2075" s="35" t="s">
        <v>7319</v>
      </c>
      <c r="T2075" s="35" t="s">
        <v>1701</v>
      </c>
      <c r="U2075" s="40">
        <v>45914</v>
      </c>
      <c r="V2075" s="41">
        <v>46153.533043981479</v>
      </c>
      <c r="W2075" s="40">
        <v>45913</v>
      </c>
      <c r="X2075" s="35" t="s">
        <v>916</v>
      </c>
      <c r="Y2075" s="35" t="s">
        <v>916</v>
      </c>
      <c r="Z2075" s="35" t="s">
        <v>916</v>
      </c>
      <c r="AA2075" s="38">
        <v>2605.1872222224001</v>
      </c>
      <c r="AB2075" s="42" t="s">
        <v>916</v>
      </c>
      <c r="AC2075" s="43" t="s">
        <v>916</v>
      </c>
      <c r="AD2075" s="43" t="s">
        <v>916</v>
      </c>
      <c r="AE2075" s="33" t="s">
        <v>3982</v>
      </c>
      <c r="AF2075" s="35" t="s">
        <v>916</v>
      </c>
      <c r="AG2075" s="44">
        <v>488266.81277777778</v>
      </c>
      <c r="AH2075" s="42" t="s">
        <v>916</v>
      </c>
      <c r="AI2075" s="32" t="e">
        <f>VLOOKUP(A2075,'4月明細'!B:B,1,0)</f>
        <v>#N/A</v>
      </c>
    </row>
    <row r="2076" spans="1:35" ht="19.95" customHeight="1" x14ac:dyDescent="0.3">
      <c r="A2076" s="33" t="s">
        <v>7320</v>
      </c>
      <c r="B2076" s="34">
        <v>45913.459189814814</v>
      </c>
      <c r="C2076" s="34" t="str">
        <f t="shared" si="45"/>
        <v>202509</v>
      </c>
      <c r="D2076" s="35" t="s">
        <v>1597</v>
      </c>
      <c r="E2076" s="36" t="s">
        <v>1112</v>
      </c>
      <c r="F2076" s="36" t="s">
        <v>1193</v>
      </c>
      <c r="G2076" s="37" t="s">
        <v>7321</v>
      </c>
      <c r="H2076" s="36" t="s">
        <v>4065</v>
      </c>
      <c r="I2076" s="35"/>
      <c r="J2076" s="36" t="s">
        <v>938</v>
      </c>
      <c r="K2076" s="33" t="s">
        <v>916</v>
      </c>
      <c r="L2076" s="35" t="s">
        <v>916</v>
      </c>
      <c r="M2076" s="36" t="s">
        <v>916</v>
      </c>
      <c r="N2076" s="45">
        <v>46022</v>
      </c>
      <c r="O2076" s="36" t="s">
        <v>25</v>
      </c>
      <c r="P2076" s="38">
        <v>108.5408101852</v>
      </c>
      <c r="Q2076" s="39" t="s">
        <v>7322</v>
      </c>
      <c r="R2076" s="35" t="s">
        <v>916</v>
      </c>
      <c r="S2076" s="35" t="s">
        <v>7323</v>
      </c>
      <c r="T2076" s="35" t="s">
        <v>1701</v>
      </c>
      <c r="U2076" s="40">
        <v>45914</v>
      </c>
      <c r="V2076" s="41">
        <v>46153.533043981479</v>
      </c>
      <c r="W2076" s="40">
        <v>45913</v>
      </c>
      <c r="X2076" s="35" t="s">
        <v>916</v>
      </c>
      <c r="Y2076" s="35" t="s">
        <v>916</v>
      </c>
      <c r="Z2076" s="35" t="s">
        <v>916</v>
      </c>
      <c r="AA2076" s="38">
        <v>2604.9794444447998</v>
      </c>
      <c r="AB2076" s="42" t="s">
        <v>916</v>
      </c>
      <c r="AC2076" s="43" t="s">
        <v>916</v>
      </c>
      <c r="AD2076" s="43" t="s">
        <v>916</v>
      </c>
      <c r="AE2076" s="33" t="s">
        <v>3982</v>
      </c>
      <c r="AF2076" s="35" t="s">
        <v>916</v>
      </c>
      <c r="AG2076" s="44">
        <v>488267.02055555547</v>
      </c>
      <c r="AH2076" s="42" t="s">
        <v>916</v>
      </c>
      <c r="AI2076" s="32" t="e">
        <f>VLOOKUP(A2076,'4月明細'!B:B,1,0)</f>
        <v>#N/A</v>
      </c>
    </row>
    <row r="2077" spans="1:35" ht="19.95" customHeight="1" x14ac:dyDescent="0.3">
      <c r="A2077" s="33" t="s">
        <v>7324</v>
      </c>
      <c r="B2077" s="34">
        <v>45913.450185185182</v>
      </c>
      <c r="C2077" s="34" t="str">
        <f t="shared" si="45"/>
        <v>202509</v>
      </c>
      <c r="D2077" s="35" t="s">
        <v>951</v>
      </c>
      <c r="E2077" s="36" t="s">
        <v>910</v>
      </c>
      <c r="F2077" s="36" t="s">
        <v>1095</v>
      </c>
      <c r="G2077" s="37" t="s">
        <v>7325</v>
      </c>
      <c r="H2077" s="36" t="s">
        <v>5940</v>
      </c>
      <c r="I2077" s="35" t="s">
        <v>7326</v>
      </c>
      <c r="J2077" s="36" t="s">
        <v>929</v>
      </c>
      <c r="K2077" s="33" t="s">
        <v>916</v>
      </c>
      <c r="L2077" s="35" t="s">
        <v>916</v>
      </c>
      <c r="M2077" s="36" t="s">
        <v>916</v>
      </c>
      <c r="N2077" s="45">
        <v>46022</v>
      </c>
      <c r="O2077" s="36" t="s">
        <v>25</v>
      </c>
      <c r="P2077" s="38">
        <v>108.5498148148</v>
      </c>
      <c r="Q2077" s="39" t="s">
        <v>1366</v>
      </c>
      <c r="R2077" s="35" t="s">
        <v>916</v>
      </c>
      <c r="S2077" s="35"/>
      <c r="T2077" s="35" t="s">
        <v>1701</v>
      </c>
      <c r="U2077" s="40">
        <v>45914</v>
      </c>
      <c r="V2077" s="41">
        <v>46153.533043981479</v>
      </c>
      <c r="W2077" s="40">
        <v>45913</v>
      </c>
      <c r="X2077" s="35" t="s">
        <v>916</v>
      </c>
      <c r="Y2077" s="35" t="s">
        <v>916</v>
      </c>
      <c r="Z2077" s="35" t="s">
        <v>916</v>
      </c>
      <c r="AA2077" s="38">
        <v>2605.1955555551999</v>
      </c>
      <c r="AB2077" s="42" t="s">
        <v>916</v>
      </c>
      <c r="AC2077" s="43" t="s">
        <v>916</v>
      </c>
      <c r="AD2077" s="43" t="s">
        <v>916</v>
      </c>
      <c r="AE2077" s="33" t="s">
        <v>3982</v>
      </c>
      <c r="AF2077" s="35" t="s">
        <v>916</v>
      </c>
      <c r="AG2077" s="44">
        <v>488266.80444444448</v>
      </c>
      <c r="AH2077" s="42" t="s">
        <v>916</v>
      </c>
      <c r="AI2077" s="32" t="e">
        <f>VLOOKUP(A2077,'4月明細'!B:B,1,0)</f>
        <v>#N/A</v>
      </c>
    </row>
    <row r="2078" spans="1:35" ht="19.95" customHeight="1" x14ac:dyDescent="0.3">
      <c r="A2078" s="33" t="s">
        <v>7327</v>
      </c>
      <c r="B2078" s="34">
        <v>45913.097129629627</v>
      </c>
      <c r="C2078" s="34" t="str">
        <f t="shared" si="45"/>
        <v>202509</v>
      </c>
      <c r="D2078" s="35" t="s">
        <v>1217</v>
      </c>
      <c r="E2078" s="36" t="s">
        <v>1112</v>
      </c>
      <c r="F2078" s="36" t="s">
        <v>987</v>
      </c>
      <c r="G2078" s="37" t="s">
        <v>7328</v>
      </c>
      <c r="H2078" s="36" t="s">
        <v>1007</v>
      </c>
      <c r="I2078" s="35" t="s">
        <v>7329</v>
      </c>
      <c r="J2078" s="36" t="s">
        <v>929</v>
      </c>
      <c r="K2078" s="33" t="s">
        <v>916</v>
      </c>
      <c r="L2078" s="35" t="s">
        <v>916</v>
      </c>
      <c r="M2078" s="36" t="s">
        <v>916</v>
      </c>
      <c r="N2078" s="45">
        <v>46022</v>
      </c>
      <c r="O2078" s="36" t="s">
        <v>25</v>
      </c>
      <c r="P2078" s="38">
        <v>108.9028703704</v>
      </c>
      <c r="Q2078" s="39" t="s">
        <v>7330</v>
      </c>
      <c r="R2078" s="35" t="s">
        <v>916</v>
      </c>
      <c r="S2078" s="35" t="s">
        <v>7331</v>
      </c>
      <c r="T2078" s="35" t="s">
        <v>1701</v>
      </c>
      <c r="U2078" s="40">
        <v>45914</v>
      </c>
      <c r="V2078" s="41">
        <v>46153.533043981479</v>
      </c>
      <c r="W2078" s="40">
        <v>45913</v>
      </c>
      <c r="X2078" s="35" t="s">
        <v>916</v>
      </c>
      <c r="Y2078" s="35" t="s">
        <v>916</v>
      </c>
      <c r="Z2078" s="35" t="s">
        <v>916</v>
      </c>
      <c r="AA2078" s="38">
        <v>2613.6688888896001</v>
      </c>
      <c r="AB2078" s="42" t="s">
        <v>916</v>
      </c>
      <c r="AC2078" s="43" t="s">
        <v>916</v>
      </c>
      <c r="AD2078" s="43" t="s">
        <v>916</v>
      </c>
      <c r="AE2078" s="33" t="s">
        <v>3982</v>
      </c>
      <c r="AF2078" s="35" t="s">
        <v>916</v>
      </c>
      <c r="AG2078" s="44">
        <v>488258.3311111111</v>
      </c>
      <c r="AH2078" s="42" t="s">
        <v>916</v>
      </c>
      <c r="AI2078" s="32" t="e">
        <f>VLOOKUP(A2078,'4月明細'!B:B,1,0)</f>
        <v>#N/A</v>
      </c>
    </row>
    <row r="2079" spans="1:35" ht="19.95" customHeight="1" x14ac:dyDescent="0.3">
      <c r="A2079" s="33" t="s">
        <v>7332</v>
      </c>
      <c r="B2079" s="34">
        <v>45912.809641203705</v>
      </c>
      <c r="C2079" s="34" t="str">
        <f t="shared" si="45"/>
        <v>202509</v>
      </c>
      <c r="D2079" s="35" t="s">
        <v>1168</v>
      </c>
      <c r="E2079" s="36" t="s">
        <v>1112</v>
      </c>
      <c r="F2079" s="36" t="s">
        <v>1183</v>
      </c>
      <c r="G2079" s="37" t="s">
        <v>7333</v>
      </c>
      <c r="H2079" s="36" t="s">
        <v>1184</v>
      </c>
      <c r="I2079" s="35"/>
      <c r="J2079" s="36" t="s">
        <v>945</v>
      </c>
      <c r="K2079" s="33" t="s">
        <v>916</v>
      </c>
      <c r="L2079" s="35" t="s">
        <v>916</v>
      </c>
      <c r="M2079" s="36" t="s">
        <v>916</v>
      </c>
      <c r="N2079" s="45">
        <v>46022</v>
      </c>
      <c r="O2079" s="36" t="s">
        <v>25</v>
      </c>
      <c r="P2079" s="38">
        <v>109.1903587963</v>
      </c>
      <c r="Q2079" s="39" t="s">
        <v>7334</v>
      </c>
      <c r="R2079" s="35" t="s">
        <v>916</v>
      </c>
      <c r="S2079" s="35" t="s">
        <v>7335</v>
      </c>
      <c r="T2079" s="35" t="s">
        <v>1701</v>
      </c>
      <c r="U2079" s="40">
        <v>45913</v>
      </c>
      <c r="V2079" s="41">
        <v>46153.533043981479</v>
      </c>
      <c r="W2079" s="40">
        <v>45912</v>
      </c>
      <c r="X2079" s="35" t="s">
        <v>916</v>
      </c>
      <c r="Y2079" s="35" t="s">
        <v>916</v>
      </c>
      <c r="Z2079" s="35" t="s">
        <v>916</v>
      </c>
      <c r="AA2079" s="38">
        <v>2620.5686111112</v>
      </c>
      <c r="AB2079" s="42" t="s">
        <v>916</v>
      </c>
      <c r="AC2079" s="43" t="s">
        <v>916</v>
      </c>
      <c r="AD2079" s="43" t="s">
        <v>916</v>
      </c>
      <c r="AE2079" s="33" t="s">
        <v>3982</v>
      </c>
      <c r="AF2079" s="35" t="s">
        <v>916</v>
      </c>
      <c r="AG2079" s="44">
        <v>488251.43138888892</v>
      </c>
      <c r="AH2079" s="42" t="s">
        <v>916</v>
      </c>
      <c r="AI2079" s="32" t="e">
        <f>VLOOKUP(A2079,'4月明細'!B:B,1,0)</f>
        <v>#N/A</v>
      </c>
    </row>
    <row r="2080" spans="1:35" ht="19.95" customHeight="1" x14ac:dyDescent="0.3">
      <c r="A2080" s="33" t="s">
        <v>7336</v>
      </c>
      <c r="B2080" s="34">
        <v>45912.709467592591</v>
      </c>
      <c r="C2080" s="34" t="str">
        <f t="shared" si="45"/>
        <v>202509</v>
      </c>
      <c r="D2080" s="35" t="s">
        <v>996</v>
      </c>
      <c r="E2080" s="36" t="s">
        <v>910</v>
      </c>
      <c r="F2080" s="36" t="s">
        <v>1095</v>
      </c>
      <c r="G2080" s="37" t="s">
        <v>7337</v>
      </c>
      <c r="H2080" s="36" t="s">
        <v>5083</v>
      </c>
      <c r="I2080" s="35"/>
      <c r="J2080" s="36" t="s">
        <v>929</v>
      </c>
      <c r="K2080" s="33" t="s">
        <v>916</v>
      </c>
      <c r="L2080" s="35" t="s">
        <v>916</v>
      </c>
      <c r="M2080" s="36" t="s">
        <v>916</v>
      </c>
      <c r="N2080" s="45">
        <v>46022</v>
      </c>
      <c r="O2080" s="36" t="s">
        <v>25</v>
      </c>
      <c r="P2080" s="38">
        <v>109.29053240739999</v>
      </c>
      <c r="Q2080" s="39" t="s">
        <v>1366</v>
      </c>
      <c r="R2080" s="35" t="s">
        <v>916</v>
      </c>
      <c r="S2080" s="35" t="s">
        <v>7338</v>
      </c>
      <c r="T2080" s="35" t="s">
        <v>1701</v>
      </c>
      <c r="U2080" s="40">
        <v>45913</v>
      </c>
      <c r="V2080" s="41">
        <v>46153.533043981479</v>
      </c>
      <c r="W2080" s="40">
        <v>45912</v>
      </c>
      <c r="X2080" s="35" t="s">
        <v>916</v>
      </c>
      <c r="Y2080" s="35" t="s">
        <v>916</v>
      </c>
      <c r="Z2080" s="35" t="s">
        <v>916</v>
      </c>
      <c r="AA2080" s="38">
        <v>2622.9727777776002</v>
      </c>
      <c r="AB2080" s="42" t="s">
        <v>916</v>
      </c>
      <c r="AC2080" s="43" t="s">
        <v>916</v>
      </c>
      <c r="AD2080" s="43" t="s">
        <v>916</v>
      </c>
      <c r="AE2080" s="33" t="s">
        <v>3982</v>
      </c>
      <c r="AF2080" s="35" t="s">
        <v>916</v>
      </c>
      <c r="AG2080" s="44">
        <v>488249.0272222223</v>
      </c>
      <c r="AH2080" s="42" t="s">
        <v>916</v>
      </c>
      <c r="AI2080" s="32" t="e">
        <f>VLOOKUP(A2080,'4月明細'!B:B,1,0)</f>
        <v>#N/A</v>
      </c>
    </row>
    <row r="2081" spans="1:35" ht="19.95" customHeight="1" x14ac:dyDescent="0.3">
      <c r="A2081" s="33" t="s">
        <v>7339</v>
      </c>
      <c r="B2081" s="34">
        <v>45912.672592592593</v>
      </c>
      <c r="C2081" s="34" t="str">
        <f t="shared" si="45"/>
        <v>202509</v>
      </c>
      <c r="D2081" s="35" t="s">
        <v>996</v>
      </c>
      <c r="E2081" s="36" t="s">
        <v>910</v>
      </c>
      <c r="F2081" s="36" t="s">
        <v>1591</v>
      </c>
      <c r="G2081" s="37" t="s">
        <v>7340</v>
      </c>
      <c r="H2081" s="36" t="s">
        <v>4017</v>
      </c>
      <c r="I2081" s="35"/>
      <c r="J2081" s="36" t="s">
        <v>914</v>
      </c>
      <c r="K2081" s="33" t="s">
        <v>916</v>
      </c>
      <c r="L2081" s="35" t="s">
        <v>916</v>
      </c>
      <c r="M2081" s="36" t="s">
        <v>916</v>
      </c>
      <c r="N2081" s="45">
        <v>46022</v>
      </c>
      <c r="O2081" s="36" t="s">
        <v>25</v>
      </c>
      <c r="P2081" s="38">
        <v>109.3274074074</v>
      </c>
      <c r="Q2081" s="39" t="s">
        <v>1366</v>
      </c>
      <c r="R2081" s="35" t="s">
        <v>916</v>
      </c>
      <c r="S2081" s="35"/>
      <c r="T2081" s="35" t="s">
        <v>1701</v>
      </c>
      <c r="U2081" s="40">
        <v>45913</v>
      </c>
      <c r="V2081" s="41">
        <v>46153.533043981479</v>
      </c>
      <c r="W2081" s="40">
        <v>45912</v>
      </c>
      <c r="X2081" s="35" t="s">
        <v>916</v>
      </c>
      <c r="Y2081" s="35" t="s">
        <v>916</v>
      </c>
      <c r="Z2081" s="35" t="s">
        <v>916</v>
      </c>
      <c r="AA2081" s="38">
        <v>2623.8577777775999</v>
      </c>
      <c r="AB2081" s="42" t="s">
        <v>916</v>
      </c>
      <c r="AC2081" s="43" t="s">
        <v>916</v>
      </c>
      <c r="AD2081" s="43" t="s">
        <v>916</v>
      </c>
      <c r="AE2081" s="33" t="s">
        <v>3982</v>
      </c>
      <c r="AF2081" s="35" t="s">
        <v>916</v>
      </c>
      <c r="AG2081" s="44">
        <v>488248.14222222217</v>
      </c>
      <c r="AH2081" s="42" t="s">
        <v>916</v>
      </c>
      <c r="AI2081" s="32" t="e">
        <f>VLOOKUP(A2081,'4月明細'!B:B,1,0)</f>
        <v>#N/A</v>
      </c>
    </row>
    <row r="2082" spans="1:35" ht="19.95" customHeight="1" x14ac:dyDescent="0.3">
      <c r="A2082" s="33" t="s">
        <v>7341</v>
      </c>
      <c r="B2082" s="34">
        <v>45912.671886574077</v>
      </c>
      <c r="C2082" s="34" t="str">
        <f t="shared" si="45"/>
        <v>202509</v>
      </c>
      <c r="D2082" s="35" t="s">
        <v>996</v>
      </c>
      <c r="E2082" s="36" t="s">
        <v>910</v>
      </c>
      <c r="F2082" s="36" t="s">
        <v>1591</v>
      </c>
      <c r="G2082" s="37" t="s">
        <v>4737</v>
      </c>
      <c r="H2082" s="36" t="s">
        <v>913</v>
      </c>
      <c r="I2082" s="35"/>
      <c r="J2082" s="36" t="s">
        <v>914</v>
      </c>
      <c r="K2082" s="33" t="s">
        <v>916</v>
      </c>
      <c r="L2082" s="35" t="s">
        <v>916</v>
      </c>
      <c r="M2082" s="36" t="s">
        <v>916</v>
      </c>
      <c r="N2082" s="45">
        <v>46022</v>
      </c>
      <c r="O2082" s="36" t="s">
        <v>25</v>
      </c>
      <c r="P2082" s="38">
        <v>109.3281134259</v>
      </c>
      <c r="Q2082" s="39" t="s">
        <v>1366</v>
      </c>
      <c r="R2082" s="35" t="s">
        <v>916</v>
      </c>
      <c r="S2082" s="35"/>
      <c r="T2082" s="35" t="s">
        <v>1701</v>
      </c>
      <c r="U2082" s="40">
        <v>45913</v>
      </c>
      <c r="V2082" s="41">
        <v>46153.533043981479</v>
      </c>
      <c r="W2082" s="40">
        <v>45912</v>
      </c>
      <c r="X2082" s="35" t="s">
        <v>916</v>
      </c>
      <c r="Y2082" s="35" t="s">
        <v>916</v>
      </c>
      <c r="Z2082" s="35" t="s">
        <v>916</v>
      </c>
      <c r="AA2082" s="38">
        <v>2623.8747222216002</v>
      </c>
      <c r="AB2082" s="42" t="s">
        <v>916</v>
      </c>
      <c r="AC2082" s="43" t="s">
        <v>916</v>
      </c>
      <c r="AD2082" s="43" t="s">
        <v>916</v>
      </c>
      <c r="AE2082" s="33" t="s">
        <v>3982</v>
      </c>
      <c r="AF2082" s="35" t="s">
        <v>916</v>
      </c>
      <c r="AG2082" s="44">
        <v>488248.12527777778</v>
      </c>
      <c r="AH2082" s="42" t="s">
        <v>916</v>
      </c>
      <c r="AI2082" s="32" t="e">
        <f>VLOOKUP(A2082,'4月明細'!B:B,1,0)</f>
        <v>#N/A</v>
      </c>
    </row>
    <row r="2083" spans="1:35" ht="19.95" customHeight="1" x14ac:dyDescent="0.3">
      <c r="A2083" s="33" t="s">
        <v>7342</v>
      </c>
      <c r="B2083" s="34">
        <v>45912.555393518516</v>
      </c>
      <c r="C2083" s="34" t="str">
        <f t="shared" si="45"/>
        <v>202509</v>
      </c>
      <c r="D2083" s="35" t="s">
        <v>7343</v>
      </c>
      <c r="E2083" s="36" t="s">
        <v>910</v>
      </c>
      <c r="F2083" s="36" t="s">
        <v>1745</v>
      </c>
      <c r="G2083" s="37" t="s">
        <v>7344</v>
      </c>
      <c r="H2083" s="36" t="s">
        <v>956</v>
      </c>
      <c r="I2083" s="35"/>
      <c r="J2083" s="36" t="s">
        <v>929</v>
      </c>
      <c r="K2083" s="33" t="s">
        <v>916</v>
      </c>
      <c r="L2083" s="35" t="s">
        <v>916</v>
      </c>
      <c r="M2083" s="36" t="s">
        <v>916</v>
      </c>
      <c r="N2083" s="45">
        <v>46022</v>
      </c>
      <c r="O2083" s="36" t="s">
        <v>25</v>
      </c>
      <c r="P2083" s="38">
        <v>109.4446064815</v>
      </c>
      <c r="Q2083" s="39" t="s">
        <v>1366</v>
      </c>
      <c r="R2083" s="35" t="s">
        <v>916</v>
      </c>
      <c r="S2083" s="35" t="s">
        <v>7345</v>
      </c>
      <c r="T2083" s="35" t="s">
        <v>1701</v>
      </c>
      <c r="U2083" s="40">
        <v>45913</v>
      </c>
      <c r="V2083" s="41">
        <v>46153.533043981479</v>
      </c>
      <c r="W2083" s="40">
        <v>45912</v>
      </c>
      <c r="X2083" s="35" t="s">
        <v>916</v>
      </c>
      <c r="Y2083" s="35" t="s">
        <v>916</v>
      </c>
      <c r="Z2083" s="35" t="s">
        <v>916</v>
      </c>
      <c r="AA2083" s="38">
        <v>2626.6705555560002</v>
      </c>
      <c r="AB2083" s="42" t="s">
        <v>916</v>
      </c>
      <c r="AC2083" s="43" t="s">
        <v>916</v>
      </c>
      <c r="AD2083" s="43" t="s">
        <v>916</v>
      </c>
      <c r="AE2083" s="33" t="s">
        <v>3982</v>
      </c>
      <c r="AF2083" s="35" t="s">
        <v>916</v>
      </c>
      <c r="AG2083" s="44">
        <v>488245.32944444451</v>
      </c>
      <c r="AH2083" s="42" t="s">
        <v>916</v>
      </c>
      <c r="AI2083" s="32" t="e">
        <f>VLOOKUP(A2083,'4月明細'!B:B,1,0)</f>
        <v>#N/A</v>
      </c>
    </row>
    <row r="2084" spans="1:35" ht="19.95" customHeight="1" x14ac:dyDescent="0.3">
      <c r="A2084" s="33" t="s">
        <v>7346</v>
      </c>
      <c r="B2084" s="34">
        <v>45912.657210648147</v>
      </c>
      <c r="C2084" s="34" t="str">
        <f t="shared" si="45"/>
        <v>202509</v>
      </c>
      <c r="D2084" s="35" t="s">
        <v>3875</v>
      </c>
      <c r="E2084" s="36" t="s">
        <v>1112</v>
      </c>
      <c r="F2084" s="36" t="s">
        <v>1309</v>
      </c>
      <c r="G2084" s="37" t="s">
        <v>7347</v>
      </c>
      <c r="H2084" s="36" t="s">
        <v>1352</v>
      </c>
      <c r="I2084" s="35" t="s">
        <v>7348</v>
      </c>
      <c r="J2084" s="36" t="s">
        <v>938</v>
      </c>
      <c r="K2084" s="33" t="s">
        <v>916</v>
      </c>
      <c r="L2084" s="35" t="s">
        <v>916</v>
      </c>
      <c r="M2084" s="36" t="s">
        <v>916</v>
      </c>
      <c r="N2084" s="45">
        <v>46022</v>
      </c>
      <c r="O2084" s="36" t="s">
        <v>25</v>
      </c>
      <c r="P2084" s="38">
        <v>109.34278935179999</v>
      </c>
      <c r="Q2084" s="39" t="s">
        <v>1366</v>
      </c>
      <c r="R2084" s="35" t="s">
        <v>916</v>
      </c>
      <c r="S2084" s="35"/>
      <c r="T2084" s="35" t="s">
        <v>1701</v>
      </c>
      <c r="U2084" s="40">
        <v>45913</v>
      </c>
      <c r="V2084" s="41">
        <v>46153.533055555556</v>
      </c>
      <c r="W2084" s="40">
        <v>45912</v>
      </c>
      <c r="X2084" s="35" t="s">
        <v>916</v>
      </c>
      <c r="Y2084" s="35" t="s">
        <v>916</v>
      </c>
      <c r="Z2084" s="35" t="s">
        <v>916</v>
      </c>
      <c r="AA2084" s="38">
        <v>2624.2269444432</v>
      </c>
      <c r="AB2084" s="42" t="s">
        <v>916</v>
      </c>
      <c r="AC2084" s="43" t="s">
        <v>916</v>
      </c>
      <c r="AD2084" s="43" t="s">
        <v>916</v>
      </c>
      <c r="AE2084" s="33" t="s">
        <v>3982</v>
      </c>
      <c r="AF2084" s="35" t="s">
        <v>916</v>
      </c>
      <c r="AG2084" s="44">
        <v>488247.77305555559</v>
      </c>
      <c r="AH2084" s="42" t="s">
        <v>916</v>
      </c>
      <c r="AI2084" s="32" t="e">
        <f>VLOOKUP(A2084,'4月明細'!B:B,1,0)</f>
        <v>#N/A</v>
      </c>
    </row>
    <row r="2085" spans="1:35" ht="19.95" customHeight="1" x14ac:dyDescent="0.3">
      <c r="A2085" s="33" t="s">
        <v>7349</v>
      </c>
      <c r="B2085" s="34">
        <v>45912.656041666669</v>
      </c>
      <c r="C2085" s="34" t="str">
        <f t="shared" si="45"/>
        <v>202509</v>
      </c>
      <c r="D2085" s="35" t="s">
        <v>3875</v>
      </c>
      <c r="E2085" s="36" t="s">
        <v>1112</v>
      </c>
      <c r="F2085" s="36" t="s">
        <v>7350</v>
      </c>
      <c r="G2085" s="37" t="s">
        <v>7351</v>
      </c>
      <c r="H2085" s="36" t="s">
        <v>4267</v>
      </c>
      <c r="I2085" s="35" t="s">
        <v>7352</v>
      </c>
      <c r="J2085" s="36" t="s">
        <v>938</v>
      </c>
      <c r="K2085" s="33" t="s">
        <v>916</v>
      </c>
      <c r="L2085" s="35" t="s">
        <v>916</v>
      </c>
      <c r="M2085" s="36" t="s">
        <v>916</v>
      </c>
      <c r="N2085" s="45">
        <v>46022</v>
      </c>
      <c r="O2085" s="36" t="s">
        <v>25</v>
      </c>
      <c r="P2085" s="38">
        <v>109.34395833329999</v>
      </c>
      <c r="Q2085" s="39" t="s">
        <v>1366</v>
      </c>
      <c r="R2085" s="35" t="s">
        <v>916</v>
      </c>
      <c r="S2085" s="35"/>
      <c r="T2085" s="35" t="s">
        <v>1701</v>
      </c>
      <c r="U2085" s="40">
        <v>45913</v>
      </c>
      <c r="V2085" s="41">
        <v>46153.533055555556</v>
      </c>
      <c r="W2085" s="40">
        <v>45912</v>
      </c>
      <c r="X2085" s="35" t="s">
        <v>916</v>
      </c>
      <c r="Y2085" s="35" t="s">
        <v>916</v>
      </c>
      <c r="Z2085" s="35" t="s">
        <v>916</v>
      </c>
      <c r="AA2085" s="38">
        <v>2624.2549999992002</v>
      </c>
      <c r="AB2085" s="42" t="s">
        <v>916</v>
      </c>
      <c r="AC2085" s="43" t="s">
        <v>916</v>
      </c>
      <c r="AD2085" s="43" t="s">
        <v>916</v>
      </c>
      <c r="AE2085" s="33" t="s">
        <v>3982</v>
      </c>
      <c r="AF2085" s="35" t="s">
        <v>916</v>
      </c>
      <c r="AG2085" s="44">
        <v>488247.745</v>
      </c>
      <c r="AH2085" s="42" t="s">
        <v>916</v>
      </c>
      <c r="AI2085" s="32" t="e">
        <f>VLOOKUP(A2085,'4月明細'!B:B,1,0)</f>
        <v>#N/A</v>
      </c>
    </row>
    <row r="2086" spans="1:35" ht="19.95" customHeight="1" x14ac:dyDescent="0.3">
      <c r="A2086" s="33" t="s">
        <v>7353</v>
      </c>
      <c r="B2086" s="34">
        <v>45912.605208333334</v>
      </c>
      <c r="C2086" s="34" t="str">
        <f t="shared" si="45"/>
        <v>202509</v>
      </c>
      <c r="D2086" s="35" t="s">
        <v>996</v>
      </c>
      <c r="E2086" s="36" t="s">
        <v>910</v>
      </c>
      <c r="F2086" s="36" t="s">
        <v>2600</v>
      </c>
      <c r="G2086" s="37" t="s">
        <v>7354</v>
      </c>
      <c r="H2086" s="36" t="s">
        <v>4162</v>
      </c>
      <c r="I2086" s="35"/>
      <c r="J2086" s="36" t="s">
        <v>929</v>
      </c>
      <c r="K2086" s="33" t="s">
        <v>916</v>
      </c>
      <c r="L2086" s="35" t="s">
        <v>916</v>
      </c>
      <c r="M2086" s="36" t="s">
        <v>916</v>
      </c>
      <c r="N2086" s="45">
        <v>46022</v>
      </c>
      <c r="O2086" s="36" t="s">
        <v>25</v>
      </c>
      <c r="P2086" s="38">
        <v>109.3947916667</v>
      </c>
      <c r="Q2086" s="39" t="s">
        <v>2171</v>
      </c>
      <c r="R2086" s="35" t="s">
        <v>916</v>
      </c>
      <c r="S2086" s="35" t="s">
        <v>7355</v>
      </c>
      <c r="T2086" s="35" t="s">
        <v>1701</v>
      </c>
      <c r="U2086" s="40">
        <v>45913</v>
      </c>
      <c r="V2086" s="41">
        <v>46153.533055555556</v>
      </c>
      <c r="W2086" s="40">
        <v>45912</v>
      </c>
      <c r="X2086" s="35" t="s">
        <v>916</v>
      </c>
      <c r="Y2086" s="35" t="s">
        <v>916</v>
      </c>
      <c r="Z2086" s="35" t="s">
        <v>916</v>
      </c>
      <c r="AA2086" s="38">
        <v>2625.4750000007998</v>
      </c>
      <c r="AB2086" s="42" t="s">
        <v>916</v>
      </c>
      <c r="AC2086" s="43" t="s">
        <v>916</v>
      </c>
      <c r="AD2086" s="43" t="s">
        <v>916</v>
      </c>
      <c r="AE2086" s="33" t="s">
        <v>3982</v>
      </c>
      <c r="AF2086" s="35" t="s">
        <v>916</v>
      </c>
      <c r="AG2086" s="44">
        <v>488246.52500000002</v>
      </c>
      <c r="AH2086" s="42" t="s">
        <v>916</v>
      </c>
      <c r="AI2086" s="32" t="e">
        <f>VLOOKUP(A2086,'4月明細'!B:B,1,0)</f>
        <v>#N/A</v>
      </c>
    </row>
    <row r="2087" spans="1:35" ht="19.95" customHeight="1" x14ac:dyDescent="0.3">
      <c r="A2087" s="33" t="s">
        <v>7356</v>
      </c>
      <c r="B2087" s="34">
        <v>45912.437002314815</v>
      </c>
      <c r="C2087" s="34" t="str">
        <f t="shared" si="45"/>
        <v>202509</v>
      </c>
      <c r="D2087" s="35" t="s">
        <v>951</v>
      </c>
      <c r="E2087" s="36" t="s">
        <v>910</v>
      </c>
      <c r="F2087" s="36" t="s">
        <v>1000</v>
      </c>
      <c r="G2087" s="37" t="s">
        <v>7357</v>
      </c>
      <c r="H2087" s="36" t="s">
        <v>4007</v>
      </c>
      <c r="I2087" s="35" t="s">
        <v>7358</v>
      </c>
      <c r="J2087" s="36" t="s">
        <v>914</v>
      </c>
      <c r="K2087" s="33" t="s">
        <v>916</v>
      </c>
      <c r="L2087" s="35" t="s">
        <v>916</v>
      </c>
      <c r="M2087" s="36" t="s">
        <v>916</v>
      </c>
      <c r="N2087" s="45">
        <v>46022</v>
      </c>
      <c r="O2087" s="36" t="s">
        <v>25</v>
      </c>
      <c r="P2087" s="38">
        <v>109.5629976852</v>
      </c>
      <c r="Q2087" s="39" t="s">
        <v>2217</v>
      </c>
      <c r="R2087" s="35" t="s">
        <v>916</v>
      </c>
      <c r="S2087" s="35" t="s">
        <v>7359</v>
      </c>
      <c r="T2087" s="35" t="s">
        <v>1701</v>
      </c>
      <c r="U2087" s="40">
        <v>45913</v>
      </c>
      <c r="V2087" s="41">
        <v>46153.533055555556</v>
      </c>
      <c r="W2087" s="40">
        <v>45912</v>
      </c>
      <c r="X2087" s="35" t="s">
        <v>916</v>
      </c>
      <c r="Y2087" s="35" t="s">
        <v>916</v>
      </c>
      <c r="Z2087" s="35" t="s">
        <v>916</v>
      </c>
      <c r="AA2087" s="38">
        <v>2629.5119444448001</v>
      </c>
      <c r="AB2087" s="42" t="s">
        <v>916</v>
      </c>
      <c r="AC2087" s="43" t="s">
        <v>916</v>
      </c>
      <c r="AD2087" s="43" t="s">
        <v>916</v>
      </c>
      <c r="AE2087" s="33" t="s">
        <v>3982</v>
      </c>
      <c r="AF2087" s="35" t="s">
        <v>916</v>
      </c>
      <c r="AG2087" s="44">
        <v>488242.48805555562</v>
      </c>
      <c r="AH2087" s="42" t="s">
        <v>916</v>
      </c>
      <c r="AI2087" s="32" t="e">
        <f>VLOOKUP(A2087,'4月明細'!B:B,1,0)</f>
        <v>#N/A</v>
      </c>
    </row>
    <row r="2088" spans="1:35" ht="19.95" customHeight="1" x14ac:dyDescent="0.3">
      <c r="A2088" s="33" t="s">
        <v>7360</v>
      </c>
      <c r="B2088" s="34">
        <v>45912.544629629629</v>
      </c>
      <c r="C2088" s="34" t="str">
        <f t="shared" si="45"/>
        <v>202509</v>
      </c>
      <c r="D2088" s="35" t="s">
        <v>996</v>
      </c>
      <c r="E2088" s="36" t="s">
        <v>910</v>
      </c>
      <c r="F2088" s="36" t="s">
        <v>1370</v>
      </c>
      <c r="G2088" s="37" t="s">
        <v>7361</v>
      </c>
      <c r="H2088" s="36" t="s">
        <v>1043</v>
      </c>
      <c r="I2088" s="35"/>
      <c r="J2088" s="36" t="s">
        <v>929</v>
      </c>
      <c r="K2088" s="33" t="s">
        <v>916</v>
      </c>
      <c r="L2088" s="35" t="s">
        <v>916</v>
      </c>
      <c r="M2088" s="36" t="s">
        <v>916</v>
      </c>
      <c r="N2088" s="45">
        <v>46022</v>
      </c>
      <c r="O2088" s="36" t="s">
        <v>25</v>
      </c>
      <c r="P2088" s="38">
        <v>109.4553703704</v>
      </c>
      <c r="Q2088" s="39" t="s">
        <v>1366</v>
      </c>
      <c r="R2088" s="35" t="s">
        <v>916</v>
      </c>
      <c r="S2088" s="35" t="s">
        <v>7362</v>
      </c>
      <c r="T2088" s="35" t="s">
        <v>1701</v>
      </c>
      <c r="U2088" s="40">
        <v>45913</v>
      </c>
      <c r="V2088" s="41">
        <v>46153.533055555556</v>
      </c>
      <c r="W2088" s="40">
        <v>45912</v>
      </c>
      <c r="X2088" s="35" t="s">
        <v>916</v>
      </c>
      <c r="Y2088" s="35" t="s">
        <v>916</v>
      </c>
      <c r="Z2088" s="35" t="s">
        <v>916</v>
      </c>
      <c r="AA2088" s="38">
        <v>2626.9288888895999</v>
      </c>
      <c r="AB2088" s="42" t="s">
        <v>916</v>
      </c>
      <c r="AC2088" s="43" t="s">
        <v>916</v>
      </c>
      <c r="AD2088" s="43" t="s">
        <v>916</v>
      </c>
      <c r="AE2088" s="33" t="s">
        <v>3982</v>
      </c>
      <c r="AF2088" s="35" t="s">
        <v>916</v>
      </c>
      <c r="AG2088" s="44">
        <v>488245.07111111109</v>
      </c>
      <c r="AH2088" s="42" t="s">
        <v>916</v>
      </c>
      <c r="AI2088" s="32" t="e">
        <f>VLOOKUP(A2088,'4月明細'!B:B,1,0)</f>
        <v>#N/A</v>
      </c>
    </row>
    <row r="2089" spans="1:35" ht="19.95" customHeight="1" x14ac:dyDescent="0.3">
      <c r="A2089" s="33" t="s">
        <v>7363</v>
      </c>
      <c r="B2089" s="34">
        <v>45912.542141203703</v>
      </c>
      <c r="C2089" s="34" t="str">
        <f t="shared" si="45"/>
        <v>202509</v>
      </c>
      <c r="D2089" s="35" t="s">
        <v>996</v>
      </c>
      <c r="E2089" s="36" t="s">
        <v>910</v>
      </c>
      <c r="F2089" s="36" t="s">
        <v>1370</v>
      </c>
      <c r="G2089" s="37" t="s">
        <v>7364</v>
      </c>
      <c r="H2089" s="36" t="s">
        <v>1048</v>
      </c>
      <c r="I2089" s="35"/>
      <c r="J2089" s="36" t="s">
        <v>929</v>
      </c>
      <c r="K2089" s="33" t="s">
        <v>916</v>
      </c>
      <c r="L2089" s="35" t="s">
        <v>916</v>
      </c>
      <c r="M2089" s="36" t="s">
        <v>916</v>
      </c>
      <c r="N2089" s="45">
        <v>46022</v>
      </c>
      <c r="O2089" s="36" t="s">
        <v>25</v>
      </c>
      <c r="P2089" s="38">
        <v>109.4578587963</v>
      </c>
      <c r="Q2089" s="39" t="s">
        <v>1366</v>
      </c>
      <c r="R2089" s="35" t="s">
        <v>916</v>
      </c>
      <c r="S2089" s="35" t="s">
        <v>7365</v>
      </c>
      <c r="T2089" s="35" t="s">
        <v>1701</v>
      </c>
      <c r="U2089" s="40">
        <v>45913</v>
      </c>
      <c r="V2089" s="41">
        <v>46153.533055555556</v>
      </c>
      <c r="W2089" s="40">
        <v>45912</v>
      </c>
      <c r="X2089" s="35" t="s">
        <v>916</v>
      </c>
      <c r="Y2089" s="35" t="s">
        <v>916</v>
      </c>
      <c r="Z2089" s="35" t="s">
        <v>916</v>
      </c>
      <c r="AA2089" s="38">
        <v>2626.9886111112</v>
      </c>
      <c r="AB2089" s="42" t="s">
        <v>916</v>
      </c>
      <c r="AC2089" s="43" t="s">
        <v>916</v>
      </c>
      <c r="AD2089" s="43" t="s">
        <v>916</v>
      </c>
      <c r="AE2089" s="33" t="s">
        <v>3982</v>
      </c>
      <c r="AF2089" s="35" t="s">
        <v>916</v>
      </c>
      <c r="AG2089" s="44">
        <v>488245.01138888887</v>
      </c>
      <c r="AH2089" s="42" t="s">
        <v>916</v>
      </c>
      <c r="AI2089" s="32" t="e">
        <f>VLOOKUP(A2089,'4月明細'!B:B,1,0)</f>
        <v>#N/A</v>
      </c>
    </row>
    <row r="2090" spans="1:35" ht="19.95" customHeight="1" x14ac:dyDescent="0.3">
      <c r="A2090" s="33" t="s">
        <v>7366</v>
      </c>
      <c r="B2090" s="34">
        <v>45912.47388888889</v>
      </c>
      <c r="C2090" s="34" t="str">
        <f t="shared" si="45"/>
        <v>202509</v>
      </c>
      <c r="D2090" s="35" t="s">
        <v>996</v>
      </c>
      <c r="E2090" s="36" t="s">
        <v>910</v>
      </c>
      <c r="F2090" s="36" t="s">
        <v>1752</v>
      </c>
      <c r="G2090" s="37" t="s">
        <v>6147</v>
      </c>
      <c r="H2090" s="36" t="s">
        <v>3985</v>
      </c>
      <c r="I2090" s="35"/>
      <c r="J2090" s="36" t="s">
        <v>914</v>
      </c>
      <c r="K2090" s="33" t="s">
        <v>916</v>
      </c>
      <c r="L2090" s="35" t="s">
        <v>916</v>
      </c>
      <c r="M2090" s="36" t="s">
        <v>916</v>
      </c>
      <c r="N2090" s="45">
        <v>46022</v>
      </c>
      <c r="O2090" s="36" t="s">
        <v>25</v>
      </c>
      <c r="P2090" s="38">
        <v>109.52611111109999</v>
      </c>
      <c r="Q2090" s="39" t="s">
        <v>7367</v>
      </c>
      <c r="R2090" s="35" t="s">
        <v>916</v>
      </c>
      <c r="S2090" s="35"/>
      <c r="T2090" s="35" t="s">
        <v>1701</v>
      </c>
      <c r="U2090" s="40">
        <v>45913</v>
      </c>
      <c r="V2090" s="41">
        <v>46153.533055555556</v>
      </c>
      <c r="W2090" s="40">
        <v>45912</v>
      </c>
      <c r="X2090" s="35" t="s">
        <v>916</v>
      </c>
      <c r="Y2090" s="35" t="s">
        <v>916</v>
      </c>
      <c r="Z2090" s="35" t="s">
        <v>916</v>
      </c>
      <c r="AA2090" s="38">
        <v>2628.6266666664001</v>
      </c>
      <c r="AB2090" s="42" t="s">
        <v>916</v>
      </c>
      <c r="AC2090" s="43" t="s">
        <v>916</v>
      </c>
      <c r="AD2090" s="43" t="s">
        <v>916</v>
      </c>
      <c r="AE2090" s="33" t="s">
        <v>3982</v>
      </c>
      <c r="AF2090" s="35" t="s">
        <v>916</v>
      </c>
      <c r="AG2090" s="44">
        <v>488243.37333333341</v>
      </c>
      <c r="AH2090" s="42" t="s">
        <v>916</v>
      </c>
      <c r="AI2090" s="32" t="e">
        <f>VLOOKUP(A2090,'4月明細'!B:B,1,0)</f>
        <v>#N/A</v>
      </c>
    </row>
    <row r="2091" spans="1:35" ht="19.95" customHeight="1" x14ac:dyDescent="0.3">
      <c r="A2091" s="33" t="s">
        <v>7368</v>
      </c>
      <c r="B2091" s="34">
        <v>45912.43545138889</v>
      </c>
      <c r="C2091" s="34" t="str">
        <f t="shared" si="45"/>
        <v>202509</v>
      </c>
      <c r="D2091" s="35" t="s">
        <v>951</v>
      </c>
      <c r="E2091" s="36" t="s">
        <v>910</v>
      </c>
      <c r="F2091" s="36" t="s">
        <v>1752</v>
      </c>
      <c r="G2091" s="37" t="s">
        <v>7369</v>
      </c>
      <c r="H2091" s="36" t="s">
        <v>3985</v>
      </c>
      <c r="I2091" s="35" t="s">
        <v>7370</v>
      </c>
      <c r="J2091" s="36" t="s">
        <v>929</v>
      </c>
      <c r="K2091" s="33" t="s">
        <v>916</v>
      </c>
      <c r="L2091" s="35" t="s">
        <v>916</v>
      </c>
      <c r="M2091" s="36" t="s">
        <v>916</v>
      </c>
      <c r="N2091" s="45">
        <v>46022</v>
      </c>
      <c r="O2091" s="36" t="s">
        <v>25</v>
      </c>
      <c r="P2091" s="38">
        <v>109.56454861109999</v>
      </c>
      <c r="Q2091" s="39" t="s">
        <v>7371</v>
      </c>
      <c r="R2091" s="35" t="s">
        <v>916</v>
      </c>
      <c r="S2091" s="35"/>
      <c r="T2091" s="35" t="s">
        <v>1701</v>
      </c>
      <c r="U2091" s="40">
        <v>45913</v>
      </c>
      <c r="V2091" s="41">
        <v>46153.533055555556</v>
      </c>
      <c r="W2091" s="40">
        <v>45912</v>
      </c>
      <c r="X2091" s="35" t="s">
        <v>916</v>
      </c>
      <c r="Y2091" s="35" t="s">
        <v>916</v>
      </c>
      <c r="Z2091" s="35" t="s">
        <v>916</v>
      </c>
      <c r="AA2091" s="38">
        <v>2629.5491666664002</v>
      </c>
      <c r="AB2091" s="42" t="s">
        <v>916</v>
      </c>
      <c r="AC2091" s="43" t="s">
        <v>916</v>
      </c>
      <c r="AD2091" s="43" t="s">
        <v>916</v>
      </c>
      <c r="AE2091" s="33" t="s">
        <v>3982</v>
      </c>
      <c r="AF2091" s="35" t="s">
        <v>916</v>
      </c>
      <c r="AG2091" s="44">
        <v>488242.45083333342</v>
      </c>
      <c r="AH2091" s="42" t="s">
        <v>916</v>
      </c>
      <c r="AI2091" s="32" t="e">
        <f>VLOOKUP(A2091,'4月明細'!B:B,1,0)</f>
        <v>#N/A</v>
      </c>
    </row>
    <row r="2092" spans="1:35" ht="19.95" customHeight="1" x14ac:dyDescent="0.3">
      <c r="A2092" s="33" t="s">
        <v>7372</v>
      </c>
      <c r="B2092" s="34">
        <v>45912.433865740742</v>
      </c>
      <c r="C2092" s="34" t="str">
        <f t="shared" si="45"/>
        <v>202509</v>
      </c>
      <c r="D2092" s="35" t="s">
        <v>951</v>
      </c>
      <c r="E2092" s="36" t="s">
        <v>910</v>
      </c>
      <c r="F2092" s="36" t="s">
        <v>2614</v>
      </c>
      <c r="G2092" s="37" t="s">
        <v>7373</v>
      </c>
      <c r="H2092" s="36" t="s">
        <v>4060</v>
      </c>
      <c r="I2092" s="35"/>
      <c r="J2092" s="36" t="s">
        <v>945</v>
      </c>
      <c r="K2092" s="33" t="s">
        <v>916</v>
      </c>
      <c r="L2092" s="35" t="s">
        <v>916</v>
      </c>
      <c r="M2092" s="36" t="s">
        <v>916</v>
      </c>
      <c r="N2092" s="45">
        <v>46022</v>
      </c>
      <c r="O2092" s="36" t="s">
        <v>25</v>
      </c>
      <c r="P2092" s="38">
        <v>109.5661342593</v>
      </c>
      <c r="Q2092" s="39" t="s">
        <v>2199</v>
      </c>
      <c r="R2092" s="35" t="s">
        <v>916</v>
      </c>
      <c r="S2092" s="35"/>
      <c r="T2092" s="35" t="s">
        <v>1701</v>
      </c>
      <c r="U2092" s="40">
        <v>45913</v>
      </c>
      <c r="V2092" s="41">
        <v>46153.533055555556</v>
      </c>
      <c r="W2092" s="40">
        <v>45912</v>
      </c>
      <c r="X2092" s="35" t="s">
        <v>916</v>
      </c>
      <c r="Y2092" s="35" t="s">
        <v>916</v>
      </c>
      <c r="Z2092" s="35" t="s">
        <v>916</v>
      </c>
      <c r="AA2092" s="38">
        <v>2629.5872222232001</v>
      </c>
      <c r="AB2092" s="42" t="s">
        <v>916</v>
      </c>
      <c r="AC2092" s="43" t="s">
        <v>916</v>
      </c>
      <c r="AD2092" s="43" t="s">
        <v>916</v>
      </c>
      <c r="AE2092" s="33" t="s">
        <v>3982</v>
      </c>
      <c r="AF2092" s="35" t="s">
        <v>916</v>
      </c>
      <c r="AG2092" s="44">
        <v>488242.41277777782</v>
      </c>
      <c r="AH2092" s="42" t="s">
        <v>916</v>
      </c>
      <c r="AI2092" s="32" t="e">
        <f>VLOOKUP(A2092,'4月明細'!B:B,1,0)</f>
        <v>#N/A</v>
      </c>
    </row>
    <row r="2093" spans="1:35" ht="19.95" customHeight="1" x14ac:dyDescent="0.3">
      <c r="A2093" s="33" t="s">
        <v>7374</v>
      </c>
      <c r="B2093" s="34">
        <v>45911.953530092593</v>
      </c>
      <c r="C2093" s="34" t="str">
        <f t="shared" si="45"/>
        <v>202509</v>
      </c>
      <c r="D2093" s="35" t="s">
        <v>960</v>
      </c>
      <c r="E2093" s="36" t="s">
        <v>1112</v>
      </c>
      <c r="F2093" s="36" t="s">
        <v>1232</v>
      </c>
      <c r="G2093" s="37" t="s">
        <v>7375</v>
      </c>
      <c r="H2093" s="36" t="s">
        <v>1079</v>
      </c>
      <c r="I2093" s="35"/>
      <c r="J2093" s="36" t="s">
        <v>945</v>
      </c>
      <c r="K2093" s="33" t="s">
        <v>916</v>
      </c>
      <c r="L2093" s="35" t="s">
        <v>916</v>
      </c>
      <c r="M2093" s="36" t="s">
        <v>916</v>
      </c>
      <c r="N2093" s="45">
        <v>46022</v>
      </c>
      <c r="O2093" s="36" t="s">
        <v>25</v>
      </c>
      <c r="P2093" s="38">
        <v>110.0464699074</v>
      </c>
      <c r="Q2093" s="39" t="s">
        <v>7376</v>
      </c>
      <c r="R2093" s="35" t="s">
        <v>916</v>
      </c>
      <c r="S2093" s="35"/>
      <c r="T2093" s="35" t="s">
        <v>1701</v>
      </c>
      <c r="U2093" s="40">
        <v>45912</v>
      </c>
      <c r="V2093" s="41">
        <v>46153.533055555556</v>
      </c>
      <c r="W2093" s="40">
        <v>45912</v>
      </c>
      <c r="X2093" s="35" t="s">
        <v>916</v>
      </c>
      <c r="Y2093" s="35" t="s">
        <v>916</v>
      </c>
      <c r="Z2093" s="35" t="s">
        <v>916</v>
      </c>
      <c r="AA2093" s="38">
        <v>2641.1152777776001</v>
      </c>
      <c r="AB2093" s="42" t="s">
        <v>916</v>
      </c>
      <c r="AC2093" s="43" t="s">
        <v>916</v>
      </c>
      <c r="AD2093" s="43" t="s">
        <v>916</v>
      </c>
      <c r="AE2093" s="33" t="s">
        <v>3982</v>
      </c>
      <c r="AF2093" s="35" t="s">
        <v>916</v>
      </c>
      <c r="AG2093" s="44">
        <v>488230.88472222222</v>
      </c>
      <c r="AH2093" s="42" t="s">
        <v>916</v>
      </c>
      <c r="AI2093" s="32" t="e">
        <f>VLOOKUP(A2093,'4月明細'!B:B,1,0)</f>
        <v>#N/A</v>
      </c>
    </row>
    <row r="2094" spans="1:35" ht="19.95" customHeight="1" x14ac:dyDescent="0.3">
      <c r="A2094" s="33" t="s">
        <v>7377</v>
      </c>
      <c r="B2094" s="34">
        <v>45911.952939814815</v>
      </c>
      <c r="C2094" s="34" t="str">
        <f t="shared" si="45"/>
        <v>202509</v>
      </c>
      <c r="D2094" s="35" t="s">
        <v>960</v>
      </c>
      <c r="E2094" s="36" t="s">
        <v>1112</v>
      </c>
      <c r="F2094" s="36" t="s">
        <v>1227</v>
      </c>
      <c r="G2094" s="37" t="s">
        <v>7378</v>
      </c>
      <c r="H2094" s="36" t="s">
        <v>1048</v>
      </c>
      <c r="I2094" s="35"/>
      <c r="J2094" s="36" t="s">
        <v>945</v>
      </c>
      <c r="K2094" s="33" t="s">
        <v>916</v>
      </c>
      <c r="L2094" s="35" t="s">
        <v>916</v>
      </c>
      <c r="M2094" s="36" t="s">
        <v>916</v>
      </c>
      <c r="N2094" s="45">
        <v>46022</v>
      </c>
      <c r="O2094" s="36" t="s">
        <v>25</v>
      </c>
      <c r="P2094" s="38">
        <v>110.0470601852</v>
      </c>
      <c r="Q2094" s="39" t="s">
        <v>7379</v>
      </c>
      <c r="R2094" s="35" t="s">
        <v>916</v>
      </c>
      <c r="S2094" s="35"/>
      <c r="T2094" s="35" t="s">
        <v>1701</v>
      </c>
      <c r="U2094" s="40">
        <v>45912</v>
      </c>
      <c r="V2094" s="41">
        <v>46153.533055555556</v>
      </c>
      <c r="W2094" s="40">
        <v>45912</v>
      </c>
      <c r="X2094" s="35" t="s">
        <v>916</v>
      </c>
      <c r="Y2094" s="35" t="s">
        <v>916</v>
      </c>
      <c r="Z2094" s="35" t="s">
        <v>916</v>
      </c>
      <c r="AA2094" s="38">
        <v>2641.1294444447999</v>
      </c>
      <c r="AB2094" s="42" t="s">
        <v>916</v>
      </c>
      <c r="AC2094" s="43" t="s">
        <v>916</v>
      </c>
      <c r="AD2094" s="43" t="s">
        <v>916</v>
      </c>
      <c r="AE2094" s="33" t="s">
        <v>3982</v>
      </c>
      <c r="AF2094" s="35" t="s">
        <v>916</v>
      </c>
      <c r="AG2094" s="44">
        <v>488230.87055555562</v>
      </c>
      <c r="AH2094" s="42" t="s">
        <v>916</v>
      </c>
      <c r="AI2094" s="32" t="e">
        <f>VLOOKUP(A2094,'4月明細'!B:B,1,0)</f>
        <v>#N/A</v>
      </c>
    </row>
    <row r="2095" spans="1:35" ht="19.95" customHeight="1" x14ac:dyDescent="0.3">
      <c r="A2095" s="33" t="s">
        <v>7380</v>
      </c>
      <c r="B2095" s="34">
        <v>45911.825578703705</v>
      </c>
      <c r="C2095" s="34" t="str">
        <f t="shared" si="45"/>
        <v>202509</v>
      </c>
      <c r="D2095" s="35" t="s">
        <v>1168</v>
      </c>
      <c r="E2095" s="36" t="s">
        <v>1112</v>
      </c>
      <c r="F2095" s="36" t="s">
        <v>1227</v>
      </c>
      <c r="G2095" s="37" t="s">
        <v>7381</v>
      </c>
      <c r="H2095" s="36" t="s">
        <v>1048</v>
      </c>
      <c r="I2095" s="35"/>
      <c r="J2095" s="36" t="s">
        <v>945</v>
      </c>
      <c r="K2095" s="33" t="s">
        <v>916</v>
      </c>
      <c r="L2095" s="35" t="s">
        <v>916</v>
      </c>
      <c r="M2095" s="36" t="s">
        <v>916</v>
      </c>
      <c r="N2095" s="45">
        <v>46022</v>
      </c>
      <c r="O2095" s="36" t="s">
        <v>25</v>
      </c>
      <c r="P2095" s="38">
        <v>110.1744212963</v>
      </c>
      <c r="Q2095" s="39" t="s">
        <v>7379</v>
      </c>
      <c r="R2095" s="35" t="s">
        <v>916</v>
      </c>
      <c r="S2095" s="35"/>
      <c r="T2095" s="35" t="s">
        <v>1701</v>
      </c>
      <c r="U2095" s="40">
        <v>45912</v>
      </c>
      <c r="V2095" s="41">
        <v>46153.533055555556</v>
      </c>
      <c r="W2095" s="40">
        <v>45911</v>
      </c>
      <c r="X2095" s="35" t="s">
        <v>916</v>
      </c>
      <c r="Y2095" s="35" t="s">
        <v>916</v>
      </c>
      <c r="Z2095" s="35" t="s">
        <v>916</v>
      </c>
      <c r="AA2095" s="38">
        <v>2644.1861111111998</v>
      </c>
      <c r="AB2095" s="42" t="s">
        <v>916</v>
      </c>
      <c r="AC2095" s="43" t="s">
        <v>916</v>
      </c>
      <c r="AD2095" s="43" t="s">
        <v>916</v>
      </c>
      <c r="AE2095" s="33" t="s">
        <v>3982</v>
      </c>
      <c r="AF2095" s="35" t="s">
        <v>916</v>
      </c>
      <c r="AG2095" s="44">
        <v>488227.81388888892</v>
      </c>
      <c r="AH2095" s="42" t="s">
        <v>916</v>
      </c>
      <c r="AI2095" s="32" t="e">
        <f>VLOOKUP(A2095,'4月明細'!B:B,1,0)</f>
        <v>#N/A</v>
      </c>
    </row>
    <row r="2096" spans="1:35" ht="19.95" customHeight="1" x14ac:dyDescent="0.3">
      <c r="A2096" s="33" t="s">
        <v>7382</v>
      </c>
      <c r="B2096" s="34">
        <v>45911.716006944444</v>
      </c>
      <c r="C2096" s="34" t="str">
        <f t="shared" si="45"/>
        <v>202509</v>
      </c>
      <c r="D2096" s="35" t="s">
        <v>7383</v>
      </c>
      <c r="E2096" s="36" t="s">
        <v>910</v>
      </c>
      <c r="F2096" s="36" t="s">
        <v>1000</v>
      </c>
      <c r="G2096" s="37" t="s">
        <v>1499</v>
      </c>
      <c r="H2096" s="36" t="s">
        <v>3979</v>
      </c>
      <c r="I2096" s="35"/>
      <c r="J2096" s="36" t="s">
        <v>938</v>
      </c>
      <c r="K2096" s="33" t="s">
        <v>916</v>
      </c>
      <c r="L2096" s="35" t="s">
        <v>916</v>
      </c>
      <c r="M2096" s="36" t="s">
        <v>916</v>
      </c>
      <c r="N2096" s="45">
        <v>46022</v>
      </c>
      <c r="O2096" s="36" t="s">
        <v>25</v>
      </c>
      <c r="P2096" s="38">
        <v>110.28399305560001</v>
      </c>
      <c r="Q2096" s="39" t="s">
        <v>7384</v>
      </c>
      <c r="R2096" s="35" t="s">
        <v>916</v>
      </c>
      <c r="S2096" s="35"/>
      <c r="T2096" s="35" t="s">
        <v>1701</v>
      </c>
      <c r="U2096" s="40">
        <v>45912</v>
      </c>
      <c r="V2096" s="41">
        <v>46153.533055555556</v>
      </c>
      <c r="W2096" s="40">
        <v>45911</v>
      </c>
      <c r="X2096" s="35" t="s">
        <v>916</v>
      </c>
      <c r="Y2096" s="35" t="s">
        <v>916</v>
      </c>
      <c r="Z2096" s="35" t="s">
        <v>916</v>
      </c>
      <c r="AA2096" s="38">
        <v>2646.8158333343999</v>
      </c>
      <c r="AB2096" s="42" t="s">
        <v>916</v>
      </c>
      <c r="AC2096" s="43" t="s">
        <v>916</v>
      </c>
      <c r="AD2096" s="43" t="s">
        <v>916</v>
      </c>
      <c r="AE2096" s="33" t="s">
        <v>3982</v>
      </c>
      <c r="AF2096" s="35" t="s">
        <v>916</v>
      </c>
      <c r="AG2096" s="44">
        <v>488225.18416666659</v>
      </c>
      <c r="AH2096" s="42" t="s">
        <v>916</v>
      </c>
      <c r="AI2096" s="32" t="e">
        <f>VLOOKUP(A2096,'4月明細'!B:B,1,0)</f>
        <v>#N/A</v>
      </c>
    </row>
    <row r="2097" spans="1:35" ht="19.95" customHeight="1" x14ac:dyDescent="0.3">
      <c r="A2097" s="33" t="s">
        <v>7385</v>
      </c>
      <c r="B2097" s="34">
        <v>45911.478437500002</v>
      </c>
      <c r="C2097" s="34" t="str">
        <f t="shared" si="45"/>
        <v>202509</v>
      </c>
      <c r="D2097" s="35" t="s">
        <v>7386</v>
      </c>
      <c r="E2097" s="36" t="s">
        <v>910</v>
      </c>
      <c r="F2097" s="36" t="s">
        <v>1634</v>
      </c>
      <c r="G2097" s="37" t="s">
        <v>7387</v>
      </c>
      <c r="H2097" s="36" t="s">
        <v>3991</v>
      </c>
      <c r="I2097" s="35" t="s">
        <v>7388</v>
      </c>
      <c r="J2097" s="36" t="s">
        <v>929</v>
      </c>
      <c r="K2097" s="33" t="s">
        <v>916</v>
      </c>
      <c r="L2097" s="35" t="s">
        <v>916</v>
      </c>
      <c r="M2097" s="36" t="s">
        <v>916</v>
      </c>
      <c r="N2097" s="45">
        <v>46022</v>
      </c>
      <c r="O2097" s="36" t="s">
        <v>25</v>
      </c>
      <c r="P2097" s="38">
        <v>110.5215625</v>
      </c>
      <c r="Q2097" s="39" t="s">
        <v>7389</v>
      </c>
      <c r="R2097" s="35" t="s">
        <v>916</v>
      </c>
      <c r="S2097" s="35" t="s">
        <v>7390</v>
      </c>
      <c r="T2097" s="35" t="s">
        <v>1701</v>
      </c>
      <c r="U2097" s="40">
        <v>45912</v>
      </c>
      <c r="V2097" s="41">
        <v>46153.533055555556</v>
      </c>
      <c r="W2097" s="40">
        <v>45911</v>
      </c>
      <c r="X2097" s="35" t="s">
        <v>916</v>
      </c>
      <c r="Y2097" s="35" t="s">
        <v>916</v>
      </c>
      <c r="Z2097" s="35" t="s">
        <v>916</v>
      </c>
      <c r="AA2097" s="38">
        <v>2652.5174999999999</v>
      </c>
      <c r="AB2097" s="42" t="s">
        <v>916</v>
      </c>
      <c r="AC2097" s="43" t="s">
        <v>916</v>
      </c>
      <c r="AD2097" s="43" t="s">
        <v>916</v>
      </c>
      <c r="AE2097" s="33" t="s">
        <v>3982</v>
      </c>
      <c r="AF2097" s="35" t="s">
        <v>916</v>
      </c>
      <c r="AG2097" s="44">
        <v>488219.48249999998</v>
      </c>
      <c r="AH2097" s="42" t="s">
        <v>916</v>
      </c>
      <c r="AI2097" s="32" t="e">
        <f>VLOOKUP(A2097,'4月明細'!B:B,1,0)</f>
        <v>#N/A</v>
      </c>
    </row>
    <row r="2098" spans="1:35" ht="19.95" customHeight="1" x14ac:dyDescent="0.3">
      <c r="A2098" s="33" t="s">
        <v>7391</v>
      </c>
      <c r="B2098" s="34">
        <v>45911.64371527778</v>
      </c>
      <c r="C2098" s="34" t="str">
        <f t="shared" si="45"/>
        <v>202509</v>
      </c>
      <c r="D2098" s="35" t="s">
        <v>996</v>
      </c>
      <c r="E2098" s="36" t="s">
        <v>910</v>
      </c>
      <c r="F2098" s="36" t="s">
        <v>1743</v>
      </c>
      <c r="G2098" s="37" t="s">
        <v>7392</v>
      </c>
      <c r="H2098" s="36" t="s">
        <v>4060</v>
      </c>
      <c r="I2098" s="35"/>
      <c r="J2098" s="36" t="s">
        <v>929</v>
      </c>
      <c r="K2098" s="33" t="s">
        <v>916</v>
      </c>
      <c r="L2098" s="35" t="s">
        <v>916</v>
      </c>
      <c r="M2098" s="36" t="s">
        <v>916</v>
      </c>
      <c r="N2098" s="45">
        <v>46022</v>
      </c>
      <c r="O2098" s="36" t="s">
        <v>25</v>
      </c>
      <c r="P2098" s="38">
        <v>110.3562847222</v>
      </c>
      <c r="Q2098" s="39" t="s">
        <v>7393</v>
      </c>
      <c r="R2098" s="35" t="s">
        <v>916</v>
      </c>
      <c r="S2098" s="35"/>
      <c r="T2098" s="35" t="s">
        <v>1701</v>
      </c>
      <c r="U2098" s="40">
        <v>45912</v>
      </c>
      <c r="V2098" s="41">
        <v>46153.533055555556</v>
      </c>
      <c r="W2098" s="40">
        <v>45911</v>
      </c>
      <c r="X2098" s="35" t="s">
        <v>916</v>
      </c>
      <c r="Y2098" s="35" t="s">
        <v>916</v>
      </c>
      <c r="Z2098" s="35" t="s">
        <v>916</v>
      </c>
      <c r="AA2098" s="38">
        <v>2648.5508333327998</v>
      </c>
      <c r="AB2098" s="42" t="s">
        <v>916</v>
      </c>
      <c r="AC2098" s="43" t="s">
        <v>916</v>
      </c>
      <c r="AD2098" s="43" t="s">
        <v>916</v>
      </c>
      <c r="AE2098" s="33" t="s">
        <v>3982</v>
      </c>
      <c r="AF2098" s="35" t="s">
        <v>916</v>
      </c>
      <c r="AG2098" s="44">
        <v>488223.4491666666</v>
      </c>
      <c r="AH2098" s="42" t="s">
        <v>916</v>
      </c>
      <c r="AI2098" s="32" t="e">
        <f>VLOOKUP(A2098,'4月明細'!B:B,1,0)</f>
        <v>#N/A</v>
      </c>
    </row>
    <row r="2099" spans="1:35" ht="19.95" customHeight="1" x14ac:dyDescent="0.3">
      <c r="A2099" s="33" t="s">
        <v>7394</v>
      </c>
      <c r="B2099" s="34">
        <v>45911.608622685184</v>
      </c>
      <c r="C2099" s="34" t="str">
        <f t="shared" si="45"/>
        <v>202509</v>
      </c>
      <c r="D2099" s="35" t="s">
        <v>996</v>
      </c>
      <c r="E2099" s="36" t="s">
        <v>910</v>
      </c>
      <c r="F2099" s="36" t="s">
        <v>1341</v>
      </c>
      <c r="G2099" s="37" t="s">
        <v>7395</v>
      </c>
      <c r="H2099" s="36" t="s">
        <v>4324</v>
      </c>
      <c r="I2099" s="35"/>
      <c r="J2099" s="36" t="s">
        <v>1058</v>
      </c>
      <c r="K2099" s="33" t="s">
        <v>916</v>
      </c>
      <c r="L2099" s="35" t="s">
        <v>916</v>
      </c>
      <c r="M2099" s="36" t="s">
        <v>916</v>
      </c>
      <c r="N2099" s="45">
        <v>46022</v>
      </c>
      <c r="O2099" s="36" t="s">
        <v>25</v>
      </c>
      <c r="P2099" s="38">
        <v>110.3913773148</v>
      </c>
      <c r="Q2099" s="39" t="s">
        <v>2985</v>
      </c>
      <c r="R2099" s="35" t="s">
        <v>916</v>
      </c>
      <c r="S2099" s="35"/>
      <c r="T2099" s="35" t="s">
        <v>1701</v>
      </c>
      <c r="U2099" s="40">
        <v>45912</v>
      </c>
      <c r="V2099" s="41">
        <v>46153.533055555556</v>
      </c>
      <c r="W2099" s="40">
        <v>45911</v>
      </c>
      <c r="X2099" s="35" t="s">
        <v>916</v>
      </c>
      <c r="Y2099" s="35" t="s">
        <v>916</v>
      </c>
      <c r="Z2099" s="35" t="s">
        <v>916</v>
      </c>
      <c r="AA2099" s="38">
        <v>2649.3930555552001</v>
      </c>
      <c r="AB2099" s="42" t="s">
        <v>916</v>
      </c>
      <c r="AC2099" s="43" t="s">
        <v>916</v>
      </c>
      <c r="AD2099" s="43" t="s">
        <v>916</v>
      </c>
      <c r="AE2099" s="33" t="s">
        <v>3982</v>
      </c>
      <c r="AF2099" s="35" t="s">
        <v>916</v>
      </c>
      <c r="AG2099" s="44">
        <v>488222.60694444447</v>
      </c>
      <c r="AH2099" s="42" t="s">
        <v>916</v>
      </c>
      <c r="AI2099" s="32" t="e">
        <f>VLOOKUP(A2099,'4月明細'!B:B,1,0)</f>
        <v>#N/A</v>
      </c>
    </row>
    <row r="2100" spans="1:35" ht="19.95" customHeight="1" x14ac:dyDescent="0.3">
      <c r="A2100" s="33" t="s">
        <v>7396</v>
      </c>
      <c r="B2100" s="34">
        <v>45911.592986111114</v>
      </c>
      <c r="C2100" s="34" t="str">
        <f t="shared" si="45"/>
        <v>202509</v>
      </c>
      <c r="D2100" s="35" t="s">
        <v>996</v>
      </c>
      <c r="E2100" s="36" t="s">
        <v>910</v>
      </c>
      <c r="F2100" s="36" t="s">
        <v>1591</v>
      </c>
      <c r="G2100" s="37" t="s">
        <v>7397</v>
      </c>
      <c r="H2100" s="36" t="s">
        <v>1079</v>
      </c>
      <c r="I2100" s="35"/>
      <c r="J2100" s="36" t="s">
        <v>914</v>
      </c>
      <c r="K2100" s="33" t="s">
        <v>916</v>
      </c>
      <c r="L2100" s="35" t="s">
        <v>916</v>
      </c>
      <c r="M2100" s="36" t="s">
        <v>916</v>
      </c>
      <c r="N2100" s="45">
        <v>46022</v>
      </c>
      <c r="O2100" s="36" t="s">
        <v>25</v>
      </c>
      <c r="P2100" s="38">
        <v>110.4070138889</v>
      </c>
      <c r="Q2100" s="39" t="s">
        <v>7398</v>
      </c>
      <c r="R2100" s="35" t="s">
        <v>916</v>
      </c>
      <c r="S2100" s="35"/>
      <c r="T2100" s="35" t="s">
        <v>1701</v>
      </c>
      <c r="U2100" s="40">
        <v>45912</v>
      </c>
      <c r="V2100" s="41">
        <v>46153.533055555556</v>
      </c>
      <c r="W2100" s="40">
        <v>45911</v>
      </c>
      <c r="X2100" s="35" t="s">
        <v>916</v>
      </c>
      <c r="Y2100" s="35" t="s">
        <v>916</v>
      </c>
      <c r="Z2100" s="35" t="s">
        <v>916</v>
      </c>
      <c r="AA2100" s="38">
        <v>2649.7683333335999</v>
      </c>
      <c r="AB2100" s="42" t="s">
        <v>916</v>
      </c>
      <c r="AC2100" s="43" t="s">
        <v>916</v>
      </c>
      <c r="AD2100" s="43" t="s">
        <v>916</v>
      </c>
      <c r="AE2100" s="33" t="s">
        <v>3982</v>
      </c>
      <c r="AF2100" s="35" t="s">
        <v>916</v>
      </c>
      <c r="AG2100" s="44">
        <v>488222.23166666669</v>
      </c>
      <c r="AH2100" s="42" t="s">
        <v>916</v>
      </c>
      <c r="AI2100" s="32" t="e">
        <f>VLOOKUP(A2100,'4月明細'!B:B,1,0)</f>
        <v>#N/A</v>
      </c>
    </row>
    <row r="2101" spans="1:35" ht="19.95" customHeight="1" x14ac:dyDescent="0.3">
      <c r="A2101" s="33" t="s">
        <v>7399</v>
      </c>
      <c r="B2101" s="34">
        <v>45911.564085648148</v>
      </c>
      <c r="C2101" s="34" t="str">
        <f t="shared" si="45"/>
        <v>202509</v>
      </c>
      <c r="D2101" s="35" t="s">
        <v>5380</v>
      </c>
      <c r="E2101" s="36" t="s">
        <v>910</v>
      </c>
      <c r="F2101" s="36" t="s">
        <v>1475</v>
      </c>
      <c r="G2101" s="37" t="s">
        <v>7400</v>
      </c>
      <c r="H2101" s="36" t="s">
        <v>4990</v>
      </c>
      <c r="I2101" s="35" t="s">
        <v>7401</v>
      </c>
      <c r="J2101" s="36" t="s">
        <v>914</v>
      </c>
      <c r="K2101" s="33" t="s">
        <v>916</v>
      </c>
      <c r="L2101" s="35" t="s">
        <v>916</v>
      </c>
      <c r="M2101" s="36" t="s">
        <v>916</v>
      </c>
      <c r="N2101" s="45">
        <v>46022</v>
      </c>
      <c r="O2101" s="36" t="s">
        <v>25</v>
      </c>
      <c r="P2101" s="38">
        <v>110.4359143519</v>
      </c>
      <c r="Q2101" s="39" t="s">
        <v>7402</v>
      </c>
      <c r="R2101" s="35" t="s">
        <v>916</v>
      </c>
      <c r="S2101" s="35"/>
      <c r="T2101" s="35" t="s">
        <v>1701</v>
      </c>
      <c r="U2101" s="40">
        <v>45912</v>
      </c>
      <c r="V2101" s="41">
        <v>46153.533055555556</v>
      </c>
      <c r="W2101" s="40">
        <v>45911</v>
      </c>
      <c r="X2101" s="35" t="s">
        <v>916</v>
      </c>
      <c r="Y2101" s="35" t="s">
        <v>916</v>
      </c>
      <c r="Z2101" s="35" t="s">
        <v>916</v>
      </c>
      <c r="AA2101" s="38">
        <v>2650.4619444455998</v>
      </c>
      <c r="AB2101" s="42" t="s">
        <v>916</v>
      </c>
      <c r="AC2101" s="43" t="s">
        <v>916</v>
      </c>
      <c r="AD2101" s="43" t="s">
        <v>916</v>
      </c>
      <c r="AE2101" s="33" t="s">
        <v>3982</v>
      </c>
      <c r="AF2101" s="35" t="s">
        <v>916</v>
      </c>
      <c r="AG2101" s="44">
        <v>488221.53805555549</v>
      </c>
      <c r="AH2101" s="42" t="s">
        <v>916</v>
      </c>
      <c r="AI2101" s="32" t="e">
        <f>VLOOKUP(A2101,'4月明細'!B:B,1,0)</f>
        <v>#N/A</v>
      </c>
    </row>
    <row r="2102" spans="1:35" ht="19.95" customHeight="1" x14ac:dyDescent="0.3">
      <c r="A2102" s="33" t="s">
        <v>7403</v>
      </c>
      <c r="B2102" s="34">
        <v>45911.55810185185</v>
      </c>
      <c r="C2102" s="34" t="str">
        <f t="shared" si="45"/>
        <v>202509</v>
      </c>
      <c r="D2102" s="35" t="s">
        <v>5380</v>
      </c>
      <c r="E2102" s="36" t="s">
        <v>910</v>
      </c>
      <c r="F2102" s="36" t="s">
        <v>1475</v>
      </c>
      <c r="G2102" s="37" t="s">
        <v>927</v>
      </c>
      <c r="H2102" s="36" t="s">
        <v>3979</v>
      </c>
      <c r="I2102" s="35" t="s">
        <v>7404</v>
      </c>
      <c r="J2102" s="36" t="s">
        <v>914</v>
      </c>
      <c r="K2102" s="33" t="s">
        <v>916</v>
      </c>
      <c r="L2102" s="35" t="s">
        <v>916</v>
      </c>
      <c r="M2102" s="36" t="s">
        <v>916</v>
      </c>
      <c r="N2102" s="45">
        <v>46022</v>
      </c>
      <c r="O2102" s="36" t="s">
        <v>25</v>
      </c>
      <c r="P2102" s="38">
        <v>110.44189814809999</v>
      </c>
      <c r="Q2102" s="39" t="s">
        <v>7405</v>
      </c>
      <c r="R2102" s="35" t="s">
        <v>916</v>
      </c>
      <c r="S2102" s="35"/>
      <c r="T2102" s="35" t="s">
        <v>1701</v>
      </c>
      <c r="U2102" s="40">
        <v>45912</v>
      </c>
      <c r="V2102" s="41">
        <v>46153.533055555556</v>
      </c>
      <c r="W2102" s="40">
        <v>45911</v>
      </c>
      <c r="X2102" s="35" t="s">
        <v>916</v>
      </c>
      <c r="Y2102" s="35" t="s">
        <v>916</v>
      </c>
      <c r="Z2102" s="35" t="s">
        <v>916</v>
      </c>
      <c r="AA2102" s="38">
        <v>2650.6055555543999</v>
      </c>
      <c r="AB2102" s="42" t="s">
        <v>916</v>
      </c>
      <c r="AC2102" s="43" t="s">
        <v>916</v>
      </c>
      <c r="AD2102" s="43" t="s">
        <v>916</v>
      </c>
      <c r="AE2102" s="33" t="s">
        <v>3982</v>
      </c>
      <c r="AF2102" s="35" t="s">
        <v>916</v>
      </c>
      <c r="AG2102" s="44">
        <v>488221.39444444439</v>
      </c>
      <c r="AH2102" s="42" t="s">
        <v>916</v>
      </c>
      <c r="AI2102" s="32" t="e">
        <f>VLOOKUP(A2102,'4月明細'!B:B,1,0)</f>
        <v>#N/A</v>
      </c>
    </row>
    <row r="2103" spans="1:35" ht="19.95" customHeight="1" x14ac:dyDescent="0.3">
      <c r="A2103" s="33" t="s">
        <v>7406</v>
      </c>
      <c r="B2103" s="34">
        <v>45911.54755787037</v>
      </c>
      <c r="C2103" s="34" t="str">
        <f t="shared" si="45"/>
        <v>202509</v>
      </c>
      <c r="D2103" s="35" t="s">
        <v>996</v>
      </c>
      <c r="E2103" s="36" t="s">
        <v>910</v>
      </c>
      <c r="F2103" s="36" t="s">
        <v>1133</v>
      </c>
      <c r="G2103" s="37" t="s">
        <v>7407</v>
      </c>
      <c r="H2103" s="36" t="s">
        <v>5102</v>
      </c>
      <c r="I2103" s="35"/>
      <c r="J2103" s="36" t="s">
        <v>914</v>
      </c>
      <c r="K2103" s="33" t="s">
        <v>916</v>
      </c>
      <c r="L2103" s="35" t="s">
        <v>916</v>
      </c>
      <c r="M2103" s="36" t="s">
        <v>916</v>
      </c>
      <c r="N2103" s="45">
        <v>46022</v>
      </c>
      <c r="O2103" s="36" t="s">
        <v>25</v>
      </c>
      <c r="P2103" s="38">
        <v>110.4524421296</v>
      </c>
      <c r="Q2103" s="39" t="s">
        <v>7408</v>
      </c>
      <c r="R2103" s="35" t="s">
        <v>916</v>
      </c>
      <c r="S2103" s="35"/>
      <c r="T2103" s="35" t="s">
        <v>1701</v>
      </c>
      <c r="U2103" s="40">
        <v>45912</v>
      </c>
      <c r="V2103" s="41">
        <v>46153.533055555556</v>
      </c>
      <c r="W2103" s="40">
        <v>45911</v>
      </c>
      <c r="X2103" s="35" t="s">
        <v>916</v>
      </c>
      <c r="Y2103" s="35" t="s">
        <v>916</v>
      </c>
      <c r="Z2103" s="35" t="s">
        <v>916</v>
      </c>
      <c r="AA2103" s="38">
        <v>2650.8586111104</v>
      </c>
      <c r="AB2103" s="42" t="s">
        <v>916</v>
      </c>
      <c r="AC2103" s="43" t="s">
        <v>916</v>
      </c>
      <c r="AD2103" s="43" t="s">
        <v>916</v>
      </c>
      <c r="AE2103" s="33" t="s">
        <v>3982</v>
      </c>
      <c r="AF2103" s="35" t="s">
        <v>916</v>
      </c>
      <c r="AG2103" s="44">
        <v>488221.14138888888</v>
      </c>
      <c r="AH2103" s="42" t="s">
        <v>916</v>
      </c>
      <c r="AI2103" s="32" t="e">
        <f>VLOOKUP(A2103,'4月明細'!B:B,1,0)</f>
        <v>#N/A</v>
      </c>
    </row>
    <row r="2104" spans="1:35" ht="19.95" customHeight="1" x14ac:dyDescent="0.3">
      <c r="A2104" s="33" t="s">
        <v>7409</v>
      </c>
      <c r="B2104" s="34">
        <v>45911.529537037037</v>
      </c>
      <c r="C2104" s="34" t="str">
        <f t="shared" si="45"/>
        <v>202509</v>
      </c>
      <c r="D2104" s="35" t="s">
        <v>5380</v>
      </c>
      <c r="E2104" s="36" t="s">
        <v>910</v>
      </c>
      <c r="F2104" s="36" t="s">
        <v>1377</v>
      </c>
      <c r="G2104" s="37" t="s">
        <v>927</v>
      </c>
      <c r="H2104" s="36" t="s">
        <v>3979</v>
      </c>
      <c r="I2104" s="35" t="s">
        <v>7410</v>
      </c>
      <c r="J2104" s="36" t="s">
        <v>914</v>
      </c>
      <c r="K2104" s="33" t="s">
        <v>916</v>
      </c>
      <c r="L2104" s="35" t="s">
        <v>916</v>
      </c>
      <c r="M2104" s="36" t="s">
        <v>916</v>
      </c>
      <c r="N2104" s="45">
        <v>46022</v>
      </c>
      <c r="O2104" s="36" t="s">
        <v>25</v>
      </c>
      <c r="P2104" s="38">
        <v>110.470462963</v>
      </c>
      <c r="Q2104" s="39" t="s">
        <v>7411</v>
      </c>
      <c r="R2104" s="35" t="s">
        <v>916</v>
      </c>
      <c r="S2104" s="35"/>
      <c r="T2104" s="35" t="s">
        <v>1701</v>
      </c>
      <c r="U2104" s="40">
        <v>45912</v>
      </c>
      <c r="V2104" s="41">
        <v>46153.533055555556</v>
      </c>
      <c r="W2104" s="40">
        <v>45911</v>
      </c>
      <c r="X2104" s="35" t="s">
        <v>916</v>
      </c>
      <c r="Y2104" s="35" t="s">
        <v>916</v>
      </c>
      <c r="Z2104" s="35" t="s">
        <v>916</v>
      </c>
      <c r="AA2104" s="38">
        <v>2651.2911111120002</v>
      </c>
      <c r="AB2104" s="42" t="s">
        <v>916</v>
      </c>
      <c r="AC2104" s="43" t="s">
        <v>916</v>
      </c>
      <c r="AD2104" s="43" t="s">
        <v>916</v>
      </c>
      <c r="AE2104" s="33" t="s">
        <v>3982</v>
      </c>
      <c r="AF2104" s="35" t="s">
        <v>916</v>
      </c>
      <c r="AG2104" s="44">
        <v>488220.70888888888</v>
      </c>
      <c r="AH2104" s="42" t="s">
        <v>916</v>
      </c>
      <c r="AI2104" s="32" t="e">
        <f>VLOOKUP(A2104,'4月明細'!B:B,1,0)</f>
        <v>#N/A</v>
      </c>
    </row>
    <row r="2105" spans="1:35" ht="19.95" customHeight="1" x14ac:dyDescent="0.3">
      <c r="A2105" s="33" t="s">
        <v>7412</v>
      </c>
      <c r="B2105" s="34">
        <v>45911.520983796298</v>
      </c>
      <c r="C2105" s="34" t="str">
        <f t="shared" si="45"/>
        <v>202509</v>
      </c>
      <c r="D2105" s="35" t="s">
        <v>996</v>
      </c>
      <c r="E2105" s="36" t="s">
        <v>910</v>
      </c>
      <c r="F2105" s="36" t="s">
        <v>1229</v>
      </c>
      <c r="G2105" s="37" t="s">
        <v>7413</v>
      </c>
      <c r="H2105" s="36" t="s">
        <v>4007</v>
      </c>
      <c r="I2105" s="35"/>
      <c r="J2105" s="36" t="s">
        <v>914</v>
      </c>
      <c r="K2105" s="33" t="s">
        <v>916</v>
      </c>
      <c r="L2105" s="35" t="s">
        <v>916</v>
      </c>
      <c r="M2105" s="36" t="s">
        <v>916</v>
      </c>
      <c r="N2105" s="45">
        <v>46022</v>
      </c>
      <c r="O2105" s="36" t="s">
        <v>25</v>
      </c>
      <c r="P2105" s="38">
        <v>110.4790162037</v>
      </c>
      <c r="Q2105" s="39" t="s">
        <v>7367</v>
      </c>
      <c r="R2105" s="35" t="s">
        <v>916</v>
      </c>
      <c r="S2105" s="35" t="s">
        <v>7414</v>
      </c>
      <c r="T2105" s="35" t="s">
        <v>1701</v>
      </c>
      <c r="U2105" s="40">
        <v>45912</v>
      </c>
      <c r="V2105" s="41">
        <v>46153.533055555556</v>
      </c>
      <c r="W2105" s="40">
        <v>45911</v>
      </c>
      <c r="X2105" s="35" t="s">
        <v>916</v>
      </c>
      <c r="Y2105" s="35" t="s">
        <v>916</v>
      </c>
      <c r="Z2105" s="35" t="s">
        <v>916</v>
      </c>
      <c r="AA2105" s="38">
        <v>2651.4963888888001</v>
      </c>
      <c r="AB2105" s="42" t="s">
        <v>916</v>
      </c>
      <c r="AC2105" s="43" t="s">
        <v>916</v>
      </c>
      <c r="AD2105" s="43" t="s">
        <v>916</v>
      </c>
      <c r="AE2105" s="33" t="s">
        <v>3982</v>
      </c>
      <c r="AF2105" s="35" t="s">
        <v>916</v>
      </c>
      <c r="AG2105" s="44">
        <v>488220.50361111108</v>
      </c>
      <c r="AH2105" s="42" t="s">
        <v>916</v>
      </c>
      <c r="AI2105" s="32" t="e">
        <f>VLOOKUP(A2105,'4月明細'!B:B,1,0)</f>
        <v>#N/A</v>
      </c>
    </row>
    <row r="2106" spans="1:35" ht="19.95" customHeight="1" x14ac:dyDescent="0.3">
      <c r="A2106" s="33" t="s">
        <v>7415</v>
      </c>
      <c r="B2106" s="34">
        <v>45911.497881944444</v>
      </c>
      <c r="C2106" s="34" t="str">
        <f t="shared" si="45"/>
        <v>202509</v>
      </c>
      <c r="D2106" s="35" t="s">
        <v>5380</v>
      </c>
      <c r="E2106" s="36" t="s">
        <v>910</v>
      </c>
      <c r="F2106" s="36" t="s">
        <v>1621</v>
      </c>
      <c r="G2106" s="37" t="s">
        <v>927</v>
      </c>
      <c r="H2106" s="36" t="s">
        <v>3979</v>
      </c>
      <c r="I2106" s="35" t="s">
        <v>7416</v>
      </c>
      <c r="J2106" s="36" t="s">
        <v>914</v>
      </c>
      <c r="K2106" s="33" t="s">
        <v>916</v>
      </c>
      <c r="L2106" s="35" t="s">
        <v>916</v>
      </c>
      <c r="M2106" s="36" t="s">
        <v>916</v>
      </c>
      <c r="N2106" s="45">
        <v>46022</v>
      </c>
      <c r="O2106" s="36" t="s">
        <v>25</v>
      </c>
      <c r="P2106" s="38">
        <v>110.50211805559999</v>
      </c>
      <c r="Q2106" s="39" t="s">
        <v>1366</v>
      </c>
      <c r="R2106" s="35" t="s">
        <v>916</v>
      </c>
      <c r="S2106" s="35"/>
      <c r="T2106" s="35" t="s">
        <v>1701</v>
      </c>
      <c r="U2106" s="40">
        <v>45912</v>
      </c>
      <c r="V2106" s="41">
        <v>46153.533055555556</v>
      </c>
      <c r="W2106" s="40">
        <v>45911</v>
      </c>
      <c r="X2106" s="35" t="s">
        <v>916</v>
      </c>
      <c r="Y2106" s="35" t="s">
        <v>916</v>
      </c>
      <c r="Z2106" s="35" t="s">
        <v>916</v>
      </c>
      <c r="AA2106" s="38">
        <v>2652.0508333344001</v>
      </c>
      <c r="AB2106" s="42" t="s">
        <v>916</v>
      </c>
      <c r="AC2106" s="43" t="s">
        <v>916</v>
      </c>
      <c r="AD2106" s="43" t="s">
        <v>916</v>
      </c>
      <c r="AE2106" s="33" t="s">
        <v>3982</v>
      </c>
      <c r="AF2106" s="35" t="s">
        <v>916</v>
      </c>
      <c r="AG2106" s="44">
        <v>488219.94916666672</v>
      </c>
      <c r="AH2106" s="42" t="s">
        <v>916</v>
      </c>
      <c r="AI2106" s="32" t="e">
        <f>VLOOKUP(A2106,'4月明細'!B:B,1,0)</f>
        <v>#N/A</v>
      </c>
    </row>
    <row r="2107" spans="1:35" ht="19.95" customHeight="1" x14ac:dyDescent="0.3">
      <c r="A2107" s="33" t="s">
        <v>7417</v>
      </c>
      <c r="B2107" s="34">
        <v>45911.478090277778</v>
      </c>
      <c r="C2107" s="34" t="str">
        <f t="shared" si="45"/>
        <v>202509</v>
      </c>
      <c r="D2107" s="35" t="s">
        <v>951</v>
      </c>
      <c r="E2107" s="36" t="s">
        <v>910</v>
      </c>
      <c r="F2107" s="36" t="s">
        <v>1748</v>
      </c>
      <c r="G2107" s="37" t="s">
        <v>7418</v>
      </c>
      <c r="H2107" s="36" t="s">
        <v>4007</v>
      </c>
      <c r="I2107" s="35" t="s">
        <v>7419</v>
      </c>
      <c r="J2107" s="36" t="s">
        <v>914</v>
      </c>
      <c r="K2107" s="33" t="s">
        <v>916</v>
      </c>
      <c r="L2107" s="35" t="s">
        <v>916</v>
      </c>
      <c r="M2107" s="36" t="s">
        <v>916</v>
      </c>
      <c r="N2107" s="45">
        <v>46022</v>
      </c>
      <c r="O2107" s="36" t="s">
        <v>25</v>
      </c>
      <c r="P2107" s="38">
        <v>110.52190972219999</v>
      </c>
      <c r="Q2107" s="39" t="s">
        <v>2722</v>
      </c>
      <c r="R2107" s="35" t="s">
        <v>916</v>
      </c>
      <c r="S2107" s="35" t="s">
        <v>7420</v>
      </c>
      <c r="T2107" s="35" t="s">
        <v>1701</v>
      </c>
      <c r="U2107" s="40">
        <v>45912</v>
      </c>
      <c r="V2107" s="41">
        <v>46153.533055555556</v>
      </c>
      <c r="W2107" s="40">
        <v>45911</v>
      </c>
      <c r="X2107" s="35" t="s">
        <v>916</v>
      </c>
      <c r="Y2107" s="35" t="s">
        <v>916</v>
      </c>
      <c r="Z2107" s="35" t="s">
        <v>916</v>
      </c>
      <c r="AA2107" s="38">
        <v>2652.5258333328002</v>
      </c>
      <c r="AB2107" s="42" t="s">
        <v>916</v>
      </c>
      <c r="AC2107" s="43" t="s">
        <v>916</v>
      </c>
      <c r="AD2107" s="43" t="s">
        <v>916</v>
      </c>
      <c r="AE2107" s="33" t="s">
        <v>3982</v>
      </c>
      <c r="AF2107" s="35" t="s">
        <v>916</v>
      </c>
      <c r="AG2107" s="44">
        <v>488219.47416666668</v>
      </c>
      <c r="AH2107" s="42" t="s">
        <v>916</v>
      </c>
      <c r="AI2107" s="32" t="e">
        <f>VLOOKUP(A2107,'4月明細'!B:B,1,0)</f>
        <v>#N/A</v>
      </c>
    </row>
    <row r="2108" spans="1:35" ht="19.95" customHeight="1" x14ac:dyDescent="0.3">
      <c r="A2108" s="33" t="s">
        <v>7421</v>
      </c>
      <c r="B2108" s="34">
        <v>45911.473182870373</v>
      </c>
      <c r="C2108" s="34" t="str">
        <f t="shared" si="45"/>
        <v>202509</v>
      </c>
      <c r="D2108" s="35" t="s">
        <v>5380</v>
      </c>
      <c r="E2108" s="36" t="s">
        <v>910</v>
      </c>
      <c r="F2108" s="36" t="s">
        <v>1713</v>
      </c>
      <c r="G2108" s="37" t="s">
        <v>7422</v>
      </c>
      <c r="H2108" s="36" t="s">
        <v>4162</v>
      </c>
      <c r="I2108" s="35" t="s">
        <v>7423</v>
      </c>
      <c r="J2108" s="36" t="s">
        <v>914</v>
      </c>
      <c r="K2108" s="33" t="s">
        <v>916</v>
      </c>
      <c r="L2108" s="35" t="s">
        <v>916</v>
      </c>
      <c r="M2108" s="36" t="s">
        <v>916</v>
      </c>
      <c r="N2108" s="45">
        <v>46022</v>
      </c>
      <c r="O2108" s="36" t="s">
        <v>25</v>
      </c>
      <c r="P2108" s="38">
        <v>110.5268171296</v>
      </c>
      <c r="Q2108" s="39" t="s">
        <v>1366</v>
      </c>
      <c r="R2108" s="35" t="s">
        <v>916</v>
      </c>
      <c r="S2108" s="35"/>
      <c r="T2108" s="35" t="s">
        <v>1701</v>
      </c>
      <c r="U2108" s="40">
        <v>45912</v>
      </c>
      <c r="V2108" s="41">
        <v>46153.533055555556</v>
      </c>
      <c r="W2108" s="40">
        <v>45911</v>
      </c>
      <c r="X2108" s="35" t="s">
        <v>916</v>
      </c>
      <c r="Y2108" s="35" t="s">
        <v>916</v>
      </c>
      <c r="Z2108" s="35" t="s">
        <v>916</v>
      </c>
      <c r="AA2108" s="38">
        <v>2652.6436111103999</v>
      </c>
      <c r="AB2108" s="42" t="s">
        <v>916</v>
      </c>
      <c r="AC2108" s="43" t="s">
        <v>916</v>
      </c>
      <c r="AD2108" s="43" t="s">
        <v>916</v>
      </c>
      <c r="AE2108" s="33" t="s">
        <v>3982</v>
      </c>
      <c r="AF2108" s="35" t="s">
        <v>916</v>
      </c>
      <c r="AG2108" s="44">
        <v>488219.3563888889</v>
      </c>
      <c r="AH2108" s="42" t="s">
        <v>916</v>
      </c>
      <c r="AI2108" s="32" t="e">
        <f>VLOOKUP(A2108,'4月明細'!B:B,1,0)</f>
        <v>#N/A</v>
      </c>
    </row>
    <row r="2109" spans="1:35" ht="19.95" customHeight="1" x14ac:dyDescent="0.3">
      <c r="A2109" s="33" t="s">
        <v>7424</v>
      </c>
      <c r="B2109" s="34">
        <v>45911.458703703705</v>
      </c>
      <c r="C2109" s="34" t="str">
        <f t="shared" si="45"/>
        <v>202509</v>
      </c>
      <c r="D2109" s="35" t="s">
        <v>996</v>
      </c>
      <c r="E2109" s="36" t="s">
        <v>910</v>
      </c>
      <c r="F2109" s="36" t="s">
        <v>1591</v>
      </c>
      <c r="G2109" s="37" t="s">
        <v>7425</v>
      </c>
      <c r="H2109" s="36" t="s">
        <v>913</v>
      </c>
      <c r="I2109" s="35"/>
      <c r="J2109" s="36" t="s">
        <v>929</v>
      </c>
      <c r="K2109" s="33" t="s">
        <v>916</v>
      </c>
      <c r="L2109" s="35" t="s">
        <v>916</v>
      </c>
      <c r="M2109" s="36" t="s">
        <v>916</v>
      </c>
      <c r="N2109" s="45">
        <v>46022</v>
      </c>
      <c r="O2109" s="36" t="s">
        <v>25</v>
      </c>
      <c r="P2109" s="38">
        <v>110.5412962963</v>
      </c>
      <c r="Q2109" s="39" t="s">
        <v>7426</v>
      </c>
      <c r="R2109" s="35" t="s">
        <v>916</v>
      </c>
      <c r="S2109" s="35"/>
      <c r="T2109" s="35" t="s">
        <v>1701</v>
      </c>
      <c r="U2109" s="40">
        <v>45912</v>
      </c>
      <c r="V2109" s="41">
        <v>46153.533055555556</v>
      </c>
      <c r="W2109" s="40">
        <v>45911</v>
      </c>
      <c r="X2109" s="35" t="s">
        <v>916</v>
      </c>
      <c r="Y2109" s="35" t="s">
        <v>916</v>
      </c>
      <c r="Z2109" s="35" t="s">
        <v>916</v>
      </c>
      <c r="AA2109" s="38">
        <v>2652.9911111112001</v>
      </c>
      <c r="AB2109" s="42" t="s">
        <v>916</v>
      </c>
      <c r="AC2109" s="43" t="s">
        <v>916</v>
      </c>
      <c r="AD2109" s="43" t="s">
        <v>916</v>
      </c>
      <c r="AE2109" s="33" t="s">
        <v>3982</v>
      </c>
      <c r="AF2109" s="35" t="s">
        <v>916</v>
      </c>
      <c r="AG2109" s="44">
        <v>488219.00888888887</v>
      </c>
      <c r="AH2109" s="42" t="s">
        <v>916</v>
      </c>
      <c r="AI2109" s="32" t="e">
        <f>VLOOKUP(A2109,'4月明細'!B:B,1,0)</f>
        <v>#N/A</v>
      </c>
    </row>
    <row r="2110" spans="1:35" ht="19.95" customHeight="1" x14ac:dyDescent="0.3">
      <c r="A2110" s="33" t="s">
        <v>7427</v>
      </c>
      <c r="B2110" s="34">
        <v>45911.457835648151</v>
      </c>
      <c r="C2110" s="34" t="str">
        <f t="shared" si="45"/>
        <v>202509</v>
      </c>
      <c r="D2110" s="35" t="s">
        <v>5380</v>
      </c>
      <c r="E2110" s="36" t="s">
        <v>910</v>
      </c>
      <c r="F2110" s="36" t="s">
        <v>1017</v>
      </c>
      <c r="G2110" s="37" t="s">
        <v>927</v>
      </c>
      <c r="H2110" s="36" t="s">
        <v>3979</v>
      </c>
      <c r="I2110" s="35" t="s">
        <v>7428</v>
      </c>
      <c r="J2110" s="36" t="s">
        <v>929</v>
      </c>
      <c r="K2110" s="33" t="s">
        <v>916</v>
      </c>
      <c r="L2110" s="35" t="s">
        <v>916</v>
      </c>
      <c r="M2110" s="36" t="s">
        <v>916</v>
      </c>
      <c r="N2110" s="45">
        <v>46022</v>
      </c>
      <c r="O2110" s="36" t="s">
        <v>25</v>
      </c>
      <c r="P2110" s="38">
        <v>110.5421643518</v>
      </c>
      <c r="Q2110" s="39" t="s">
        <v>1366</v>
      </c>
      <c r="R2110" s="35" t="s">
        <v>916</v>
      </c>
      <c r="S2110" s="35"/>
      <c r="T2110" s="35" t="s">
        <v>1701</v>
      </c>
      <c r="U2110" s="40">
        <v>45912</v>
      </c>
      <c r="V2110" s="41">
        <v>46153.533055555556</v>
      </c>
      <c r="W2110" s="40">
        <v>45911</v>
      </c>
      <c r="X2110" s="35" t="s">
        <v>916</v>
      </c>
      <c r="Y2110" s="35" t="s">
        <v>916</v>
      </c>
      <c r="Z2110" s="35" t="s">
        <v>916</v>
      </c>
      <c r="AA2110" s="38">
        <v>2653.0119444431998</v>
      </c>
      <c r="AB2110" s="42" t="s">
        <v>916</v>
      </c>
      <c r="AC2110" s="43" t="s">
        <v>916</v>
      </c>
      <c r="AD2110" s="43" t="s">
        <v>916</v>
      </c>
      <c r="AE2110" s="33" t="s">
        <v>3982</v>
      </c>
      <c r="AF2110" s="35" t="s">
        <v>916</v>
      </c>
      <c r="AG2110" s="44">
        <v>488218.98805555562</v>
      </c>
      <c r="AH2110" s="42" t="s">
        <v>916</v>
      </c>
      <c r="AI2110" s="32" t="e">
        <f>VLOOKUP(A2110,'4月明細'!B:B,1,0)</f>
        <v>#N/A</v>
      </c>
    </row>
    <row r="2111" spans="1:35" ht="19.95" customHeight="1" x14ac:dyDescent="0.3">
      <c r="A2111" s="33" t="s">
        <v>7429</v>
      </c>
      <c r="B2111" s="34">
        <v>45911.45753472222</v>
      </c>
      <c r="C2111" s="34" t="str">
        <f t="shared" si="45"/>
        <v>202509</v>
      </c>
      <c r="D2111" s="35" t="s">
        <v>996</v>
      </c>
      <c r="E2111" s="36" t="s">
        <v>910</v>
      </c>
      <c r="F2111" s="36" t="s">
        <v>1591</v>
      </c>
      <c r="G2111" s="37" t="s">
        <v>7430</v>
      </c>
      <c r="H2111" s="36" t="s">
        <v>4185</v>
      </c>
      <c r="I2111" s="35" t="s">
        <v>7431</v>
      </c>
      <c r="J2111" s="36" t="s">
        <v>929</v>
      </c>
      <c r="K2111" s="33" t="s">
        <v>916</v>
      </c>
      <c r="L2111" s="35" t="s">
        <v>916</v>
      </c>
      <c r="M2111" s="36" t="s">
        <v>916</v>
      </c>
      <c r="N2111" s="45">
        <v>46022</v>
      </c>
      <c r="O2111" s="36" t="s">
        <v>25</v>
      </c>
      <c r="P2111" s="38">
        <v>110.54246527780001</v>
      </c>
      <c r="Q2111" s="39" t="s">
        <v>7432</v>
      </c>
      <c r="R2111" s="35" t="s">
        <v>916</v>
      </c>
      <c r="S2111" s="35"/>
      <c r="T2111" s="35" t="s">
        <v>1701</v>
      </c>
      <c r="U2111" s="40">
        <v>45912</v>
      </c>
      <c r="V2111" s="41">
        <v>46153.533055555556</v>
      </c>
      <c r="W2111" s="40">
        <v>45911</v>
      </c>
      <c r="X2111" s="35" t="s">
        <v>916</v>
      </c>
      <c r="Y2111" s="35" t="s">
        <v>916</v>
      </c>
      <c r="Z2111" s="35" t="s">
        <v>916</v>
      </c>
      <c r="AA2111" s="38">
        <v>2653.0191666671999</v>
      </c>
      <c r="AB2111" s="42" t="s">
        <v>916</v>
      </c>
      <c r="AC2111" s="43" t="s">
        <v>916</v>
      </c>
      <c r="AD2111" s="43" t="s">
        <v>916</v>
      </c>
      <c r="AE2111" s="33" t="s">
        <v>3982</v>
      </c>
      <c r="AF2111" s="35" t="s">
        <v>916</v>
      </c>
      <c r="AG2111" s="44">
        <v>488218.98083333328</v>
      </c>
      <c r="AH2111" s="42" t="s">
        <v>916</v>
      </c>
      <c r="AI2111" s="32" t="e">
        <f>VLOOKUP(A2111,'4月明細'!B:B,1,0)</f>
        <v>#N/A</v>
      </c>
    </row>
    <row r="2112" spans="1:35" ht="19.95" customHeight="1" x14ac:dyDescent="0.3">
      <c r="A2112" s="33" t="s">
        <v>7433</v>
      </c>
      <c r="B2112" s="34">
        <v>45910.921261574076</v>
      </c>
      <c r="C2112" s="34" t="str">
        <f t="shared" si="45"/>
        <v>202509</v>
      </c>
      <c r="D2112" s="35" t="s">
        <v>1168</v>
      </c>
      <c r="E2112" s="36" t="s">
        <v>1112</v>
      </c>
      <c r="F2112" s="36" t="s">
        <v>1010</v>
      </c>
      <c r="G2112" s="37" t="s">
        <v>7434</v>
      </c>
      <c r="H2112" s="36" t="s">
        <v>913</v>
      </c>
      <c r="I2112" s="35"/>
      <c r="J2112" s="36" t="s">
        <v>945</v>
      </c>
      <c r="K2112" s="33" t="s">
        <v>916</v>
      </c>
      <c r="L2112" s="35" t="s">
        <v>916</v>
      </c>
      <c r="M2112" s="36" t="s">
        <v>916</v>
      </c>
      <c r="N2112" s="45">
        <v>46022</v>
      </c>
      <c r="O2112" s="36" t="s">
        <v>25</v>
      </c>
      <c r="P2112" s="38">
        <v>111.0787384259</v>
      </c>
      <c r="Q2112" s="39" t="s">
        <v>7435</v>
      </c>
      <c r="R2112" s="35" t="s">
        <v>916</v>
      </c>
      <c r="S2112" s="35"/>
      <c r="T2112" s="35" t="s">
        <v>1701</v>
      </c>
      <c r="U2112" s="40">
        <v>45911</v>
      </c>
      <c r="V2112" s="41">
        <v>46153.533055555556</v>
      </c>
      <c r="W2112" s="40">
        <v>45911</v>
      </c>
      <c r="X2112" s="35" t="s">
        <v>916</v>
      </c>
      <c r="Y2112" s="35" t="s">
        <v>916</v>
      </c>
      <c r="Z2112" s="35" t="s">
        <v>916</v>
      </c>
      <c r="AA2112" s="38">
        <v>2665.8897222216001</v>
      </c>
      <c r="AB2112" s="42" t="s">
        <v>916</v>
      </c>
      <c r="AC2112" s="43" t="s">
        <v>916</v>
      </c>
      <c r="AD2112" s="43" t="s">
        <v>916</v>
      </c>
      <c r="AE2112" s="33" t="s">
        <v>3982</v>
      </c>
      <c r="AF2112" s="35" t="s">
        <v>916</v>
      </c>
      <c r="AG2112" s="44">
        <v>488206.11027777783</v>
      </c>
      <c r="AH2112" s="42" t="s">
        <v>916</v>
      </c>
      <c r="AI2112" s="32" t="e">
        <f>VLOOKUP(A2112,'4月明細'!B:B,1,0)</f>
        <v>#N/A</v>
      </c>
    </row>
    <row r="2113" spans="1:35" ht="19.95" customHeight="1" x14ac:dyDescent="0.3">
      <c r="A2113" s="33" t="s">
        <v>7436</v>
      </c>
      <c r="B2113" s="34">
        <v>45910.698148148149</v>
      </c>
      <c r="C2113" s="34" t="str">
        <f t="shared" si="45"/>
        <v>202509</v>
      </c>
      <c r="D2113" s="35" t="s">
        <v>996</v>
      </c>
      <c r="E2113" s="36" t="s">
        <v>910</v>
      </c>
      <c r="F2113" s="36" t="s">
        <v>1531</v>
      </c>
      <c r="G2113" s="37" t="s">
        <v>7437</v>
      </c>
      <c r="H2113" s="36" t="s">
        <v>3979</v>
      </c>
      <c r="I2113" s="35"/>
      <c r="J2113" s="36" t="s">
        <v>914</v>
      </c>
      <c r="K2113" s="33" t="s">
        <v>916</v>
      </c>
      <c r="L2113" s="35" t="s">
        <v>916</v>
      </c>
      <c r="M2113" s="36" t="s">
        <v>916</v>
      </c>
      <c r="N2113" s="45">
        <v>46022</v>
      </c>
      <c r="O2113" s="36" t="s">
        <v>25</v>
      </c>
      <c r="P2113" s="38">
        <v>111.3018518519</v>
      </c>
      <c r="Q2113" s="39" t="s">
        <v>1328</v>
      </c>
      <c r="R2113" s="35" t="s">
        <v>916</v>
      </c>
      <c r="S2113" s="35"/>
      <c r="T2113" s="35" t="s">
        <v>1701</v>
      </c>
      <c r="U2113" s="40">
        <v>45911</v>
      </c>
      <c r="V2113" s="41">
        <v>46153.533055555556</v>
      </c>
      <c r="W2113" s="40">
        <v>45910</v>
      </c>
      <c r="X2113" s="35" t="s">
        <v>916</v>
      </c>
      <c r="Y2113" s="35" t="s">
        <v>916</v>
      </c>
      <c r="Z2113" s="35" t="s">
        <v>916</v>
      </c>
      <c r="AA2113" s="38">
        <v>2671.2444444456</v>
      </c>
      <c r="AB2113" s="42" t="s">
        <v>916</v>
      </c>
      <c r="AC2113" s="43" t="s">
        <v>916</v>
      </c>
      <c r="AD2113" s="43" t="s">
        <v>916</v>
      </c>
      <c r="AE2113" s="33" t="s">
        <v>3982</v>
      </c>
      <c r="AF2113" s="35" t="s">
        <v>916</v>
      </c>
      <c r="AG2113" s="44">
        <v>488200.75555555557</v>
      </c>
      <c r="AH2113" s="42" t="s">
        <v>916</v>
      </c>
      <c r="AI2113" s="32" t="e">
        <f>VLOOKUP(A2113,'4月明細'!B:B,1,0)</f>
        <v>#N/A</v>
      </c>
    </row>
    <row r="2114" spans="1:35" ht="19.95" customHeight="1" x14ac:dyDescent="0.3">
      <c r="A2114" s="33" t="s">
        <v>7438</v>
      </c>
      <c r="B2114" s="34">
        <v>45910.635162037041</v>
      </c>
      <c r="C2114" s="34" t="str">
        <f t="shared" si="45"/>
        <v>202509</v>
      </c>
      <c r="D2114" s="35" t="s">
        <v>6389</v>
      </c>
      <c r="E2114" s="36" t="s">
        <v>910</v>
      </c>
      <c r="F2114" s="36" t="s">
        <v>2300</v>
      </c>
      <c r="G2114" s="37" t="s">
        <v>7439</v>
      </c>
      <c r="H2114" s="36" t="s">
        <v>956</v>
      </c>
      <c r="I2114" s="35" t="s">
        <v>7440</v>
      </c>
      <c r="J2114" s="36" t="s">
        <v>914</v>
      </c>
      <c r="K2114" s="33" t="s">
        <v>916</v>
      </c>
      <c r="L2114" s="35" t="s">
        <v>916</v>
      </c>
      <c r="M2114" s="36" t="s">
        <v>916</v>
      </c>
      <c r="N2114" s="45">
        <v>46022</v>
      </c>
      <c r="O2114" s="36" t="s">
        <v>25</v>
      </c>
      <c r="P2114" s="38">
        <v>111.364837963</v>
      </c>
      <c r="Q2114" s="39" t="s">
        <v>7441</v>
      </c>
      <c r="R2114" s="35" t="s">
        <v>916</v>
      </c>
      <c r="S2114" s="35" t="s">
        <v>7442</v>
      </c>
      <c r="T2114" s="35" t="s">
        <v>1701</v>
      </c>
      <c r="U2114" s="40">
        <v>45911</v>
      </c>
      <c r="V2114" s="41">
        <v>46153.533055555556</v>
      </c>
      <c r="W2114" s="40">
        <v>45910</v>
      </c>
      <c r="X2114" s="35" t="s">
        <v>916</v>
      </c>
      <c r="Y2114" s="35" t="s">
        <v>916</v>
      </c>
      <c r="Z2114" s="35" t="s">
        <v>916</v>
      </c>
      <c r="AA2114" s="38">
        <v>2672.7561111119999</v>
      </c>
      <c r="AB2114" s="42" t="s">
        <v>916</v>
      </c>
      <c r="AC2114" s="43" t="s">
        <v>916</v>
      </c>
      <c r="AD2114" s="43" t="s">
        <v>916</v>
      </c>
      <c r="AE2114" s="33" t="s">
        <v>3982</v>
      </c>
      <c r="AF2114" s="35" t="s">
        <v>916</v>
      </c>
      <c r="AG2114" s="44">
        <v>488199.24388888892</v>
      </c>
      <c r="AH2114" s="42" t="s">
        <v>916</v>
      </c>
      <c r="AI2114" s="32" t="e">
        <f>VLOOKUP(A2114,'4月明細'!B:B,1,0)</f>
        <v>#N/A</v>
      </c>
    </row>
    <row r="2115" spans="1:35" ht="19.95" customHeight="1" x14ac:dyDescent="0.3">
      <c r="A2115" s="33" t="s">
        <v>7443</v>
      </c>
      <c r="B2115" s="34">
        <v>45910.548310185186</v>
      </c>
      <c r="C2115" s="34" t="str">
        <f t="shared" ref="C2115:C2178" si="46">TEXT(B2115,"YYYYMM")</f>
        <v>202509</v>
      </c>
      <c r="D2115" s="35" t="s">
        <v>6389</v>
      </c>
      <c r="E2115" s="36" t="s">
        <v>910</v>
      </c>
      <c r="F2115" s="36" t="s">
        <v>1693</v>
      </c>
      <c r="G2115" s="37" t="s">
        <v>7444</v>
      </c>
      <c r="H2115" s="36" t="s">
        <v>4185</v>
      </c>
      <c r="I2115" s="35"/>
      <c r="J2115" s="36" t="s">
        <v>914</v>
      </c>
      <c r="K2115" s="33" t="s">
        <v>916</v>
      </c>
      <c r="L2115" s="35" t="s">
        <v>916</v>
      </c>
      <c r="M2115" s="36" t="s">
        <v>916</v>
      </c>
      <c r="N2115" s="45">
        <v>46022</v>
      </c>
      <c r="O2115" s="36" t="s">
        <v>25</v>
      </c>
      <c r="P2115" s="38">
        <v>111.45168981480001</v>
      </c>
      <c r="Q2115" s="39" t="s">
        <v>6062</v>
      </c>
      <c r="R2115" s="35" t="s">
        <v>916</v>
      </c>
      <c r="S2115" s="35" t="s">
        <v>7445</v>
      </c>
      <c r="T2115" s="35" t="s">
        <v>1701</v>
      </c>
      <c r="U2115" s="40">
        <v>45911</v>
      </c>
      <c r="V2115" s="41">
        <v>46153.533055555556</v>
      </c>
      <c r="W2115" s="40">
        <v>45910</v>
      </c>
      <c r="X2115" s="35" t="s">
        <v>916</v>
      </c>
      <c r="Y2115" s="35" t="s">
        <v>916</v>
      </c>
      <c r="Z2115" s="35" t="s">
        <v>916</v>
      </c>
      <c r="AA2115" s="38">
        <v>2674.8405555551999</v>
      </c>
      <c r="AB2115" s="42" t="s">
        <v>916</v>
      </c>
      <c r="AC2115" s="43" t="s">
        <v>916</v>
      </c>
      <c r="AD2115" s="43" t="s">
        <v>916</v>
      </c>
      <c r="AE2115" s="33" t="s">
        <v>3982</v>
      </c>
      <c r="AF2115" s="35" t="s">
        <v>916</v>
      </c>
      <c r="AG2115" s="44">
        <v>488197.15944444452</v>
      </c>
      <c r="AH2115" s="42" t="s">
        <v>916</v>
      </c>
      <c r="AI2115" s="32" t="e">
        <f>VLOOKUP(A2115,'4月明細'!B:B,1,0)</f>
        <v>#N/A</v>
      </c>
    </row>
    <row r="2116" spans="1:35" ht="19.95" customHeight="1" x14ac:dyDescent="0.3">
      <c r="A2116" s="33" t="s">
        <v>7446</v>
      </c>
      <c r="B2116" s="34">
        <v>45910.52888888889</v>
      </c>
      <c r="C2116" s="34" t="str">
        <f t="shared" si="46"/>
        <v>202509</v>
      </c>
      <c r="D2116" s="35" t="s">
        <v>6389</v>
      </c>
      <c r="E2116" s="36" t="s">
        <v>910</v>
      </c>
      <c r="F2116" s="36" t="s">
        <v>1885</v>
      </c>
      <c r="G2116" s="37" t="s">
        <v>7447</v>
      </c>
      <c r="H2116" s="36" t="s">
        <v>1043</v>
      </c>
      <c r="I2116" s="35"/>
      <c r="J2116" s="36" t="s">
        <v>914</v>
      </c>
      <c r="K2116" s="33" t="s">
        <v>916</v>
      </c>
      <c r="L2116" s="35" t="s">
        <v>916</v>
      </c>
      <c r="M2116" s="36" t="s">
        <v>916</v>
      </c>
      <c r="N2116" s="45">
        <v>46022</v>
      </c>
      <c r="O2116" s="36" t="s">
        <v>25</v>
      </c>
      <c r="P2116" s="38">
        <v>111.4711111111</v>
      </c>
      <c r="Q2116" s="39" t="s">
        <v>7448</v>
      </c>
      <c r="R2116" s="35" t="s">
        <v>916</v>
      </c>
      <c r="S2116" s="35"/>
      <c r="T2116" s="35" t="s">
        <v>1701</v>
      </c>
      <c r="U2116" s="40">
        <v>45911</v>
      </c>
      <c r="V2116" s="41">
        <v>46153.533055555556</v>
      </c>
      <c r="W2116" s="40">
        <v>45910</v>
      </c>
      <c r="X2116" s="35" t="s">
        <v>916</v>
      </c>
      <c r="Y2116" s="35" t="s">
        <v>916</v>
      </c>
      <c r="Z2116" s="35" t="s">
        <v>916</v>
      </c>
      <c r="AA2116" s="38">
        <v>2675.3066666663999</v>
      </c>
      <c r="AB2116" s="42" t="s">
        <v>916</v>
      </c>
      <c r="AC2116" s="43" t="s">
        <v>916</v>
      </c>
      <c r="AD2116" s="43" t="s">
        <v>916</v>
      </c>
      <c r="AE2116" s="33" t="s">
        <v>3982</v>
      </c>
      <c r="AF2116" s="35" t="s">
        <v>916</v>
      </c>
      <c r="AG2116" s="44">
        <v>488196.69333333342</v>
      </c>
      <c r="AH2116" s="42" t="s">
        <v>916</v>
      </c>
      <c r="AI2116" s="32" t="e">
        <f>VLOOKUP(A2116,'4月明細'!B:B,1,0)</f>
        <v>#N/A</v>
      </c>
    </row>
    <row r="2117" spans="1:35" ht="19.95" customHeight="1" x14ac:dyDescent="0.3">
      <c r="A2117" s="33" t="s">
        <v>7449</v>
      </c>
      <c r="B2117" s="34">
        <v>45910.520011574074</v>
      </c>
      <c r="C2117" s="34" t="str">
        <f t="shared" si="46"/>
        <v>202509</v>
      </c>
      <c r="D2117" s="35" t="s">
        <v>6389</v>
      </c>
      <c r="E2117" s="36" t="s">
        <v>910</v>
      </c>
      <c r="F2117" s="36" t="s">
        <v>1138</v>
      </c>
      <c r="G2117" s="37" t="s">
        <v>7450</v>
      </c>
      <c r="H2117" s="36" t="s">
        <v>5083</v>
      </c>
      <c r="I2117" s="35"/>
      <c r="J2117" s="36" t="s">
        <v>945</v>
      </c>
      <c r="K2117" s="33" t="s">
        <v>916</v>
      </c>
      <c r="L2117" s="35" t="s">
        <v>916</v>
      </c>
      <c r="M2117" s="36" t="s">
        <v>916</v>
      </c>
      <c r="N2117" s="45">
        <v>46022</v>
      </c>
      <c r="O2117" s="36" t="s">
        <v>25</v>
      </c>
      <c r="P2117" s="38">
        <v>111.4799884259</v>
      </c>
      <c r="Q2117" s="39" t="s">
        <v>7451</v>
      </c>
      <c r="R2117" s="35" t="s">
        <v>916</v>
      </c>
      <c r="S2117" s="35"/>
      <c r="T2117" s="35" t="s">
        <v>1701</v>
      </c>
      <c r="U2117" s="40">
        <v>45911</v>
      </c>
      <c r="V2117" s="41">
        <v>46153.533055555556</v>
      </c>
      <c r="W2117" s="40">
        <v>45910</v>
      </c>
      <c r="X2117" s="35" t="s">
        <v>916</v>
      </c>
      <c r="Y2117" s="35" t="s">
        <v>916</v>
      </c>
      <c r="Z2117" s="35" t="s">
        <v>916</v>
      </c>
      <c r="AA2117" s="38">
        <v>2675.5197222216002</v>
      </c>
      <c r="AB2117" s="42" t="s">
        <v>916</v>
      </c>
      <c r="AC2117" s="43" t="s">
        <v>916</v>
      </c>
      <c r="AD2117" s="43" t="s">
        <v>916</v>
      </c>
      <c r="AE2117" s="33" t="s">
        <v>3982</v>
      </c>
      <c r="AF2117" s="35" t="s">
        <v>916</v>
      </c>
      <c r="AG2117" s="44">
        <v>488196.48027777782</v>
      </c>
      <c r="AH2117" s="42" t="s">
        <v>916</v>
      </c>
      <c r="AI2117" s="32" t="e">
        <f>VLOOKUP(A2117,'4月明細'!B:B,1,0)</f>
        <v>#N/A</v>
      </c>
    </row>
    <row r="2118" spans="1:35" ht="19.95" customHeight="1" x14ac:dyDescent="0.3">
      <c r="A2118" s="33" t="s">
        <v>7452</v>
      </c>
      <c r="B2118" s="34">
        <v>45910.518807870372</v>
      </c>
      <c r="C2118" s="34" t="str">
        <f t="shared" si="46"/>
        <v>202509</v>
      </c>
      <c r="D2118" s="35" t="s">
        <v>6389</v>
      </c>
      <c r="E2118" s="36" t="s">
        <v>910</v>
      </c>
      <c r="F2118" s="36" t="s">
        <v>1634</v>
      </c>
      <c r="G2118" s="37" t="s">
        <v>7453</v>
      </c>
      <c r="H2118" s="36" t="s">
        <v>4060</v>
      </c>
      <c r="I2118" s="35"/>
      <c r="J2118" s="36" t="s">
        <v>914</v>
      </c>
      <c r="K2118" s="33" t="s">
        <v>916</v>
      </c>
      <c r="L2118" s="35" t="s">
        <v>916</v>
      </c>
      <c r="M2118" s="36" t="s">
        <v>916</v>
      </c>
      <c r="N2118" s="45">
        <v>46022</v>
      </c>
      <c r="O2118" s="36" t="s">
        <v>25</v>
      </c>
      <c r="P2118" s="38">
        <v>111.4811921296</v>
      </c>
      <c r="Q2118" s="39" t="s">
        <v>1328</v>
      </c>
      <c r="R2118" s="35" t="s">
        <v>916</v>
      </c>
      <c r="S2118" s="35" t="s">
        <v>7454</v>
      </c>
      <c r="T2118" s="35" t="s">
        <v>1701</v>
      </c>
      <c r="U2118" s="40">
        <v>45911</v>
      </c>
      <c r="V2118" s="41">
        <v>46153.533055555556</v>
      </c>
      <c r="W2118" s="40">
        <v>45910</v>
      </c>
      <c r="X2118" s="35" t="s">
        <v>916</v>
      </c>
      <c r="Y2118" s="35" t="s">
        <v>916</v>
      </c>
      <c r="Z2118" s="35" t="s">
        <v>916</v>
      </c>
      <c r="AA2118" s="38">
        <v>2675.5486111104001</v>
      </c>
      <c r="AB2118" s="42" t="s">
        <v>916</v>
      </c>
      <c r="AC2118" s="43" t="s">
        <v>916</v>
      </c>
      <c r="AD2118" s="43" t="s">
        <v>916</v>
      </c>
      <c r="AE2118" s="33" t="s">
        <v>3982</v>
      </c>
      <c r="AF2118" s="35" t="s">
        <v>916</v>
      </c>
      <c r="AG2118" s="44">
        <v>488196.45138888888</v>
      </c>
      <c r="AH2118" s="42" t="s">
        <v>916</v>
      </c>
      <c r="AI2118" s="32" t="e">
        <f>VLOOKUP(A2118,'4月明細'!B:B,1,0)</f>
        <v>#N/A</v>
      </c>
    </row>
    <row r="2119" spans="1:35" ht="19.95" customHeight="1" x14ac:dyDescent="0.3">
      <c r="A2119" s="33" t="s">
        <v>7455</v>
      </c>
      <c r="B2119" s="34">
        <v>45910.517106481479</v>
      </c>
      <c r="C2119" s="34" t="str">
        <f t="shared" si="46"/>
        <v>202509</v>
      </c>
      <c r="D2119" s="35" t="s">
        <v>996</v>
      </c>
      <c r="E2119" s="36" t="s">
        <v>910</v>
      </c>
      <c r="F2119" s="36" t="s">
        <v>1584</v>
      </c>
      <c r="G2119" s="37" t="s">
        <v>7456</v>
      </c>
      <c r="H2119" s="36" t="s">
        <v>1079</v>
      </c>
      <c r="I2119" s="35"/>
      <c r="J2119" s="36" t="s">
        <v>929</v>
      </c>
      <c r="K2119" s="33" t="s">
        <v>916</v>
      </c>
      <c r="L2119" s="35" t="s">
        <v>916</v>
      </c>
      <c r="M2119" s="36" t="s">
        <v>916</v>
      </c>
      <c r="N2119" s="45">
        <v>46022</v>
      </c>
      <c r="O2119" s="36" t="s">
        <v>25</v>
      </c>
      <c r="P2119" s="38">
        <v>111.48289351850001</v>
      </c>
      <c r="Q2119" s="39" t="s">
        <v>7457</v>
      </c>
      <c r="R2119" s="35" t="s">
        <v>916</v>
      </c>
      <c r="S2119" s="35"/>
      <c r="T2119" s="35" t="s">
        <v>1701</v>
      </c>
      <c r="U2119" s="40">
        <v>45911</v>
      </c>
      <c r="V2119" s="41">
        <v>46153.533055555556</v>
      </c>
      <c r="W2119" s="40">
        <v>45910</v>
      </c>
      <c r="X2119" s="35" t="s">
        <v>916</v>
      </c>
      <c r="Y2119" s="35" t="s">
        <v>916</v>
      </c>
      <c r="Z2119" s="35" t="s">
        <v>916</v>
      </c>
      <c r="AA2119" s="38">
        <v>2675.589444444</v>
      </c>
      <c r="AB2119" s="42" t="s">
        <v>916</v>
      </c>
      <c r="AC2119" s="43" t="s">
        <v>916</v>
      </c>
      <c r="AD2119" s="43" t="s">
        <v>916</v>
      </c>
      <c r="AE2119" s="33" t="s">
        <v>3982</v>
      </c>
      <c r="AF2119" s="35" t="s">
        <v>916</v>
      </c>
      <c r="AG2119" s="44">
        <v>488196.4105555556</v>
      </c>
      <c r="AH2119" s="42" t="s">
        <v>916</v>
      </c>
      <c r="AI2119" s="32" t="e">
        <f>VLOOKUP(A2119,'4月明細'!B:B,1,0)</f>
        <v>#N/A</v>
      </c>
    </row>
    <row r="2120" spans="1:35" ht="19.95" customHeight="1" x14ac:dyDescent="0.3">
      <c r="A2120" s="33" t="s">
        <v>7458</v>
      </c>
      <c r="B2120" s="34">
        <v>45910.514097222222</v>
      </c>
      <c r="C2120" s="34" t="str">
        <f t="shared" si="46"/>
        <v>202509</v>
      </c>
      <c r="D2120" s="35" t="s">
        <v>1597</v>
      </c>
      <c r="E2120" s="36" t="s">
        <v>1112</v>
      </c>
      <c r="F2120" s="36" t="s">
        <v>1050</v>
      </c>
      <c r="G2120" s="37" t="s">
        <v>7459</v>
      </c>
      <c r="H2120" s="36" t="s">
        <v>5106</v>
      </c>
      <c r="I2120" s="35"/>
      <c r="J2120" s="36" t="s">
        <v>929</v>
      </c>
      <c r="K2120" s="33" t="s">
        <v>916</v>
      </c>
      <c r="L2120" s="35" t="s">
        <v>916</v>
      </c>
      <c r="M2120" s="36" t="s">
        <v>916</v>
      </c>
      <c r="N2120" s="45">
        <v>46022</v>
      </c>
      <c r="O2120" s="36" t="s">
        <v>25</v>
      </c>
      <c r="P2120" s="38">
        <v>111.48590277780001</v>
      </c>
      <c r="Q2120" s="39" t="s">
        <v>7460</v>
      </c>
      <c r="R2120" s="35" t="s">
        <v>916</v>
      </c>
      <c r="S2120" s="35"/>
      <c r="T2120" s="35" t="s">
        <v>1701</v>
      </c>
      <c r="U2120" s="40">
        <v>45911</v>
      </c>
      <c r="V2120" s="41">
        <v>46153.533055555556</v>
      </c>
      <c r="W2120" s="40">
        <v>45910</v>
      </c>
      <c r="X2120" s="35" t="s">
        <v>916</v>
      </c>
      <c r="Y2120" s="35" t="s">
        <v>916</v>
      </c>
      <c r="Z2120" s="35" t="s">
        <v>916</v>
      </c>
      <c r="AA2120" s="38">
        <v>2675.6616666671998</v>
      </c>
      <c r="AB2120" s="42" t="s">
        <v>916</v>
      </c>
      <c r="AC2120" s="43" t="s">
        <v>916</v>
      </c>
      <c r="AD2120" s="43" t="s">
        <v>916</v>
      </c>
      <c r="AE2120" s="33" t="s">
        <v>3982</v>
      </c>
      <c r="AF2120" s="35" t="s">
        <v>916</v>
      </c>
      <c r="AG2120" s="44">
        <v>488196.33833333332</v>
      </c>
      <c r="AH2120" s="42" t="s">
        <v>916</v>
      </c>
      <c r="AI2120" s="32" t="e">
        <f>VLOOKUP(A2120,'4月明細'!B:B,1,0)</f>
        <v>#N/A</v>
      </c>
    </row>
    <row r="2121" spans="1:35" ht="19.95" customHeight="1" x14ac:dyDescent="0.3">
      <c r="A2121" s="33" t="s">
        <v>7461</v>
      </c>
      <c r="B2121" s="34">
        <v>45910.477048611108</v>
      </c>
      <c r="C2121" s="34" t="str">
        <f t="shared" si="46"/>
        <v>202509</v>
      </c>
      <c r="D2121" s="35" t="s">
        <v>996</v>
      </c>
      <c r="E2121" s="36" t="s">
        <v>910</v>
      </c>
      <c r="F2121" s="36" t="s">
        <v>1055</v>
      </c>
      <c r="G2121" s="37" t="s">
        <v>7462</v>
      </c>
      <c r="H2121" s="36" t="s">
        <v>4060</v>
      </c>
      <c r="I2121" s="35"/>
      <c r="J2121" s="36" t="s">
        <v>1058</v>
      </c>
      <c r="K2121" s="33" t="s">
        <v>916</v>
      </c>
      <c r="L2121" s="35" t="s">
        <v>916</v>
      </c>
      <c r="M2121" s="36" t="s">
        <v>916</v>
      </c>
      <c r="N2121" s="45">
        <v>46022</v>
      </c>
      <c r="O2121" s="36" t="s">
        <v>25</v>
      </c>
      <c r="P2121" s="38">
        <v>111.5229513889</v>
      </c>
      <c r="Q2121" s="39" t="s">
        <v>7463</v>
      </c>
      <c r="R2121" s="35" t="s">
        <v>916</v>
      </c>
      <c r="S2121" s="35"/>
      <c r="T2121" s="35" t="s">
        <v>1701</v>
      </c>
      <c r="U2121" s="40">
        <v>45911</v>
      </c>
      <c r="V2121" s="41">
        <v>46153.533055555556</v>
      </c>
      <c r="W2121" s="40">
        <v>45910</v>
      </c>
      <c r="X2121" s="35" t="s">
        <v>916</v>
      </c>
      <c r="Y2121" s="35" t="s">
        <v>916</v>
      </c>
      <c r="Z2121" s="35" t="s">
        <v>916</v>
      </c>
      <c r="AA2121" s="38">
        <v>2676.5508333336002</v>
      </c>
      <c r="AB2121" s="42" t="s">
        <v>916</v>
      </c>
      <c r="AC2121" s="43" t="s">
        <v>916</v>
      </c>
      <c r="AD2121" s="43" t="s">
        <v>916</v>
      </c>
      <c r="AE2121" s="33" t="s">
        <v>3982</v>
      </c>
      <c r="AF2121" s="35" t="s">
        <v>916</v>
      </c>
      <c r="AG2121" s="44">
        <v>488195.44916666672</v>
      </c>
      <c r="AH2121" s="42" t="s">
        <v>916</v>
      </c>
      <c r="AI2121" s="32" t="e">
        <f>VLOOKUP(A2121,'4月明細'!B:B,1,0)</f>
        <v>#N/A</v>
      </c>
    </row>
    <row r="2122" spans="1:35" ht="19.95" customHeight="1" x14ac:dyDescent="0.3">
      <c r="A2122" s="33" t="s">
        <v>7464</v>
      </c>
      <c r="B2122" s="34">
        <v>45910.471620370372</v>
      </c>
      <c r="C2122" s="34" t="str">
        <f t="shared" si="46"/>
        <v>202509</v>
      </c>
      <c r="D2122" s="35" t="s">
        <v>6389</v>
      </c>
      <c r="E2122" s="36" t="s">
        <v>910</v>
      </c>
      <c r="F2122" s="36" t="s">
        <v>1179</v>
      </c>
      <c r="G2122" s="37" t="s">
        <v>7465</v>
      </c>
      <c r="H2122" s="36" t="s">
        <v>4023</v>
      </c>
      <c r="I2122" s="35" t="s">
        <v>7466</v>
      </c>
      <c r="J2122" s="36" t="s">
        <v>914</v>
      </c>
      <c r="K2122" s="33" t="s">
        <v>916</v>
      </c>
      <c r="L2122" s="35" t="s">
        <v>916</v>
      </c>
      <c r="M2122" s="36" t="s">
        <v>916</v>
      </c>
      <c r="N2122" s="45">
        <v>46022</v>
      </c>
      <c r="O2122" s="36" t="s">
        <v>25</v>
      </c>
      <c r="P2122" s="38">
        <v>111.5283796296</v>
      </c>
      <c r="Q2122" s="39" t="s">
        <v>7467</v>
      </c>
      <c r="R2122" s="35" t="s">
        <v>916</v>
      </c>
      <c r="S2122" s="35" t="s">
        <v>7468</v>
      </c>
      <c r="T2122" s="35" t="s">
        <v>1701</v>
      </c>
      <c r="U2122" s="40">
        <v>45911</v>
      </c>
      <c r="V2122" s="41">
        <v>46153.533055555556</v>
      </c>
      <c r="W2122" s="40">
        <v>45910</v>
      </c>
      <c r="X2122" s="35" t="s">
        <v>916</v>
      </c>
      <c r="Y2122" s="35" t="s">
        <v>916</v>
      </c>
      <c r="Z2122" s="35" t="s">
        <v>916</v>
      </c>
      <c r="AA2122" s="38">
        <v>2676.6811111103998</v>
      </c>
      <c r="AB2122" s="42" t="s">
        <v>916</v>
      </c>
      <c r="AC2122" s="43" t="s">
        <v>916</v>
      </c>
      <c r="AD2122" s="43" t="s">
        <v>916</v>
      </c>
      <c r="AE2122" s="33" t="s">
        <v>3982</v>
      </c>
      <c r="AF2122" s="35" t="s">
        <v>916</v>
      </c>
      <c r="AG2122" s="44">
        <v>488195.31888888893</v>
      </c>
      <c r="AH2122" s="42" t="s">
        <v>916</v>
      </c>
      <c r="AI2122" s="32" t="e">
        <f>VLOOKUP(A2122,'4月明細'!B:B,1,0)</f>
        <v>#N/A</v>
      </c>
    </row>
    <row r="2123" spans="1:35" ht="19.95" customHeight="1" x14ac:dyDescent="0.3">
      <c r="A2123" s="33" t="s">
        <v>7469</v>
      </c>
      <c r="B2123" s="34">
        <v>45910.466087962966</v>
      </c>
      <c r="C2123" s="34" t="str">
        <f t="shared" si="46"/>
        <v>202509</v>
      </c>
      <c r="D2123" s="35" t="s">
        <v>996</v>
      </c>
      <c r="E2123" s="36" t="s">
        <v>910</v>
      </c>
      <c r="F2123" s="36" t="s">
        <v>1133</v>
      </c>
      <c r="G2123" s="37" t="s">
        <v>7470</v>
      </c>
      <c r="H2123" s="36" t="s">
        <v>4185</v>
      </c>
      <c r="I2123" s="35" t="s">
        <v>7471</v>
      </c>
      <c r="J2123" s="36" t="s">
        <v>914</v>
      </c>
      <c r="K2123" s="33" t="s">
        <v>916</v>
      </c>
      <c r="L2123" s="35" t="s">
        <v>916</v>
      </c>
      <c r="M2123" s="36" t="s">
        <v>916</v>
      </c>
      <c r="N2123" s="45">
        <v>46022</v>
      </c>
      <c r="O2123" s="36" t="s">
        <v>25</v>
      </c>
      <c r="P2123" s="38">
        <v>111.53391203699999</v>
      </c>
      <c r="Q2123" s="39" t="s">
        <v>7472</v>
      </c>
      <c r="R2123" s="35" t="s">
        <v>916</v>
      </c>
      <c r="S2123" s="35"/>
      <c r="T2123" s="35" t="s">
        <v>1701</v>
      </c>
      <c r="U2123" s="40">
        <v>45911</v>
      </c>
      <c r="V2123" s="41">
        <v>46153.533055555556</v>
      </c>
      <c r="W2123" s="40">
        <v>45910</v>
      </c>
      <c r="X2123" s="35" t="s">
        <v>916</v>
      </c>
      <c r="Y2123" s="35" t="s">
        <v>916</v>
      </c>
      <c r="Z2123" s="35" t="s">
        <v>916</v>
      </c>
      <c r="AA2123" s="38">
        <v>2676.8138888879998</v>
      </c>
      <c r="AB2123" s="42" t="s">
        <v>916</v>
      </c>
      <c r="AC2123" s="43" t="s">
        <v>916</v>
      </c>
      <c r="AD2123" s="43" t="s">
        <v>916</v>
      </c>
      <c r="AE2123" s="33" t="s">
        <v>3982</v>
      </c>
      <c r="AF2123" s="35" t="s">
        <v>916</v>
      </c>
      <c r="AG2123" s="44">
        <v>488195.18611111108</v>
      </c>
      <c r="AH2123" s="42" t="s">
        <v>916</v>
      </c>
      <c r="AI2123" s="32" t="e">
        <f>VLOOKUP(A2123,'4月明細'!B:B,1,0)</f>
        <v>#N/A</v>
      </c>
    </row>
    <row r="2124" spans="1:35" ht="19.95" customHeight="1" x14ac:dyDescent="0.3">
      <c r="A2124" s="33" t="s">
        <v>7473</v>
      </c>
      <c r="B2124" s="34">
        <v>45910.464155092595</v>
      </c>
      <c r="C2124" s="34" t="str">
        <f t="shared" si="46"/>
        <v>202509</v>
      </c>
      <c r="D2124" s="35" t="s">
        <v>996</v>
      </c>
      <c r="E2124" s="36" t="s">
        <v>910</v>
      </c>
      <c r="F2124" s="36" t="s">
        <v>1133</v>
      </c>
      <c r="G2124" s="37" t="s">
        <v>7474</v>
      </c>
      <c r="H2124" s="36" t="s">
        <v>3979</v>
      </c>
      <c r="I2124" s="35"/>
      <c r="J2124" s="36" t="s">
        <v>914</v>
      </c>
      <c r="K2124" s="33" t="s">
        <v>916</v>
      </c>
      <c r="L2124" s="35" t="s">
        <v>916</v>
      </c>
      <c r="M2124" s="36" t="s">
        <v>916</v>
      </c>
      <c r="N2124" s="45">
        <v>46022</v>
      </c>
      <c r="O2124" s="36" t="s">
        <v>25</v>
      </c>
      <c r="P2124" s="38">
        <v>111.5358449074</v>
      </c>
      <c r="Q2124" s="39" t="s">
        <v>7475</v>
      </c>
      <c r="R2124" s="35" t="s">
        <v>916</v>
      </c>
      <c r="S2124" s="35"/>
      <c r="T2124" s="35" t="s">
        <v>1701</v>
      </c>
      <c r="U2124" s="40">
        <v>45911</v>
      </c>
      <c r="V2124" s="41">
        <v>46153.533055555556</v>
      </c>
      <c r="W2124" s="40">
        <v>45910</v>
      </c>
      <c r="X2124" s="35" t="s">
        <v>916</v>
      </c>
      <c r="Y2124" s="35" t="s">
        <v>916</v>
      </c>
      <c r="Z2124" s="35" t="s">
        <v>916</v>
      </c>
      <c r="AA2124" s="38">
        <v>2676.8602777776</v>
      </c>
      <c r="AB2124" s="42" t="s">
        <v>916</v>
      </c>
      <c r="AC2124" s="43" t="s">
        <v>916</v>
      </c>
      <c r="AD2124" s="43" t="s">
        <v>916</v>
      </c>
      <c r="AE2124" s="33" t="s">
        <v>3982</v>
      </c>
      <c r="AF2124" s="35" t="s">
        <v>916</v>
      </c>
      <c r="AG2124" s="44">
        <v>488195.14</v>
      </c>
      <c r="AH2124" s="42" t="s">
        <v>916</v>
      </c>
      <c r="AI2124" s="32" t="e">
        <f>VLOOKUP(A2124,'4月明細'!B:B,1,0)</f>
        <v>#N/A</v>
      </c>
    </row>
    <row r="2125" spans="1:35" ht="19.95" customHeight="1" x14ac:dyDescent="0.3">
      <c r="A2125" s="33" t="s">
        <v>7476</v>
      </c>
      <c r="B2125" s="34">
        <v>45910.446446759262</v>
      </c>
      <c r="C2125" s="34" t="str">
        <f t="shared" si="46"/>
        <v>202509</v>
      </c>
      <c r="D2125" s="35" t="s">
        <v>5380</v>
      </c>
      <c r="E2125" s="36" t="s">
        <v>910</v>
      </c>
      <c r="F2125" s="36" t="s">
        <v>1121</v>
      </c>
      <c r="G2125" s="37" t="s">
        <v>7477</v>
      </c>
      <c r="H2125" s="36" t="s">
        <v>4007</v>
      </c>
      <c r="I2125" s="35" t="s">
        <v>7478</v>
      </c>
      <c r="J2125" s="36" t="s">
        <v>914</v>
      </c>
      <c r="K2125" s="33" t="s">
        <v>916</v>
      </c>
      <c r="L2125" s="35" t="s">
        <v>916</v>
      </c>
      <c r="M2125" s="36" t="s">
        <v>916</v>
      </c>
      <c r="N2125" s="45">
        <v>46022</v>
      </c>
      <c r="O2125" s="36" t="s">
        <v>25</v>
      </c>
      <c r="P2125" s="38">
        <v>111.5535532407</v>
      </c>
      <c r="Q2125" s="39" t="s">
        <v>7479</v>
      </c>
      <c r="R2125" s="35" t="s">
        <v>916</v>
      </c>
      <c r="S2125" s="35" t="s">
        <v>7480</v>
      </c>
      <c r="T2125" s="35" t="s">
        <v>1701</v>
      </c>
      <c r="U2125" s="40">
        <v>45911</v>
      </c>
      <c r="V2125" s="41">
        <v>46153.533055555556</v>
      </c>
      <c r="W2125" s="40">
        <v>45910</v>
      </c>
      <c r="X2125" s="35" t="s">
        <v>916</v>
      </c>
      <c r="Y2125" s="35" t="s">
        <v>916</v>
      </c>
      <c r="Z2125" s="35" t="s">
        <v>916</v>
      </c>
      <c r="AA2125" s="38">
        <v>2677.2852777767998</v>
      </c>
      <c r="AB2125" s="42" t="s">
        <v>916</v>
      </c>
      <c r="AC2125" s="43" t="s">
        <v>916</v>
      </c>
      <c r="AD2125" s="43" t="s">
        <v>916</v>
      </c>
      <c r="AE2125" s="33" t="s">
        <v>3982</v>
      </c>
      <c r="AF2125" s="35" t="s">
        <v>916</v>
      </c>
      <c r="AG2125" s="44">
        <v>488194.71500000008</v>
      </c>
      <c r="AH2125" s="42" t="s">
        <v>916</v>
      </c>
      <c r="AI2125" s="32" t="e">
        <f>VLOOKUP(A2125,'4月明細'!B:B,1,0)</f>
        <v>#N/A</v>
      </c>
    </row>
    <row r="2126" spans="1:35" ht="19.95" customHeight="1" x14ac:dyDescent="0.3">
      <c r="A2126" s="33" t="s">
        <v>7481</v>
      </c>
      <c r="B2126" s="34">
        <v>45910.44189814815</v>
      </c>
      <c r="C2126" s="34" t="str">
        <f t="shared" si="46"/>
        <v>202509</v>
      </c>
      <c r="D2126" s="35" t="s">
        <v>5380</v>
      </c>
      <c r="E2126" s="36" t="s">
        <v>910</v>
      </c>
      <c r="F2126" s="36" t="s">
        <v>1207</v>
      </c>
      <c r="G2126" s="37" t="s">
        <v>7482</v>
      </c>
      <c r="H2126" s="36" t="s">
        <v>3979</v>
      </c>
      <c r="I2126" s="35" t="s">
        <v>7483</v>
      </c>
      <c r="J2126" s="36" t="s">
        <v>914</v>
      </c>
      <c r="K2126" s="33" t="s">
        <v>916</v>
      </c>
      <c r="L2126" s="35" t="s">
        <v>916</v>
      </c>
      <c r="M2126" s="36" t="s">
        <v>916</v>
      </c>
      <c r="N2126" s="45">
        <v>46022</v>
      </c>
      <c r="O2126" s="36" t="s">
        <v>25</v>
      </c>
      <c r="P2126" s="38">
        <v>111.5581018518</v>
      </c>
      <c r="Q2126" s="39" t="s">
        <v>7484</v>
      </c>
      <c r="R2126" s="35" t="s">
        <v>916</v>
      </c>
      <c r="S2126" s="35"/>
      <c r="T2126" s="35" t="s">
        <v>1701</v>
      </c>
      <c r="U2126" s="40">
        <v>45911</v>
      </c>
      <c r="V2126" s="41">
        <v>46153.533055555556</v>
      </c>
      <c r="W2126" s="40">
        <v>45910</v>
      </c>
      <c r="X2126" s="35" t="s">
        <v>916</v>
      </c>
      <c r="Y2126" s="35" t="s">
        <v>916</v>
      </c>
      <c r="Z2126" s="35" t="s">
        <v>916</v>
      </c>
      <c r="AA2126" s="38">
        <v>2677.3944444432</v>
      </c>
      <c r="AB2126" s="42" t="s">
        <v>916</v>
      </c>
      <c r="AC2126" s="43" t="s">
        <v>916</v>
      </c>
      <c r="AD2126" s="43" t="s">
        <v>916</v>
      </c>
      <c r="AE2126" s="33" t="s">
        <v>3982</v>
      </c>
      <c r="AF2126" s="35" t="s">
        <v>916</v>
      </c>
      <c r="AG2126" s="44">
        <v>488194.60555555561</v>
      </c>
      <c r="AH2126" s="42" t="s">
        <v>916</v>
      </c>
      <c r="AI2126" s="32" t="e">
        <f>VLOOKUP(A2126,'4月明細'!B:B,1,0)</f>
        <v>#N/A</v>
      </c>
    </row>
    <row r="2127" spans="1:35" ht="19.95" customHeight="1" x14ac:dyDescent="0.3">
      <c r="A2127" s="33" t="s">
        <v>7485</v>
      </c>
      <c r="B2127" s="34">
        <v>45909.54178240741</v>
      </c>
      <c r="C2127" s="34" t="str">
        <f t="shared" si="46"/>
        <v>202509</v>
      </c>
      <c r="D2127" s="35" t="s">
        <v>951</v>
      </c>
      <c r="E2127" s="36" t="s">
        <v>910</v>
      </c>
      <c r="F2127" s="36" t="s">
        <v>1010</v>
      </c>
      <c r="G2127" s="37" t="s">
        <v>7486</v>
      </c>
      <c r="H2127" s="36" t="s">
        <v>7487</v>
      </c>
      <c r="I2127" s="35" t="s">
        <v>7488</v>
      </c>
      <c r="J2127" s="36" t="s">
        <v>929</v>
      </c>
      <c r="K2127" s="33" t="s">
        <v>916</v>
      </c>
      <c r="L2127" s="35" t="s">
        <v>916</v>
      </c>
      <c r="M2127" s="36" t="s">
        <v>916</v>
      </c>
      <c r="N2127" s="45">
        <v>46022</v>
      </c>
      <c r="O2127" s="36" t="s">
        <v>25</v>
      </c>
      <c r="P2127" s="38">
        <v>112.45821759259999</v>
      </c>
      <c r="Q2127" s="39" t="s">
        <v>7489</v>
      </c>
      <c r="R2127" s="35" t="s">
        <v>916</v>
      </c>
      <c r="S2127" s="35" t="s">
        <v>7490</v>
      </c>
      <c r="T2127" s="35" t="s">
        <v>1701</v>
      </c>
      <c r="U2127" s="40">
        <v>45910</v>
      </c>
      <c r="V2127" s="41">
        <v>46153.533055555556</v>
      </c>
      <c r="W2127" s="40">
        <v>45909</v>
      </c>
      <c r="X2127" s="35" t="s">
        <v>916</v>
      </c>
      <c r="Y2127" s="35" t="s">
        <v>916</v>
      </c>
      <c r="Z2127" s="35" t="s">
        <v>916</v>
      </c>
      <c r="AA2127" s="38">
        <v>2698.9972222224001</v>
      </c>
      <c r="AB2127" s="42" t="s">
        <v>916</v>
      </c>
      <c r="AC2127" s="43" t="s">
        <v>916</v>
      </c>
      <c r="AD2127" s="43" t="s">
        <v>916</v>
      </c>
      <c r="AE2127" s="33" t="s">
        <v>3982</v>
      </c>
      <c r="AF2127" s="35" t="s">
        <v>916</v>
      </c>
      <c r="AG2127" s="44">
        <v>488173.00277777773</v>
      </c>
      <c r="AH2127" s="42" t="s">
        <v>916</v>
      </c>
      <c r="AI2127" s="32" t="e">
        <f>VLOOKUP(A2127,'4月明細'!B:B,1,0)</f>
        <v>#N/A</v>
      </c>
    </row>
    <row r="2128" spans="1:35" ht="19.95" customHeight="1" x14ac:dyDescent="0.3">
      <c r="A2128" s="33" t="s">
        <v>7491</v>
      </c>
      <c r="B2128" s="34">
        <v>45909.560370370367</v>
      </c>
      <c r="C2128" s="34" t="str">
        <f t="shared" si="46"/>
        <v>202509</v>
      </c>
      <c r="D2128" s="35" t="s">
        <v>5380</v>
      </c>
      <c r="E2128" s="36" t="s">
        <v>910</v>
      </c>
      <c r="F2128" s="36" t="s">
        <v>2327</v>
      </c>
      <c r="G2128" s="37" t="s">
        <v>7492</v>
      </c>
      <c r="H2128" s="36" t="s">
        <v>4185</v>
      </c>
      <c r="I2128" s="35" t="s">
        <v>7493</v>
      </c>
      <c r="J2128" s="36" t="s">
        <v>1058</v>
      </c>
      <c r="K2128" s="33" t="s">
        <v>916</v>
      </c>
      <c r="L2128" s="35" t="s">
        <v>916</v>
      </c>
      <c r="M2128" s="36" t="s">
        <v>916</v>
      </c>
      <c r="N2128" s="45">
        <v>46022</v>
      </c>
      <c r="O2128" s="36" t="s">
        <v>25</v>
      </c>
      <c r="P2128" s="38">
        <v>112.43962962960001</v>
      </c>
      <c r="Q2128" s="39" t="s">
        <v>7494</v>
      </c>
      <c r="R2128" s="35" t="s">
        <v>916</v>
      </c>
      <c r="S2128" s="35" t="s">
        <v>7495</v>
      </c>
      <c r="T2128" s="35" t="s">
        <v>1701</v>
      </c>
      <c r="U2128" s="40">
        <v>45910</v>
      </c>
      <c r="V2128" s="41">
        <v>46153.533055555556</v>
      </c>
      <c r="W2128" s="40">
        <v>45909</v>
      </c>
      <c r="X2128" s="35" t="s">
        <v>916</v>
      </c>
      <c r="Y2128" s="35" t="s">
        <v>916</v>
      </c>
      <c r="Z2128" s="35" t="s">
        <v>916</v>
      </c>
      <c r="AA2128" s="38">
        <v>2698.5511111104001</v>
      </c>
      <c r="AB2128" s="42" t="s">
        <v>916</v>
      </c>
      <c r="AC2128" s="43" t="s">
        <v>916</v>
      </c>
      <c r="AD2128" s="43" t="s">
        <v>916</v>
      </c>
      <c r="AE2128" s="33" t="s">
        <v>3982</v>
      </c>
      <c r="AF2128" s="35" t="s">
        <v>916</v>
      </c>
      <c r="AG2128" s="44">
        <v>488173.44888888887</v>
      </c>
      <c r="AH2128" s="42" t="s">
        <v>916</v>
      </c>
      <c r="AI2128" s="32" t="e">
        <f>VLOOKUP(A2128,'4月明細'!B:B,1,0)</f>
        <v>#N/A</v>
      </c>
    </row>
    <row r="2129" spans="1:35" ht="19.95" customHeight="1" x14ac:dyDescent="0.3">
      <c r="A2129" s="33" t="s">
        <v>7496</v>
      </c>
      <c r="B2129" s="34">
        <v>45909.520949074074</v>
      </c>
      <c r="C2129" s="34" t="str">
        <f t="shared" si="46"/>
        <v>202509</v>
      </c>
      <c r="D2129" s="35" t="s">
        <v>6877</v>
      </c>
      <c r="E2129" s="36" t="s">
        <v>910</v>
      </c>
      <c r="F2129" s="36" t="s">
        <v>981</v>
      </c>
      <c r="G2129" s="37" t="s">
        <v>7497</v>
      </c>
      <c r="H2129" s="36" t="s">
        <v>956</v>
      </c>
      <c r="I2129" s="35" t="s">
        <v>7498</v>
      </c>
      <c r="J2129" s="36" t="s">
        <v>929</v>
      </c>
      <c r="K2129" s="33" t="s">
        <v>916</v>
      </c>
      <c r="L2129" s="35" t="s">
        <v>916</v>
      </c>
      <c r="M2129" s="36" t="s">
        <v>916</v>
      </c>
      <c r="N2129" s="45">
        <v>46022</v>
      </c>
      <c r="O2129" s="36" t="s">
        <v>25</v>
      </c>
      <c r="P2129" s="38">
        <v>112.4790509259</v>
      </c>
      <c r="Q2129" s="39" t="s">
        <v>7499</v>
      </c>
      <c r="R2129" s="35" t="s">
        <v>916</v>
      </c>
      <c r="S2129" s="35" t="s">
        <v>7500</v>
      </c>
      <c r="T2129" s="35" t="s">
        <v>1701</v>
      </c>
      <c r="U2129" s="40">
        <v>45910</v>
      </c>
      <c r="V2129" s="41">
        <v>46153.533055555556</v>
      </c>
      <c r="W2129" s="40">
        <v>45909</v>
      </c>
      <c r="X2129" s="35" t="s">
        <v>916</v>
      </c>
      <c r="Y2129" s="35" t="s">
        <v>916</v>
      </c>
      <c r="Z2129" s="35" t="s">
        <v>916</v>
      </c>
      <c r="AA2129" s="38">
        <v>2699.4972222216002</v>
      </c>
      <c r="AB2129" s="42" t="s">
        <v>916</v>
      </c>
      <c r="AC2129" s="43" t="s">
        <v>916</v>
      </c>
      <c r="AD2129" s="43" t="s">
        <v>916</v>
      </c>
      <c r="AE2129" s="33" t="s">
        <v>3982</v>
      </c>
      <c r="AF2129" s="35" t="s">
        <v>916</v>
      </c>
      <c r="AG2129" s="44">
        <v>488172.50277777779</v>
      </c>
      <c r="AH2129" s="42" t="s">
        <v>916</v>
      </c>
      <c r="AI2129" s="32" t="e">
        <f>VLOOKUP(A2129,'4月明細'!B:B,1,0)</f>
        <v>#N/A</v>
      </c>
    </row>
    <row r="2130" spans="1:35" ht="19.95" customHeight="1" x14ac:dyDescent="0.3">
      <c r="A2130" s="33" t="s">
        <v>7501</v>
      </c>
      <c r="B2130" s="34">
        <v>45909.426817129628</v>
      </c>
      <c r="C2130" s="34" t="str">
        <f t="shared" si="46"/>
        <v>202509</v>
      </c>
      <c r="D2130" s="35" t="s">
        <v>951</v>
      </c>
      <c r="E2130" s="36" t="s">
        <v>910</v>
      </c>
      <c r="F2130" s="36" t="s">
        <v>1179</v>
      </c>
      <c r="G2130" s="37" t="s">
        <v>7502</v>
      </c>
      <c r="H2130" s="36" t="s">
        <v>4023</v>
      </c>
      <c r="I2130" s="35"/>
      <c r="J2130" s="36" t="s">
        <v>1058</v>
      </c>
      <c r="K2130" s="33" t="s">
        <v>916</v>
      </c>
      <c r="L2130" s="35" t="s">
        <v>916</v>
      </c>
      <c r="M2130" s="36" t="s">
        <v>916</v>
      </c>
      <c r="N2130" s="45">
        <v>46022</v>
      </c>
      <c r="O2130" s="36" t="s">
        <v>25</v>
      </c>
      <c r="P2130" s="38">
        <v>112.5731828704</v>
      </c>
      <c r="Q2130" s="39" t="s">
        <v>7503</v>
      </c>
      <c r="R2130" s="35" t="s">
        <v>916</v>
      </c>
      <c r="S2130" s="35"/>
      <c r="T2130" s="35" t="s">
        <v>1701</v>
      </c>
      <c r="U2130" s="40">
        <v>45910</v>
      </c>
      <c r="V2130" s="41">
        <v>46153.533055555556</v>
      </c>
      <c r="W2130" s="40">
        <v>45909</v>
      </c>
      <c r="X2130" s="35" t="s">
        <v>916</v>
      </c>
      <c r="Y2130" s="35" t="s">
        <v>916</v>
      </c>
      <c r="Z2130" s="35" t="s">
        <v>916</v>
      </c>
      <c r="AA2130" s="38">
        <v>2701.7563888896002</v>
      </c>
      <c r="AB2130" s="42" t="s">
        <v>916</v>
      </c>
      <c r="AC2130" s="43" t="s">
        <v>916</v>
      </c>
      <c r="AD2130" s="43" t="s">
        <v>916</v>
      </c>
      <c r="AE2130" s="33" t="s">
        <v>3982</v>
      </c>
      <c r="AF2130" s="35" t="s">
        <v>916</v>
      </c>
      <c r="AG2130" s="44">
        <v>488170.24361111119</v>
      </c>
      <c r="AH2130" s="42" t="s">
        <v>916</v>
      </c>
      <c r="AI2130" s="32" t="e">
        <f>VLOOKUP(A2130,'4月明細'!B:B,1,0)</f>
        <v>#N/A</v>
      </c>
    </row>
    <row r="2131" spans="1:35" ht="19.95" customHeight="1" x14ac:dyDescent="0.3">
      <c r="A2131" s="33" t="s">
        <v>7504</v>
      </c>
      <c r="B2131" s="34">
        <v>45908.50371527778</v>
      </c>
      <c r="C2131" s="34" t="str">
        <f t="shared" si="46"/>
        <v>202509</v>
      </c>
      <c r="D2131" s="35" t="s">
        <v>951</v>
      </c>
      <c r="E2131" s="36" t="s">
        <v>910</v>
      </c>
      <c r="F2131" s="36" t="s">
        <v>2165</v>
      </c>
      <c r="G2131" s="37" t="s">
        <v>7505</v>
      </c>
      <c r="H2131" s="36" t="s">
        <v>5940</v>
      </c>
      <c r="I2131" s="35" t="s">
        <v>7506</v>
      </c>
      <c r="J2131" s="36" t="s">
        <v>945</v>
      </c>
      <c r="K2131" s="33" t="s">
        <v>916</v>
      </c>
      <c r="L2131" s="35" t="s">
        <v>916</v>
      </c>
      <c r="M2131" s="36" t="s">
        <v>916</v>
      </c>
      <c r="N2131" s="45">
        <v>46022</v>
      </c>
      <c r="O2131" s="36" t="s">
        <v>25</v>
      </c>
      <c r="P2131" s="38">
        <v>113.4962847222</v>
      </c>
      <c r="Q2131" s="39" t="s">
        <v>7507</v>
      </c>
      <c r="R2131" s="35" t="s">
        <v>916</v>
      </c>
      <c r="S2131" s="35" t="s">
        <v>7508</v>
      </c>
      <c r="T2131" s="35" t="s">
        <v>1701</v>
      </c>
      <c r="U2131" s="40">
        <v>45909</v>
      </c>
      <c r="V2131" s="41">
        <v>46153.533055555556</v>
      </c>
      <c r="W2131" s="40">
        <v>45908</v>
      </c>
      <c r="X2131" s="35" t="s">
        <v>916</v>
      </c>
      <c r="Y2131" s="35" t="s">
        <v>916</v>
      </c>
      <c r="Z2131" s="35" t="s">
        <v>916</v>
      </c>
      <c r="AA2131" s="38">
        <v>2723.9108333327999</v>
      </c>
      <c r="AB2131" s="42" t="s">
        <v>916</v>
      </c>
      <c r="AC2131" s="43" t="s">
        <v>916</v>
      </c>
      <c r="AD2131" s="43" t="s">
        <v>916</v>
      </c>
      <c r="AE2131" s="33" t="s">
        <v>3982</v>
      </c>
      <c r="AF2131" s="35" t="s">
        <v>916</v>
      </c>
      <c r="AG2131" s="44">
        <v>488148.08916666661</v>
      </c>
      <c r="AH2131" s="42" t="s">
        <v>916</v>
      </c>
      <c r="AI2131" s="32" t="e">
        <f>VLOOKUP(A2131,'4月明細'!B:B,1,0)</f>
        <v>#N/A</v>
      </c>
    </row>
    <row r="2132" spans="1:35" ht="19.95" customHeight="1" x14ac:dyDescent="0.3">
      <c r="A2132" s="33" t="s">
        <v>7509</v>
      </c>
      <c r="B2132" s="34">
        <v>45908.63726851852</v>
      </c>
      <c r="C2132" s="34" t="str">
        <f t="shared" si="46"/>
        <v>202509</v>
      </c>
      <c r="D2132" s="35" t="s">
        <v>996</v>
      </c>
      <c r="E2132" s="36" t="s">
        <v>910</v>
      </c>
      <c r="F2132" s="36" t="s">
        <v>1392</v>
      </c>
      <c r="G2132" s="37" t="s">
        <v>1018</v>
      </c>
      <c r="H2132" s="36" t="s">
        <v>4157</v>
      </c>
      <c r="I2132" s="35" t="s">
        <v>7510</v>
      </c>
      <c r="J2132" s="36" t="s">
        <v>929</v>
      </c>
      <c r="K2132" s="33" t="s">
        <v>916</v>
      </c>
      <c r="L2132" s="35" t="s">
        <v>916</v>
      </c>
      <c r="M2132" s="36" t="s">
        <v>916</v>
      </c>
      <c r="N2132" s="45">
        <v>46022</v>
      </c>
      <c r="O2132" s="36" t="s">
        <v>25</v>
      </c>
      <c r="P2132" s="38">
        <v>113.36273148150001</v>
      </c>
      <c r="Q2132" s="39" t="s">
        <v>7511</v>
      </c>
      <c r="R2132" s="35" t="s">
        <v>916</v>
      </c>
      <c r="S2132" s="35" t="s">
        <v>7512</v>
      </c>
      <c r="T2132" s="35" t="s">
        <v>1701</v>
      </c>
      <c r="U2132" s="40">
        <v>45909</v>
      </c>
      <c r="V2132" s="41">
        <v>46153.533055555556</v>
      </c>
      <c r="W2132" s="40">
        <v>45908</v>
      </c>
      <c r="X2132" s="35" t="s">
        <v>916</v>
      </c>
      <c r="Y2132" s="35" t="s">
        <v>916</v>
      </c>
      <c r="Z2132" s="35" t="s">
        <v>916</v>
      </c>
      <c r="AA2132" s="38">
        <v>2720.705555556</v>
      </c>
      <c r="AB2132" s="42" t="s">
        <v>916</v>
      </c>
      <c r="AC2132" s="43" t="s">
        <v>916</v>
      </c>
      <c r="AD2132" s="43" t="s">
        <v>916</v>
      </c>
      <c r="AE2132" s="33" t="s">
        <v>3982</v>
      </c>
      <c r="AF2132" s="35" t="s">
        <v>916</v>
      </c>
      <c r="AG2132" s="44">
        <v>488151.29444444447</v>
      </c>
      <c r="AH2132" s="42" t="s">
        <v>916</v>
      </c>
      <c r="AI2132" s="32" t="e">
        <f>VLOOKUP(A2132,'4月明細'!B:B,1,0)</f>
        <v>#N/A</v>
      </c>
    </row>
    <row r="2133" spans="1:35" ht="19.95" customHeight="1" x14ac:dyDescent="0.3">
      <c r="A2133" s="33" t="s">
        <v>7513</v>
      </c>
      <c r="B2133" s="34">
        <v>45908.503055555557</v>
      </c>
      <c r="C2133" s="34" t="str">
        <f t="shared" si="46"/>
        <v>202509</v>
      </c>
      <c r="D2133" s="35" t="s">
        <v>951</v>
      </c>
      <c r="E2133" s="36" t="s">
        <v>910</v>
      </c>
      <c r="F2133" s="36" t="s">
        <v>987</v>
      </c>
      <c r="G2133" s="37" t="s">
        <v>7514</v>
      </c>
      <c r="H2133" s="36" t="s">
        <v>970</v>
      </c>
      <c r="I2133" s="35"/>
      <c r="J2133" s="36" t="s">
        <v>929</v>
      </c>
      <c r="K2133" s="33" t="s">
        <v>916</v>
      </c>
      <c r="L2133" s="35" t="s">
        <v>916</v>
      </c>
      <c r="M2133" s="36" t="s">
        <v>916</v>
      </c>
      <c r="N2133" s="45">
        <v>46022</v>
      </c>
      <c r="O2133" s="36" t="s">
        <v>25</v>
      </c>
      <c r="P2133" s="38">
        <v>113.4969444444</v>
      </c>
      <c r="Q2133" s="39" t="s">
        <v>7515</v>
      </c>
      <c r="R2133" s="35" t="s">
        <v>916</v>
      </c>
      <c r="S2133" s="35" t="s">
        <v>7516</v>
      </c>
      <c r="T2133" s="35" t="s">
        <v>1701</v>
      </c>
      <c r="U2133" s="40">
        <v>45909</v>
      </c>
      <c r="V2133" s="41">
        <v>46153.533055555556</v>
      </c>
      <c r="W2133" s="40">
        <v>45908</v>
      </c>
      <c r="X2133" s="35" t="s">
        <v>916</v>
      </c>
      <c r="Y2133" s="35" t="s">
        <v>916</v>
      </c>
      <c r="Z2133" s="35" t="s">
        <v>916</v>
      </c>
      <c r="AA2133" s="38">
        <v>2723.9266666655999</v>
      </c>
      <c r="AB2133" s="42" t="s">
        <v>916</v>
      </c>
      <c r="AC2133" s="43" t="s">
        <v>916</v>
      </c>
      <c r="AD2133" s="43" t="s">
        <v>916</v>
      </c>
      <c r="AE2133" s="33" t="s">
        <v>3982</v>
      </c>
      <c r="AF2133" s="35" t="s">
        <v>916</v>
      </c>
      <c r="AG2133" s="44">
        <v>488148.07333333342</v>
      </c>
      <c r="AH2133" s="42" t="s">
        <v>916</v>
      </c>
      <c r="AI2133" s="32" t="e">
        <f>VLOOKUP(A2133,'4月明細'!B:B,1,0)</f>
        <v>#N/A</v>
      </c>
    </row>
    <row r="2134" spans="1:35" ht="19.95" customHeight="1" x14ac:dyDescent="0.3">
      <c r="A2134" s="33" t="s">
        <v>7517</v>
      </c>
      <c r="B2134" s="34">
        <v>45908.493483796294</v>
      </c>
      <c r="C2134" s="34" t="str">
        <f t="shared" si="46"/>
        <v>202509</v>
      </c>
      <c r="D2134" s="35" t="s">
        <v>6281</v>
      </c>
      <c r="E2134" s="36" t="s">
        <v>910</v>
      </c>
      <c r="F2134" s="36" t="s">
        <v>2300</v>
      </c>
      <c r="G2134" s="37" t="s">
        <v>7518</v>
      </c>
      <c r="H2134" s="36" t="s">
        <v>4185</v>
      </c>
      <c r="I2134" s="35"/>
      <c r="J2134" s="36" t="s">
        <v>929</v>
      </c>
      <c r="K2134" s="33" t="s">
        <v>916</v>
      </c>
      <c r="L2134" s="35" t="s">
        <v>916</v>
      </c>
      <c r="M2134" s="36" t="s">
        <v>916</v>
      </c>
      <c r="N2134" s="45">
        <v>46022</v>
      </c>
      <c r="O2134" s="36" t="s">
        <v>25</v>
      </c>
      <c r="P2134" s="38">
        <v>113.5065162037</v>
      </c>
      <c r="Q2134" s="39" t="s">
        <v>2171</v>
      </c>
      <c r="R2134" s="35" t="s">
        <v>916</v>
      </c>
      <c r="S2134" s="35"/>
      <c r="T2134" s="35" t="s">
        <v>1701</v>
      </c>
      <c r="U2134" s="40">
        <v>45909</v>
      </c>
      <c r="V2134" s="41">
        <v>46153.533055555556</v>
      </c>
      <c r="W2134" s="40">
        <v>45908</v>
      </c>
      <c r="X2134" s="35" t="s">
        <v>916</v>
      </c>
      <c r="Y2134" s="35" t="s">
        <v>916</v>
      </c>
      <c r="Z2134" s="35" t="s">
        <v>916</v>
      </c>
      <c r="AA2134" s="38">
        <v>2724.1563888887999</v>
      </c>
      <c r="AB2134" s="42" t="s">
        <v>916</v>
      </c>
      <c r="AC2134" s="43" t="s">
        <v>916</v>
      </c>
      <c r="AD2134" s="43" t="s">
        <v>916</v>
      </c>
      <c r="AE2134" s="33" t="s">
        <v>3982</v>
      </c>
      <c r="AF2134" s="35" t="s">
        <v>916</v>
      </c>
      <c r="AG2134" s="44">
        <v>488147.84361111122</v>
      </c>
      <c r="AH2134" s="42" t="s">
        <v>916</v>
      </c>
      <c r="AI2134" s="32" t="e">
        <f>VLOOKUP(A2134,'4月明細'!B:B,1,0)</f>
        <v>#N/A</v>
      </c>
    </row>
    <row r="2135" spans="1:35" ht="19.95" customHeight="1" x14ac:dyDescent="0.3">
      <c r="A2135" s="33" t="s">
        <v>7519</v>
      </c>
      <c r="B2135" s="34">
        <v>45907.729710648149</v>
      </c>
      <c r="C2135" s="34" t="str">
        <f t="shared" si="46"/>
        <v>202509</v>
      </c>
      <c r="D2135" s="35" t="s">
        <v>5380</v>
      </c>
      <c r="E2135" s="36" t="s">
        <v>910</v>
      </c>
      <c r="F2135" s="36" t="s">
        <v>2043</v>
      </c>
      <c r="G2135" s="37" t="s">
        <v>7520</v>
      </c>
      <c r="H2135" s="36" t="s">
        <v>1048</v>
      </c>
      <c r="I2135" s="35" t="s">
        <v>7521</v>
      </c>
      <c r="J2135" s="36" t="s">
        <v>929</v>
      </c>
      <c r="K2135" s="33" t="s">
        <v>916</v>
      </c>
      <c r="L2135" s="35" t="s">
        <v>916</v>
      </c>
      <c r="M2135" s="36" t="s">
        <v>916</v>
      </c>
      <c r="N2135" s="45">
        <v>46022</v>
      </c>
      <c r="O2135" s="36" t="s">
        <v>25</v>
      </c>
      <c r="P2135" s="38">
        <v>114.2702893519</v>
      </c>
      <c r="Q2135" s="39" t="s">
        <v>7522</v>
      </c>
      <c r="R2135" s="35" t="s">
        <v>916</v>
      </c>
      <c r="S2135" s="35"/>
      <c r="T2135" s="35" t="s">
        <v>1701</v>
      </c>
      <c r="U2135" s="40">
        <v>45908</v>
      </c>
      <c r="V2135" s="41">
        <v>46153.533055555556</v>
      </c>
      <c r="W2135" s="40">
        <v>45907</v>
      </c>
      <c r="X2135" s="35" t="s">
        <v>916</v>
      </c>
      <c r="Y2135" s="35" t="s">
        <v>916</v>
      </c>
      <c r="Z2135" s="35" t="s">
        <v>916</v>
      </c>
      <c r="AA2135" s="38">
        <v>2742.4869444455999</v>
      </c>
      <c r="AB2135" s="42" t="s">
        <v>916</v>
      </c>
      <c r="AC2135" s="43" t="s">
        <v>916</v>
      </c>
      <c r="AD2135" s="43" t="s">
        <v>916</v>
      </c>
      <c r="AE2135" s="33" t="s">
        <v>3982</v>
      </c>
      <c r="AF2135" s="35" t="s">
        <v>916</v>
      </c>
      <c r="AG2135" s="44">
        <v>488129.51305555558</v>
      </c>
      <c r="AH2135" s="42" t="s">
        <v>916</v>
      </c>
      <c r="AI2135" s="32" t="e">
        <f>VLOOKUP(A2135,'4月明細'!B:B,1,0)</f>
        <v>#N/A</v>
      </c>
    </row>
    <row r="2136" spans="1:35" ht="19.95" customHeight="1" x14ac:dyDescent="0.3">
      <c r="A2136" s="33" t="s">
        <v>7523</v>
      </c>
      <c r="B2136" s="34">
        <v>45907.722025462965</v>
      </c>
      <c r="C2136" s="34" t="str">
        <f t="shared" si="46"/>
        <v>202509</v>
      </c>
      <c r="D2136" s="35" t="s">
        <v>5380</v>
      </c>
      <c r="E2136" s="36" t="s">
        <v>910</v>
      </c>
      <c r="F2136" s="36" t="s">
        <v>1768</v>
      </c>
      <c r="G2136" s="37" t="s">
        <v>7524</v>
      </c>
      <c r="H2136" s="36" t="s">
        <v>3991</v>
      </c>
      <c r="I2136" s="35" t="s">
        <v>7525</v>
      </c>
      <c r="J2136" s="36" t="s">
        <v>929</v>
      </c>
      <c r="K2136" s="33" t="s">
        <v>916</v>
      </c>
      <c r="L2136" s="35" t="s">
        <v>916</v>
      </c>
      <c r="M2136" s="36" t="s">
        <v>916</v>
      </c>
      <c r="N2136" s="45">
        <v>46022</v>
      </c>
      <c r="O2136" s="36" t="s">
        <v>25</v>
      </c>
      <c r="P2136" s="38">
        <v>114.27797453700001</v>
      </c>
      <c r="Q2136" s="39" t="s">
        <v>7152</v>
      </c>
      <c r="R2136" s="35" t="s">
        <v>916</v>
      </c>
      <c r="S2136" s="35" t="s">
        <v>7526</v>
      </c>
      <c r="T2136" s="35" t="s">
        <v>1701</v>
      </c>
      <c r="U2136" s="40">
        <v>45908</v>
      </c>
      <c r="V2136" s="41">
        <v>46153.533067129632</v>
      </c>
      <c r="W2136" s="40">
        <v>45907</v>
      </c>
      <c r="X2136" s="35" t="s">
        <v>916</v>
      </c>
      <c r="Y2136" s="35" t="s">
        <v>916</v>
      </c>
      <c r="Z2136" s="35" t="s">
        <v>916</v>
      </c>
      <c r="AA2136" s="38">
        <v>2742.6713888879999</v>
      </c>
      <c r="AB2136" s="42" t="s">
        <v>916</v>
      </c>
      <c r="AC2136" s="43" t="s">
        <v>916</v>
      </c>
      <c r="AD2136" s="43" t="s">
        <v>916</v>
      </c>
      <c r="AE2136" s="33" t="s">
        <v>3982</v>
      </c>
      <c r="AF2136" s="35" t="s">
        <v>916</v>
      </c>
      <c r="AG2136" s="44">
        <v>488129.32861111121</v>
      </c>
      <c r="AH2136" s="42" t="s">
        <v>916</v>
      </c>
      <c r="AI2136" s="32" t="e">
        <f>VLOOKUP(A2136,'4月明細'!B:B,1,0)</f>
        <v>#N/A</v>
      </c>
    </row>
    <row r="2137" spans="1:35" ht="19.95" customHeight="1" x14ac:dyDescent="0.3">
      <c r="A2137" s="33" t="s">
        <v>7527</v>
      </c>
      <c r="B2137" s="34">
        <v>45907.719768518517</v>
      </c>
      <c r="C2137" s="34" t="str">
        <f t="shared" si="46"/>
        <v>202509</v>
      </c>
      <c r="D2137" s="35" t="s">
        <v>996</v>
      </c>
      <c r="E2137" s="36" t="s">
        <v>910</v>
      </c>
      <c r="F2137" s="36" t="s">
        <v>1634</v>
      </c>
      <c r="G2137" s="37" t="s">
        <v>7528</v>
      </c>
      <c r="H2137" s="36" t="s">
        <v>4203</v>
      </c>
      <c r="I2137" s="35"/>
      <c r="J2137" s="36" t="s">
        <v>929</v>
      </c>
      <c r="K2137" s="33" t="s">
        <v>916</v>
      </c>
      <c r="L2137" s="35" t="s">
        <v>916</v>
      </c>
      <c r="M2137" s="36" t="s">
        <v>916</v>
      </c>
      <c r="N2137" s="45">
        <v>46022</v>
      </c>
      <c r="O2137" s="36" t="s">
        <v>25</v>
      </c>
      <c r="P2137" s="38">
        <v>114.2802314815</v>
      </c>
      <c r="Q2137" s="39" t="s">
        <v>7529</v>
      </c>
      <c r="R2137" s="35" t="s">
        <v>916</v>
      </c>
      <c r="S2137" s="35" t="s">
        <v>7530</v>
      </c>
      <c r="T2137" s="35" t="s">
        <v>1701</v>
      </c>
      <c r="U2137" s="40">
        <v>45908</v>
      </c>
      <c r="V2137" s="41">
        <v>46153.533067129632</v>
      </c>
      <c r="W2137" s="40">
        <v>45907</v>
      </c>
      <c r="X2137" s="35" t="s">
        <v>916</v>
      </c>
      <c r="Y2137" s="35" t="s">
        <v>916</v>
      </c>
      <c r="Z2137" s="35" t="s">
        <v>916</v>
      </c>
      <c r="AA2137" s="38">
        <v>2742.725555556</v>
      </c>
      <c r="AB2137" s="42" t="s">
        <v>916</v>
      </c>
      <c r="AC2137" s="43" t="s">
        <v>916</v>
      </c>
      <c r="AD2137" s="43" t="s">
        <v>916</v>
      </c>
      <c r="AE2137" s="33" t="s">
        <v>3982</v>
      </c>
      <c r="AF2137" s="35" t="s">
        <v>916</v>
      </c>
      <c r="AG2137" s="44">
        <v>488129.27444444451</v>
      </c>
      <c r="AH2137" s="42" t="s">
        <v>916</v>
      </c>
      <c r="AI2137" s="32" t="e">
        <f>VLOOKUP(A2137,'4月明細'!B:B,1,0)</f>
        <v>#N/A</v>
      </c>
    </row>
    <row r="2138" spans="1:35" ht="19.95" customHeight="1" x14ac:dyDescent="0.3">
      <c r="A2138" s="33" t="s">
        <v>7531</v>
      </c>
      <c r="B2138" s="34">
        <v>45907.703912037039</v>
      </c>
      <c r="C2138" s="34" t="str">
        <f t="shared" si="46"/>
        <v>202509</v>
      </c>
      <c r="D2138" s="35" t="s">
        <v>996</v>
      </c>
      <c r="E2138" s="36" t="s">
        <v>910</v>
      </c>
      <c r="F2138" s="36" t="s">
        <v>1799</v>
      </c>
      <c r="G2138" s="37" t="s">
        <v>7532</v>
      </c>
      <c r="H2138" s="36" t="s">
        <v>5083</v>
      </c>
      <c r="I2138" s="35" t="s">
        <v>7533</v>
      </c>
      <c r="J2138" s="36" t="s">
        <v>929</v>
      </c>
      <c r="K2138" s="33" t="s">
        <v>916</v>
      </c>
      <c r="L2138" s="35" t="s">
        <v>916</v>
      </c>
      <c r="M2138" s="36" t="s">
        <v>916</v>
      </c>
      <c r="N2138" s="45">
        <v>46022</v>
      </c>
      <c r="O2138" s="36" t="s">
        <v>25</v>
      </c>
      <c r="P2138" s="38">
        <v>114.29608796300001</v>
      </c>
      <c r="Q2138" s="39" t="s">
        <v>7534</v>
      </c>
      <c r="R2138" s="35" t="s">
        <v>916</v>
      </c>
      <c r="S2138" s="35"/>
      <c r="T2138" s="35" t="s">
        <v>1701</v>
      </c>
      <c r="U2138" s="40">
        <v>45908</v>
      </c>
      <c r="V2138" s="41">
        <v>46153.533067129632</v>
      </c>
      <c r="W2138" s="40">
        <v>45907</v>
      </c>
      <c r="X2138" s="35" t="s">
        <v>916</v>
      </c>
      <c r="Y2138" s="35" t="s">
        <v>916</v>
      </c>
      <c r="Z2138" s="35" t="s">
        <v>916</v>
      </c>
      <c r="AA2138" s="38">
        <v>2743.1061111119998</v>
      </c>
      <c r="AB2138" s="42" t="s">
        <v>916</v>
      </c>
      <c r="AC2138" s="43" t="s">
        <v>916</v>
      </c>
      <c r="AD2138" s="43" t="s">
        <v>916</v>
      </c>
      <c r="AE2138" s="33" t="s">
        <v>3982</v>
      </c>
      <c r="AF2138" s="35" t="s">
        <v>916</v>
      </c>
      <c r="AG2138" s="44">
        <v>488128.89388888888</v>
      </c>
      <c r="AH2138" s="42" t="s">
        <v>916</v>
      </c>
      <c r="AI2138" s="32" t="e">
        <f>VLOOKUP(A2138,'4月明細'!B:B,1,0)</f>
        <v>#N/A</v>
      </c>
    </row>
    <row r="2139" spans="1:35" ht="19.95" customHeight="1" x14ac:dyDescent="0.3">
      <c r="A2139" s="33" t="s">
        <v>7535</v>
      </c>
      <c r="B2139" s="34">
        <v>45907.672314814816</v>
      </c>
      <c r="C2139" s="34" t="str">
        <f t="shared" si="46"/>
        <v>202509</v>
      </c>
      <c r="D2139" s="35" t="s">
        <v>996</v>
      </c>
      <c r="E2139" s="36" t="s">
        <v>910</v>
      </c>
      <c r="F2139" s="36" t="s">
        <v>1693</v>
      </c>
      <c r="G2139" s="37" t="s">
        <v>7536</v>
      </c>
      <c r="H2139" s="36" t="s">
        <v>4157</v>
      </c>
      <c r="I2139" s="35" t="s">
        <v>7537</v>
      </c>
      <c r="J2139" s="36" t="s">
        <v>929</v>
      </c>
      <c r="K2139" s="33" t="s">
        <v>916</v>
      </c>
      <c r="L2139" s="35" t="s">
        <v>916</v>
      </c>
      <c r="M2139" s="36" t="s">
        <v>916</v>
      </c>
      <c r="N2139" s="45">
        <v>46022</v>
      </c>
      <c r="O2139" s="36" t="s">
        <v>25</v>
      </c>
      <c r="P2139" s="38">
        <v>114.3276851852</v>
      </c>
      <c r="Q2139" s="39" t="s">
        <v>6560</v>
      </c>
      <c r="R2139" s="35" t="s">
        <v>916</v>
      </c>
      <c r="S2139" s="35"/>
      <c r="T2139" s="35" t="s">
        <v>1701</v>
      </c>
      <c r="U2139" s="40">
        <v>45908</v>
      </c>
      <c r="V2139" s="41">
        <v>46153.533067129632</v>
      </c>
      <c r="W2139" s="40">
        <v>45907</v>
      </c>
      <c r="X2139" s="35" t="s">
        <v>916</v>
      </c>
      <c r="Y2139" s="35" t="s">
        <v>916</v>
      </c>
      <c r="Z2139" s="35" t="s">
        <v>916</v>
      </c>
      <c r="AA2139" s="38">
        <v>2743.8644444448</v>
      </c>
      <c r="AB2139" s="42" t="s">
        <v>916</v>
      </c>
      <c r="AC2139" s="43" t="s">
        <v>916</v>
      </c>
      <c r="AD2139" s="43" t="s">
        <v>916</v>
      </c>
      <c r="AE2139" s="33" t="s">
        <v>3982</v>
      </c>
      <c r="AF2139" s="35" t="s">
        <v>916</v>
      </c>
      <c r="AG2139" s="44">
        <v>488128.13555555558</v>
      </c>
      <c r="AH2139" s="42" t="s">
        <v>916</v>
      </c>
      <c r="AI2139" s="32" t="e">
        <f>VLOOKUP(A2139,'4月明細'!B:B,1,0)</f>
        <v>#N/A</v>
      </c>
    </row>
    <row r="2140" spans="1:35" ht="19.95" customHeight="1" x14ac:dyDescent="0.3">
      <c r="A2140" s="33" t="s">
        <v>7538</v>
      </c>
      <c r="B2140" s="34">
        <v>45907.661817129629</v>
      </c>
      <c r="C2140" s="34" t="str">
        <f t="shared" si="46"/>
        <v>202509</v>
      </c>
      <c r="D2140" s="35" t="s">
        <v>5380</v>
      </c>
      <c r="E2140" s="36" t="s">
        <v>910</v>
      </c>
      <c r="F2140" s="36" t="s">
        <v>964</v>
      </c>
      <c r="G2140" s="37" t="s">
        <v>7539</v>
      </c>
      <c r="H2140" s="36" t="s">
        <v>4007</v>
      </c>
      <c r="I2140" s="35" t="s">
        <v>7540</v>
      </c>
      <c r="J2140" s="36" t="s">
        <v>929</v>
      </c>
      <c r="K2140" s="33" t="s">
        <v>916</v>
      </c>
      <c r="L2140" s="35" t="s">
        <v>916</v>
      </c>
      <c r="M2140" s="36" t="s">
        <v>916</v>
      </c>
      <c r="N2140" s="45">
        <v>46022</v>
      </c>
      <c r="O2140" s="36" t="s">
        <v>25</v>
      </c>
      <c r="P2140" s="38">
        <v>114.3381828704</v>
      </c>
      <c r="Q2140" s="39" t="s">
        <v>7541</v>
      </c>
      <c r="R2140" s="35" t="s">
        <v>916</v>
      </c>
      <c r="S2140" s="35" t="s">
        <v>7542</v>
      </c>
      <c r="T2140" s="35" t="s">
        <v>1701</v>
      </c>
      <c r="U2140" s="40">
        <v>45908</v>
      </c>
      <c r="V2140" s="41">
        <v>46153.533067129632</v>
      </c>
      <c r="W2140" s="40">
        <v>45907</v>
      </c>
      <c r="X2140" s="35" t="s">
        <v>916</v>
      </c>
      <c r="Y2140" s="35" t="s">
        <v>916</v>
      </c>
      <c r="Z2140" s="35" t="s">
        <v>916</v>
      </c>
      <c r="AA2140" s="38">
        <v>2744.1163888895999</v>
      </c>
      <c r="AB2140" s="42" t="s">
        <v>916</v>
      </c>
      <c r="AC2140" s="43" t="s">
        <v>916</v>
      </c>
      <c r="AD2140" s="43" t="s">
        <v>916</v>
      </c>
      <c r="AE2140" s="33" t="s">
        <v>3982</v>
      </c>
      <c r="AF2140" s="35" t="s">
        <v>916</v>
      </c>
      <c r="AG2140" s="44">
        <v>488127.88361111109</v>
      </c>
      <c r="AH2140" s="42" t="s">
        <v>916</v>
      </c>
      <c r="AI2140" s="32" t="e">
        <f>VLOOKUP(A2140,'4月明細'!B:B,1,0)</f>
        <v>#N/A</v>
      </c>
    </row>
    <row r="2141" spans="1:35" ht="19.95" customHeight="1" x14ac:dyDescent="0.3">
      <c r="A2141" s="33" t="s">
        <v>7543</v>
      </c>
      <c r="B2141" s="34">
        <v>45907.659826388888</v>
      </c>
      <c r="C2141" s="34" t="str">
        <f t="shared" si="46"/>
        <v>202509</v>
      </c>
      <c r="D2141" s="35" t="s">
        <v>996</v>
      </c>
      <c r="E2141" s="36" t="s">
        <v>910</v>
      </c>
      <c r="F2141" s="36" t="s">
        <v>1713</v>
      </c>
      <c r="G2141" s="37" t="s">
        <v>7544</v>
      </c>
      <c r="H2141" s="36" t="s">
        <v>4157</v>
      </c>
      <c r="I2141" s="35" t="s">
        <v>7545</v>
      </c>
      <c r="J2141" s="36" t="s">
        <v>914</v>
      </c>
      <c r="K2141" s="33" t="s">
        <v>916</v>
      </c>
      <c r="L2141" s="35" t="s">
        <v>916</v>
      </c>
      <c r="M2141" s="36" t="s">
        <v>916</v>
      </c>
      <c r="N2141" s="45">
        <v>46022</v>
      </c>
      <c r="O2141" s="36" t="s">
        <v>25</v>
      </c>
      <c r="P2141" s="38">
        <v>114.3401736111</v>
      </c>
      <c r="Q2141" s="39" t="s">
        <v>7546</v>
      </c>
      <c r="R2141" s="35" t="s">
        <v>916</v>
      </c>
      <c r="S2141" s="35"/>
      <c r="T2141" s="35" t="s">
        <v>1701</v>
      </c>
      <c r="U2141" s="40">
        <v>45908</v>
      </c>
      <c r="V2141" s="41">
        <v>46153.533067129632</v>
      </c>
      <c r="W2141" s="40">
        <v>45907</v>
      </c>
      <c r="X2141" s="35" t="s">
        <v>916</v>
      </c>
      <c r="Y2141" s="35" t="s">
        <v>916</v>
      </c>
      <c r="Z2141" s="35" t="s">
        <v>916</v>
      </c>
      <c r="AA2141" s="38">
        <v>2744.1641666664</v>
      </c>
      <c r="AB2141" s="42" t="s">
        <v>916</v>
      </c>
      <c r="AC2141" s="43" t="s">
        <v>916</v>
      </c>
      <c r="AD2141" s="43" t="s">
        <v>916</v>
      </c>
      <c r="AE2141" s="33" t="s">
        <v>3982</v>
      </c>
      <c r="AF2141" s="35" t="s">
        <v>916</v>
      </c>
      <c r="AG2141" s="44">
        <v>488127.83583333332</v>
      </c>
      <c r="AH2141" s="42" t="s">
        <v>916</v>
      </c>
      <c r="AI2141" s="32" t="e">
        <f>VLOOKUP(A2141,'4月明細'!B:B,1,0)</f>
        <v>#N/A</v>
      </c>
    </row>
    <row r="2142" spans="1:35" ht="19.95" customHeight="1" x14ac:dyDescent="0.3">
      <c r="A2142" s="33" t="s">
        <v>7547</v>
      </c>
      <c r="B2142" s="34">
        <v>45907.626712962963</v>
      </c>
      <c r="C2142" s="34" t="str">
        <f t="shared" si="46"/>
        <v>202509</v>
      </c>
      <c r="D2142" s="35" t="s">
        <v>996</v>
      </c>
      <c r="E2142" s="36" t="s">
        <v>910</v>
      </c>
      <c r="F2142" s="36" t="s">
        <v>1386</v>
      </c>
      <c r="G2142" s="37" t="s">
        <v>7548</v>
      </c>
      <c r="H2142" s="36" t="s">
        <v>4162</v>
      </c>
      <c r="I2142" s="35"/>
      <c r="J2142" s="36" t="s">
        <v>914</v>
      </c>
      <c r="K2142" s="33" t="s">
        <v>916</v>
      </c>
      <c r="L2142" s="35" t="s">
        <v>916</v>
      </c>
      <c r="M2142" s="36" t="s">
        <v>916</v>
      </c>
      <c r="N2142" s="45">
        <v>46022</v>
      </c>
      <c r="O2142" s="36" t="s">
        <v>25</v>
      </c>
      <c r="P2142" s="38">
        <v>114.373287037</v>
      </c>
      <c r="Q2142" s="39" t="s">
        <v>7549</v>
      </c>
      <c r="R2142" s="35" t="s">
        <v>916</v>
      </c>
      <c r="S2142" s="35"/>
      <c r="T2142" s="35" t="s">
        <v>1701</v>
      </c>
      <c r="U2142" s="40">
        <v>45908</v>
      </c>
      <c r="V2142" s="41">
        <v>46153.533067129632</v>
      </c>
      <c r="W2142" s="40">
        <v>45907</v>
      </c>
      <c r="X2142" s="35" t="s">
        <v>916</v>
      </c>
      <c r="Y2142" s="35" t="s">
        <v>916</v>
      </c>
      <c r="Z2142" s="35" t="s">
        <v>916</v>
      </c>
      <c r="AA2142" s="38">
        <v>2744.9588888879998</v>
      </c>
      <c r="AB2142" s="42" t="s">
        <v>916</v>
      </c>
      <c r="AC2142" s="43" t="s">
        <v>916</v>
      </c>
      <c r="AD2142" s="43" t="s">
        <v>916</v>
      </c>
      <c r="AE2142" s="33" t="s">
        <v>3982</v>
      </c>
      <c r="AF2142" s="35" t="s">
        <v>916</v>
      </c>
      <c r="AG2142" s="44">
        <v>488127.04111111112</v>
      </c>
      <c r="AH2142" s="42" t="s">
        <v>916</v>
      </c>
      <c r="AI2142" s="32" t="e">
        <f>VLOOKUP(A2142,'4月明細'!B:B,1,0)</f>
        <v>#N/A</v>
      </c>
    </row>
    <row r="2143" spans="1:35" ht="19.95" customHeight="1" x14ac:dyDescent="0.3">
      <c r="A2143" s="33" t="s">
        <v>7550</v>
      </c>
      <c r="B2143" s="34">
        <v>45907.612916666665</v>
      </c>
      <c r="C2143" s="34" t="str">
        <f t="shared" si="46"/>
        <v>202509</v>
      </c>
      <c r="D2143" s="35" t="s">
        <v>996</v>
      </c>
      <c r="E2143" s="36" t="s">
        <v>910</v>
      </c>
      <c r="F2143" s="36" t="s">
        <v>1799</v>
      </c>
      <c r="G2143" s="37" t="s">
        <v>7551</v>
      </c>
      <c r="H2143" s="36" t="s">
        <v>1048</v>
      </c>
      <c r="I2143" s="35" t="s">
        <v>7552</v>
      </c>
      <c r="J2143" s="36" t="s">
        <v>929</v>
      </c>
      <c r="K2143" s="33" t="s">
        <v>916</v>
      </c>
      <c r="L2143" s="35" t="s">
        <v>916</v>
      </c>
      <c r="M2143" s="36" t="s">
        <v>916</v>
      </c>
      <c r="N2143" s="45">
        <v>46022</v>
      </c>
      <c r="O2143" s="36" t="s">
        <v>25</v>
      </c>
      <c r="P2143" s="38">
        <v>114.3870833333</v>
      </c>
      <c r="Q2143" s="39" t="s">
        <v>7553</v>
      </c>
      <c r="R2143" s="35" t="s">
        <v>916</v>
      </c>
      <c r="S2143" s="35"/>
      <c r="T2143" s="35" t="s">
        <v>1701</v>
      </c>
      <c r="U2143" s="40">
        <v>45908</v>
      </c>
      <c r="V2143" s="41">
        <v>46153.533067129632</v>
      </c>
      <c r="W2143" s="40">
        <v>45907</v>
      </c>
      <c r="X2143" s="35" t="s">
        <v>916</v>
      </c>
      <c r="Y2143" s="35" t="s">
        <v>916</v>
      </c>
      <c r="Z2143" s="35" t="s">
        <v>916</v>
      </c>
      <c r="AA2143" s="38">
        <v>2745.2899999992001</v>
      </c>
      <c r="AB2143" s="42" t="s">
        <v>916</v>
      </c>
      <c r="AC2143" s="43" t="s">
        <v>916</v>
      </c>
      <c r="AD2143" s="43" t="s">
        <v>916</v>
      </c>
      <c r="AE2143" s="33" t="s">
        <v>3982</v>
      </c>
      <c r="AF2143" s="35" t="s">
        <v>916</v>
      </c>
      <c r="AG2143" s="44">
        <v>488126.71000000008</v>
      </c>
      <c r="AH2143" s="42" t="s">
        <v>916</v>
      </c>
      <c r="AI2143" s="32" t="e">
        <f>VLOOKUP(A2143,'4月明細'!B:B,1,0)</f>
        <v>#N/A</v>
      </c>
    </row>
    <row r="2144" spans="1:35" ht="19.95" customHeight="1" x14ac:dyDescent="0.3">
      <c r="A2144" s="33" t="s">
        <v>7554</v>
      </c>
      <c r="B2144" s="34">
        <v>45907.604490740741</v>
      </c>
      <c r="C2144" s="34" t="str">
        <f t="shared" si="46"/>
        <v>202509</v>
      </c>
      <c r="D2144" s="35" t="s">
        <v>5380</v>
      </c>
      <c r="E2144" s="36" t="s">
        <v>910</v>
      </c>
      <c r="F2144" s="36" t="s">
        <v>1282</v>
      </c>
      <c r="G2144" s="37" t="s">
        <v>7555</v>
      </c>
      <c r="H2144" s="36" t="s">
        <v>956</v>
      </c>
      <c r="I2144" s="35" t="s">
        <v>7556</v>
      </c>
      <c r="J2144" s="36" t="s">
        <v>929</v>
      </c>
      <c r="K2144" s="33" t="s">
        <v>916</v>
      </c>
      <c r="L2144" s="35" t="s">
        <v>916</v>
      </c>
      <c r="M2144" s="36" t="s">
        <v>923</v>
      </c>
      <c r="N2144" s="45">
        <v>46022</v>
      </c>
      <c r="O2144" s="36" t="s">
        <v>25</v>
      </c>
      <c r="P2144" s="38">
        <v>114.3955092593</v>
      </c>
      <c r="Q2144" s="39" t="s">
        <v>7557</v>
      </c>
      <c r="R2144" s="35" t="s">
        <v>916</v>
      </c>
      <c r="S2144" s="35"/>
      <c r="T2144" s="35" t="s">
        <v>1701</v>
      </c>
      <c r="U2144" s="40">
        <v>45908</v>
      </c>
      <c r="V2144" s="41">
        <v>46153.533067129632</v>
      </c>
      <c r="W2144" s="40">
        <v>45907</v>
      </c>
      <c r="X2144" s="35" t="s">
        <v>916</v>
      </c>
      <c r="Y2144" s="35" t="s">
        <v>916</v>
      </c>
      <c r="Z2144" s="35" t="s">
        <v>916</v>
      </c>
      <c r="AA2144" s="38">
        <v>2745.4922222231999</v>
      </c>
      <c r="AB2144" s="42" t="s">
        <v>916</v>
      </c>
      <c r="AC2144" s="43" t="s">
        <v>916</v>
      </c>
      <c r="AD2144" s="43" t="s">
        <v>916</v>
      </c>
      <c r="AE2144" s="33" t="s">
        <v>3982</v>
      </c>
      <c r="AF2144" s="35" t="s">
        <v>916</v>
      </c>
      <c r="AG2144" s="44">
        <v>488126.50777777779</v>
      </c>
      <c r="AH2144" s="42" t="s">
        <v>916</v>
      </c>
      <c r="AI2144" s="32" t="e">
        <f>VLOOKUP(A2144,'4月明細'!B:B,1,0)</f>
        <v>#N/A</v>
      </c>
    </row>
    <row r="2145" spans="1:35" ht="19.95" customHeight="1" x14ac:dyDescent="0.3">
      <c r="A2145" s="33" t="s">
        <v>7558</v>
      </c>
      <c r="B2145" s="34">
        <v>45907.513055555559</v>
      </c>
      <c r="C2145" s="34" t="str">
        <f t="shared" si="46"/>
        <v>202509</v>
      </c>
      <c r="D2145" s="35" t="s">
        <v>5380</v>
      </c>
      <c r="E2145" s="36" t="s">
        <v>910</v>
      </c>
      <c r="F2145" s="36" t="s">
        <v>1350</v>
      </c>
      <c r="G2145" s="37" t="s">
        <v>7559</v>
      </c>
      <c r="H2145" s="36" t="s">
        <v>3991</v>
      </c>
      <c r="I2145" s="35" t="s">
        <v>7560</v>
      </c>
      <c r="J2145" s="36" t="s">
        <v>914</v>
      </c>
      <c r="K2145" s="33" t="s">
        <v>916</v>
      </c>
      <c r="L2145" s="35" t="s">
        <v>916</v>
      </c>
      <c r="M2145" s="36" t="s">
        <v>916</v>
      </c>
      <c r="N2145" s="45">
        <v>46022</v>
      </c>
      <c r="O2145" s="36" t="s">
        <v>25</v>
      </c>
      <c r="P2145" s="38">
        <v>114.4869444444</v>
      </c>
      <c r="Q2145" s="39" t="s">
        <v>2171</v>
      </c>
      <c r="R2145" s="35" t="s">
        <v>916</v>
      </c>
      <c r="S2145" s="35" t="s">
        <v>7561</v>
      </c>
      <c r="T2145" s="35" t="s">
        <v>1701</v>
      </c>
      <c r="U2145" s="40">
        <v>45908</v>
      </c>
      <c r="V2145" s="41">
        <v>46153.533067129632</v>
      </c>
      <c r="W2145" s="40">
        <v>45907</v>
      </c>
      <c r="X2145" s="35" t="s">
        <v>916</v>
      </c>
      <c r="Y2145" s="35" t="s">
        <v>916</v>
      </c>
      <c r="Z2145" s="35" t="s">
        <v>916</v>
      </c>
      <c r="AA2145" s="38">
        <v>2747.6866666656001</v>
      </c>
      <c r="AB2145" s="42" t="s">
        <v>916</v>
      </c>
      <c r="AC2145" s="43" t="s">
        <v>916</v>
      </c>
      <c r="AD2145" s="43" t="s">
        <v>916</v>
      </c>
      <c r="AE2145" s="33" t="s">
        <v>3982</v>
      </c>
      <c r="AF2145" s="35" t="s">
        <v>916</v>
      </c>
      <c r="AG2145" s="44">
        <v>488124.31333333341</v>
      </c>
      <c r="AH2145" s="42" t="s">
        <v>916</v>
      </c>
      <c r="AI2145" s="32" t="e">
        <f>VLOOKUP(A2145,'4月明細'!B:B,1,0)</f>
        <v>#N/A</v>
      </c>
    </row>
    <row r="2146" spans="1:35" ht="19.95" customHeight="1" x14ac:dyDescent="0.3">
      <c r="A2146" s="33" t="s">
        <v>7562</v>
      </c>
      <c r="B2146" s="34">
        <v>45907.475740740738</v>
      </c>
      <c r="C2146" s="34" t="str">
        <f t="shared" si="46"/>
        <v>202509</v>
      </c>
      <c r="D2146" s="35" t="s">
        <v>5380</v>
      </c>
      <c r="E2146" s="36" t="s">
        <v>910</v>
      </c>
      <c r="F2146" s="36" t="s">
        <v>961</v>
      </c>
      <c r="G2146" s="37" t="s">
        <v>7563</v>
      </c>
      <c r="H2146" s="36" t="s">
        <v>4542</v>
      </c>
      <c r="I2146" s="35" t="s">
        <v>7564</v>
      </c>
      <c r="J2146" s="36" t="s">
        <v>929</v>
      </c>
      <c r="K2146" s="33" t="s">
        <v>916</v>
      </c>
      <c r="L2146" s="35" t="s">
        <v>916</v>
      </c>
      <c r="M2146" s="36" t="s">
        <v>916</v>
      </c>
      <c r="N2146" s="45">
        <v>46022</v>
      </c>
      <c r="O2146" s="36" t="s">
        <v>25</v>
      </c>
      <c r="P2146" s="38">
        <v>114.5242592593</v>
      </c>
      <c r="Q2146" s="39" t="s">
        <v>2171</v>
      </c>
      <c r="R2146" s="35" t="s">
        <v>916</v>
      </c>
      <c r="S2146" s="35" t="s">
        <v>7565</v>
      </c>
      <c r="T2146" s="35" t="s">
        <v>1701</v>
      </c>
      <c r="U2146" s="40">
        <v>45908</v>
      </c>
      <c r="V2146" s="41">
        <v>46153.533067129632</v>
      </c>
      <c r="W2146" s="40">
        <v>45907</v>
      </c>
      <c r="X2146" s="35" t="s">
        <v>916</v>
      </c>
      <c r="Y2146" s="35" t="s">
        <v>916</v>
      </c>
      <c r="Z2146" s="35" t="s">
        <v>916</v>
      </c>
      <c r="AA2146" s="38">
        <v>2748.5822222232</v>
      </c>
      <c r="AB2146" s="42" t="s">
        <v>916</v>
      </c>
      <c r="AC2146" s="43" t="s">
        <v>916</v>
      </c>
      <c r="AD2146" s="43" t="s">
        <v>916</v>
      </c>
      <c r="AE2146" s="33" t="s">
        <v>3982</v>
      </c>
      <c r="AF2146" s="35" t="s">
        <v>916</v>
      </c>
      <c r="AG2146" s="44">
        <v>488123.41777777782</v>
      </c>
      <c r="AH2146" s="42" t="s">
        <v>916</v>
      </c>
      <c r="AI2146" s="32" t="e">
        <f>VLOOKUP(A2146,'4月明細'!B:B,1,0)</f>
        <v>#N/A</v>
      </c>
    </row>
    <row r="2147" spans="1:35" ht="19.95" customHeight="1" x14ac:dyDescent="0.3">
      <c r="A2147" s="33" t="s">
        <v>7566</v>
      </c>
      <c r="B2147" s="34">
        <v>45907.462187500001</v>
      </c>
      <c r="C2147" s="34" t="str">
        <f t="shared" si="46"/>
        <v>202509</v>
      </c>
      <c r="D2147" s="35" t="s">
        <v>5380</v>
      </c>
      <c r="E2147" s="36" t="s">
        <v>910</v>
      </c>
      <c r="F2147" s="36" t="s">
        <v>1377</v>
      </c>
      <c r="G2147" s="37" t="s">
        <v>7567</v>
      </c>
      <c r="H2147" s="36" t="s">
        <v>4185</v>
      </c>
      <c r="I2147" s="35" t="s">
        <v>7568</v>
      </c>
      <c r="J2147" s="36" t="s">
        <v>914</v>
      </c>
      <c r="K2147" s="33" t="s">
        <v>916</v>
      </c>
      <c r="L2147" s="35" t="s">
        <v>916</v>
      </c>
      <c r="M2147" s="36" t="s">
        <v>916</v>
      </c>
      <c r="N2147" s="45">
        <v>46022</v>
      </c>
      <c r="O2147" s="36" t="s">
        <v>25</v>
      </c>
      <c r="P2147" s="38">
        <v>114.5378125</v>
      </c>
      <c r="Q2147" s="39" t="s">
        <v>1328</v>
      </c>
      <c r="R2147" s="35" t="s">
        <v>916</v>
      </c>
      <c r="S2147" s="35"/>
      <c r="T2147" s="35" t="s">
        <v>1701</v>
      </c>
      <c r="U2147" s="40">
        <v>45908</v>
      </c>
      <c r="V2147" s="41">
        <v>46153.533067129632</v>
      </c>
      <c r="W2147" s="40">
        <v>45907</v>
      </c>
      <c r="X2147" s="35" t="s">
        <v>916</v>
      </c>
      <c r="Y2147" s="35" t="s">
        <v>916</v>
      </c>
      <c r="Z2147" s="35" t="s">
        <v>916</v>
      </c>
      <c r="AA2147" s="38">
        <v>2748.9074999999998</v>
      </c>
      <c r="AB2147" s="42" t="s">
        <v>916</v>
      </c>
      <c r="AC2147" s="43" t="s">
        <v>916</v>
      </c>
      <c r="AD2147" s="43" t="s">
        <v>916</v>
      </c>
      <c r="AE2147" s="33" t="s">
        <v>3982</v>
      </c>
      <c r="AF2147" s="35" t="s">
        <v>916</v>
      </c>
      <c r="AG2147" s="44">
        <v>488123.09250000003</v>
      </c>
      <c r="AH2147" s="42" t="s">
        <v>916</v>
      </c>
      <c r="AI2147" s="32" t="e">
        <f>VLOOKUP(A2147,'4月明細'!B:B,1,0)</f>
        <v>#N/A</v>
      </c>
    </row>
    <row r="2148" spans="1:35" ht="19.95" customHeight="1" x14ac:dyDescent="0.3">
      <c r="A2148" s="33" t="s">
        <v>7569</v>
      </c>
      <c r="B2148" s="34">
        <v>45907.451840277776</v>
      </c>
      <c r="C2148" s="34" t="str">
        <f t="shared" si="46"/>
        <v>202509</v>
      </c>
      <c r="D2148" s="35" t="s">
        <v>5380</v>
      </c>
      <c r="E2148" s="36" t="s">
        <v>910</v>
      </c>
      <c r="F2148" s="36" t="s">
        <v>1606</v>
      </c>
      <c r="G2148" s="37" t="s">
        <v>927</v>
      </c>
      <c r="H2148" s="36" t="s">
        <v>4185</v>
      </c>
      <c r="I2148" s="35" t="s">
        <v>7570</v>
      </c>
      <c r="J2148" s="36" t="s">
        <v>914</v>
      </c>
      <c r="K2148" s="33" t="s">
        <v>916</v>
      </c>
      <c r="L2148" s="35" t="s">
        <v>916</v>
      </c>
      <c r="M2148" s="36" t="s">
        <v>916</v>
      </c>
      <c r="N2148" s="45">
        <v>46022</v>
      </c>
      <c r="O2148" s="36" t="s">
        <v>25</v>
      </c>
      <c r="P2148" s="38">
        <v>114.5481597222</v>
      </c>
      <c r="Q2148" s="39" t="s">
        <v>1328</v>
      </c>
      <c r="R2148" s="35" t="s">
        <v>916</v>
      </c>
      <c r="S2148" s="35"/>
      <c r="T2148" s="35" t="s">
        <v>1701</v>
      </c>
      <c r="U2148" s="40">
        <v>45908</v>
      </c>
      <c r="V2148" s="41">
        <v>46153.533067129632</v>
      </c>
      <c r="W2148" s="40">
        <v>45907</v>
      </c>
      <c r="X2148" s="35" t="s">
        <v>916</v>
      </c>
      <c r="Y2148" s="35" t="s">
        <v>916</v>
      </c>
      <c r="Z2148" s="35" t="s">
        <v>916</v>
      </c>
      <c r="AA2148" s="38">
        <v>2749.1558333327998</v>
      </c>
      <c r="AB2148" s="42" t="s">
        <v>916</v>
      </c>
      <c r="AC2148" s="43" t="s">
        <v>916</v>
      </c>
      <c r="AD2148" s="43" t="s">
        <v>916</v>
      </c>
      <c r="AE2148" s="33" t="s">
        <v>3982</v>
      </c>
      <c r="AF2148" s="35" t="s">
        <v>916</v>
      </c>
      <c r="AG2148" s="44">
        <v>488122.84416666668</v>
      </c>
      <c r="AH2148" s="42" t="s">
        <v>916</v>
      </c>
      <c r="AI2148" s="32" t="e">
        <f>VLOOKUP(A2148,'4月明細'!B:B,1,0)</f>
        <v>#N/A</v>
      </c>
    </row>
    <row r="2149" spans="1:35" ht="19.95" customHeight="1" x14ac:dyDescent="0.3">
      <c r="A2149" s="33" t="s">
        <v>7571</v>
      </c>
      <c r="B2149" s="34">
        <v>45907.365347222221</v>
      </c>
      <c r="C2149" s="34" t="str">
        <f t="shared" si="46"/>
        <v>202509</v>
      </c>
      <c r="D2149" s="35" t="s">
        <v>6389</v>
      </c>
      <c r="E2149" s="36" t="s">
        <v>910</v>
      </c>
      <c r="F2149" s="36" t="s">
        <v>1032</v>
      </c>
      <c r="G2149" s="37" t="s">
        <v>7572</v>
      </c>
      <c r="H2149" s="36" t="s">
        <v>5833</v>
      </c>
      <c r="I2149" s="35"/>
      <c r="J2149" s="36" t="s">
        <v>929</v>
      </c>
      <c r="K2149" s="33" t="s">
        <v>916</v>
      </c>
      <c r="L2149" s="35" t="s">
        <v>916</v>
      </c>
      <c r="M2149" s="36" t="s">
        <v>916</v>
      </c>
      <c r="N2149" s="45">
        <v>46022</v>
      </c>
      <c r="O2149" s="36" t="s">
        <v>25</v>
      </c>
      <c r="P2149" s="38">
        <v>114.6346527778</v>
      </c>
      <c r="Q2149" s="39" t="s">
        <v>7573</v>
      </c>
      <c r="R2149" s="35" t="s">
        <v>916</v>
      </c>
      <c r="S2149" s="35"/>
      <c r="T2149" s="35" t="s">
        <v>1701</v>
      </c>
      <c r="U2149" s="40">
        <v>45908</v>
      </c>
      <c r="V2149" s="41">
        <v>46153.533067129632</v>
      </c>
      <c r="W2149" s="40">
        <v>45907</v>
      </c>
      <c r="X2149" s="35" t="s">
        <v>916</v>
      </c>
      <c r="Y2149" s="35" t="s">
        <v>916</v>
      </c>
      <c r="Z2149" s="35" t="s">
        <v>916</v>
      </c>
      <c r="AA2149" s="38">
        <v>2751.2316666672</v>
      </c>
      <c r="AB2149" s="42" t="s">
        <v>916</v>
      </c>
      <c r="AC2149" s="43" t="s">
        <v>916</v>
      </c>
      <c r="AD2149" s="43" t="s">
        <v>916</v>
      </c>
      <c r="AE2149" s="33" t="s">
        <v>3982</v>
      </c>
      <c r="AF2149" s="35" t="s">
        <v>916</v>
      </c>
      <c r="AG2149" s="44">
        <v>488120.76833333331</v>
      </c>
      <c r="AH2149" s="42" t="s">
        <v>916</v>
      </c>
      <c r="AI2149" s="32" t="e">
        <f>VLOOKUP(A2149,'4月明細'!B:B,1,0)</f>
        <v>#N/A</v>
      </c>
    </row>
    <row r="2150" spans="1:35" ht="19.95" customHeight="1" x14ac:dyDescent="0.3">
      <c r="A2150" s="33" t="s">
        <v>7574</v>
      </c>
      <c r="B2150" s="34">
        <v>45906.74796296296</v>
      </c>
      <c r="C2150" s="34" t="str">
        <f t="shared" si="46"/>
        <v>202509</v>
      </c>
      <c r="D2150" s="35" t="s">
        <v>1198</v>
      </c>
      <c r="E2150" s="36" t="s">
        <v>1199</v>
      </c>
      <c r="F2150" s="36" t="s">
        <v>1166</v>
      </c>
      <c r="G2150" s="37" t="s">
        <v>7575</v>
      </c>
      <c r="H2150" s="36" t="s">
        <v>6714</v>
      </c>
      <c r="I2150" s="35" t="s">
        <v>7576</v>
      </c>
      <c r="J2150" s="36" t="s">
        <v>938</v>
      </c>
      <c r="K2150" s="33" t="s">
        <v>916</v>
      </c>
      <c r="L2150" s="35" t="s">
        <v>916</v>
      </c>
      <c r="M2150" s="36" t="s">
        <v>916</v>
      </c>
      <c r="N2150" s="45">
        <v>46022</v>
      </c>
      <c r="O2150" s="36" t="s">
        <v>25</v>
      </c>
      <c r="P2150" s="38">
        <v>115.25203703699999</v>
      </c>
      <c r="Q2150" s="39" t="s">
        <v>7577</v>
      </c>
      <c r="R2150" s="35" t="s">
        <v>916</v>
      </c>
      <c r="S2150" s="35" t="s">
        <v>7578</v>
      </c>
      <c r="T2150" s="35" t="s">
        <v>1701</v>
      </c>
      <c r="U2150" s="40">
        <v>45907</v>
      </c>
      <c r="V2150" s="41">
        <v>46153.533067129632</v>
      </c>
      <c r="W2150" s="40">
        <v>45906</v>
      </c>
      <c r="X2150" s="35" t="s">
        <v>916</v>
      </c>
      <c r="Y2150" s="35" t="s">
        <v>916</v>
      </c>
      <c r="Z2150" s="35" t="s">
        <v>916</v>
      </c>
      <c r="AA2150" s="38">
        <v>2766.048888888</v>
      </c>
      <c r="AB2150" s="42" t="s">
        <v>916</v>
      </c>
      <c r="AC2150" s="43" t="s">
        <v>916</v>
      </c>
      <c r="AD2150" s="43" t="s">
        <v>916</v>
      </c>
      <c r="AE2150" s="33" t="s">
        <v>3982</v>
      </c>
      <c r="AF2150" s="35" t="s">
        <v>916</v>
      </c>
      <c r="AG2150" s="44">
        <v>488105.95111111109</v>
      </c>
      <c r="AH2150" s="42" t="s">
        <v>916</v>
      </c>
      <c r="AI2150" s="32" t="e">
        <f>VLOOKUP(A2150,'4月明細'!B:B,1,0)</f>
        <v>#N/A</v>
      </c>
    </row>
    <row r="2151" spans="1:35" ht="19.95" customHeight="1" x14ac:dyDescent="0.3">
      <c r="A2151" s="33" t="s">
        <v>7579</v>
      </c>
      <c r="B2151" s="34">
        <v>45906.650138888886</v>
      </c>
      <c r="C2151" s="34" t="str">
        <f t="shared" si="46"/>
        <v>202509</v>
      </c>
      <c r="D2151" s="35" t="s">
        <v>5380</v>
      </c>
      <c r="E2151" s="36" t="s">
        <v>910</v>
      </c>
      <c r="F2151" s="36" t="s">
        <v>987</v>
      </c>
      <c r="G2151" s="37" t="s">
        <v>7580</v>
      </c>
      <c r="H2151" s="36" t="s">
        <v>1048</v>
      </c>
      <c r="I2151" s="35" t="s">
        <v>7581</v>
      </c>
      <c r="J2151" s="36" t="s">
        <v>929</v>
      </c>
      <c r="K2151" s="33" t="s">
        <v>916</v>
      </c>
      <c r="L2151" s="35" t="s">
        <v>916</v>
      </c>
      <c r="M2151" s="36" t="s">
        <v>916</v>
      </c>
      <c r="N2151" s="45">
        <v>46022</v>
      </c>
      <c r="O2151" s="36" t="s">
        <v>25</v>
      </c>
      <c r="P2151" s="38">
        <v>115.3498611111</v>
      </c>
      <c r="Q2151" s="39" t="s">
        <v>7582</v>
      </c>
      <c r="R2151" s="35" t="s">
        <v>916</v>
      </c>
      <c r="S2151" s="35" t="s">
        <v>7583</v>
      </c>
      <c r="T2151" s="35" t="s">
        <v>1701</v>
      </c>
      <c r="U2151" s="40">
        <v>45907</v>
      </c>
      <c r="V2151" s="41">
        <v>46153.533067129632</v>
      </c>
      <c r="W2151" s="40">
        <v>45906</v>
      </c>
      <c r="X2151" s="35" t="s">
        <v>916</v>
      </c>
      <c r="Y2151" s="35" t="s">
        <v>916</v>
      </c>
      <c r="Z2151" s="35" t="s">
        <v>916</v>
      </c>
      <c r="AA2151" s="38">
        <v>2768.3966666664001</v>
      </c>
      <c r="AB2151" s="42" t="s">
        <v>916</v>
      </c>
      <c r="AC2151" s="43" t="s">
        <v>916</v>
      </c>
      <c r="AD2151" s="43" t="s">
        <v>916</v>
      </c>
      <c r="AE2151" s="33" t="s">
        <v>3982</v>
      </c>
      <c r="AF2151" s="35" t="s">
        <v>916</v>
      </c>
      <c r="AG2151" s="44">
        <v>488103.60333333339</v>
      </c>
      <c r="AH2151" s="42" t="s">
        <v>916</v>
      </c>
      <c r="AI2151" s="32" t="e">
        <f>VLOOKUP(A2151,'4月明細'!B:B,1,0)</f>
        <v>#N/A</v>
      </c>
    </row>
    <row r="2152" spans="1:35" ht="19.95" customHeight="1" x14ac:dyDescent="0.3">
      <c r="A2152" s="33" t="s">
        <v>7584</v>
      </c>
      <c r="B2152" s="34">
        <v>45906.649270833332</v>
      </c>
      <c r="C2152" s="34" t="str">
        <f t="shared" si="46"/>
        <v>202509</v>
      </c>
      <c r="D2152" s="35" t="s">
        <v>1168</v>
      </c>
      <c r="E2152" s="36" t="s">
        <v>1112</v>
      </c>
      <c r="F2152" s="36" t="s">
        <v>1423</v>
      </c>
      <c r="G2152" s="37" t="s">
        <v>7585</v>
      </c>
      <c r="H2152" s="36" t="s">
        <v>1048</v>
      </c>
      <c r="I2152" s="35"/>
      <c r="J2152" s="36" t="s">
        <v>945</v>
      </c>
      <c r="K2152" s="33" t="s">
        <v>916</v>
      </c>
      <c r="L2152" s="35" t="s">
        <v>916</v>
      </c>
      <c r="M2152" s="36" t="s">
        <v>916</v>
      </c>
      <c r="N2152" s="45">
        <v>46022</v>
      </c>
      <c r="O2152" s="36" t="s">
        <v>25</v>
      </c>
      <c r="P2152" s="38">
        <v>115.35072916670001</v>
      </c>
      <c r="Q2152" s="39" t="s">
        <v>5957</v>
      </c>
      <c r="R2152" s="35" t="s">
        <v>916</v>
      </c>
      <c r="S2152" s="35"/>
      <c r="T2152" s="35" t="s">
        <v>1701</v>
      </c>
      <c r="U2152" s="40">
        <v>45907</v>
      </c>
      <c r="V2152" s="41">
        <v>46153.533067129632</v>
      </c>
      <c r="W2152" s="40">
        <v>45906</v>
      </c>
      <c r="X2152" s="35" t="s">
        <v>916</v>
      </c>
      <c r="Y2152" s="35" t="s">
        <v>916</v>
      </c>
      <c r="Z2152" s="35" t="s">
        <v>916</v>
      </c>
      <c r="AA2152" s="38">
        <v>2768.4175000007999</v>
      </c>
      <c r="AB2152" s="42" t="s">
        <v>916</v>
      </c>
      <c r="AC2152" s="43" t="s">
        <v>916</v>
      </c>
      <c r="AD2152" s="43" t="s">
        <v>916</v>
      </c>
      <c r="AE2152" s="33" t="s">
        <v>3982</v>
      </c>
      <c r="AF2152" s="35" t="s">
        <v>916</v>
      </c>
      <c r="AG2152" s="44">
        <v>488103.58250000002</v>
      </c>
      <c r="AH2152" s="42" t="s">
        <v>916</v>
      </c>
      <c r="AI2152" s="32" t="e">
        <f>VLOOKUP(A2152,'4月明細'!B:B,1,0)</f>
        <v>#N/A</v>
      </c>
    </row>
    <row r="2153" spans="1:35" ht="19.95" customHeight="1" x14ac:dyDescent="0.3">
      <c r="A2153" s="33" t="s">
        <v>7586</v>
      </c>
      <c r="B2153" s="34">
        <v>45906.549907407411</v>
      </c>
      <c r="C2153" s="34" t="str">
        <f t="shared" si="46"/>
        <v>202509</v>
      </c>
      <c r="D2153" s="35" t="s">
        <v>941</v>
      </c>
      <c r="E2153" s="36" t="s">
        <v>1112</v>
      </c>
      <c r="F2153" s="36" t="s">
        <v>1634</v>
      </c>
      <c r="G2153" s="37" t="s">
        <v>7587</v>
      </c>
      <c r="H2153" s="36" t="s">
        <v>7588</v>
      </c>
      <c r="I2153" s="35"/>
      <c r="J2153" s="36" t="s">
        <v>945</v>
      </c>
      <c r="K2153" s="33" t="s">
        <v>916</v>
      </c>
      <c r="L2153" s="35" t="s">
        <v>916</v>
      </c>
      <c r="M2153" s="36" t="s">
        <v>916</v>
      </c>
      <c r="N2153" s="45">
        <v>46022</v>
      </c>
      <c r="O2153" s="36" t="s">
        <v>25</v>
      </c>
      <c r="P2153" s="38">
        <v>115.4500925926</v>
      </c>
      <c r="Q2153" s="39" t="s">
        <v>5957</v>
      </c>
      <c r="R2153" s="35" t="s">
        <v>916</v>
      </c>
      <c r="S2153" s="35" t="s">
        <v>7589</v>
      </c>
      <c r="T2153" s="35" t="s">
        <v>1701</v>
      </c>
      <c r="U2153" s="40">
        <v>45907</v>
      </c>
      <c r="V2153" s="41">
        <v>46153.533067129632</v>
      </c>
      <c r="W2153" s="40">
        <v>45906</v>
      </c>
      <c r="X2153" s="35" t="s">
        <v>916</v>
      </c>
      <c r="Y2153" s="35" t="s">
        <v>916</v>
      </c>
      <c r="Z2153" s="35" t="s">
        <v>916</v>
      </c>
      <c r="AA2153" s="38">
        <v>2770.8022222223999</v>
      </c>
      <c r="AB2153" s="42" t="s">
        <v>916</v>
      </c>
      <c r="AC2153" s="43" t="s">
        <v>916</v>
      </c>
      <c r="AD2153" s="43" t="s">
        <v>916</v>
      </c>
      <c r="AE2153" s="33" t="s">
        <v>3982</v>
      </c>
      <c r="AF2153" s="35" t="s">
        <v>916</v>
      </c>
      <c r="AG2153" s="44">
        <v>488101.19777777779</v>
      </c>
      <c r="AH2153" s="42" t="s">
        <v>916</v>
      </c>
      <c r="AI2153" s="32" t="e">
        <f>VLOOKUP(A2153,'4月明細'!B:B,1,0)</f>
        <v>#N/A</v>
      </c>
    </row>
    <row r="2154" spans="1:35" ht="19.95" customHeight="1" x14ac:dyDescent="0.3">
      <c r="A2154" s="33" t="s">
        <v>7590</v>
      </c>
      <c r="B2154" s="34">
        <v>45906.536365740743</v>
      </c>
      <c r="C2154" s="34" t="str">
        <f t="shared" si="46"/>
        <v>202509</v>
      </c>
      <c r="D2154" s="35" t="s">
        <v>5380</v>
      </c>
      <c r="E2154" s="36" t="s">
        <v>910</v>
      </c>
      <c r="F2154" s="36" t="s">
        <v>1731</v>
      </c>
      <c r="G2154" s="37" t="s">
        <v>7591</v>
      </c>
      <c r="H2154" s="36" t="s">
        <v>4804</v>
      </c>
      <c r="I2154" s="35" t="s">
        <v>7592</v>
      </c>
      <c r="J2154" s="36" t="s">
        <v>929</v>
      </c>
      <c r="K2154" s="33" t="s">
        <v>916</v>
      </c>
      <c r="L2154" s="35" t="s">
        <v>916</v>
      </c>
      <c r="M2154" s="36" t="s">
        <v>916</v>
      </c>
      <c r="N2154" s="45">
        <v>46022</v>
      </c>
      <c r="O2154" s="36" t="s">
        <v>25</v>
      </c>
      <c r="P2154" s="38">
        <v>115.46363425929999</v>
      </c>
      <c r="Q2154" s="39" t="s">
        <v>5957</v>
      </c>
      <c r="R2154" s="35" t="s">
        <v>916</v>
      </c>
      <c r="S2154" s="35" t="s">
        <v>7593</v>
      </c>
      <c r="T2154" s="35" t="s">
        <v>1701</v>
      </c>
      <c r="U2154" s="40">
        <v>45907</v>
      </c>
      <c r="V2154" s="41">
        <v>46153.533067129632</v>
      </c>
      <c r="W2154" s="40">
        <v>45906</v>
      </c>
      <c r="X2154" s="35" t="s">
        <v>916</v>
      </c>
      <c r="Y2154" s="35" t="s">
        <v>916</v>
      </c>
      <c r="Z2154" s="35" t="s">
        <v>916</v>
      </c>
      <c r="AA2154" s="38">
        <v>2771.1272222232001</v>
      </c>
      <c r="AB2154" s="42" t="s">
        <v>916</v>
      </c>
      <c r="AC2154" s="43" t="s">
        <v>916</v>
      </c>
      <c r="AD2154" s="43" t="s">
        <v>916</v>
      </c>
      <c r="AE2154" s="33" t="s">
        <v>3982</v>
      </c>
      <c r="AF2154" s="35" t="s">
        <v>916</v>
      </c>
      <c r="AG2154" s="44">
        <v>488100.87277777772</v>
      </c>
      <c r="AH2154" s="42" t="s">
        <v>916</v>
      </c>
      <c r="AI2154" s="32" t="e">
        <f>VLOOKUP(A2154,'4月明細'!B:B,1,0)</f>
        <v>#N/A</v>
      </c>
    </row>
    <row r="2155" spans="1:35" ht="19.95" customHeight="1" x14ac:dyDescent="0.3">
      <c r="A2155" s="33" t="s">
        <v>7594</v>
      </c>
      <c r="B2155" s="34">
        <v>45906.500081018516</v>
      </c>
      <c r="C2155" s="34" t="str">
        <f t="shared" si="46"/>
        <v>202509</v>
      </c>
      <c r="D2155" s="35" t="s">
        <v>5380</v>
      </c>
      <c r="E2155" s="36" t="s">
        <v>910</v>
      </c>
      <c r="F2155" s="36" t="s">
        <v>1682</v>
      </c>
      <c r="G2155" s="37" t="s">
        <v>7595</v>
      </c>
      <c r="H2155" s="36" t="s">
        <v>956</v>
      </c>
      <c r="I2155" s="35" t="s">
        <v>7596</v>
      </c>
      <c r="J2155" s="36" t="s">
        <v>929</v>
      </c>
      <c r="K2155" s="33" t="s">
        <v>916</v>
      </c>
      <c r="L2155" s="35" t="s">
        <v>916</v>
      </c>
      <c r="M2155" s="36" t="s">
        <v>916</v>
      </c>
      <c r="N2155" s="45">
        <v>46022</v>
      </c>
      <c r="O2155" s="36" t="s">
        <v>25</v>
      </c>
      <c r="P2155" s="38">
        <v>115.4999189815</v>
      </c>
      <c r="Q2155" s="39" t="s">
        <v>2266</v>
      </c>
      <c r="R2155" s="35" t="s">
        <v>916</v>
      </c>
      <c r="S2155" s="35" t="s">
        <v>7597</v>
      </c>
      <c r="T2155" s="35" t="s">
        <v>1701</v>
      </c>
      <c r="U2155" s="40">
        <v>45907</v>
      </c>
      <c r="V2155" s="41">
        <v>46153.533067129632</v>
      </c>
      <c r="W2155" s="40">
        <v>45906</v>
      </c>
      <c r="X2155" s="35" t="s">
        <v>916</v>
      </c>
      <c r="Y2155" s="35" t="s">
        <v>916</v>
      </c>
      <c r="Z2155" s="35" t="s">
        <v>916</v>
      </c>
      <c r="AA2155" s="38">
        <v>2771.9980555560001</v>
      </c>
      <c r="AB2155" s="42" t="s">
        <v>916</v>
      </c>
      <c r="AC2155" s="43" t="s">
        <v>916</v>
      </c>
      <c r="AD2155" s="43" t="s">
        <v>916</v>
      </c>
      <c r="AE2155" s="33" t="s">
        <v>3982</v>
      </c>
      <c r="AF2155" s="35" t="s">
        <v>916</v>
      </c>
      <c r="AG2155" s="44">
        <v>488100.00222222222</v>
      </c>
      <c r="AH2155" s="42" t="s">
        <v>916</v>
      </c>
      <c r="AI2155" s="32" t="e">
        <f>VLOOKUP(A2155,'4月明細'!B:B,1,0)</f>
        <v>#N/A</v>
      </c>
    </row>
    <row r="2156" spans="1:35" ht="19.95" customHeight="1" x14ac:dyDescent="0.3">
      <c r="A2156" s="33" t="s">
        <v>7598</v>
      </c>
      <c r="B2156" s="34">
        <v>45906.493738425925</v>
      </c>
      <c r="C2156" s="34" t="str">
        <f t="shared" si="46"/>
        <v>202509</v>
      </c>
      <c r="D2156" s="35" t="s">
        <v>996</v>
      </c>
      <c r="E2156" s="36" t="s">
        <v>910</v>
      </c>
      <c r="F2156" s="36" t="s">
        <v>1068</v>
      </c>
      <c r="G2156" s="37" t="s">
        <v>7599</v>
      </c>
      <c r="H2156" s="36" t="s">
        <v>4029</v>
      </c>
      <c r="I2156" s="35" t="s">
        <v>7600</v>
      </c>
      <c r="J2156" s="36" t="s">
        <v>929</v>
      </c>
      <c r="K2156" s="33" t="s">
        <v>916</v>
      </c>
      <c r="L2156" s="35" t="s">
        <v>916</v>
      </c>
      <c r="M2156" s="36" t="s">
        <v>7198</v>
      </c>
      <c r="N2156" s="45">
        <v>46022</v>
      </c>
      <c r="O2156" s="36" t="s">
        <v>25</v>
      </c>
      <c r="P2156" s="38">
        <v>115.50626157409999</v>
      </c>
      <c r="Q2156" s="39" t="s">
        <v>7601</v>
      </c>
      <c r="R2156" s="35" t="s">
        <v>916</v>
      </c>
      <c r="S2156" s="35"/>
      <c r="T2156" s="35" t="s">
        <v>1701</v>
      </c>
      <c r="U2156" s="40">
        <v>45907</v>
      </c>
      <c r="V2156" s="41">
        <v>46153.533067129632</v>
      </c>
      <c r="W2156" s="40">
        <v>45906</v>
      </c>
      <c r="X2156" s="35" t="s">
        <v>916</v>
      </c>
      <c r="Y2156" s="35" t="s">
        <v>916</v>
      </c>
      <c r="Z2156" s="35" t="s">
        <v>916</v>
      </c>
      <c r="AA2156" s="38">
        <v>2772.1502777783999</v>
      </c>
      <c r="AB2156" s="42" t="s">
        <v>916</v>
      </c>
      <c r="AC2156" s="43" t="s">
        <v>916</v>
      </c>
      <c r="AD2156" s="43" t="s">
        <v>916</v>
      </c>
      <c r="AE2156" s="33" t="s">
        <v>3982</v>
      </c>
      <c r="AF2156" s="35" t="s">
        <v>916</v>
      </c>
      <c r="AG2156" s="44">
        <v>488099.84972222219</v>
      </c>
      <c r="AH2156" s="42" t="s">
        <v>916</v>
      </c>
      <c r="AI2156" s="32" t="e">
        <f>VLOOKUP(A2156,'4月明細'!B:B,1,0)</f>
        <v>#N/A</v>
      </c>
    </row>
    <row r="2157" spans="1:35" ht="19.95" customHeight="1" x14ac:dyDescent="0.3">
      <c r="A2157" s="33" t="s">
        <v>7602</v>
      </c>
      <c r="B2157" s="34">
        <v>45906.479375000003</v>
      </c>
      <c r="C2157" s="34" t="str">
        <f t="shared" si="46"/>
        <v>202509</v>
      </c>
      <c r="D2157" s="35" t="s">
        <v>996</v>
      </c>
      <c r="E2157" s="36" t="s">
        <v>910</v>
      </c>
      <c r="F2157" s="36" t="s">
        <v>947</v>
      </c>
      <c r="G2157" s="37" t="s">
        <v>7603</v>
      </c>
      <c r="H2157" s="36" t="s">
        <v>4162</v>
      </c>
      <c r="I2157" s="35"/>
      <c r="J2157" s="36" t="s">
        <v>929</v>
      </c>
      <c r="K2157" s="33" t="s">
        <v>916</v>
      </c>
      <c r="L2157" s="35" t="s">
        <v>916</v>
      </c>
      <c r="M2157" s="36" t="s">
        <v>916</v>
      </c>
      <c r="N2157" s="45">
        <v>46022</v>
      </c>
      <c r="O2157" s="36" t="s">
        <v>25</v>
      </c>
      <c r="P2157" s="38">
        <v>115.520625</v>
      </c>
      <c r="Q2157" s="39" t="s">
        <v>2171</v>
      </c>
      <c r="R2157" s="35" t="s">
        <v>916</v>
      </c>
      <c r="S2157" s="35" t="s">
        <v>7604</v>
      </c>
      <c r="T2157" s="35" t="s">
        <v>1701</v>
      </c>
      <c r="U2157" s="40">
        <v>45907</v>
      </c>
      <c r="V2157" s="41">
        <v>46153.533067129632</v>
      </c>
      <c r="W2157" s="40">
        <v>45906</v>
      </c>
      <c r="X2157" s="35" t="s">
        <v>916</v>
      </c>
      <c r="Y2157" s="35" t="s">
        <v>916</v>
      </c>
      <c r="Z2157" s="35" t="s">
        <v>916</v>
      </c>
      <c r="AA2157" s="38">
        <v>2772.4949999999999</v>
      </c>
      <c r="AB2157" s="42" t="s">
        <v>916</v>
      </c>
      <c r="AC2157" s="43" t="s">
        <v>916</v>
      </c>
      <c r="AD2157" s="43" t="s">
        <v>916</v>
      </c>
      <c r="AE2157" s="33" t="s">
        <v>3982</v>
      </c>
      <c r="AF2157" s="35" t="s">
        <v>916</v>
      </c>
      <c r="AG2157" s="44">
        <v>488099.505</v>
      </c>
      <c r="AH2157" s="42" t="s">
        <v>916</v>
      </c>
      <c r="AI2157" s="32" t="e">
        <f>VLOOKUP(A2157,'4月明細'!B:B,1,0)</f>
        <v>#N/A</v>
      </c>
    </row>
    <row r="2158" spans="1:35" ht="19.95" customHeight="1" x14ac:dyDescent="0.3">
      <c r="A2158" s="33" t="s">
        <v>7605</v>
      </c>
      <c r="B2158" s="34">
        <v>45906.477662037039</v>
      </c>
      <c r="C2158" s="34" t="str">
        <f t="shared" si="46"/>
        <v>202509</v>
      </c>
      <c r="D2158" s="35" t="s">
        <v>3875</v>
      </c>
      <c r="E2158" s="36" t="s">
        <v>1112</v>
      </c>
      <c r="F2158" s="36" t="s">
        <v>1207</v>
      </c>
      <c r="G2158" s="37" t="s">
        <v>7606</v>
      </c>
      <c r="H2158" s="36" t="s">
        <v>5106</v>
      </c>
      <c r="I2158" s="35"/>
      <c r="J2158" s="36" t="s">
        <v>929</v>
      </c>
      <c r="K2158" s="33" t="s">
        <v>916</v>
      </c>
      <c r="L2158" s="35" t="s">
        <v>916</v>
      </c>
      <c r="M2158" s="36" t="s">
        <v>916</v>
      </c>
      <c r="N2158" s="45">
        <v>46022</v>
      </c>
      <c r="O2158" s="36" t="s">
        <v>25</v>
      </c>
      <c r="P2158" s="38">
        <v>115.522337963</v>
      </c>
      <c r="Q2158" s="39" t="s">
        <v>7607</v>
      </c>
      <c r="R2158" s="35" t="s">
        <v>916</v>
      </c>
      <c r="S2158" s="35"/>
      <c r="T2158" s="35" t="s">
        <v>1701</v>
      </c>
      <c r="U2158" s="40">
        <v>45907</v>
      </c>
      <c r="V2158" s="41">
        <v>46153.533067129632</v>
      </c>
      <c r="W2158" s="40">
        <v>45906</v>
      </c>
      <c r="X2158" s="35" t="s">
        <v>916</v>
      </c>
      <c r="Y2158" s="35" t="s">
        <v>916</v>
      </c>
      <c r="Z2158" s="35" t="s">
        <v>916</v>
      </c>
      <c r="AA2158" s="38">
        <v>2772.5361111120001</v>
      </c>
      <c r="AB2158" s="42" t="s">
        <v>916</v>
      </c>
      <c r="AC2158" s="43" t="s">
        <v>916</v>
      </c>
      <c r="AD2158" s="43" t="s">
        <v>916</v>
      </c>
      <c r="AE2158" s="33" t="s">
        <v>3982</v>
      </c>
      <c r="AF2158" s="35" t="s">
        <v>916</v>
      </c>
      <c r="AG2158" s="44">
        <v>488099.46388888889</v>
      </c>
      <c r="AH2158" s="42" t="s">
        <v>916</v>
      </c>
      <c r="AI2158" s="32" t="e">
        <f>VLOOKUP(A2158,'4月明細'!B:B,1,0)</f>
        <v>#N/A</v>
      </c>
    </row>
    <row r="2159" spans="1:35" ht="19.95" customHeight="1" x14ac:dyDescent="0.3">
      <c r="A2159" s="33" t="s">
        <v>7608</v>
      </c>
      <c r="B2159" s="34">
        <v>45906.474293981482</v>
      </c>
      <c r="C2159" s="34" t="str">
        <f t="shared" si="46"/>
        <v>202509</v>
      </c>
      <c r="D2159" s="35" t="s">
        <v>3875</v>
      </c>
      <c r="E2159" s="36" t="s">
        <v>1112</v>
      </c>
      <c r="F2159" s="36" t="s">
        <v>2169</v>
      </c>
      <c r="G2159" s="37" t="s">
        <v>7609</v>
      </c>
      <c r="H2159" s="36" t="s">
        <v>7610</v>
      </c>
      <c r="I2159" s="35" t="s">
        <v>7611</v>
      </c>
      <c r="J2159" s="36" t="s">
        <v>929</v>
      </c>
      <c r="K2159" s="33" t="s">
        <v>916</v>
      </c>
      <c r="L2159" s="35" t="s">
        <v>916</v>
      </c>
      <c r="M2159" s="36" t="s">
        <v>916</v>
      </c>
      <c r="N2159" s="45">
        <v>46022</v>
      </c>
      <c r="O2159" s="36" t="s">
        <v>25</v>
      </c>
      <c r="P2159" s="38">
        <v>115.5257060185</v>
      </c>
      <c r="Q2159" s="39" t="s">
        <v>6472</v>
      </c>
      <c r="R2159" s="35" t="s">
        <v>916</v>
      </c>
      <c r="S2159" s="35" t="s">
        <v>7612</v>
      </c>
      <c r="T2159" s="35" t="s">
        <v>1701</v>
      </c>
      <c r="U2159" s="40">
        <v>45907</v>
      </c>
      <c r="V2159" s="41">
        <v>46153.533067129632</v>
      </c>
      <c r="W2159" s="40">
        <v>45906</v>
      </c>
      <c r="X2159" s="35" t="s">
        <v>916</v>
      </c>
      <c r="Y2159" s="35" t="s">
        <v>916</v>
      </c>
      <c r="Z2159" s="35" t="s">
        <v>916</v>
      </c>
      <c r="AA2159" s="38">
        <v>2772.6169444440002</v>
      </c>
      <c r="AB2159" s="42" t="s">
        <v>916</v>
      </c>
      <c r="AC2159" s="43" t="s">
        <v>916</v>
      </c>
      <c r="AD2159" s="43" t="s">
        <v>916</v>
      </c>
      <c r="AE2159" s="33" t="s">
        <v>3982</v>
      </c>
      <c r="AF2159" s="35" t="s">
        <v>916</v>
      </c>
      <c r="AG2159" s="44">
        <v>488099.38305555558</v>
      </c>
      <c r="AH2159" s="42" t="s">
        <v>916</v>
      </c>
      <c r="AI2159" s="32" t="e">
        <f>VLOOKUP(A2159,'4月明細'!B:B,1,0)</f>
        <v>#N/A</v>
      </c>
    </row>
    <row r="2160" spans="1:35" ht="19.95" customHeight="1" x14ac:dyDescent="0.3">
      <c r="A2160" s="33" t="s">
        <v>7613</v>
      </c>
      <c r="B2160" s="34">
        <v>45906.473541666666</v>
      </c>
      <c r="C2160" s="34" t="str">
        <f t="shared" si="46"/>
        <v>202509</v>
      </c>
      <c r="D2160" s="35" t="s">
        <v>3875</v>
      </c>
      <c r="E2160" s="36" t="s">
        <v>1112</v>
      </c>
      <c r="F2160" s="36" t="s">
        <v>1207</v>
      </c>
      <c r="G2160" s="37" t="s">
        <v>7614</v>
      </c>
      <c r="H2160" s="36" t="s">
        <v>4196</v>
      </c>
      <c r="I2160" s="35"/>
      <c r="J2160" s="36" t="s">
        <v>929</v>
      </c>
      <c r="K2160" s="33" t="s">
        <v>916</v>
      </c>
      <c r="L2160" s="35" t="s">
        <v>916</v>
      </c>
      <c r="M2160" s="36" t="s">
        <v>916</v>
      </c>
      <c r="N2160" s="45">
        <v>46022</v>
      </c>
      <c r="O2160" s="36" t="s">
        <v>25</v>
      </c>
      <c r="P2160" s="38">
        <v>115.5264583333</v>
      </c>
      <c r="Q2160" s="39" t="s">
        <v>7615</v>
      </c>
      <c r="R2160" s="35" t="s">
        <v>916</v>
      </c>
      <c r="S2160" s="35"/>
      <c r="T2160" s="35" t="s">
        <v>1701</v>
      </c>
      <c r="U2160" s="40">
        <v>45907</v>
      </c>
      <c r="V2160" s="41">
        <v>46153.533067129632</v>
      </c>
      <c r="W2160" s="40">
        <v>45906</v>
      </c>
      <c r="X2160" s="35" t="s">
        <v>916</v>
      </c>
      <c r="Y2160" s="35" t="s">
        <v>916</v>
      </c>
      <c r="Z2160" s="35" t="s">
        <v>916</v>
      </c>
      <c r="AA2160" s="38">
        <v>2772.6349999991999</v>
      </c>
      <c r="AB2160" s="42" t="s">
        <v>916</v>
      </c>
      <c r="AC2160" s="43" t="s">
        <v>916</v>
      </c>
      <c r="AD2160" s="43" t="s">
        <v>916</v>
      </c>
      <c r="AE2160" s="33" t="s">
        <v>3982</v>
      </c>
      <c r="AF2160" s="35" t="s">
        <v>916</v>
      </c>
      <c r="AG2160" s="44">
        <v>488099.36499999999</v>
      </c>
      <c r="AH2160" s="42" t="s">
        <v>916</v>
      </c>
      <c r="AI2160" s="32" t="e">
        <f>VLOOKUP(A2160,'4月明細'!B:B,1,0)</f>
        <v>#N/A</v>
      </c>
    </row>
    <row r="2161" spans="1:35" ht="19.95" customHeight="1" x14ac:dyDescent="0.3">
      <c r="A2161" s="33" t="s">
        <v>7616</v>
      </c>
      <c r="B2161" s="34">
        <v>45906.468194444446</v>
      </c>
      <c r="C2161" s="34" t="str">
        <f t="shared" si="46"/>
        <v>202509</v>
      </c>
      <c r="D2161" s="35" t="s">
        <v>6389</v>
      </c>
      <c r="E2161" s="36" t="s">
        <v>910</v>
      </c>
      <c r="F2161" s="36" t="s">
        <v>1386</v>
      </c>
      <c r="G2161" s="37" t="s">
        <v>7617</v>
      </c>
      <c r="H2161" s="36" t="s">
        <v>4007</v>
      </c>
      <c r="I2161" s="35"/>
      <c r="J2161" s="36" t="s">
        <v>929</v>
      </c>
      <c r="K2161" s="33" t="s">
        <v>916</v>
      </c>
      <c r="L2161" s="35" t="s">
        <v>916</v>
      </c>
      <c r="M2161" s="36" t="s">
        <v>916</v>
      </c>
      <c r="N2161" s="45">
        <v>46022</v>
      </c>
      <c r="O2161" s="36" t="s">
        <v>25</v>
      </c>
      <c r="P2161" s="38">
        <v>115.5318055556</v>
      </c>
      <c r="Q2161" s="39" t="s">
        <v>2266</v>
      </c>
      <c r="R2161" s="35" t="s">
        <v>916</v>
      </c>
      <c r="S2161" s="35" t="s">
        <v>7618</v>
      </c>
      <c r="T2161" s="35" t="s">
        <v>1701</v>
      </c>
      <c r="U2161" s="40">
        <v>45907</v>
      </c>
      <c r="V2161" s="41">
        <v>46153.533067129632</v>
      </c>
      <c r="W2161" s="40">
        <v>45906</v>
      </c>
      <c r="X2161" s="35" t="s">
        <v>916</v>
      </c>
      <c r="Y2161" s="35" t="s">
        <v>916</v>
      </c>
      <c r="Z2161" s="35" t="s">
        <v>916</v>
      </c>
      <c r="AA2161" s="38">
        <v>2772.7633333344002</v>
      </c>
      <c r="AB2161" s="42" t="s">
        <v>916</v>
      </c>
      <c r="AC2161" s="43" t="s">
        <v>916</v>
      </c>
      <c r="AD2161" s="43" t="s">
        <v>916</v>
      </c>
      <c r="AE2161" s="33" t="s">
        <v>3982</v>
      </c>
      <c r="AF2161" s="35" t="s">
        <v>916</v>
      </c>
      <c r="AG2161" s="44">
        <v>488099.23666666669</v>
      </c>
      <c r="AH2161" s="42" t="s">
        <v>916</v>
      </c>
      <c r="AI2161" s="32" t="e">
        <f>VLOOKUP(A2161,'4月明細'!B:B,1,0)</f>
        <v>#N/A</v>
      </c>
    </row>
    <row r="2162" spans="1:35" ht="19.95" customHeight="1" x14ac:dyDescent="0.3">
      <c r="A2162" s="33" t="s">
        <v>7619</v>
      </c>
      <c r="B2162" s="34">
        <v>45905.820891203701</v>
      </c>
      <c r="C2162" s="34" t="str">
        <f t="shared" si="46"/>
        <v>202509</v>
      </c>
      <c r="D2162" s="35" t="s">
        <v>1747</v>
      </c>
      <c r="E2162" s="36" t="s">
        <v>1112</v>
      </c>
      <c r="F2162" s="36" t="s">
        <v>2300</v>
      </c>
      <c r="G2162" s="37" t="s">
        <v>7620</v>
      </c>
      <c r="H2162" s="36" t="s">
        <v>5106</v>
      </c>
      <c r="I2162" s="35"/>
      <c r="J2162" s="36" t="s">
        <v>945</v>
      </c>
      <c r="K2162" s="33" t="s">
        <v>916</v>
      </c>
      <c r="L2162" s="35" t="s">
        <v>916</v>
      </c>
      <c r="M2162" s="36" t="s">
        <v>916</v>
      </c>
      <c r="N2162" s="45">
        <v>46022</v>
      </c>
      <c r="O2162" s="36" t="s">
        <v>25</v>
      </c>
      <c r="P2162" s="38">
        <v>116.1791087963</v>
      </c>
      <c r="Q2162" s="39" t="s">
        <v>7621</v>
      </c>
      <c r="R2162" s="35" t="s">
        <v>916</v>
      </c>
      <c r="S2162" s="35"/>
      <c r="T2162" s="35" t="s">
        <v>1701</v>
      </c>
      <c r="U2162" s="40">
        <v>45906</v>
      </c>
      <c r="V2162" s="41">
        <v>46153.533067129632</v>
      </c>
      <c r="W2162" s="40">
        <v>45905</v>
      </c>
      <c r="X2162" s="35" t="s">
        <v>916</v>
      </c>
      <c r="Y2162" s="35" t="s">
        <v>916</v>
      </c>
      <c r="Z2162" s="35" t="s">
        <v>916</v>
      </c>
      <c r="AA2162" s="38">
        <v>2788.2986111112</v>
      </c>
      <c r="AB2162" s="42" t="s">
        <v>916</v>
      </c>
      <c r="AC2162" s="43" t="s">
        <v>916</v>
      </c>
      <c r="AD2162" s="43" t="s">
        <v>916</v>
      </c>
      <c r="AE2162" s="33" t="s">
        <v>3982</v>
      </c>
      <c r="AF2162" s="35" t="s">
        <v>916</v>
      </c>
      <c r="AG2162" s="44">
        <v>488083.70138888888</v>
      </c>
      <c r="AH2162" s="42" t="s">
        <v>916</v>
      </c>
      <c r="AI2162" s="32" t="e">
        <f>VLOOKUP(A2162,'4月明細'!B:B,1,0)</f>
        <v>#N/A</v>
      </c>
    </row>
    <row r="2163" spans="1:35" ht="19.95" customHeight="1" x14ac:dyDescent="0.3">
      <c r="A2163" s="33" t="s">
        <v>7622</v>
      </c>
      <c r="B2163" s="34">
        <v>45905.773518518516</v>
      </c>
      <c r="C2163" s="34" t="str">
        <f t="shared" si="46"/>
        <v>202509</v>
      </c>
      <c r="D2163" s="35" t="s">
        <v>1747</v>
      </c>
      <c r="E2163" s="36" t="s">
        <v>1112</v>
      </c>
      <c r="F2163" s="36" t="s">
        <v>2300</v>
      </c>
      <c r="G2163" s="37" t="s">
        <v>1622</v>
      </c>
      <c r="H2163" s="36" t="s">
        <v>1048</v>
      </c>
      <c r="I2163" s="35"/>
      <c r="J2163" s="36" t="s">
        <v>945</v>
      </c>
      <c r="K2163" s="33" t="s">
        <v>916</v>
      </c>
      <c r="L2163" s="35" t="s">
        <v>916</v>
      </c>
      <c r="M2163" s="36" t="s">
        <v>916</v>
      </c>
      <c r="N2163" s="45">
        <v>46022</v>
      </c>
      <c r="O2163" s="36" t="s">
        <v>25</v>
      </c>
      <c r="P2163" s="38">
        <v>116.2264814815</v>
      </c>
      <c r="Q2163" s="39" t="s">
        <v>7623</v>
      </c>
      <c r="R2163" s="35" t="s">
        <v>916</v>
      </c>
      <c r="S2163" s="35"/>
      <c r="T2163" s="35" t="s">
        <v>1701</v>
      </c>
      <c r="U2163" s="40">
        <v>45906</v>
      </c>
      <c r="V2163" s="41">
        <v>46153.533067129632</v>
      </c>
      <c r="W2163" s="40">
        <v>45905</v>
      </c>
      <c r="X2163" s="35" t="s">
        <v>916</v>
      </c>
      <c r="Y2163" s="35" t="s">
        <v>916</v>
      </c>
      <c r="Z2163" s="35" t="s">
        <v>916</v>
      </c>
      <c r="AA2163" s="38">
        <v>2789.4355555560001</v>
      </c>
      <c r="AB2163" s="42" t="s">
        <v>916</v>
      </c>
      <c r="AC2163" s="43" t="s">
        <v>916</v>
      </c>
      <c r="AD2163" s="43" t="s">
        <v>916</v>
      </c>
      <c r="AE2163" s="33" t="s">
        <v>3982</v>
      </c>
      <c r="AF2163" s="35" t="s">
        <v>916</v>
      </c>
      <c r="AG2163" s="44">
        <v>488082.56444444449</v>
      </c>
      <c r="AH2163" s="42" t="s">
        <v>916</v>
      </c>
      <c r="AI2163" s="32" t="e">
        <f>VLOOKUP(A2163,'4月明細'!B:B,1,0)</f>
        <v>#N/A</v>
      </c>
    </row>
    <row r="2164" spans="1:35" ht="19.95" customHeight="1" x14ac:dyDescent="0.3">
      <c r="A2164" s="33" t="s">
        <v>7624</v>
      </c>
      <c r="B2164" s="34">
        <v>45905.752199074072</v>
      </c>
      <c r="C2164" s="34" t="str">
        <f t="shared" si="46"/>
        <v>202509</v>
      </c>
      <c r="D2164" s="35" t="s">
        <v>5380</v>
      </c>
      <c r="E2164" s="36" t="s">
        <v>910</v>
      </c>
      <c r="F2164" s="36" t="s">
        <v>1634</v>
      </c>
      <c r="G2164" s="37" t="s">
        <v>7625</v>
      </c>
      <c r="H2164" s="36" t="s">
        <v>5927</v>
      </c>
      <c r="I2164" s="35" t="s">
        <v>7626</v>
      </c>
      <c r="J2164" s="36" t="s">
        <v>929</v>
      </c>
      <c r="K2164" s="33" t="s">
        <v>916</v>
      </c>
      <c r="L2164" s="35" t="s">
        <v>916</v>
      </c>
      <c r="M2164" s="36" t="s">
        <v>916</v>
      </c>
      <c r="N2164" s="45">
        <v>46022</v>
      </c>
      <c r="O2164" s="36" t="s">
        <v>25</v>
      </c>
      <c r="P2164" s="38">
        <v>116.24780092589999</v>
      </c>
      <c r="Q2164" s="39" t="s">
        <v>7627</v>
      </c>
      <c r="R2164" s="35" t="s">
        <v>916</v>
      </c>
      <c r="S2164" s="35" t="s">
        <v>7628</v>
      </c>
      <c r="T2164" s="35" t="s">
        <v>1701</v>
      </c>
      <c r="U2164" s="40">
        <v>45906</v>
      </c>
      <c r="V2164" s="41">
        <v>46153.533067129632</v>
      </c>
      <c r="W2164" s="40">
        <v>45905</v>
      </c>
      <c r="X2164" s="35" t="s">
        <v>916</v>
      </c>
      <c r="Y2164" s="35" t="s">
        <v>916</v>
      </c>
      <c r="Z2164" s="35" t="s">
        <v>916</v>
      </c>
      <c r="AA2164" s="38">
        <v>2789.9472222216</v>
      </c>
      <c r="AB2164" s="42" t="s">
        <v>916</v>
      </c>
      <c r="AC2164" s="43" t="s">
        <v>916</v>
      </c>
      <c r="AD2164" s="43" t="s">
        <v>916</v>
      </c>
      <c r="AE2164" s="33" t="s">
        <v>3982</v>
      </c>
      <c r="AF2164" s="35" t="s">
        <v>916</v>
      </c>
      <c r="AG2164" s="44">
        <v>488082.05277777778</v>
      </c>
      <c r="AH2164" s="42" t="s">
        <v>916</v>
      </c>
      <c r="AI2164" s="32" t="e">
        <f>VLOOKUP(A2164,'4月明細'!B:B,1,0)</f>
        <v>#N/A</v>
      </c>
    </row>
    <row r="2165" spans="1:35" ht="19.95" customHeight="1" x14ac:dyDescent="0.3">
      <c r="A2165" s="33" t="s">
        <v>7629</v>
      </c>
      <c r="B2165" s="34">
        <v>45905.707766203705</v>
      </c>
      <c r="C2165" s="34" t="str">
        <f t="shared" si="46"/>
        <v>202509</v>
      </c>
      <c r="D2165" s="35" t="s">
        <v>5380</v>
      </c>
      <c r="E2165" s="36" t="s">
        <v>910</v>
      </c>
      <c r="F2165" s="36" t="s">
        <v>1783</v>
      </c>
      <c r="G2165" s="37" t="s">
        <v>7630</v>
      </c>
      <c r="H2165" s="36" t="s">
        <v>4007</v>
      </c>
      <c r="I2165" s="35" t="s">
        <v>7631</v>
      </c>
      <c r="J2165" s="36" t="s">
        <v>929</v>
      </c>
      <c r="K2165" s="33" t="s">
        <v>916</v>
      </c>
      <c r="L2165" s="35" t="s">
        <v>916</v>
      </c>
      <c r="M2165" s="36" t="s">
        <v>916</v>
      </c>
      <c r="N2165" s="45">
        <v>46022</v>
      </c>
      <c r="O2165" s="36" t="s">
        <v>25</v>
      </c>
      <c r="P2165" s="38">
        <v>116.2922337963</v>
      </c>
      <c r="Q2165" s="39" t="s">
        <v>7632</v>
      </c>
      <c r="R2165" s="35" t="s">
        <v>916</v>
      </c>
      <c r="S2165" s="35" t="s">
        <v>7633</v>
      </c>
      <c r="T2165" s="35" t="s">
        <v>1701</v>
      </c>
      <c r="U2165" s="40">
        <v>45906</v>
      </c>
      <c r="V2165" s="41">
        <v>46153.533067129632</v>
      </c>
      <c r="W2165" s="40">
        <v>45905</v>
      </c>
      <c r="X2165" s="35" t="s">
        <v>916</v>
      </c>
      <c r="Y2165" s="35" t="s">
        <v>916</v>
      </c>
      <c r="Z2165" s="35" t="s">
        <v>916</v>
      </c>
      <c r="AA2165" s="38">
        <v>2791.0136111112001</v>
      </c>
      <c r="AB2165" s="42" t="s">
        <v>916</v>
      </c>
      <c r="AC2165" s="43" t="s">
        <v>916</v>
      </c>
      <c r="AD2165" s="43" t="s">
        <v>916</v>
      </c>
      <c r="AE2165" s="33" t="s">
        <v>3982</v>
      </c>
      <c r="AF2165" s="35" t="s">
        <v>916</v>
      </c>
      <c r="AG2165" s="44">
        <v>488080.98638888891</v>
      </c>
      <c r="AH2165" s="42" t="s">
        <v>916</v>
      </c>
      <c r="AI2165" s="32" t="e">
        <f>VLOOKUP(A2165,'4月明細'!B:B,1,0)</f>
        <v>#N/A</v>
      </c>
    </row>
    <row r="2166" spans="1:35" ht="19.95" customHeight="1" x14ac:dyDescent="0.3">
      <c r="A2166" s="33" t="s">
        <v>7634</v>
      </c>
      <c r="B2166" s="34">
        <v>45905.630532407406</v>
      </c>
      <c r="C2166" s="34" t="str">
        <f t="shared" si="46"/>
        <v>202509</v>
      </c>
      <c r="D2166" s="35" t="s">
        <v>951</v>
      </c>
      <c r="E2166" s="36" t="s">
        <v>910</v>
      </c>
      <c r="F2166" s="36" t="s">
        <v>947</v>
      </c>
      <c r="G2166" s="37" t="s">
        <v>7635</v>
      </c>
      <c r="H2166" s="36" t="s">
        <v>4162</v>
      </c>
      <c r="I2166" s="35"/>
      <c r="J2166" s="36" t="s">
        <v>929</v>
      </c>
      <c r="K2166" s="33" t="s">
        <v>916</v>
      </c>
      <c r="L2166" s="35" t="s">
        <v>916</v>
      </c>
      <c r="M2166" s="36" t="s">
        <v>916</v>
      </c>
      <c r="N2166" s="45">
        <v>46022</v>
      </c>
      <c r="O2166" s="36" t="s">
        <v>25</v>
      </c>
      <c r="P2166" s="38">
        <v>116.3694675926</v>
      </c>
      <c r="Q2166" s="39" t="s">
        <v>1366</v>
      </c>
      <c r="R2166" s="35" t="s">
        <v>916</v>
      </c>
      <c r="S2166" s="35" t="s">
        <v>7636</v>
      </c>
      <c r="T2166" s="35" t="s">
        <v>1701</v>
      </c>
      <c r="U2166" s="40">
        <v>45906</v>
      </c>
      <c r="V2166" s="41">
        <v>46153.533067129632</v>
      </c>
      <c r="W2166" s="40">
        <v>45905</v>
      </c>
      <c r="X2166" s="35" t="s">
        <v>916</v>
      </c>
      <c r="Y2166" s="35" t="s">
        <v>916</v>
      </c>
      <c r="Z2166" s="35" t="s">
        <v>916</v>
      </c>
      <c r="AA2166" s="38">
        <v>2792.8672222224</v>
      </c>
      <c r="AB2166" s="42" t="s">
        <v>916</v>
      </c>
      <c r="AC2166" s="43" t="s">
        <v>916</v>
      </c>
      <c r="AD2166" s="43" t="s">
        <v>916</v>
      </c>
      <c r="AE2166" s="33" t="s">
        <v>3982</v>
      </c>
      <c r="AF2166" s="35" t="s">
        <v>916</v>
      </c>
      <c r="AG2166" s="44">
        <v>488079.13277777779</v>
      </c>
      <c r="AH2166" s="42" t="s">
        <v>916</v>
      </c>
      <c r="AI2166" s="32" t="e">
        <f>VLOOKUP(A2166,'4月明細'!B:B,1,0)</f>
        <v>#N/A</v>
      </c>
    </row>
    <row r="2167" spans="1:35" ht="19.95" customHeight="1" x14ac:dyDescent="0.3">
      <c r="A2167" s="33" t="s">
        <v>7637</v>
      </c>
      <c r="B2167" s="34">
        <v>45905.63013888889</v>
      </c>
      <c r="C2167" s="34" t="str">
        <f t="shared" si="46"/>
        <v>202509</v>
      </c>
      <c r="D2167" s="35" t="s">
        <v>6877</v>
      </c>
      <c r="E2167" s="36" t="s">
        <v>910</v>
      </c>
      <c r="F2167" s="36" t="s">
        <v>2515</v>
      </c>
      <c r="G2167" s="37" t="s">
        <v>7638</v>
      </c>
      <c r="H2167" s="36" t="s">
        <v>1048</v>
      </c>
      <c r="I2167" s="35"/>
      <c r="J2167" s="36" t="s">
        <v>929</v>
      </c>
      <c r="K2167" s="33" t="s">
        <v>916</v>
      </c>
      <c r="L2167" s="35" t="s">
        <v>916</v>
      </c>
      <c r="M2167" s="36" t="s">
        <v>916</v>
      </c>
      <c r="N2167" s="45">
        <v>46022</v>
      </c>
      <c r="O2167" s="36" t="s">
        <v>25</v>
      </c>
      <c r="P2167" s="38">
        <v>116.36986111109999</v>
      </c>
      <c r="Q2167" s="39" t="s">
        <v>7639</v>
      </c>
      <c r="R2167" s="35" t="s">
        <v>916</v>
      </c>
      <c r="S2167" s="35"/>
      <c r="T2167" s="35" t="s">
        <v>1701</v>
      </c>
      <c r="U2167" s="40">
        <v>45906</v>
      </c>
      <c r="V2167" s="41">
        <v>46153.533067129632</v>
      </c>
      <c r="W2167" s="40">
        <v>45905</v>
      </c>
      <c r="X2167" s="35" t="s">
        <v>916</v>
      </c>
      <c r="Y2167" s="35" t="s">
        <v>916</v>
      </c>
      <c r="Z2167" s="35" t="s">
        <v>916</v>
      </c>
      <c r="AA2167" s="38">
        <v>2792.8766666664001</v>
      </c>
      <c r="AB2167" s="42" t="s">
        <v>916</v>
      </c>
      <c r="AC2167" s="43" t="s">
        <v>916</v>
      </c>
      <c r="AD2167" s="43" t="s">
        <v>916</v>
      </c>
      <c r="AE2167" s="33" t="s">
        <v>3982</v>
      </c>
      <c r="AF2167" s="35" t="s">
        <v>916</v>
      </c>
      <c r="AG2167" s="44">
        <v>488079.12333333341</v>
      </c>
      <c r="AH2167" s="42" t="s">
        <v>916</v>
      </c>
      <c r="AI2167" s="32" t="e">
        <f>VLOOKUP(A2167,'4月明細'!B:B,1,0)</f>
        <v>#N/A</v>
      </c>
    </row>
    <row r="2168" spans="1:35" ht="19.95" customHeight="1" x14ac:dyDescent="0.3">
      <c r="A2168" s="33" t="s">
        <v>7640</v>
      </c>
      <c r="B2168" s="34">
        <v>45905.516215277778</v>
      </c>
      <c r="C2168" s="34" t="str">
        <f t="shared" si="46"/>
        <v>202509</v>
      </c>
      <c r="D2168" s="35" t="s">
        <v>951</v>
      </c>
      <c r="E2168" s="36" t="s">
        <v>910</v>
      </c>
      <c r="F2168" s="36" t="s">
        <v>1055</v>
      </c>
      <c r="G2168" s="37" t="s">
        <v>7641</v>
      </c>
      <c r="H2168" s="36" t="s">
        <v>5106</v>
      </c>
      <c r="I2168" s="35"/>
      <c r="J2168" s="36" t="s">
        <v>929</v>
      </c>
      <c r="K2168" s="33" t="s">
        <v>916</v>
      </c>
      <c r="L2168" s="35" t="s">
        <v>916</v>
      </c>
      <c r="M2168" s="36" t="s">
        <v>916</v>
      </c>
      <c r="N2168" s="45">
        <v>46022</v>
      </c>
      <c r="O2168" s="36" t="s">
        <v>25</v>
      </c>
      <c r="P2168" s="38">
        <v>116.4837847222</v>
      </c>
      <c r="Q2168" s="39" t="s">
        <v>7621</v>
      </c>
      <c r="R2168" s="35" t="s">
        <v>916</v>
      </c>
      <c r="S2168" s="35"/>
      <c r="T2168" s="35" t="s">
        <v>1624</v>
      </c>
      <c r="U2168" s="40">
        <v>45906</v>
      </c>
      <c r="V2168" s="41">
        <v>46153.533067129632</v>
      </c>
      <c r="W2168" s="40">
        <v>45905</v>
      </c>
      <c r="X2168" s="35" t="s">
        <v>916</v>
      </c>
      <c r="Y2168" s="35" t="s">
        <v>916</v>
      </c>
      <c r="Z2168" s="35" t="s">
        <v>916</v>
      </c>
      <c r="AA2168" s="38">
        <v>2795.6108333328002</v>
      </c>
      <c r="AB2168" s="42" t="s">
        <v>916</v>
      </c>
      <c r="AC2168" s="43" t="s">
        <v>916</v>
      </c>
      <c r="AD2168" s="43" t="s">
        <v>916</v>
      </c>
      <c r="AE2168" s="33" t="s">
        <v>3982</v>
      </c>
      <c r="AF2168" s="35" t="s">
        <v>916</v>
      </c>
      <c r="AG2168" s="44">
        <v>488076.38916666672</v>
      </c>
      <c r="AH2168" s="42" t="s">
        <v>916</v>
      </c>
      <c r="AI2168" s="32" t="e">
        <f>VLOOKUP(A2168,'4月明細'!B:B,1,0)</f>
        <v>#N/A</v>
      </c>
    </row>
    <row r="2169" spans="1:35" ht="19.95" customHeight="1" x14ac:dyDescent="0.3">
      <c r="A2169" s="33" t="s">
        <v>7642</v>
      </c>
      <c r="B2169" s="34">
        <v>45905.461712962962</v>
      </c>
      <c r="C2169" s="34" t="str">
        <f t="shared" si="46"/>
        <v>202509</v>
      </c>
      <c r="D2169" s="35" t="s">
        <v>6389</v>
      </c>
      <c r="E2169" s="36" t="s">
        <v>910</v>
      </c>
      <c r="F2169" s="36" t="s">
        <v>1253</v>
      </c>
      <c r="G2169" s="37" t="s">
        <v>7643</v>
      </c>
      <c r="H2169" s="36" t="s">
        <v>970</v>
      </c>
      <c r="I2169" s="35" t="s">
        <v>7644</v>
      </c>
      <c r="J2169" s="36" t="s">
        <v>929</v>
      </c>
      <c r="K2169" s="33" t="s">
        <v>916</v>
      </c>
      <c r="L2169" s="35" t="s">
        <v>916</v>
      </c>
      <c r="M2169" s="36" t="s">
        <v>916</v>
      </c>
      <c r="N2169" s="45">
        <v>46022</v>
      </c>
      <c r="O2169" s="36" t="s">
        <v>25</v>
      </c>
      <c r="P2169" s="38">
        <v>116.538287037</v>
      </c>
      <c r="Q2169" s="39" t="s">
        <v>1366</v>
      </c>
      <c r="R2169" s="35" t="s">
        <v>916</v>
      </c>
      <c r="S2169" s="35" t="s">
        <v>7645</v>
      </c>
      <c r="T2169" s="35" t="s">
        <v>1701</v>
      </c>
      <c r="U2169" s="40">
        <v>45906</v>
      </c>
      <c r="V2169" s="41">
        <v>46153.533067129632</v>
      </c>
      <c r="W2169" s="40">
        <v>45905</v>
      </c>
      <c r="X2169" s="35" t="s">
        <v>916</v>
      </c>
      <c r="Y2169" s="35" t="s">
        <v>916</v>
      </c>
      <c r="Z2169" s="35" t="s">
        <v>916</v>
      </c>
      <c r="AA2169" s="38">
        <v>2796.9188888879999</v>
      </c>
      <c r="AB2169" s="42" t="s">
        <v>916</v>
      </c>
      <c r="AC2169" s="43" t="s">
        <v>916</v>
      </c>
      <c r="AD2169" s="43" t="s">
        <v>916</v>
      </c>
      <c r="AE2169" s="33" t="s">
        <v>3982</v>
      </c>
      <c r="AF2169" s="35" t="s">
        <v>916</v>
      </c>
      <c r="AG2169" s="44">
        <v>488075.0811111111</v>
      </c>
      <c r="AH2169" s="42" t="s">
        <v>916</v>
      </c>
      <c r="AI2169" s="32" t="e">
        <f>VLOOKUP(A2169,'4月明細'!B:B,1,0)</f>
        <v>#N/A</v>
      </c>
    </row>
    <row r="2170" spans="1:35" ht="19.95" customHeight="1" x14ac:dyDescent="0.3">
      <c r="A2170" s="33" t="s">
        <v>7646</v>
      </c>
      <c r="B2170" s="34">
        <v>45904.706412037034</v>
      </c>
      <c r="C2170" s="34" t="str">
        <f t="shared" si="46"/>
        <v>202509</v>
      </c>
      <c r="D2170" s="35" t="s">
        <v>996</v>
      </c>
      <c r="E2170" s="36" t="s">
        <v>910</v>
      </c>
      <c r="F2170" s="36" t="s">
        <v>1740</v>
      </c>
      <c r="G2170" s="37" t="s">
        <v>7647</v>
      </c>
      <c r="H2170" s="36" t="s">
        <v>4023</v>
      </c>
      <c r="I2170" s="35"/>
      <c r="J2170" s="36" t="s">
        <v>929</v>
      </c>
      <c r="K2170" s="33" t="s">
        <v>916</v>
      </c>
      <c r="L2170" s="35" t="s">
        <v>916</v>
      </c>
      <c r="M2170" s="36" t="s">
        <v>916</v>
      </c>
      <c r="N2170" s="45">
        <v>46022</v>
      </c>
      <c r="O2170" s="36" t="s">
        <v>25</v>
      </c>
      <c r="P2170" s="38">
        <v>117.29358796299999</v>
      </c>
      <c r="Q2170" s="39" t="s">
        <v>984</v>
      </c>
      <c r="R2170" s="35" t="s">
        <v>916</v>
      </c>
      <c r="S2170" s="35" t="s">
        <v>7648</v>
      </c>
      <c r="T2170" s="35" t="s">
        <v>1701</v>
      </c>
      <c r="U2170" s="40">
        <v>45905</v>
      </c>
      <c r="V2170" s="41">
        <v>46153.533067129632</v>
      </c>
      <c r="W2170" s="40">
        <v>45904</v>
      </c>
      <c r="X2170" s="35" t="s">
        <v>916</v>
      </c>
      <c r="Y2170" s="35" t="s">
        <v>916</v>
      </c>
      <c r="Z2170" s="35" t="s">
        <v>916</v>
      </c>
      <c r="AA2170" s="38">
        <v>2815.0461111119998</v>
      </c>
      <c r="AB2170" s="42" t="s">
        <v>916</v>
      </c>
      <c r="AC2170" s="43" t="s">
        <v>916</v>
      </c>
      <c r="AD2170" s="43" t="s">
        <v>916</v>
      </c>
      <c r="AE2170" s="33" t="s">
        <v>3982</v>
      </c>
      <c r="AF2170" s="35" t="s">
        <v>916</v>
      </c>
      <c r="AG2170" s="44">
        <v>488056.95388888888</v>
      </c>
      <c r="AH2170" s="42" t="s">
        <v>916</v>
      </c>
      <c r="AI2170" s="32" t="e">
        <f>VLOOKUP(A2170,'4月明細'!B:B,1,0)</f>
        <v>#N/A</v>
      </c>
    </row>
    <row r="2171" spans="1:35" ht="19.95" customHeight="1" x14ac:dyDescent="0.3">
      <c r="A2171" s="33" t="s">
        <v>7649</v>
      </c>
      <c r="B2171" s="34">
        <v>45904.670763888891</v>
      </c>
      <c r="C2171" s="34" t="str">
        <f t="shared" si="46"/>
        <v>202509</v>
      </c>
      <c r="D2171" s="35" t="s">
        <v>5380</v>
      </c>
      <c r="E2171" s="36" t="s">
        <v>910</v>
      </c>
      <c r="F2171" s="36" t="s">
        <v>1225</v>
      </c>
      <c r="G2171" s="37" t="s">
        <v>6644</v>
      </c>
      <c r="H2171" s="36" t="s">
        <v>4481</v>
      </c>
      <c r="I2171" s="35" t="s">
        <v>7650</v>
      </c>
      <c r="J2171" s="36" t="s">
        <v>929</v>
      </c>
      <c r="K2171" s="33" t="s">
        <v>916</v>
      </c>
      <c r="L2171" s="35" t="s">
        <v>916</v>
      </c>
      <c r="M2171" s="36" t="s">
        <v>916</v>
      </c>
      <c r="N2171" s="45">
        <v>46022</v>
      </c>
      <c r="O2171" s="36" t="s">
        <v>25</v>
      </c>
      <c r="P2171" s="38">
        <v>117.3292361111</v>
      </c>
      <c r="Q2171" s="36" t="s">
        <v>916</v>
      </c>
      <c r="R2171" s="35" t="s">
        <v>916</v>
      </c>
      <c r="S2171" s="35" t="s">
        <v>7651</v>
      </c>
      <c r="T2171" s="35" t="s">
        <v>1701</v>
      </c>
      <c r="U2171" s="40">
        <v>45905</v>
      </c>
      <c r="V2171" s="41">
        <v>46153.533067129632</v>
      </c>
      <c r="W2171" s="40">
        <v>45904</v>
      </c>
      <c r="X2171" s="35" t="s">
        <v>916</v>
      </c>
      <c r="Y2171" s="35" t="s">
        <v>916</v>
      </c>
      <c r="Z2171" s="35" t="s">
        <v>916</v>
      </c>
      <c r="AA2171" s="38">
        <v>2815.9016666664002</v>
      </c>
      <c r="AB2171" s="42" t="s">
        <v>916</v>
      </c>
      <c r="AC2171" s="43" t="s">
        <v>916</v>
      </c>
      <c r="AD2171" s="43" t="s">
        <v>916</v>
      </c>
      <c r="AE2171" s="33" t="s">
        <v>3982</v>
      </c>
      <c r="AF2171" s="35" t="s">
        <v>916</v>
      </c>
      <c r="AG2171" s="44">
        <v>488056.09861111123</v>
      </c>
      <c r="AH2171" s="42" t="s">
        <v>916</v>
      </c>
      <c r="AI2171" s="32" t="e">
        <f>VLOOKUP(A2171,'4月明細'!B:B,1,0)</f>
        <v>#N/A</v>
      </c>
    </row>
    <row r="2172" spans="1:35" ht="19.95" customHeight="1" x14ac:dyDescent="0.3">
      <c r="A2172" s="33" t="s">
        <v>7652</v>
      </c>
      <c r="B2172" s="34">
        <v>45904.66746527778</v>
      </c>
      <c r="C2172" s="34" t="str">
        <f t="shared" si="46"/>
        <v>202509</v>
      </c>
      <c r="D2172" s="35" t="s">
        <v>951</v>
      </c>
      <c r="E2172" s="36" t="s">
        <v>910</v>
      </c>
      <c r="F2172" s="36" t="s">
        <v>1947</v>
      </c>
      <c r="G2172" s="37" t="s">
        <v>7653</v>
      </c>
      <c r="H2172" s="36" t="s">
        <v>4240</v>
      </c>
      <c r="I2172" s="35"/>
      <c r="J2172" s="36" t="s">
        <v>929</v>
      </c>
      <c r="K2172" s="33" t="s">
        <v>916</v>
      </c>
      <c r="L2172" s="35" t="s">
        <v>916</v>
      </c>
      <c r="M2172" s="36" t="s">
        <v>1135</v>
      </c>
      <c r="N2172" s="45">
        <v>46022</v>
      </c>
      <c r="O2172" s="36" t="s">
        <v>25</v>
      </c>
      <c r="P2172" s="38">
        <v>117.33253472219999</v>
      </c>
      <c r="Q2172" s="39" t="s">
        <v>7654</v>
      </c>
      <c r="R2172" s="35" t="s">
        <v>916</v>
      </c>
      <c r="S2172" s="35"/>
      <c r="T2172" s="35" t="s">
        <v>1624</v>
      </c>
      <c r="U2172" s="40">
        <v>45905</v>
      </c>
      <c r="V2172" s="41">
        <v>46153.533067129632</v>
      </c>
      <c r="W2172" s="40">
        <v>45904</v>
      </c>
      <c r="X2172" s="35" t="s">
        <v>916</v>
      </c>
      <c r="Y2172" s="35" t="s">
        <v>916</v>
      </c>
      <c r="Z2172" s="35" t="s">
        <v>916</v>
      </c>
      <c r="AA2172" s="38">
        <v>2815.9808333328001</v>
      </c>
      <c r="AB2172" s="42" t="s">
        <v>916</v>
      </c>
      <c r="AC2172" s="43" t="s">
        <v>916</v>
      </c>
      <c r="AD2172" s="43" t="s">
        <v>916</v>
      </c>
      <c r="AE2172" s="33" t="s">
        <v>3982</v>
      </c>
      <c r="AF2172" s="35" t="s">
        <v>916</v>
      </c>
      <c r="AG2172" s="44">
        <v>488056.01916666672</v>
      </c>
      <c r="AH2172" s="42" t="s">
        <v>916</v>
      </c>
      <c r="AI2172" s="32" t="e">
        <f>VLOOKUP(A2172,'4月明細'!B:B,1,0)</f>
        <v>#N/A</v>
      </c>
    </row>
    <row r="2173" spans="1:35" ht="19.95" customHeight="1" x14ac:dyDescent="0.3">
      <c r="A2173" s="33" t="s">
        <v>7655</v>
      </c>
      <c r="B2173" s="34">
        <v>45904.666921296295</v>
      </c>
      <c r="C2173" s="34" t="str">
        <f t="shared" si="46"/>
        <v>202509</v>
      </c>
      <c r="D2173" s="35" t="s">
        <v>951</v>
      </c>
      <c r="E2173" s="36" t="s">
        <v>910</v>
      </c>
      <c r="F2173" s="36" t="s">
        <v>1950</v>
      </c>
      <c r="G2173" s="37" t="s">
        <v>7656</v>
      </c>
      <c r="H2173" s="36" t="s">
        <v>4240</v>
      </c>
      <c r="I2173" s="35"/>
      <c r="J2173" s="36" t="s">
        <v>929</v>
      </c>
      <c r="K2173" s="33" t="s">
        <v>916</v>
      </c>
      <c r="L2173" s="35" t="s">
        <v>916</v>
      </c>
      <c r="M2173" s="36" t="s">
        <v>1135</v>
      </c>
      <c r="N2173" s="45">
        <v>46022</v>
      </c>
      <c r="O2173" s="36" t="s">
        <v>25</v>
      </c>
      <c r="P2173" s="38">
        <v>117.3330787037</v>
      </c>
      <c r="Q2173" s="39" t="s">
        <v>7654</v>
      </c>
      <c r="R2173" s="35" t="s">
        <v>916</v>
      </c>
      <c r="S2173" s="35"/>
      <c r="T2173" s="35" t="s">
        <v>1624</v>
      </c>
      <c r="U2173" s="40">
        <v>45905</v>
      </c>
      <c r="V2173" s="41">
        <v>46153.533067129632</v>
      </c>
      <c r="W2173" s="40">
        <v>45904</v>
      </c>
      <c r="X2173" s="35" t="s">
        <v>916</v>
      </c>
      <c r="Y2173" s="35" t="s">
        <v>916</v>
      </c>
      <c r="Z2173" s="35" t="s">
        <v>916</v>
      </c>
      <c r="AA2173" s="38">
        <v>2815.9938888888</v>
      </c>
      <c r="AB2173" s="42" t="s">
        <v>916</v>
      </c>
      <c r="AC2173" s="43" t="s">
        <v>916</v>
      </c>
      <c r="AD2173" s="43" t="s">
        <v>916</v>
      </c>
      <c r="AE2173" s="33" t="s">
        <v>3982</v>
      </c>
      <c r="AF2173" s="35" t="s">
        <v>916</v>
      </c>
      <c r="AG2173" s="44">
        <v>488056.00611111108</v>
      </c>
      <c r="AH2173" s="42" t="s">
        <v>916</v>
      </c>
      <c r="AI2173" s="32" t="e">
        <f>VLOOKUP(A2173,'4月明細'!B:B,1,0)</f>
        <v>#N/A</v>
      </c>
    </row>
    <row r="2174" spans="1:35" ht="19.95" customHeight="1" x14ac:dyDescent="0.3">
      <c r="A2174" s="33" t="s">
        <v>7657</v>
      </c>
      <c r="B2174" s="34">
        <v>45904.666585648149</v>
      </c>
      <c r="C2174" s="34" t="str">
        <f t="shared" si="46"/>
        <v>202509</v>
      </c>
      <c r="D2174" s="35" t="s">
        <v>951</v>
      </c>
      <c r="E2174" s="36" t="s">
        <v>910</v>
      </c>
      <c r="F2174" s="36" t="s">
        <v>1682</v>
      </c>
      <c r="G2174" s="37" t="s">
        <v>7658</v>
      </c>
      <c r="H2174" s="36" t="s">
        <v>5106</v>
      </c>
      <c r="I2174" s="35"/>
      <c r="J2174" s="36" t="s">
        <v>929</v>
      </c>
      <c r="K2174" s="33" t="s">
        <v>916</v>
      </c>
      <c r="L2174" s="35" t="s">
        <v>916</v>
      </c>
      <c r="M2174" s="36" t="s">
        <v>1135</v>
      </c>
      <c r="N2174" s="45">
        <v>46022</v>
      </c>
      <c r="O2174" s="36" t="s">
        <v>25</v>
      </c>
      <c r="P2174" s="38">
        <v>117.3334143519</v>
      </c>
      <c r="Q2174" s="39" t="s">
        <v>7659</v>
      </c>
      <c r="R2174" s="35" t="s">
        <v>916</v>
      </c>
      <c r="S2174" s="35"/>
      <c r="T2174" s="35" t="s">
        <v>1624</v>
      </c>
      <c r="U2174" s="40">
        <v>45905</v>
      </c>
      <c r="V2174" s="41">
        <v>46153.533067129632</v>
      </c>
      <c r="W2174" s="40">
        <v>45904</v>
      </c>
      <c r="X2174" s="35" t="s">
        <v>916</v>
      </c>
      <c r="Y2174" s="35" t="s">
        <v>916</v>
      </c>
      <c r="Z2174" s="35" t="s">
        <v>916</v>
      </c>
      <c r="AA2174" s="38">
        <v>2816.0019444456002</v>
      </c>
      <c r="AB2174" s="42" t="s">
        <v>916</v>
      </c>
      <c r="AC2174" s="43" t="s">
        <v>916</v>
      </c>
      <c r="AD2174" s="43" t="s">
        <v>916</v>
      </c>
      <c r="AE2174" s="33" t="s">
        <v>3982</v>
      </c>
      <c r="AF2174" s="35" t="s">
        <v>916</v>
      </c>
      <c r="AG2174" s="44">
        <v>979226.73138888902</v>
      </c>
      <c r="AH2174" s="42" t="s">
        <v>916</v>
      </c>
      <c r="AI2174" s="32" t="e">
        <f>VLOOKUP(A2174,'4月明細'!B:B,1,0)</f>
        <v>#N/A</v>
      </c>
    </row>
    <row r="2175" spans="1:35" ht="19.95" customHeight="1" x14ac:dyDescent="0.3">
      <c r="A2175" s="33" t="s">
        <v>7660</v>
      </c>
      <c r="B2175" s="34">
        <v>45904.666377314818</v>
      </c>
      <c r="C2175" s="34" t="str">
        <f t="shared" si="46"/>
        <v>202509</v>
      </c>
      <c r="D2175" s="35" t="s">
        <v>951</v>
      </c>
      <c r="E2175" s="36" t="s">
        <v>910</v>
      </c>
      <c r="F2175" s="36" t="s">
        <v>1584</v>
      </c>
      <c r="G2175" s="37" t="s">
        <v>7661</v>
      </c>
      <c r="H2175" s="36" t="s">
        <v>5106</v>
      </c>
      <c r="I2175" s="35"/>
      <c r="J2175" s="36" t="s">
        <v>929</v>
      </c>
      <c r="K2175" s="33" t="s">
        <v>916</v>
      </c>
      <c r="L2175" s="35" t="s">
        <v>916</v>
      </c>
      <c r="M2175" s="36" t="s">
        <v>1135</v>
      </c>
      <c r="N2175" s="45">
        <v>46022</v>
      </c>
      <c r="O2175" s="36" t="s">
        <v>25</v>
      </c>
      <c r="P2175" s="38">
        <v>117.3336226852</v>
      </c>
      <c r="Q2175" s="39" t="s">
        <v>7659</v>
      </c>
      <c r="R2175" s="35" t="s">
        <v>916</v>
      </c>
      <c r="S2175" s="35"/>
      <c r="T2175" s="35" t="s">
        <v>1624</v>
      </c>
      <c r="U2175" s="40">
        <v>45905</v>
      </c>
      <c r="V2175" s="41">
        <v>46153.533067129632</v>
      </c>
      <c r="W2175" s="40">
        <v>45904</v>
      </c>
      <c r="X2175" s="35" t="s">
        <v>916</v>
      </c>
      <c r="Y2175" s="35" t="s">
        <v>916</v>
      </c>
      <c r="Z2175" s="35" t="s">
        <v>916</v>
      </c>
      <c r="AA2175" s="38">
        <v>2816.0069444448</v>
      </c>
      <c r="AB2175" s="42" t="s">
        <v>916</v>
      </c>
      <c r="AC2175" s="43" t="s">
        <v>916</v>
      </c>
      <c r="AD2175" s="43" t="s">
        <v>916</v>
      </c>
      <c r="AE2175" s="33" t="s">
        <v>3982</v>
      </c>
      <c r="AF2175" s="35" t="s">
        <v>916</v>
      </c>
      <c r="AG2175" s="44">
        <v>488055.9930555555</v>
      </c>
      <c r="AH2175" s="42" t="s">
        <v>916</v>
      </c>
      <c r="AI2175" s="32" t="e">
        <f>VLOOKUP(A2175,'4月明細'!B:B,1,0)</f>
        <v>#N/A</v>
      </c>
    </row>
    <row r="2176" spans="1:35" ht="19.95" customHeight="1" x14ac:dyDescent="0.3">
      <c r="A2176" s="33" t="s">
        <v>7662</v>
      </c>
      <c r="B2176" s="34">
        <v>45904.666087962964</v>
      </c>
      <c r="C2176" s="34" t="str">
        <f t="shared" si="46"/>
        <v>202509</v>
      </c>
      <c r="D2176" s="35" t="s">
        <v>951</v>
      </c>
      <c r="E2176" s="36" t="s">
        <v>910</v>
      </c>
      <c r="F2176" s="36" t="s">
        <v>1639</v>
      </c>
      <c r="G2176" s="37" t="s">
        <v>7663</v>
      </c>
      <c r="H2176" s="36" t="s">
        <v>5106</v>
      </c>
      <c r="I2176" s="35"/>
      <c r="J2176" s="36" t="s">
        <v>929</v>
      </c>
      <c r="K2176" s="33" t="s">
        <v>916</v>
      </c>
      <c r="L2176" s="35" t="s">
        <v>916</v>
      </c>
      <c r="M2176" s="36" t="s">
        <v>1135</v>
      </c>
      <c r="N2176" s="45">
        <v>46022</v>
      </c>
      <c r="O2176" s="36" t="s">
        <v>25</v>
      </c>
      <c r="P2176" s="38">
        <v>117.333912037</v>
      </c>
      <c r="Q2176" s="39" t="s">
        <v>7659</v>
      </c>
      <c r="R2176" s="35" t="s">
        <v>916</v>
      </c>
      <c r="S2176" s="35"/>
      <c r="T2176" s="35" t="s">
        <v>1624</v>
      </c>
      <c r="U2176" s="40">
        <v>45905</v>
      </c>
      <c r="V2176" s="41">
        <v>46153.533067129632</v>
      </c>
      <c r="W2176" s="40">
        <v>45904</v>
      </c>
      <c r="X2176" s="35" t="s">
        <v>916</v>
      </c>
      <c r="Y2176" s="35" t="s">
        <v>916</v>
      </c>
      <c r="Z2176" s="35" t="s">
        <v>916</v>
      </c>
      <c r="AA2176" s="38">
        <v>2816.0138888880001</v>
      </c>
      <c r="AB2176" s="42" t="s">
        <v>916</v>
      </c>
      <c r="AC2176" s="43" t="s">
        <v>916</v>
      </c>
      <c r="AD2176" s="43" t="s">
        <v>916</v>
      </c>
      <c r="AE2176" s="33" t="s">
        <v>3982</v>
      </c>
      <c r="AF2176" s="35" t="s">
        <v>916</v>
      </c>
      <c r="AG2176" s="44">
        <v>979226.7027777778</v>
      </c>
      <c r="AH2176" s="42" t="s">
        <v>916</v>
      </c>
      <c r="AI2176" s="32" t="e">
        <f>VLOOKUP(A2176,'4月明細'!B:B,1,0)</f>
        <v>#N/A</v>
      </c>
    </row>
    <row r="2177" spans="1:35" ht="19.95" customHeight="1" x14ac:dyDescent="0.3">
      <c r="A2177" s="33" t="s">
        <v>7664</v>
      </c>
      <c r="B2177" s="34">
        <v>45904.665648148148</v>
      </c>
      <c r="C2177" s="34" t="str">
        <f t="shared" si="46"/>
        <v>202509</v>
      </c>
      <c r="D2177" s="35" t="s">
        <v>951</v>
      </c>
      <c r="E2177" s="36" t="s">
        <v>910</v>
      </c>
      <c r="F2177" s="36" t="s">
        <v>1381</v>
      </c>
      <c r="G2177" s="37" t="s">
        <v>7665</v>
      </c>
      <c r="H2177" s="36" t="s">
        <v>5106</v>
      </c>
      <c r="I2177" s="35"/>
      <c r="J2177" s="36" t="s">
        <v>929</v>
      </c>
      <c r="K2177" s="33" t="s">
        <v>916</v>
      </c>
      <c r="L2177" s="35" t="s">
        <v>916</v>
      </c>
      <c r="M2177" s="36" t="s">
        <v>1135</v>
      </c>
      <c r="N2177" s="45">
        <v>46022</v>
      </c>
      <c r="O2177" s="36" t="s">
        <v>25</v>
      </c>
      <c r="P2177" s="38">
        <v>117.3343518519</v>
      </c>
      <c r="Q2177" s="39" t="s">
        <v>7659</v>
      </c>
      <c r="R2177" s="35" t="s">
        <v>916</v>
      </c>
      <c r="S2177" s="35"/>
      <c r="T2177" s="35" t="s">
        <v>1624</v>
      </c>
      <c r="U2177" s="40">
        <v>45905</v>
      </c>
      <c r="V2177" s="41">
        <v>46153.533067129632</v>
      </c>
      <c r="W2177" s="40">
        <v>45904</v>
      </c>
      <c r="X2177" s="35" t="s">
        <v>916</v>
      </c>
      <c r="Y2177" s="35" t="s">
        <v>916</v>
      </c>
      <c r="Z2177" s="35" t="s">
        <v>916</v>
      </c>
      <c r="AA2177" s="38">
        <v>2816.0244444455998</v>
      </c>
      <c r="AB2177" s="42" t="s">
        <v>916</v>
      </c>
      <c r="AC2177" s="43" t="s">
        <v>916</v>
      </c>
      <c r="AD2177" s="43" t="s">
        <v>916</v>
      </c>
      <c r="AE2177" s="33" t="s">
        <v>3982</v>
      </c>
      <c r="AF2177" s="35" t="s">
        <v>916</v>
      </c>
      <c r="AG2177" s="44">
        <v>979226.72555555566</v>
      </c>
      <c r="AH2177" s="42" t="s">
        <v>916</v>
      </c>
      <c r="AI2177" s="32" t="e">
        <f>VLOOKUP(A2177,'4月明細'!B:B,1,0)</f>
        <v>#N/A</v>
      </c>
    </row>
    <row r="2178" spans="1:35" ht="19.95" customHeight="1" x14ac:dyDescent="0.3">
      <c r="A2178" s="33" t="s">
        <v>7666</v>
      </c>
      <c r="B2178" s="34">
        <v>45904.664293981485</v>
      </c>
      <c r="C2178" s="34" t="str">
        <f t="shared" si="46"/>
        <v>202509</v>
      </c>
      <c r="D2178" s="35" t="s">
        <v>951</v>
      </c>
      <c r="E2178" s="36" t="s">
        <v>910</v>
      </c>
      <c r="F2178" s="36" t="s">
        <v>1581</v>
      </c>
      <c r="G2178" s="37" t="s">
        <v>7667</v>
      </c>
      <c r="H2178" s="36" t="s">
        <v>5106</v>
      </c>
      <c r="I2178" s="35"/>
      <c r="J2178" s="36" t="s">
        <v>929</v>
      </c>
      <c r="K2178" s="33" t="s">
        <v>916</v>
      </c>
      <c r="L2178" s="35" t="s">
        <v>916</v>
      </c>
      <c r="M2178" s="36" t="s">
        <v>1135</v>
      </c>
      <c r="N2178" s="45">
        <v>46022</v>
      </c>
      <c r="O2178" s="36" t="s">
        <v>25</v>
      </c>
      <c r="P2178" s="38">
        <v>117.33570601850001</v>
      </c>
      <c r="Q2178" s="39" t="s">
        <v>7659</v>
      </c>
      <c r="R2178" s="35" t="s">
        <v>916</v>
      </c>
      <c r="S2178" s="35"/>
      <c r="T2178" s="35" t="s">
        <v>1624</v>
      </c>
      <c r="U2178" s="40">
        <v>45905</v>
      </c>
      <c r="V2178" s="41">
        <v>46153.533067129632</v>
      </c>
      <c r="W2178" s="40">
        <v>45904</v>
      </c>
      <c r="X2178" s="35" t="s">
        <v>916</v>
      </c>
      <c r="Y2178" s="35" t="s">
        <v>916</v>
      </c>
      <c r="Z2178" s="35" t="s">
        <v>916</v>
      </c>
      <c r="AA2178" s="38">
        <v>2816.0569444439998</v>
      </c>
      <c r="AB2178" s="42" t="s">
        <v>916</v>
      </c>
      <c r="AC2178" s="43" t="s">
        <v>916</v>
      </c>
      <c r="AD2178" s="43" t="s">
        <v>916</v>
      </c>
      <c r="AE2178" s="33" t="s">
        <v>3982</v>
      </c>
      <c r="AF2178" s="35" t="s">
        <v>916</v>
      </c>
      <c r="AG2178" s="44">
        <v>979226.72638888902</v>
      </c>
      <c r="AH2178" s="42" t="s">
        <v>916</v>
      </c>
      <c r="AI2178" s="32" t="e">
        <f>VLOOKUP(A2178,'4月明細'!B:B,1,0)</f>
        <v>#N/A</v>
      </c>
    </row>
    <row r="2179" spans="1:35" ht="19.95" customHeight="1" x14ac:dyDescent="0.3">
      <c r="A2179" s="33" t="s">
        <v>7668</v>
      </c>
      <c r="B2179" s="34">
        <v>45904.663842592592</v>
      </c>
      <c r="C2179" s="34" t="str">
        <f t="shared" ref="C2179:C2242" si="47">TEXT(B2179,"YYYYMM")</f>
        <v>202509</v>
      </c>
      <c r="D2179" s="35" t="s">
        <v>951</v>
      </c>
      <c r="E2179" s="36" t="s">
        <v>910</v>
      </c>
      <c r="F2179" s="36" t="s">
        <v>1833</v>
      </c>
      <c r="G2179" s="37" t="s">
        <v>7669</v>
      </c>
      <c r="H2179" s="36" t="s">
        <v>5106</v>
      </c>
      <c r="I2179" s="35"/>
      <c r="J2179" s="36" t="s">
        <v>929</v>
      </c>
      <c r="K2179" s="33" t="s">
        <v>916</v>
      </c>
      <c r="L2179" s="35" t="s">
        <v>916</v>
      </c>
      <c r="M2179" s="36" t="s">
        <v>1135</v>
      </c>
      <c r="N2179" s="45">
        <v>46022</v>
      </c>
      <c r="O2179" s="36" t="s">
        <v>25</v>
      </c>
      <c r="P2179" s="38">
        <v>117.33615740739999</v>
      </c>
      <c r="Q2179" s="39" t="s">
        <v>7670</v>
      </c>
      <c r="R2179" s="35" t="s">
        <v>916</v>
      </c>
      <c r="S2179" s="35"/>
      <c r="T2179" s="35" t="s">
        <v>1624</v>
      </c>
      <c r="U2179" s="40">
        <v>45905</v>
      </c>
      <c r="V2179" s="41">
        <v>46153.533067129632</v>
      </c>
      <c r="W2179" s="40">
        <v>45904</v>
      </c>
      <c r="X2179" s="35" t="s">
        <v>916</v>
      </c>
      <c r="Y2179" s="35" t="s">
        <v>916</v>
      </c>
      <c r="Z2179" s="35" t="s">
        <v>916</v>
      </c>
      <c r="AA2179" s="38">
        <v>2816.0677777776</v>
      </c>
      <c r="AB2179" s="42" t="s">
        <v>916</v>
      </c>
      <c r="AC2179" s="43" t="s">
        <v>916</v>
      </c>
      <c r="AD2179" s="43" t="s">
        <v>916</v>
      </c>
      <c r="AE2179" s="33" t="s">
        <v>3982</v>
      </c>
      <c r="AF2179" s="35" t="s">
        <v>916</v>
      </c>
      <c r="AG2179" s="44">
        <v>488055.93222222221</v>
      </c>
      <c r="AH2179" s="42" t="s">
        <v>916</v>
      </c>
      <c r="AI2179" s="32" t="e">
        <f>VLOOKUP(A2179,'4月明細'!B:B,1,0)</f>
        <v>#N/A</v>
      </c>
    </row>
    <row r="2180" spans="1:35" ht="19.95" customHeight="1" x14ac:dyDescent="0.3">
      <c r="A2180" s="33" t="s">
        <v>7671</v>
      </c>
      <c r="B2180" s="34">
        <v>45904.663321759261</v>
      </c>
      <c r="C2180" s="34" t="str">
        <f t="shared" si="47"/>
        <v>202509</v>
      </c>
      <c r="D2180" s="35" t="s">
        <v>951</v>
      </c>
      <c r="E2180" s="36" t="s">
        <v>910</v>
      </c>
      <c r="F2180" s="36" t="s">
        <v>1017</v>
      </c>
      <c r="G2180" s="37" t="s">
        <v>7672</v>
      </c>
      <c r="H2180" s="36" t="s">
        <v>5106</v>
      </c>
      <c r="I2180" s="35"/>
      <c r="J2180" s="36" t="s">
        <v>929</v>
      </c>
      <c r="K2180" s="33" t="s">
        <v>916</v>
      </c>
      <c r="L2180" s="35" t="s">
        <v>916</v>
      </c>
      <c r="M2180" s="36" t="s">
        <v>1135</v>
      </c>
      <c r="N2180" s="45">
        <v>46022</v>
      </c>
      <c r="O2180" s="36" t="s">
        <v>25</v>
      </c>
      <c r="P2180" s="38">
        <v>117.3366782407</v>
      </c>
      <c r="Q2180" s="39" t="s">
        <v>7673</v>
      </c>
      <c r="R2180" s="35" t="s">
        <v>916</v>
      </c>
      <c r="S2180" s="35"/>
      <c r="T2180" s="35" t="s">
        <v>1624</v>
      </c>
      <c r="U2180" s="40">
        <v>45905</v>
      </c>
      <c r="V2180" s="41">
        <v>46153.533067129632</v>
      </c>
      <c r="W2180" s="40">
        <v>45904</v>
      </c>
      <c r="X2180" s="35" t="s">
        <v>916</v>
      </c>
      <c r="Y2180" s="35" t="s">
        <v>916</v>
      </c>
      <c r="Z2180" s="35" t="s">
        <v>916</v>
      </c>
      <c r="AA2180" s="38">
        <v>2816.0802777767999</v>
      </c>
      <c r="AB2180" s="42" t="s">
        <v>916</v>
      </c>
      <c r="AC2180" s="43" t="s">
        <v>916</v>
      </c>
      <c r="AD2180" s="43" t="s">
        <v>916</v>
      </c>
      <c r="AE2180" s="33" t="s">
        <v>3982</v>
      </c>
      <c r="AF2180" s="35" t="s">
        <v>916</v>
      </c>
      <c r="AG2180" s="44">
        <v>488055.91972222232</v>
      </c>
      <c r="AH2180" s="42" t="s">
        <v>916</v>
      </c>
      <c r="AI2180" s="32" t="e">
        <f>VLOOKUP(A2180,'4月明細'!B:B,1,0)</f>
        <v>#N/A</v>
      </c>
    </row>
    <row r="2181" spans="1:35" ht="19.95" customHeight="1" x14ac:dyDescent="0.3">
      <c r="A2181" s="33" t="s">
        <v>7674</v>
      </c>
      <c r="B2181" s="34">
        <v>45904.661203703705</v>
      </c>
      <c r="C2181" s="34" t="str">
        <f t="shared" si="47"/>
        <v>202509</v>
      </c>
      <c r="D2181" s="35" t="s">
        <v>951</v>
      </c>
      <c r="E2181" s="36" t="s">
        <v>1112</v>
      </c>
      <c r="F2181" s="36" t="s">
        <v>7350</v>
      </c>
      <c r="G2181" s="37" t="s">
        <v>7675</v>
      </c>
      <c r="H2181" s="36" t="s">
        <v>913</v>
      </c>
      <c r="I2181" s="35"/>
      <c r="J2181" s="36" t="s">
        <v>929</v>
      </c>
      <c r="K2181" s="33" t="s">
        <v>916</v>
      </c>
      <c r="L2181" s="35" t="s">
        <v>916</v>
      </c>
      <c r="M2181" s="36" t="s">
        <v>1135</v>
      </c>
      <c r="N2181" s="45">
        <v>46022</v>
      </c>
      <c r="O2181" s="36" t="s">
        <v>25</v>
      </c>
      <c r="P2181" s="38">
        <v>117.3387962963</v>
      </c>
      <c r="Q2181" s="39" t="s">
        <v>7676</v>
      </c>
      <c r="R2181" s="35" t="s">
        <v>916</v>
      </c>
      <c r="S2181" s="35"/>
      <c r="T2181" s="35" t="s">
        <v>1624</v>
      </c>
      <c r="U2181" s="40">
        <v>45905</v>
      </c>
      <c r="V2181" s="41">
        <v>46153.533067129632</v>
      </c>
      <c r="W2181" s="40">
        <v>45904</v>
      </c>
      <c r="X2181" s="35" t="s">
        <v>916</v>
      </c>
      <c r="Y2181" s="35" t="s">
        <v>916</v>
      </c>
      <c r="Z2181" s="35" t="s">
        <v>916</v>
      </c>
      <c r="AA2181" s="38">
        <v>2816.1311111112</v>
      </c>
      <c r="AB2181" s="42" t="s">
        <v>916</v>
      </c>
      <c r="AC2181" s="43" t="s">
        <v>916</v>
      </c>
      <c r="AD2181" s="43" t="s">
        <v>916</v>
      </c>
      <c r="AE2181" s="33" t="s">
        <v>3982</v>
      </c>
      <c r="AF2181" s="35" t="s">
        <v>916</v>
      </c>
      <c r="AG2181" s="44">
        <v>488055.86888888892</v>
      </c>
      <c r="AH2181" s="42" t="s">
        <v>916</v>
      </c>
      <c r="AI2181" s="32" t="e">
        <f>VLOOKUP(A2181,'4月明細'!B:B,1,0)</f>
        <v>#N/A</v>
      </c>
    </row>
    <row r="2182" spans="1:35" ht="19.95" customHeight="1" x14ac:dyDescent="0.3">
      <c r="A2182" s="33" t="s">
        <v>7677</v>
      </c>
      <c r="B2182" s="34">
        <v>45904.660717592589</v>
      </c>
      <c r="C2182" s="34" t="str">
        <f t="shared" si="47"/>
        <v>202509</v>
      </c>
      <c r="D2182" s="35" t="s">
        <v>951</v>
      </c>
      <c r="E2182" s="36" t="s">
        <v>910</v>
      </c>
      <c r="F2182" s="36" t="s">
        <v>1718</v>
      </c>
      <c r="G2182" s="37" t="s">
        <v>7678</v>
      </c>
      <c r="H2182" s="36" t="s">
        <v>913</v>
      </c>
      <c r="I2182" s="35"/>
      <c r="J2182" s="36" t="s">
        <v>929</v>
      </c>
      <c r="K2182" s="33" t="s">
        <v>916</v>
      </c>
      <c r="L2182" s="35" t="s">
        <v>916</v>
      </c>
      <c r="M2182" s="36" t="s">
        <v>1135</v>
      </c>
      <c r="N2182" s="45">
        <v>46022</v>
      </c>
      <c r="O2182" s="36" t="s">
        <v>25</v>
      </c>
      <c r="P2182" s="38">
        <v>117.33928240740001</v>
      </c>
      <c r="Q2182" s="39" t="s">
        <v>7676</v>
      </c>
      <c r="R2182" s="35" t="s">
        <v>916</v>
      </c>
      <c r="S2182" s="35"/>
      <c r="T2182" s="35" t="s">
        <v>1624</v>
      </c>
      <c r="U2182" s="40">
        <v>45905</v>
      </c>
      <c r="V2182" s="41">
        <v>46153.533067129632</v>
      </c>
      <c r="W2182" s="40">
        <v>45904</v>
      </c>
      <c r="X2182" s="35" t="s">
        <v>916</v>
      </c>
      <c r="Y2182" s="35" t="s">
        <v>916</v>
      </c>
      <c r="Z2182" s="35" t="s">
        <v>916</v>
      </c>
      <c r="AA2182" s="38">
        <v>2816.1427777775998</v>
      </c>
      <c r="AB2182" s="42" t="s">
        <v>916</v>
      </c>
      <c r="AC2182" s="43" t="s">
        <v>916</v>
      </c>
      <c r="AD2182" s="43" t="s">
        <v>916</v>
      </c>
      <c r="AE2182" s="33" t="s">
        <v>3982</v>
      </c>
      <c r="AF2182" s="35" t="s">
        <v>916</v>
      </c>
      <c r="AG2182" s="44">
        <v>488055.85722222232</v>
      </c>
      <c r="AH2182" s="42" t="s">
        <v>916</v>
      </c>
      <c r="AI2182" s="32" t="e">
        <f>VLOOKUP(A2182,'4月明細'!B:B,1,0)</f>
        <v>#N/A</v>
      </c>
    </row>
    <row r="2183" spans="1:35" ht="19.95" customHeight="1" x14ac:dyDescent="0.3">
      <c r="A2183" s="33" t="s">
        <v>7679</v>
      </c>
      <c r="B2183" s="34">
        <v>45904.660393518519</v>
      </c>
      <c r="C2183" s="34" t="str">
        <f t="shared" si="47"/>
        <v>202509</v>
      </c>
      <c r="D2183" s="35" t="s">
        <v>951</v>
      </c>
      <c r="E2183" s="36" t="s">
        <v>910</v>
      </c>
      <c r="F2183" s="36" t="s">
        <v>1441</v>
      </c>
      <c r="G2183" s="37" t="s">
        <v>7680</v>
      </c>
      <c r="H2183" s="36" t="s">
        <v>913</v>
      </c>
      <c r="I2183" s="35"/>
      <c r="J2183" s="36" t="s">
        <v>929</v>
      </c>
      <c r="K2183" s="33" t="s">
        <v>916</v>
      </c>
      <c r="L2183" s="35" t="s">
        <v>916</v>
      </c>
      <c r="M2183" s="36" t="s">
        <v>1135</v>
      </c>
      <c r="N2183" s="45">
        <v>46022</v>
      </c>
      <c r="O2183" s="36" t="s">
        <v>25</v>
      </c>
      <c r="P2183" s="38">
        <v>117.3396064815</v>
      </c>
      <c r="Q2183" s="39" t="s">
        <v>7676</v>
      </c>
      <c r="R2183" s="35" t="s">
        <v>916</v>
      </c>
      <c r="S2183" s="35"/>
      <c r="T2183" s="35" t="s">
        <v>1624</v>
      </c>
      <c r="U2183" s="40">
        <v>45905</v>
      </c>
      <c r="V2183" s="41">
        <v>46153.533067129632</v>
      </c>
      <c r="W2183" s="40">
        <v>45904</v>
      </c>
      <c r="X2183" s="35" t="s">
        <v>916</v>
      </c>
      <c r="Y2183" s="35" t="s">
        <v>916</v>
      </c>
      <c r="Z2183" s="35" t="s">
        <v>916</v>
      </c>
      <c r="AA2183" s="38">
        <v>2816.1505555560002</v>
      </c>
      <c r="AB2183" s="42" t="s">
        <v>916</v>
      </c>
      <c r="AC2183" s="43" t="s">
        <v>916</v>
      </c>
      <c r="AD2183" s="43" t="s">
        <v>916</v>
      </c>
      <c r="AE2183" s="33" t="s">
        <v>3982</v>
      </c>
      <c r="AF2183" s="35" t="s">
        <v>916</v>
      </c>
      <c r="AG2183" s="44">
        <v>488055.84944444452</v>
      </c>
      <c r="AH2183" s="42" t="s">
        <v>916</v>
      </c>
      <c r="AI2183" s="32" t="e">
        <f>VLOOKUP(A2183,'4月明細'!B:B,1,0)</f>
        <v>#N/A</v>
      </c>
    </row>
    <row r="2184" spans="1:35" ht="19.95" customHeight="1" x14ac:dyDescent="0.3">
      <c r="A2184" s="33" t="s">
        <v>7681</v>
      </c>
      <c r="B2184" s="34">
        <v>45904.659826388888</v>
      </c>
      <c r="C2184" s="34" t="str">
        <f t="shared" si="47"/>
        <v>202509</v>
      </c>
      <c r="D2184" s="35" t="s">
        <v>951</v>
      </c>
      <c r="E2184" s="36" t="s">
        <v>910</v>
      </c>
      <c r="F2184" s="36" t="s">
        <v>1133</v>
      </c>
      <c r="G2184" s="37" t="s">
        <v>7682</v>
      </c>
      <c r="H2184" s="36" t="s">
        <v>913</v>
      </c>
      <c r="I2184" s="35"/>
      <c r="J2184" s="36" t="s">
        <v>929</v>
      </c>
      <c r="K2184" s="33" t="s">
        <v>916</v>
      </c>
      <c r="L2184" s="35" t="s">
        <v>916</v>
      </c>
      <c r="M2184" s="36" t="s">
        <v>1135</v>
      </c>
      <c r="N2184" s="45">
        <v>46022</v>
      </c>
      <c r="O2184" s="36" t="s">
        <v>25</v>
      </c>
      <c r="P2184" s="38">
        <v>117.3401736111</v>
      </c>
      <c r="Q2184" s="39" t="s">
        <v>7676</v>
      </c>
      <c r="R2184" s="35" t="s">
        <v>916</v>
      </c>
      <c r="S2184" s="35"/>
      <c r="T2184" s="35" t="s">
        <v>1624</v>
      </c>
      <c r="U2184" s="40">
        <v>45905</v>
      </c>
      <c r="V2184" s="41">
        <v>46153.533067129632</v>
      </c>
      <c r="W2184" s="40">
        <v>45904</v>
      </c>
      <c r="X2184" s="35" t="s">
        <v>916</v>
      </c>
      <c r="Y2184" s="35" t="s">
        <v>916</v>
      </c>
      <c r="Z2184" s="35" t="s">
        <v>916</v>
      </c>
      <c r="AA2184" s="38">
        <v>2816.1641666664</v>
      </c>
      <c r="AB2184" s="42" t="s">
        <v>916</v>
      </c>
      <c r="AC2184" s="43" t="s">
        <v>916</v>
      </c>
      <c r="AD2184" s="43" t="s">
        <v>916</v>
      </c>
      <c r="AE2184" s="33" t="s">
        <v>3982</v>
      </c>
      <c r="AF2184" s="35" t="s">
        <v>916</v>
      </c>
      <c r="AG2184" s="44">
        <v>488055.83583333332</v>
      </c>
      <c r="AH2184" s="42" t="s">
        <v>916</v>
      </c>
      <c r="AI2184" s="32" t="e">
        <f>VLOOKUP(A2184,'4月明細'!B:B,1,0)</f>
        <v>#N/A</v>
      </c>
    </row>
    <row r="2185" spans="1:35" ht="19.95" customHeight="1" x14ac:dyDescent="0.3">
      <c r="A2185" s="33" t="s">
        <v>7683</v>
      </c>
      <c r="B2185" s="34">
        <v>45904.659571759257</v>
      </c>
      <c r="C2185" s="34" t="str">
        <f t="shared" si="47"/>
        <v>202509</v>
      </c>
      <c r="D2185" s="35" t="s">
        <v>951</v>
      </c>
      <c r="E2185" s="36" t="s">
        <v>910</v>
      </c>
      <c r="F2185" s="36" t="s">
        <v>1537</v>
      </c>
      <c r="G2185" s="37" t="s">
        <v>7684</v>
      </c>
      <c r="H2185" s="36" t="s">
        <v>913</v>
      </c>
      <c r="I2185" s="35"/>
      <c r="J2185" s="36" t="s">
        <v>929</v>
      </c>
      <c r="K2185" s="33" t="s">
        <v>916</v>
      </c>
      <c r="L2185" s="35" t="s">
        <v>916</v>
      </c>
      <c r="M2185" s="36" t="s">
        <v>1135</v>
      </c>
      <c r="N2185" s="45">
        <v>46022</v>
      </c>
      <c r="O2185" s="36" t="s">
        <v>25</v>
      </c>
      <c r="P2185" s="38">
        <v>117.34042824070001</v>
      </c>
      <c r="Q2185" s="39" t="s">
        <v>7676</v>
      </c>
      <c r="R2185" s="35" t="s">
        <v>916</v>
      </c>
      <c r="S2185" s="35"/>
      <c r="T2185" s="35" t="s">
        <v>1624</v>
      </c>
      <c r="U2185" s="40">
        <v>45905</v>
      </c>
      <c r="V2185" s="41">
        <v>46153.533067129632</v>
      </c>
      <c r="W2185" s="40">
        <v>45904</v>
      </c>
      <c r="X2185" s="35" t="s">
        <v>916</v>
      </c>
      <c r="Y2185" s="35" t="s">
        <v>916</v>
      </c>
      <c r="Z2185" s="35" t="s">
        <v>916</v>
      </c>
      <c r="AA2185" s="38">
        <v>2816.1702777768</v>
      </c>
      <c r="AB2185" s="42" t="s">
        <v>916</v>
      </c>
      <c r="AC2185" s="43" t="s">
        <v>916</v>
      </c>
      <c r="AD2185" s="43" t="s">
        <v>916</v>
      </c>
      <c r="AE2185" s="33" t="s">
        <v>3982</v>
      </c>
      <c r="AF2185" s="35" t="s">
        <v>916</v>
      </c>
      <c r="AG2185" s="44">
        <v>488055.82972222229</v>
      </c>
      <c r="AH2185" s="42" t="s">
        <v>916</v>
      </c>
      <c r="AI2185" s="32" t="e">
        <f>VLOOKUP(A2185,'4月明細'!B:B,1,0)</f>
        <v>#N/A</v>
      </c>
    </row>
    <row r="2186" spans="1:35" ht="19.95" customHeight="1" x14ac:dyDescent="0.3">
      <c r="A2186" s="33" t="s">
        <v>7685</v>
      </c>
      <c r="B2186" s="34">
        <v>45904.659224537034</v>
      </c>
      <c r="C2186" s="34" t="str">
        <f t="shared" si="47"/>
        <v>202509</v>
      </c>
      <c r="D2186" s="35" t="s">
        <v>951</v>
      </c>
      <c r="E2186" s="36" t="s">
        <v>910</v>
      </c>
      <c r="F2186" s="36" t="s">
        <v>1591</v>
      </c>
      <c r="G2186" s="37" t="s">
        <v>7686</v>
      </c>
      <c r="H2186" s="36" t="s">
        <v>913</v>
      </c>
      <c r="I2186" s="35"/>
      <c r="J2186" s="36" t="s">
        <v>929</v>
      </c>
      <c r="K2186" s="33" t="s">
        <v>916</v>
      </c>
      <c r="L2186" s="35" t="s">
        <v>916</v>
      </c>
      <c r="M2186" s="36" t="s">
        <v>1135</v>
      </c>
      <c r="N2186" s="45">
        <v>46022</v>
      </c>
      <c r="O2186" s="36" t="s">
        <v>25</v>
      </c>
      <c r="P2186" s="38">
        <v>117.340775463</v>
      </c>
      <c r="Q2186" s="39" t="s">
        <v>7676</v>
      </c>
      <c r="R2186" s="35" t="s">
        <v>916</v>
      </c>
      <c r="S2186" s="35"/>
      <c r="T2186" s="35" t="s">
        <v>1624</v>
      </c>
      <c r="U2186" s="40">
        <v>45905</v>
      </c>
      <c r="V2186" s="41">
        <v>46153.533067129632</v>
      </c>
      <c r="W2186" s="40">
        <v>45904</v>
      </c>
      <c r="X2186" s="35" t="s">
        <v>916</v>
      </c>
      <c r="Y2186" s="35" t="s">
        <v>916</v>
      </c>
      <c r="Z2186" s="35" t="s">
        <v>916</v>
      </c>
      <c r="AA2186" s="38">
        <v>2816.178611112</v>
      </c>
      <c r="AB2186" s="42" t="s">
        <v>916</v>
      </c>
      <c r="AC2186" s="43" t="s">
        <v>916</v>
      </c>
      <c r="AD2186" s="43" t="s">
        <v>916</v>
      </c>
      <c r="AE2186" s="33" t="s">
        <v>3982</v>
      </c>
      <c r="AF2186" s="35" t="s">
        <v>916</v>
      </c>
      <c r="AG2186" s="44">
        <v>488055.82138888887</v>
      </c>
      <c r="AH2186" s="42" t="s">
        <v>916</v>
      </c>
      <c r="AI2186" s="32" t="e">
        <f>VLOOKUP(A2186,'4月明細'!B:B,1,0)</f>
        <v>#N/A</v>
      </c>
    </row>
    <row r="2187" spans="1:35" ht="19.95" customHeight="1" x14ac:dyDescent="0.3">
      <c r="A2187" s="33" t="s">
        <v>7687</v>
      </c>
      <c r="B2187" s="34">
        <v>45904.654456018521</v>
      </c>
      <c r="C2187" s="34" t="str">
        <f t="shared" si="47"/>
        <v>202509</v>
      </c>
      <c r="D2187" s="35" t="s">
        <v>951</v>
      </c>
      <c r="E2187" s="36" t="s">
        <v>910</v>
      </c>
      <c r="F2187" s="36" t="s">
        <v>1021</v>
      </c>
      <c r="G2187" s="37" t="s">
        <v>7688</v>
      </c>
      <c r="H2187" s="36" t="s">
        <v>913</v>
      </c>
      <c r="I2187" s="35"/>
      <c r="J2187" s="36" t="s">
        <v>929</v>
      </c>
      <c r="K2187" s="33" t="s">
        <v>916</v>
      </c>
      <c r="L2187" s="35" t="s">
        <v>916</v>
      </c>
      <c r="M2187" s="36" t="s">
        <v>1135</v>
      </c>
      <c r="N2187" s="45">
        <v>46022</v>
      </c>
      <c r="O2187" s="36" t="s">
        <v>25</v>
      </c>
      <c r="P2187" s="38">
        <v>117.3455439815</v>
      </c>
      <c r="Q2187" s="39" t="s">
        <v>7676</v>
      </c>
      <c r="R2187" s="35" t="s">
        <v>916</v>
      </c>
      <c r="S2187" s="35"/>
      <c r="T2187" s="35" t="s">
        <v>1624</v>
      </c>
      <c r="U2187" s="40">
        <v>45905</v>
      </c>
      <c r="V2187" s="41">
        <v>46153.533067129632</v>
      </c>
      <c r="W2187" s="40">
        <v>45904</v>
      </c>
      <c r="X2187" s="35" t="s">
        <v>916</v>
      </c>
      <c r="Y2187" s="35" t="s">
        <v>916</v>
      </c>
      <c r="Z2187" s="35" t="s">
        <v>916</v>
      </c>
      <c r="AA2187" s="38">
        <v>2816.2930555560001</v>
      </c>
      <c r="AB2187" s="42" t="s">
        <v>916</v>
      </c>
      <c r="AC2187" s="43" t="s">
        <v>916</v>
      </c>
      <c r="AD2187" s="43" t="s">
        <v>916</v>
      </c>
      <c r="AE2187" s="33" t="s">
        <v>3982</v>
      </c>
      <c r="AF2187" s="35" t="s">
        <v>916</v>
      </c>
      <c r="AG2187" s="44">
        <v>488055.70694444439</v>
      </c>
      <c r="AH2187" s="42" t="s">
        <v>916</v>
      </c>
      <c r="AI2187" s="32" t="e">
        <f>VLOOKUP(A2187,'4月明細'!B:B,1,0)</f>
        <v>#N/A</v>
      </c>
    </row>
    <row r="2188" spans="1:35" ht="19.95" customHeight="1" x14ac:dyDescent="0.3">
      <c r="A2188" s="33" t="s">
        <v>7689</v>
      </c>
      <c r="B2188" s="34">
        <v>45904.65420138889</v>
      </c>
      <c r="C2188" s="34" t="str">
        <f t="shared" si="47"/>
        <v>202509</v>
      </c>
      <c r="D2188" s="35" t="s">
        <v>951</v>
      </c>
      <c r="E2188" s="36" t="s">
        <v>910</v>
      </c>
      <c r="F2188" s="36" t="s">
        <v>1282</v>
      </c>
      <c r="G2188" s="37" t="s">
        <v>7690</v>
      </c>
      <c r="H2188" s="36" t="s">
        <v>913</v>
      </c>
      <c r="I2188" s="35"/>
      <c r="J2188" s="36" t="s">
        <v>929</v>
      </c>
      <c r="K2188" s="33" t="s">
        <v>916</v>
      </c>
      <c r="L2188" s="35" t="s">
        <v>916</v>
      </c>
      <c r="M2188" s="36" t="s">
        <v>1135</v>
      </c>
      <c r="N2188" s="45">
        <v>46022</v>
      </c>
      <c r="O2188" s="36" t="s">
        <v>25</v>
      </c>
      <c r="P2188" s="38">
        <v>117.34579861109999</v>
      </c>
      <c r="Q2188" s="39" t="s">
        <v>7691</v>
      </c>
      <c r="R2188" s="35" t="s">
        <v>916</v>
      </c>
      <c r="S2188" s="35"/>
      <c r="T2188" s="35" t="s">
        <v>1624</v>
      </c>
      <c r="U2188" s="40">
        <v>45905</v>
      </c>
      <c r="V2188" s="41">
        <v>46153.533067129632</v>
      </c>
      <c r="W2188" s="40">
        <v>45904</v>
      </c>
      <c r="X2188" s="35" t="s">
        <v>916</v>
      </c>
      <c r="Y2188" s="35" t="s">
        <v>916</v>
      </c>
      <c r="Z2188" s="35" t="s">
        <v>916</v>
      </c>
      <c r="AA2188" s="38">
        <v>2816.2991666664002</v>
      </c>
      <c r="AB2188" s="42" t="s">
        <v>916</v>
      </c>
      <c r="AC2188" s="43" t="s">
        <v>916</v>
      </c>
      <c r="AD2188" s="43" t="s">
        <v>916</v>
      </c>
      <c r="AE2188" s="33" t="s">
        <v>3982</v>
      </c>
      <c r="AF2188" s="35" t="s">
        <v>916</v>
      </c>
      <c r="AG2188" s="44">
        <v>488055.70083333342</v>
      </c>
      <c r="AH2188" s="42" t="s">
        <v>916</v>
      </c>
      <c r="AI2188" s="32" t="e">
        <f>VLOOKUP(A2188,'4月明細'!B:B,1,0)</f>
        <v>#N/A</v>
      </c>
    </row>
    <row r="2189" spans="1:35" ht="19.95" customHeight="1" x14ac:dyDescent="0.3">
      <c r="A2189" s="33" t="s">
        <v>7692</v>
      </c>
      <c r="B2189" s="34">
        <v>45904.653935185182</v>
      </c>
      <c r="C2189" s="34" t="str">
        <f t="shared" si="47"/>
        <v>202509</v>
      </c>
      <c r="D2189" s="35" t="s">
        <v>951</v>
      </c>
      <c r="E2189" s="36" t="s">
        <v>910</v>
      </c>
      <c r="F2189" s="36" t="s">
        <v>1068</v>
      </c>
      <c r="G2189" s="37" t="s">
        <v>7693</v>
      </c>
      <c r="H2189" s="36" t="s">
        <v>913</v>
      </c>
      <c r="I2189" s="35"/>
      <c r="J2189" s="36" t="s">
        <v>929</v>
      </c>
      <c r="K2189" s="33" t="s">
        <v>916</v>
      </c>
      <c r="L2189" s="35" t="s">
        <v>916</v>
      </c>
      <c r="M2189" s="36" t="s">
        <v>1135</v>
      </c>
      <c r="N2189" s="45">
        <v>46022</v>
      </c>
      <c r="O2189" s="36" t="s">
        <v>25</v>
      </c>
      <c r="P2189" s="38">
        <v>117.3460648148</v>
      </c>
      <c r="Q2189" s="39" t="s">
        <v>7691</v>
      </c>
      <c r="R2189" s="35" t="s">
        <v>916</v>
      </c>
      <c r="S2189" s="35"/>
      <c r="T2189" s="35" t="s">
        <v>1624</v>
      </c>
      <c r="U2189" s="40">
        <v>45905</v>
      </c>
      <c r="V2189" s="41">
        <v>46153.533067129632</v>
      </c>
      <c r="W2189" s="40">
        <v>45904</v>
      </c>
      <c r="X2189" s="35" t="s">
        <v>916</v>
      </c>
      <c r="Y2189" s="35" t="s">
        <v>916</v>
      </c>
      <c r="Z2189" s="35" t="s">
        <v>916</v>
      </c>
      <c r="AA2189" s="38">
        <v>2816.3055555552</v>
      </c>
      <c r="AB2189" s="42" t="s">
        <v>916</v>
      </c>
      <c r="AC2189" s="43" t="s">
        <v>916</v>
      </c>
      <c r="AD2189" s="43" t="s">
        <v>916</v>
      </c>
      <c r="AE2189" s="33" t="s">
        <v>3982</v>
      </c>
      <c r="AF2189" s="35" t="s">
        <v>916</v>
      </c>
      <c r="AG2189" s="44">
        <v>488055.6944444445</v>
      </c>
      <c r="AH2189" s="42" t="s">
        <v>916</v>
      </c>
      <c r="AI2189" s="32" t="e">
        <f>VLOOKUP(A2189,'4月明細'!B:B,1,0)</f>
        <v>#N/A</v>
      </c>
    </row>
    <row r="2190" spans="1:35" ht="19.95" customHeight="1" x14ac:dyDescent="0.3">
      <c r="A2190" s="33" t="s">
        <v>7694</v>
      </c>
      <c r="B2190" s="34">
        <v>45904.637187499997</v>
      </c>
      <c r="C2190" s="34" t="str">
        <f t="shared" si="47"/>
        <v>202509</v>
      </c>
      <c r="D2190" s="35" t="s">
        <v>951</v>
      </c>
      <c r="E2190" s="36" t="s">
        <v>910</v>
      </c>
      <c r="F2190" s="36" t="s">
        <v>1010</v>
      </c>
      <c r="G2190" s="37" t="s">
        <v>7695</v>
      </c>
      <c r="H2190" s="36" t="s">
        <v>913</v>
      </c>
      <c r="I2190" s="35"/>
      <c r="J2190" s="36" t="s">
        <v>929</v>
      </c>
      <c r="K2190" s="33" t="s">
        <v>916</v>
      </c>
      <c r="L2190" s="35" t="s">
        <v>916</v>
      </c>
      <c r="M2190" s="36" t="s">
        <v>1135</v>
      </c>
      <c r="N2190" s="45">
        <v>46022</v>
      </c>
      <c r="O2190" s="36" t="s">
        <v>25</v>
      </c>
      <c r="P2190" s="38">
        <v>117.3628125</v>
      </c>
      <c r="Q2190" s="39" t="s">
        <v>7691</v>
      </c>
      <c r="R2190" s="35" t="s">
        <v>916</v>
      </c>
      <c r="S2190" s="35"/>
      <c r="T2190" s="35" t="s">
        <v>1624</v>
      </c>
      <c r="U2190" s="40">
        <v>45905</v>
      </c>
      <c r="V2190" s="41">
        <v>46153.533067129632</v>
      </c>
      <c r="W2190" s="40">
        <v>45904</v>
      </c>
      <c r="X2190" s="35" t="s">
        <v>916</v>
      </c>
      <c r="Y2190" s="35" t="s">
        <v>916</v>
      </c>
      <c r="Z2190" s="35" t="s">
        <v>916</v>
      </c>
      <c r="AA2190" s="38">
        <v>2816.7075</v>
      </c>
      <c r="AB2190" s="42" t="s">
        <v>916</v>
      </c>
      <c r="AC2190" s="43" t="s">
        <v>916</v>
      </c>
      <c r="AD2190" s="43" t="s">
        <v>916</v>
      </c>
      <c r="AE2190" s="33" t="s">
        <v>3982</v>
      </c>
      <c r="AF2190" s="35" t="s">
        <v>916</v>
      </c>
      <c r="AG2190" s="44">
        <v>979226.34250000014</v>
      </c>
      <c r="AH2190" s="42" t="s">
        <v>916</v>
      </c>
      <c r="AI2190" s="32" t="e">
        <f>VLOOKUP(A2190,'4月明細'!B:B,1,0)</f>
        <v>#N/A</v>
      </c>
    </row>
    <row r="2191" spans="1:35" ht="19.95" customHeight="1" x14ac:dyDescent="0.3">
      <c r="A2191" s="33" t="s">
        <v>7696</v>
      </c>
      <c r="B2191" s="34">
        <v>45904.44840277778</v>
      </c>
      <c r="C2191" s="34" t="str">
        <f t="shared" si="47"/>
        <v>202509</v>
      </c>
      <c r="D2191" s="35" t="s">
        <v>951</v>
      </c>
      <c r="E2191" s="36" t="s">
        <v>910</v>
      </c>
      <c r="F2191" s="36" t="s">
        <v>2090</v>
      </c>
      <c r="G2191" s="37" t="s">
        <v>7697</v>
      </c>
      <c r="H2191" s="36" t="s">
        <v>1114</v>
      </c>
      <c r="I2191" s="35" t="s">
        <v>7698</v>
      </c>
      <c r="J2191" s="36" t="s">
        <v>929</v>
      </c>
      <c r="K2191" s="33" t="s">
        <v>916</v>
      </c>
      <c r="L2191" s="35" t="s">
        <v>916</v>
      </c>
      <c r="M2191" s="36" t="s">
        <v>916</v>
      </c>
      <c r="N2191" s="45">
        <v>46022</v>
      </c>
      <c r="O2191" s="36" t="s">
        <v>25</v>
      </c>
      <c r="P2191" s="38">
        <v>117.5515972222</v>
      </c>
      <c r="Q2191" s="39" t="s">
        <v>6708</v>
      </c>
      <c r="R2191" s="35" t="s">
        <v>916</v>
      </c>
      <c r="S2191" s="35"/>
      <c r="T2191" s="35" t="s">
        <v>1624</v>
      </c>
      <c r="U2191" s="40">
        <v>45905</v>
      </c>
      <c r="V2191" s="41">
        <v>46153.533067129632</v>
      </c>
      <c r="W2191" s="40">
        <v>45904</v>
      </c>
      <c r="X2191" s="35" t="s">
        <v>916</v>
      </c>
      <c r="Y2191" s="35" t="s">
        <v>916</v>
      </c>
      <c r="Z2191" s="35" t="s">
        <v>916</v>
      </c>
      <c r="AA2191" s="38">
        <v>2821.2383333327998</v>
      </c>
      <c r="AB2191" s="42" t="s">
        <v>916</v>
      </c>
      <c r="AC2191" s="43" t="s">
        <v>916</v>
      </c>
      <c r="AD2191" s="43" t="s">
        <v>916</v>
      </c>
      <c r="AE2191" s="33" t="s">
        <v>3982</v>
      </c>
      <c r="AF2191" s="35" t="s">
        <v>916</v>
      </c>
      <c r="AG2191" s="44">
        <v>488050.7616666666</v>
      </c>
      <c r="AH2191" s="42" t="s">
        <v>916</v>
      </c>
      <c r="AI2191" s="32" t="e">
        <f>VLOOKUP(A2191,'4月明細'!B:B,1,0)</f>
        <v>#N/A</v>
      </c>
    </row>
    <row r="2192" spans="1:35" ht="19.95" customHeight="1" x14ac:dyDescent="0.3">
      <c r="A2192" s="33" t="s">
        <v>7699</v>
      </c>
      <c r="B2192" s="34">
        <v>45904.540324074071</v>
      </c>
      <c r="C2192" s="34" t="str">
        <f t="shared" si="47"/>
        <v>202509</v>
      </c>
      <c r="D2192" s="35" t="s">
        <v>6847</v>
      </c>
      <c r="E2192" s="36" t="s">
        <v>910</v>
      </c>
      <c r="F2192" s="36" t="s">
        <v>1686</v>
      </c>
      <c r="G2192" s="37" t="s">
        <v>7700</v>
      </c>
      <c r="H2192" s="36" t="s">
        <v>1114</v>
      </c>
      <c r="I2192" s="35"/>
      <c r="J2192" s="36" t="s">
        <v>929</v>
      </c>
      <c r="K2192" s="33" t="s">
        <v>916</v>
      </c>
      <c r="L2192" s="35" t="s">
        <v>916</v>
      </c>
      <c r="M2192" s="36" t="s">
        <v>916</v>
      </c>
      <c r="N2192" s="45">
        <v>46022</v>
      </c>
      <c r="O2192" s="36" t="s">
        <v>25</v>
      </c>
      <c r="P2192" s="38">
        <v>117.4596759259</v>
      </c>
      <c r="Q2192" s="39" t="s">
        <v>7701</v>
      </c>
      <c r="R2192" s="35" t="s">
        <v>916</v>
      </c>
      <c r="S2192" s="35" t="s">
        <v>7702</v>
      </c>
      <c r="T2192" s="35" t="s">
        <v>1701</v>
      </c>
      <c r="U2192" s="40">
        <v>45905</v>
      </c>
      <c r="V2192" s="41">
        <v>46153.533067129632</v>
      </c>
      <c r="W2192" s="40">
        <v>45904</v>
      </c>
      <c r="X2192" s="35" t="s">
        <v>916</v>
      </c>
      <c r="Y2192" s="35" t="s">
        <v>916</v>
      </c>
      <c r="Z2192" s="35" t="s">
        <v>916</v>
      </c>
      <c r="AA2192" s="38">
        <v>2819.0322222216</v>
      </c>
      <c r="AB2192" s="42" t="s">
        <v>916</v>
      </c>
      <c r="AC2192" s="43" t="s">
        <v>916</v>
      </c>
      <c r="AD2192" s="43" t="s">
        <v>916</v>
      </c>
      <c r="AE2192" s="33" t="s">
        <v>3982</v>
      </c>
      <c r="AF2192" s="35" t="s">
        <v>916</v>
      </c>
      <c r="AG2192" s="44">
        <v>488052.96777777781</v>
      </c>
      <c r="AH2192" s="42" t="s">
        <v>916</v>
      </c>
      <c r="AI2192" s="32" t="e">
        <f>VLOOKUP(A2192,'4月明細'!B:B,1,0)</f>
        <v>#N/A</v>
      </c>
    </row>
    <row r="2193" spans="1:35" ht="19.95" customHeight="1" x14ac:dyDescent="0.3">
      <c r="A2193" s="33" t="s">
        <v>7703</v>
      </c>
      <c r="B2193" s="34">
        <v>45904.54787037037</v>
      </c>
      <c r="C2193" s="34" t="str">
        <f t="shared" si="47"/>
        <v>202509</v>
      </c>
      <c r="D2193" s="35" t="s">
        <v>5380</v>
      </c>
      <c r="E2193" s="36" t="s">
        <v>910</v>
      </c>
      <c r="F2193" s="36" t="s">
        <v>1121</v>
      </c>
      <c r="G2193" s="37" t="s">
        <v>7704</v>
      </c>
      <c r="H2193" s="36" t="s">
        <v>1048</v>
      </c>
      <c r="I2193" s="35" t="s">
        <v>7705</v>
      </c>
      <c r="J2193" s="36" t="s">
        <v>929</v>
      </c>
      <c r="K2193" s="33" t="s">
        <v>916</v>
      </c>
      <c r="L2193" s="35" t="s">
        <v>916</v>
      </c>
      <c r="M2193" s="36" t="s">
        <v>916</v>
      </c>
      <c r="N2193" s="45">
        <v>46022</v>
      </c>
      <c r="O2193" s="36" t="s">
        <v>25</v>
      </c>
      <c r="P2193" s="38">
        <v>117.45212962959999</v>
      </c>
      <c r="Q2193" s="39" t="s">
        <v>2171</v>
      </c>
      <c r="R2193" s="35" t="s">
        <v>916</v>
      </c>
      <c r="S2193" s="35" t="s">
        <v>7706</v>
      </c>
      <c r="T2193" s="35" t="s">
        <v>1701</v>
      </c>
      <c r="U2193" s="40">
        <v>45905</v>
      </c>
      <c r="V2193" s="41">
        <v>46153.533067129632</v>
      </c>
      <c r="W2193" s="40">
        <v>45904</v>
      </c>
      <c r="X2193" s="35" t="s">
        <v>916</v>
      </c>
      <c r="Y2193" s="35" t="s">
        <v>916</v>
      </c>
      <c r="Z2193" s="35" t="s">
        <v>916</v>
      </c>
      <c r="AA2193" s="38">
        <v>2818.8511111103999</v>
      </c>
      <c r="AB2193" s="42" t="s">
        <v>916</v>
      </c>
      <c r="AC2193" s="43" t="s">
        <v>916</v>
      </c>
      <c r="AD2193" s="43" t="s">
        <v>916</v>
      </c>
      <c r="AE2193" s="33" t="s">
        <v>3982</v>
      </c>
      <c r="AF2193" s="35" t="s">
        <v>916</v>
      </c>
      <c r="AG2193" s="44">
        <v>488053.14888888889</v>
      </c>
      <c r="AH2193" s="42" t="s">
        <v>916</v>
      </c>
      <c r="AI2193" s="32" t="e">
        <f>VLOOKUP(A2193,'4月明細'!B:B,1,0)</f>
        <v>#N/A</v>
      </c>
    </row>
    <row r="2194" spans="1:35" ht="19.95" customHeight="1" x14ac:dyDescent="0.3">
      <c r="A2194" s="33" t="s">
        <v>7707</v>
      </c>
      <c r="B2194" s="34">
        <v>45904.538784722223</v>
      </c>
      <c r="C2194" s="34" t="str">
        <f t="shared" si="47"/>
        <v>202509</v>
      </c>
      <c r="D2194" s="35" t="s">
        <v>5380</v>
      </c>
      <c r="E2194" s="36" t="s">
        <v>910</v>
      </c>
      <c r="F2194" s="36" t="s">
        <v>1479</v>
      </c>
      <c r="G2194" s="37" t="s">
        <v>7708</v>
      </c>
      <c r="H2194" s="36" t="s">
        <v>3985</v>
      </c>
      <c r="I2194" s="35" t="s">
        <v>5660</v>
      </c>
      <c r="J2194" s="36" t="s">
        <v>914</v>
      </c>
      <c r="K2194" s="33" t="s">
        <v>916</v>
      </c>
      <c r="L2194" s="35" t="s">
        <v>916</v>
      </c>
      <c r="M2194" s="36" t="s">
        <v>916</v>
      </c>
      <c r="N2194" s="45">
        <v>46022</v>
      </c>
      <c r="O2194" s="36" t="s">
        <v>25</v>
      </c>
      <c r="P2194" s="38">
        <v>117.46121527779999</v>
      </c>
      <c r="Q2194" s="39" t="s">
        <v>2266</v>
      </c>
      <c r="R2194" s="35" t="s">
        <v>916</v>
      </c>
      <c r="S2194" s="35"/>
      <c r="T2194" s="35" t="s">
        <v>1701</v>
      </c>
      <c r="U2194" s="40">
        <v>45905</v>
      </c>
      <c r="V2194" s="41">
        <v>46153.533067129632</v>
      </c>
      <c r="W2194" s="40">
        <v>45904</v>
      </c>
      <c r="X2194" s="35" t="s">
        <v>916</v>
      </c>
      <c r="Y2194" s="35" t="s">
        <v>916</v>
      </c>
      <c r="Z2194" s="35" t="s">
        <v>916</v>
      </c>
      <c r="AA2194" s="38">
        <v>2819.0691666672001</v>
      </c>
      <c r="AB2194" s="42" t="s">
        <v>916</v>
      </c>
      <c r="AC2194" s="43" t="s">
        <v>916</v>
      </c>
      <c r="AD2194" s="43" t="s">
        <v>916</v>
      </c>
      <c r="AE2194" s="33" t="s">
        <v>3982</v>
      </c>
      <c r="AF2194" s="35" t="s">
        <v>916</v>
      </c>
      <c r="AG2194" s="44">
        <v>488052.93083333329</v>
      </c>
      <c r="AH2194" s="42" t="s">
        <v>916</v>
      </c>
      <c r="AI2194" s="32" t="e">
        <f>VLOOKUP(A2194,'4月明細'!B:B,1,0)</f>
        <v>#N/A</v>
      </c>
    </row>
    <row r="2195" spans="1:35" ht="19.95" customHeight="1" x14ac:dyDescent="0.3">
      <c r="A2195" s="33" t="s">
        <v>7709</v>
      </c>
      <c r="B2195" s="34">
        <v>45904.524270833332</v>
      </c>
      <c r="C2195" s="34" t="str">
        <f t="shared" si="47"/>
        <v>202509</v>
      </c>
      <c r="D2195" s="35" t="s">
        <v>996</v>
      </c>
      <c r="E2195" s="36" t="s">
        <v>910</v>
      </c>
      <c r="F2195" s="36" t="s">
        <v>1634</v>
      </c>
      <c r="G2195" s="37" t="s">
        <v>7710</v>
      </c>
      <c r="H2195" s="36" t="s">
        <v>1048</v>
      </c>
      <c r="I2195" s="35"/>
      <c r="J2195" s="36" t="s">
        <v>914</v>
      </c>
      <c r="K2195" s="33" t="s">
        <v>916</v>
      </c>
      <c r="L2195" s="35" t="s">
        <v>916</v>
      </c>
      <c r="M2195" s="36" t="s">
        <v>916</v>
      </c>
      <c r="N2195" s="45">
        <v>46022</v>
      </c>
      <c r="O2195" s="36" t="s">
        <v>25</v>
      </c>
      <c r="P2195" s="38">
        <v>117.47572916670001</v>
      </c>
      <c r="Q2195" s="39" t="s">
        <v>7711</v>
      </c>
      <c r="R2195" s="35" t="s">
        <v>916</v>
      </c>
      <c r="S2195" s="35"/>
      <c r="T2195" s="35" t="s">
        <v>1701</v>
      </c>
      <c r="U2195" s="40">
        <v>45905</v>
      </c>
      <c r="V2195" s="41">
        <v>46153.533067129632</v>
      </c>
      <c r="W2195" s="40">
        <v>45904</v>
      </c>
      <c r="X2195" s="35" t="s">
        <v>916</v>
      </c>
      <c r="Y2195" s="35" t="s">
        <v>916</v>
      </c>
      <c r="Z2195" s="35" t="s">
        <v>916</v>
      </c>
      <c r="AA2195" s="38">
        <v>2819.4175000007999</v>
      </c>
      <c r="AB2195" s="42" t="s">
        <v>916</v>
      </c>
      <c r="AC2195" s="43" t="s">
        <v>916</v>
      </c>
      <c r="AD2195" s="43" t="s">
        <v>916</v>
      </c>
      <c r="AE2195" s="33" t="s">
        <v>3982</v>
      </c>
      <c r="AF2195" s="35" t="s">
        <v>916</v>
      </c>
      <c r="AG2195" s="44">
        <v>488052.58250000002</v>
      </c>
      <c r="AH2195" s="42" t="s">
        <v>916</v>
      </c>
      <c r="AI2195" s="32" t="e">
        <f>VLOOKUP(A2195,'4月明細'!B:B,1,0)</f>
        <v>#N/A</v>
      </c>
    </row>
    <row r="2196" spans="1:35" ht="19.95" customHeight="1" x14ac:dyDescent="0.3">
      <c r="A2196" s="33" t="s">
        <v>7712</v>
      </c>
      <c r="B2196" s="34">
        <v>45904.469097222223</v>
      </c>
      <c r="C2196" s="34" t="str">
        <f t="shared" si="47"/>
        <v>202509</v>
      </c>
      <c r="D2196" s="35" t="s">
        <v>5380</v>
      </c>
      <c r="E2196" s="36" t="s">
        <v>910</v>
      </c>
      <c r="F2196" s="36" t="s">
        <v>1010</v>
      </c>
      <c r="G2196" s="37" t="s">
        <v>7713</v>
      </c>
      <c r="H2196" s="36" t="s">
        <v>1079</v>
      </c>
      <c r="I2196" s="35" t="s">
        <v>7714</v>
      </c>
      <c r="J2196" s="36" t="s">
        <v>929</v>
      </c>
      <c r="K2196" s="33" t="s">
        <v>916</v>
      </c>
      <c r="L2196" s="35" t="s">
        <v>916</v>
      </c>
      <c r="M2196" s="36" t="s">
        <v>916</v>
      </c>
      <c r="N2196" s="45">
        <v>46022</v>
      </c>
      <c r="O2196" s="36" t="s">
        <v>25</v>
      </c>
      <c r="P2196" s="38">
        <v>117.53090277779999</v>
      </c>
      <c r="Q2196" s="39" t="s">
        <v>2171</v>
      </c>
      <c r="R2196" s="35" t="s">
        <v>916</v>
      </c>
      <c r="S2196" s="35"/>
      <c r="T2196" s="35" t="s">
        <v>1701</v>
      </c>
      <c r="U2196" s="40">
        <v>45905</v>
      </c>
      <c r="V2196" s="41">
        <v>46153.533067129632</v>
      </c>
      <c r="W2196" s="40">
        <v>45904</v>
      </c>
      <c r="X2196" s="35" t="s">
        <v>916</v>
      </c>
      <c r="Y2196" s="35" t="s">
        <v>916</v>
      </c>
      <c r="Z2196" s="35" t="s">
        <v>916</v>
      </c>
      <c r="AA2196" s="38">
        <v>2820.7416666672002</v>
      </c>
      <c r="AB2196" s="42" t="s">
        <v>916</v>
      </c>
      <c r="AC2196" s="43" t="s">
        <v>916</v>
      </c>
      <c r="AD2196" s="43" t="s">
        <v>916</v>
      </c>
      <c r="AE2196" s="33" t="s">
        <v>3982</v>
      </c>
      <c r="AF2196" s="35" t="s">
        <v>916</v>
      </c>
      <c r="AG2196" s="44">
        <v>488051.25833333342</v>
      </c>
      <c r="AH2196" s="42" t="s">
        <v>916</v>
      </c>
      <c r="AI2196" s="32" t="e">
        <f>VLOOKUP(A2196,'4月明細'!B:B,1,0)</f>
        <v>#N/A</v>
      </c>
    </row>
    <row r="2197" spans="1:35" ht="19.95" customHeight="1" x14ac:dyDescent="0.3">
      <c r="A2197" s="33" t="s">
        <v>7715</v>
      </c>
      <c r="B2197" s="34">
        <v>45904.452407407407</v>
      </c>
      <c r="C2197" s="34" t="str">
        <f t="shared" si="47"/>
        <v>202509</v>
      </c>
      <c r="D2197" s="35" t="s">
        <v>996</v>
      </c>
      <c r="E2197" s="36" t="s">
        <v>910</v>
      </c>
      <c r="F2197" s="36" t="s">
        <v>1745</v>
      </c>
      <c r="G2197" s="37" t="s">
        <v>7716</v>
      </c>
      <c r="H2197" s="36" t="s">
        <v>956</v>
      </c>
      <c r="I2197" s="35" t="s">
        <v>7717</v>
      </c>
      <c r="J2197" s="36" t="s">
        <v>929</v>
      </c>
      <c r="K2197" s="33" t="s">
        <v>916</v>
      </c>
      <c r="L2197" s="35" t="s">
        <v>916</v>
      </c>
      <c r="M2197" s="36" t="s">
        <v>916</v>
      </c>
      <c r="N2197" s="45">
        <v>46022</v>
      </c>
      <c r="O2197" s="36" t="s">
        <v>25</v>
      </c>
      <c r="P2197" s="38">
        <v>117.5475925926</v>
      </c>
      <c r="Q2197" s="39" t="s">
        <v>7718</v>
      </c>
      <c r="R2197" s="35" t="s">
        <v>916</v>
      </c>
      <c r="S2197" s="35" t="s">
        <v>7719</v>
      </c>
      <c r="T2197" s="35" t="s">
        <v>1701</v>
      </c>
      <c r="U2197" s="40">
        <v>45905</v>
      </c>
      <c r="V2197" s="41">
        <v>46153.533067129632</v>
      </c>
      <c r="W2197" s="40">
        <v>45904</v>
      </c>
      <c r="X2197" s="35" t="s">
        <v>916</v>
      </c>
      <c r="Y2197" s="35" t="s">
        <v>916</v>
      </c>
      <c r="Z2197" s="35" t="s">
        <v>916</v>
      </c>
      <c r="AA2197" s="38">
        <v>2821.1422222224001</v>
      </c>
      <c r="AB2197" s="42" t="s">
        <v>916</v>
      </c>
      <c r="AC2197" s="43" t="s">
        <v>916</v>
      </c>
      <c r="AD2197" s="43" t="s">
        <v>916</v>
      </c>
      <c r="AE2197" s="33" t="s">
        <v>3982</v>
      </c>
      <c r="AF2197" s="35" t="s">
        <v>916</v>
      </c>
      <c r="AG2197" s="44">
        <v>488050.85777777783</v>
      </c>
      <c r="AH2197" s="42" t="s">
        <v>916</v>
      </c>
      <c r="AI2197" s="32" t="e">
        <f>VLOOKUP(A2197,'4月明細'!B:B,1,0)</f>
        <v>#N/A</v>
      </c>
    </row>
    <row r="2198" spans="1:35" ht="19.95" customHeight="1" x14ac:dyDescent="0.3">
      <c r="A2198" s="33" t="s">
        <v>7720</v>
      </c>
      <c r="B2198" s="34">
        <v>45904.44740740741</v>
      </c>
      <c r="C2198" s="34" t="str">
        <f t="shared" si="47"/>
        <v>202509</v>
      </c>
      <c r="D2198" s="35" t="s">
        <v>951</v>
      </c>
      <c r="E2198" s="36" t="s">
        <v>910</v>
      </c>
      <c r="F2198" s="36" t="s">
        <v>2327</v>
      </c>
      <c r="G2198" s="37" t="s">
        <v>7721</v>
      </c>
      <c r="H2198" s="36" t="s">
        <v>4029</v>
      </c>
      <c r="I2198" s="35" t="s">
        <v>7722</v>
      </c>
      <c r="J2198" s="36" t="s">
        <v>929</v>
      </c>
      <c r="K2198" s="33" t="s">
        <v>916</v>
      </c>
      <c r="L2198" s="35" t="s">
        <v>916</v>
      </c>
      <c r="M2198" s="36" t="s">
        <v>916</v>
      </c>
      <c r="N2198" s="45">
        <v>46022</v>
      </c>
      <c r="O2198" s="36" t="s">
        <v>25</v>
      </c>
      <c r="P2198" s="38">
        <v>117.55259259260001</v>
      </c>
      <c r="Q2198" s="39" t="s">
        <v>7723</v>
      </c>
      <c r="R2198" s="35" t="s">
        <v>916</v>
      </c>
      <c r="S2198" s="35"/>
      <c r="T2198" s="35" t="s">
        <v>1701</v>
      </c>
      <c r="U2198" s="40">
        <v>45905</v>
      </c>
      <c r="V2198" s="41">
        <v>46153.533067129632</v>
      </c>
      <c r="W2198" s="40">
        <v>45904</v>
      </c>
      <c r="X2198" s="35" t="s">
        <v>916</v>
      </c>
      <c r="Y2198" s="35" t="s">
        <v>916</v>
      </c>
      <c r="Z2198" s="35" t="s">
        <v>916</v>
      </c>
      <c r="AA2198" s="38">
        <v>2821.2622222223999</v>
      </c>
      <c r="AB2198" s="42" t="s">
        <v>916</v>
      </c>
      <c r="AC2198" s="43" t="s">
        <v>916</v>
      </c>
      <c r="AD2198" s="43" t="s">
        <v>916</v>
      </c>
      <c r="AE2198" s="33" t="s">
        <v>3982</v>
      </c>
      <c r="AF2198" s="35" t="s">
        <v>916</v>
      </c>
      <c r="AG2198" s="44">
        <v>488050.73777777777</v>
      </c>
      <c r="AH2198" s="42" t="s">
        <v>916</v>
      </c>
      <c r="AI2198" s="32" t="e">
        <f>VLOOKUP(A2198,'4月明細'!B:B,1,0)</f>
        <v>#N/A</v>
      </c>
    </row>
    <row r="2199" spans="1:35" ht="19.95" customHeight="1" x14ac:dyDescent="0.3">
      <c r="A2199" s="33" t="s">
        <v>7724</v>
      </c>
      <c r="B2199" s="34">
        <v>45904.445949074077</v>
      </c>
      <c r="C2199" s="34" t="str">
        <f t="shared" si="47"/>
        <v>202509</v>
      </c>
      <c r="D2199" s="35" t="s">
        <v>951</v>
      </c>
      <c r="E2199" s="36" t="s">
        <v>910</v>
      </c>
      <c r="F2199" s="36" t="s">
        <v>1479</v>
      </c>
      <c r="G2199" s="37" t="s">
        <v>7725</v>
      </c>
      <c r="H2199" s="36" t="s">
        <v>4029</v>
      </c>
      <c r="I2199" s="35" t="s">
        <v>7726</v>
      </c>
      <c r="J2199" s="36" t="s">
        <v>1058</v>
      </c>
      <c r="K2199" s="33" t="s">
        <v>916</v>
      </c>
      <c r="L2199" s="35" t="s">
        <v>916</v>
      </c>
      <c r="M2199" s="36" t="s">
        <v>916</v>
      </c>
      <c r="N2199" s="45">
        <v>46022</v>
      </c>
      <c r="O2199" s="36" t="s">
        <v>25</v>
      </c>
      <c r="P2199" s="38">
        <v>117.5540509259</v>
      </c>
      <c r="Q2199" s="39" t="s">
        <v>2217</v>
      </c>
      <c r="R2199" s="35" t="s">
        <v>916</v>
      </c>
      <c r="S2199" s="35"/>
      <c r="T2199" s="35" t="s">
        <v>1701</v>
      </c>
      <c r="U2199" s="40">
        <v>45905</v>
      </c>
      <c r="V2199" s="41">
        <v>46153.533078703702</v>
      </c>
      <c r="W2199" s="40">
        <v>45904</v>
      </c>
      <c r="X2199" s="35" t="s">
        <v>916</v>
      </c>
      <c r="Y2199" s="35" t="s">
        <v>916</v>
      </c>
      <c r="Z2199" s="35" t="s">
        <v>916</v>
      </c>
      <c r="AA2199" s="38">
        <v>2821.2972222215999</v>
      </c>
      <c r="AB2199" s="42" t="s">
        <v>916</v>
      </c>
      <c r="AC2199" s="43" t="s">
        <v>916</v>
      </c>
      <c r="AD2199" s="43" t="s">
        <v>916</v>
      </c>
      <c r="AE2199" s="33" t="s">
        <v>3982</v>
      </c>
      <c r="AF2199" s="35" t="s">
        <v>916</v>
      </c>
      <c r="AG2199" s="44">
        <v>488050.7027777778</v>
      </c>
      <c r="AH2199" s="42" t="s">
        <v>916</v>
      </c>
      <c r="AI2199" s="32" t="e">
        <f>VLOOKUP(A2199,'4月明細'!B:B,1,0)</f>
        <v>#N/A</v>
      </c>
    </row>
    <row r="2200" spans="1:35" ht="19.95" customHeight="1" x14ac:dyDescent="0.3">
      <c r="A2200" s="33" t="s">
        <v>7727</v>
      </c>
      <c r="B2200" s="34">
        <v>45900.690011574072</v>
      </c>
      <c r="C2200" s="34" t="str">
        <f t="shared" si="47"/>
        <v>202508</v>
      </c>
      <c r="D2200" s="35" t="s">
        <v>5380</v>
      </c>
      <c r="E2200" s="36" t="s">
        <v>910</v>
      </c>
      <c r="F2200" s="36" t="s">
        <v>1138</v>
      </c>
      <c r="G2200" s="37" t="s">
        <v>7728</v>
      </c>
      <c r="H2200" s="36" t="s">
        <v>4542</v>
      </c>
      <c r="I2200" s="35" t="s">
        <v>7729</v>
      </c>
      <c r="J2200" s="36" t="s">
        <v>929</v>
      </c>
      <c r="K2200" s="33" t="s">
        <v>916</v>
      </c>
      <c r="L2200" s="35" t="s">
        <v>916</v>
      </c>
      <c r="M2200" s="36" t="s">
        <v>916</v>
      </c>
      <c r="N2200" s="45">
        <v>46022</v>
      </c>
      <c r="O2200" s="36" t="s">
        <v>25</v>
      </c>
      <c r="P2200" s="38">
        <v>121.3099884259</v>
      </c>
      <c r="Q2200" s="39" t="s">
        <v>2171</v>
      </c>
      <c r="R2200" s="35" t="s">
        <v>916</v>
      </c>
      <c r="S2200" s="35" t="s">
        <v>7730</v>
      </c>
      <c r="T2200" s="35" t="s">
        <v>1624</v>
      </c>
      <c r="U2200" s="40">
        <v>45901</v>
      </c>
      <c r="V2200" s="41">
        <v>46153.533078703702</v>
      </c>
      <c r="W2200" s="40">
        <v>45900</v>
      </c>
      <c r="X2200" s="35" t="s">
        <v>916</v>
      </c>
      <c r="Y2200" s="35" t="s">
        <v>916</v>
      </c>
      <c r="Z2200" s="35" t="s">
        <v>916</v>
      </c>
      <c r="AA2200" s="38">
        <v>2911.4397222215998</v>
      </c>
      <c r="AB2200" s="42" t="s">
        <v>916</v>
      </c>
      <c r="AC2200" s="43" t="s">
        <v>916</v>
      </c>
      <c r="AD2200" s="43" t="s">
        <v>916</v>
      </c>
      <c r="AE2200" s="33" t="s">
        <v>3982</v>
      </c>
      <c r="AF2200" s="35" t="s">
        <v>916</v>
      </c>
      <c r="AG2200" s="44">
        <v>487960.56027777778</v>
      </c>
      <c r="AH2200" s="42" t="s">
        <v>916</v>
      </c>
      <c r="AI2200" s="32" t="e">
        <f>VLOOKUP(A2200,'4月明細'!B:B,1,0)</f>
        <v>#N/A</v>
      </c>
    </row>
    <row r="2201" spans="1:35" ht="19.95" customHeight="1" x14ac:dyDescent="0.3">
      <c r="A2201" s="33" t="s">
        <v>7731</v>
      </c>
      <c r="B2201" s="34">
        <v>45900.651458333334</v>
      </c>
      <c r="C2201" s="34" t="str">
        <f t="shared" si="47"/>
        <v>202508</v>
      </c>
      <c r="D2201" s="35" t="s">
        <v>5380</v>
      </c>
      <c r="E2201" s="36" t="s">
        <v>910</v>
      </c>
      <c r="F2201" s="36" t="s">
        <v>1750</v>
      </c>
      <c r="G2201" s="37" t="s">
        <v>927</v>
      </c>
      <c r="H2201" s="36" t="s">
        <v>1114</v>
      </c>
      <c r="I2201" s="35" t="s">
        <v>7732</v>
      </c>
      <c r="J2201" s="36" t="s">
        <v>929</v>
      </c>
      <c r="K2201" s="33" t="s">
        <v>916</v>
      </c>
      <c r="L2201" s="35" t="s">
        <v>916</v>
      </c>
      <c r="M2201" s="36" t="s">
        <v>916</v>
      </c>
      <c r="N2201" s="45">
        <v>46022</v>
      </c>
      <c r="O2201" s="36" t="s">
        <v>25</v>
      </c>
      <c r="P2201" s="38">
        <v>121.3485416667</v>
      </c>
      <c r="Q2201" s="39" t="s">
        <v>1328</v>
      </c>
      <c r="R2201" s="35" t="s">
        <v>916</v>
      </c>
      <c r="S2201" s="35"/>
      <c r="T2201" s="35" t="s">
        <v>1624</v>
      </c>
      <c r="U2201" s="40">
        <v>45901</v>
      </c>
      <c r="V2201" s="41">
        <v>46153.533078703702</v>
      </c>
      <c r="W2201" s="40">
        <v>45900</v>
      </c>
      <c r="X2201" s="35" t="s">
        <v>916</v>
      </c>
      <c r="Y2201" s="35" t="s">
        <v>916</v>
      </c>
      <c r="Z2201" s="35" t="s">
        <v>916</v>
      </c>
      <c r="AA2201" s="38">
        <v>2912.3650000008001</v>
      </c>
      <c r="AB2201" s="42" t="s">
        <v>916</v>
      </c>
      <c r="AC2201" s="43" t="s">
        <v>916</v>
      </c>
      <c r="AD2201" s="43" t="s">
        <v>916</v>
      </c>
      <c r="AE2201" s="33" t="s">
        <v>3982</v>
      </c>
      <c r="AF2201" s="35" t="s">
        <v>916</v>
      </c>
      <c r="AG2201" s="44">
        <v>487959.63527777779</v>
      </c>
      <c r="AH2201" s="42" t="s">
        <v>916</v>
      </c>
      <c r="AI2201" s="32" t="e">
        <f>VLOOKUP(A2201,'4月明細'!B:B,1,0)</f>
        <v>#N/A</v>
      </c>
    </row>
    <row r="2202" spans="1:35" ht="19.95" customHeight="1" x14ac:dyDescent="0.3">
      <c r="A2202" s="33" t="s">
        <v>7733</v>
      </c>
      <c r="B2202" s="34">
        <v>45900.576377314814</v>
      </c>
      <c r="C2202" s="34" t="str">
        <f t="shared" si="47"/>
        <v>202508</v>
      </c>
      <c r="D2202" s="35" t="s">
        <v>951</v>
      </c>
      <c r="E2202" s="36" t="s">
        <v>910</v>
      </c>
      <c r="F2202" s="36" t="s">
        <v>1316</v>
      </c>
      <c r="G2202" s="37" t="s">
        <v>7734</v>
      </c>
      <c r="H2202" s="36" t="s">
        <v>970</v>
      </c>
      <c r="I2202" s="35" t="s">
        <v>7735</v>
      </c>
      <c r="J2202" s="36" t="s">
        <v>929</v>
      </c>
      <c r="K2202" s="33" t="s">
        <v>916</v>
      </c>
      <c r="L2202" s="35" t="s">
        <v>916</v>
      </c>
      <c r="M2202" s="36" t="s">
        <v>916</v>
      </c>
      <c r="N2202" s="45">
        <v>46022</v>
      </c>
      <c r="O2202" s="36" t="s">
        <v>25</v>
      </c>
      <c r="P2202" s="38">
        <v>121.4236226852</v>
      </c>
      <c r="Q2202" s="39" t="s">
        <v>7736</v>
      </c>
      <c r="R2202" s="35" t="s">
        <v>916</v>
      </c>
      <c r="S2202" s="35" t="s">
        <v>7737</v>
      </c>
      <c r="T2202" s="35" t="s">
        <v>1624</v>
      </c>
      <c r="U2202" s="40">
        <v>45901</v>
      </c>
      <c r="V2202" s="41">
        <v>46153.533078703702</v>
      </c>
      <c r="W2202" s="40">
        <v>45900</v>
      </c>
      <c r="X2202" s="35" t="s">
        <v>916</v>
      </c>
      <c r="Y2202" s="35" t="s">
        <v>916</v>
      </c>
      <c r="Z2202" s="35" t="s">
        <v>916</v>
      </c>
      <c r="AA2202" s="38">
        <v>2914.1669444447998</v>
      </c>
      <c r="AB2202" s="42" t="s">
        <v>916</v>
      </c>
      <c r="AC2202" s="43" t="s">
        <v>916</v>
      </c>
      <c r="AD2202" s="43" t="s">
        <v>916</v>
      </c>
      <c r="AE2202" s="33" t="s">
        <v>3982</v>
      </c>
      <c r="AF2202" s="35" t="s">
        <v>916</v>
      </c>
      <c r="AG2202" s="44">
        <v>487957.83305555547</v>
      </c>
      <c r="AH2202" s="42" t="s">
        <v>916</v>
      </c>
      <c r="AI2202" s="32" t="e">
        <f>VLOOKUP(A2202,'4月明細'!B:B,1,0)</f>
        <v>#N/A</v>
      </c>
    </row>
    <row r="2203" spans="1:35" ht="19.95" customHeight="1" x14ac:dyDescent="0.3">
      <c r="A2203" s="33" t="s">
        <v>7738</v>
      </c>
      <c r="B2203" s="34">
        <v>45900.633252314816</v>
      </c>
      <c r="C2203" s="34" t="str">
        <f t="shared" si="47"/>
        <v>202508</v>
      </c>
      <c r="D2203" s="35" t="s">
        <v>6281</v>
      </c>
      <c r="E2203" s="36" t="s">
        <v>910</v>
      </c>
      <c r="F2203" s="36" t="s">
        <v>2043</v>
      </c>
      <c r="G2203" s="37" t="s">
        <v>7739</v>
      </c>
      <c r="H2203" s="36" t="s">
        <v>4007</v>
      </c>
      <c r="I2203" s="35" t="s">
        <v>7740</v>
      </c>
      <c r="J2203" s="36" t="s">
        <v>929</v>
      </c>
      <c r="K2203" s="33" t="s">
        <v>916</v>
      </c>
      <c r="L2203" s="35" t="s">
        <v>916</v>
      </c>
      <c r="M2203" s="36" t="s">
        <v>916</v>
      </c>
      <c r="N2203" s="45">
        <v>46022</v>
      </c>
      <c r="O2203" s="36" t="s">
        <v>25</v>
      </c>
      <c r="P2203" s="38">
        <v>121.3667476852</v>
      </c>
      <c r="Q2203" s="39" t="s">
        <v>1328</v>
      </c>
      <c r="R2203" s="35" t="s">
        <v>916</v>
      </c>
      <c r="S2203" s="35" t="s">
        <v>7741</v>
      </c>
      <c r="T2203" s="35" t="s">
        <v>1624</v>
      </c>
      <c r="U2203" s="40">
        <v>45901</v>
      </c>
      <c r="V2203" s="41">
        <v>46153.533078703702</v>
      </c>
      <c r="W2203" s="40">
        <v>45900</v>
      </c>
      <c r="X2203" s="35" t="s">
        <v>916</v>
      </c>
      <c r="Y2203" s="35" t="s">
        <v>916</v>
      </c>
      <c r="Z2203" s="35" t="s">
        <v>916</v>
      </c>
      <c r="AA2203" s="38">
        <v>2912.8019444448</v>
      </c>
      <c r="AB2203" s="42" t="s">
        <v>916</v>
      </c>
      <c r="AC2203" s="43" t="s">
        <v>916</v>
      </c>
      <c r="AD2203" s="43" t="s">
        <v>916</v>
      </c>
      <c r="AE2203" s="33" t="s">
        <v>3982</v>
      </c>
      <c r="AF2203" s="35" t="s">
        <v>916</v>
      </c>
      <c r="AG2203" s="44">
        <v>487959.19805555558</v>
      </c>
      <c r="AH2203" s="42" t="s">
        <v>916</v>
      </c>
      <c r="AI2203" s="32" t="e">
        <f>VLOOKUP(A2203,'4月明細'!B:B,1,0)</f>
        <v>#N/A</v>
      </c>
    </row>
    <row r="2204" spans="1:35" ht="19.95" customHeight="1" x14ac:dyDescent="0.3">
      <c r="A2204" s="33" t="s">
        <v>7742</v>
      </c>
      <c r="B2204" s="34">
        <v>45900.610405092593</v>
      </c>
      <c r="C2204" s="34" t="str">
        <f t="shared" si="47"/>
        <v>202508</v>
      </c>
      <c r="D2204" s="35" t="s">
        <v>5380</v>
      </c>
      <c r="E2204" s="36" t="s">
        <v>910</v>
      </c>
      <c r="F2204" s="36" t="s">
        <v>1316</v>
      </c>
      <c r="G2204" s="37" t="s">
        <v>7743</v>
      </c>
      <c r="H2204" s="36" t="s">
        <v>1114</v>
      </c>
      <c r="I2204" s="35" t="s">
        <v>7744</v>
      </c>
      <c r="J2204" s="36" t="s">
        <v>929</v>
      </c>
      <c r="K2204" s="33" t="s">
        <v>916</v>
      </c>
      <c r="L2204" s="35" t="s">
        <v>916</v>
      </c>
      <c r="M2204" s="36" t="s">
        <v>916</v>
      </c>
      <c r="N2204" s="45">
        <v>46022</v>
      </c>
      <c r="O2204" s="36" t="s">
        <v>25</v>
      </c>
      <c r="P2204" s="38">
        <v>121.3895949074</v>
      </c>
      <c r="Q2204" s="39" t="s">
        <v>7745</v>
      </c>
      <c r="R2204" s="35" t="s">
        <v>916</v>
      </c>
      <c r="S2204" s="35"/>
      <c r="T2204" s="35" t="s">
        <v>1624</v>
      </c>
      <c r="U2204" s="40">
        <v>45901</v>
      </c>
      <c r="V2204" s="41">
        <v>46153.533078703702</v>
      </c>
      <c r="W2204" s="40">
        <v>45900</v>
      </c>
      <c r="X2204" s="35" t="s">
        <v>916</v>
      </c>
      <c r="Y2204" s="35" t="s">
        <v>916</v>
      </c>
      <c r="Z2204" s="35" t="s">
        <v>916</v>
      </c>
      <c r="AA2204" s="38">
        <v>2913.3502777775998</v>
      </c>
      <c r="AB2204" s="42" t="s">
        <v>916</v>
      </c>
      <c r="AC2204" s="43" t="s">
        <v>916</v>
      </c>
      <c r="AD2204" s="43" t="s">
        <v>916</v>
      </c>
      <c r="AE2204" s="33" t="s">
        <v>3982</v>
      </c>
      <c r="AF2204" s="35" t="s">
        <v>916</v>
      </c>
      <c r="AG2204" s="44">
        <v>487958.64972222218</v>
      </c>
      <c r="AH2204" s="42" t="s">
        <v>916</v>
      </c>
      <c r="AI2204" s="32" t="e">
        <f>VLOOKUP(A2204,'4月明細'!B:B,1,0)</f>
        <v>#N/A</v>
      </c>
    </row>
    <row r="2205" spans="1:35" ht="19.95" customHeight="1" x14ac:dyDescent="0.3">
      <c r="A2205" s="33" t="s">
        <v>7746</v>
      </c>
      <c r="B2205" s="34">
        <v>45900.593460648146</v>
      </c>
      <c r="C2205" s="34" t="str">
        <f t="shared" si="47"/>
        <v>202508</v>
      </c>
      <c r="D2205" s="35" t="s">
        <v>5380</v>
      </c>
      <c r="E2205" s="36" t="s">
        <v>910</v>
      </c>
      <c r="F2205" s="36" t="s">
        <v>1423</v>
      </c>
      <c r="G2205" s="37" t="s">
        <v>7747</v>
      </c>
      <c r="H2205" s="36" t="s">
        <v>4481</v>
      </c>
      <c r="I2205" s="35" t="s">
        <v>7748</v>
      </c>
      <c r="J2205" s="36" t="s">
        <v>929</v>
      </c>
      <c r="K2205" s="33" t="s">
        <v>916</v>
      </c>
      <c r="L2205" s="35" t="s">
        <v>916</v>
      </c>
      <c r="M2205" s="36" t="s">
        <v>916</v>
      </c>
      <c r="N2205" s="45">
        <v>46022</v>
      </c>
      <c r="O2205" s="36" t="s">
        <v>25</v>
      </c>
      <c r="P2205" s="38">
        <v>121.40653935189999</v>
      </c>
      <c r="Q2205" s="39" t="s">
        <v>1328</v>
      </c>
      <c r="R2205" s="35" t="s">
        <v>916</v>
      </c>
      <c r="S2205" s="35" t="s">
        <v>7749</v>
      </c>
      <c r="T2205" s="35" t="s">
        <v>1624</v>
      </c>
      <c r="U2205" s="40">
        <v>45901</v>
      </c>
      <c r="V2205" s="41">
        <v>46153.533078703702</v>
      </c>
      <c r="W2205" s="40">
        <v>45900</v>
      </c>
      <c r="X2205" s="35" t="s">
        <v>916</v>
      </c>
      <c r="Y2205" s="35" t="s">
        <v>916</v>
      </c>
      <c r="Z2205" s="35" t="s">
        <v>916</v>
      </c>
      <c r="AA2205" s="38">
        <v>2913.7569444455999</v>
      </c>
      <c r="AB2205" s="42" t="s">
        <v>916</v>
      </c>
      <c r="AC2205" s="43" t="s">
        <v>916</v>
      </c>
      <c r="AD2205" s="43" t="s">
        <v>916</v>
      </c>
      <c r="AE2205" s="33" t="s">
        <v>3982</v>
      </c>
      <c r="AF2205" s="35" t="s">
        <v>916</v>
      </c>
      <c r="AG2205" s="44">
        <v>487958.24305555562</v>
      </c>
      <c r="AH2205" s="42" t="s">
        <v>916</v>
      </c>
      <c r="AI2205" s="32" t="e">
        <f>VLOOKUP(A2205,'4月明細'!B:B,1,0)</f>
        <v>#N/A</v>
      </c>
    </row>
    <row r="2206" spans="1:35" ht="19.95" customHeight="1" x14ac:dyDescent="0.3">
      <c r="A2206" s="33" t="s">
        <v>7750</v>
      </c>
      <c r="B2206" s="34">
        <v>45900.577233796299</v>
      </c>
      <c r="C2206" s="34" t="str">
        <f t="shared" si="47"/>
        <v>202508</v>
      </c>
      <c r="D2206" s="35" t="s">
        <v>7751</v>
      </c>
      <c r="E2206" s="36" t="s">
        <v>1112</v>
      </c>
      <c r="F2206" s="36" t="s">
        <v>1792</v>
      </c>
      <c r="G2206" s="37" t="s">
        <v>7752</v>
      </c>
      <c r="H2206" s="36" t="s">
        <v>1048</v>
      </c>
      <c r="I2206" s="35"/>
      <c r="J2206" s="36" t="s">
        <v>945</v>
      </c>
      <c r="K2206" s="33" t="s">
        <v>916</v>
      </c>
      <c r="L2206" s="35" t="s">
        <v>916</v>
      </c>
      <c r="M2206" s="36" t="s">
        <v>916</v>
      </c>
      <c r="N2206" s="45">
        <v>46022</v>
      </c>
      <c r="O2206" s="36" t="s">
        <v>25</v>
      </c>
      <c r="P2206" s="38">
        <v>121.42276620369999</v>
      </c>
      <c r="Q2206" s="39" t="s">
        <v>7753</v>
      </c>
      <c r="R2206" s="35" t="s">
        <v>916</v>
      </c>
      <c r="S2206" s="35"/>
      <c r="T2206" s="35" t="s">
        <v>1624</v>
      </c>
      <c r="U2206" s="40">
        <v>45901</v>
      </c>
      <c r="V2206" s="41">
        <v>46153.533078703702</v>
      </c>
      <c r="W2206" s="40">
        <v>45900</v>
      </c>
      <c r="X2206" s="35" t="s">
        <v>916</v>
      </c>
      <c r="Y2206" s="35" t="s">
        <v>916</v>
      </c>
      <c r="Z2206" s="35" t="s">
        <v>916</v>
      </c>
      <c r="AA2206" s="38">
        <v>2914.1463888888002</v>
      </c>
      <c r="AB2206" s="42" t="s">
        <v>916</v>
      </c>
      <c r="AC2206" s="43" t="s">
        <v>916</v>
      </c>
      <c r="AD2206" s="43" t="s">
        <v>916</v>
      </c>
      <c r="AE2206" s="33" t="s">
        <v>3982</v>
      </c>
      <c r="AF2206" s="35" t="s">
        <v>916</v>
      </c>
      <c r="AG2206" s="44">
        <v>487957.85361111112</v>
      </c>
      <c r="AH2206" s="42" t="s">
        <v>916</v>
      </c>
      <c r="AI2206" s="32" t="e">
        <f>VLOOKUP(A2206,'4月明細'!B:B,1,0)</f>
        <v>#N/A</v>
      </c>
    </row>
    <row r="2207" spans="1:35" ht="19.95" customHeight="1" x14ac:dyDescent="0.3">
      <c r="A2207" s="33" t="s">
        <v>7754</v>
      </c>
      <c r="B2207" s="34">
        <v>45900.494386574072</v>
      </c>
      <c r="C2207" s="34" t="str">
        <f t="shared" si="47"/>
        <v>202508</v>
      </c>
      <c r="D2207" s="35" t="s">
        <v>6877</v>
      </c>
      <c r="E2207" s="36" t="s">
        <v>910</v>
      </c>
      <c r="F2207" s="36" t="s">
        <v>1743</v>
      </c>
      <c r="G2207" s="37" t="s">
        <v>7755</v>
      </c>
      <c r="H2207" s="36" t="s">
        <v>4185</v>
      </c>
      <c r="I2207" s="35" t="s">
        <v>7756</v>
      </c>
      <c r="J2207" s="36" t="s">
        <v>929</v>
      </c>
      <c r="K2207" s="33" t="s">
        <v>916</v>
      </c>
      <c r="L2207" s="35" t="s">
        <v>916</v>
      </c>
      <c r="M2207" s="36" t="s">
        <v>916</v>
      </c>
      <c r="N2207" s="45">
        <v>46022</v>
      </c>
      <c r="O2207" s="36" t="s">
        <v>25</v>
      </c>
      <c r="P2207" s="38">
        <v>121.50561342589999</v>
      </c>
      <c r="Q2207" s="39" t="s">
        <v>6767</v>
      </c>
      <c r="R2207" s="35" t="s">
        <v>916</v>
      </c>
      <c r="S2207" s="35" t="s">
        <v>7757</v>
      </c>
      <c r="T2207" s="35" t="s">
        <v>1624</v>
      </c>
      <c r="U2207" s="40">
        <v>45901</v>
      </c>
      <c r="V2207" s="41">
        <v>46153.533078703702</v>
      </c>
      <c r="W2207" s="40">
        <v>45900</v>
      </c>
      <c r="X2207" s="35" t="s">
        <v>916</v>
      </c>
      <c r="Y2207" s="35" t="s">
        <v>916</v>
      </c>
      <c r="Z2207" s="35" t="s">
        <v>916</v>
      </c>
      <c r="AA2207" s="38">
        <v>2916.1347222216</v>
      </c>
      <c r="AB2207" s="42" t="s">
        <v>916</v>
      </c>
      <c r="AC2207" s="43" t="s">
        <v>916</v>
      </c>
      <c r="AD2207" s="43" t="s">
        <v>916</v>
      </c>
      <c r="AE2207" s="33" t="s">
        <v>3982</v>
      </c>
      <c r="AF2207" s="35" t="s">
        <v>916</v>
      </c>
      <c r="AG2207" s="44">
        <v>487955.86527777778</v>
      </c>
      <c r="AH2207" s="42" t="s">
        <v>916</v>
      </c>
      <c r="AI2207" s="32" t="e">
        <f>VLOOKUP(A2207,'4月明細'!B:B,1,0)</f>
        <v>#N/A</v>
      </c>
    </row>
    <row r="2208" spans="1:35" ht="19.95" customHeight="1" x14ac:dyDescent="0.3">
      <c r="A2208" s="33" t="s">
        <v>7758</v>
      </c>
      <c r="B2208" s="34">
        <v>45900.555810185186</v>
      </c>
      <c r="C2208" s="34" t="str">
        <f t="shared" si="47"/>
        <v>202508</v>
      </c>
      <c r="D2208" s="35" t="s">
        <v>5380</v>
      </c>
      <c r="E2208" s="36" t="s">
        <v>910</v>
      </c>
      <c r="F2208" s="36" t="s">
        <v>1534</v>
      </c>
      <c r="G2208" s="37" t="s">
        <v>977</v>
      </c>
      <c r="H2208" s="36" t="s">
        <v>4203</v>
      </c>
      <c r="I2208" s="35" t="s">
        <v>7759</v>
      </c>
      <c r="J2208" s="36" t="s">
        <v>929</v>
      </c>
      <c r="K2208" s="33" t="s">
        <v>916</v>
      </c>
      <c r="L2208" s="35" t="s">
        <v>916</v>
      </c>
      <c r="M2208" s="36" t="s">
        <v>916</v>
      </c>
      <c r="N2208" s="45">
        <v>46022</v>
      </c>
      <c r="O2208" s="36" t="s">
        <v>25</v>
      </c>
      <c r="P2208" s="38">
        <v>121.4441898148</v>
      </c>
      <c r="Q2208" s="39" t="s">
        <v>2171</v>
      </c>
      <c r="R2208" s="35" t="s">
        <v>916</v>
      </c>
      <c r="S2208" s="35"/>
      <c r="T2208" s="35" t="s">
        <v>1624</v>
      </c>
      <c r="U2208" s="40">
        <v>45901</v>
      </c>
      <c r="V2208" s="41">
        <v>46153.533078703702</v>
      </c>
      <c r="W2208" s="40">
        <v>45900</v>
      </c>
      <c r="X2208" s="35" t="s">
        <v>916</v>
      </c>
      <c r="Y2208" s="35" t="s">
        <v>916</v>
      </c>
      <c r="Z2208" s="35" t="s">
        <v>916</v>
      </c>
      <c r="AA2208" s="38">
        <v>2914.6605555552001</v>
      </c>
      <c r="AB2208" s="42" t="s">
        <v>916</v>
      </c>
      <c r="AC2208" s="43" t="s">
        <v>916</v>
      </c>
      <c r="AD2208" s="43" t="s">
        <v>916</v>
      </c>
      <c r="AE2208" s="33" t="s">
        <v>3982</v>
      </c>
      <c r="AF2208" s="35" t="s">
        <v>916</v>
      </c>
      <c r="AG2208" s="44">
        <v>487957.33944444451</v>
      </c>
      <c r="AH2208" s="42" t="s">
        <v>916</v>
      </c>
      <c r="AI2208" s="32" t="e">
        <f>VLOOKUP(A2208,'4月明細'!B:B,1,0)</f>
        <v>#N/A</v>
      </c>
    </row>
    <row r="2209" spans="1:35" ht="19.95" customHeight="1" x14ac:dyDescent="0.3">
      <c r="A2209" s="33" t="s">
        <v>7760</v>
      </c>
      <c r="B2209" s="34">
        <v>45900.506828703707</v>
      </c>
      <c r="C2209" s="34" t="str">
        <f t="shared" si="47"/>
        <v>202508</v>
      </c>
      <c r="D2209" s="35" t="s">
        <v>6281</v>
      </c>
      <c r="E2209" s="36" t="s">
        <v>910</v>
      </c>
      <c r="F2209" s="36" t="s">
        <v>2298</v>
      </c>
      <c r="G2209" s="37" t="s">
        <v>7761</v>
      </c>
      <c r="H2209" s="36" t="s">
        <v>4060</v>
      </c>
      <c r="I2209" s="35"/>
      <c r="J2209" s="36" t="s">
        <v>929</v>
      </c>
      <c r="K2209" s="33" t="s">
        <v>916</v>
      </c>
      <c r="L2209" s="35" t="s">
        <v>916</v>
      </c>
      <c r="M2209" s="36" t="s">
        <v>916</v>
      </c>
      <c r="N2209" s="45">
        <v>46022</v>
      </c>
      <c r="O2209" s="36" t="s">
        <v>25</v>
      </c>
      <c r="P2209" s="38">
        <v>121.49317129630001</v>
      </c>
      <c r="Q2209" s="39" t="s">
        <v>5957</v>
      </c>
      <c r="R2209" s="35" t="s">
        <v>916</v>
      </c>
      <c r="S2209" s="35" t="s">
        <v>7762</v>
      </c>
      <c r="T2209" s="35" t="s">
        <v>1624</v>
      </c>
      <c r="U2209" s="40">
        <v>45901</v>
      </c>
      <c r="V2209" s="41">
        <v>46153.533078703702</v>
      </c>
      <c r="W2209" s="40">
        <v>45900</v>
      </c>
      <c r="X2209" s="35" t="s">
        <v>916</v>
      </c>
      <c r="Y2209" s="35" t="s">
        <v>916</v>
      </c>
      <c r="Z2209" s="35" t="s">
        <v>916</v>
      </c>
      <c r="AA2209" s="38">
        <v>2915.8361111111999</v>
      </c>
      <c r="AB2209" s="42" t="s">
        <v>916</v>
      </c>
      <c r="AC2209" s="43" t="s">
        <v>916</v>
      </c>
      <c r="AD2209" s="43" t="s">
        <v>916</v>
      </c>
      <c r="AE2209" s="33" t="s">
        <v>3982</v>
      </c>
      <c r="AF2209" s="35" t="s">
        <v>916</v>
      </c>
      <c r="AG2209" s="44">
        <v>487956.1638888889</v>
      </c>
      <c r="AH2209" s="42" t="s">
        <v>916</v>
      </c>
      <c r="AI2209" s="32" t="e">
        <f>VLOOKUP(A2209,'4月明細'!B:B,1,0)</f>
        <v>#N/A</v>
      </c>
    </row>
    <row r="2210" spans="1:35" ht="19.95" customHeight="1" x14ac:dyDescent="0.3">
      <c r="A2210" s="33" t="s">
        <v>7763</v>
      </c>
      <c r="B2210" s="34">
        <v>45900.506168981483</v>
      </c>
      <c r="C2210" s="34" t="str">
        <f t="shared" si="47"/>
        <v>202508</v>
      </c>
      <c r="D2210" s="35" t="s">
        <v>5380</v>
      </c>
      <c r="E2210" s="36" t="s">
        <v>910</v>
      </c>
      <c r="F2210" s="36" t="s">
        <v>1890</v>
      </c>
      <c r="G2210" s="37" t="s">
        <v>7764</v>
      </c>
      <c r="H2210" s="36" t="s">
        <v>4481</v>
      </c>
      <c r="I2210" s="35" t="s">
        <v>7765</v>
      </c>
      <c r="J2210" s="36" t="s">
        <v>929</v>
      </c>
      <c r="K2210" s="33" t="s">
        <v>916</v>
      </c>
      <c r="L2210" s="35" t="s">
        <v>916</v>
      </c>
      <c r="M2210" s="36" t="s">
        <v>916</v>
      </c>
      <c r="N2210" s="45">
        <v>46022</v>
      </c>
      <c r="O2210" s="36" t="s">
        <v>25</v>
      </c>
      <c r="P2210" s="38">
        <v>121.4938310185</v>
      </c>
      <c r="Q2210" s="39" t="s">
        <v>919</v>
      </c>
      <c r="R2210" s="35" t="s">
        <v>916</v>
      </c>
      <c r="S2210" s="35" t="s">
        <v>7766</v>
      </c>
      <c r="T2210" s="35" t="s">
        <v>1624</v>
      </c>
      <c r="U2210" s="40">
        <v>45901</v>
      </c>
      <c r="V2210" s="41">
        <v>46153.533078703702</v>
      </c>
      <c r="W2210" s="40">
        <v>45900</v>
      </c>
      <c r="X2210" s="35" t="s">
        <v>916</v>
      </c>
      <c r="Y2210" s="35" t="s">
        <v>916</v>
      </c>
      <c r="Z2210" s="35" t="s">
        <v>916</v>
      </c>
      <c r="AA2210" s="38">
        <v>2915.8519444439999</v>
      </c>
      <c r="AB2210" s="42" t="s">
        <v>916</v>
      </c>
      <c r="AC2210" s="43" t="s">
        <v>916</v>
      </c>
      <c r="AD2210" s="43" t="s">
        <v>916</v>
      </c>
      <c r="AE2210" s="33" t="s">
        <v>3982</v>
      </c>
      <c r="AF2210" s="35" t="s">
        <v>916</v>
      </c>
      <c r="AG2210" s="44">
        <v>487956.14805555559</v>
      </c>
      <c r="AH2210" s="42" t="s">
        <v>916</v>
      </c>
      <c r="AI2210" s="32" t="e">
        <f>VLOOKUP(A2210,'4月明細'!B:B,1,0)</f>
        <v>#N/A</v>
      </c>
    </row>
    <row r="2211" spans="1:35" ht="19.95" customHeight="1" x14ac:dyDescent="0.3">
      <c r="A2211" s="33" t="s">
        <v>7767</v>
      </c>
      <c r="B2211" s="34">
        <v>45900.462534722225</v>
      </c>
      <c r="C2211" s="34" t="str">
        <f t="shared" si="47"/>
        <v>202508</v>
      </c>
      <c r="D2211" s="35" t="s">
        <v>5380</v>
      </c>
      <c r="E2211" s="36" t="s">
        <v>910</v>
      </c>
      <c r="F2211" s="36" t="s">
        <v>1386</v>
      </c>
      <c r="G2211" s="37" t="s">
        <v>927</v>
      </c>
      <c r="H2211" s="36" t="s">
        <v>1114</v>
      </c>
      <c r="I2211" s="35" t="s">
        <v>7768</v>
      </c>
      <c r="J2211" s="36" t="s">
        <v>914</v>
      </c>
      <c r="K2211" s="33" t="s">
        <v>916</v>
      </c>
      <c r="L2211" s="35" t="s">
        <v>916</v>
      </c>
      <c r="M2211" s="36" t="s">
        <v>916</v>
      </c>
      <c r="N2211" s="45">
        <v>46022</v>
      </c>
      <c r="O2211" s="36" t="s">
        <v>25</v>
      </c>
      <c r="P2211" s="38">
        <v>121.5374652778</v>
      </c>
      <c r="Q2211" s="39" t="s">
        <v>5957</v>
      </c>
      <c r="R2211" s="35" t="s">
        <v>916</v>
      </c>
      <c r="S2211" s="35"/>
      <c r="T2211" s="35" t="s">
        <v>1624</v>
      </c>
      <c r="U2211" s="40">
        <v>45901</v>
      </c>
      <c r="V2211" s="41">
        <v>46153.533078703702</v>
      </c>
      <c r="W2211" s="40">
        <v>45900</v>
      </c>
      <c r="X2211" s="35" t="s">
        <v>916</v>
      </c>
      <c r="Y2211" s="35" t="s">
        <v>916</v>
      </c>
      <c r="Z2211" s="35" t="s">
        <v>916</v>
      </c>
      <c r="AA2211" s="38">
        <v>2916.8991666672</v>
      </c>
      <c r="AB2211" s="42" t="s">
        <v>916</v>
      </c>
      <c r="AC2211" s="43" t="s">
        <v>916</v>
      </c>
      <c r="AD2211" s="43" t="s">
        <v>916</v>
      </c>
      <c r="AE2211" s="33" t="s">
        <v>3982</v>
      </c>
      <c r="AF2211" s="35" t="s">
        <v>916</v>
      </c>
      <c r="AG2211" s="44">
        <v>487955.10083333339</v>
      </c>
      <c r="AH2211" s="42" t="s">
        <v>916</v>
      </c>
      <c r="AI2211" s="32" t="e">
        <f>VLOOKUP(A2211,'4月明細'!B:B,1,0)</f>
        <v>#N/A</v>
      </c>
    </row>
    <row r="2212" spans="1:35" ht="19.95" customHeight="1" x14ac:dyDescent="0.3">
      <c r="A2212" s="33" t="s">
        <v>7769</v>
      </c>
      <c r="B2212" s="34">
        <v>45899.733206018522</v>
      </c>
      <c r="C2212" s="34" t="str">
        <f t="shared" si="47"/>
        <v>202508</v>
      </c>
      <c r="D2212" s="35" t="s">
        <v>6281</v>
      </c>
      <c r="E2212" s="36" t="s">
        <v>910</v>
      </c>
      <c r="F2212" s="36" t="s">
        <v>1141</v>
      </c>
      <c r="G2212" s="37" t="s">
        <v>7770</v>
      </c>
      <c r="H2212" s="36" t="s">
        <v>1184</v>
      </c>
      <c r="I2212" s="35"/>
      <c r="J2212" s="36" t="s">
        <v>929</v>
      </c>
      <c r="K2212" s="33" t="s">
        <v>916</v>
      </c>
      <c r="L2212" s="35" t="s">
        <v>916</v>
      </c>
      <c r="M2212" s="36" t="s">
        <v>916</v>
      </c>
      <c r="N2212" s="45">
        <v>46022</v>
      </c>
      <c r="O2212" s="36" t="s">
        <v>25</v>
      </c>
      <c r="P2212" s="38">
        <v>122.2667939815</v>
      </c>
      <c r="Q2212" s="39" t="s">
        <v>7771</v>
      </c>
      <c r="R2212" s="35" t="s">
        <v>916</v>
      </c>
      <c r="S2212" s="35"/>
      <c r="T2212" s="35" t="s">
        <v>1624</v>
      </c>
      <c r="U2212" s="40">
        <v>45900</v>
      </c>
      <c r="V2212" s="41">
        <v>46153.533078703702</v>
      </c>
      <c r="W2212" s="40">
        <v>45899</v>
      </c>
      <c r="X2212" s="35" t="s">
        <v>916</v>
      </c>
      <c r="Y2212" s="35" t="s">
        <v>916</v>
      </c>
      <c r="Z2212" s="35" t="s">
        <v>916</v>
      </c>
      <c r="AA2212" s="38">
        <v>2934.4030555559998</v>
      </c>
      <c r="AB2212" s="42" t="s">
        <v>916</v>
      </c>
      <c r="AC2212" s="43" t="s">
        <v>916</v>
      </c>
      <c r="AD2212" s="43" t="s">
        <v>916</v>
      </c>
      <c r="AE2212" s="33" t="s">
        <v>3982</v>
      </c>
      <c r="AF2212" s="35" t="s">
        <v>916</v>
      </c>
      <c r="AG2212" s="44">
        <v>487937.59694444452</v>
      </c>
      <c r="AH2212" s="42" t="s">
        <v>916</v>
      </c>
      <c r="AI2212" s="32" t="e">
        <f>VLOOKUP(A2212,'4月明細'!B:B,1,0)</f>
        <v>#N/A</v>
      </c>
    </row>
    <row r="2213" spans="1:35" ht="19.95" customHeight="1" x14ac:dyDescent="0.3">
      <c r="A2213" s="33" t="s">
        <v>7772</v>
      </c>
      <c r="B2213" s="34">
        <v>45899.652245370373</v>
      </c>
      <c r="C2213" s="34" t="str">
        <f t="shared" si="47"/>
        <v>202508</v>
      </c>
      <c r="D2213" s="35" t="s">
        <v>5380</v>
      </c>
      <c r="E2213" s="36" t="s">
        <v>910</v>
      </c>
      <c r="F2213" s="36" t="s">
        <v>1752</v>
      </c>
      <c r="G2213" s="37" t="s">
        <v>7773</v>
      </c>
      <c r="H2213" s="36" t="s">
        <v>4162</v>
      </c>
      <c r="I2213" s="35" t="s">
        <v>7774</v>
      </c>
      <c r="J2213" s="36" t="s">
        <v>929</v>
      </c>
      <c r="K2213" s="33" t="s">
        <v>916</v>
      </c>
      <c r="L2213" s="35" t="s">
        <v>916</v>
      </c>
      <c r="M2213" s="36" t="s">
        <v>916</v>
      </c>
      <c r="N2213" s="45">
        <v>46022</v>
      </c>
      <c r="O2213" s="36" t="s">
        <v>25</v>
      </c>
      <c r="P2213" s="38">
        <v>122.3477546296</v>
      </c>
      <c r="Q2213" s="39" t="s">
        <v>919</v>
      </c>
      <c r="R2213" s="35" t="s">
        <v>916</v>
      </c>
      <c r="S2213" s="35" t="s">
        <v>7775</v>
      </c>
      <c r="T2213" s="35" t="s">
        <v>1624</v>
      </c>
      <c r="U2213" s="40">
        <v>45900</v>
      </c>
      <c r="V2213" s="41">
        <v>46153.533078703702</v>
      </c>
      <c r="W2213" s="40">
        <v>45899</v>
      </c>
      <c r="X2213" s="35" t="s">
        <v>916</v>
      </c>
      <c r="Y2213" s="35" t="s">
        <v>916</v>
      </c>
      <c r="Z2213" s="35" t="s">
        <v>916</v>
      </c>
      <c r="AA2213" s="38">
        <v>2936.3461111104002</v>
      </c>
      <c r="AB2213" s="42" t="s">
        <v>916</v>
      </c>
      <c r="AC2213" s="43" t="s">
        <v>916</v>
      </c>
      <c r="AD2213" s="43" t="s">
        <v>916</v>
      </c>
      <c r="AE2213" s="33" t="s">
        <v>3982</v>
      </c>
      <c r="AF2213" s="35" t="s">
        <v>916</v>
      </c>
      <c r="AG2213" s="44">
        <v>487935.65388888889</v>
      </c>
      <c r="AH2213" s="42" t="s">
        <v>916</v>
      </c>
      <c r="AI2213" s="32" t="e">
        <f>VLOOKUP(A2213,'4月明細'!B:B,1,0)</f>
        <v>#N/A</v>
      </c>
    </row>
    <row r="2214" spans="1:35" ht="19.95" customHeight="1" x14ac:dyDescent="0.3">
      <c r="A2214" s="33" t="s">
        <v>7776</v>
      </c>
      <c r="B2214" s="34">
        <v>45899.647106481483</v>
      </c>
      <c r="C2214" s="34" t="str">
        <f t="shared" si="47"/>
        <v>202508</v>
      </c>
      <c r="D2214" s="35" t="s">
        <v>951</v>
      </c>
      <c r="E2214" s="36" t="s">
        <v>910</v>
      </c>
      <c r="F2214" s="36" t="s">
        <v>1282</v>
      </c>
      <c r="G2214" s="37" t="s">
        <v>7777</v>
      </c>
      <c r="H2214" s="36" t="s">
        <v>4185</v>
      </c>
      <c r="I2214" s="35" t="s">
        <v>7778</v>
      </c>
      <c r="J2214" s="36" t="s">
        <v>929</v>
      </c>
      <c r="K2214" s="33" t="s">
        <v>916</v>
      </c>
      <c r="L2214" s="35" t="s">
        <v>916</v>
      </c>
      <c r="M2214" s="36" t="s">
        <v>916</v>
      </c>
      <c r="N2214" s="45">
        <v>46022</v>
      </c>
      <c r="O2214" s="36" t="s">
        <v>25</v>
      </c>
      <c r="P2214" s="38">
        <v>122.3528935185</v>
      </c>
      <c r="Q2214" s="39" t="s">
        <v>7779</v>
      </c>
      <c r="R2214" s="35" t="s">
        <v>916</v>
      </c>
      <c r="S2214" s="35"/>
      <c r="T2214" s="35" t="s">
        <v>1624</v>
      </c>
      <c r="U2214" s="40">
        <v>45900</v>
      </c>
      <c r="V2214" s="41">
        <v>46153.533078703702</v>
      </c>
      <c r="W2214" s="40">
        <v>45899</v>
      </c>
      <c r="X2214" s="35" t="s">
        <v>916</v>
      </c>
      <c r="Y2214" s="35" t="s">
        <v>916</v>
      </c>
      <c r="Z2214" s="35" t="s">
        <v>916</v>
      </c>
      <c r="AA2214" s="38">
        <v>2936.4694444440001</v>
      </c>
      <c r="AB2214" s="42" t="s">
        <v>916</v>
      </c>
      <c r="AC2214" s="43" t="s">
        <v>916</v>
      </c>
      <c r="AD2214" s="43" t="s">
        <v>916</v>
      </c>
      <c r="AE2214" s="33" t="s">
        <v>3982</v>
      </c>
      <c r="AF2214" s="35" t="s">
        <v>916</v>
      </c>
      <c r="AG2214" s="44">
        <v>487935.5305555556</v>
      </c>
      <c r="AH2214" s="42" t="s">
        <v>916</v>
      </c>
      <c r="AI2214" s="32" t="e">
        <f>VLOOKUP(A2214,'4月明細'!B:B,1,0)</f>
        <v>#N/A</v>
      </c>
    </row>
    <row r="2215" spans="1:35" ht="19.95" customHeight="1" x14ac:dyDescent="0.3">
      <c r="A2215" s="33" t="s">
        <v>7780</v>
      </c>
      <c r="B2215" s="34">
        <v>45899.633726851855</v>
      </c>
      <c r="C2215" s="34" t="str">
        <f t="shared" si="47"/>
        <v>202508</v>
      </c>
      <c r="D2215" s="35" t="s">
        <v>5380</v>
      </c>
      <c r="E2215" s="36" t="s">
        <v>910</v>
      </c>
      <c r="F2215" s="36" t="s">
        <v>911</v>
      </c>
      <c r="G2215" s="37" t="s">
        <v>7781</v>
      </c>
      <c r="H2215" s="36" t="s">
        <v>956</v>
      </c>
      <c r="I2215" s="35" t="s">
        <v>7782</v>
      </c>
      <c r="J2215" s="36" t="s">
        <v>914</v>
      </c>
      <c r="K2215" s="33" t="s">
        <v>916</v>
      </c>
      <c r="L2215" s="35" t="s">
        <v>916</v>
      </c>
      <c r="M2215" s="36" t="s">
        <v>916</v>
      </c>
      <c r="N2215" s="45">
        <v>46022</v>
      </c>
      <c r="O2215" s="36" t="s">
        <v>25</v>
      </c>
      <c r="P2215" s="38">
        <v>122.36627314810001</v>
      </c>
      <c r="Q2215" s="39" t="s">
        <v>7783</v>
      </c>
      <c r="R2215" s="35" t="s">
        <v>916</v>
      </c>
      <c r="S2215" s="35"/>
      <c r="T2215" s="35" t="s">
        <v>1624</v>
      </c>
      <c r="U2215" s="40">
        <v>45900</v>
      </c>
      <c r="V2215" s="41">
        <v>46153.533078703702</v>
      </c>
      <c r="W2215" s="40">
        <v>45899</v>
      </c>
      <c r="X2215" s="35" t="s">
        <v>916</v>
      </c>
      <c r="Y2215" s="35" t="s">
        <v>916</v>
      </c>
      <c r="Z2215" s="35" t="s">
        <v>916</v>
      </c>
      <c r="AA2215" s="38">
        <v>2936.7905555543998</v>
      </c>
      <c r="AB2215" s="42" t="s">
        <v>916</v>
      </c>
      <c r="AC2215" s="43" t="s">
        <v>916</v>
      </c>
      <c r="AD2215" s="43" t="s">
        <v>916</v>
      </c>
      <c r="AE2215" s="33" t="s">
        <v>3982</v>
      </c>
      <c r="AF2215" s="35" t="s">
        <v>916</v>
      </c>
      <c r="AG2215" s="44">
        <v>487935.20944444439</v>
      </c>
      <c r="AH2215" s="42" t="s">
        <v>916</v>
      </c>
      <c r="AI2215" s="32" t="e">
        <f>VLOOKUP(A2215,'4月明細'!B:B,1,0)</f>
        <v>#N/A</v>
      </c>
    </row>
    <row r="2216" spans="1:35" ht="19.95" customHeight="1" x14ac:dyDescent="0.3">
      <c r="A2216" s="33" t="s">
        <v>7784</v>
      </c>
      <c r="B2216" s="34">
        <v>45899.60392361111</v>
      </c>
      <c r="C2216" s="34" t="str">
        <f t="shared" si="47"/>
        <v>202508</v>
      </c>
      <c r="D2216" s="35" t="s">
        <v>7785</v>
      </c>
      <c r="E2216" s="36" t="s">
        <v>1112</v>
      </c>
      <c r="F2216" s="36" t="s">
        <v>1938</v>
      </c>
      <c r="G2216" s="37" t="s">
        <v>7786</v>
      </c>
      <c r="H2216" s="36" t="s">
        <v>4481</v>
      </c>
      <c r="I2216" s="35"/>
      <c r="J2216" s="36" t="s">
        <v>929</v>
      </c>
      <c r="K2216" s="33" t="s">
        <v>916</v>
      </c>
      <c r="L2216" s="35" t="s">
        <v>916</v>
      </c>
      <c r="M2216" s="36" t="s">
        <v>916</v>
      </c>
      <c r="N2216" s="45">
        <v>46022</v>
      </c>
      <c r="O2216" s="36" t="s">
        <v>25</v>
      </c>
      <c r="P2216" s="38">
        <v>122.3960763889</v>
      </c>
      <c r="Q2216" s="39" t="s">
        <v>7787</v>
      </c>
      <c r="R2216" s="35" t="s">
        <v>916</v>
      </c>
      <c r="S2216" s="35"/>
      <c r="T2216" s="35" t="s">
        <v>1624</v>
      </c>
      <c r="U2216" s="40">
        <v>45900</v>
      </c>
      <c r="V2216" s="41">
        <v>46153.533078703702</v>
      </c>
      <c r="W2216" s="40">
        <v>45899</v>
      </c>
      <c r="X2216" s="35" t="s">
        <v>916</v>
      </c>
      <c r="Y2216" s="35" t="s">
        <v>916</v>
      </c>
      <c r="Z2216" s="35" t="s">
        <v>916</v>
      </c>
      <c r="AA2216" s="38">
        <v>2937.5058333336001</v>
      </c>
      <c r="AB2216" s="42" t="s">
        <v>916</v>
      </c>
      <c r="AC2216" s="43" t="s">
        <v>916</v>
      </c>
      <c r="AD2216" s="43" t="s">
        <v>916</v>
      </c>
      <c r="AE2216" s="33" t="s">
        <v>3982</v>
      </c>
      <c r="AF2216" s="35" t="s">
        <v>916</v>
      </c>
      <c r="AG2216" s="44">
        <v>487934.49416666682</v>
      </c>
      <c r="AH2216" s="42" t="s">
        <v>916</v>
      </c>
      <c r="AI2216" s="32" t="e">
        <f>VLOOKUP(A2216,'4月明細'!B:B,1,0)</f>
        <v>#N/A</v>
      </c>
    </row>
    <row r="2217" spans="1:35" ht="19.95" customHeight="1" x14ac:dyDescent="0.3">
      <c r="A2217" s="33" t="s">
        <v>7788</v>
      </c>
      <c r="B2217" s="34">
        <v>45899.576597222222</v>
      </c>
      <c r="C2217" s="34" t="str">
        <f t="shared" si="47"/>
        <v>202508</v>
      </c>
      <c r="D2217" s="35" t="s">
        <v>6281</v>
      </c>
      <c r="E2217" s="36" t="s">
        <v>910</v>
      </c>
      <c r="F2217" s="36" t="s">
        <v>1568</v>
      </c>
      <c r="G2217" s="37" t="s">
        <v>7789</v>
      </c>
      <c r="H2217" s="36" t="s">
        <v>3996</v>
      </c>
      <c r="I2217" s="35"/>
      <c r="J2217" s="36" t="s">
        <v>914</v>
      </c>
      <c r="K2217" s="33" t="s">
        <v>916</v>
      </c>
      <c r="L2217" s="35" t="s">
        <v>916</v>
      </c>
      <c r="M2217" s="36" t="s">
        <v>916</v>
      </c>
      <c r="N2217" s="45">
        <v>46022</v>
      </c>
      <c r="O2217" s="36" t="s">
        <v>25</v>
      </c>
      <c r="P2217" s="38">
        <v>122.42340277780001</v>
      </c>
      <c r="Q2217" s="39" t="s">
        <v>1328</v>
      </c>
      <c r="R2217" s="35" t="s">
        <v>916</v>
      </c>
      <c r="S2217" s="35"/>
      <c r="T2217" s="35" t="s">
        <v>1624</v>
      </c>
      <c r="U2217" s="40">
        <v>45900</v>
      </c>
      <c r="V2217" s="41">
        <v>46153.533078703702</v>
      </c>
      <c r="W2217" s="40">
        <v>45899</v>
      </c>
      <c r="X2217" s="35" t="s">
        <v>916</v>
      </c>
      <c r="Y2217" s="35" t="s">
        <v>916</v>
      </c>
      <c r="Z2217" s="35" t="s">
        <v>916</v>
      </c>
      <c r="AA2217" s="38">
        <v>2938.1616666671998</v>
      </c>
      <c r="AB2217" s="42" t="s">
        <v>916</v>
      </c>
      <c r="AC2217" s="43" t="s">
        <v>916</v>
      </c>
      <c r="AD2217" s="43" t="s">
        <v>916</v>
      </c>
      <c r="AE2217" s="33" t="s">
        <v>3982</v>
      </c>
      <c r="AF2217" s="35" t="s">
        <v>916</v>
      </c>
      <c r="AG2217" s="44">
        <v>487933.83833333332</v>
      </c>
      <c r="AH2217" s="42" t="s">
        <v>916</v>
      </c>
      <c r="AI2217" s="32" t="e">
        <f>VLOOKUP(A2217,'4月明細'!B:B,1,0)</f>
        <v>#N/A</v>
      </c>
    </row>
    <row r="2218" spans="1:35" ht="19.95" customHeight="1" x14ac:dyDescent="0.3">
      <c r="A2218" s="33" t="s">
        <v>7790</v>
      </c>
      <c r="B2218" s="34">
        <v>45899.569560185184</v>
      </c>
      <c r="C2218" s="34" t="str">
        <f t="shared" si="47"/>
        <v>202508</v>
      </c>
      <c r="D2218" s="35" t="s">
        <v>5380</v>
      </c>
      <c r="E2218" s="36" t="s">
        <v>910</v>
      </c>
      <c r="F2218" s="36" t="s">
        <v>2614</v>
      </c>
      <c r="G2218" s="37" t="s">
        <v>7791</v>
      </c>
      <c r="H2218" s="36" t="s">
        <v>4029</v>
      </c>
      <c r="I2218" s="35" t="s">
        <v>7792</v>
      </c>
      <c r="J2218" s="36" t="s">
        <v>929</v>
      </c>
      <c r="K2218" s="33" t="s">
        <v>916</v>
      </c>
      <c r="L2218" s="35" t="s">
        <v>916</v>
      </c>
      <c r="M2218" s="36" t="s">
        <v>916</v>
      </c>
      <c r="N2218" s="45">
        <v>46022</v>
      </c>
      <c r="O2218" s="36" t="s">
        <v>25</v>
      </c>
      <c r="P2218" s="38">
        <v>122.4304398148</v>
      </c>
      <c r="Q2218" s="39" t="s">
        <v>7793</v>
      </c>
      <c r="R2218" s="35" t="s">
        <v>916</v>
      </c>
      <c r="S2218" s="35"/>
      <c r="T2218" s="35" t="s">
        <v>1624</v>
      </c>
      <c r="U2218" s="40">
        <v>45900</v>
      </c>
      <c r="V2218" s="41">
        <v>46153.533078703702</v>
      </c>
      <c r="W2218" s="40">
        <v>45899</v>
      </c>
      <c r="X2218" s="35" t="s">
        <v>916</v>
      </c>
      <c r="Y2218" s="35" t="s">
        <v>916</v>
      </c>
      <c r="Z2218" s="35" t="s">
        <v>916</v>
      </c>
      <c r="AA2218" s="38">
        <v>2938.3305555552001</v>
      </c>
      <c r="AB2218" s="42" t="s">
        <v>916</v>
      </c>
      <c r="AC2218" s="43" t="s">
        <v>916</v>
      </c>
      <c r="AD2218" s="43" t="s">
        <v>916</v>
      </c>
      <c r="AE2218" s="33" t="s">
        <v>3982</v>
      </c>
      <c r="AF2218" s="35" t="s">
        <v>916</v>
      </c>
      <c r="AG2218" s="44">
        <v>487933.66972222232</v>
      </c>
      <c r="AH2218" s="42" t="s">
        <v>916</v>
      </c>
      <c r="AI2218" s="32" t="e">
        <f>VLOOKUP(A2218,'4月明細'!B:B,1,0)</f>
        <v>#N/A</v>
      </c>
    </row>
    <row r="2219" spans="1:35" ht="19.95" customHeight="1" x14ac:dyDescent="0.3">
      <c r="A2219" s="33" t="s">
        <v>7794</v>
      </c>
      <c r="B2219" s="34">
        <v>45898.714456018519</v>
      </c>
      <c r="C2219" s="34" t="str">
        <f t="shared" si="47"/>
        <v>202508</v>
      </c>
      <c r="D2219" s="35" t="s">
        <v>951</v>
      </c>
      <c r="E2219" s="36" t="s">
        <v>910</v>
      </c>
      <c r="F2219" s="36" t="s">
        <v>1316</v>
      </c>
      <c r="G2219" s="37" t="s">
        <v>7795</v>
      </c>
      <c r="H2219" s="36" t="s">
        <v>4267</v>
      </c>
      <c r="I2219" s="35"/>
      <c r="J2219" s="36" t="s">
        <v>945</v>
      </c>
      <c r="K2219" s="33" t="s">
        <v>916</v>
      </c>
      <c r="L2219" s="35" t="s">
        <v>916</v>
      </c>
      <c r="M2219" s="36" t="s">
        <v>916</v>
      </c>
      <c r="N2219" s="45">
        <v>46022</v>
      </c>
      <c r="O2219" s="36" t="s">
        <v>25</v>
      </c>
      <c r="P2219" s="38">
        <v>123.2855439815</v>
      </c>
      <c r="Q2219" s="39" t="s">
        <v>7796</v>
      </c>
      <c r="R2219" s="35" t="s">
        <v>916</v>
      </c>
      <c r="S2219" s="35"/>
      <c r="T2219" s="35" t="s">
        <v>1624</v>
      </c>
      <c r="U2219" s="40">
        <v>45899</v>
      </c>
      <c r="V2219" s="41">
        <v>46153.533078703702</v>
      </c>
      <c r="W2219" s="40">
        <v>45898</v>
      </c>
      <c r="X2219" s="35" t="s">
        <v>916</v>
      </c>
      <c r="Y2219" s="35" t="s">
        <v>916</v>
      </c>
      <c r="Z2219" s="35" t="s">
        <v>916</v>
      </c>
      <c r="AA2219" s="38">
        <v>2958.8530555560001</v>
      </c>
      <c r="AB2219" s="42" t="s">
        <v>916</v>
      </c>
      <c r="AC2219" s="43" t="s">
        <v>916</v>
      </c>
      <c r="AD2219" s="43" t="s">
        <v>916</v>
      </c>
      <c r="AE2219" s="33" t="s">
        <v>3982</v>
      </c>
      <c r="AF2219" s="35" t="s">
        <v>916</v>
      </c>
      <c r="AG2219" s="44">
        <v>487913.14694444451</v>
      </c>
      <c r="AH2219" s="42" t="s">
        <v>916</v>
      </c>
      <c r="AI2219" s="32" t="e">
        <f>VLOOKUP(A2219,'4月明細'!B:B,1,0)</f>
        <v>#N/A</v>
      </c>
    </row>
    <row r="2220" spans="1:35" ht="19.95" customHeight="1" x14ac:dyDescent="0.3">
      <c r="A2220" s="33" t="s">
        <v>7797</v>
      </c>
      <c r="B2220" s="34">
        <v>45898.461759259262</v>
      </c>
      <c r="C2220" s="34" t="str">
        <f t="shared" si="47"/>
        <v>202508</v>
      </c>
      <c r="D2220" s="35" t="s">
        <v>951</v>
      </c>
      <c r="E2220" s="36" t="s">
        <v>910</v>
      </c>
      <c r="F2220" s="36" t="s">
        <v>1745</v>
      </c>
      <c r="G2220" s="37" t="s">
        <v>7798</v>
      </c>
      <c r="H2220" s="36" t="s">
        <v>4007</v>
      </c>
      <c r="I2220" s="35" t="s">
        <v>7799</v>
      </c>
      <c r="J2220" s="36" t="s">
        <v>929</v>
      </c>
      <c r="K2220" s="33" t="s">
        <v>916</v>
      </c>
      <c r="L2220" s="35" t="s">
        <v>916</v>
      </c>
      <c r="M2220" s="36" t="s">
        <v>916</v>
      </c>
      <c r="N2220" s="45">
        <v>46022</v>
      </c>
      <c r="O2220" s="36" t="s">
        <v>25</v>
      </c>
      <c r="P2220" s="38">
        <v>123.5382407407</v>
      </c>
      <c r="Q2220" s="39" t="s">
        <v>5957</v>
      </c>
      <c r="R2220" s="35" t="s">
        <v>916</v>
      </c>
      <c r="S2220" s="35"/>
      <c r="T2220" s="35" t="s">
        <v>1624</v>
      </c>
      <c r="U2220" s="40">
        <v>45899</v>
      </c>
      <c r="V2220" s="41">
        <v>46153.533078703702</v>
      </c>
      <c r="W2220" s="40">
        <v>45898</v>
      </c>
      <c r="X2220" s="35" t="s">
        <v>916</v>
      </c>
      <c r="Y2220" s="35" t="s">
        <v>916</v>
      </c>
      <c r="Z2220" s="35" t="s">
        <v>916</v>
      </c>
      <c r="AA2220" s="38">
        <v>2964.9177777768</v>
      </c>
      <c r="AB2220" s="42" t="s">
        <v>916</v>
      </c>
      <c r="AC2220" s="43" t="s">
        <v>916</v>
      </c>
      <c r="AD2220" s="43" t="s">
        <v>916</v>
      </c>
      <c r="AE2220" s="33" t="s">
        <v>3982</v>
      </c>
      <c r="AF2220" s="35" t="s">
        <v>916</v>
      </c>
      <c r="AG2220" s="44">
        <v>487907.08222222218</v>
      </c>
      <c r="AH2220" s="42" t="s">
        <v>916</v>
      </c>
      <c r="AI2220" s="32" t="e">
        <f>VLOOKUP(A2220,'4月明細'!B:B,1,0)</f>
        <v>#N/A</v>
      </c>
    </row>
    <row r="2221" spans="1:35" ht="19.95" customHeight="1" x14ac:dyDescent="0.3">
      <c r="A2221" s="33" t="s">
        <v>7800</v>
      </c>
      <c r="B2221" s="34">
        <v>45898.71020833333</v>
      </c>
      <c r="C2221" s="34" t="str">
        <f t="shared" si="47"/>
        <v>202508</v>
      </c>
      <c r="D2221" s="35" t="s">
        <v>996</v>
      </c>
      <c r="E2221" s="36" t="s">
        <v>910</v>
      </c>
      <c r="F2221" s="36" t="s">
        <v>1723</v>
      </c>
      <c r="G2221" s="37" t="s">
        <v>7801</v>
      </c>
      <c r="H2221" s="36" t="s">
        <v>4007</v>
      </c>
      <c r="I2221" s="35"/>
      <c r="J2221" s="36" t="s">
        <v>929</v>
      </c>
      <c r="K2221" s="33" t="s">
        <v>916</v>
      </c>
      <c r="L2221" s="35" t="s">
        <v>916</v>
      </c>
      <c r="M2221" s="36" t="s">
        <v>916</v>
      </c>
      <c r="N2221" s="45">
        <v>46022</v>
      </c>
      <c r="O2221" s="36" t="s">
        <v>25</v>
      </c>
      <c r="P2221" s="38">
        <v>123.2897916667</v>
      </c>
      <c r="Q2221" s="39" t="s">
        <v>919</v>
      </c>
      <c r="R2221" s="35" t="s">
        <v>916</v>
      </c>
      <c r="S2221" s="35" t="s">
        <v>7802</v>
      </c>
      <c r="T2221" s="35" t="s">
        <v>1624</v>
      </c>
      <c r="U2221" s="40">
        <v>45899</v>
      </c>
      <c r="V2221" s="41">
        <v>46153.533078703702</v>
      </c>
      <c r="W2221" s="40">
        <v>45898</v>
      </c>
      <c r="X2221" s="35" t="s">
        <v>916</v>
      </c>
      <c r="Y2221" s="35" t="s">
        <v>916</v>
      </c>
      <c r="Z2221" s="35" t="s">
        <v>916</v>
      </c>
      <c r="AA2221" s="38">
        <v>2958.9550000007998</v>
      </c>
      <c r="AB2221" s="42" t="s">
        <v>916</v>
      </c>
      <c r="AC2221" s="43" t="s">
        <v>916</v>
      </c>
      <c r="AD2221" s="43" t="s">
        <v>916</v>
      </c>
      <c r="AE2221" s="33" t="s">
        <v>3982</v>
      </c>
      <c r="AF2221" s="35" t="s">
        <v>916</v>
      </c>
      <c r="AG2221" s="44">
        <v>487913.04499999998</v>
      </c>
      <c r="AH2221" s="42" t="s">
        <v>916</v>
      </c>
      <c r="AI2221" s="32" t="e">
        <f>VLOOKUP(A2221,'4月明細'!B:B,1,0)</f>
        <v>#N/A</v>
      </c>
    </row>
    <row r="2222" spans="1:35" ht="19.95" customHeight="1" x14ac:dyDescent="0.3">
      <c r="A2222" s="33" t="s">
        <v>7803</v>
      </c>
      <c r="B2222" s="34">
        <v>45898.707800925928</v>
      </c>
      <c r="C2222" s="34" t="str">
        <f t="shared" si="47"/>
        <v>202508</v>
      </c>
      <c r="D2222" s="35" t="s">
        <v>5380</v>
      </c>
      <c r="E2222" s="36" t="s">
        <v>910</v>
      </c>
      <c r="F2222" s="36" t="s">
        <v>1045</v>
      </c>
      <c r="G2222" s="37" t="s">
        <v>7804</v>
      </c>
      <c r="H2222" s="36" t="s">
        <v>1114</v>
      </c>
      <c r="I2222" s="35" t="s">
        <v>1362</v>
      </c>
      <c r="J2222" s="36" t="s">
        <v>929</v>
      </c>
      <c r="K2222" s="33" t="s">
        <v>916</v>
      </c>
      <c r="L2222" s="35" t="s">
        <v>916</v>
      </c>
      <c r="M2222" s="36" t="s">
        <v>916</v>
      </c>
      <c r="N2222" s="45">
        <v>46022</v>
      </c>
      <c r="O2222" s="36" t="s">
        <v>25</v>
      </c>
      <c r="P2222" s="38">
        <v>123.2921990741</v>
      </c>
      <c r="Q2222" s="39" t="s">
        <v>984</v>
      </c>
      <c r="R2222" s="35" t="s">
        <v>916</v>
      </c>
      <c r="S2222" s="35" t="s">
        <v>7805</v>
      </c>
      <c r="T2222" s="35" t="s">
        <v>1624</v>
      </c>
      <c r="U2222" s="40">
        <v>45899</v>
      </c>
      <c r="V2222" s="41">
        <v>46153.533078703702</v>
      </c>
      <c r="W2222" s="40">
        <v>45898</v>
      </c>
      <c r="X2222" s="35" t="s">
        <v>916</v>
      </c>
      <c r="Y2222" s="35" t="s">
        <v>916</v>
      </c>
      <c r="Z2222" s="35" t="s">
        <v>916</v>
      </c>
      <c r="AA2222" s="38">
        <v>2959.0127777784001</v>
      </c>
      <c r="AB2222" s="42" t="s">
        <v>916</v>
      </c>
      <c r="AC2222" s="43" t="s">
        <v>916</v>
      </c>
      <c r="AD2222" s="43" t="s">
        <v>916</v>
      </c>
      <c r="AE2222" s="33" t="s">
        <v>3982</v>
      </c>
      <c r="AF2222" s="35" t="s">
        <v>916</v>
      </c>
      <c r="AG2222" s="44">
        <v>487912.98722222232</v>
      </c>
      <c r="AH2222" s="42" t="s">
        <v>916</v>
      </c>
      <c r="AI2222" s="32" t="e">
        <f>VLOOKUP(A2222,'4月明細'!B:B,1,0)</f>
        <v>#N/A</v>
      </c>
    </row>
    <row r="2223" spans="1:35" ht="19.95" customHeight="1" x14ac:dyDescent="0.3">
      <c r="A2223" s="33" t="s">
        <v>7806</v>
      </c>
      <c r="B2223" s="34">
        <v>45898.701689814814</v>
      </c>
      <c r="C2223" s="34" t="str">
        <f t="shared" si="47"/>
        <v>202508</v>
      </c>
      <c r="D2223" s="35" t="s">
        <v>6847</v>
      </c>
      <c r="E2223" s="36" t="s">
        <v>910</v>
      </c>
      <c r="F2223" s="36" t="s">
        <v>2039</v>
      </c>
      <c r="G2223" s="37" t="s">
        <v>7807</v>
      </c>
      <c r="H2223" s="36" t="s">
        <v>956</v>
      </c>
      <c r="I2223" s="35" t="s">
        <v>7808</v>
      </c>
      <c r="J2223" s="36" t="s">
        <v>929</v>
      </c>
      <c r="K2223" s="33" t="s">
        <v>916</v>
      </c>
      <c r="L2223" s="35" t="s">
        <v>916</v>
      </c>
      <c r="M2223" s="36" t="s">
        <v>916</v>
      </c>
      <c r="N2223" s="45">
        <v>46022</v>
      </c>
      <c r="O2223" s="36" t="s">
        <v>25</v>
      </c>
      <c r="P2223" s="38">
        <v>123.29831018519999</v>
      </c>
      <c r="Q2223" s="39" t="s">
        <v>7809</v>
      </c>
      <c r="R2223" s="35" t="s">
        <v>916</v>
      </c>
      <c r="S2223" s="35"/>
      <c r="T2223" s="35" t="s">
        <v>1624</v>
      </c>
      <c r="U2223" s="40">
        <v>45899</v>
      </c>
      <c r="V2223" s="41">
        <v>46153.533078703702</v>
      </c>
      <c r="W2223" s="40">
        <v>45898</v>
      </c>
      <c r="X2223" s="35" t="s">
        <v>916</v>
      </c>
      <c r="Y2223" s="35" t="s">
        <v>916</v>
      </c>
      <c r="Z2223" s="35" t="s">
        <v>916</v>
      </c>
      <c r="AA2223" s="38">
        <v>2959.1594444448001</v>
      </c>
      <c r="AB2223" s="42" t="s">
        <v>916</v>
      </c>
      <c r="AC2223" s="43" t="s">
        <v>916</v>
      </c>
      <c r="AD2223" s="43" t="s">
        <v>916</v>
      </c>
      <c r="AE2223" s="33" t="s">
        <v>3982</v>
      </c>
      <c r="AF2223" s="35" t="s">
        <v>916</v>
      </c>
      <c r="AG2223" s="44">
        <v>487912.84055555548</v>
      </c>
      <c r="AH2223" s="42" t="s">
        <v>916</v>
      </c>
      <c r="AI2223" s="32" t="e">
        <f>VLOOKUP(A2223,'4月明細'!B:B,1,0)</f>
        <v>#N/A</v>
      </c>
    </row>
    <row r="2224" spans="1:35" ht="19.95" customHeight="1" x14ac:dyDescent="0.3">
      <c r="A2224" s="33" t="s">
        <v>7810</v>
      </c>
      <c r="B2224" s="34">
        <v>45898.676828703705</v>
      </c>
      <c r="C2224" s="34" t="str">
        <f t="shared" si="47"/>
        <v>202508</v>
      </c>
      <c r="D2224" s="35" t="s">
        <v>996</v>
      </c>
      <c r="E2224" s="36" t="s">
        <v>910</v>
      </c>
      <c r="F2224" s="36" t="s">
        <v>1141</v>
      </c>
      <c r="G2224" s="37" t="s">
        <v>7811</v>
      </c>
      <c r="H2224" s="36" t="s">
        <v>1114</v>
      </c>
      <c r="I2224" s="35" t="s">
        <v>7812</v>
      </c>
      <c r="J2224" s="36" t="s">
        <v>938</v>
      </c>
      <c r="K2224" s="33" t="s">
        <v>916</v>
      </c>
      <c r="L2224" s="35" t="s">
        <v>916</v>
      </c>
      <c r="M2224" s="36" t="s">
        <v>916</v>
      </c>
      <c r="N2224" s="45">
        <v>46022</v>
      </c>
      <c r="O2224" s="36" t="s">
        <v>25</v>
      </c>
      <c r="P2224" s="38">
        <v>123.3231712963</v>
      </c>
      <c r="Q2224" s="39" t="s">
        <v>5957</v>
      </c>
      <c r="R2224" s="35" t="s">
        <v>916</v>
      </c>
      <c r="S2224" s="35" t="s">
        <v>7813</v>
      </c>
      <c r="T2224" s="35" t="s">
        <v>1624</v>
      </c>
      <c r="U2224" s="40">
        <v>45899</v>
      </c>
      <c r="V2224" s="41">
        <v>46153.533078703702</v>
      </c>
      <c r="W2224" s="40">
        <v>45898</v>
      </c>
      <c r="X2224" s="35" t="s">
        <v>916</v>
      </c>
      <c r="Y2224" s="35" t="s">
        <v>916</v>
      </c>
      <c r="Z2224" s="35" t="s">
        <v>916</v>
      </c>
      <c r="AA2224" s="38">
        <v>2959.7561111112</v>
      </c>
      <c r="AB2224" s="42" t="s">
        <v>916</v>
      </c>
      <c r="AC2224" s="43" t="s">
        <v>916</v>
      </c>
      <c r="AD2224" s="43" t="s">
        <v>916</v>
      </c>
      <c r="AE2224" s="33" t="s">
        <v>3982</v>
      </c>
      <c r="AF2224" s="35" t="s">
        <v>916</v>
      </c>
      <c r="AG2224" s="44">
        <v>487912.24388888892</v>
      </c>
      <c r="AH2224" s="42" t="s">
        <v>916</v>
      </c>
      <c r="AI2224" s="32" t="e">
        <f>VLOOKUP(A2224,'4月明細'!B:B,1,0)</f>
        <v>#N/A</v>
      </c>
    </row>
    <row r="2225" spans="1:35" ht="19.95" customHeight="1" x14ac:dyDescent="0.3">
      <c r="A2225" s="33" t="s">
        <v>7814</v>
      </c>
      <c r="B2225" s="34">
        <v>45898.638506944444</v>
      </c>
      <c r="C2225" s="34" t="str">
        <f t="shared" si="47"/>
        <v>202508</v>
      </c>
      <c r="D2225" s="35" t="s">
        <v>996</v>
      </c>
      <c r="E2225" s="36" t="s">
        <v>910</v>
      </c>
      <c r="F2225" s="36" t="s">
        <v>1240</v>
      </c>
      <c r="G2225" s="37" t="s">
        <v>7815</v>
      </c>
      <c r="H2225" s="36" t="s">
        <v>7588</v>
      </c>
      <c r="I2225" s="35"/>
      <c r="J2225" s="36" t="s">
        <v>929</v>
      </c>
      <c r="K2225" s="33" t="s">
        <v>916</v>
      </c>
      <c r="L2225" s="35" t="s">
        <v>916</v>
      </c>
      <c r="M2225" s="36" t="s">
        <v>916</v>
      </c>
      <c r="N2225" s="45">
        <v>46022</v>
      </c>
      <c r="O2225" s="36" t="s">
        <v>25</v>
      </c>
      <c r="P2225" s="38">
        <v>123.36149305559999</v>
      </c>
      <c r="Q2225" s="39" t="s">
        <v>7816</v>
      </c>
      <c r="R2225" s="35" t="s">
        <v>916</v>
      </c>
      <c r="S2225" s="35"/>
      <c r="T2225" s="35" t="s">
        <v>1701</v>
      </c>
      <c r="U2225" s="40">
        <v>45899</v>
      </c>
      <c r="V2225" s="41">
        <v>46153.533078703702</v>
      </c>
      <c r="W2225" s="40">
        <v>45898</v>
      </c>
      <c r="X2225" s="35" t="s">
        <v>916</v>
      </c>
      <c r="Y2225" s="35" t="s">
        <v>916</v>
      </c>
      <c r="Z2225" s="35" t="s">
        <v>916</v>
      </c>
      <c r="AA2225" s="38">
        <v>2960.6758333344001</v>
      </c>
      <c r="AB2225" s="42" t="s">
        <v>916</v>
      </c>
      <c r="AC2225" s="43" t="s">
        <v>916</v>
      </c>
      <c r="AD2225" s="43" t="s">
        <v>916</v>
      </c>
      <c r="AE2225" s="33" t="s">
        <v>3982</v>
      </c>
      <c r="AF2225" s="35" t="s">
        <v>916</v>
      </c>
      <c r="AG2225" s="44">
        <v>487911.32416666672</v>
      </c>
      <c r="AH2225" s="42" t="s">
        <v>916</v>
      </c>
      <c r="AI2225" s="32" t="e">
        <f>VLOOKUP(A2225,'4月明細'!B:B,1,0)</f>
        <v>#N/A</v>
      </c>
    </row>
    <row r="2226" spans="1:35" ht="19.95" customHeight="1" x14ac:dyDescent="0.3">
      <c r="A2226" s="33" t="s">
        <v>7817</v>
      </c>
      <c r="B2226" s="34">
        <v>45898.602731481478</v>
      </c>
      <c r="C2226" s="34" t="str">
        <f t="shared" si="47"/>
        <v>202508</v>
      </c>
      <c r="D2226" s="35" t="s">
        <v>996</v>
      </c>
      <c r="E2226" s="36" t="s">
        <v>910</v>
      </c>
      <c r="F2226" s="36" t="s">
        <v>943</v>
      </c>
      <c r="G2226" s="37" t="s">
        <v>1930</v>
      </c>
      <c r="H2226" s="36" t="s">
        <v>4017</v>
      </c>
      <c r="I2226" s="35" t="s">
        <v>7818</v>
      </c>
      <c r="J2226" s="36" t="s">
        <v>929</v>
      </c>
      <c r="K2226" s="33" t="s">
        <v>916</v>
      </c>
      <c r="L2226" s="35" t="s">
        <v>916</v>
      </c>
      <c r="M2226" s="36" t="s">
        <v>916</v>
      </c>
      <c r="N2226" s="45">
        <v>46022</v>
      </c>
      <c r="O2226" s="36" t="s">
        <v>25</v>
      </c>
      <c r="P2226" s="38">
        <v>123.3972685185</v>
      </c>
      <c r="Q2226" s="39" t="s">
        <v>1739</v>
      </c>
      <c r="R2226" s="35" t="s">
        <v>916</v>
      </c>
      <c r="S2226" s="35"/>
      <c r="T2226" s="35" t="s">
        <v>1701</v>
      </c>
      <c r="U2226" s="40">
        <v>45899</v>
      </c>
      <c r="V2226" s="41">
        <v>46153.533078703702</v>
      </c>
      <c r="W2226" s="40">
        <v>45898</v>
      </c>
      <c r="X2226" s="35" t="s">
        <v>916</v>
      </c>
      <c r="Y2226" s="35" t="s">
        <v>916</v>
      </c>
      <c r="Z2226" s="35" t="s">
        <v>916</v>
      </c>
      <c r="AA2226" s="38">
        <v>2961.5344444440002</v>
      </c>
      <c r="AB2226" s="42" t="s">
        <v>916</v>
      </c>
      <c r="AC2226" s="43" t="s">
        <v>916</v>
      </c>
      <c r="AD2226" s="43" t="s">
        <v>916</v>
      </c>
      <c r="AE2226" s="33" t="s">
        <v>3982</v>
      </c>
      <c r="AF2226" s="35" t="s">
        <v>916</v>
      </c>
      <c r="AG2226" s="44">
        <v>487910.46555555548</v>
      </c>
      <c r="AH2226" s="42" t="s">
        <v>916</v>
      </c>
      <c r="AI2226" s="32" t="e">
        <f>VLOOKUP(A2226,'4月明細'!B:B,1,0)</f>
        <v>#N/A</v>
      </c>
    </row>
    <row r="2227" spans="1:35" ht="19.95" customHeight="1" x14ac:dyDescent="0.3">
      <c r="A2227" s="33" t="s">
        <v>7819</v>
      </c>
      <c r="B2227" s="34">
        <v>45898.556597222225</v>
      </c>
      <c r="C2227" s="34" t="str">
        <f t="shared" si="47"/>
        <v>202508</v>
      </c>
      <c r="D2227" s="35" t="s">
        <v>5380</v>
      </c>
      <c r="E2227" s="36" t="s">
        <v>910</v>
      </c>
      <c r="F2227" s="36" t="s">
        <v>1672</v>
      </c>
      <c r="G2227" s="37" t="s">
        <v>7820</v>
      </c>
      <c r="H2227" s="36" t="s">
        <v>1114</v>
      </c>
      <c r="I2227" s="35" t="s">
        <v>7821</v>
      </c>
      <c r="J2227" s="36" t="s">
        <v>929</v>
      </c>
      <c r="K2227" s="33" t="s">
        <v>916</v>
      </c>
      <c r="L2227" s="35" t="s">
        <v>916</v>
      </c>
      <c r="M2227" s="36" t="s">
        <v>916</v>
      </c>
      <c r="N2227" s="45">
        <v>46022</v>
      </c>
      <c r="O2227" s="36" t="s">
        <v>25</v>
      </c>
      <c r="P2227" s="38">
        <v>123.4434027778</v>
      </c>
      <c r="Q2227" s="39" t="s">
        <v>7822</v>
      </c>
      <c r="R2227" s="35" t="s">
        <v>916</v>
      </c>
      <c r="S2227" s="35"/>
      <c r="T2227" s="35" t="s">
        <v>1701</v>
      </c>
      <c r="U2227" s="40">
        <v>45899</v>
      </c>
      <c r="V2227" s="41">
        <v>46153.533078703702</v>
      </c>
      <c r="W2227" s="40">
        <v>45898</v>
      </c>
      <c r="X2227" s="35" t="s">
        <v>916</v>
      </c>
      <c r="Y2227" s="35" t="s">
        <v>916</v>
      </c>
      <c r="Z2227" s="35" t="s">
        <v>916</v>
      </c>
      <c r="AA2227" s="38">
        <v>2962.6416666671998</v>
      </c>
      <c r="AB2227" s="42" t="s">
        <v>916</v>
      </c>
      <c r="AC2227" s="43" t="s">
        <v>916</v>
      </c>
      <c r="AD2227" s="43" t="s">
        <v>916</v>
      </c>
      <c r="AE2227" s="33" t="s">
        <v>3982</v>
      </c>
      <c r="AF2227" s="35" t="s">
        <v>916</v>
      </c>
      <c r="AG2227" s="44">
        <v>487909.3583333334</v>
      </c>
      <c r="AH2227" s="42" t="s">
        <v>916</v>
      </c>
      <c r="AI2227" s="32" t="e">
        <f>VLOOKUP(A2227,'4月明細'!B:B,1,0)</f>
        <v>#N/A</v>
      </c>
    </row>
    <row r="2228" spans="1:35" ht="19.95" customHeight="1" x14ac:dyDescent="0.3">
      <c r="A2228" s="33" t="s">
        <v>7823</v>
      </c>
      <c r="B2228" s="34">
        <v>45898.538298611114</v>
      </c>
      <c r="C2228" s="34" t="str">
        <f t="shared" si="47"/>
        <v>202508</v>
      </c>
      <c r="D2228" s="35" t="s">
        <v>5380</v>
      </c>
      <c r="E2228" s="36" t="s">
        <v>910</v>
      </c>
      <c r="F2228" s="36" t="s">
        <v>947</v>
      </c>
      <c r="G2228" s="37" t="s">
        <v>7824</v>
      </c>
      <c r="H2228" s="36" t="s">
        <v>7825</v>
      </c>
      <c r="I2228" s="35" t="s">
        <v>7826</v>
      </c>
      <c r="J2228" s="36" t="s">
        <v>929</v>
      </c>
      <c r="K2228" s="33" t="s">
        <v>916</v>
      </c>
      <c r="L2228" s="35" t="s">
        <v>916</v>
      </c>
      <c r="M2228" s="36" t="s">
        <v>916</v>
      </c>
      <c r="N2228" s="45">
        <v>46022</v>
      </c>
      <c r="O2228" s="36" t="s">
        <v>25</v>
      </c>
      <c r="P2228" s="38">
        <v>123.4617013889</v>
      </c>
      <c r="Q2228" s="39" t="s">
        <v>6771</v>
      </c>
      <c r="R2228" s="35" t="s">
        <v>916</v>
      </c>
      <c r="S2228" s="35" t="s">
        <v>7827</v>
      </c>
      <c r="T2228" s="35" t="s">
        <v>1701</v>
      </c>
      <c r="U2228" s="40">
        <v>45899</v>
      </c>
      <c r="V2228" s="41">
        <v>46153.533078703702</v>
      </c>
      <c r="W2228" s="40">
        <v>45898</v>
      </c>
      <c r="X2228" s="35" t="s">
        <v>916</v>
      </c>
      <c r="Y2228" s="35" t="s">
        <v>916</v>
      </c>
      <c r="Z2228" s="35" t="s">
        <v>916</v>
      </c>
      <c r="AA2228" s="38">
        <v>2963.0808333335999</v>
      </c>
      <c r="AB2228" s="42" t="s">
        <v>916</v>
      </c>
      <c r="AC2228" s="43" t="s">
        <v>916</v>
      </c>
      <c r="AD2228" s="43" t="s">
        <v>916</v>
      </c>
      <c r="AE2228" s="33" t="s">
        <v>3982</v>
      </c>
      <c r="AF2228" s="35" t="s">
        <v>916</v>
      </c>
      <c r="AG2228" s="44">
        <v>487908.91916666669</v>
      </c>
      <c r="AH2228" s="42" t="s">
        <v>916</v>
      </c>
      <c r="AI2228" s="32" t="e">
        <f>VLOOKUP(A2228,'4月明細'!B:B,1,0)</f>
        <v>#N/A</v>
      </c>
    </row>
    <row r="2229" spans="1:35" ht="19.95" customHeight="1" x14ac:dyDescent="0.3">
      <c r="A2229" s="33" t="s">
        <v>7828</v>
      </c>
      <c r="B2229" s="34">
        <v>45898.507164351853</v>
      </c>
      <c r="C2229" s="34" t="str">
        <f t="shared" si="47"/>
        <v>202508</v>
      </c>
      <c r="D2229" s="35" t="s">
        <v>996</v>
      </c>
      <c r="E2229" s="36" t="s">
        <v>910</v>
      </c>
      <c r="F2229" s="36" t="s">
        <v>2043</v>
      </c>
      <c r="G2229" s="37" t="s">
        <v>7829</v>
      </c>
      <c r="H2229" s="36" t="s">
        <v>1114</v>
      </c>
      <c r="I2229" s="35"/>
      <c r="J2229" s="36" t="s">
        <v>914</v>
      </c>
      <c r="K2229" s="33" t="s">
        <v>916</v>
      </c>
      <c r="L2229" s="35" t="s">
        <v>916</v>
      </c>
      <c r="M2229" s="36" t="s">
        <v>916</v>
      </c>
      <c r="N2229" s="45">
        <v>46022</v>
      </c>
      <c r="O2229" s="36" t="s">
        <v>25</v>
      </c>
      <c r="P2229" s="38">
        <v>123.4928356481</v>
      </c>
      <c r="Q2229" s="39" t="s">
        <v>7822</v>
      </c>
      <c r="R2229" s="35" t="s">
        <v>916</v>
      </c>
      <c r="S2229" s="35"/>
      <c r="T2229" s="35" t="s">
        <v>1701</v>
      </c>
      <c r="U2229" s="40">
        <v>45899</v>
      </c>
      <c r="V2229" s="41">
        <v>46153.533078703702</v>
      </c>
      <c r="W2229" s="40">
        <v>45898</v>
      </c>
      <c r="X2229" s="35" t="s">
        <v>916</v>
      </c>
      <c r="Y2229" s="35" t="s">
        <v>916</v>
      </c>
      <c r="Z2229" s="35" t="s">
        <v>916</v>
      </c>
      <c r="AA2229" s="38">
        <v>2963.8280555544002</v>
      </c>
      <c r="AB2229" s="42" t="s">
        <v>916</v>
      </c>
      <c r="AC2229" s="43" t="s">
        <v>916</v>
      </c>
      <c r="AD2229" s="43" t="s">
        <v>916</v>
      </c>
      <c r="AE2229" s="33" t="s">
        <v>3982</v>
      </c>
      <c r="AF2229" s="35" t="s">
        <v>916</v>
      </c>
      <c r="AG2229" s="44">
        <v>487908.17194444448</v>
      </c>
      <c r="AH2229" s="42" t="s">
        <v>916</v>
      </c>
      <c r="AI2229" s="32" t="e">
        <f>VLOOKUP(A2229,'4月明細'!B:B,1,0)</f>
        <v>#N/A</v>
      </c>
    </row>
    <row r="2230" spans="1:35" ht="19.95" customHeight="1" x14ac:dyDescent="0.3">
      <c r="A2230" s="33" t="s">
        <v>7830</v>
      </c>
      <c r="B2230" s="34">
        <v>45898.500231481485</v>
      </c>
      <c r="C2230" s="34" t="str">
        <f t="shared" si="47"/>
        <v>202508</v>
      </c>
      <c r="D2230" s="35" t="s">
        <v>5380</v>
      </c>
      <c r="E2230" s="36" t="s">
        <v>910</v>
      </c>
      <c r="F2230" s="36" t="s">
        <v>1183</v>
      </c>
      <c r="G2230" s="37" t="s">
        <v>7831</v>
      </c>
      <c r="H2230" s="36" t="s">
        <v>4481</v>
      </c>
      <c r="I2230" s="35" t="s">
        <v>7832</v>
      </c>
      <c r="J2230" s="36" t="s">
        <v>929</v>
      </c>
      <c r="K2230" s="33" t="s">
        <v>916</v>
      </c>
      <c r="L2230" s="35" t="s">
        <v>916</v>
      </c>
      <c r="M2230" s="36" t="s">
        <v>916</v>
      </c>
      <c r="N2230" s="45">
        <v>46022</v>
      </c>
      <c r="O2230" s="36" t="s">
        <v>25</v>
      </c>
      <c r="P2230" s="38">
        <v>123.49976851850001</v>
      </c>
      <c r="Q2230" s="39" t="s">
        <v>7833</v>
      </c>
      <c r="R2230" s="35" t="s">
        <v>916</v>
      </c>
      <c r="S2230" s="35"/>
      <c r="T2230" s="35" t="s">
        <v>1701</v>
      </c>
      <c r="U2230" s="40">
        <v>45899</v>
      </c>
      <c r="V2230" s="41">
        <v>46153.533078703702</v>
      </c>
      <c r="W2230" s="40">
        <v>45898</v>
      </c>
      <c r="X2230" s="35" t="s">
        <v>916</v>
      </c>
      <c r="Y2230" s="35" t="s">
        <v>916</v>
      </c>
      <c r="Z2230" s="35" t="s">
        <v>916</v>
      </c>
      <c r="AA2230" s="38">
        <v>2963.9944444439998</v>
      </c>
      <c r="AB2230" s="42" t="s">
        <v>916</v>
      </c>
      <c r="AC2230" s="43" t="s">
        <v>916</v>
      </c>
      <c r="AD2230" s="43" t="s">
        <v>916</v>
      </c>
      <c r="AE2230" s="33" t="s">
        <v>3982</v>
      </c>
      <c r="AF2230" s="35" t="s">
        <v>916</v>
      </c>
      <c r="AG2230" s="44">
        <v>487908.00555555557</v>
      </c>
      <c r="AH2230" s="42" t="s">
        <v>916</v>
      </c>
      <c r="AI2230" s="32" t="e">
        <f>VLOOKUP(A2230,'4月明細'!B:B,1,0)</f>
        <v>#N/A</v>
      </c>
    </row>
    <row r="2231" spans="1:35" ht="19.95" customHeight="1" x14ac:dyDescent="0.3">
      <c r="A2231" s="33" t="s">
        <v>7834</v>
      </c>
      <c r="B2231" s="34">
        <v>45898.495787037034</v>
      </c>
      <c r="C2231" s="34" t="str">
        <f t="shared" si="47"/>
        <v>202508</v>
      </c>
      <c r="D2231" s="35" t="s">
        <v>5380</v>
      </c>
      <c r="E2231" s="36" t="s">
        <v>910</v>
      </c>
      <c r="F2231" s="36" t="s">
        <v>2327</v>
      </c>
      <c r="G2231" s="37" t="s">
        <v>7835</v>
      </c>
      <c r="H2231" s="36" t="s">
        <v>1114</v>
      </c>
      <c r="I2231" s="35" t="s">
        <v>7836</v>
      </c>
      <c r="J2231" s="36" t="s">
        <v>914</v>
      </c>
      <c r="K2231" s="33" t="s">
        <v>916</v>
      </c>
      <c r="L2231" s="35" t="s">
        <v>916</v>
      </c>
      <c r="M2231" s="36" t="s">
        <v>916</v>
      </c>
      <c r="N2231" s="45">
        <v>46022</v>
      </c>
      <c r="O2231" s="36" t="s">
        <v>25</v>
      </c>
      <c r="P2231" s="38">
        <v>123.504212963</v>
      </c>
      <c r="Q2231" s="39" t="s">
        <v>7822</v>
      </c>
      <c r="R2231" s="35" t="s">
        <v>916</v>
      </c>
      <c r="S2231" s="35"/>
      <c r="T2231" s="35" t="s">
        <v>1701</v>
      </c>
      <c r="U2231" s="40">
        <v>45899</v>
      </c>
      <c r="V2231" s="41">
        <v>46153.533078703702</v>
      </c>
      <c r="W2231" s="40">
        <v>45898</v>
      </c>
      <c r="X2231" s="35" t="s">
        <v>916</v>
      </c>
      <c r="Y2231" s="35" t="s">
        <v>916</v>
      </c>
      <c r="Z2231" s="35" t="s">
        <v>916</v>
      </c>
      <c r="AA2231" s="38">
        <v>2964.1011111120001</v>
      </c>
      <c r="AB2231" s="42" t="s">
        <v>916</v>
      </c>
      <c r="AC2231" s="43" t="s">
        <v>916</v>
      </c>
      <c r="AD2231" s="43" t="s">
        <v>916</v>
      </c>
      <c r="AE2231" s="33" t="s">
        <v>3982</v>
      </c>
      <c r="AF2231" s="35" t="s">
        <v>916</v>
      </c>
      <c r="AG2231" s="44">
        <v>487907.89888888889</v>
      </c>
      <c r="AH2231" s="42" t="s">
        <v>916</v>
      </c>
      <c r="AI2231" s="32" t="e">
        <f>VLOOKUP(A2231,'4月明細'!B:B,1,0)</f>
        <v>#N/A</v>
      </c>
    </row>
    <row r="2232" spans="1:35" ht="19.95" customHeight="1" x14ac:dyDescent="0.3">
      <c r="A2232" s="33" t="s">
        <v>7837</v>
      </c>
      <c r="B2232" s="34">
        <v>45898.492974537039</v>
      </c>
      <c r="C2232" s="34" t="str">
        <f t="shared" si="47"/>
        <v>202508</v>
      </c>
      <c r="D2232" s="35" t="s">
        <v>5380</v>
      </c>
      <c r="E2232" s="36" t="s">
        <v>910</v>
      </c>
      <c r="F2232" s="36" t="s">
        <v>2501</v>
      </c>
      <c r="G2232" s="37" t="s">
        <v>7838</v>
      </c>
      <c r="H2232" s="36" t="s">
        <v>1114</v>
      </c>
      <c r="I2232" s="35" t="s">
        <v>7839</v>
      </c>
      <c r="J2232" s="36" t="s">
        <v>914</v>
      </c>
      <c r="K2232" s="33" t="s">
        <v>916</v>
      </c>
      <c r="L2232" s="35" t="s">
        <v>916</v>
      </c>
      <c r="M2232" s="36" t="s">
        <v>916</v>
      </c>
      <c r="N2232" s="45">
        <v>46022</v>
      </c>
      <c r="O2232" s="36" t="s">
        <v>25</v>
      </c>
      <c r="P2232" s="38">
        <v>123.50702546300001</v>
      </c>
      <c r="Q2232" s="39" t="s">
        <v>7822</v>
      </c>
      <c r="R2232" s="35" t="s">
        <v>916</v>
      </c>
      <c r="S2232" s="35"/>
      <c r="T2232" s="35" t="s">
        <v>1701</v>
      </c>
      <c r="U2232" s="40">
        <v>45899</v>
      </c>
      <c r="V2232" s="41">
        <v>46153.533078703702</v>
      </c>
      <c r="W2232" s="40">
        <v>45898</v>
      </c>
      <c r="X2232" s="35" t="s">
        <v>916</v>
      </c>
      <c r="Y2232" s="35" t="s">
        <v>916</v>
      </c>
      <c r="Z2232" s="35" t="s">
        <v>916</v>
      </c>
      <c r="AA2232" s="38">
        <v>2964.1686111119998</v>
      </c>
      <c r="AB2232" s="42" t="s">
        <v>916</v>
      </c>
      <c r="AC2232" s="43" t="s">
        <v>916</v>
      </c>
      <c r="AD2232" s="43" t="s">
        <v>916</v>
      </c>
      <c r="AE2232" s="33" t="s">
        <v>3982</v>
      </c>
      <c r="AF2232" s="35" t="s">
        <v>916</v>
      </c>
      <c r="AG2232" s="44">
        <v>487907.83138888888</v>
      </c>
      <c r="AH2232" s="42" t="s">
        <v>916</v>
      </c>
      <c r="AI2232" s="32" t="e">
        <f>VLOOKUP(A2232,'4月明細'!B:B,1,0)</f>
        <v>#N/A</v>
      </c>
    </row>
    <row r="2233" spans="1:35" ht="19.95" customHeight="1" x14ac:dyDescent="0.3">
      <c r="A2233" s="33" t="s">
        <v>7840</v>
      </c>
      <c r="B2233" s="34">
        <v>45898.486712962964</v>
      </c>
      <c r="C2233" s="34" t="str">
        <f t="shared" si="47"/>
        <v>202508</v>
      </c>
      <c r="D2233" s="35" t="s">
        <v>996</v>
      </c>
      <c r="E2233" s="36" t="s">
        <v>910</v>
      </c>
      <c r="F2233" s="36" t="s">
        <v>1386</v>
      </c>
      <c r="G2233" s="37" t="s">
        <v>7841</v>
      </c>
      <c r="H2233" s="36" t="s">
        <v>4185</v>
      </c>
      <c r="I2233" s="35" t="s">
        <v>7842</v>
      </c>
      <c r="J2233" s="36" t="s">
        <v>914</v>
      </c>
      <c r="K2233" s="33" t="s">
        <v>916</v>
      </c>
      <c r="L2233" s="35" t="s">
        <v>916</v>
      </c>
      <c r="M2233" s="36" t="s">
        <v>916</v>
      </c>
      <c r="N2233" s="45">
        <v>46022</v>
      </c>
      <c r="O2233" s="36" t="s">
        <v>25</v>
      </c>
      <c r="P2233" s="38">
        <v>123.513287037</v>
      </c>
      <c r="Q2233" s="39" t="s">
        <v>7843</v>
      </c>
      <c r="R2233" s="35" t="s">
        <v>916</v>
      </c>
      <c r="S2233" s="35"/>
      <c r="T2233" s="35" t="s">
        <v>1701</v>
      </c>
      <c r="U2233" s="40">
        <v>45899</v>
      </c>
      <c r="V2233" s="41">
        <v>46153.533078703702</v>
      </c>
      <c r="W2233" s="40">
        <v>45898</v>
      </c>
      <c r="X2233" s="35" t="s">
        <v>916</v>
      </c>
      <c r="Y2233" s="35" t="s">
        <v>916</v>
      </c>
      <c r="Z2233" s="35" t="s">
        <v>916</v>
      </c>
      <c r="AA2233" s="38">
        <v>2964.3188888879999</v>
      </c>
      <c r="AB2233" s="42" t="s">
        <v>916</v>
      </c>
      <c r="AC2233" s="43" t="s">
        <v>916</v>
      </c>
      <c r="AD2233" s="43" t="s">
        <v>916</v>
      </c>
      <c r="AE2233" s="33" t="s">
        <v>3982</v>
      </c>
      <c r="AF2233" s="35" t="s">
        <v>916</v>
      </c>
      <c r="AG2233" s="44">
        <v>487907.68111111107</v>
      </c>
      <c r="AH2233" s="42" t="s">
        <v>916</v>
      </c>
      <c r="AI2233" s="32" t="e">
        <f>VLOOKUP(A2233,'4月明細'!B:B,1,0)</f>
        <v>#N/A</v>
      </c>
    </row>
    <row r="2234" spans="1:35" ht="19.95" customHeight="1" x14ac:dyDescent="0.3">
      <c r="A2234" s="33" t="s">
        <v>7844</v>
      </c>
      <c r="B2234" s="34">
        <v>45898.463750000003</v>
      </c>
      <c r="C2234" s="34" t="str">
        <f t="shared" si="47"/>
        <v>202508</v>
      </c>
      <c r="D2234" s="35" t="s">
        <v>5380</v>
      </c>
      <c r="E2234" s="36" t="s">
        <v>910</v>
      </c>
      <c r="F2234" s="36" t="s">
        <v>1743</v>
      </c>
      <c r="G2234" s="37" t="s">
        <v>7845</v>
      </c>
      <c r="H2234" s="36" t="s">
        <v>1114</v>
      </c>
      <c r="I2234" s="35" t="s">
        <v>7846</v>
      </c>
      <c r="J2234" s="36" t="s">
        <v>914</v>
      </c>
      <c r="K2234" s="33" t="s">
        <v>916</v>
      </c>
      <c r="L2234" s="35" t="s">
        <v>916</v>
      </c>
      <c r="M2234" s="36" t="s">
        <v>916</v>
      </c>
      <c r="N2234" s="45">
        <v>46022</v>
      </c>
      <c r="O2234" s="36" t="s">
        <v>25</v>
      </c>
      <c r="P2234" s="38">
        <v>123.53625</v>
      </c>
      <c r="Q2234" s="39" t="s">
        <v>919</v>
      </c>
      <c r="R2234" s="35" t="s">
        <v>916</v>
      </c>
      <c r="S2234" s="35"/>
      <c r="T2234" s="35" t="s">
        <v>1701</v>
      </c>
      <c r="U2234" s="40">
        <v>45899</v>
      </c>
      <c r="V2234" s="41">
        <v>46153.533078703702</v>
      </c>
      <c r="W2234" s="40">
        <v>45898</v>
      </c>
      <c r="X2234" s="35" t="s">
        <v>916</v>
      </c>
      <c r="Y2234" s="35" t="s">
        <v>916</v>
      </c>
      <c r="Z2234" s="35" t="s">
        <v>916</v>
      </c>
      <c r="AA2234" s="38">
        <v>2964.87</v>
      </c>
      <c r="AB2234" s="42" t="s">
        <v>916</v>
      </c>
      <c r="AC2234" s="43" t="s">
        <v>916</v>
      </c>
      <c r="AD2234" s="43" t="s">
        <v>916</v>
      </c>
      <c r="AE2234" s="33" t="s">
        <v>3982</v>
      </c>
      <c r="AF2234" s="35" t="s">
        <v>916</v>
      </c>
      <c r="AG2234" s="44">
        <v>487907.13</v>
      </c>
      <c r="AH2234" s="42" t="s">
        <v>916</v>
      </c>
      <c r="AI2234" s="32" t="e">
        <f>VLOOKUP(A2234,'4月明細'!B:B,1,0)</f>
        <v>#N/A</v>
      </c>
    </row>
    <row r="2235" spans="1:35" ht="19.95" customHeight="1" x14ac:dyDescent="0.3">
      <c r="A2235" s="33" t="s">
        <v>7847</v>
      </c>
      <c r="B2235" s="34">
        <v>45898.459178240744</v>
      </c>
      <c r="C2235" s="34" t="str">
        <f t="shared" si="47"/>
        <v>202508</v>
      </c>
      <c r="D2235" s="35" t="s">
        <v>5380</v>
      </c>
      <c r="E2235" s="36" t="s">
        <v>910</v>
      </c>
      <c r="F2235" s="36" t="s">
        <v>1792</v>
      </c>
      <c r="G2235" s="37" t="s">
        <v>7845</v>
      </c>
      <c r="H2235" s="36" t="s">
        <v>1114</v>
      </c>
      <c r="I2235" s="35" t="s">
        <v>7848</v>
      </c>
      <c r="J2235" s="36" t="s">
        <v>914</v>
      </c>
      <c r="K2235" s="33" t="s">
        <v>916</v>
      </c>
      <c r="L2235" s="35" t="s">
        <v>916</v>
      </c>
      <c r="M2235" s="36" t="s">
        <v>916</v>
      </c>
      <c r="N2235" s="45">
        <v>46022</v>
      </c>
      <c r="O2235" s="36" t="s">
        <v>25</v>
      </c>
      <c r="P2235" s="38">
        <v>123.5408217593</v>
      </c>
      <c r="Q2235" s="39" t="s">
        <v>919</v>
      </c>
      <c r="R2235" s="35" t="s">
        <v>916</v>
      </c>
      <c r="S2235" s="35"/>
      <c r="T2235" s="35" t="s">
        <v>1701</v>
      </c>
      <c r="U2235" s="40">
        <v>45899</v>
      </c>
      <c r="V2235" s="41">
        <v>46153.533078703702</v>
      </c>
      <c r="W2235" s="40">
        <v>45898</v>
      </c>
      <c r="X2235" s="35" t="s">
        <v>916</v>
      </c>
      <c r="Y2235" s="35" t="s">
        <v>916</v>
      </c>
      <c r="Z2235" s="35" t="s">
        <v>916</v>
      </c>
      <c r="AA2235" s="38">
        <v>2964.9797222232</v>
      </c>
      <c r="AB2235" s="42" t="s">
        <v>916</v>
      </c>
      <c r="AC2235" s="43" t="s">
        <v>916</v>
      </c>
      <c r="AD2235" s="43" t="s">
        <v>916</v>
      </c>
      <c r="AE2235" s="33" t="s">
        <v>3982</v>
      </c>
      <c r="AF2235" s="35" t="s">
        <v>916</v>
      </c>
      <c r="AG2235" s="44">
        <v>487907.0202777778</v>
      </c>
      <c r="AH2235" s="42" t="s">
        <v>916</v>
      </c>
      <c r="AI2235" s="32" t="e">
        <f>VLOOKUP(A2235,'4月明細'!B:B,1,0)</f>
        <v>#N/A</v>
      </c>
    </row>
    <row r="2236" spans="1:35" ht="19.95" customHeight="1" x14ac:dyDescent="0.3">
      <c r="A2236" s="33" t="s">
        <v>7849</v>
      </c>
      <c r="B2236" s="34">
        <v>45898.451956018522</v>
      </c>
      <c r="C2236" s="34" t="str">
        <f t="shared" si="47"/>
        <v>202508</v>
      </c>
      <c r="D2236" s="35" t="s">
        <v>5380</v>
      </c>
      <c r="E2236" s="36" t="s">
        <v>910</v>
      </c>
      <c r="F2236" s="36" t="s">
        <v>1232</v>
      </c>
      <c r="G2236" s="37" t="s">
        <v>7850</v>
      </c>
      <c r="H2236" s="36" t="s">
        <v>1114</v>
      </c>
      <c r="I2236" s="35" t="s">
        <v>2765</v>
      </c>
      <c r="J2236" s="36" t="s">
        <v>1058</v>
      </c>
      <c r="K2236" s="33" t="s">
        <v>916</v>
      </c>
      <c r="L2236" s="35" t="s">
        <v>916</v>
      </c>
      <c r="M2236" s="36" t="s">
        <v>916</v>
      </c>
      <c r="N2236" s="45">
        <v>46022</v>
      </c>
      <c r="O2236" s="36" t="s">
        <v>25</v>
      </c>
      <c r="P2236" s="38">
        <v>123.5480439815</v>
      </c>
      <c r="Q2236" s="39" t="s">
        <v>7822</v>
      </c>
      <c r="R2236" s="35" t="s">
        <v>916</v>
      </c>
      <c r="S2236" s="35"/>
      <c r="T2236" s="35" t="s">
        <v>1701</v>
      </c>
      <c r="U2236" s="40">
        <v>45899</v>
      </c>
      <c r="V2236" s="41">
        <v>46153.533078703702</v>
      </c>
      <c r="W2236" s="40">
        <v>45898</v>
      </c>
      <c r="X2236" s="35" t="s">
        <v>916</v>
      </c>
      <c r="Y2236" s="35" t="s">
        <v>916</v>
      </c>
      <c r="Z2236" s="35" t="s">
        <v>916</v>
      </c>
      <c r="AA2236" s="38">
        <v>2965.1530555559998</v>
      </c>
      <c r="AB2236" s="42" t="s">
        <v>916</v>
      </c>
      <c r="AC2236" s="43" t="s">
        <v>916</v>
      </c>
      <c r="AD2236" s="43" t="s">
        <v>916</v>
      </c>
      <c r="AE2236" s="33" t="s">
        <v>3982</v>
      </c>
      <c r="AF2236" s="35" t="s">
        <v>916</v>
      </c>
      <c r="AG2236" s="44">
        <v>487906.84694444452</v>
      </c>
      <c r="AH2236" s="42" t="s">
        <v>916</v>
      </c>
      <c r="AI2236" s="32" t="e">
        <f>VLOOKUP(A2236,'4月明細'!B:B,1,0)</f>
        <v>#N/A</v>
      </c>
    </row>
    <row r="2237" spans="1:35" ht="19.95" customHeight="1" x14ac:dyDescent="0.3">
      <c r="A2237" s="33" t="s">
        <v>7851</v>
      </c>
      <c r="B2237" s="34">
        <v>45898.446944444448</v>
      </c>
      <c r="C2237" s="34" t="str">
        <f t="shared" si="47"/>
        <v>202508</v>
      </c>
      <c r="D2237" s="35" t="s">
        <v>5380</v>
      </c>
      <c r="E2237" s="36" t="s">
        <v>910</v>
      </c>
      <c r="F2237" s="36" t="s">
        <v>1064</v>
      </c>
      <c r="G2237" s="37" t="s">
        <v>7850</v>
      </c>
      <c r="H2237" s="36" t="s">
        <v>1114</v>
      </c>
      <c r="I2237" s="35" t="s">
        <v>7852</v>
      </c>
      <c r="J2237" s="36" t="s">
        <v>1058</v>
      </c>
      <c r="K2237" s="33" t="s">
        <v>916</v>
      </c>
      <c r="L2237" s="35" t="s">
        <v>916</v>
      </c>
      <c r="M2237" s="36" t="s">
        <v>916</v>
      </c>
      <c r="N2237" s="45">
        <v>46022</v>
      </c>
      <c r="O2237" s="36" t="s">
        <v>25</v>
      </c>
      <c r="P2237" s="38">
        <v>123.5530555556</v>
      </c>
      <c r="Q2237" s="39" t="s">
        <v>7822</v>
      </c>
      <c r="R2237" s="35" t="s">
        <v>916</v>
      </c>
      <c r="S2237" s="35"/>
      <c r="T2237" s="35" t="s">
        <v>1701</v>
      </c>
      <c r="U2237" s="40">
        <v>45899</v>
      </c>
      <c r="V2237" s="41">
        <v>46153.533078703702</v>
      </c>
      <c r="W2237" s="40">
        <v>45898</v>
      </c>
      <c r="X2237" s="35" t="s">
        <v>916</v>
      </c>
      <c r="Y2237" s="35" t="s">
        <v>916</v>
      </c>
      <c r="Z2237" s="35" t="s">
        <v>916</v>
      </c>
      <c r="AA2237" s="38">
        <v>2965.2733333343999</v>
      </c>
      <c r="AB2237" s="42" t="s">
        <v>916</v>
      </c>
      <c r="AC2237" s="43" t="s">
        <v>916</v>
      </c>
      <c r="AD2237" s="43" t="s">
        <v>916</v>
      </c>
      <c r="AE2237" s="33" t="s">
        <v>3982</v>
      </c>
      <c r="AF2237" s="35" t="s">
        <v>916</v>
      </c>
      <c r="AG2237" s="44">
        <v>487906.72666666668</v>
      </c>
      <c r="AH2237" s="42" t="s">
        <v>916</v>
      </c>
      <c r="AI2237" s="32" t="e">
        <f>VLOOKUP(A2237,'4月明細'!B:B,1,0)</f>
        <v>#N/A</v>
      </c>
    </row>
    <row r="2238" spans="1:35" ht="19.95" customHeight="1" x14ac:dyDescent="0.3">
      <c r="A2238" s="33" t="s">
        <v>7853</v>
      </c>
      <c r="B2238" s="34">
        <v>45897.75273148148</v>
      </c>
      <c r="C2238" s="34" t="str">
        <f t="shared" si="47"/>
        <v>202508</v>
      </c>
      <c r="D2238" s="35" t="s">
        <v>5380</v>
      </c>
      <c r="E2238" s="36" t="s">
        <v>910</v>
      </c>
      <c r="F2238" s="36" t="s">
        <v>1537</v>
      </c>
      <c r="G2238" s="37" t="s">
        <v>7854</v>
      </c>
      <c r="H2238" s="36" t="s">
        <v>4029</v>
      </c>
      <c r="I2238" s="35" t="s">
        <v>7855</v>
      </c>
      <c r="J2238" s="36" t="s">
        <v>1058</v>
      </c>
      <c r="K2238" s="33" t="s">
        <v>916</v>
      </c>
      <c r="L2238" s="35" t="s">
        <v>916</v>
      </c>
      <c r="M2238" s="36" t="s">
        <v>916</v>
      </c>
      <c r="N2238" s="45">
        <v>46022</v>
      </c>
      <c r="O2238" s="36" t="s">
        <v>25</v>
      </c>
      <c r="P2238" s="38">
        <v>124.24726851849999</v>
      </c>
      <c r="Q2238" s="39" t="s">
        <v>919</v>
      </c>
      <c r="R2238" s="35" t="s">
        <v>916</v>
      </c>
      <c r="S2238" s="35"/>
      <c r="T2238" s="35" t="s">
        <v>1701</v>
      </c>
      <c r="U2238" s="40">
        <v>45898</v>
      </c>
      <c r="V2238" s="41">
        <v>46153.533078703702</v>
      </c>
      <c r="W2238" s="40">
        <v>45897</v>
      </c>
      <c r="X2238" s="35" t="s">
        <v>916</v>
      </c>
      <c r="Y2238" s="35" t="s">
        <v>916</v>
      </c>
      <c r="Z2238" s="35" t="s">
        <v>916</v>
      </c>
      <c r="AA2238" s="38">
        <v>2981.9344444439998</v>
      </c>
      <c r="AB2238" s="42" t="s">
        <v>916</v>
      </c>
      <c r="AC2238" s="43" t="s">
        <v>916</v>
      </c>
      <c r="AD2238" s="43" t="s">
        <v>916</v>
      </c>
      <c r="AE2238" s="33" t="s">
        <v>3982</v>
      </c>
      <c r="AF2238" s="35" t="s">
        <v>916</v>
      </c>
      <c r="AG2238" s="44">
        <v>487890.06555555557</v>
      </c>
      <c r="AH2238" s="42" t="s">
        <v>916</v>
      </c>
      <c r="AI2238" s="32" t="e">
        <f>VLOOKUP(A2238,'4月明細'!B:B,1,0)</f>
        <v>#N/A</v>
      </c>
    </row>
    <row r="2239" spans="1:35" ht="19.95" customHeight="1" x14ac:dyDescent="0.3">
      <c r="A2239" s="33" t="s">
        <v>7856</v>
      </c>
      <c r="B2239" s="34">
        <v>45897.724120370367</v>
      </c>
      <c r="C2239" s="34" t="str">
        <f t="shared" si="47"/>
        <v>202508</v>
      </c>
      <c r="D2239" s="35" t="s">
        <v>5380</v>
      </c>
      <c r="E2239" s="36" t="s">
        <v>910</v>
      </c>
      <c r="F2239" s="36" t="s">
        <v>1531</v>
      </c>
      <c r="G2239" s="37" t="s">
        <v>7857</v>
      </c>
      <c r="H2239" s="36" t="s">
        <v>4029</v>
      </c>
      <c r="I2239" s="35" t="s">
        <v>7858</v>
      </c>
      <c r="J2239" s="36" t="s">
        <v>929</v>
      </c>
      <c r="K2239" s="33" t="s">
        <v>916</v>
      </c>
      <c r="L2239" s="35" t="s">
        <v>916</v>
      </c>
      <c r="M2239" s="36" t="s">
        <v>916</v>
      </c>
      <c r="N2239" s="45">
        <v>46022</v>
      </c>
      <c r="O2239" s="36" t="s">
        <v>25</v>
      </c>
      <c r="P2239" s="38">
        <v>124.2758796296</v>
      </c>
      <c r="Q2239" s="39" t="s">
        <v>919</v>
      </c>
      <c r="R2239" s="35" t="s">
        <v>916</v>
      </c>
      <c r="S2239" s="35"/>
      <c r="T2239" s="35" t="s">
        <v>1701</v>
      </c>
      <c r="U2239" s="40">
        <v>45898</v>
      </c>
      <c r="V2239" s="41">
        <v>46153.533078703702</v>
      </c>
      <c r="W2239" s="40">
        <v>45897</v>
      </c>
      <c r="X2239" s="35" t="s">
        <v>916</v>
      </c>
      <c r="Y2239" s="35" t="s">
        <v>916</v>
      </c>
      <c r="Z2239" s="35" t="s">
        <v>916</v>
      </c>
      <c r="AA2239" s="38">
        <v>2982.6211111103999</v>
      </c>
      <c r="AB2239" s="42" t="s">
        <v>916</v>
      </c>
      <c r="AC2239" s="43" t="s">
        <v>916</v>
      </c>
      <c r="AD2239" s="43" t="s">
        <v>916</v>
      </c>
      <c r="AE2239" s="33" t="s">
        <v>3982</v>
      </c>
      <c r="AF2239" s="35" t="s">
        <v>916</v>
      </c>
      <c r="AG2239" s="44">
        <v>487889.37916666671</v>
      </c>
      <c r="AH2239" s="42" t="s">
        <v>916</v>
      </c>
      <c r="AI2239" s="32" t="e">
        <f>VLOOKUP(A2239,'4月明細'!B:B,1,0)</f>
        <v>#N/A</v>
      </c>
    </row>
    <row r="2240" spans="1:35" ht="19.95" customHeight="1" x14ac:dyDescent="0.3">
      <c r="A2240" s="33" t="s">
        <v>7859</v>
      </c>
      <c r="B2240" s="34">
        <v>45897.721180555556</v>
      </c>
      <c r="C2240" s="34" t="str">
        <f t="shared" si="47"/>
        <v>202508</v>
      </c>
      <c r="D2240" s="35" t="s">
        <v>5380</v>
      </c>
      <c r="E2240" s="36" t="s">
        <v>910</v>
      </c>
      <c r="F2240" s="36" t="s">
        <v>1531</v>
      </c>
      <c r="G2240" s="37" t="s">
        <v>7860</v>
      </c>
      <c r="H2240" s="36" t="s">
        <v>4185</v>
      </c>
      <c r="I2240" s="35" t="s">
        <v>7861</v>
      </c>
      <c r="J2240" s="36" t="s">
        <v>929</v>
      </c>
      <c r="K2240" s="33" t="s">
        <v>916</v>
      </c>
      <c r="L2240" s="35" t="s">
        <v>916</v>
      </c>
      <c r="M2240" s="36" t="s">
        <v>916</v>
      </c>
      <c r="N2240" s="45">
        <v>46022</v>
      </c>
      <c r="O2240" s="36" t="s">
        <v>25</v>
      </c>
      <c r="P2240" s="38">
        <v>124.2788194444</v>
      </c>
      <c r="Q2240" s="39" t="s">
        <v>7862</v>
      </c>
      <c r="R2240" s="35" t="s">
        <v>916</v>
      </c>
      <c r="S2240" s="35" t="s">
        <v>7863</v>
      </c>
      <c r="T2240" s="35" t="s">
        <v>1624</v>
      </c>
      <c r="U2240" s="40">
        <v>45898</v>
      </c>
      <c r="V2240" s="41">
        <v>46153.533078703702</v>
      </c>
      <c r="W2240" s="40">
        <v>45897</v>
      </c>
      <c r="X2240" s="35" t="s">
        <v>916</v>
      </c>
      <c r="Y2240" s="35" t="s">
        <v>916</v>
      </c>
      <c r="Z2240" s="35" t="s">
        <v>916</v>
      </c>
      <c r="AA2240" s="38">
        <v>2982.6916666656002</v>
      </c>
      <c r="AB2240" s="42" t="s">
        <v>916</v>
      </c>
      <c r="AC2240" s="43" t="s">
        <v>916</v>
      </c>
      <c r="AD2240" s="43" t="s">
        <v>916</v>
      </c>
      <c r="AE2240" s="33" t="s">
        <v>3982</v>
      </c>
      <c r="AF2240" s="35" t="s">
        <v>916</v>
      </c>
      <c r="AG2240" s="44">
        <v>487889.30833333329</v>
      </c>
      <c r="AH2240" s="42" t="s">
        <v>916</v>
      </c>
      <c r="AI2240" s="32" t="e">
        <f>VLOOKUP(A2240,'4月明細'!B:B,1,0)</f>
        <v>#N/A</v>
      </c>
    </row>
    <row r="2241" spans="1:35" ht="19.95" customHeight="1" x14ac:dyDescent="0.3">
      <c r="A2241" s="33" t="s">
        <v>7864</v>
      </c>
      <c r="B2241" s="34">
        <v>45897.711921296293</v>
      </c>
      <c r="C2241" s="34" t="str">
        <f t="shared" si="47"/>
        <v>202508</v>
      </c>
      <c r="D2241" s="35" t="s">
        <v>996</v>
      </c>
      <c r="E2241" s="36" t="s">
        <v>1112</v>
      </c>
      <c r="F2241" s="36" t="s">
        <v>1285</v>
      </c>
      <c r="G2241" s="37" t="s">
        <v>7829</v>
      </c>
      <c r="H2241" s="36" t="s">
        <v>1114</v>
      </c>
      <c r="I2241" s="35"/>
      <c r="J2241" s="36" t="s">
        <v>929</v>
      </c>
      <c r="K2241" s="33" t="s">
        <v>916</v>
      </c>
      <c r="L2241" s="35" t="s">
        <v>916</v>
      </c>
      <c r="M2241" s="36" t="s">
        <v>916</v>
      </c>
      <c r="N2241" s="45">
        <v>46022</v>
      </c>
      <c r="O2241" s="36" t="s">
        <v>25</v>
      </c>
      <c r="P2241" s="38">
        <v>124.28807870369999</v>
      </c>
      <c r="Q2241" s="39" t="s">
        <v>7822</v>
      </c>
      <c r="R2241" s="35" t="s">
        <v>916</v>
      </c>
      <c r="S2241" s="35"/>
      <c r="T2241" s="35" t="s">
        <v>1701</v>
      </c>
      <c r="U2241" s="40">
        <v>45898</v>
      </c>
      <c r="V2241" s="41">
        <v>46153.533078703702</v>
      </c>
      <c r="W2241" s="40">
        <v>45897</v>
      </c>
      <c r="X2241" s="35" t="s">
        <v>916</v>
      </c>
      <c r="Y2241" s="35" t="s">
        <v>916</v>
      </c>
      <c r="Z2241" s="35" t="s">
        <v>916</v>
      </c>
      <c r="AA2241" s="38">
        <v>2982.9138888888001</v>
      </c>
      <c r="AB2241" s="42" t="s">
        <v>916</v>
      </c>
      <c r="AC2241" s="43" t="s">
        <v>916</v>
      </c>
      <c r="AD2241" s="43" t="s">
        <v>916</v>
      </c>
      <c r="AE2241" s="33" t="s">
        <v>3982</v>
      </c>
      <c r="AF2241" s="35" t="s">
        <v>916</v>
      </c>
      <c r="AG2241" s="44">
        <v>487889.0861111111</v>
      </c>
      <c r="AH2241" s="42" t="s">
        <v>916</v>
      </c>
      <c r="AI2241" s="32" t="e">
        <f>VLOOKUP(A2241,'4月明細'!B:B,1,0)</f>
        <v>#N/A</v>
      </c>
    </row>
    <row r="2242" spans="1:35" ht="19.95" customHeight="1" x14ac:dyDescent="0.3">
      <c r="A2242" s="33" t="s">
        <v>7865</v>
      </c>
      <c r="B2242" s="34">
        <v>45897.708599537036</v>
      </c>
      <c r="C2242" s="34" t="str">
        <f t="shared" si="47"/>
        <v>202508</v>
      </c>
      <c r="D2242" s="35" t="s">
        <v>5380</v>
      </c>
      <c r="E2242" s="36" t="s">
        <v>910</v>
      </c>
      <c r="F2242" s="36" t="s">
        <v>1397</v>
      </c>
      <c r="G2242" s="37" t="s">
        <v>7845</v>
      </c>
      <c r="H2242" s="36" t="s">
        <v>1114</v>
      </c>
      <c r="I2242" s="35" t="s">
        <v>7866</v>
      </c>
      <c r="J2242" s="36" t="s">
        <v>929</v>
      </c>
      <c r="K2242" s="33" t="s">
        <v>916</v>
      </c>
      <c r="L2242" s="35" t="s">
        <v>916</v>
      </c>
      <c r="M2242" s="36" t="s">
        <v>916</v>
      </c>
      <c r="N2242" s="45">
        <v>46022</v>
      </c>
      <c r="O2242" s="36" t="s">
        <v>25</v>
      </c>
      <c r="P2242" s="38">
        <v>124.291400463</v>
      </c>
      <c r="Q2242" s="39" t="s">
        <v>919</v>
      </c>
      <c r="R2242" s="35" t="s">
        <v>916</v>
      </c>
      <c r="S2242" s="35"/>
      <c r="T2242" s="35" t="s">
        <v>1701</v>
      </c>
      <c r="U2242" s="40">
        <v>45898</v>
      </c>
      <c r="V2242" s="41">
        <v>46153.533078703702</v>
      </c>
      <c r="W2242" s="40">
        <v>45897</v>
      </c>
      <c r="X2242" s="35" t="s">
        <v>916</v>
      </c>
      <c r="Y2242" s="35" t="s">
        <v>916</v>
      </c>
      <c r="Z2242" s="35" t="s">
        <v>916</v>
      </c>
      <c r="AA2242" s="38">
        <v>2982.9936111120001</v>
      </c>
      <c r="AB2242" s="42" t="s">
        <v>916</v>
      </c>
      <c r="AC2242" s="43" t="s">
        <v>916</v>
      </c>
      <c r="AD2242" s="43" t="s">
        <v>916</v>
      </c>
      <c r="AE2242" s="33" t="s">
        <v>3982</v>
      </c>
      <c r="AF2242" s="35" t="s">
        <v>916</v>
      </c>
      <c r="AG2242" s="44">
        <v>487889.00638888893</v>
      </c>
      <c r="AH2242" s="42" t="s">
        <v>916</v>
      </c>
      <c r="AI2242" s="32" t="e">
        <f>VLOOKUP(A2242,'4月明細'!B:B,1,0)</f>
        <v>#N/A</v>
      </c>
    </row>
    <row r="2243" spans="1:35" ht="19.95" customHeight="1" x14ac:dyDescent="0.3">
      <c r="A2243" s="33" t="s">
        <v>7867</v>
      </c>
      <c r="B2243" s="34">
        <v>45897.700277777774</v>
      </c>
      <c r="C2243" s="34" t="str">
        <f t="shared" ref="C2243:C2306" si="48">TEXT(B2243,"YYYYMM")</f>
        <v>202508</v>
      </c>
      <c r="D2243" s="35" t="s">
        <v>6281</v>
      </c>
      <c r="E2243" s="36" t="s">
        <v>910</v>
      </c>
      <c r="F2243" s="36" t="s">
        <v>1392</v>
      </c>
      <c r="G2243" s="37" t="s">
        <v>7868</v>
      </c>
      <c r="H2243" s="36" t="s">
        <v>4065</v>
      </c>
      <c r="I2243" s="35" t="s">
        <v>7869</v>
      </c>
      <c r="J2243" s="36" t="s">
        <v>929</v>
      </c>
      <c r="K2243" s="33" t="s">
        <v>916</v>
      </c>
      <c r="L2243" s="35" t="s">
        <v>916</v>
      </c>
      <c r="M2243" s="36" t="s">
        <v>916</v>
      </c>
      <c r="N2243" s="45">
        <v>46022</v>
      </c>
      <c r="O2243" s="36" t="s">
        <v>25</v>
      </c>
      <c r="P2243" s="38">
        <v>124.2997222222</v>
      </c>
      <c r="Q2243" s="39" t="s">
        <v>7870</v>
      </c>
      <c r="R2243" s="35" t="s">
        <v>916</v>
      </c>
      <c r="S2243" s="35"/>
      <c r="T2243" s="35" t="s">
        <v>1701</v>
      </c>
      <c r="U2243" s="40">
        <v>45898</v>
      </c>
      <c r="V2243" s="41">
        <v>46153.533078703702</v>
      </c>
      <c r="W2243" s="40">
        <v>45897</v>
      </c>
      <c r="X2243" s="35" t="s">
        <v>916</v>
      </c>
      <c r="Y2243" s="35" t="s">
        <v>916</v>
      </c>
      <c r="Z2243" s="35" t="s">
        <v>916</v>
      </c>
      <c r="AA2243" s="38">
        <v>2983.1933333328002</v>
      </c>
      <c r="AB2243" s="42" t="s">
        <v>916</v>
      </c>
      <c r="AC2243" s="43" t="s">
        <v>916</v>
      </c>
      <c r="AD2243" s="43" t="s">
        <v>916</v>
      </c>
      <c r="AE2243" s="33" t="s">
        <v>3982</v>
      </c>
      <c r="AF2243" s="35" t="s">
        <v>916</v>
      </c>
      <c r="AG2243" s="44">
        <v>487888.80666666658</v>
      </c>
      <c r="AH2243" s="42" t="s">
        <v>916</v>
      </c>
      <c r="AI2243" s="32" t="e">
        <f>VLOOKUP(A2243,'4月明細'!B:B,1,0)</f>
        <v>#N/A</v>
      </c>
    </row>
    <row r="2244" spans="1:35" ht="19.95" customHeight="1" x14ac:dyDescent="0.3">
      <c r="A2244" s="33" t="s">
        <v>7871</v>
      </c>
      <c r="B2244" s="34">
        <v>45897.64638888889</v>
      </c>
      <c r="C2244" s="34" t="str">
        <f t="shared" si="48"/>
        <v>202508</v>
      </c>
      <c r="D2244" s="35" t="s">
        <v>996</v>
      </c>
      <c r="E2244" s="36" t="s">
        <v>910</v>
      </c>
      <c r="F2244" s="36" t="s">
        <v>1469</v>
      </c>
      <c r="G2244" s="37" t="s">
        <v>7872</v>
      </c>
      <c r="H2244" s="36" t="s">
        <v>4162</v>
      </c>
      <c r="I2244" s="35"/>
      <c r="J2244" s="36" t="s">
        <v>929</v>
      </c>
      <c r="K2244" s="33" t="s">
        <v>916</v>
      </c>
      <c r="L2244" s="35" t="s">
        <v>916</v>
      </c>
      <c r="M2244" s="36" t="s">
        <v>916</v>
      </c>
      <c r="N2244" s="45">
        <v>46022</v>
      </c>
      <c r="O2244" s="36" t="s">
        <v>25</v>
      </c>
      <c r="P2244" s="38">
        <v>124.35361111109999</v>
      </c>
      <c r="Q2244" s="39" t="s">
        <v>1328</v>
      </c>
      <c r="R2244" s="35" t="s">
        <v>916</v>
      </c>
      <c r="S2244" s="35" t="s">
        <v>7873</v>
      </c>
      <c r="T2244" s="35" t="s">
        <v>1701</v>
      </c>
      <c r="U2244" s="40">
        <v>45898</v>
      </c>
      <c r="V2244" s="41">
        <v>46153.533078703702</v>
      </c>
      <c r="W2244" s="40">
        <v>45897</v>
      </c>
      <c r="X2244" s="35" t="s">
        <v>916</v>
      </c>
      <c r="Y2244" s="35" t="s">
        <v>916</v>
      </c>
      <c r="Z2244" s="35" t="s">
        <v>916</v>
      </c>
      <c r="AA2244" s="38">
        <v>2984.4866666664002</v>
      </c>
      <c r="AB2244" s="42" t="s">
        <v>916</v>
      </c>
      <c r="AC2244" s="43" t="s">
        <v>916</v>
      </c>
      <c r="AD2244" s="43" t="s">
        <v>916</v>
      </c>
      <c r="AE2244" s="33" t="s">
        <v>3982</v>
      </c>
      <c r="AF2244" s="35" t="s">
        <v>916</v>
      </c>
      <c r="AG2244" s="44">
        <v>487887.51333333342</v>
      </c>
      <c r="AH2244" s="42" t="s">
        <v>916</v>
      </c>
      <c r="AI2244" s="32" t="e">
        <f>VLOOKUP(A2244,'4月明細'!B:B,1,0)</f>
        <v>#N/A</v>
      </c>
    </row>
    <row r="2245" spans="1:35" ht="19.95" customHeight="1" x14ac:dyDescent="0.3">
      <c r="A2245" s="33" t="s">
        <v>7874</v>
      </c>
      <c r="B2245" s="34">
        <v>45897.634548611109</v>
      </c>
      <c r="C2245" s="34" t="str">
        <f t="shared" si="48"/>
        <v>202508</v>
      </c>
      <c r="D2245" s="35" t="s">
        <v>5380</v>
      </c>
      <c r="E2245" s="36" t="s">
        <v>910</v>
      </c>
      <c r="F2245" s="36" t="s">
        <v>1060</v>
      </c>
      <c r="G2245" s="37" t="s">
        <v>7875</v>
      </c>
      <c r="H2245" s="36" t="s">
        <v>1114</v>
      </c>
      <c r="I2245" s="35" t="s">
        <v>7876</v>
      </c>
      <c r="J2245" s="36" t="s">
        <v>929</v>
      </c>
      <c r="K2245" s="33" t="s">
        <v>916</v>
      </c>
      <c r="L2245" s="35" t="s">
        <v>916</v>
      </c>
      <c r="M2245" s="36" t="s">
        <v>916</v>
      </c>
      <c r="N2245" s="45">
        <v>46022</v>
      </c>
      <c r="O2245" s="36" t="s">
        <v>25</v>
      </c>
      <c r="P2245" s="38">
        <v>124.3654513889</v>
      </c>
      <c r="Q2245" s="39" t="s">
        <v>7822</v>
      </c>
      <c r="R2245" s="35" t="s">
        <v>916</v>
      </c>
      <c r="S2245" s="35"/>
      <c r="T2245" s="35" t="s">
        <v>1701</v>
      </c>
      <c r="U2245" s="40">
        <v>45898</v>
      </c>
      <c r="V2245" s="41">
        <v>46153.533078703702</v>
      </c>
      <c r="W2245" s="40">
        <v>45897</v>
      </c>
      <c r="X2245" s="35" t="s">
        <v>916</v>
      </c>
      <c r="Y2245" s="35" t="s">
        <v>916</v>
      </c>
      <c r="Z2245" s="35" t="s">
        <v>916</v>
      </c>
      <c r="AA2245" s="38">
        <v>2984.7708333336</v>
      </c>
      <c r="AB2245" s="42" t="s">
        <v>916</v>
      </c>
      <c r="AC2245" s="43" t="s">
        <v>916</v>
      </c>
      <c r="AD2245" s="43" t="s">
        <v>916</v>
      </c>
      <c r="AE2245" s="33" t="s">
        <v>3982</v>
      </c>
      <c r="AF2245" s="35" t="s">
        <v>916</v>
      </c>
      <c r="AG2245" s="44">
        <v>487887.22916666669</v>
      </c>
      <c r="AH2245" s="42" t="s">
        <v>916</v>
      </c>
      <c r="AI2245" s="32" t="e">
        <f>VLOOKUP(A2245,'4月明細'!B:B,1,0)</f>
        <v>#N/A</v>
      </c>
    </row>
    <row r="2246" spans="1:35" ht="19.95" customHeight="1" x14ac:dyDescent="0.3">
      <c r="A2246" s="33" t="s">
        <v>7877</v>
      </c>
      <c r="B2246" s="34">
        <v>45897.607766203706</v>
      </c>
      <c r="C2246" s="34" t="str">
        <f t="shared" si="48"/>
        <v>202508</v>
      </c>
      <c r="D2246" s="35" t="s">
        <v>5380</v>
      </c>
      <c r="E2246" s="36" t="s">
        <v>910</v>
      </c>
      <c r="F2246" s="36" t="s">
        <v>1000</v>
      </c>
      <c r="G2246" s="37" t="s">
        <v>7878</v>
      </c>
      <c r="H2246" s="36" t="s">
        <v>4481</v>
      </c>
      <c r="I2246" s="35" t="s">
        <v>7879</v>
      </c>
      <c r="J2246" s="36" t="s">
        <v>929</v>
      </c>
      <c r="K2246" s="33" t="s">
        <v>916</v>
      </c>
      <c r="L2246" s="35" t="s">
        <v>916</v>
      </c>
      <c r="M2246" s="36" t="s">
        <v>916</v>
      </c>
      <c r="N2246" s="45">
        <v>46022</v>
      </c>
      <c r="O2246" s="36" t="s">
        <v>25</v>
      </c>
      <c r="P2246" s="38">
        <v>124.3922337963</v>
      </c>
      <c r="Q2246" s="39" t="s">
        <v>1328</v>
      </c>
      <c r="R2246" s="35" t="s">
        <v>916</v>
      </c>
      <c r="S2246" s="35" t="s">
        <v>7880</v>
      </c>
      <c r="T2246" s="35" t="s">
        <v>1701</v>
      </c>
      <c r="U2246" s="40">
        <v>45898</v>
      </c>
      <c r="V2246" s="41">
        <v>46153.533078703702</v>
      </c>
      <c r="W2246" s="40">
        <v>45897</v>
      </c>
      <c r="X2246" s="35" t="s">
        <v>916</v>
      </c>
      <c r="Y2246" s="35" t="s">
        <v>916</v>
      </c>
      <c r="Z2246" s="35" t="s">
        <v>916</v>
      </c>
      <c r="AA2246" s="38">
        <v>2985.4136111112002</v>
      </c>
      <c r="AB2246" s="42" t="s">
        <v>916</v>
      </c>
      <c r="AC2246" s="43" t="s">
        <v>916</v>
      </c>
      <c r="AD2246" s="43" t="s">
        <v>916</v>
      </c>
      <c r="AE2246" s="33" t="s">
        <v>3982</v>
      </c>
      <c r="AF2246" s="35" t="s">
        <v>916</v>
      </c>
      <c r="AG2246" s="44">
        <v>487886.58638888889</v>
      </c>
      <c r="AH2246" s="42" t="s">
        <v>916</v>
      </c>
      <c r="AI2246" s="32" t="e">
        <f>VLOOKUP(A2246,'4月明細'!B:B,1,0)</f>
        <v>#N/A</v>
      </c>
    </row>
    <row r="2247" spans="1:35" ht="19.95" customHeight="1" x14ac:dyDescent="0.3">
      <c r="A2247" s="33" t="s">
        <v>7881</v>
      </c>
      <c r="B2247" s="34">
        <v>45897.598310185182</v>
      </c>
      <c r="C2247" s="34" t="str">
        <f t="shared" si="48"/>
        <v>202508</v>
      </c>
      <c r="D2247" s="35" t="s">
        <v>5380</v>
      </c>
      <c r="E2247" s="36" t="s">
        <v>910</v>
      </c>
      <c r="F2247" s="36" t="s">
        <v>1350</v>
      </c>
      <c r="G2247" s="37" t="s">
        <v>7882</v>
      </c>
      <c r="H2247" s="36" t="s">
        <v>4162</v>
      </c>
      <c r="I2247" s="35" t="s">
        <v>7883</v>
      </c>
      <c r="J2247" s="36" t="s">
        <v>929</v>
      </c>
      <c r="K2247" s="33" t="s">
        <v>916</v>
      </c>
      <c r="L2247" s="35" t="s">
        <v>916</v>
      </c>
      <c r="M2247" s="36" t="s">
        <v>916</v>
      </c>
      <c r="N2247" s="45">
        <v>46022</v>
      </c>
      <c r="O2247" s="36" t="s">
        <v>25</v>
      </c>
      <c r="P2247" s="38">
        <v>124.40168981479999</v>
      </c>
      <c r="Q2247" s="39" t="s">
        <v>1328</v>
      </c>
      <c r="R2247" s="35" t="s">
        <v>916</v>
      </c>
      <c r="S2247" s="35" t="s">
        <v>7884</v>
      </c>
      <c r="T2247" s="35" t="s">
        <v>1701</v>
      </c>
      <c r="U2247" s="40">
        <v>45898</v>
      </c>
      <c r="V2247" s="41">
        <v>46153.533078703702</v>
      </c>
      <c r="W2247" s="40">
        <v>45897</v>
      </c>
      <c r="X2247" s="35" t="s">
        <v>916</v>
      </c>
      <c r="Y2247" s="35" t="s">
        <v>916</v>
      </c>
      <c r="Z2247" s="35" t="s">
        <v>916</v>
      </c>
      <c r="AA2247" s="38">
        <v>2985.6405555552001</v>
      </c>
      <c r="AB2247" s="42" t="s">
        <v>916</v>
      </c>
      <c r="AC2247" s="43" t="s">
        <v>916</v>
      </c>
      <c r="AD2247" s="43" t="s">
        <v>916</v>
      </c>
      <c r="AE2247" s="33" t="s">
        <v>3982</v>
      </c>
      <c r="AF2247" s="35" t="s">
        <v>916</v>
      </c>
      <c r="AG2247" s="44">
        <v>487886.35944444442</v>
      </c>
      <c r="AH2247" s="42" t="s">
        <v>916</v>
      </c>
      <c r="AI2247" s="32" t="e">
        <f>VLOOKUP(A2247,'4月明細'!B:B,1,0)</f>
        <v>#N/A</v>
      </c>
    </row>
    <row r="2248" spans="1:35" ht="19.95" customHeight="1" x14ac:dyDescent="0.3">
      <c r="A2248" s="33" t="s">
        <v>7885</v>
      </c>
      <c r="B2248" s="34">
        <v>45897.589432870373</v>
      </c>
      <c r="C2248" s="34" t="str">
        <f t="shared" si="48"/>
        <v>202508</v>
      </c>
      <c r="D2248" s="35" t="s">
        <v>6281</v>
      </c>
      <c r="E2248" s="36" t="s">
        <v>910</v>
      </c>
      <c r="F2248" s="36" t="s">
        <v>961</v>
      </c>
      <c r="G2248" s="37" t="s">
        <v>7886</v>
      </c>
      <c r="H2248" s="36" t="s">
        <v>4060</v>
      </c>
      <c r="I2248" s="35"/>
      <c r="J2248" s="36" t="s">
        <v>914</v>
      </c>
      <c r="K2248" s="33" t="s">
        <v>916</v>
      </c>
      <c r="L2248" s="35" t="s">
        <v>916</v>
      </c>
      <c r="M2248" s="36" t="s">
        <v>916</v>
      </c>
      <c r="N2248" s="45">
        <v>46022</v>
      </c>
      <c r="O2248" s="36" t="s">
        <v>25</v>
      </c>
      <c r="P2248" s="38">
        <v>124.4105671296</v>
      </c>
      <c r="Q2248" s="39" t="s">
        <v>1328</v>
      </c>
      <c r="R2248" s="35" t="s">
        <v>916</v>
      </c>
      <c r="S2248" s="35" t="s">
        <v>7887</v>
      </c>
      <c r="T2248" s="35" t="s">
        <v>1701</v>
      </c>
      <c r="U2248" s="40">
        <v>45898</v>
      </c>
      <c r="V2248" s="41">
        <v>46153.533078703702</v>
      </c>
      <c r="W2248" s="40">
        <v>45897</v>
      </c>
      <c r="X2248" s="35" t="s">
        <v>916</v>
      </c>
      <c r="Y2248" s="35" t="s">
        <v>916</v>
      </c>
      <c r="Z2248" s="35" t="s">
        <v>916</v>
      </c>
      <c r="AA2248" s="38">
        <v>2985.8536111103999</v>
      </c>
      <c r="AB2248" s="42" t="s">
        <v>916</v>
      </c>
      <c r="AC2248" s="43" t="s">
        <v>916</v>
      </c>
      <c r="AD2248" s="43" t="s">
        <v>916</v>
      </c>
      <c r="AE2248" s="33" t="s">
        <v>3982</v>
      </c>
      <c r="AF2248" s="35" t="s">
        <v>916</v>
      </c>
      <c r="AG2248" s="44">
        <v>487886.14638888888</v>
      </c>
      <c r="AH2248" s="42" t="s">
        <v>916</v>
      </c>
      <c r="AI2248" s="32" t="e">
        <f>VLOOKUP(A2248,'4月明細'!B:B,1,0)</f>
        <v>#N/A</v>
      </c>
    </row>
    <row r="2249" spans="1:35" ht="19.95" customHeight="1" x14ac:dyDescent="0.3">
      <c r="A2249" s="33" t="s">
        <v>7888</v>
      </c>
      <c r="B2249" s="34">
        <v>45897.567025462966</v>
      </c>
      <c r="C2249" s="34" t="str">
        <f t="shared" si="48"/>
        <v>202508</v>
      </c>
      <c r="D2249" s="35" t="s">
        <v>996</v>
      </c>
      <c r="E2249" s="36" t="s">
        <v>910</v>
      </c>
      <c r="F2249" s="36" t="s">
        <v>1572</v>
      </c>
      <c r="G2249" s="37" t="s">
        <v>7889</v>
      </c>
      <c r="H2249" s="36" t="s">
        <v>4267</v>
      </c>
      <c r="I2249" s="35"/>
      <c r="J2249" s="36" t="s">
        <v>929</v>
      </c>
      <c r="K2249" s="33" t="s">
        <v>916</v>
      </c>
      <c r="L2249" s="35" t="s">
        <v>916</v>
      </c>
      <c r="M2249" s="36" t="s">
        <v>916</v>
      </c>
      <c r="N2249" s="45">
        <v>46022</v>
      </c>
      <c r="O2249" s="36" t="s">
        <v>25</v>
      </c>
      <c r="P2249" s="38">
        <v>124.43297453700001</v>
      </c>
      <c r="Q2249" s="39" t="s">
        <v>7822</v>
      </c>
      <c r="R2249" s="35" t="s">
        <v>916</v>
      </c>
      <c r="S2249" s="35"/>
      <c r="T2249" s="35" t="s">
        <v>1701</v>
      </c>
      <c r="U2249" s="40">
        <v>45898</v>
      </c>
      <c r="V2249" s="41">
        <v>46153.533078703702</v>
      </c>
      <c r="W2249" s="40">
        <v>45897</v>
      </c>
      <c r="X2249" s="35" t="s">
        <v>916</v>
      </c>
      <c r="Y2249" s="35" t="s">
        <v>916</v>
      </c>
      <c r="Z2249" s="35" t="s">
        <v>916</v>
      </c>
      <c r="AA2249" s="38">
        <v>2986.3913888880002</v>
      </c>
      <c r="AB2249" s="42" t="s">
        <v>916</v>
      </c>
      <c r="AC2249" s="43" t="s">
        <v>916</v>
      </c>
      <c r="AD2249" s="43" t="s">
        <v>916</v>
      </c>
      <c r="AE2249" s="33" t="s">
        <v>3982</v>
      </c>
      <c r="AF2249" s="35" t="s">
        <v>916</v>
      </c>
      <c r="AG2249" s="44">
        <v>487885.60861111112</v>
      </c>
      <c r="AH2249" s="42" t="s">
        <v>916</v>
      </c>
      <c r="AI2249" s="32" t="e">
        <f>VLOOKUP(A2249,'4月明細'!B:B,1,0)</f>
        <v>#N/A</v>
      </c>
    </row>
    <row r="2250" spans="1:35" ht="19.95" customHeight="1" x14ac:dyDescent="0.3">
      <c r="A2250" s="33" t="s">
        <v>7890</v>
      </c>
      <c r="B2250" s="34">
        <v>45897.539606481485</v>
      </c>
      <c r="C2250" s="34" t="str">
        <f t="shared" si="48"/>
        <v>202508</v>
      </c>
      <c r="D2250" s="35" t="s">
        <v>5380</v>
      </c>
      <c r="E2250" s="36" t="s">
        <v>910</v>
      </c>
      <c r="F2250" s="36" t="s">
        <v>1304</v>
      </c>
      <c r="G2250" s="37" t="s">
        <v>7878</v>
      </c>
      <c r="H2250" s="36" t="s">
        <v>4481</v>
      </c>
      <c r="I2250" s="35" t="s">
        <v>7891</v>
      </c>
      <c r="J2250" s="36" t="s">
        <v>929</v>
      </c>
      <c r="K2250" s="33" t="s">
        <v>916</v>
      </c>
      <c r="L2250" s="35" t="s">
        <v>916</v>
      </c>
      <c r="M2250" s="36" t="s">
        <v>916</v>
      </c>
      <c r="N2250" s="45">
        <v>46022</v>
      </c>
      <c r="O2250" s="36" t="s">
        <v>25</v>
      </c>
      <c r="P2250" s="38">
        <v>124.4603935185</v>
      </c>
      <c r="Q2250" s="39" t="s">
        <v>1328</v>
      </c>
      <c r="R2250" s="35" t="s">
        <v>916</v>
      </c>
      <c r="S2250" s="35" t="s">
        <v>7892</v>
      </c>
      <c r="T2250" s="35" t="s">
        <v>1701</v>
      </c>
      <c r="U2250" s="40">
        <v>45898</v>
      </c>
      <c r="V2250" s="41">
        <v>46153.533078703702</v>
      </c>
      <c r="W2250" s="40">
        <v>45897</v>
      </c>
      <c r="X2250" s="35" t="s">
        <v>916</v>
      </c>
      <c r="Y2250" s="35" t="s">
        <v>916</v>
      </c>
      <c r="Z2250" s="35" t="s">
        <v>916</v>
      </c>
      <c r="AA2250" s="38">
        <v>2987.0494444440001</v>
      </c>
      <c r="AB2250" s="42" t="s">
        <v>916</v>
      </c>
      <c r="AC2250" s="43" t="s">
        <v>916</v>
      </c>
      <c r="AD2250" s="43" t="s">
        <v>916</v>
      </c>
      <c r="AE2250" s="33" t="s">
        <v>3982</v>
      </c>
      <c r="AF2250" s="35" t="s">
        <v>916</v>
      </c>
      <c r="AG2250" s="44">
        <v>487884.95055555552</v>
      </c>
      <c r="AH2250" s="42" t="s">
        <v>916</v>
      </c>
      <c r="AI2250" s="32" t="e">
        <f>VLOOKUP(A2250,'4月明細'!B:B,1,0)</f>
        <v>#N/A</v>
      </c>
    </row>
    <row r="2251" spans="1:35" ht="19.95" customHeight="1" x14ac:dyDescent="0.3">
      <c r="A2251" s="33" t="s">
        <v>7893</v>
      </c>
      <c r="B2251" s="34">
        <v>45897.484918981485</v>
      </c>
      <c r="C2251" s="34" t="str">
        <f t="shared" si="48"/>
        <v>202508</v>
      </c>
      <c r="D2251" s="35" t="s">
        <v>996</v>
      </c>
      <c r="E2251" s="36" t="s">
        <v>910</v>
      </c>
      <c r="F2251" s="36" t="s">
        <v>1947</v>
      </c>
      <c r="G2251" s="37" t="s">
        <v>7894</v>
      </c>
      <c r="H2251" s="36" t="s">
        <v>1114</v>
      </c>
      <c r="I2251" s="35" t="s">
        <v>7895</v>
      </c>
      <c r="J2251" s="36" t="s">
        <v>1058</v>
      </c>
      <c r="K2251" s="33" t="s">
        <v>916</v>
      </c>
      <c r="L2251" s="35" t="s">
        <v>916</v>
      </c>
      <c r="M2251" s="36" t="s">
        <v>916</v>
      </c>
      <c r="N2251" s="45">
        <v>46022</v>
      </c>
      <c r="O2251" s="36" t="s">
        <v>25</v>
      </c>
      <c r="P2251" s="38">
        <v>124.5150810185</v>
      </c>
      <c r="Q2251" s="39" t="s">
        <v>7896</v>
      </c>
      <c r="R2251" s="35" t="s">
        <v>916</v>
      </c>
      <c r="S2251" s="35"/>
      <c r="T2251" s="35" t="s">
        <v>1701</v>
      </c>
      <c r="U2251" s="40">
        <v>45898</v>
      </c>
      <c r="V2251" s="41">
        <v>46153.533078703702</v>
      </c>
      <c r="W2251" s="40">
        <v>45897</v>
      </c>
      <c r="X2251" s="35" t="s">
        <v>916</v>
      </c>
      <c r="Y2251" s="35" t="s">
        <v>916</v>
      </c>
      <c r="Z2251" s="35" t="s">
        <v>916</v>
      </c>
      <c r="AA2251" s="38">
        <v>2988.3619444440001</v>
      </c>
      <c r="AB2251" s="42" t="s">
        <v>916</v>
      </c>
      <c r="AC2251" s="43" t="s">
        <v>916</v>
      </c>
      <c r="AD2251" s="43" t="s">
        <v>916</v>
      </c>
      <c r="AE2251" s="33" t="s">
        <v>3982</v>
      </c>
      <c r="AF2251" s="35" t="s">
        <v>916</v>
      </c>
      <c r="AG2251" s="44">
        <v>487883.63805555552</v>
      </c>
      <c r="AH2251" s="42" t="s">
        <v>916</v>
      </c>
      <c r="AI2251" s="32" t="e">
        <f>VLOOKUP(A2251,'4月明細'!B:B,1,0)</f>
        <v>#N/A</v>
      </c>
    </row>
    <row r="2252" spans="1:35" ht="19.95" customHeight="1" x14ac:dyDescent="0.3">
      <c r="A2252" s="33" t="s">
        <v>7897</v>
      </c>
      <c r="B2252" s="34">
        <v>45897.484212962961</v>
      </c>
      <c r="C2252" s="34" t="str">
        <f t="shared" si="48"/>
        <v>202508</v>
      </c>
      <c r="D2252" s="35" t="s">
        <v>5380</v>
      </c>
      <c r="E2252" s="36" t="s">
        <v>910</v>
      </c>
      <c r="F2252" s="36" t="s">
        <v>1947</v>
      </c>
      <c r="G2252" s="37" t="s">
        <v>7898</v>
      </c>
      <c r="H2252" s="36" t="s">
        <v>970</v>
      </c>
      <c r="I2252" s="35" t="s">
        <v>7899</v>
      </c>
      <c r="J2252" s="36" t="s">
        <v>1058</v>
      </c>
      <c r="K2252" s="33" t="s">
        <v>916</v>
      </c>
      <c r="L2252" s="35" t="s">
        <v>916</v>
      </c>
      <c r="M2252" s="36" t="s">
        <v>916</v>
      </c>
      <c r="N2252" s="45">
        <v>46022</v>
      </c>
      <c r="O2252" s="36" t="s">
        <v>25</v>
      </c>
      <c r="P2252" s="38">
        <v>124.515787037</v>
      </c>
      <c r="Q2252" s="39" t="s">
        <v>7900</v>
      </c>
      <c r="R2252" s="35" t="s">
        <v>916</v>
      </c>
      <c r="S2252" s="35" t="s">
        <v>7901</v>
      </c>
      <c r="T2252" s="35" t="s">
        <v>1624</v>
      </c>
      <c r="U2252" s="40">
        <v>45898</v>
      </c>
      <c r="V2252" s="41">
        <v>46153.533078703702</v>
      </c>
      <c r="W2252" s="40">
        <v>45897</v>
      </c>
      <c r="X2252" s="35" t="s">
        <v>916</v>
      </c>
      <c r="Y2252" s="35" t="s">
        <v>916</v>
      </c>
      <c r="Z2252" s="35" t="s">
        <v>916</v>
      </c>
      <c r="AA2252" s="38">
        <v>2988.3788888879999</v>
      </c>
      <c r="AB2252" s="42" t="s">
        <v>916</v>
      </c>
      <c r="AC2252" s="43" t="s">
        <v>916</v>
      </c>
      <c r="AD2252" s="43" t="s">
        <v>916</v>
      </c>
      <c r="AE2252" s="33" t="s">
        <v>3982</v>
      </c>
      <c r="AF2252" s="35" t="s">
        <v>916</v>
      </c>
      <c r="AG2252" s="44">
        <v>487883.62111111108</v>
      </c>
      <c r="AH2252" s="42" t="s">
        <v>916</v>
      </c>
      <c r="AI2252" s="32" t="e">
        <f>VLOOKUP(A2252,'4月明細'!B:B,1,0)</f>
        <v>#N/A</v>
      </c>
    </row>
    <row r="2253" spans="1:35" ht="19.95" customHeight="1" x14ac:dyDescent="0.3">
      <c r="A2253" s="33" t="s">
        <v>7902</v>
      </c>
      <c r="B2253" s="34">
        <v>45897.459953703707</v>
      </c>
      <c r="C2253" s="34" t="str">
        <f t="shared" si="48"/>
        <v>202508</v>
      </c>
      <c r="D2253" s="35" t="s">
        <v>5380</v>
      </c>
      <c r="E2253" s="36" t="s">
        <v>910</v>
      </c>
      <c r="F2253" s="36" t="s">
        <v>1537</v>
      </c>
      <c r="G2253" s="37" t="s">
        <v>7903</v>
      </c>
      <c r="H2253" s="36" t="s">
        <v>4029</v>
      </c>
      <c r="I2253" s="35" t="s">
        <v>7904</v>
      </c>
      <c r="J2253" s="36" t="s">
        <v>929</v>
      </c>
      <c r="K2253" s="33" t="s">
        <v>916</v>
      </c>
      <c r="L2253" s="35" t="s">
        <v>916</v>
      </c>
      <c r="M2253" s="36" t="s">
        <v>916</v>
      </c>
      <c r="N2253" s="45">
        <v>46022</v>
      </c>
      <c r="O2253" s="36" t="s">
        <v>25</v>
      </c>
      <c r="P2253" s="38">
        <v>124.54004629630001</v>
      </c>
      <c r="Q2253" s="39" t="s">
        <v>7905</v>
      </c>
      <c r="R2253" s="35" t="s">
        <v>916</v>
      </c>
      <c r="S2253" s="35"/>
      <c r="T2253" s="35" t="s">
        <v>1701</v>
      </c>
      <c r="U2253" s="40">
        <v>45898</v>
      </c>
      <c r="V2253" s="41">
        <v>46153.533078703702</v>
      </c>
      <c r="W2253" s="40">
        <v>45897</v>
      </c>
      <c r="X2253" s="35" t="s">
        <v>916</v>
      </c>
      <c r="Y2253" s="35" t="s">
        <v>916</v>
      </c>
      <c r="Z2253" s="35" t="s">
        <v>916</v>
      </c>
      <c r="AA2253" s="38">
        <v>2988.9611111111999</v>
      </c>
      <c r="AB2253" s="42" t="s">
        <v>916</v>
      </c>
      <c r="AC2253" s="43" t="s">
        <v>916</v>
      </c>
      <c r="AD2253" s="43" t="s">
        <v>916</v>
      </c>
      <c r="AE2253" s="33" t="s">
        <v>3982</v>
      </c>
      <c r="AF2253" s="35" t="s">
        <v>916</v>
      </c>
      <c r="AG2253" s="44">
        <v>487883.0388888889</v>
      </c>
      <c r="AH2253" s="42" t="s">
        <v>916</v>
      </c>
      <c r="AI2253" s="32" t="e">
        <f>VLOOKUP(A2253,'4月明細'!B:B,1,0)</f>
        <v>#N/A</v>
      </c>
    </row>
    <row r="2254" spans="1:35" ht="19.95" customHeight="1" x14ac:dyDescent="0.3">
      <c r="A2254" s="33" t="s">
        <v>7906</v>
      </c>
      <c r="B2254" s="34">
        <v>45897.439432870371</v>
      </c>
      <c r="C2254" s="34" t="str">
        <f t="shared" si="48"/>
        <v>202508</v>
      </c>
      <c r="D2254" s="35" t="s">
        <v>6847</v>
      </c>
      <c r="E2254" s="36" t="s">
        <v>910</v>
      </c>
      <c r="F2254" s="36" t="s">
        <v>1381</v>
      </c>
      <c r="G2254" s="37" t="s">
        <v>7907</v>
      </c>
      <c r="H2254" s="36" t="s">
        <v>970</v>
      </c>
      <c r="I2254" s="35"/>
      <c r="J2254" s="36" t="s">
        <v>929</v>
      </c>
      <c r="K2254" s="33" t="s">
        <v>916</v>
      </c>
      <c r="L2254" s="35" t="s">
        <v>916</v>
      </c>
      <c r="M2254" s="36" t="s">
        <v>916</v>
      </c>
      <c r="N2254" s="45">
        <v>46022</v>
      </c>
      <c r="O2254" s="36" t="s">
        <v>25</v>
      </c>
      <c r="P2254" s="38">
        <v>124.5605671296</v>
      </c>
      <c r="Q2254" s="39" t="s">
        <v>7908</v>
      </c>
      <c r="R2254" s="35" t="s">
        <v>916</v>
      </c>
      <c r="S2254" s="35" t="s">
        <v>7909</v>
      </c>
      <c r="T2254" s="35" t="s">
        <v>1701</v>
      </c>
      <c r="U2254" s="40">
        <v>45898</v>
      </c>
      <c r="V2254" s="41">
        <v>46153.533078703702</v>
      </c>
      <c r="W2254" s="40">
        <v>45897</v>
      </c>
      <c r="X2254" s="35" t="s">
        <v>916</v>
      </c>
      <c r="Y2254" s="35" t="s">
        <v>916</v>
      </c>
      <c r="Z2254" s="35" t="s">
        <v>916</v>
      </c>
      <c r="AA2254" s="38">
        <v>2989.4536111103998</v>
      </c>
      <c r="AB2254" s="42" t="s">
        <v>916</v>
      </c>
      <c r="AC2254" s="43" t="s">
        <v>916</v>
      </c>
      <c r="AD2254" s="43" t="s">
        <v>916</v>
      </c>
      <c r="AE2254" s="33" t="s">
        <v>3982</v>
      </c>
      <c r="AF2254" s="35" t="s">
        <v>916</v>
      </c>
      <c r="AG2254" s="44">
        <v>487882.54638888891</v>
      </c>
      <c r="AH2254" s="42" t="s">
        <v>916</v>
      </c>
      <c r="AI2254" s="32" t="e">
        <f>VLOOKUP(A2254,'4月明細'!B:B,1,0)</f>
        <v>#N/A</v>
      </c>
    </row>
    <row r="2255" spans="1:35" ht="19.95" customHeight="1" x14ac:dyDescent="0.3">
      <c r="A2255" s="33" t="s">
        <v>7910</v>
      </c>
      <c r="B2255" s="34">
        <v>45897.430590277778</v>
      </c>
      <c r="C2255" s="34" t="str">
        <f t="shared" si="48"/>
        <v>202508</v>
      </c>
      <c r="D2255" s="35" t="s">
        <v>7911</v>
      </c>
      <c r="E2255" s="36" t="s">
        <v>1112</v>
      </c>
      <c r="F2255" s="36" t="s">
        <v>1634</v>
      </c>
      <c r="G2255" s="37" t="s">
        <v>7912</v>
      </c>
      <c r="H2255" s="36" t="s">
        <v>4107</v>
      </c>
      <c r="I2255" s="35"/>
      <c r="J2255" s="36" t="s">
        <v>945</v>
      </c>
      <c r="K2255" s="33" t="s">
        <v>916</v>
      </c>
      <c r="L2255" s="35" t="s">
        <v>916</v>
      </c>
      <c r="M2255" s="36" t="s">
        <v>916</v>
      </c>
      <c r="N2255" s="45">
        <v>46022</v>
      </c>
      <c r="O2255" s="36" t="s">
        <v>25</v>
      </c>
      <c r="P2255" s="38">
        <v>124.56940972220001</v>
      </c>
      <c r="Q2255" s="39" t="s">
        <v>7913</v>
      </c>
      <c r="R2255" s="35" t="s">
        <v>916</v>
      </c>
      <c r="S2255" s="35"/>
      <c r="T2255" s="35" t="s">
        <v>1701</v>
      </c>
      <c r="U2255" s="40">
        <v>45898</v>
      </c>
      <c r="V2255" s="41">
        <v>46153.533078703702</v>
      </c>
      <c r="W2255" s="40">
        <v>45897</v>
      </c>
      <c r="X2255" s="35" t="s">
        <v>916</v>
      </c>
      <c r="Y2255" s="35" t="s">
        <v>916</v>
      </c>
      <c r="Z2255" s="35" t="s">
        <v>916</v>
      </c>
      <c r="AA2255" s="38">
        <v>2989.6658333328</v>
      </c>
      <c r="AB2255" s="42" t="s">
        <v>916</v>
      </c>
      <c r="AC2255" s="43" t="s">
        <v>916</v>
      </c>
      <c r="AD2255" s="43" t="s">
        <v>916</v>
      </c>
      <c r="AE2255" s="33" t="s">
        <v>3982</v>
      </c>
      <c r="AF2255" s="35" t="s">
        <v>916</v>
      </c>
      <c r="AG2255" s="44">
        <v>487882.33416666673</v>
      </c>
      <c r="AH2255" s="42" t="s">
        <v>916</v>
      </c>
      <c r="AI2255" s="32" t="e">
        <f>VLOOKUP(A2255,'4月明細'!B:B,1,0)</f>
        <v>#N/A</v>
      </c>
    </row>
    <row r="2256" spans="1:35" ht="19.95" customHeight="1" x14ac:dyDescent="0.3">
      <c r="A2256" s="33" t="s">
        <v>7914</v>
      </c>
      <c r="B2256" s="34">
        <v>45897.428854166668</v>
      </c>
      <c r="C2256" s="34" t="str">
        <f t="shared" si="48"/>
        <v>202508</v>
      </c>
      <c r="D2256" s="35" t="s">
        <v>7911</v>
      </c>
      <c r="E2256" s="36" t="s">
        <v>1112</v>
      </c>
      <c r="F2256" s="36" t="s">
        <v>1634</v>
      </c>
      <c r="G2256" s="37" t="s">
        <v>7915</v>
      </c>
      <c r="H2256" s="36" t="s">
        <v>1048</v>
      </c>
      <c r="I2256" s="35"/>
      <c r="J2256" s="36" t="s">
        <v>945</v>
      </c>
      <c r="K2256" s="33" t="s">
        <v>916</v>
      </c>
      <c r="L2256" s="35" t="s">
        <v>916</v>
      </c>
      <c r="M2256" s="36" t="s">
        <v>916</v>
      </c>
      <c r="N2256" s="45">
        <v>46022</v>
      </c>
      <c r="O2256" s="36" t="s">
        <v>25</v>
      </c>
      <c r="P2256" s="38">
        <v>124.57114583329999</v>
      </c>
      <c r="Q2256" s="39" t="s">
        <v>7916</v>
      </c>
      <c r="R2256" s="35" t="s">
        <v>916</v>
      </c>
      <c r="S2256" s="35" t="s">
        <v>7917</v>
      </c>
      <c r="T2256" s="35" t="s">
        <v>1701</v>
      </c>
      <c r="U2256" s="40">
        <v>45898</v>
      </c>
      <c r="V2256" s="41">
        <v>46153.533090277779</v>
      </c>
      <c r="W2256" s="40">
        <v>45897</v>
      </c>
      <c r="X2256" s="35" t="s">
        <v>916</v>
      </c>
      <c r="Y2256" s="35" t="s">
        <v>916</v>
      </c>
      <c r="Z2256" s="35" t="s">
        <v>916</v>
      </c>
      <c r="AA2256" s="38">
        <v>2989.7074999992001</v>
      </c>
      <c r="AB2256" s="42" t="s">
        <v>916</v>
      </c>
      <c r="AC2256" s="43" t="s">
        <v>916</v>
      </c>
      <c r="AD2256" s="43" t="s">
        <v>916</v>
      </c>
      <c r="AE2256" s="33" t="s">
        <v>3982</v>
      </c>
      <c r="AF2256" s="35" t="s">
        <v>916</v>
      </c>
      <c r="AG2256" s="44">
        <v>487882.29249999998</v>
      </c>
      <c r="AH2256" s="42" t="s">
        <v>916</v>
      </c>
      <c r="AI2256" s="32" t="e">
        <f>VLOOKUP(A2256,'4月明細'!B:B,1,0)</f>
        <v>#N/A</v>
      </c>
    </row>
    <row r="2257" spans="1:35" ht="19.95" customHeight="1" x14ac:dyDescent="0.3">
      <c r="A2257" s="33" t="s">
        <v>7918</v>
      </c>
      <c r="B2257" s="34">
        <v>45896.708923611113</v>
      </c>
      <c r="C2257" s="34" t="str">
        <f t="shared" si="48"/>
        <v>202508</v>
      </c>
      <c r="D2257" s="35" t="s">
        <v>7919</v>
      </c>
      <c r="E2257" s="36" t="s">
        <v>910</v>
      </c>
      <c r="F2257" s="36" t="s">
        <v>976</v>
      </c>
      <c r="G2257" s="37" t="s">
        <v>7920</v>
      </c>
      <c r="H2257" s="36" t="s">
        <v>913</v>
      </c>
      <c r="I2257" s="35"/>
      <c r="J2257" s="36" t="s">
        <v>929</v>
      </c>
      <c r="K2257" s="33" t="s">
        <v>916</v>
      </c>
      <c r="L2257" s="35" t="s">
        <v>916</v>
      </c>
      <c r="M2257" s="36" t="s">
        <v>916</v>
      </c>
      <c r="N2257" s="45">
        <v>46022</v>
      </c>
      <c r="O2257" s="36" t="s">
        <v>25</v>
      </c>
      <c r="P2257" s="38">
        <v>125.2910763889</v>
      </c>
      <c r="Q2257" s="39" t="s">
        <v>7921</v>
      </c>
      <c r="R2257" s="35" t="s">
        <v>916</v>
      </c>
      <c r="S2257" s="35"/>
      <c r="T2257" s="35" t="s">
        <v>1701</v>
      </c>
      <c r="U2257" s="40">
        <v>45897</v>
      </c>
      <c r="V2257" s="41">
        <v>46153.533090277779</v>
      </c>
      <c r="W2257" s="40">
        <v>45896</v>
      </c>
      <c r="X2257" s="35" t="s">
        <v>916</v>
      </c>
      <c r="Y2257" s="35" t="s">
        <v>916</v>
      </c>
      <c r="Z2257" s="35" t="s">
        <v>916</v>
      </c>
      <c r="AA2257" s="38">
        <v>3006.9858333336001</v>
      </c>
      <c r="AB2257" s="42" t="s">
        <v>916</v>
      </c>
      <c r="AC2257" s="43" t="s">
        <v>916</v>
      </c>
      <c r="AD2257" s="43" t="s">
        <v>916</v>
      </c>
      <c r="AE2257" s="33" t="s">
        <v>3982</v>
      </c>
      <c r="AF2257" s="35" t="s">
        <v>916</v>
      </c>
      <c r="AG2257" s="44">
        <v>487865.01416666672</v>
      </c>
      <c r="AH2257" s="42" t="s">
        <v>916</v>
      </c>
      <c r="AI2257" s="32" t="e">
        <f>VLOOKUP(A2257,'4月明細'!B:B,1,0)</f>
        <v>#N/A</v>
      </c>
    </row>
    <row r="2258" spans="1:35" ht="19.95" customHeight="1" x14ac:dyDescent="0.3">
      <c r="A2258" s="33" t="s">
        <v>7922</v>
      </c>
      <c r="B2258" s="34">
        <v>45896.639004629629</v>
      </c>
      <c r="C2258" s="34" t="str">
        <f t="shared" si="48"/>
        <v>202508</v>
      </c>
      <c r="D2258" s="35" t="s">
        <v>5380</v>
      </c>
      <c r="E2258" s="36" t="s">
        <v>910</v>
      </c>
      <c r="F2258" s="36" t="s">
        <v>1752</v>
      </c>
      <c r="G2258" s="37" t="s">
        <v>7923</v>
      </c>
      <c r="H2258" s="36" t="s">
        <v>1048</v>
      </c>
      <c r="I2258" s="35" t="s">
        <v>7924</v>
      </c>
      <c r="J2258" s="36" t="s">
        <v>929</v>
      </c>
      <c r="K2258" s="33" t="s">
        <v>916</v>
      </c>
      <c r="L2258" s="35" t="s">
        <v>916</v>
      </c>
      <c r="M2258" s="36" t="s">
        <v>916</v>
      </c>
      <c r="N2258" s="45">
        <v>46022</v>
      </c>
      <c r="O2258" s="36" t="s">
        <v>25</v>
      </c>
      <c r="P2258" s="38">
        <v>125.3609953704</v>
      </c>
      <c r="Q2258" s="39" t="s">
        <v>7925</v>
      </c>
      <c r="R2258" s="35" t="s">
        <v>916</v>
      </c>
      <c r="S2258" s="35" t="s">
        <v>7926</v>
      </c>
      <c r="T2258" s="35" t="s">
        <v>1701</v>
      </c>
      <c r="U2258" s="40">
        <v>45897</v>
      </c>
      <c r="V2258" s="41">
        <v>46153.533090277779</v>
      </c>
      <c r="W2258" s="40">
        <v>45896</v>
      </c>
      <c r="X2258" s="35" t="s">
        <v>916</v>
      </c>
      <c r="Y2258" s="35" t="s">
        <v>916</v>
      </c>
      <c r="Z2258" s="35" t="s">
        <v>916</v>
      </c>
      <c r="AA2258" s="38">
        <v>3008.6638888896</v>
      </c>
      <c r="AB2258" s="42" t="s">
        <v>916</v>
      </c>
      <c r="AC2258" s="43" t="s">
        <v>916</v>
      </c>
      <c r="AD2258" s="43" t="s">
        <v>916</v>
      </c>
      <c r="AE2258" s="33" t="s">
        <v>3982</v>
      </c>
      <c r="AF2258" s="35" t="s">
        <v>916</v>
      </c>
      <c r="AG2258" s="44">
        <v>487863.3361111111</v>
      </c>
      <c r="AH2258" s="42" t="s">
        <v>916</v>
      </c>
      <c r="AI2258" s="32" t="e">
        <f>VLOOKUP(A2258,'4月明細'!B:B,1,0)</f>
        <v>#N/A</v>
      </c>
    </row>
    <row r="2259" spans="1:35" ht="19.95" customHeight="1" x14ac:dyDescent="0.3">
      <c r="A2259" s="33" t="s">
        <v>7927</v>
      </c>
      <c r="B2259" s="34">
        <v>45896.634131944447</v>
      </c>
      <c r="C2259" s="34" t="str">
        <f t="shared" si="48"/>
        <v>202508</v>
      </c>
      <c r="D2259" s="35" t="s">
        <v>5380</v>
      </c>
      <c r="E2259" s="36" t="s">
        <v>910</v>
      </c>
      <c r="F2259" s="36" t="s">
        <v>1752</v>
      </c>
      <c r="G2259" s="37" t="s">
        <v>7928</v>
      </c>
      <c r="H2259" s="36" t="s">
        <v>5833</v>
      </c>
      <c r="I2259" s="35" t="s">
        <v>7929</v>
      </c>
      <c r="J2259" s="36" t="s">
        <v>929</v>
      </c>
      <c r="K2259" s="33" t="s">
        <v>916</v>
      </c>
      <c r="L2259" s="35" t="s">
        <v>916</v>
      </c>
      <c r="M2259" s="36" t="s">
        <v>916</v>
      </c>
      <c r="N2259" s="45">
        <v>46022</v>
      </c>
      <c r="O2259" s="36" t="s">
        <v>25</v>
      </c>
      <c r="P2259" s="38">
        <v>125.3658680556</v>
      </c>
      <c r="Q2259" s="39" t="s">
        <v>5957</v>
      </c>
      <c r="R2259" s="35" t="s">
        <v>916</v>
      </c>
      <c r="S2259" s="35" t="s">
        <v>7930</v>
      </c>
      <c r="T2259" s="35" t="s">
        <v>1701</v>
      </c>
      <c r="U2259" s="40">
        <v>45897</v>
      </c>
      <c r="V2259" s="41">
        <v>46153.533090277779</v>
      </c>
      <c r="W2259" s="40">
        <v>45896</v>
      </c>
      <c r="X2259" s="35" t="s">
        <v>916</v>
      </c>
      <c r="Y2259" s="35" t="s">
        <v>916</v>
      </c>
      <c r="Z2259" s="35" t="s">
        <v>916</v>
      </c>
      <c r="AA2259" s="38">
        <v>3008.7808333344001</v>
      </c>
      <c r="AB2259" s="42" t="s">
        <v>916</v>
      </c>
      <c r="AC2259" s="43" t="s">
        <v>916</v>
      </c>
      <c r="AD2259" s="43" t="s">
        <v>916</v>
      </c>
      <c r="AE2259" s="33" t="s">
        <v>3982</v>
      </c>
      <c r="AF2259" s="35" t="s">
        <v>916</v>
      </c>
      <c r="AG2259" s="44">
        <v>487863.21916666662</v>
      </c>
      <c r="AH2259" s="42" t="s">
        <v>916</v>
      </c>
      <c r="AI2259" s="32" t="e">
        <f>VLOOKUP(A2259,'4月明細'!B:B,1,0)</f>
        <v>#N/A</v>
      </c>
    </row>
    <row r="2260" spans="1:35" ht="19.95" customHeight="1" x14ac:dyDescent="0.3">
      <c r="A2260" s="33" t="s">
        <v>7931</v>
      </c>
      <c r="B2260" s="34">
        <v>45896.625775462962</v>
      </c>
      <c r="C2260" s="34" t="str">
        <f t="shared" si="48"/>
        <v>202508</v>
      </c>
      <c r="D2260" s="35" t="s">
        <v>996</v>
      </c>
      <c r="E2260" s="36" t="s">
        <v>910</v>
      </c>
      <c r="F2260" s="36" t="s">
        <v>1064</v>
      </c>
      <c r="G2260" s="37" t="s">
        <v>7932</v>
      </c>
      <c r="H2260" s="36" t="s">
        <v>7825</v>
      </c>
      <c r="I2260" s="35"/>
      <c r="J2260" s="36" t="s">
        <v>929</v>
      </c>
      <c r="K2260" s="33" t="s">
        <v>916</v>
      </c>
      <c r="L2260" s="35" t="s">
        <v>916</v>
      </c>
      <c r="M2260" s="36" t="s">
        <v>916</v>
      </c>
      <c r="N2260" s="45">
        <v>46022</v>
      </c>
      <c r="O2260" s="36" t="s">
        <v>25</v>
      </c>
      <c r="P2260" s="38">
        <v>125.374224537</v>
      </c>
      <c r="Q2260" s="39" t="s">
        <v>5957</v>
      </c>
      <c r="R2260" s="35" t="s">
        <v>916</v>
      </c>
      <c r="S2260" s="35"/>
      <c r="T2260" s="35" t="s">
        <v>1701</v>
      </c>
      <c r="U2260" s="40">
        <v>45897</v>
      </c>
      <c r="V2260" s="41">
        <v>46153.533090277779</v>
      </c>
      <c r="W2260" s="40">
        <v>45896</v>
      </c>
      <c r="X2260" s="35" t="s">
        <v>916</v>
      </c>
      <c r="Y2260" s="35" t="s">
        <v>916</v>
      </c>
      <c r="Z2260" s="35" t="s">
        <v>916</v>
      </c>
      <c r="AA2260" s="38">
        <v>3008.9813888879999</v>
      </c>
      <c r="AB2260" s="42" t="s">
        <v>916</v>
      </c>
      <c r="AC2260" s="43" t="s">
        <v>916</v>
      </c>
      <c r="AD2260" s="43" t="s">
        <v>916</v>
      </c>
      <c r="AE2260" s="33" t="s">
        <v>3982</v>
      </c>
      <c r="AF2260" s="35" t="s">
        <v>916</v>
      </c>
      <c r="AG2260" s="44">
        <v>487863.0186111111</v>
      </c>
      <c r="AH2260" s="42" t="s">
        <v>916</v>
      </c>
      <c r="AI2260" s="32" t="e">
        <f>VLOOKUP(A2260,'4月明細'!B:B,1,0)</f>
        <v>#N/A</v>
      </c>
    </row>
    <row r="2261" spans="1:35" ht="19.95" customHeight="1" x14ac:dyDescent="0.3">
      <c r="A2261" s="33" t="s">
        <v>7933</v>
      </c>
      <c r="B2261" s="34">
        <v>45896.597974537035</v>
      </c>
      <c r="C2261" s="34" t="str">
        <f t="shared" si="48"/>
        <v>202508</v>
      </c>
      <c r="D2261" s="35" t="s">
        <v>5380</v>
      </c>
      <c r="E2261" s="36" t="s">
        <v>910</v>
      </c>
      <c r="F2261" s="36" t="s">
        <v>1032</v>
      </c>
      <c r="G2261" s="37" t="s">
        <v>7934</v>
      </c>
      <c r="H2261" s="36" t="s">
        <v>5833</v>
      </c>
      <c r="I2261" s="35" t="s">
        <v>7935</v>
      </c>
      <c r="J2261" s="36" t="s">
        <v>929</v>
      </c>
      <c r="K2261" s="33" t="s">
        <v>916</v>
      </c>
      <c r="L2261" s="35" t="s">
        <v>916</v>
      </c>
      <c r="M2261" s="36" t="s">
        <v>916</v>
      </c>
      <c r="N2261" s="45">
        <v>46022</v>
      </c>
      <c r="O2261" s="36" t="s">
        <v>25</v>
      </c>
      <c r="P2261" s="38">
        <v>125.402025463</v>
      </c>
      <c r="Q2261" s="39" t="s">
        <v>7936</v>
      </c>
      <c r="R2261" s="35" t="s">
        <v>916</v>
      </c>
      <c r="S2261" s="35"/>
      <c r="T2261" s="35" t="s">
        <v>1701</v>
      </c>
      <c r="U2261" s="40">
        <v>45897</v>
      </c>
      <c r="V2261" s="41">
        <v>46153.533090277779</v>
      </c>
      <c r="W2261" s="40">
        <v>45896</v>
      </c>
      <c r="X2261" s="35" t="s">
        <v>916</v>
      </c>
      <c r="Y2261" s="35" t="s">
        <v>916</v>
      </c>
      <c r="Z2261" s="35" t="s">
        <v>916</v>
      </c>
      <c r="AA2261" s="38">
        <v>3009.6486111119998</v>
      </c>
      <c r="AB2261" s="42" t="s">
        <v>916</v>
      </c>
      <c r="AC2261" s="43" t="s">
        <v>916</v>
      </c>
      <c r="AD2261" s="43" t="s">
        <v>916</v>
      </c>
      <c r="AE2261" s="33" t="s">
        <v>3982</v>
      </c>
      <c r="AF2261" s="35" t="s">
        <v>916</v>
      </c>
      <c r="AG2261" s="44">
        <v>487862.3513888889</v>
      </c>
      <c r="AH2261" s="42" t="s">
        <v>916</v>
      </c>
      <c r="AI2261" s="32" t="e">
        <f>VLOOKUP(A2261,'4月明細'!B:B,1,0)</f>
        <v>#N/A</v>
      </c>
    </row>
    <row r="2262" spans="1:35" ht="19.95" customHeight="1" x14ac:dyDescent="0.3">
      <c r="A2262" s="33" t="s">
        <v>7937</v>
      </c>
      <c r="B2262" s="34">
        <v>45895.720543981479</v>
      </c>
      <c r="C2262" s="34" t="str">
        <f t="shared" si="48"/>
        <v>202508</v>
      </c>
      <c r="D2262" s="35" t="s">
        <v>6847</v>
      </c>
      <c r="E2262" s="36" t="s">
        <v>910</v>
      </c>
      <c r="F2262" s="36" t="s">
        <v>1222</v>
      </c>
      <c r="G2262" s="37" t="s">
        <v>7938</v>
      </c>
      <c r="H2262" s="36" t="s">
        <v>1043</v>
      </c>
      <c r="I2262" s="35" t="s">
        <v>7939</v>
      </c>
      <c r="J2262" s="36" t="s">
        <v>929</v>
      </c>
      <c r="K2262" s="33" t="s">
        <v>916</v>
      </c>
      <c r="L2262" s="35" t="s">
        <v>916</v>
      </c>
      <c r="M2262" s="36" t="s">
        <v>916</v>
      </c>
      <c r="N2262" s="45">
        <v>46022</v>
      </c>
      <c r="O2262" s="36" t="s">
        <v>25</v>
      </c>
      <c r="P2262" s="38">
        <v>126.2794560185</v>
      </c>
      <c r="Q2262" s="39" t="s">
        <v>7940</v>
      </c>
      <c r="R2262" s="35" t="s">
        <v>916</v>
      </c>
      <c r="S2262" s="35"/>
      <c r="T2262" s="35" t="s">
        <v>1701</v>
      </c>
      <c r="U2262" s="40">
        <v>45896</v>
      </c>
      <c r="V2262" s="41">
        <v>46153.533090277779</v>
      </c>
      <c r="W2262" s="40">
        <v>45895</v>
      </c>
      <c r="X2262" s="35" t="s">
        <v>916</v>
      </c>
      <c r="Y2262" s="35" t="s">
        <v>916</v>
      </c>
      <c r="Z2262" s="35" t="s">
        <v>916</v>
      </c>
      <c r="AA2262" s="38">
        <v>3030.7069444439999</v>
      </c>
      <c r="AB2262" s="42" t="s">
        <v>916</v>
      </c>
      <c r="AC2262" s="43" t="s">
        <v>916</v>
      </c>
      <c r="AD2262" s="43" t="s">
        <v>916</v>
      </c>
      <c r="AE2262" s="33" t="s">
        <v>3982</v>
      </c>
      <c r="AF2262" s="35" t="s">
        <v>916</v>
      </c>
      <c r="AG2262" s="44">
        <v>487841.29305555561</v>
      </c>
      <c r="AH2262" s="42" t="s">
        <v>916</v>
      </c>
      <c r="AI2262" s="32" t="e">
        <f>VLOOKUP(A2262,'4月明細'!B:B,1,0)</f>
        <v>#N/A</v>
      </c>
    </row>
    <row r="2263" spans="1:35" ht="19.95" customHeight="1" x14ac:dyDescent="0.3">
      <c r="A2263" s="33" t="s">
        <v>7941</v>
      </c>
      <c r="B2263" s="34">
        <v>45895.696527777778</v>
      </c>
      <c r="C2263" s="34" t="str">
        <f t="shared" si="48"/>
        <v>202508</v>
      </c>
      <c r="D2263" s="35" t="s">
        <v>6281</v>
      </c>
      <c r="E2263" s="36" t="s">
        <v>910</v>
      </c>
      <c r="F2263" s="36" t="s">
        <v>1203</v>
      </c>
      <c r="G2263" s="37" t="s">
        <v>7942</v>
      </c>
      <c r="H2263" s="36" t="s">
        <v>4877</v>
      </c>
      <c r="I2263" s="35"/>
      <c r="J2263" s="36" t="s">
        <v>929</v>
      </c>
      <c r="K2263" s="33" t="s">
        <v>916</v>
      </c>
      <c r="L2263" s="35" t="s">
        <v>916</v>
      </c>
      <c r="M2263" s="36" t="s">
        <v>916</v>
      </c>
      <c r="N2263" s="45">
        <v>46022</v>
      </c>
      <c r="O2263" s="36" t="s">
        <v>25</v>
      </c>
      <c r="P2263" s="38">
        <v>126.3034722222</v>
      </c>
      <c r="Q2263" s="39" t="s">
        <v>7943</v>
      </c>
      <c r="R2263" s="35" t="s">
        <v>916</v>
      </c>
      <c r="S2263" s="35"/>
      <c r="T2263" s="35" t="s">
        <v>1701</v>
      </c>
      <c r="U2263" s="40">
        <v>45896</v>
      </c>
      <c r="V2263" s="41">
        <v>46153.533090277779</v>
      </c>
      <c r="W2263" s="40">
        <v>45895</v>
      </c>
      <c r="X2263" s="35" t="s">
        <v>916</v>
      </c>
      <c r="Y2263" s="35" t="s">
        <v>916</v>
      </c>
      <c r="Z2263" s="35" t="s">
        <v>916</v>
      </c>
      <c r="AA2263" s="38">
        <v>3031.2833333327999</v>
      </c>
      <c r="AB2263" s="42" t="s">
        <v>916</v>
      </c>
      <c r="AC2263" s="43" t="s">
        <v>916</v>
      </c>
      <c r="AD2263" s="43" t="s">
        <v>916</v>
      </c>
      <c r="AE2263" s="33" t="s">
        <v>3982</v>
      </c>
      <c r="AF2263" s="35" t="s">
        <v>916</v>
      </c>
      <c r="AG2263" s="44">
        <v>487840.71666666667</v>
      </c>
      <c r="AH2263" s="42" t="s">
        <v>916</v>
      </c>
      <c r="AI2263" s="32" t="e">
        <f>VLOOKUP(A2263,'4月明細'!B:B,1,0)</f>
        <v>#N/A</v>
      </c>
    </row>
    <row r="2264" spans="1:35" ht="19.95" customHeight="1" x14ac:dyDescent="0.3">
      <c r="A2264" s="33" t="s">
        <v>7944</v>
      </c>
      <c r="B2264" s="34">
        <v>45895.682164351849</v>
      </c>
      <c r="C2264" s="34" t="str">
        <f t="shared" si="48"/>
        <v>202508</v>
      </c>
      <c r="D2264" s="35" t="s">
        <v>996</v>
      </c>
      <c r="E2264" s="36" t="s">
        <v>910</v>
      </c>
      <c r="F2264" s="36" t="s">
        <v>1783</v>
      </c>
      <c r="G2264" s="37" t="s">
        <v>7945</v>
      </c>
      <c r="H2264" s="36" t="s">
        <v>1114</v>
      </c>
      <c r="I2264" s="35"/>
      <c r="J2264" s="36" t="s">
        <v>929</v>
      </c>
      <c r="K2264" s="33" t="s">
        <v>916</v>
      </c>
      <c r="L2264" s="35" t="s">
        <v>916</v>
      </c>
      <c r="M2264" s="36" t="s">
        <v>916</v>
      </c>
      <c r="N2264" s="45">
        <v>46022</v>
      </c>
      <c r="O2264" s="36" t="s">
        <v>25</v>
      </c>
      <c r="P2264" s="38">
        <v>126.3178356481</v>
      </c>
      <c r="Q2264" s="39" t="s">
        <v>1582</v>
      </c>
      <c r="R2264" s="35" t="s">
        <v>916</v>
      </c>
      <c r="S2264" s="35"/>
      <c r="T2264" s="35" t="s">
        <v>1701</v>
      </c>
      <c r="U2264" s="40">
        <v>45896</v>
      </c>
      <c r="V2264" s="41">
        <v>46153.533090277779</v>
      </c>
      <c r="W2264" s="40">
        <v>45895</v>
      </c>
      <c r="X2264" s="35" t="s">
        <v>916</v>
      </c>
      <c r="Y2264" s="35" t="s">
        <v>916</v>
      </c>
      <c r="Z2264" s="35" t="s">
        <v>916</v>
      </c>
      <c r="AA2264" s="38">
        <v>3031.6280555543999</v>
      </c>
      <c r="AB2264" s="42" t="s">
        <v>916</v>
      </c>
      <c r="AC2264" s="43" t="s">
        <v>916</v>
      </c>
      <c r="AD2264" s="43" t="s">
        <v>916</v>
      </c>
      <c r="AE2264" s="33" t="s">
        <v>3982</v>
      </c>
      <c r="AF2264" s="35" t="s">
        <v>916</v>
      </c>
      <c r="AG2264" s="44">
        <v>487840.37194444449</v>
      </c>
      <c r="AH2264" s="42" t="s">
        <v>916</v>
      </c>
      <c r="AI2264" s="32" t="e">
        <f>VLOOKUP(A2264,'4月明細'!B:B,1,0)</f>
        <v>#N/A</v>
      </c>
    </row>
    <row r="2265" spans="1:35" ht="19.95" customHeight="1" x14ac:dyDescent="0.3">
      <c r="A2265" s="33" t="s">
        <v>7946</v>
      </c>
      <c r="B2265" s="34">
        <v>45895.676562499997</v>
      </c>
      <c r="C2265" s="34" t="str">
        <f t="shared" si="48"/>
        <v>202508</v>
      </c>
      <c r="D2265" s="35" t="s">
        <v>6281</v>
      </c>
      <c r="E2265" s="36" t="s">
        <v>910</v>
      </c>
      <c r="F2265" s="36" t="s">
        <v>976</v>
      </c>
      <c r="G2265" s="37" t="s">
        <v>7947</v>
      </c>
      <c r="H2265" s="36" t="s">
        <v>1184</v>
      </c>
      <c r="I2265" s="35" t="s">
        <v>7948</v>
      </c>
      <c r="J2265" s="36" t="s">
        <v>929</v>
      </c>
      <c r="K2265" s="33" t="s">
        <v>916</v>
      </c>
      <c r="L2265" s="35" t="s">
        <v>916</v>
      </c>
      <c r="M2265" s="36" t="s">
        <v>916</v>
      </c>
      <c r="N2265" s="45">
        <v>46022</v>
      </c>
      <c r="O2265" s="36" t="s">
        <v>25</v>
      </c>
      <c r="P2265" s="38">
        <v>126.3234375</v>
      </c>
      <c r="Q2265" s="39" t="s">
        <v>2171</v>
      </c>
      <c r="R2265" s="35" t="s">
        <v>916</v>
      </c>
      <c r="S2265" s="35"/>
      <c r="T2265" s="35" t="s">
        <v>1701</v>
      </c>
      <c r="U2265" s="40">
        <v>45896</v>
      </c>
      <c r="V2265" s="41">
        <v>46153.533090277779</v>
      </c>
      <c r="W2265" s="40">
        <v>45895</v>
      </c>
      <c r="X2265" s="35" t="s">
        <v>916</v>
      </c>
      <c r="Y2265" s="35" t="s">
        <v>916</v>
      </c>
      <c r="Z2265" s="35" t="s">
        <v>916</v>
      </c>
      <c r="AA2265" s="38">
        <v>3031.7624999999998</v>
      </c>
      <c r="AB2265" s="42" t="s">
        <v>916</v>
      </c>
      <c r="AC2265" s="43" t="s">
        <v>916</v>
      </c>
      <c r="AD2265" s="43" t="s">
        <v>916</v>
      </c>
      <c r="AE2265" s="33" t="s">
        <v>3982</v>
      </c>
      <c r="AF2265" s="35" t="s">
        <v>916</v>
      </c>
      <c r="AG2265" s="44">
        <v>487840.23749999999</v>
      </c>
      <c r="AH2265" s="42" t="s">
        <v>916</v>
      </c>
      <c r="AI2265" s="32" t="e">
        <f>VLOOKUP(A2265,'4月明細'!B:B,1,0)</f>
        <v>#N/A</v>
      </c>
    </row>
    <row r="2266" spans="1:35" ht="19.95" customHeight="1" x14ac:dyDescent="0.3">
      <c r="A2266" s="33" t="s">
        <v>7949</v>
      </c>
      <c r="B2266" s="34">
        <v>45895.674120370371</v>
      </c>
      <c r="C2266" s="34" t="str">
        <f t="shared" si="48"/>
        <v>202508</v>
      </c>
      <c r="D2266" s="35" t="s">
        <v>996</v>
      </c>
      <c r="E2266" s="36" t="s">
        <v>910</v>
      </c>
      <c r="F2266" s="36" t="s">
        <v>1634</v>
      </c>
      <c r="G2266" s="37" t="s">
        <v>7950</v>
      </c>
      <c r="H2266" s="36" t="s">
        <v>1114</v>
      </c>
      <c r="I2266" s="35"/>
      <c r="J2266" s="36" t="s">
        <v>929</v>
      </c>
      <c r="K2266" s="33" t="s">
        <v>916</v>
      </c>
      <c r="L2266" s="35" t="s">
        <v>916</v>
      </c>
      <c r="M2266" s="36" t="s">
        <v>916</v>
      </c>
      <c r="N2266" s="45">
        <v>46022</v>
      </c>
      <c r="O2266" s="36" t="s">
        <v>25</v>
      </c>
      <c r="P2266" s="38">
        <v>126.3258796296</v>
      </c>
      <c r="Q2266" s="39" t="s">
        <v>7951</v>
      </c>
      <c r="R2266" s="35" t="s">
        <v>916</v>
      </c>
      <c r="S2266" s="35" t="s">
        <v>7917</v>
      </c>
      <c r="T2266" s="35" t="s">
        <v>1701</v>
      </c>
      <c r="U2266" s="40">
        <v>45896</v>
      </c>
      <c r="V2266" s="41">
        <v>46153.533090277779</v>
      </c>
      <c r="W2266" s="40">
        <v>45895</v>
      </c>
      <c r="X2266" s="35" t="s">
        <v>916</v>
      </c>
      <c r="Y2266" s="35" t="s">
        <v>916</v>
      </c>
      <c r="Z2266" s="35" t="s">
        <v>916</v>
      </c>
      <c r="AA2266" s="38">
        <v>3031.8211111104001</v>
      </c>
      <c r="AB2266" s="42" t="s">
        <v>916</v>
      </c>
      <c r="AC2266" s="43" t="s">
        <v>916</v>
      </c>
      <c r="AD2266" s="43" t="s">
        <v>916</v>
      </c>
      <c r="AE2266" s="33" t="s">
        <v>3982</v>
      </c>
      <c r="AF2266" s="35" t="s">
        <v>916</v>
      </c>
      <c r="AG2266" s="44">
        <v>487840.17888888891</v>
      </c>
      <c r="AH2266" s="42" t="s">
        <v>916</v>
      </c>
      <c r="AI2266" s="32" t="e">
        <f>VLOOKUP(A2266,'4月明細'!B:B,1,0)</f>
        <v>#N/A</v>
      </c>
    </row>
    <row r="2267" spans="1:35" ht="19.95" customHeight="1" x14ac:dyDescent="0.3">
      <c r="A2267" s="33" t="s">
        <v>7952</v>
      </c>
      <c r="B2267" s="34">
        <v>45895.659687500003</v>
      </c>
      <c r="C2267" s="34" t="str">
        <f t="shared" si="48"/>
        <v>202508</v>
      </c>
      <c r="D2267" s="35" t="s">
        <v>996</v>
      </c>
      <c r="E2267" s="36" t="s">
        <v>910</v>
      </c>
      <c r="F2267" s="36" t="s">
        <v>3890</v>
      </c>
      <c r="G2267" s="37" t="s">
        <v>7953</v>
      </c>
      <c r="H2267" s="36" t="s">
        <v>1048</v>
      </c>
      <c r="I2267" s="35" t="s">
        <v>7954</v>
      </c>
      <c r="J2267" s="36" t="s">
        <v>929</v>
      </c>
      <c r="K2267" s="33" t="s">
        <v>916</v>
      </c>
      <c r="L2267" s="35" t="s">
        <v>916</v>
      </c>
      <c r="M2267" s="36" t="s">
        <v>916</v>
      </c>
      <c r="N2267" s="45">
        <v>46022</v>
      </c>
      <c r="O2267" s="36" t="s">
        <v>25</v>
      </c>
      <c r="P2267" s="38">
        <v>126.3403125</v>
      </c>
      <c r="Q2267" s="39" t="s">
        <v>958</v>
      </c>
      <c r="R2267" s="35" t="s">
        <v>916</v>
      </c>
      <c r="S2267" s="35" t="s">
        <v>7955</v>
      </c>
      <c r="T2267" s="35" t="s">
        <v>1701</v>
      </c>
      <c r="U2267" s="40">
        <v>45896</v>
      </c>
      <c r="V2267" s="41">
        <v>46153.533090277779</v>
      </c>
      <c r="W2267" s="40">
        <v>45895</v>
      </c>
      <c r="X2267" s="35" t="s">
        <v>916</v>
      </c>
      <c r="Y2267" s="35" t="s">
        <v>916</v>
      </c>
      <c r="Z2267" s="35" t="s">
        <v>916</v>
      </c>
      <c r="AA2267" s="38">
        <v>3032.1675</v>
      </c>
      <c r="AB2267" s="42" t="s">
        <v>916</v>
      </c>
      <c r="AC2267" s="43" t="s">
        <v>916</v>
      </c>
      <c r="AD2267" s="43" t="s">
        <v>916</v>
      </c>
      <c r="AE2267" s="33" t="s">
        <v>3982</v>
      </c>
      <c r="AF2267" s="35" t="s">
        <v>916</v>
      </c>
      <c r="AG2267" s="44">
        <v>487839.83250000002</v>
      </c>
      <c r="AH2267" s="42" t="s">
        <v>916</v>
      </c>
      <c r="AI2267" s="32" t="e">
        <f>VLOOKUP(A2267,'4月明細'!B:B,1,0)</f>
        <v>#N/A</v>
      </c>
    </row>
    <row r="2268" spans="1:35" ht="19.95" customHeight="1" x14ac:dyDescent="0.3">
      <c r="A2268" s="33" t="s">
        <v>7956</v>
      </c>
      <c r="B2268" s="34">
        <v>45895.641979166663</v>
      </c>
      <c r="C2268" s="34" t="str">
        <f t="shared" si="48"/>
        <v>202508</v>
      </c>
      <c r="D2268" s="35" t="s">
        <v>6281</v>
      </c>
      <c r="E2268" s="36" t="s">
        <v>910</v>
      </c>
      <c r="F2268" s="36" t="s">
        <v>1004</v>
      </c>
      <c r="G2268" s="37" t="s">
        <v>7957</v>
      </c>
      <c r="H2268" s="36" t="s">
        <v>4029</v>
      </c>
      <c r="I2268" s="35" t="s">
        <v>7958</v>
      </c>
      <c r="J2268" s="36" t="s">
        <v>929</v>
      </c>
      <c r="K2268" s="33" t="s">
        <v>916</v>
      </c>
      <c r="L2268" s="35" t="s">
        <v>916</v>
      </c>
      <c r="M2268" s="36" t="s">
        <v>916</v>
      </c>
      <c r="N2268" s="45">
        <v>46022</v>
      </c>
      <c r="O2268" s="36" t="s">
        <v>25</v>
      </c>
      <c r="P2268" s="38">
        <v>126.3580208333</v>
      </c>
      <c r="Q2268" s="39" t="s">
        <v>5957</v>
      </c>
      <c r="R2268" s="35" t="s">
        <v>916</v>
      </c>
      <c r="S2268" s="35"/>
      <c r="T2268" s="35" t="s">
        <v>1701</v>
      </c>
      <c r="U2268" s="40">
        <v>45896</v>
      </c>
      <c r="V2268" s="41">
        <v>46153.533090277779</v>
      </c>
      <c r="W2268" s="40">
        <v>45895</v>
      </c>
      <c r="X2268" s="35" t="s">
        <v>916</v>
      </c>
      <c r="Y2268" s="35" t="s">
        <v>916</v>
      </c>
      <c r="Z2268" s="35" t="s">
        <v>916</v>
      </c>
      <c r="AA2268" s="38">
        <v>3032.5924999991998</v>
      </c>
      <c r="AB2268" s="42" t="s">
        <v>916</v>
      </c>
      <c r="AC2268" s="43" t="s">
        <v>916</v>
      </c>
      <c r="AD2268" s="43" t="s">
        <v>916</v>
      </c>
      <c r="AE2268" s="33" t="s">
        <v>3982</v>
      </c>
      <c r="AF2268" s="35" t="s">
        <v>916</v>
      </c>
      <c r="AG2268" s="44">
        <v>487839.40749999997</v>
      </c>
      <c r="AH2268" s="42" t="s">
        <v>916</v>
      </c>
      <c r="AI2268" s="32" t="e">
        <f>VLOOKUP(A2268,'4月明細'!B:B,1,0)</f>
        <v>#N/A</v>
      </c>
    </row>
    <row r="2269" spans="1:35" ht="19.95" customHeight="1" x14ac:dyDescent="0.3">
      <c r="A2269" s="33" t="s">
        <v>7959</v>
      </c>
      <c r="B2269" s="34">
        <v>45895.573240740741</v>
      </c>
      <c r="C2269" s="34" t="str">
        <f t="shared" si="48"/>
        <v>202508</v>
      </c>
      <c r="D2269" s="35" t="s">
        <v>951</v>
      </c>
      <c r="E2269" s="36" t="s">
        <v>910</v>
      </c>
      <c r="F2269" s="36" t="s">
        <v>1068</v>
      </c>
      <c r="G2269" s="37" t="s">
        <v>7960</v>
      </c>
      <c r="H2269" s="36" t="s">
        <v>3991</v>
      </c>
      <c r="I2269" s="35" t="s">
        <v>7961</v>
      </c>
      <c r="J2269" s="36" t="s">
        <v>929</v>
      </c>
      <c r="K2269" s="33" t="s">
        <v>916</v>
      </c>
      <c r="L2269" s="35" t="s">
        <v>916</v>
      </c>
      <c r="M2269" s="36" t="s">
        <v>916</v>
      </c>
      <c r="N2269" s="45">
        <v>46022</v>
      </c>
      <c r="O2269" s="36" t="s">
        <v>25</v>
      </c>
      <c r="P2269" s="38">
        <v>126.4267592593</v>
      </c>
      <c r="Q2269" s="39" t="s">
        <v>2303</v>
      </c>
      <c r="R2269" s="35" t="s">
        <v>916</v>
      </c>
      <c r="S2269" s="35"/>
      <c r="T2269" s="35" t="s">
        <v>1701</v>
      </c>
      <c r="U2269" s="40">
        <v>45896</v>
      </c>
      <c r="V2269" s="41">
        <v>46153.533090277779</v>
      </c>
      <c r="W2269" s="40">
        <v>45895</v>
      </c>
      <c r="X2269" s="35" t="s">
        <v>916</v>
      </c>
      <c r="Y2269" s="35" t="s">
        <v>916</v>
      </c>
      <c r="Z2269" s="35" t="s">
        <v>916</v>
      </c>
      <c r="AA2269" s="38">
        <v>3034.2422222231999</v>
      </c>
      <c r="AB2269" s="42" t="s">
        <v>916</v>
      </c>
      <c r="AC2269" s="43" t="s">
        <v>916</v>
      </c>
      <c r="AD2269" s="43" t="s">
        <v>916</v>
      </c>
      <c r="AE2269" s="33" t="s">
        <v>3982</v>
      </c>
      <c r="AF2269" s="35" t="s">
        <v>916</v>
      </c>
      <c r="AG2269" s="44">
        <v>487837.75777777779</v>
      </c>
      <c r="AH2269" s="42" t="s">
        <v>916</v>
      </c>
      <c r="AI2269" s="32" t="e">
        <f>VLOOKUP(A2269,'4月明細'!B:B,1,0)</f>
        <v>#N/A</v>
      </c>
    </row>
    <row r="2270" spans="1:35" ht="19.95" customHeight="1" x14ac:dyDescent="0.3">
      <c r="A2270" s="33" t="s">
        <v>7962</v>
      </c>
      <c r="B2270" s="34">
        <v>45895.621898148151</v>
      </c>
      <c r="C2270" s="34" t="str">
        <f t="shared" si="48"/>
        <v>202508</v>
      </c>
      <c r="D2270" s="35" t="s">
        <v>996</v>
      </c>
      <c r="E2270" s="36" t="s">
        <v>910</v>
      </c>
      <c r="F2270" s="36" t="s">
        <v>1479</v>
      </c>
      <c r="G2270" s="37" t="s">
        <v>7963</v>
      </c>
      <c r="H2270" s="36" t="s">
        <v>4023</v>
      </c>
      <c r="I2270" s="35"/>
      <c r="J2270" s="36" t="s">
        <v>1058</v>
      </c>
      <c r="K2270" s="33" t="s">
        <v>916</v>
      </c>
      <c r="L2270" s="35" t="s">
        <v>916</v>
      </c>
      <c r="M2270" s="36" t="s">
        <v>916</v>
      </c>
      <c r="N2270" s="45">
        <v>46022</v>
      </c>
      <c r="O2270" s="36" t="s">
        <v>25</v>
      </c>
      <c r="P2270" s="38">
        <v>126.3781018518</v>
      </c>
      <c r="Q2270" s="39" t="s">
        <v>5957</v>
      </c>
      <c r="R2270" s="35" t="s">
        <v>916</v>
      </c>
      <c r="S2270" s="35"/>
      <c r="T2270" s="35" t="s">
        <v>1701</v>
      </c>
      <c r="U2270" s="40">
        <v>45896</v>
      </c>
      <c r="V2270" s="41">
        <v>46153.533090277779</v>
      </c>
      <c r="W2270" s="40">
        <v>45895</v>
      </c>
      <c r="X2270" s="35" t="s">
        <v>916</v>
      </c>
      <c r="Y2270" s="35" t="s">
        <v>916</v>
      </c>
      <c r="Z2270" s="35" t="s">
        <v>916</v>
      </c>
      <c r="AA2270" s="38">
        <v>3033.0744444431998</v>
      </c>
      <c r="AB2270" s="42" t="s">
        <v>916</v>
      </c>
      <c r="AC2270" s="43" t="s">
        <v>916</v>
      </c>
      <c r="AD2270" s="43" t="s">
        <v>916</v>
      </c>
      <c r="AE2270" s="33" t="s">
        <v>3982</v>
      </c>
      <c r="AF2270" s="35" t="s">
        <v>916</v>
      </c>
      <c r="AG2270" s="44">
        <v>487838.92555555562</v>
      </c>
      <c r="AH2270" s="42" t="s">
        <v>916</v>
      </c>
      <c r="AI2270" s="32" t="e">
        <f>VLOOKUP(A2270,'4月明細'!B:B,1,0)</f>
        <v>#N/A</v>
      </c>
    </row>
    <row r="2271" spans="1:35" ht="19.95" customHeight="1" x14ac:dyDescent="0.3">
      <c r="A2271" s="33" t="s">
        <v>7964</v>
      </c>
      <c r="B2271" s="34">
        <v>45895.507303240738</v>
      </c>
      <c r="C2271" s="34" t="str">
        <f t="shared" si="48"/>
        <v>202508</v>
      </c>
      <c r="D2271" s="35" t="s">
        <v>951</v>
      </c>
      <c r="E2271" s="36" t="s">
        <v>910</v>
      </c>
      <c r="F2271" s="36" t="s">
        <v>981</v>
      </c>
      <c r="G2271" s="37" t="s">
        <v>7965</v>
      </c>
      <c r="H2271" s="36" t="s">
        <v>956</v>
      </c>
      <c r="I2271" s="35" t="s">
        <v>7966</v>
      </c>
      <c r="J2271" s="36" t="s">
        <v>1058</v>
      </c>
      <c r="K2271" s="33" t="s">
        <v>916</v>
      </c>
      <c r="L2271" s="35" t="s">
        <v>916</v>
      </c>
      <c r="M2271" s="36" t="s">
        <v>916</v>
      </c>
      <c r="N2271" s="45">
        <v>46022</v>
      </c>
      <c r="O2271" s="36" t="s">
        <v>25</v>
      </c>
      <c r="P2271" s="38">
        <v>126.4926967593</v>
      </c>
      <c r="Q2271" s="39" t="s">
        <v>5957</v>
      </c>
      <c r="R2271" s="35" t="s">
        <v>916</v>
      </c>
      <c r="S2271" s="35"/>
      <c r="T2271" s="35" t="s">
        <v>1701</v>
      </c>
      <c r="U2271" s="40">
        <v>45896</v>
      </c>
      <c r="V2271" s="41">
        <v>46153.533090277779</v>
      </c>
      <c r="W2271" s="40">
        <v>45895</v>
      </c>
      <c r="X2271" s="35" t="s">
        <v>916</v>
      </c>
      <c r="Y2271" s="35" t="s">
        <v>916</v>
      </c>
      <c r="Z2271" s="35" t="s">
        <v>916</v>
      </c>
      <c r="AA2271" s="38">
        <v>3035.8247222231998</v>
      </c>
      <c r="AB2271" s="42" t="s">
        <v>916</v>
      </c>
      <c r="AC2271" s="43" t="s">
        <v>916</v>
      </c>
      <c r="AD2271" s="43" t="s">
        <v>916</v>
      </c>
      <c r="AE2271" s="33" t="s">
        <v>3982</v>
      </c>
      <c r="AF2271" s="35" t="s">
        <v>916</v>
      </c>
      <c r="AG2271" s="44">
        <v>487836.17527777777</v>
      </c>
      <c r="AH2271" s="42" t="s">
        <v>916</v>
      </c>
      <c r="AI2271" s="32" t="e">
        <f>VLOOKUP(A2271,'4月明細'!B:B,1,0)</f>
        <v>#N/A</v>
      </c>
    </row>
    <row r="2272" spans="1:35" ht="19.95" customHeight="1" x14ac:dyDescent="0.3">
      <c r="A2272" s="33" t="s">
        <v>7967</v>
      </c>
      <c r="B2272" s="34">
        <v>45895.542905092596</v>
      </c>
      <c r="C2272" s="34" t="str">
        <f t="shared" si="48"/>
        <v>202508</v>
      </c>
      <c r="D2272" s="35" t="s">
        <v>996</v>
      </c>
      <c r="E2272" s="36" t="s">
        <v>910</v>
      </c>
      <c r="F2272" s="36" t="s">
        <v>961</v>
      </c>
      <c r="G2272" s="37" t="s">
        <v>1444</v>
      </c>
      <c r="H2272" s="36" t="s">
        <v>4185</v>
      </c>
      <c r="I2272" s="35"/>
      <c r="J2272" s="36" t="s">
        <v>929</v>
      </c>
      <c r="K2272" s="33" t="s">
        <v>916</v>
      </c>
      <c r="L2272" s="35" t="s">
        <v>916</v>
      </c>
      <c r="M2272" s="36" t="s">
        <v>916</v>
      </c>
      <c r="N2272" s="45">
        <v>46022</v>
      </c>
      <c r="O2272" s="36" t="s">
        <v>25</v>
      </c>
      <c r="P2272" s="38">
        <v>126.45709490740001</v>
      </c>
      <c r="Q2272" s="39" t="s">
        <v>7968</v>
      </c>
      <c r="R2272" s="35" t="s">
        <v>916</v>
      </c>
      <c r="S2272" s="35" t="s">
        <v>7969</v>
      </c>
      <c r="T2272" s="35" t="s">
        <v>1701</v>
      </c>
      <c r="U2272" s="40">
        <v>45896</v>
      </c>
      <c r="V2272" s="41">
        <v>46153.533090277779</v>
      </c>
      <c r="W2272" s="40">
        <v>45895</v>
      </c>
      <c r="X2272" s="35" t="s">
        <v>916</v>
      </c>
      <c r="Y2272" s="35" t="s">
        <v>916</v>
      </c>
      <c r="Z2272" s="35" t="s">
        <v>916</v>
      </c>
      <c r="AA2272" s="38">
        <v>3034.9702777776001</v>
      </c>
      <c r="AB2272" s="42" t="s">
        <v>916</v>
      </c>
      <c r="AC2272" s="43" t="s">
        <v>916</v>
      </c>
      <c r="AD2272" s="43" t="s">
        <v>916</v>
      </c>
      <c r="AE2272" s="33" t="s">
        <v>3982</v>
      </c>
      <c r="AF2272" s="35" t="s">
        <v>916</v>
      </c>
      <c r="AG2272" s="44">
        <v>487841.46666666667</v>
      </c>
      <c r="AH2272" s="42" t="s">
        <v>916</v>
      </c>
      <c r="AI2272" s="32" t="e">
        <f>VLOOKUP(A2272,'4月明細'!B:B,1,0)</f>
        <v>#N/A</v>
      </c>
    </row>
    <row r="2273" spans="1:35" ht="19.95" customHeight="1" x14ac:dyDescent="0.3">
      <c r="A2273" s="33" t="s">
        <v>7970</v>
      </c>
      <c r="B2273" s="34">
        <v>45895.541481481479</v>
      </c>
      <c r="C2273" s="34" t="str">
        <f t="shared" si="48"/>
        <v>202508</v>
      </c>
      <c r="D2273" s="35" t="s">
        <v>6281</v>
      </c>
      <c r="E2273" s="36" t="s">
        <v>910</v>
      </c>
      <c r="F2273" s="36" t="s">
        <v>1295</v>
      </c>
      <c r="G2273" s="37" t="s">
        <v>7971</v>
      </c>
      <c r="H2273" s="36" t="s">
        <v>913</v>
      </c>
      <c r="I2273" s="35"/>
      <c r="J2273" s="36" t="s">
        <v>929</v>
      </c>
      <c r="K2273" s="33" t="s">
        <v>916</v>
      </c>
      <c r="L2273" s="35" t="s">
        <v>916</v>
      </c>
      <c r="M2273" s="36" t="s">
        <v>916</v>
      </c>
      <c r="N2273" s="45">
        <v>46022</v>
      </c>
      <c r="O2273" s="36" t="s">
        <v>25</v>
      </c>
      <c r="P2273" s="38">
        <v>126.4585185185</v>
      </c>
      <c r="Q2273" s="39" t="s">
        <v>7155</v>
      </c>
      <c r="R2273" s="35" t="s">
        <v>916</v>
      </c>
      <c r="S2273" s="35"/>
      <c r="T2273" s="35" t="s">
        <v>1701</v>
      </c>
      <c r="U2273" s="40">
        <v>45896</v>
      </c>
      <c r="V2273" s="41">
        <v>46153.533090277779</v>
      </c>
      <c r="W2273" s="40">
        <v>45895</v>
      </c>
      <c r="X2273" s="35" t="s">
        <v>916</v>
      </c>
      <c r="Y2273" s="35" t="s">
        <v>916</v>
      </c>
      <c r="Z2273" s="35" t="s">
        <v>916</v>
      </c>
      <c r="AA2273" s="38">
        <v>3035.004444444</v>
      </c>
      <c r="AB2273" s="42" t="s">
        <v>916</v>
      </c>
      <c r="AC2273" s="43" t="s">
        <v>916</v>
      </c>
      <c r="AD2273" s="43" t="s">
        <v>916</v>
      </c>
      <c r="AE2273" s="33" t="s">
        <v>3982</v>
      </c>
      <c r="AF2273" s="35" t="s">
        <v>916</v>
      </c>
      <c r="AG2273" s="44">
        <v>487836.99555555562</v>
      </c>
      <c r="AH2273" s="42" t="s">
        <v>916</v>
      </c>
      <c r="AI2273" s="32" t="e">
        <f>VLOOKUP(A2273,'4月明細'!B:B,1,0)</f>
        <v>#N/A</v>
      </c>
    </row>
    <row r="2274" spans="1:35" ht="19.95" customHeight="1" x14ac:dyDescent="0.3">
      <c r="A2274" s="33" t="s">
        <v>7972</v>
      </c>
      <c r="B2274" s="34">
        <v>45895.51326388889</v>
      </c>
      <c r="C2274" s="34" t="str">
        <f t="shared" si="48"/>
        <v>202508</v>
      </c>
      <c r="D2274" s="35" t="s">
        <v>996</v>
      </c>
      <c r="E2274" s="36" t="s">
        <v>910</v>
      </c>
      <c r="F2274" s="36" t="s">
        <v>1531</v>
      </c>
      <c r="G2274" s="37" t="s">
        <v>7973</v>
      </c>
      <c r="H2274" s="36" t="s">
        <v>4017</v>
      </c>
      <c r="I2274" s="35"/>
      <c r="J2274" s="36" t="s">
        <v>929</v>
      </c>
      <c r="K2274" s="33" t="s">
        <v>916</v>
      </c>
      <c r="L2274" s="35" t="s">
        <v>916</v>
      </c>
      <c r="M2274" s="36" t="s">
        <v>916</v>
      </c>
      <c r="N2274" s="45">
        <v>46022</v>
      </c>
      <c r="O2274" s="36" t="s">
        <v>25</v>
      </c>
      <c r="P2274" s="38">
        <v>126.4867361111</v>
      </c>
      <c r="Q2274" s="39" t="s">
        <v>2171</v>
      </c>
      <c r="R2274" s="35" t="s">
        <v>916</v>
      </c>
      <c r="S2274" s="35" t="s">
        <v>7863</v>
      </c>
      <c r="T2274" s="35" t="s">
        <v>1701</v>
      </c>
      <c r="U2274" s="40">
        <v>45896</v>
      </c>
      <c r="V2274" s="41">
        <v>46153.533090277779</v>
      </c>
      <c r="W2274" s="40">
        <v>45895</v>
      </c>
      <c r="X2274" s="35" t="s">
        <v>916</v>
      </c>
      <c r="Y2274" s="35" t="s">
        <v>916</v>
      </c>
      <c r="Z2274" s="35" t="s">
        <v>916</v>
      </c>
      <c r="AA2274" s="38">
        <v>3035.6816666663999</v>
      </c>
      <c r="AB2274" s="42" t="s">
        <v>916</v>
      </c>
      <c r="AC2274" s="43" t="s">
        <v>916</v>
      </c>
      <c r="AD2274" s="43" t="s">
        <v>916</v>
      </c>
      <c r="AE2274" s="33" t="s">
        <v>3982</v>
      </c>
      <c r="AF2274" s="35" t="s">
        <v>916</v>
      </c>
      <c r="AG2274" s="44">
        <v>487836.31833333342</v>
      </c>
      <c r="AH2274" s="42" t="s">
        <v>916</v>
      </c>
      <c r="AI2274" s="32" t="e">
        <f>VLOOKUP(A2274,'4月明細'!B:B,1,0)</f>
        <v>#N/A</v>
      </c>
    </row>
    <row r="2275" spans="1:35" ht="19.95" customHeight="1" x14ac:dyDescent="0.3">
      <c r="A2275" s="33" t="s">
        <v>7974</v>
      </c>
      <c r="B2275" s="34">
        <v>45895.458194444444</v>
      </c>
      <c r="C2275" s="34" t="str">
        <f t="shared" si="48"/>
        <v>202508</v>
      </c>
      <c r="D2275" s="35" t="s">
        <v>951</v>
      </c>
      <c r="E2275" s="36" t="s">
        <v>910</v>
      </c>
      <c r="F2275" s="36" t="s">
        <v>1068</v>
      </c>
      <c r="G2275" s="37" t="s">
        <v>7975</v>
      </c>
      <c r="H2275" s="36" t="s">
        <v>1432</v>
      </c>
      <c r="I2275" s="35" t="s">
        <v>7976</v>
      </c>
      <c r="J2275" s="36" t="s">
        <v>929</v>
      </c>
      <c r="K2275" s="33" t="s">
        <v>916</v>
      </c>
      <c r="L2275" s="35" t="s">
        <v>916</v>
      </c>
      <c r="M2275" s="36" t="s">
        <v>916</v>
      </c>
      <c r="N2275" s="45">
        <v>46022</v>
      </c>
      <c r="O2275" s="36" t="s">
        <v>25</v>
      </c>
      <c r="P2275" s="38">
        <v>126.54180555560001</v>
      </c>
      <c r="Q2275" s="39" t="s">
        <v>7977</v>
      </c>
      <c r="R2275" s="35" t="s">
        <v>916</v>
      </c>
      <c r="S2275" s="35"/>
      <c r="T2275" s="35" t="s">
        <v>1701</v>
      </c>
      <c r="U2275" s="40">
        <v>45896</v>
      </c>
      <c r="V2275" s="41">
        <v>46153.533090277779</v>
      </c>
      <c r="W2275" s="40">
        <v>45895</v>
      </c>
      <c r="X2275" s="35" t="s">
        <v>916</v>
      </c>
      <c r="Y2275" s="35" t="s">
        <v>916</v>
      </c>
      <c r="Z2275" s="35" t="s">
        <v>916</v>
      </c>
      <c r="AA2275" s="38">
        <v>3037.0033333343999</v>
      </c>
      <c r="AB2275" s="42" t="s">
        <v>916</v>
      </c>
      <c r="AC2275" s="43" t="s">
        <v>916</v>
      </c>
      <c r="AD2275" s="43" t="s">
        <v>916</v>
      </c>
      <c r="AE2275" s="33" t="s">
        <v>3982</v>
      </c>
      <c r="AF2275" s="35" t="s">
        <v>916</v>
      </c>
      <c r="AG2275" s="44">
        <v>487834.99666666659</v>
      </c>
      <c r="AH2275" s="42" t="s">
        <v>916</v>
      </c>
      <c r="AI2275" s="32" t="e">
        <f>VLOOKUP(A2275,'4月明細'!B:B,1,0)</f>
        <v>#N/A</v>
      </c>
    </row>
    <row r="2276" spans="1:35" ht="19.95" customHeight="1" x14ac:dyDescent="0.3">
      <c r="A2276" s="33" t="s">
        <v>7978</v>
      </c>
      <c r="B2276" s="34">
        <v>45895.470891203702</v>
      </c>
      <c r="C2276" s="34" t="str">
        <f t="shared" si="48"/>
        <v>202508</v>
      </c>
      <c r="D2276" s="35" t="s">
        <v>996</v>
      </c>
      <c r="E2276" s="36" t="s">
        <v>910</v>
      </c>
      <c r="F2276" s="36" t="s">
        <v>1799</v>
      </c>
      <c r="G2276" s="37" t="s">
        <v>7979</v>
      </c>
      <c r="H2276" s="36" t="s">
        <v>913</v>
      </c>
      <c r="I2276" s="35"/>
      <c r="J2276" s="36" t="s">
        <v>914</v>
      </c>
      <c r="K2276" s="33" t="s">
        <v>916</v>
      </c>
      <c r="L2276" s="35" t="s">
        <v>916</v>
      </c>
      <c r="M2276" s="36" t="s">
        <v>916</v>
      </c>
      <c r="N2276" s="45">
        <v>46022</v>
      </c>
      <c r="O2276" s="36" t="s">
        <v>25</v>
      </c>
      <c r="P2276" s="38">
        <v>126.52910879629999</v>
      </c>
      <c r="Q2276" s="39" t="s">
        <v>7155</v>
      </c>
      <c r="R2276" s="35" t="s">
        <v>916</v>
      </c>
      <c r="S2276" s="35"/>
      <c r="T2276" s="35" t="s">
        <v>1701</v>
      </c>
      <c r="U2276" s="40">
        <v>45896</v>
      </c>
      <c r="V2276" s="41">
        <v>46153.533090277779</v>
      </c>
      <c r="W2276" s="40">
        <v>45895</v>
      </c>
      <c r="X2276" s="35" t="s">
        <v>916</v>
      </c>
      <c r="Y2276" s="35" t="s">
        <v>916</v>
      </c>
      <c r="Z2276" s="35" t="s">
        <v>916</v>
      </c>
      <c r="AA2276" s="38">
        <v>3036.6986111112001</v>
      </c>
      <c r="AB2276" s="42" t="s">
        <v>916</v>
      </c>
      <c r="AC2276" s="43" t="s">
        <v>916</v>
      </c>
      <c r="AD2276" s="43" t="s">
        <v>916</v>
      </c>
      <c r="AE2276" s="33" t="s">
        <v>3982</v>
      </c>
      <c r="AF2276" s="35" t="s">
        <v>916</v>
      </c>
      <c r="AG2276" s="44">
        <v>487835.30138888891</v>
      </c>
      <c r="AH2276" s="42" t="s">
        <v>916</v>
      </c>
      <c r="AI2276" s="32" t="e">
        <f>VLOOKUP(A2276,'4月明細'!B:B,1,0)</f>
        <v>#N/A</v>
      </c>
    </row>
    <row r="2277" spans="1:35" ht="19.95" customHeight="1" x14ac:dyDescent="0.3">
      <c r="A2277" s="33" t="s">
        <v>7980</v>
      </c>
      <c r="B2277" s="34">
        <v>45895.457777777781</v>
      </c>
      <c r="C2277" s="34" t="str">
        <f t="shared" si="48"/>
        <v>202508</v>
      </c>
      <c r="D2277" s="35" t="s">
        <v>951</v>
      </c>
      <c r="E2277" s="36" t="s">
        <v>910</v>
      </c>
      <c r="F2277" s="36" t="s">
        <v>1213</v>
      </c>
      <c r="G2277" s="37" t="s">
        <v>7981</v>
      </c>
      <c r="H2277" s="36" t="s">
        <v>4060</v>
      </c>
      <c r="I2277" s="35" t="s">
        <v>7982</v>
      </c>
      <c r="J2277" s="36" t="s">
        <v>1058</v>
      </c>
      <c r="K2277" s="33" t="s">
        <v>916</v>
      </c>
      <c r="L2277" s="35" t="s">
        <v>916</v>
      </c>
      <c r="M2277" s="36" t="s">
        <v>916</v>
      </c>
      <c r="N2277" s="45">
        <v>46022</v>
      </c>
      <c r="O2277" s="36" t="s">
        <v>25</v>
      </c>
      <c r="P2277" s="38">
        <v>126.5422222222</v>
      </c>
      <c r="Q2277" s="39" t="s">
        <v>7983</v>
      </c>
      <c r="R2277" s="35" t="s">
        <v>916</v>
      </c>
      <c r="S2277" s="35"/>
      <c r="T2277" s="35" t="s">
        <v>1701</v>
      </c>
      <c r="U2277" s="40">
        <v>45896</v>
      </c>
      <c r="V2277" s="41">
        <v>46153.533090277779</v>
      </c>
      <c r="W2277" s="40">
        <v>45895</v>
      </c>
      <c r="X2277" s="35" t="s">
        <v>916</v>
      </c>
      <c r="Y2277" s="35" t="s">
        <v>916</v>
      </c>
      <c r="Z2277" s="35" t="s">
        <v>916</v>
      </c>
      <c r="AA2277" s="38">
        <v>3037.0133333327999</v>
      </c>
      <c r="AB2277" s="42" t="s">
        <v>916</v>
      </c>
      <c r="AC2277" s="43" t="s">
        <v>916</v>
      </c>
      <c r="AD2277" s="43" t="s">
        <v>916</v>
      </c>
      <c r="AE2277" s="33" t="s">
        <v>3982</v>
      </c>
      <c r="AF2277" s="35" t="s">
        <v>916</v>
      </c>
      <c r="AG2277" s="44">
        <v>487834.98666666669</v>
      </c>
      <c r="AH2277" s="42" t="s">
        <v>916</v>
      </c>
      <c r="AI2277" s="32" t="e">
        <f>VLOOKUP(A2277,'4月明細'!B:B,1,0)</f>
        <v>#N/A</v>
      </c>
    </row>
    <row r="2278" spans="1:35" ht="19.95" customHeight="1" x14ac:dyDescent="0.3">
      <c r="A2278" s="33" t="s">
        <v>7984</v>
      </c>
      <c r="B2278" s="34">
        <v>45895.391250000001</v>
      </c>
      <c r="C2278" s="34" t="str">
        <f t="shared" si="48"/>
        <v>202508</v>
      </c>
      <c r="D2278" s="35" t="s">
        <v>7985</v>
      </c>
      <c r="E2278" s="36" t="s">
        <v>1112</v>
      </c>
      <c r="F2278" s="36" t="s">
        <v>1045</v>
      </c>
      <c r="G2278" s="37" t="s">
        <v>7986</v>
      </c>
      <c r="H2278" s="36" t="s">
        <v>1048</v>
      </c>
      <c r="I2278" s="35"/>
      <c r="J2278" s="36" t="s">
        <v>945</v>
      </c>
      <c r="K2278" s="33" t="s">
        <v>916</v>
      </c>
      <c r="L2278" s="35" t="s">
        <v>916</v>
      </c>
      <c r="M2278" s="36" t="s">
        <v>916</v>
      </c>
      <c r="N2278" s="45">
        <v>46022</v>
      </c>
      <c r="O2278" s="36" t="s">
        <v>25</v>
      </c>
      <c r="P2278" s="38">
        <v>126.60875</v>
      </c>
      <c r="Q2278" s="39" t="s">
        <v>7987</v>
      </c>
      <c r="R2278" s="35" t="s">
        <v>916</v>
      </c>
      <c r="S2278" s="35" t="s">
        <v>7988</v>
      </c>
      <c r="T2278" s="35" t="s">
        <v>1701</v>
      </c>
      <c r="U2278" s="40">
        <v>45896</v>
      </c>
      <c r="V2278" s="41">
        <v>46153.533090277779</v>
      </c>
      <c r="W2278" s="40">
        <v>45895</v>
      </c>
      <c r="X2278" s="35" t="s">
        <v>916</v>
      </c>
      <c r="Y2278" s="35" t="s">
        <v>916</v>
      </c>
      <c r="Z2278" s="35" t="s">
        <v>916</v>
      </c>
      <c r="AA2278" s="38">
        <v>3038.61</v>
      </c>
      <c r="AB2278" s="42" t="s">
        <v>916</v>
      </c>
      <c r="AC2278" s="43" t="s">
        <v>916</v>
      </c>
      <c r="AD2278" s="43" t="s">
        <v>916</v>
      </c>
      <c r="AE2278" s="33" t="s">
        <v>3982</v>
      </c>
      <c r="AF2278" s="35" t="s">
        <v>916</v>
      </c>
      <c r="AG2278" s="44">
        <v>487833.39</v>
      </c>
      <c r="AH2278" s="42" t="s">
        <v>916</v>
      </c>
      <c r="AI2278" s="32" t="e">
        <f>VLOOKUP(A2278,'4月明細'!B:B,1,0)</f>
        <v>#N/A</v>
      </c>
    </row>
    <row r="2279" spans="1:35" ht="19.95" customHeight="1" x14ac:dyDescent="0.3">
      <c r="A2279" s="33" t="s">
        <v>7989</v>
      </c>
      <c r="B2279" s="34">
        <v>45894.698819444442</v>
      </c>
      <c r="C2279" s="34" t="str">
        <f t="shared" si="48"/>
        <v>202508</v>
      </c>
      <c r="D2279" s="35" t="s">
        <v>5380</v>
      </c>
      <c r="E2279" s="36" t="s">
        <v>910</v>
      </c>
      <c r="F2279" s="36" t="s">
        <v>1748</v>
      </c>
      <c r="G2279" s="37" t="s">
        <v>7990</v>
      </c>
      <c r="H2279" s="36" t="s">
        <v>7825</v>
      </c>
      <c r="I2279" s="35" t="s">
        <v>7991</v>
      </c>
      <c r="J2279" s="36" t="s">
        <v>929</v>
      </c>
      <c r="K2279" s="33" t="s">
        <v>916</v>
      </c>
      <c r="L2279" s="35" t="s">
        <v>916</v>
      </c>
      <c r="M2279" s="36" t="s">
        <v>916</v>
      </c>
      <c r="N2279" s="45">
        <v>46022</v>
      </c>
      <c r="O2279" s="36" t="s">
        <v>25</v>
      </c>
      <c r="P2279" s="38">
        <v>127.3011805556</v>
      </c>
      <c r="Q2279" s="39" t="s">
        <v>7992</v>
      </c>
      <c r="R2279" s="35" t="s">
        <v>916</v>
      </c>
      <c r="S2279" s="35"/>
      <c r="T2279" s="35" t="s">
        <v>1701</v>
      </c>
      <c r="U2279" s="40">
        <v>45895</v>
      </c>
      <c r="V2279" s="41">
        <v>46153.533090277779</v>
      </c>
      <c r="W2279" s="40">
        <v>45894</v>
      </c>
      <c r="X2279" s="35" t="s">
        <v>916</v>
      </c>
      <c r="Y2279" s="35" t="s">
        <v>916</v>
      </c>
      <c r="Z2279" s="35" t="s">
        <v>916</v>
      </c>
      <c r="AA2279" s="38">
        <v>3055.2283333343998</v>
      </c>
      <c r="AB2279" s="42" t="s">
        <v>916</v>
      </c>
      <c r="AC2279" s="43" t="s">
        <v>916</v>
      </c>
      <c r="AD2279" s="43" t="s">
        <v>916</v>
      </c>
      <c r="AE2279" s="33" t="s">
        <v>3982</v>
      </c>
      <c r="AF2279" s="35" t="s">
        <v>916</v>
      </c>
      <c r="AG2279" s="44">
        <v>487816.77166666673</v>
      </c>
      <c r="AH2279" s="42" t="s">
        <v>916</v>
      </c>
      <c r="AI2279" s="32" t="e">
        <f>VLOOKUP(A2279,'4月明細'!B:B,1,0)</f>
        <v>#N/A</v>
      </c>
    </row>
    <row r="2280" spans="1:35" ht="19.95" customHeight="1" x14ac:dyDescent="0.3">
      <c r="A2280" s="33" t="s">
        <v>7993</v>
      </c>
      <c r="B2280" s="34">
        <v>45894.679513888892</v>
      </c>
      <c r="C2280" s="34" t="str">
        <f t="shared" si="48"/>
        <v>202508</v>
      </c>
      <c r="D2280" s="35" t="s">
        <v>6281</v>
      </c>
      <c r="E2280" s="36" t="s">
        <v>910</v>
      </c>
      <c r="F2280" s="36" t="s">
        <v>1750</v>
      </c>
      <c r="G2280" s="37" t="s">
        <v>7994</v>
      </c>
      <c r="H2280" s="36" t="s">
        <v>3985</v>
      </c>
      <c r="I2280" s="35"/>
      <c r="J2280" s="36" t="s">
        <v>929</v>
      </c>
      <c r="K2280" s="33" t="s">
        <v>916</v>
      </c>
      <c r="L2280" s="35" t="s">
        <v>916</v>
      </c>
      <c r="M2280" s="36" t="s">
        <v>916</v>
      </c>
      <c r="N2280" s="45">
        <v>46022</v>
      </c>
      <c r="O2280" s="36" t="s">
        <v>25</v>
      </c>
      <c r="P2280" s="38">
        <v>127.3204861111</v>
      </c>
      <c r="Q2280" s="39" t="s">
        <v>7995</v>
      </c>
      <c r="R2280" s="35" t="s">
        <v>916</v>
      </c>
      <c r="S2280" s="35"/>
      <c r="T2280" s="35" t="s">
        <v>1701</v>
      </c>
      <c r="U2280" s="40">
        <v>45895</v>
      </c>
      <c r="V2280" s="41">
        <v>46153.533090277779</v>
      </c>
      <c r="W2280" s="40">
        <v>45894</v>
      </c>
      <c r="X2280" s="35" t="s">
        <v>916</v>
      </c>
      <c r="Y2280" s="35" t="s">
        <v>916</v>
      </c>
      <c r="Z2280" s="35" t="s">
        <v>916</v>
      </c>
      <c r="AA2280" s="38">
        <v>3055.6916666664001</v>
      </c>
      <c r="AB2280" s="42" t="s">
        <v>916</v>
      </c>
      <c r="AC2280" s="43" t="s">
        <v>916</v>
      </c>
      <c r="AD2280" s="43" t="s">
        <v>916</v>
      </c>
      <c r="AE2280" s="33" t="s">
        <v>3982</v>
      </c>
      <c r="AF2280" s="35" t="s">
        <v>916</v>
      </c>
      <c r="AG2280" s="44">
        <v>487816.30833333329</v>
      </c>
      <c r="AH2280" s="42" t="s">
        <v>916</v>
      </c>
      <c r="AI2280" s="32" t="e">
        <f>VLOOKUP(A2280,'4月明細'!B:B,1,0)</f>
        <v>#N/A</v>
      </c>
    </row>
    <row r="2281" spans="1:35" ht="19.95" customHeight="1" x14ac:dyDescent="0.3">
      <c r="A2281" s="33" t="s">
        <v>7996</v>
      </c>
      <c r="B2281" s="34">
        <v>45894.664120370369</v>
      </c>
      <c r="C2281" s="34" t="str">
        <f t="shared" si="48"/>
        <v>202508</v>
      </c>
      <c r="D2281" s="35" t="s">
        <v>5380</v>
      </c>
      <c r="E2281" s="36" t="s">
        <v>910</v>
      </c>
      <c r="F2281" s="36" t="s">
        <v>1203</v>
      </c>
      <c r="G2281" s="37" t="s">
        <v>7997</v>
      </c>
      <c r="H2281" s="36" t="s">
        <v>5927</v>
      </c>
      <c r="I2281" s="35" t="s">
        <v>7998</v>
      </c>
      <c r="J2281" s="36" t="s">
        <v>929</v>
      </c>
      <c r="K2281" s="33" t="s">
        <v>916</v>
      </c>
      <c r="L2281" s="35" t="s">
        <v>916</v>
      </c>
      <c r="M2281" s="36" t="s">
        <v>916</v>
      </c>
      <c r="N2281" s="45">
        <v>46022</v>
      </c>
      <c r="O2281" s="36" t="s">
        <v>25</v>
      </c>
      <c r="P2281" s="38">
        <v>127.3358796296</v>
      </c>
      <c r="Q2281" s="39" t="s">
        <v>7999</v>
      </c>
      <c r="R2281" s="35" t="s">
        <v>916</v>
      </c>
      <c r="S2281" s="35" t="s">
        <v>8000</v>
      </c>
      <c r="T2281" s="35" t="s">
        <v>1701</v>
      </c>
      <c r="U2281" s="40">
        <v>45895</v>
      </c>
      <c r="V2281" s="41">
        <v>46153.533090277779</v>
      </c>
      <c r="W2281" s="40">
        <v>45894</v>
      </c>
      <c r="X2281" s="35" t="s">
        <v>916</v>
      </c>
      <c r="Y2281" s="35" t="s">
        <v>916</v>
      </c>
      <c r="Z2281" s="35" t="s">
        <v>916</v>
      </c>
      <c r="AA2281" s="38">
        <v>3056.0611111103999</v>
      </c>
      <c r="AB2281" s="42" t="s">
        <v>916</v>
      </c>
      <c r="AC2281" s="43" t="s">
        <v>916</v>
      </c>
      <c r="AD2281" s="43" t="s">
        <v>916</v>
      </c>
      <c r="AE2281" s="33" t="s">
        <v>3982</v>
      </c>
      <c r="AF2281" s="35" t="s">
        <v>916</v>
      </c>
      <c r="AG2281" s="44">
        <v>487815.93888888892</v>
      </c>
      <c r="AH2281" s="42" t="s">
        <v>916</v>
      </c>
      <c r="AI2281" s="32" t="e">
        <f>VLOOKUP(A2281,'4月明細'!B:B,1,0)</f>
        <v>#N/A</v>
      </c>
    </row>
    <row r="2282" spans="1:35" ht="19.95" customHeight="1" x14ac:dyDescent="0.3">
      <c r="A2282" s="33" t="s">
        <v>8001</v>
      </c>
      <c r="B2282" s="34">
        <v>45894.658576388887</v>
      </c>
      <c r="C2282" s="34" t="str">
        <f t="shared" si="48"/>
        <v>202508</v>
      </c>
      <c r="D2282" s="35" t="s">
        <v>6847</v>
      </c>
      <c r="E2282" s="36" t="s">
        <v>910</v>
      </c>
      <c r="F2282" s="36" t="s">
        <v>1295</v>
      </c>
      <c r="G2282" s="37" t="s">
        <v>8002</v>
      </c>
      <c r="H2282" s="36" t="s">
        <v>4029</v>
      </c>
      <c r="I2282" s="35"/>
      <c r="J2282" s="36" t="s">
        <v>938</v>
      </c>
      <c r="K2282" s="33" t="s">
        <v>916</v>
      </c>
      <c r="L2282" s="35" t="s">
        <v>916</v>
      </c>
      <c r="M2282" s="36" t="s">
        <v>916</v>
      </c>
      <c r="N2282" s="45">
        <v>46022</v>
      </c>
      <c r="O2282" s="36" t="s">
        <v>25</v>
      </c>
      <c r="P2282" s="38">
        <v>127.3414236111</v>
      </c>
      <c r="Q2282" s="39" t="s">
        <v>1328</v>
      </c>
      <c r="R2282" s="35" t="s">
        <v>916</v>
      </c>
      <c r="S2282" s="35"/>
      <c r="T2282" s="35" t="s">
        <v>1701</v>
      </c>
      <c r="U2282" s="40">
        <v>45895</v>
      </c>
      <c r="V2282" s="41">
        <v>46153.533090277779</v>
      </c>
      <c r="W2282" s="40">
        <v>45894</v>
      </c>
      <c r="X2282" s="35" t="s">
        <v>916</v>
      </c>
      <c r="Y2282" s="35" t="s">
        <v>916</v>
      </c>
      <c r="Z2282" s="35" t="s">
        <v>916</v>
      </c>
      <c r="AA2282" s="38">
        <v>3056.1941666664002</v>
      </c>
      <c r="AB2282" s="42" t="s">
        <v>916</v>
      </c>
      <c r="AC2282" s="43" t="s">
        <v>916</v>
      </c>
      <c r="AD2282" s="43" t="s">
        <v>916</v>
      </c>
      <c r="AE2282" s="33" t="s">
        <v>3982</v>
      </c>
      <c r="AF2282" s="35" t="s">
        <v>916</v>
      </c>
      <c r="AG2282" s="44">
        <v>487815.8058333334</v>
      </c>
      <c r="AH2282" s="42" t="s">
        <v>916</v>
      </c>
      <c r="AI2282" s="32" t="e">
        <f>VLOOKUP(A2282,'4月明細'!B:B,1,0)</f>
        <v>#N/A</v>
      </c>
    </row>
    <row r="2283" spans="1:35" ht="19.95" customHeight="1" x14ac:dyDescent="0.3">
      <c r="A2283" s="33" t="s">
        <v>8003</v>
      </c>
      <c r="B2283" s="34">
        <v>45894.516041666669</v>
      </c>
      <c r="C2283" s="34" t="str">
        <f t="shared" si="48"/>
        <v>202508</v>
      </c>
      <c r="D2283" s="35" t="s">
        <v>951</v>
      </c>
      <c r="E2283" s="36" t="s">
        <v>910</v>
      </c>
      <c r="F2283" s="36" t="s">
        <v>1568</v>
      </c>
      <c r="G2283" s="37" t="s">
        <v>8004</v>
      </c>
      <c r="H2283" s="36" t="s">
        <v>970</v>
      </c>
      <c r="I2283" s="35" t="s">
        <v>8005</v>
      </c>
      <c r="J2283" s="36" t="s">
        <v>929</v>
      </c>
      <c r="K2283" s="33" t="s">
        <v>916</v>
      </c>
      <c r="L2283" s="35" t="s">
        <v>916</v>
      </c>
      <c r="M2283" s="36" t="s">
        <v>916</v>
      </c>
      <c r="N2283" s="45">
        <v>46022</v>
      </c>
      <c r="O2283" s="36" t="s">
        <v>25</v>
      </c>
      <c r="P2283" s="38">
        <v>127.4839583333</v>
      </c>
      <c r="Q2283" s="39" t="s">
        <v>8006</v>
      </c>
      <c r="R2283" s="35" t="s">
        <v>916</v>
      </c>
      <c r="S2283" s="35" t="s">
        <v>8007</v>
      </c>
      <c r="T2283" s="35" t="s">
        <v>1701</v>
      </c>
      <c r="U2283" s="40">
        <v>45895</v>
      </c>
      <c r="V2283" s="41">
        <v>46153.533090277779</v>
      </c>
      <c r="W2283" s="40">
        <v>45894</v>
      </c>
      <c r="X2283" s="35" t="s">
        <v>916</v>
      </c>
      <c r="Y2283" s="35" t="s">
        <v>916</v>
      </c>
      <c r="Z2283" s="35" t="s">
        <v>916</v>
      </c>
      <c r="AA2283" s="38">
        <v>3059.6149999991999</v>
      </c>
      <c r="AB2283" s="42" t="s">
        <v>916</v>
      </c>
      <c r="AC2283" s="43" t="s">
        <v>916</v>
      </c>
      <c r="AD2283" s="43" t="s">
        <v>916</v>
      </c>
      <c r="AE2283" s="33" t="s">
        <v>3982</v>
      </c>
      <c r="AF2283" s="35" t="s">
        <v>916</v>
      </c>
      <c r="AG2283" s="44">
        <v>487812.38500000001</v>
      </c>
      <c r="AH2283" s="42" t="s">
        <v>916</v>
      </c>
      <c r="AI2283" s="32" t="e">
        <f>VLOOKUP(A2283,'4月明細'!B:B,1,0)</f>
        <v>#N/A</v>
      </c>
    </row>
    <row r="2284" spans="1:35" ht="19.95" customHeight="1" x14ac:dyDescent="0.3">
      <c r="A2284" s="33" t="s">
        <v>8008</v>
      </c>
      <c r="B2284" s="34">
        <v>45894.615497685183</v>
      </c>
      <c r="C2284" s="34" t="str">
        <f t="shared" si="48"/>
        <v>202508</v>
      </c>
      <c r="D2284" s="35" t="s">
        <v>6281</v>
      </c>
      <c r="E2284" s="36" t="s">
        <v>910</v>
      </c>
      <c r="F2284" s="36" t="s">
        <v>1967</v>
      </c>
      <c r="G2284" s="37" t="s">
        <v>8009</v>
      </c>
      <c r="H2284" s="36" t="s">
        <v>956</v>
      </c>
      <c r="I2284" s="35" t="s">
        <v>8010</v>
      </c>
      <c r="J2284" s="36" t="s">
        <v>914</v>
      </c>
      <c r="K2284" s="33" t="s">
        <v>916</v>
      </c>
      <c r="L2284" s="35" t="s">
        <v>916</v>
      </c>
      <c r="M2284" s="36" t="s">
        <v>916</v>
      </c>
      <c r="N2284" s="45">
        <v>46022</v>
      </c>
      <c r="O2284" s="36" t="s">
        <v>25</v>
      </c>
      <c r="P2284" s="38">
        <v>127.3845023148</v>
      </c>
      <c r="Q2284" s="39" t="s">
        <v>8011</v>
      </c>
      <c r="R2284" s="35" t="s">
        <v>916</v>
      </c>
      <c r="S2284" s="35" t="s">
        <v>8012</v>
      </c>
      <c r="T2284" s="35" t="s">
        <v>1701</v>
      </c>
      <c r="U2284" s="40">
        <v>45895</v>
      </c>
      <c r="V2284" s="41">
        <v>46153.533090277779</v>
      </c>
      <c r="W2284" s="40">
        <v>45894</v>
      </c>
      <c r="X2284" s="35" t="s">
        <v>916</v>
      </c>
      <c r="Y2284" s="35" t="s">
        <v>916</v>
      </c>
      <c r="Z2284" s="35" t="s">
        <v>916</v>
      </c>
      <c r="AA2284" s="38">
        <v>3057.2280555552002</v>
      </c>
      <c r="AB2284" s="42" t="s">
        <v>916</v>
      </c>
      <c r="AC2284" s="43" t="s">
        <v>916</v>
      </c>
      <c r="AD2284" s="43" t="s">
        <v>916</v>
      </c>
      <c r="AE2284" s="33" t="s">
        <v>3982</v>
      </c>
      <c r="AF2284" s="35" t="s">
        <v>916</v>
      </c>
      <c r="AG2284" s="44">
        <v>487814.77194444451</v>
      </c>
      <c r="AH2284" s="42" t="s">
        <v>916</v>
      </c>
      <c r="AI2284" s="32" t="e">
        <f>VLOOKUP(A2284,'4月明細'!B:B,1,0)</f>
        <v>#N/A</v>
      </c>
    </row>
    <row r="2285" spans="1:35" ht="19.95" customHeight="1" x14ac:dyDescent="0.3">
      <c r="A2285" s="33" t="s">
        <v>8013</v>
      </c>
      <c r="B2285" s="34">
        <v>45894.606053240743</v>
      </c>
      <c r="C2285" s="34" t="str">
        <f t="shared" si="48"/>
        <v>202508</v>
      </c>
      <c r="D2285" s="35" t="s">
        <v>5380</v>
      </c>
      <c r="E2285" s="36" t="s">
        <v>910</v>
      </c>
      <c r="F2285" s="36" t="s">
        <v>1253</v>
      </c>
      <c r="G2285" s="37" t="s">
        <v>8014</v>
      </c>
      <c r="H2285" s="36" t="s">
        <v>4481</v>
      </c>
      <c r="I2285" s="35" t="s">
        <v>8015</v>
      </c>
      <c r="J2285" s="36" t="s">
        <v>929</v>
      </c>
      <c r="K2285" s="33" t="s">
        <v>916</v>
      </c>
      <c r="L2285" s="35" t="s">
        <v>916</v>
      </c>
      <c r="M2285" s="36" t="s">
        <v>916</v>
      </c>
      <c r="N2285" s="45">
        <v>46022</v>
      </c>
      <c r="O2285" s="36" t="s">
        <v>25</v>
      </c>
      <c r="P2285" s="38">
        <v>127.39394675929999</v>
      </c>
      <c r="Q2285" s="39" t="s">
        <v>8016</v>
      </c>
      <c r="R2285" s="35" t="s">
        <v>916</v>
      </c>
      <c r="S2285" s="35" t="s">
        <v>8017</v>
      </c>
      <c r="T2285" s="35" t="s">
        <v>1701</v>
      </c>
      <c r="U2285" s="40">
        <v>45895</v>
      </c>
      <c r="V2285" s="41">
        <v>46153.533090277779</v>
      </c>
      <c r="W2285" s="40">
        <v>45894</v>
      </c>
      <c r="X2285" s="35" t="s">
        <v>916</v>
      </c>
      <c r="Y2285" s="35" t="s">
        <v>916</v>
      </c>
      <c r="Z2285" s="35" t="s">
        <v>916</v>
      </c>
      <c r="AA2285" s="38">
        <v>3057.4547222232</v>
      </c>
      <c r="AB2285" s="42" t="s">
        <v>916</v>
      </c>
      <c r="AC2285" s="43" t="s">
        <v>916</v>
      </c>
      <c r="AD2285" s="43" t="s">
        <v>916</v>
      </c>
      <c r="AE2285" s="33" t="s">
        <v>3982</v>
      </c>
      <c r="AF2285" s="35" t="s">
        <v>916</v>
      </c>
      <c r="AG2285" s="44">
        <v>487814.54527777783</v>
      </c>
      <c r="AH2285" s="42" t="s">
        <v>916</v>
      </c>
      <c r="AI2285" s="32" t="e">
        <f>VLOOKUP(A2285,'4月明細'!B:B,1,0)</f>
        <v>#N/A</v>
      </c>
    </row>
    <row r="2286" spans="1:35" ht="19.95" customHeight="1" x14ac:dyDescent="0.3">
      <c r="A2286" s="33" t="s">
        <v>8018</v>
      </c>
      <c r="B2286" s="34">
        <v>45894.535567129627</v>
      </c>
      <c r="C2286" s="34" t="str">
        <f t="shared" si="48"/>
        <v>202508</v>
      </c>
      <c r="D2286" s="35" t="s">
        <v>5380</v>
      </c>
      <c r="E2286" s="36" t="s">
        <v>910</v>
      </c>
      <c r="F2286" s="36" t="s">
        <v>1123</v>
      </c>
      <c r="G2286" s="37" t="s">
        <v>8019</v>
      </c>
      <c r="H2286" s="36" t="s">
        <v>1048</v>
      </c>
      <c r="I2286" s="35" t="s">
        <v>8020</v>
      </c>
      <c r="J2286" s="36" t="s">
        <v>929</v>
      </c>
      <c r="K2286" s="33" t="s">
        <v>916</v>
      </c>
      <c r="L2286" s="35" t="s">
        <v>916</v>
      </c>
      <c r="M2286" s="36" t="s">
        <v>916</v>
      </c>
      <c r="N2286" s="45">
        <v>46022</v>
      </c>
      <c r="O2286" s="36" t="s">
        <v>25</v>
      </c>
      <c r="P2286" s="38">
        <v>127.4644328704</v>
      </c>
      <c r="Q2286" s="39" t="s">
        <v>8021</v>
      </c>
      <c r="R2286" s="35" t="s">
        <v>916</v>
      </c>
      <c r="S2286" s="35"/>
      <c r="T2286" s="35" t="s">
        <v>1701</v>
      </c>
      <c r="U2286" s="40">
        <v>45895</v>
      </c>
      <c r="V2286" s="41">
        <v>46153.533090277779</v>
      </c>
      <c r="W2286" s="40">
        <v>45894</v>
      </c>
      <c r="X2286" s="35" t="s">
        <v>916</v>
      </c>
      <c r="Y2286" s="35" t="s">
        <v>916</v>
      </c>
      <c r="Z2286" s="35" t="s">
        <v>916</v>
      </c>
      <c r="AA2286" s="38">
        <v>3059.1463888896001</v>
      </c>
      <c r="AB2286" s="42" t="s">
        <v>916</v>
      </c>
      <c r="AC2286" s="43" t="s">
        <v>916</v>
      </c>
      <c r="AD2286" s="43" t="s">
        <v>916</v>
      </c>
      <c r="AE2286" s="33" t="s">
        <v>3982</v>
      </c>
      <c r="AF2286" s="35" t="s">
        <v>916</v>
      </c>
      <c r="AG2286" s="44">
        <v>487812.85361111118</v>
      </c>
      <c r="AH2286" s="42" t="s">
        <v>916</v>
      </c>
      <c r="AI2286" s="32" t="e">
        <f>VLOOKUP(A2286,'4月明細'!B:B,1,0)</f>
        <v>#N/A</v>
      </c>
    </row>
    <row r="2287" spans="1:35" ht="19.95" customHeight="1" x14ac:dyDescent="0.3">
      <c r="A2287" s="33" t="s">
        <v>8022</v>
      </c>
      <c r="B2287" s="34">
        <v>45894.530393518522</v>
      </c>
      <c r="C2287" s="34" t="str">
        <f t="shared" si="48"/>
        <v>202508</v>
      </c>
      <c r="D2287" s="35" t="s">
        <v>6281</v>
      </c>
      <c r="E2287" s="36" t="s">
        <v>910</v>
      </c>
      <c r="F2287" s="36" t="s">
        <v>1055</v>
      </c>
      <c r="G2287" s="37" t="s">
        <v>8023</v>
      </c>
      <c r="H2287" s="36" t="s">
        <v>4060</v>
      </c>
      <c r="I2287" s="35"/>
      <c r="J2287" s="36" t="s">
        <v>914</v>
      </c>
      <c r="K2287" s="33" t="s">
        <v>916</v>
      </c>
      <c r="L2287" s="35" t="s">
        <v>916</v>
      </c>
      <c r="M2287" s="36" t="s">
        <v>916</v>
      </c>
      <c r="N2287" s="45">
        <v>46022</v>
      </c>
      <c r="O2287" s="36" t="s">
        <v>25</v>
      </c>
      <c r="P2287" s="38">
        <v>127.46960648149999</v>
      </c>
      <c r="Q2287" s="39" t="s">
        <v>8024</v>
      </c>
      <c r="R2287" s="35" t="s">
        <v>916</v>
      </c>
      <c r="S2287" s="35"/>
      <c r="T2287" s="35" t="s">
        <v>1701</v>
      </c>
      <c r="U2287" s="40">
        <v>45895</v>
      </c>
      <c r="V2287" s="41">
        <v>46153.533090277779</v>
      </c>
      <c r="W2287" s="40">
        <v>45894</v>
      </c>
      <c r="X2287" s="35" t="s">
        <v>916</v>
      </c>
      <c r="Y2287" s="35" t="s">
        <v>916</v>
      </c>
      <c r="Z2287" s="35" t="s">
        <v>916</v>
      </c>
      <c r="AA2287" s="38">
        <v>3059.2705555560001</v>
      </c>
      <c r="AB2287" s="42" t="s">
        <v>916</v>
      </c>
      <c r="AC2287" s="43" t="s">
        <v>916</v>
      </c>
      <c r="AD2287" s="43" t="s">
        <v>916</v>
      </c>
      <c r="AE2287" s="33" t="s">
        <v>3982</v>
      </c>
      <c r="AF2287" s="35" t="s">
        <v>916</v>
      </c>
      <c r="AG2287" s="44">
        <v>487812.72944444441</v>
      </c>
      <c r="AH2287" s="42" t="s">
        <v>916</v>
      </c>
      <c r="AI2287" s="32" t="e">
        <f>VLOOKUP(A2287,'4月明細'!B:B,1,0)</f>
        <v>#N/A</v>
      </c>
    </row>
    <row r="2288" spans="1:35" ht="19.95" customHeight="1" x14ac:dyDescent="0.3">
      <c r="A2288" s="33" t="s">
        <v>8025</v>
      </c>
      <c r="B2288" s="34">
        <v>45894.434884259259</v>
      </c>
      <c r="C2288" s="34" t="str">
        <f t="shared" si="48"/>
        <v>202508</v>
      </c>
      <c r="D2288" s="35" t="s">
        <v>8026</v>
      </c>
      <c r="E2288" s="36" t="s">
        <v>910</v>
      </c>
      <c r="F2288" s="36" t="s">
        <v>1890</v>
      </c>
      <c r="G2288" s="37" t="s">
        <v>8027</v>
      </c>
      <c r="H2288" s="36" t="s">
        <v>5940</v>
      </c>
      <c r="I2288" s="35"/>
      <c r="J2288" s="36" t="s">
        <v>929</v>
      </c>
      <c r="K2288" s="33" t="s">
        <v>916</v>
      </c>
      <c r="L2288" s="35" t="s">
        <v>916</v>
      </c>
      <c r="M2288" s="36" t="s">
        <v>916</v>
      </c>
      <c r="N2288" s="45">
        <v>46022</v>
      </c>
      <c r="O2288" s="36" t="s">
        <v>25</v>
      </c>
      <c r="P2288" s="38">
        <v>127.56511574069999</v>
      </c>
      <c r="Q2288" s="39" t="s">
        <v>2266</v>
      </c>
      <c r="R2288" s="35" t="s">
        <v>916</v>
      </c>
      <c r="S2288" s="35"/>
      <c r="T2288" s="35" t="s">
        <v>1701</v>
      </c>
      <c r="U2288" s="40">
        <v>45895</v>
      </c>
      <c r="V2288" s="41">
        <v>46153.533090277779</v>
      </c>
      <c r="W2288" s="40">
        <v>45894</v>
      </c>
      <c r="X2288" s="35" t="s">
        <v>916</v>
      </c>
      <c r="Y2288" s="35" t="s">
        <v>916</v>
      </c>
      <c r="Z2288" s="35" t="s">
        <v>916</v>
      </c>
      <c r="AA2288" s="38">
        <v>3061.5627777768</v>
      </c>
      <c r="AB2288" s="42" t="s">
        <v>916</v>
      </c>
      <c r="AC2288" s="43" t="s">
        <v>916</v>
      </c>
      <c r="AD2288" s="43" t="s">
        <v>916</v>
      </c>
      <c r="AE2288" s="33" t="s">
        <v>3982</v>
      </c>
      <c r="AF2288" s="35" t="s">
        <v>916</v>
      </c>
      <c r="AG2288" s="44">
        <v>487810.43722222222</v>
      </c>
      <c r="AH2288" s="42" t="s">
        <v>916</v>
      </c>
      <c r="AI2288" s="32" t="e">
        <f>VLOOKUP(A2288,'4月明細'!B:B,1,0)</f>
        <v>#N/A</v>
      </c>
    </row>
    <row r="2289" spans="1:35" ht="19.95" customHeight="1" x14ac:dyDescent="0.3">
      <c r="A2289" s="33" t="s">
        <v>8028</v>
      </c>
      <c r="B2289" s="34">
        <v>45894.482060185182</v>
      </c>
      <c r="C2289" s="34" t="str">
        <f t="shared" si="48"/>
        <v>202508</v>
      </c>
      <c r="D2289" s="35" t="s">
        <v>3889</v>
      </c>
      <c r="E2289" s="36" t="s">
        <v>1112</v>
      </c>
      <c r="F2289" s="36" t="s">
        <v>7350</v>
      </c>
      <c r="G2289" s="37" t="s">
        <v>8029</v>
      </c>
      <c r="H2289" s="36" t="s">
        <v>1114</v>
      </c>
      <c r="I2289" s="35"/>
      <c r="J2289" s="36" t="s">
        <v>938</v>
      </c>
      <c r="K2289" s="33" t="s">
        <v>916</v>
      </c>
      <c r="L2289" s="35" t="s">
        <v>916</v>
      </c>
      <c r="M2289" s="36" t="s">
        <v>916</v>
      </c>
      <c r="N2289" s="45">
        <v>46022</v>
      </c>
      <c r="O2289" s="36" t="s">
        <v>25</v>
      </c>
      <c r="P2289" s="38">
        <v>127.5179398148</v>
      </c>
      <c r="Q2289" s="39" t="s">
        <v>8030</v>
      </c>
      <c r="R2289" s="35" t="s">
        <v>916</v>
      </c>
      <c r="S2289" s="35"/>
      <c r="T2289" s="35" t="s">
        <v>1701</v>
      </c>
      <c r="U2289" s="40">
        <v>45895</v>
      </c>
      <c r="V2289" s="41">
        <v>46153.533090277779</v>
      </c>
      <c r="W2289" s="40">
        <v>45894</v>
      </c>
      <c r="X2289" s="35" t="s">
        <v>916</v>
      </c>
      <c r="Y2289" s="35" t="s">
        <v>916</v>
      </c>
      <c r="Z2289" s="35" t="s">
        <v>916</v>
      </c>
      <c r="AA2289" s="38">
        <v>3060.4305555552</v>
      </c>
      <c r="AB2289" s="42" t="s">
        <v>916</v>
      </c>
      <c r="AC2289" s="43" t="s">
        <v>916</v>
      </c>
      <c r="AD2289" s="43" t="s">
        <v>916</v>
      </c>
      <c r="AE2289" s="33" t="s">
        <v>3982</v>
      </c>
      <c r="AF2289" s="35" t="s">
        <v>916</v>
      </c>
      <c r="AG2289" s="44">
        <v>487811.5694444445</v>
      </c>
      <c r="AH2289" s="42" t="s">
        <v>916</v>
      </c>
      <c r="AI2289" s="32" t="e">
        <f>VLOOKUP(A2289,'4月明細'!B:B,1,0)</f>
        <v>#N/A</v>
      </c>
    </row>
    <row r="2290" spans="1:35" ht="19.95" customHeight="1" x14ac:dyDescent="0.3">
      <c r="A2290" s="33" t="s">
        <v>8031</v>
      </c>
      <c r="B2290" s="34">
        <v>45893.704236111109</v>
      </c>
      <c r="C2290" s="34" t="str">
        <f t="shared" si="48"/>
        <v>202508</v>
      </c>
      <c r="D2290" s="35" t="s">
        <v>6281</v>
      </c>
      <c r="E2290" s="36" t="s">
        <v>910</v>
      </c>
      <c r="F2290" s="36" t="s">
        <v>1316</v>
      </c>
      <c r="G2290" s="37" t="s">
        <v>8032</v>
      </c>
      <c r="H2290" s="36" t="s">
        <v>4185</v>
      </c>
      <c r="I2290" s="35"/>
      <c r="J2290" s="36" t="s">
        <v>929</v>
      </c>
      <c r="K2290" s="33" t="s">
        <v>916</v>
      </c>
      <c r="L2290" s="35" t="s">
        <v>916</v>
      </c>
      <c r="M2290" s="36" t="s">
        <v>916</v>
      </c>
      <c r="N2290" s="45">
        <v>46022</v>
      </c>
      <c r="O2290" s="36" t="s">
        <v>25</v>
      </c>
      <c r="P2290" s="38">
        <v>128.29576388890001</v>
      </c>
      <c r="Q2290" s="39" t="s">
        <v>8033</v>
      </c>
      <c r="R2290" s="35" t="s">
        <v>916</v>
      </c>
      <c r="S2290" s="35"/>
      <c r="T2290" s="35" t="s">
        <v>1701</v>
      </c>
      <c r="U2290" s="40">
        <v>45894</v>
      </c>
      <c r="V2290" s="41">
        <v>46153.533090277779</v>
      </c>
      <c r="W2290" s="40">
        <v>45893</v>
      </c>
      <c r="X2290" s="35" t="s">
        <v>916</v>
      </c>
      <c r="Y2290" s="35" t="s">
        <v>916</v>
      </c>
      <c r="Z2290" s="35" t="s">
        <v>916</v>
      </c>
      <c r="AA2290" s="38">
        <v>3079.0983333335998</v>
      </c>
      <c r="AB2290" s="42" t="s">
        <v>916</v>
      </c>
      <c r="AC2290" s="43" t="s">
        <v>916</v>
      </c>
      <c r="AD2290" s="43" t="s">
        <v>916</v>
      </c>
      <c r="AE2290" s="33" t="s">
        <v>3982</v>
      </c>
      <c r="AF2290" s="35" t="s">
        <v>916</v>
      </c>
      <c r="AG2290" s="44">
        <v>487792.90166666667</v>
      </c>
      <c r="AH2290" s="42" t="s">
        <v>916</v>
      </c>
      <c r="AI2290" s="32" t="e">
        <f>VLOOKUP(A2290,'4月明細'!B:B,1,0)</f>
        <v>#N/A</v>
      </c>
    </row>
    <row r="2291" spans="1:35" ht="19.95" customHeight="1" x14ac:dyDescent="0.3">
      <c r="A2291" s="33" t="s">
        <v>8034</v>
      </c>
      <c r="B2291" s="34">
        <v>45893.702199074076</v>
      </c>
      <c r="C2291" s="34" t="str">
        <f t="shared" si="48"/>
        <v>202508</v>
      </c>
      <c r="D2291" s="35" t="s">
        <v>5380</v>
      </c>
      <c r="E2291" s="36" t="s">
        <v>910</v>
      </c>
      <c r="F2291" s="36" t="s">
        <v>2327</v>
      </c>
      <c r="G2291" s="37" t="s">
        <v>8035</v>
      </c>
      <c r="H2291" s="36" t="s">
        <v>1048</v>
      </c>
      <c r="I2291" s="35" t="s">
        <v>8036</v>
      </c>
      <c r="J2291" s="36" t="s">
        <v>929</v>
      </c>
      <c r="K2291" s="33" t="s">
        <v>916</v>
      </c>
      <c r="L2291" s="35" t="s">
        <v>916</v>
      </c>
      <c r="M2291" s="36" t="s">
        <v>916</v>
      </c>
      <c r="N2291" s="45">
        <v>46022</v>
      </c>
      <c r="O2291" s="36" t="s">
        <v>25</v>
      </c>
      <c r="P2291" s="38">
        <v>128.29780092589999</v>
      </c>
      <c r="Q2291" s="39" t="s">
        <v>8037</v>
      </c>
      <c r="R2291" s="35" t="s">
        <v>916</v>
      </c>
      <c r="S2291" s="35" t="s">
        <v>8038</v>
      </c>
      <c r="T2291" s="35" t="s">
        <v>1701</v>
      </c>
      <c r="U2291" s="40">
        <v>45894</v>
      </c>
      <c r="V2291" s="41">
        <v>46153.533090277779</v>
      </c>
      <c r="W2291" s="40">
        <v>45893</v>
      </c>
      <c r="X2291" s="35" t="s">
        <v>916</v>
      </c>
      <c r="Y2291" s="35" t="s">
        <v>916</v>
      </c>
      <c r="Z2291" s="35" t="s">
        <v>916</v>
      </c>
      <c r="AA2291" s="38">
        <v>3079.1472222215998</v>
      </c>
      <c r="AB2291" s="42" t="s">
        <v>916</v>
      </c>
      <c r="AC2291" s="43" t="s">
        <v>916</v>
      </c>
      <c r="AD2291" s="43" t="s">
        <v>916</v>
      </c>
      <c r="AE2291" s="33" t="s">
        <v>3982</v>
      </c>
      <c r="AF2291" s="35" t="s">
        <v>916</v>
      </c>
      <c r="AG2291" s="44">
        <v>487792.85277777782</v>
      </c>
      <c r="AH2291" s="42" t="s">
        <v>916</v>
      </c>
      <c r="AI2291" s="32" t="e">
        <f>VLOOKUP(A2291,'4月明細'!B:B,1,0)</f>
        <v>#N/A</v>
      </c>
    </row>
    <row r="2292" spans="1:35" ht="19.95" customHeight="1" x14ac:dyDescent="0.3">
      <c r="A2292" s="33" t="s">
        <v>8039</v>
      </c>
      <c r="B2292" s="34">
        <v>45893.624606481484</v>
      </c>
      <c r="C2292" s="34" t="str">
        <f t="shared" si="48"/>
        <v>202508</v>
      </c>
      <c r="D2292" s="35" t="s">
        <v>7343</v>
      </c>
      <c r="E2292" s="36" t="s">
        <v>910</v>
      </c>
      <c r="F2292" s="36" t="s">
        <v>1693</v>
      </c>
      <c r="G2292" s="37" t="s">
        <v>8040</v>
      </c>
      <c r="H2292" s="36" t="s">
        <v>3985</v>
      </c>
      <c r="I2292" s="35" t="s">
        <v>8041</v>
      </c>
      <c r="J2292" s="36" t="s">
        <v>914</v>
      </c>
      <c r="K2292" s="33" t="s">
        <v>916</v>
      </c>
      <c r="L2292" s="35" t="s">
        <v>916</v>
      </c>
      <c r="M2292" s="36" t="s">
        <v>916</v>
      </c>
      <c r="N2292" s="45">
        <v>46022</v>
      </c>
      <c r="O2292" s="36" t="s">
        <v>25</v>
      </c>
      <c r="P2292" s="38">
        <v>128.3753935185</v>
      </c>
      <c r="Q2292" s="39" t="s">
        <v>8042</v>
      </c>
      <c r="R2292" s="35" t="s">
        <v>916</v>
      </c>
      <c r="S2292" s="35" t="s">
        <v>8043</v>
      </c>
      <c r="T2292" s="35" t="s">
        <v>1701</v>
      </c>
      <c r="U2292" s="40">
        <v>45894</v>
      </c>
      <c r="V2292" s="41">
        <v>46153.533090277779</v>
      </c>
      <c r="W2292" s="40">
        <v>45893</v>
      </c>
      <c r="X2292" s="35" t="s">
        <v>916</v>
      </c>
      <c r="Y2292" s="35" t="s">
        <v>916</v>
      </c>
      <c r="Z2292" s="35" t="s">
        <v>916</v>
      </c>
      <c r="AA2292" s="38">
        <v>3081.0094444440001</v>
      </c>
      <c r="AB2292" s="42" t="s">
        <v>916</v>
      </c>
      <c r="AC2292" s="43" t="s">
        <v>916</v>
      </c>
      <c r="AD2292" s="43" t="s">
        <v>916</v>
      </c>
      <c r="AE2292" s="33" t="s">
        <v>3982</v>
      </c>
      <c r="AF2292" s="35" t="s">
        <v>916</v>
      </c>
      <c r="AG2292" s="44">
        <v>487790.99055555562</v>
      </c>
      <c r="AH2292" s="42" t="s">
        <v>916</v>
      </c>
      <c r="AI2292" s="32" t="e">
        <f>VLOOKUP(A2292,'4月明細'!B:B,1,0)</f>
        <v>#N/A</v>
      </c>
    </row>
    <row r="2293" spans="1:35" ht="19.95" customHeight="1" x14ac:dyDescent="0.3">
      <c r="A2293" s="33" t="s">
        <v>8044</v>
      </c>
      <c r="B2293" s="34">
        <v>45893.615057870367</v>
      </c>
      <c r="C2293" s="34" t="str">
        <f t="shared" si="48"/>
        <v>202508</v>
      </c>
      <c r="D2293" s="35" t="s">
        <v>7343</v>
      </c>
      <c r="E2293" s="36" t="s">
        <v>910</v>
      </c>
      <c r="F2293" s="36" t="s">
        <v>1220</v>
      </c>
      <c r="G2293" s="37" t="s">
        <v>8045</v>
      </c>
      <c r="H2293" s="36" t="s">
        <v>4185</v>
      </c>
      <c r="I2293" s="35"/>
      <c r="J2293" s="36" t="s">
        <v>929</v>
      </c>
      <c r="K2293" s="33" t="s">
        <v>916</v>
      </c>
      <c r="L2293" s="35" t="s">
        <v>916</v>
      </c>
      <c r="M2293" s="36" t="s">
        <v>916</v>
      </c>
      <c r="N2293" s="45">
        <v>46022</v>
      </c>
      <c r="O2293" s="36" t="s">
        <v>25</v>
      </c>
      <c r="P2293" s="38">
        <v>128.38494212960001</v>
      </c>
      <c r="Q2293" s="39" t="s">
        <v>8046</v>
      </c>
      <c r="R2293" s="35" t="s">
        <v>916</v>
      </c>
      <c r="S2293" s="35"/>
      <c r="T2293" s="35" t="s">
        <v>1701</v>
      </c>
      <c r="U2293" s="40">
        <v>45894</v>
      </c>
      <c r="V2293" s="41">
        <v>46153.533090277779</v>
      </c>
      <c r="W2293" s="40">
        <v>45893</v>
      </c>
      <c r="X2293" s="35" t="s">
        <v>916</v>
      </c>
      <c r="Y2293" s="35" t="s">
        <v>916</v>
      </c>
      <c r="Z2293" s="35" t="s">
        <v>916</v>
      </c>
      <c r="AA2293" s="38">
        <v>3081.2386111104001</v>
      </c>
      <c r="AB2293" s="42" t="s">
        <v>916</v>
      </c>
      <c r="AC2293" s="43" t="s">
        <v>916</v>
      </c>
      <c r="AD2293" s="43" t="s">
        <v>916</v>
      </c>
      <c r="AE2293" s="33" t="s">
        <v>3982</v>
      </c>
      <c r="AF2293" s="35" t="s">
        <v>916</v>
      </c>
      <c r="AG2293" s="44">
        <v>487790.76138888887</v>
      </c>
      <c r="AH2293" s="42" t="s">
        <v>916</v>
      </c>
      <c r="AI2293" s="32" t="e">
        <f>VLOOKUP(A2293,'4月明細'!B:B,1,0)</f>
        <v>#N/A</v>
      </c>
    </row>
    <row r="2294" spans="1:35" ht="19.95" customHeight="1" x14ac:dyDescent="0.3">
      <c r="A2294" s="33" t="s">
        <v>8047</v>
      </c>
      <c r="B2294" s="34">
        <v>45893.57603009259</v>
      </c>
      <c r="C2294" s="34" t="str">
        <f t="shared" si="48"/>
        <v>202508</v>
      </c>
      <c r="D2294" s="35" t="s">
        <v>996</v>
      </c>
      <c r="E2294" s="36" t="s">
        <v>910</v>
      </c>
      <c r="F2294" s="36" t="s">
        <v>1161</v>
      </c>
      <c r="G2294" s="37" t="s">
        <v>8048</v>
      </c>
      <c r="H2294" s="36" t="s">
        <v>1048</v>
      </c>
      <c r="I2294" s="35" t="s">
        <v>8049</v>
      </c>
      <c r="J2294" s="36" t="s">
        <v>914</v>
      </c>
      <c r="K2294" s="33" t="s">
        <v>916</v>
      </c>
      <c r="L2294" s="35" t="s">
        <v>916</v>
      </c>
      <c r="M2294" s="36" t="s">
        <v>916</v>
      </c>
      <c r="N2294" s="45">
        <v>46022</v>
      </c>
      <c r="O2294" s="36" t="s">
        <v>25</v>
      </c>
      <c r="P2294" s="38">
        <v>128.42396990739999</v>
      </c>
      <c r="Q2294" s="39" t="s">
        <v>8050</v>
      </c>
      <c r="R2294" s="35" t="s">
        <v>916</v>
      </c>
      <c r="S2294" s="35" t="s">
        <v>8051</v>
      </c>
      <c r="T2294" s="35" t="s">
        <v>1701</v>
      </c>
      <c r="U2294" s="40">
        <v>45894</v>
      </c>
      <c r="V2294" s="41">
        <v>46153.533090277779</v>
      </c>
      <c r="W2294" s="40">
        <v>45893</v>
      </c>
      <c r="X2294" s="35" t="s">
        <v>916</v>
      </c>
      <c r="Y2294" s="35" t="s">
        <v>916</v>
      </c>
      <c r="Z2294" s="35" t="s">
        <v>916</v>
      </c>
      <c r="AA2294" s="38">
        <v>3082.1752777776001</v>
      </c>
      <c r="AB2294" s="42" t="s">
        <v>916</v>
      </c>
      <c r="AC2294" s="43" t="s">
        <v>916</v>
      </c>
      <c r="AD2294" s="43" t="s">
        <v>916</v>
      </c>
      <c r="AE2294" s="33" t="s">
        <v>3982</v>
      </c>
      <c r="AF2294" s="35" t="s">
        <v>916</v>
      </c>
      <c r="AG2294" s="44">
        <v>487789.82472222229</v>
      </c>
      <c r="AH2294" s="42" t="s">
        <v>916</v>
      </c>
      <c r="AI2294" s="32" t="e">
        <f>VLOOKUP(A2294,'4月明細'!B:B,1,0)</f>
        <v>#N/A</v>
      </c>
    </row>
    <row r="2295" spans="1:35" ht="19.95" customHeight="1" x14ac:dyDescent="0.3">
      <c r="A2295" s="33" t="s">
        <v>8052</v>
      </c>
      <c r="B2295" s="34">
        <v>45893.570752314816</v>
      </c>
      <c r="C2295" s="34" t="str">
        <f t="shared" si="48"/>
        <v>202508</v>
      </c>
      <c r="D2295" s="35" t="s">
        <v>6281</v>
      </c>
      <c r="E2295" s="36" t="s">
        <v>910</v>
      </c>
      <c r="F2295" s="36" t="s">
        <v>1752</v>
      </c>
      <c r="G2295" s="37" t="s">
        <v>8053</v>
      </c>
      <c r="H2295" s="36" t="s">
        <v>1352</v>
      </c>
      <c r="I2295" s="35"/>
      <c r="J2295" s="36" t="s">
        <v>914</v>
      </c>
      <c r="K2295" s="33" t="s">
        <v>916</v>
      </c>
      <c r="L2295" s="35" t="s">
        <v>916</v>
      </c>
      <c r="M2295" s="36" t="s">
        <v>916</v>
      </c>
      <c r="N2295" s="45">
        <v>46022</v>
      </c>
      <c r="O2295" s="36" t="s">
        <v>25</v>
      </c>
      <c r="P2295" s="38">
        <v>128.42924768520001</v>
      </c>
      <c r="Q2295" s="39" t="s">
        <v>8050</v>
      </c>
      <c r="R2295" s="35" t="s">
        <v>916</v>
      </c>
      <c r="S2295" s="35"/>
      <c r="T2295" s="35" t="s">
        <v>1701</v>
      </c>
      <c r="U2295" s="40">
        <v>45894</v>
      </c>
      <c r="V2295" s="41">
        <v>46153.533090277779</v>
      </c>
      <c r="W2295" s="40">
        <v>45893</v>
      </c>
      <c r="X2295" s="35" t="s">
        <v>916</v>
      </c>
      <c r="Y2295" s="35" t="s">
        <v>916</v>
      </c>
      <c r="Z2295" s="35" t="s">
        <v>916</v>
      </c>
      <c r="AA2295" s="38">
        <v>3082.3019444448</v>
      </c>
      <c r="AB2295" s="42" t="s">
        <v>916</v>
      </c>
      <c r="AC2295" s="43" t="s">
        <v>916</v>
      </c>
      <c r="AD2295" s="43" t="s">
        <v>916</v>
      </c>
      <c r="AE2295" s="33" t="s">
        <v>3982</v>
      </c>
      <c r="AF2295" s="35" t="s">
        <v>916</v>
      </c>
      <c r="AG2295" s="44">
        <v>487789.69805555558</v>
      </c>
      <c r="AH2295" s="42" t="s">
        <v>916</v>
      </c>
      <c r="AI2295" s="32" t="e">
        <f>VLOOKUP(A2295,'4月明細'!B:B,1,0)</f>
        <v>#N/A</v>
      </c>
    </row>
    <row r="2296" spans="1:35" ht="19.95" customHeight="1" x14ac:dyDescent="0.3">
      <c r="A2296" s="33" t="s">
        <v>8054</v>
      </c>
      <c r="B2296" s="34">
        <v>45893.541296296295</v>
      </c>
      <c r="C2296" s="34" t="str">
        <f t="shared" si="48"/>
        <v>202508</v>
      </c>
      <c r="D2296" s="35" t="s">
        <v>1587</v>
      </c>
      <c r="E2296" s="36" t="s">
        <v>1211</v>
      </c>
      <c r="F2296" s="36" t="s">
        <v>1211</v>
      </c>
      <c r="G2296" s="37" t="s">
        <v>8055</v>
      </c>
      <c r="H2296" s="36" t="s">
        <v>1114</v>
      </c>
      <c r="I2296" s="35"/>
      <c r="J2296" s="36" t="s">
        <v>1058</v>
      </c>
      <c r="K2296" s="33" t="s">
        <v>916</v>
      </c>
      <c r="L2296" s="35" t="s">
        <v>916</v>
      </c>
      <c r="M2296" s="36" t="s">
        <v>916</v>
      </c>
      <c r="N2296" s="45">
        <v>46022</v>
      </c>
      <c r="O2296" s="36" t="s">
        <v>25</v>
      </c>
      <c r="P2296" s="38">
        <v>128.4587037037</v>
      </c>
      <c r="Q2296" s="39" t="s">
        <v>8056</v>
      </c>
      <c r="R2296" s="35" t="s">
        <v>916</v>
      </c>
      <c r="S2296" s="35"/>
      <c r="T2296" s="35" t="s">
        <v>1701</v>
      </c>
      <c r="U2296" s="40">
        <v>45894</v>
      </c>
      <c r="V2296" s="41">
        <v>46153.533090277779</v>
      </c>
      <c r="W2296" s="40">
        <v>45893</v>
      </c>
      <c r="X2296" s="35" t="s">
        <v>916</v>
      </c>
      <c r="Y2296" s="35" t="s">
        <v>916</v>
      </c>
      <c r="Z2296" s="35" t="s">
        <v>916</v>
      </c>
      <c r="AA2296" s="38">
        <v>3083.0088888887999</v>
      </c>
      <c r="AB2296" s="42" t="s">
        <v>916</v>
      </c>
      <c r="AC2296" s="43" t="s">
        <v>916</v>
      </c>
      <c r="AD2296" s="43" t="s">
        <v>916</v>
      </c>
      <c r="AE2296" s="33" t="s">
        <v>3982</v>
      </c>
      <c r="AF2296" s="35" t="s">
        <v>916</v>
      </c>
      <c r="AG2296" s="44">
        <v>487788.99111111113</v>
      </c>
      <c r="AH2296" s="42" t="s">
        <v>916</v>
      </c>
      <c r="AI2296" s="32" t="e">
        <f>VLOOKUP(A2296,'4月明細'!B:B,1,0)</f>
        <v>#N/A</v>
      </c>
    </row>
    <row r="2297" spans="1:35" ht="19.95" customHeight="1" x14ac:dyDescent="0.3">
      <c r="A2297" s="33" t="s">
        <v>8057</v>
      </c>
      <c r="B2297" s="34">
        <v>45893.523449074077</v>
      </c>
      <c r="C2297" s="34" t="str">
        <f t="shared" si="48"/>
        <v>202508</v>
      </c>
      <c r="D2297" s="35" t="s">
        <v>996</v>
      </c>
      <c r="E2297" s="36" t="s">
        <v>910</v>
      </c>
      <c r="F2297" s="36" t="s">
        <v>1161</v>
      </c>
      <c r="G2297" s="37" t="s">
        <v>8058</v>
      </c>
      <c r="H2297" s="36" t="s">
        <v>1048</v>
      </c>
      <c r="I2297" s="35" t="s">
        <v>8059</v>
      </c>
      <c r="J2297" s="36" t="s">
        <v>914</v>
      </c>
      <c r="K2297" s="33" t="s">
        <v>916</v>
      </c>
      <c r="L2297" s="35" t="s">
        <v>916</v>
      </c>
      <c r="M2297" s="36" t="s">
        <v>916</v>
      </c>
      <c r="N2297" s="45">
        <v>46022</v>
      </c>
      <c r="O2297" s="36" t="s">
        <v>25</v>
      </c>
      <c r="P2297" s="38">
        <v>128.4765509259</v>
      </c>
      <c r="Q2297" s="39" t="s">
        <v>8050</v>
      </c>
      <c r="R2297" s="35" t="s">
        <v>916</v>
      </c>
      <c r="S2297" s="35" t="s">
        <v>8051</v>
      </c>
      <c r="T2297" s="35" t="s">
        <v>1701</v>
      </c>
      <c r="U2297" s="40">
        <v>45894</v>
      </c>
      <c r="V2297" s="41">
        <v>46153.533090277779</v>
      </c>
      <c r="W2297" s="40">
        <v>45893</v>
      </c>
      <c r="X2297" s="35" t="s">
        <v>916</v>
      </c>
      <c r="Y2297" s="35" t="s">
        <v>916</v>
      </c>
      <c r="Z2297" s="35" t="s">
        <v>916</v>
      </c>
      <c r="AA2297" s="38">
        <v>3083.4372222216002</v>
      </c>
      <c r="AB2297" s="42" t="s">
        <v>916</v>
      </c>
      <c r="AC2297" s="43" t="s">
        <v>916</v>
      </c>
      <c r="AD2297" s="43" t="s">
        <v>916</v>
      </c>
      <c r="AE2297" s="33" t="s">
        <v>3982</v>
      </c>
      <c r="AF2297" s="35" t="s">
        <v>916</v>
      </c>
      <c r="AG2297" s="44">
        <v>487788.56277777778</v>
      </c>
      <c r="AH2297" s="42" t="s">
        <v>916</v>
      </c>
      <c r="AI2297" s="32" t="e">
        <f>VLOOKUP(A2297,'4月明細'!B:B,1,0)</f>
        <v>#N/A</v>
      </c>
    </row>
    <row r="2298" spans="1:35" ht="19.95" customHeight="1" x14ac:dyDescent="0.3">
      <c r="A2298" s="33" t="s">
        <v>8060</v>
      </c>
      <c r="B2298" s="34">
        <v>45892.577523148146</v>
      </c>
      <c r="C2298" s="34" t="str">
        <f t="shared" si="48"/>
        <v>202508</v>
      </c>
      <c r="D2298" s="35" t="s">
        <v>7343</v>
      </c>
      <c r="E2298" s="36" t="s">
        <v>910</v>
      </c>
      <c r="F2298" s="36" t="s">
        <v>1621</v>
      </c>
      <c r="G2298" s="37" t="s">
        <v>8061</v>
      </c>
      <c r="H2298" s="36" t="s">
        <v>970</v>
      </c>
      <c r="I2298" s="35"/>
      <c r="J2298" s="36" t="s">
        <v>929</v>
      </c>
      <c r="K2298" s="33" t="s">
        <v>916</v>
      </c>
      <c r="L2298" s="35" t="s">
        <v>916</v>
      </c>
      <c r="M2298" s="36" t="s">
        <v>916</v>
      </c>
      <c r="N2298" s="45">
        <v>46022</v>
      </c>
      <c r="O2298" s="36" t="s">
        <v>25</v>
      </c>
      <c r="P2298" s="38">
        <v>129.4224768519</v>
      </c>
      <c r="Q2298" s="39" t="s">
        <v>8062</v>
      </c>
      <c r="R2298" s="35" t="s">
        <v>916</v>
      </c>
      <c r="S2298" s="35" t="s">
        <v>8063</v>
      </c>
      <c r="T2298" s="35" t="s">
        <v>1701</v>
      </c>
      <c r="U2298" s="40">
        <v>45893</v>
      </c>
      <c r="V2298" s="41">
        <v>46153.533090277779</v>
      </c>
      <c r="W2298" s="40">
        <v>45892</v>
      </c>
      <c r="X2298" s="35" t="s">
        <v>916</v>
      </c>
      <c r="Y2298" s="35" t="s">
        <v>916</v>
      </c>
      <c r="Z2298" s="35" t="s">
        <v>916</v>
      </c>
      <c r="AA2298" s="38">
        <v>3106.1394444456</v>
      </c>
      <c r="AB2298" s="42" t="s">
        <v>916</v>
      </c>
      <c r="AC2298" s="43" t="s">
        <v>916</v>
      </c>
      <c r="AD2298" s="43" t="s">
        <v>916</v>
      </c>
      <c r="AE2298" s="33" t="s">
        <v>3982</v>
      </c>
      <c r="AF2298" s="35" t="s">
        <v>916</v>
      </c>
      <c r="AG2298" s="44">
        <v>487765.86055555561</v>
      </c>
      <c r="AH2298" s="42" t="s">
        <v>916</v>
      </c>
      <c r="AI2298" s="32" t="e">
        <f>VLOOKUP(A2298,'4月明細'!B:B,1,0)</f>
        <v>#N/A</v>
      </c>
    </row>
    <row r="2299" spans="1:35" ht="19.95" customHeight="1" x14ac:dyDescent="0.3">
      <c r="A2299" s="33" t="s">
        <v>8064</v>
      </c>
      <c r="B2299" s="34">
        <v>45892.477256944447</v>
      </c>
      <c r="C2299" s="34" t="str">
        <f t="shared" si="48"/>
        <v>202508</v>
      </c>
      <c r="D2299" s="35" t="s">
        <v>7343</v>
      </c>
      <c r="E2299" s="36" t="s">
        <v>910</v>
      </c>
      <c r="F2299" s="36" t="s">
        <v>1621</v>
      </c>
      <c r="G2299" s="37" t="s">
        <v>8065</v>
      </c>
      <c r="H2299" s="36" t="s">
        <v>3991</v>
      </c>
      <c r="I2299" s="35"/>
      <c r="J2299" s="36" t="s">
        <v>914</v>
      </c>
      <c r="K2299" s="33" t="s">
        <v>916</v>
      </c>
      <c r="L2299" s="35" t="s">
        <v>916</v>
      </c>
      <c r="M2299" s="36" t="s">
        <v>916</v>
      </c>
      <c r="N2299" s="45">
        <v>46022</v>
      </c>
      <c r="O2299" s="36" t="s">
        <v>25</v>
      </c>
      <c r="P2299" s="38">
        <v>129.52274305559999</v>
      </c>
      <c r="Q2299" s="39" t="s">
        <v>6767</v>
      </c>
      <c r="R2299" s="35" t="s">
        <v>916</v>
      </c>
      <c r="S2299" s="35"/>
      <c r="T2299" s="35" t="s">
        <v>1701</v>
      </c>
      <c r="U2299" s="40">
        <v>45893</v>
      </c>
      <c r="V2299" s="41">
        <v>46153.533090277779</v>
      </c>
      <c r="W2299" s="40">
        <v>45892</v>
      </c>
      <c r="X2299" s="35" t="s">
        <v>916</v>
      </c>
      <c r="Y2299" s="35" t="s">
        <v>916</v>
      </c>
      <c r="Z2299" s="35" t="s">
        <v>916</v>
      </c>
      <c r="AA2299" s="38">
        <v>3108.5458333344</v>
      </c>
      <c r="AB2299" s="42" t="s">
        <v>916</v>
      </c>
      <c r="AC2299" s="43" t="s">
        <v>916</v>
      </c>
      <c r="AD2299" s="43" t="s">
        <v>916</v>
      </c>
      <c r="AE2299" s="33" t="s">
        <v>3982</v>
      </c>
      <c r="AF2299" s="35" t="s">
        <v>916</v>
      </c>
      <c r="AG2299" s="44">
        <v>487763.45416666672</v>
      </c>
      <c r="AH2299" s="42" t="s">
        <v>916</v>
      </c>
      <c r="AI2299" s="32" t="e">
        <f>VLOOKUP(A2299,'4月明細'!B:B,1,0)</f>
        <v>#N/A</v>
      </c>
    </row>
    <row r="2300" spans="1:35" ht="19.95" customHeight="1" x14ac:dyDescent="0.3">
      <c r="A2300" s="33" t="s">
        <v>8066</v>
      </c>
      <c r="B2300" s="34">
        <v>45892.518680555557</v>
      </c>
      <c r="C2300" s="34" t="str">
        <f t="shared" si="48"/>
        <v>202508</v>
      </c>
      <c r="D2300" s="35" t="s">
        <v>5380</v>
      </c>
      <c r="E2300" s="36" t="s">
        <v>910</v>
      </c>
      <c r="F2300" s="36" t="s">
        <v>1260</v>
      </c>
      <c r="G2300" s="37" t="s">
        <v>977</v>
      </c>
      <c r="H2300" s="36" t="s">
        <v>4203</v>
      </c>
      <c r="I2300" s="35" t="s">
        <v>8067</v>
      </c>
      <c r="J2300" s="36" t="s">
        <v>914</v>
      </c>
      <c r="K2300" s="33" t="s">
        <v>916</v>
      </c>
      <c r="L2300" s="35" t="s">
        <v>916</v>
      </c>
      <c r="M2300" s="36" t="s">
        <v>916</v>
      </c>
      <c r="N2300" s="45">
        <v>46022</v>
      </c>
      <c r="O2300" s="36" t="s">
        <v>25</v>
      </c>
      <c r="P2300" s="38">
        <v>129.48131944439999</v>
      </c>
      <c r="Q2300" s="39" t="s">
        <v>8068</v>
      </c>
      <c r="R2300" s="35" t="s">
        <v>916</v>
      </c>
      <c r="S2300" s="35" t="s">
        <v>8069</v>
      </c>
      <c r="T2300" s="35" t="s">
        <v>1701</v>
      </c>
      <c r="U2300" s="40">
        <v>45893</v>
      </c>
      <c r="V2300" s="41">
        <v>46153.533090277779</v>
      </c>
      <c r="W2300" s="40">
        <v>45892</v>
      </c>
      <c r="X2300" s="35" t="s">
        <v>916</v>
      </c>
      <c r="Y2300" s="35" t="s">
        <v>916</v>
      </c>
      <c r="Z2300" s="35" t="s">
        <v>916</v>
      </c>
      <c r="AA2300" s="38">
        <v>3107.5516666655999</v>
      </c>
      <c r="AB2300" s="42" t="s">
        <v>916</v>
      </c>
      <c r="AC2300" s="43" t="s">
        <v>916</v>
      </c>
      <c r="AD2300" s="43" t="s">
        <v>916</v>
      </c>
      <c r="AE2300" s="33" t="s">
        <v>3982</v>
      </c>
      <c r="AF2300" s="35" t="s">
        <v>916</v>
      </c>
      <c r="AG2300" s="44">
        <v>487764.44833333342</v>
      </c>
      <c r="AH2300" s="42" t="s">
        <v>916</v>
      </c>
      <c r="AI2300" s="32" t="e">
        <f>VLOOKUP(A2300,'4月明細'!B:B,1,0)</f>
        <v>#N/A</v>
      </c>
    </row>
    <row r="2301" spans="1:35" ht="19.95" customHeight="1" x14ac:dyDescent="0.3">
      <c r="A2301" s="33" t="s">
        <v>8070</v>
      </c>
      <c r="B2301" s="34">
        <v>45892.425891203704</v>
      </c>
      <c r="C2301" s="34" t="str">
        <f t="shared" si="48"/>
        <v>202508</v>
      </c>
      <c r="D2301" s="35" t="s">
        <v>7343</v>
      </c>
      <c r="E2301" s="36" t="s">
        <v>910</v>
      </c>
      <c r="F2301" s="36" t="s">
        <v>1089</v>
      </c>
      <c r="G2301" s="37" t="s">
        <v>8071</v>
      </c>
      <c r="H2301" s="36" t="s">
        <v>7610</v>
      </c>
      <c r="I2301" s="35" t="s">
        <v>8072</v>
      </c>
      <c r="J2301" s="36" t="s">
        <v>914</v>
      </c>
      <c r="K2301" s="33" t="s">
        <v>916</v>
      </c>
      <c r="L2301" s="35" t="s">
        <v>916</v>
      </c>
      <c r="M2301" s="36" t="s">
        <v>916</v>
      </c>
      <c r="N2301" s="45">
        <v>46022</v>
      </c>
      <c r="O2301" s="36" t="s">
        <v>25</v>
      </c>
      <c r="P2301" s="38">
        <v>129.57410879630001</v>
      </c>
      <c r="Q2301" s="39" t="s">
        <v>1777</v>
      </c>
      <c r="R2301" s="35" t="s">
        <v>916</v>
      </c>
      <c r="S2301" s="35" t="s">
        <v>8073</v>
      </c>
      <c r="T2301" s="35" t="s">
        <v>1701</v>
      </c>
      <c r="U2301" s="40">
        <v>45893</v>
      </c>
      <c r="V2301" s="41">
        <v>46153.533090277779</v>
      </c>
      <c r="W2301" s="40">
        <v>45892</v>
      </c>
      <c r="X2301" s="35" t="s">
        <v>916</v>
      </c>
      <c r="Y2301" s="35" t="s">
        <v>916</v>
      </c>
      <c r="Z2301" s="35" t="s">
        <v>916</v>
      </c>
      <c r="AA2301" s="38">
        <v>3109.7786111112</v>
      </c>
      <c r="AB2301" s="42" t="s">
        <v>916</v>
      </c>
      <c r="AC2301" s="43" t="s">
        <v>916</v>
      </c>
      <c r="AD2301" s="43" t="s">
        <v>916</v>
      </c>
      <c r="AE2301" s="33" t="s">
        <v>3982</v>
      </c>
      <c r="AF2301" s="35" t="s">
        <v>916</v>
      </c>
      <c r="AG2301" s="44">
        <v>487762.22138888889</v>
      </c>
      <c r="AH2301" s="42" t="s">
        <v>916</v>
      </c>
      <c r="AI2301" s="32" t="e">
        <f>VLOOKUP(A2301,'4月明細'!B:B,1,0)</f>
        <v>#N/A</v>
      </c>
    </row>
    <row r="2302" spans="1:35" ht="19.95" customHeight="1" x14ac:dyDescent="0.3">
      <c r="A2302" s="33" t="s">
        <v>8074</v>
      </c>
      <c r="B2302" s="34">
        <v>45891.711724537039</v>
      </c>
      <c r="C2302" s="34" t="str">
        <f t="shared" si="48"/>
        <v>202508</v>
      </c>
      <c r="D2302" s="35" t="s">
        <v>5380</v>
      </c>
      <c r="E2302" s="36" t="s">
        <v>910</v>
      </c>
      <c r="F2302" s="36" t="s">
        <v>1089</v>
      </c>
      <c r="G2302" s="37" t="s">
        <v>8075</v>
      </c>
      <c r="H2302" s="36" t="s">
        <v>4185</v>
      </c>
      <c r="I2302" s="35" t="s">
        <v>5866</v>
      </c>
      <c r="J2302" s="36" t="s">
        <v>929</v>
      </c>
      <c r="K2302" s="33" t="s">
        <v>916</v>
      </c>
      <c r="L2302" s="35" t="s">
        <v>916</v>
      </c>
      <c r="M2302" s="36" t="s">
        <v>7198</v>
      </c>
      <c r="N2302" s="45">
        <v>46022</v>
      </c>
      <c r="O2302" s="36" t="s">
        <v>25</v>
      </c>
      <c r="P2302" s="38">
        <v>130.28827546299999</v>
      </c>
      <c r="Q2302" s="39" t="s">
        <v>8076</v>
      </c>
      <c r="R2302" s="35" t="s">
        <v>916</v>
      </c>
      <c r="S2302" s="35"/>
      <c r="T2302" s="35" t="s">
        <v>1701</v>
      </c>
      <c r="U2302" s="40">
        <v>45892</v>
      </c>
      <c r="V2302" s="41">
        <v>46153.533090277779</v>
      </c>
      <c r="W2302" s="40">
        <v>45891</v>
      </c>
      <c r="X2302" s="35" t="s">
        <v>916</v>
      </c>
      <c r="Y2302" s="35" t="s">
        <v>916</v>
      </c>
      <c r="Z2302" s="35" t="s">
        <v>916</v>
      </c>
      <c r="AA2302" s="38">
        <v>3126.9186111119998</v>
      </c>
      <c r="AB2302" s="42" t="s">
        <v>916</v>
      </c>
      <c r="AC2302" s="43" t="s">
        <v>916</v>
      </c>
      <c r="AD2302" s="43" t="s">
        <v>916</v>
      </c>
      <c r="AE2302" s="33" t="s">
        <v>3982</v>
      </c>
      <c r="AF2302" s="35" t="s">
        <v>916</v>
      </c>
      <c r="AG2302" s="44">
        <v>487745.08138888888</v>
      </c>
      <c r="AH2302" s="42" t="s">
        <v>916</v>
      </c>
      <c r="AI2302" s="32" t="e">
        <f>VLOOKUP(A2302,'4月明細'!B:B,1,0)</f>
        <v>#N/A</v>
      </c>
    </row>
    <row r="2303" spans="1:35" ht="19.95" customHeight="1" x14ac:dyDescent="0.3">
      <c r="A2303" s="33" t="s">
        <v>8077</v>
      </c>
      <c r="B2303" s="34">
        <v>45891.610405092593</v>
      </c>
      <c r="C2303" s="34" t="str">
        <f t="shared" si="48"/>
        <v>202508</v>
      </c>
      <c r="D2303" s="35" t="s">
        <v>8078</v>
      </c>
      <c r="E2303" s="36" t="s">
        <v>910</v>
      </c>
      <c r="F2303" s="36" t="s">
        <v>1304</v>
      </c>
      <c r="G2303" s="37" t="s">
        <v>8079</v>
      </c>
      <c r="H2303" s="36" t="s">
        <v>4065</v>
      </c>
      <c r="I2303" s="35"/>
      <c r="J2303" s="36" t="s">
        <v>914</v>
      </c>
      <c r="K2303" s="33" t="s">
        <v>916</v>
      </c>
      <c r="L2303" s="35" t="s">
        <v>916</v>
      </c>
      <c r="M2303" s="36" t="s">
        <v>916</v>
      </c>
      <c r="N2303" s="45">
        <v>46022</v>
      </c>
      <c r="O2303" s="36" t="s">
        <v>25</v>
      </c>
      <c r="P2303" s="38">
        <v>130.38959490740001</v>
      </c>
      <c r="Q2303" s="39" t="s">
        <v>8080</v>
      </c>
      <c r="R2303" s="35" t="s">
        <v>916</v>
      </c>
      <c r="S2303" s="35"/>
      <c r="T2303" s="35" t="s">
        <v>1701</v>
      </c>
      <c r="U2303" s="40">
        <v>45892</v>
      </c>
      <c r="V2303" s="41">
        <v>46153.533090277779</v>
      </c>
      <c r="W2303" s="40">
        <v>45891</v>
      </c>
      <c r="X2303" s="35" t="s">
        <v>916</v>
      </c>
      <c r="Y2303" s="35" t="s">
        <v>916</v>
      </c>
      <c r="Z2303" s="35" t="s">
        <v>916</v>
      </c>
      <c r="AA2303" s="38">
        <v>3129.3502777775998</v>
      </c>
      <c r="AB2303" s="42" t="s">
        <v>916</v>
      </c>
      <c r="AC2303" s="43" t="s">
        <v>916</v>
      </c>
      <c r="AD2303" s="43" t="s">
        <v>916</v>
      </c>
      <c r="AE2303" s="33" t="s">
        <v>3982</v>
      </c>
      <c r="AF2303" s="35" t="s">
        <v>916</v>
      </c>
      <c r="AG2303" s="44">
        <v>487742.64972222218</v>
      </c>
      <c r="AH2303" s="42" t="s">
        <v>916</v>
      </c>
      <c r="AI2303" s="32" t="e">
        <f>VLOOKUP(A2303,'4月明細'!B:B,1,0)</f>
        <v>#N/A</v>
      </c>
    </row>
    <row r="2304" spans="1:35" ht="19.95" customHeight="1" x14ac:dyDescent="0.3">
      <c r="A2304" s="33" t="s">
        <v>8081</v>
      </c>
      <c r="B2304" s="34">
        <v>45891.601574074077</v>
      </c>
      <c r="C2304" s="34" t="str">
        <f t="shared" si="48"/>
        <v>202508</v>
      </c>
      <c r="D2304" s="35" t="s">
        <v>5380</v>
      </c>
      <c r="E2304" s="36" t="s">
        <v>910</v>
      </c>
      <c r="F2304" s="36" t="s">
        <v>1870</v>
      </c>
      <c r="G2304" s="37" t="s">
        <v>8082</v>
      </c>
      <c r="H2304" s="36" t="s">
        <v>5833</v>
      </c>
      <c r="I2304" s="35" t="s">
        <v>8083</v>
      </c>
      <c r="J2304" s="36" t="s">
        <v>914</v>
      </c>
      <c r="K2304" s="33" t="s">
        <v>916</v>
      </c>
      <c r="L2304" s="35" t="s">
        <v>916</v>
      </c>
      <c r="M2304" s="36" t="s">
        <v>916</v>
      </c>
      <c r="N2304" s="45">
        <v>46022</v>
      </c>
      <c r="O2304" s="36" t="s">
        <v>25</v>
      </c>
      <c r="P2304" s="38">
        <v>130.3984259259</v>
      </c>
      <c r="Q2304" s="39" t="s">
        <v>2722</v>
      </c>
      <c r="R2304" s="35" t="s">
        <v>916</v>
      </c>
      <c r="S2304" s="35" t="s">
        <v>8084</v>
      </c>
      <c r="T2304" s="35" t="s">
        <v>1701</v>
      </c>
      <c r="U2304" s="40">
        <v>45892</v>
      </c>
      <c r="V2304" s="41">
        <v>46153.533090277779</v>
      </c>
      <c r="W2304" s="40">
        <v>45891</v>
      </c>
      <c r="X2304" s="35" t="s">
        <v>916</v>
      </c>
      <c r="Y2304" s="35" t="s">
        <v>916</v>
      </c>
      <c r="Z2304" s="35" t="s">
        <v>916</v>
      </c>
      <c r="AA2304" s="38">
        <v>3129.5622222216002</v>
      </c>
      <c r="AB2304" s="42" t="s">
        <v>916</v>
      </c>
      <c r="AC2304" s="43" t="s">
        <v>916</v>
      </c>
      <c r="AD2304" s="43" t="s">
        <v>916</v>
      </c>
      <c r="AE2304" s="33" t="s">
        <v>3982</v>
      </c>
      <c r="AF2304" s="35" t="s">
        <v>916</v>
      </c>
      <c r="AG2304" s="44">
        <v>487742.43777777778</v>
      </c>
      <c r="AH2304" s="42" t="s">
        <v>916</v>
      </c>
      <c r="AI2304" s="32" t="e">
        <f>VLOOKUP(A2304,'4月明細'!B:B,1,0)</f>
        <v>#N/A</v>
      </c>
    </row>
    <row r="2305" spans="1:35" ht="19.95" customHeight="1" x14ac:dyDescent="0.3">
      <c r="A2305" s="33" t="s">
        <v>8085</v>
      </c>
      <c r="B2305" s="34">
        <v>45891.515196759261</v>
      </c>
      <c r="C2305" s="34" t="str">
        <f t="shared" si="48"/>
        <v>202508</v>
      </c>
      <c r="D2305" s="35" t="s">
        <v>996</v>
      </c>
      <c r="E2305" s="36" t="s">
        <v>910</v>
      </c>
      <c r="F2305" s="36" t="s">
        <v>1183</v>
      </c>
      <c r="G2305" s="37" t="s">
        <v>8086</v>
      </c>
      <c r="H2305" s="36" t="s">
        <v>1114</v>
      </c>
      <c r="I2305" s="35" t="s">
        <v>1362</v>
      </c>
      <c r="J2305" s="36" t="s">
        <v>929</v>
      </c>
      <c r="K2305" s="33" t="s">
        <v>916</v>
      </c>
      <c r="L2305" s="35" t="s">
        <v>916</v>
      </c>
      <c r="M2305" s="36" t="s">
        <v>916</v>
      </c>
      <c r="N2305" s="45">
        <v>46022</v>
      </c>
      <c r="O2305" s="36" t="s">
        <v>25</v>
      </c>
      <c r="P2305" s="38">
        <v>130.48480324069999</v>
      </c>
      <c r="Q2305" s="39" t="s">
        <v>6634</v>
      </c>
      <c r="R2305" s="35" t="s">
        <v>916</v>
      </c>
      <c r="S2305" s="35" t="s">
        <v>8087</v>
      </c>
      <c r="T2305" s="35" t="s">
        <v>1701</v>
      </c>
      <c r="U2305" s="40">
        <v>45892</v>
      </c>
      <c r="V2305" s="41">
        <v>46153.533090277779</v>
      </c>
      <c r="W2305" s="40">
        <v>45891</v>
      </c>
      <c r="X2305" s="35" t="s">
        <v>916</v>
      </c>
      <c r="Y2305" s="35" t="s">
        <v>916</v>
      </c>
      <c r="Z2305" s="35" t="s">
        <v>916</v>
      </c>
      <c r="AA2305" s="38">
        <v>3131.6352777768002</v>
      </c>
      <c r="AB2305" s="42" t="s">
        <v>916</v>
      </c>
      <c r="AC2305" s="43" t="s">
        <v>916</v>
      </c>
      <c r="AD2305" s="43" t="s">
        <v>916</v>
      </c>
      <c r="AE2305" s="33" t="s">
        <v>3982</v>
      </c>
      <c r="AF2305" s="35" t="s">
        <v>916</v>
      </c>
      <c r="AG2305" s="44">
        <v>487740.36472222232</v>
      </c>
      <c r="AH2305" s="42" t="s">
        <v>916</v>
      </c>
      <c r="AI2305" s="32" t="e">
        <f>VLOOKUP(A2305,'4月明細'!B:B,1,0)</f>
        <v>#N/A</v>
      </c>
    </row>
    <row r="2306" spans="1:35" ht="19.95" customHeight="1" x14ac:dyDescent="0.3">
      <c r="A2306" s="33" t="s">
        <v>8088</v>
      </c>
      <c r="B2306" s="34">
        <v>45891.478217592594</v>
      </c>
      <c r="C2306" s="34" t="str">
        <f t="shared" si="48"/>
        <v>202508</v>
      </c>
      <c r="D2306" s="35" t="s">
        <v>5380</v>
      </c>
      <c r="E2306" s="36" t="s">
        <v>910</v>
      </c>
      <c r="F2306" s="36" t="s">
        <v>1572</v>
      </c>
      <c r="G2306" s="37" t="s">
        <v>8089</v>
      </c>
      <c r="H2306" s="36" t="s">
        <v>7825</v>
      </c>
      <c r="I2306" s="35" t="s">
        <v>8090</v>
      </c>
      <c r="J2306" s="36" t="s">
        <v>914</v>
      </c>
      <c r="K2306" s="33" t="s">
        <v>916</v>
      </c>
      <c r="L2306" s="35" t="s">
        <v>916</v>
      </c>
      <c r="M2306" s="36" t="s">
        <v>916</v>
      </c>
      <c r="N2306" s="45">
        <v>46022</v>
      </c>
      <c r="O2306" s="36" t="s">
        <v>25</v>
      </c>
      <c r="P2306" s="38">
        <v>130.5217824074</v>
      </c>
      <c r="Q2306" s="39" t="s">
        <v>8091</v>
      </c>
      <c r="R2306" s="35" t="s">
        <v>916</v>
      </c>
      <c r="S2306" s="35" t="s">
        <v>8092</v>
      </c>
      <c r="T2306" s="35" t="s">
        <v>1701</v>
      </c>
      <c r="U2306" s="40">
        <v>45892</v>
      </c>
      <c r="V2306" s="41">
        <v>46153.533090277779</v>
      </c>
      <c r="W2306" s="40">
        <v>45891</v>
      </c>
      <c r="X2306" s="35" t="s">
        <v>916</v>
      </c>
      <c r="Y2306" s="35" t="s">
        <v>916</v>
      </c>
      <c r="Z2306" s="35" t="s">
        <v>916</v>
      </c>
      <c r="AA2306" s="38">
        <v>3132.5227777775999</v>
      </c>
      <c r="AB2306" s="42" t="s">
        <v>916</v>
      </c>
      <c r="AC2306" s="43" t="s">
        <v>916</v>
      </c>
      <c r="AD2306" s="43" t="s">
        <v>916</v>
      </c>
      <c r="AE2306" s="33" t="s">
        <v>3982</v>
      </c>
      <c r="AF2306" s="35" t="s">
        <v>916</v>
      </c>
      <c r="AG2306" s="44">
        <v>487739.47722222231</v>
      </c>
      <c r="AH2306" s="42" t="s">
        <v>916</v>
      </c>
      <c r="AI2306" s="32" t="e">
        <f>VLOOKUP(A2306,'4月明細'!B:B,1,0)</f>
        <v>#N/A</v>
      </c>
    </row>
    <row r="2307" spans="1:35" ht="19.95" customHeight="1" x14ac:dyDescent="0.3">
      <c r="A2307" s="33" t="s">
        <v>8093</v>
      </c>
      <c r="B2307" s="34">
        <v>45891.449803240743</v>
      </c>
      <c r="C2307" s="34" t="str">
        <f t="shared" ref="C2307:C2370" si="49">TEXT(B2307,"YYYYMM")</f>
        <v>202508</v>
      </c>
      <c r="D2307" s="35" t="s">
        <v>8078</v>
      </c>
      <c r="E2307" s="36" t="s">
        <v>910</v>
      </c>
      <c r="F2307" s="36" t="s">
        <v>1285</v>
      </c>
      <c r="G2307" s="37" t="s">
        <v>8094</v>
      </c>
      <c r="H2307" s="36" t="s">
        <v>4007</v>
      </c>
      <c r="I2307" s="35" t="s">
        <v>8095</v>
      </c>
      <c r="J2307" s="36" t="s">
        <v>914</v>
      </c>
      <c r="K2307" s="33" t="s">
        <v>916</v>
      </c>
      <c r="L2307" s="35" t="s">
        <v>916</v>
      </c>
      <c r="M2307" s="36" t="s">
        <v>916</v>
      </c>
      <c r="N2307" s="45">
        <v>46022</v>
      </c>
      <c r="O2307" s="36" t="s">
        <v>25</v>
      </c>
      <c r="P2307" s="38">
        <v>130.55019675930001</v>
      </c>
      <c r="Q2307" s="39" t="s">
        <v>2722</v>
      </c>
      <c r="R2307" s="35" t="s">
        <v>916</v>
      </c>
      <c r="S2307" s="35" t="s">
        <v>8096</v>
      </c>
      <c r="T2307" s="35" t="s">
        <v>1701</v>
      </c>
      <c r="U2307" s="40">
        <v>45892</v>
      </c>
      <c r="V2307" s="41">
        <v>46153.533090277779</v>
      </c>
      <c r="W2307" s="40">
        <v>45891</v>
      </c>
      <c r="X2307" s="35" t="s">
        <v>916</v>
      </c>
      <c r="Y2307" s="35" t="s">
        <v>916</v>
      </c>
      <c r="Z2307" s="35" t="s">
        <v>916</v>
      </c>
      <c r="AA2307" s="38">
        <v>3133.2047222232</v>
      </c>
      <c r="AB2307" s="42" t="s">
        <v>916</v>
      </c>
      <c r="AC2307" s="43" t="s">
        <v>916</v>
      </c>
      <c r="AD2307" s="43" t="s">
        <v>916</v>
      </c>
      <c r="AE2307" s="33" t="s">
        <v>3982</v>
      </c>
      <c r="AF2307" s="35" t="s">
        <v>916</v>
      </c>
      <c r="AG2307" s="44">
        <v>487738.79527777783</v>
      </c>
      <c r="AH2307" s="42" t="s">
        <v>916</v>
      </c>
      <c r="AI2307" s="32" t="e">
        <f>VLOOKUP(A2307,'4月明細'!B:B,1,0)</f>
        <v>#N/A</v>
      </c>
    </row>
    <row r="2308" spans="1:35" ht="19.95" customHeight="1" x14ac:dyDescent="0.3">
      <c r="A2308" s="33" t="s">
        <v>8097</v>
      </c>
      <c r="B2308" s="34">
        <v>45890.692696759259</v>
      </c>
      <c r="C2308" s="34" t="str">
        <f t="shared" si="49"/>
        <v>202508</v>
      </c>
      <c r="D2308" s="35" t="s">
        <v>5380</v>
      </c>
      <c r="E2308" s="36" t="s">
        <v>910</v>
      </c>
      <c r="F2308" s="36" t="s">
        <v>1713</v>
      </c>
      <c r="G2308" s="37" t="s">
        <v>6857</v>
      </c>
      <c r="H2308" s="36" t="s">
        <v>4162</v>
      </c>
      <c r="I2308" s="35" t="s">
        <v>8098</v>
      </c>
      <c r="J2308" s="36" t="s">
        <v>929</v>
      </c>
      <c r="K2308" s="33" t="s">
        <v>916</v>
      </c>
      <c r="L2308" s="35" t="s">
        <v>916</v>
      </c>
      <c r="M2308" s="36" t="s">
        <v>916</v>
      </c>
      <c r="N2308" s="45">
        <v>46022</v>
      </c>
      <c r="O2308" s="36" t="s">
        <v>25</v>
      </c>
      <c r="P2308" s="38">
        <v>131.30730324070001</v>
      </c>
      <c r="Q2308" s="39" t="s">
        <v>8099</v>
      </c>
      <c r="R2308" s="35" t="s">
        <v>916</v>
      </c>
      <c r="S2308" s="35" t="s">
        <v>8100</v>
      </c>
      <c r="T2308" s="35" t="s">
        <v>1701</v>
      </c>
      <c r="U2308" s="40">
        <v>45891</v>
      </c>
      <c r="V2308" s="41">
        <v>46153.533090277779</v>
      </c>
      <c r="W2308" s="40">
        <v>45890</v>
      </c>
      <c r="X2308" s="35" t="s">
        <v>916</v>
      </c>
      <c r="Y2308" s="35" t="s">
        <v>916</v>
      </c>
      <c r="Z2308" s="35" t="s">
        <v>916</v>
      </c>
      <c r="AA2308" s="38">
        <v>3151.3752777768</v>
      </c>
      <c r="AB2308" s="42" t="s">
        <v>916</v>
      </c>
      <c r="AC2308" s="43" t="s">
        <v>916</v>
      </c>
      <c r="AD2308" s="43" t="s">
        <v>916</v>
      </c>
      <c r="AE2308" s="33" t="s">
        <v>3982</v>
      </c>
      <c r="AF2308" s="35" t="s">
        <v>916</v>
      </c>
      <c r="AG2308" s="44">
        <v>487720.62472222222</v>
      </c>
      <c r="AH2308" s="42" t="s">
        <v>916</v>
      </c>
      <c r="AI2308" s="32" t="e">
        <f>VLOOKUP(A2308,'4月明細'!B:B,1,0)</f>
        <v>#N/A</v>
      </c>
    </row>
    <row r="2309" spans="1:35" ht="19.95" customHeight="1" x14ac:dyDescent="0.3">
      <c r="A2309" s="33" t="s">
        <v>8101</v>
      </c>
      <c r="B2309" s="34">
        <v>45890.684710648151</v>
      </c>
      <c r="C2309" s="34" t="str">
        <f t="shared" si="49"/>
        <v>202508</v>
      </c>
      <c r="D2309" s="35" t="s">
        <v>6847</v>
      </c>
      <c r="E2309" s="36" t="s">
        <v>910</v>
      </c>
      <c r="F2309" s="36" t="s">
        <v>1203</v>
      </c>
      <c r="G2309" s="37" t="s">
        <v>8102</v>
      </c>
      <c r="H2309" s="36" t="s">
        <v>913</v>
      </c>
      <c r="I2309" s="35"/>
      <c r="J2309" s="36" t="s">
        <v>929</v>
      </c>
      <c r="K2309" s="33" t="s">
        <v>916</v>
      </c>
      <c r="L2309" s="35" t="s">
        <v>916</v>
      </c>
      <c r="M2309" s="36" t="s">
        <v>916</v>
      </c>
      <c r="N2309" s="45">
        <v>46022</v>
      </c>
      <c r="O2309" s="36" t="s">
        <v>25</v>
      </c>
      <c r="P2309" s="38">
        <v>131.31528935189999</v>
      </c>
      <c r="Q2309" s="39" t="s">
        <v>8103</v>
      </c>
      <c r="R2309" s="35" t="s">
        <v>916</v>
      </c>
      <c r="S2309" s="35"/>
      <c r="T2309" s="35" t="s">
        <v>1701</v>
      </c>
      <c r="U2309" s="40">
        <v>45891</v>
      </c>
      <c r="V2309" s="41">
        <v>46153.533090277779</v>
      </c>
      <c r="W2309" s="40">
        <v>45890</v>
      </c>
      <c r="X2309" s="35" t="s">
        <v>916</v>
      </c>
      <c r="Y2309" s="35" t="s">
        <v>916</v>
      </c>
      <c r="Z2309" s="35" t="s">
        <v>916</v>
      </c>
      <c r="AA2309" s="38">
        <v>3151.5669444455998</v>
      </c>
      <c r="AB2309" s="42" t="s">
        <v>916</v>
      </c>
      <c r="AC2309" s="43" t="s">
        <v>916</v>
      </c>
      <c r="AD2309" s="43" t="s">
        <v>916</v>
      </c>
      <c r="AE2309" s="33" t="s">
        <v>3982</v>
      </c>
      <c r="AF2309" s="35" t="s">
        <v>916</v>
      </c>
      <c r="AG2309" s="44">
        <v>487720.43305555562</v>
      </c>
      <c r="AH2309" s="42" t="s">
        <v>916</v>
      </c>
      <c r="AI2309" s="32" t="e">
        <f>VLOOKUP(A2309,'4月明細'!B:B,1,0)</f>
        <v>#N/A</v>
      </c>
    </row>
    <row r="2310" spans="1:35" ht="19.95" customHeight="1" x14ac:dyDescent="0.3">
      <c r="A2310" s="33" t="s">
        <v>8104</v>
      </c>
      <c r="B2310" s="34">
        <v>45890.655428240738</v>
      </c>
      <c r="C2310" s="34" t="str">
        <f t="shared" si="49"/>
        <v>202508</v>
      </c>
      <c r="D2310" s="35" t="s">
        <v>6847</v>
      </c>
      <c r="E2310" s="36" t="s">
        <v>910</v>
      </c>
      <c r="F2310" s="36" t="s">
        <v>947</v>
      </c>
      <c r="G2310" s="37" t="s">
        <v>8105</v>
      </c>
      <c r="H2310" s="36" t="s">
        <v>1079</v>
      </c>
      <c r="I2310" s="35"/>
      <c r="J2310" s="36" t="s">
        <v>929</v>
      </c>
      <c r="K2310" s="33" t="s">
        <v>916</v>
      </c>
      <c r="L2310" s="35" t="s">
        <v>916</v>
      </c>
      <c r="M2310" s="36" t="s">
        <v>916</v>
      </c>
      <c r="N2310" s="45">
        <v>46022</v>
      </c>
      <c r="O2310" s="36" t="s">
        <v>25</v>
      </c>
      <c r="P2310" s="38">
        <v>131.34457175930001</v>
      </c>
      <c r="Q2310" s="39" t="s">
        <v>1395</v>
      </c>
      <c r="R2310" s="35" t="s">
        <v>916</v>
      </c>
      <c r="S2310" s="35" t="s">
        <v>8106</v>
      </c>
      <c r="T2310" s="35" t="s">
        <v>1701</v>
      </c>
      <c r="U2310" s="40">
        <v>45891</v>
      </c>
      <c r="V2310" s="41">
        <v>46153.533101851855</v>
      </c>
      <c r="W2310" s="40">
        <v>45890</v>
      </c>
      <c r="X2310" s="35" t="s">
        <v>916</v>
      </c>
      <c r="Y2310" s="35" t="s">
        <v>916</v>
      </c>
      <c r="Z2310" s="35" t="s">
        <v>916</v>
      </c>
      <c r="AA2310" s="38">
        <v>3152.2697222232</v>
      </c>
      <c r="AB2310" s="42" t="s">
        <v>916</v>
      </c>
      <c r="AC2310" s="43" t="s">
        <v>916</v>
      </c>
      <c r="AD2310" s="43" t="s">
        <v>916</v>
      </c>
      <c r="AE2310" s="33" t="s">
        <v>3982</v>
      </c>
      <c r="AF2310" s="35" t="s">
        <v>916</v>
      </c>
      <c r="AG2310" s="44">
        <v>487719.73027777782</v>
      </c>
      <c r="AH2310" s="42" t="s">
        <v>916</v>
      </c>
      <c r="AI2310" s="32" t="e">
        <f>VLOOKUP(A2310,'4月明細'!B:B,1,0)</f>
        <v>#N/A</v>
      </c>
    </row>
    <row r="2311" spans="1:35" ht="19.95" customHeight="1" x14ac:dyDescent="0.3">
      <c r="A2311" s="33" t="s">
        <v>8107</v>
      </c>
      <c r="B2311" s="34">
        <v>45890.61136574074</v>
      </c>
      <c r="C2311" s="34" t="str">
        <f t="shared" si="49"/>
        <v>202508</v>
      </c>
      <c r="D2311" s="35" t="s">
        <v>996</v>
      </c>
      <c r="E2311" s="36" t="s">
        <v>910</v>
      </c>
      <c r="F2311" s="36" t="s">
        <v>1479</v>
      </c>
      <c r="G2311" s="37" t="s">
        <v>8108</v>
      </c>
      <c r="H2311" s="36" t="s">
        <v>1114</v>
      </c>
      <c r="I2311" s="35" t="s">
        <v>8109</v>
      </c>
      <c r="J2311" s="36" t="s">
        <v>1058</v>
      </c>
      <c r="K2311" s="33" t="s">
        <v>916</v>
      </c>
      <c r="L2311" s="35" t="s">
        <v>916</v>
      </c>
      <c r="M2311" s="36" t="s">
        <v>916</v>
      </c>
      <c r="N2311" s="45">
        <v>46022</v>
      </c>
      <c r="O2311" s="36" t="s">
        <v>25</v>
      </c>
      <c r="P2311" s="38">
        <v>131.38863425930001</v>
      </c>
      <c r="Q2311" s="39" t="s">
        <v>8110</v>
      </c>
      <c r="R2311" s="35" t="s">
        <v>916</v>
      </c>
      <c r="S2311" s="35" t="s">
        <v>8111</v>
      </c>
      <c r="T2311" s="35" t="s">
        <v>1701</v>
      </c>
      <c r="U2311" s="40">
        <v>45891</v>
      </c>
      <c r="V2311" s="41">
        <v>46153.533101851855</v>
      </c>
      <c r="W2311" s="40">
        <v>45890</v>
      </c>
      <c r="X2311" s="35" t="s">
        <v>916</v>
      </c>
      <c r="Y2311" s="35" t="s">
        <v>916</v>
      </c>
      <c r="Z2311" s="35" t="s">
        <v>916</v>
      </c>
      <c r="AA2311" s="38">
        <v>3153.3272222231999</v>
      </c>
      <c r="AB2311" s="42" t="s">
        <v>916</v>
      </c>
      <c r="AC2311" s="43" t="s">
        <v>916</v>
      </c>
      <c r="AD2311" s="43" t="s">
        <v>916</v>
      </c>
      <c r="AE2311" s="33" t="s">
        <v>3982</v>
      </c>
      <c r="AF2311" s="35" t="s">
        <v>916</v>
      </c>
      <c r="AG2311" s="44">
        <v>487718.67277777783</v>
      </c>
      <c r="AH2311" s="42" t="s">
        <v>916</v>
      </c>
      <c r="AI2311" s="32" t="e">
        <f>VLOOKUP(A2311,'4月明細'!B:B,1,0)</f>
        <v>#N/A</v>
      </c>
    </row>
    <row r="2312" spans="1:35" ht="19.95" customHeight="1" x14ac:dyDescent="0.3">
      <c r="A2312" s="33" t="s">
        <v>8112</v>
      </c>
      <c r="B2312" s="34">
        <v>45890.534062500003</v>
      </c>
      <c r="C2312" s="34" t="str">
        <f t="shared" si="49"/>
        <v>202508</v>
      </c>
      <c r="D2312" s="35" t="s">
        <v>996</v>
      </c>
      <c r="E2312" s="36" t="s">
        <v>910</v>
      </c>
      <c r="F2312" s="36" t="s">
        <v>964</v>
      </c>
      <c r="G2312" s="37" t="s">
        <v>8113</v>
      </c>
      <c r="H2312" s="36" t="s">
        <v>4023</v>
      </c>
      <c r="I2312" s="35" t="s">
        <v>8114</v>
      </c>
      <c r="J2312" s="36" t="s">
        <v>929</v>
      </c>
      <c r="K2312" s="33" t="s">
        <v>916</v>
      </c>
      <c r="L2312" s="35" t="s">
        <v>916</v>
      </c>
      <c r="M2312" s="36" t="s">
        <v>916</v>
      </c>
      <c r="N2312" s="45">
        <v>46022</v>
      </c>
      <c r="O2312" s="36" t="s">
        <v>25</v>
      </c>
      <c r="P2312" s="38">
        <v>131.4659375</v>
      </c>
      <c r="Q2312" s="39" t="s">
        <v>7582</v>
      </c>
      <c r="R2312" s="35" t="s">
        <v>916</v>
      </c>
      <c r="S2312" s="35" t="s">
        <v>8115</v>
      </c>
      <c r="T2312" s="35" t="s">
        <v>1701</v>
      </c>
      <c r="U2312" s="40">
        <v>45891</v>
      </c>
      <c r="V2312" s="41">
        <v>46153.533101851855</v>
      </c>
      <c r="W2312" s="40">
        <v>45890</v>
      </c>
      <c r="X2312" s="35" t="s">
        <v>916</v>
      </c>
      <c r="Y2312" s="35" t="s">
        <v>916</v>
      </c>
      <c r="Z2312" s="35" t="s">
        <v>916</v>
      </c>
      <c r="AA2312" s="38">
        <v>3155.1824999999999</v>
      </c>
      <c r="AB2312" s="42" t="s">
        <v>916</v>
      </c>
      <c r="AC2312" s="43" t="s">
        <v>916</v>
      </c>
      <c r="AD2312" s="43" t="s">
        <v>916</v>
      </c>
      <c r="AE2312" s="33" t="s">
        <v>3982</v>
      </c>
      <c r="AF2312" s="35" t="s">
        <v>916</v>
      </c>
      <c r="AG2312" s="44">
        <v>487716.8175</v>
      </c>
      <c r="AH2312" s="42" t="s">
        <v>916</v>
      </c>
      <c r="AI2312" s="32" t="e">
        <f>VLOOKUP(A2312,'4月明細'!B:B,1,0)</f>
        <v>#N/A</v>
      </c>
    </row>
    <row r="2313" spans="1:35" ht="19.95" customHeight="1" x14ac:dyDescent="0.3">
      <c r="A2313" s="33" t="s">
        <v>8116</v>
      </c>
      <c r="B2313" s="34">
        <v>45890.480509259258</v>
      </c>
      <c r="C2313" s="34" t="str">
        <f t="shared" si="49"/>
        <v>202508</v>
      </c>
      <c r="D2313" s="35" t="s">
        <v>996</v>
      </c>
      <c r="E2313" s="36" t="s">
        <v>910</v>
      </c>
      <c r="F2313" s="36" t="s">
        <v>1076</v>
      </c>
      <c r="G2313" s="37" t="s">
        <v>8117</v>
      </c>
      <c r="H2313" s="36" t="s">
        <v>1048</v>
      </c>
      <c r="I2313" s="35" t="s">
        <v>8118</v>
      </c>
      <c r="J2313" s="36" t="s">
        <v>914</v>
      </c>
      <c r="K2313" s="33" t="s">
        <v>916</v>
      </c>
      <c r="L2313" s="35" t="s">
        <v>916</v>
      </c>
      <c r="M2313" s="36" t="s">
        <v>916</v>
      </c>
      <c r="N2313" s="45">
        <v>46022</v>
      </c>
      <c r="O2313" s="36" t="s">
        <v>25</v>
      </c>
      <c r="P2313" s="38">
        <v>131.51949074070001</v>
      </c>
      <c r="Q2313" s="39" t="s">
        <v>8119</v>
      </c>
      <c r="R2313" s="35" t="s">
        <v>916</v>
      </c>
      <c r="S2313" s="35" t="s">
        <v>8120</v>
      </c>
      <c r="T2313" s="35" t="s">
        <v>1701</v>
      </c>
      <c r="U2313" s="40">
        <v>45891</v>
      </c>
      <c r="V2313" s="41">
        <v>46153.533101851855</v>
      </c>
      <c r="W2313" s="40">
        <v>45890</v>
      </c>
      <c r="X2313" s="35" t="s">
        <v>916</v>
      </c>
      <c r="Y2313" s="35" t="s">
        <v>916</v>
      </c>
      <c r="Z2313" s="35" t="s">
        <v>916</v>
      </c>
      <c r="AA2313" s="38">
        <v>3156.4677777768002</v>
      </c>
      <c r="AB2313" s="42" t="s">
        <v>916</v>
      </c>
      <c r="AC2313" s="43" t="s">
        <v>916</v>
      </c>
      <c r="AD2313" s="43" t="s">
        <v>916</v>
      </c>
      <c r="AE2313" s="33" t="s">
        <v>3982</v>
      </c>
      <c r="AF2313" s="35" t="s">
        <v>916</v>
      </c>
      <c r="AG2313" s="44">
        <v>487715.5322222223</v>
      </c>
      <c r="AH2313" s="42" t="s">
        <v>916</v>
      </c>
      <c r="AI2313" s="32" t="e">
        <f>VLOOKUP(A2313,'4月明細'!B:B,1,0)</f>
        <v>#N/A</v>
      </c>
    </row>
    <row r="2314" spans="1:35" ht="19.95" customHeight="1" x14ac:dyDescent="0.3">
      <c r="A2314" s="33" t="s">
        <v>8121</v>
      </c>
      <c r="B2314" s="34">
        <v>45890.473715277774</v>
      </c>
      <c r="C2314" s="34" t="str">
        <f t="shared" si="49"/>
        <v>202508</v>
      </c>
      <c r="D2314" s="35" t="s">
        <v>5380</v>
      </c>
      <c r="E2314" s="36" t="s">
        <v>910</v>
      </c>
      <c r="F2314" s="36" t="s">
        <v>1045</v>
      </c>
      <c r="G2314" s="37" t="s">
        <v>977</v>
      </c>
      <c r="H2314" s="36" t="s">
        <v>4203</v>
      </c>
      <c r="I2314" s="35" t="s">
        <v>8122</v>
      </c>
      <c r="J2314" s="36" t="s">
        <v>914</v>
      </c>
      <c r="K2314" s="33" t="s">
        <v>916</v>
      </c>
      <c r="L2314" s="35" t="s">
        <v>916</v>
      </c>
      <c r="M2314" s="36" t="s">
        <v>916</v>
      </c>
      <c r="N2314" s="45">
        <v>46022</v>
      </c>
      <c r="O2314" s="36" t="s">
        <v>25</v>
      </c>
      <c r="P2314" s="38">
        <v>131.52628472219999</v>
      </c>
      <c r="Q2314" s="39" t="s">
        <v>8123</v>
      </c>
      <c r="R2314" s="35" t="s">
        <v>916</v>
      </c>
      <c r="S2314" s="35" t="s">
        <v>8124</v>
      </c>
      <c r="T2314" s="35" t="s">
        <v>1701</v>
      </c>
      <c r="U2314" s="40">
        <v>45891</v>
      </c>
      <c r="V2314" s="41">
        <v>46153.533101851855</v>
      </c>
      <c r="W2314" s="40">
        <v>45890</v>
      </c>
      <c r="X2314" s="35" t="s">
        <v>916</v>
      </c>
      <c r="Y2314" s="35" t="s">
        <v>916</v>
      </c>
      <c r="Z2314" s="35" t="s">
        <v>916</v>
      </c>
      <c r="AA2314" s="38">
        <v>3156.6308333328002</v>
      </c>
      <c r="AB2314" s="42" t="s">
        <v>916</v>
      </c>
      <c r="AC2314" s="43" t="s">
        <v>916</v>
      </c>
      <c r="AD2314" s="43" t="s">
        <v>916</v>
      </c>
      <c r="AE2314" s="33" t="s">
        <v>3982</v>
      </c>
      <c r="AF2314" s="35" t="s">
        <v>916</v>
      </c>
      <c r="AG2314" s="44">
        <v>487715.36916666658</v>
      </c>
      <c r="AH2314" s="42" t="s">
        <v>916</v>
      </c>
      <c r="AI2314" s="32" t="e">
        <f>VLOOKUP(A2314,'4月明細'!B:B,1,0)</f>
        <v>#N/A</v>
      </c>
    </row>
    <row r="2315" spans="1:35" ht="19.95" customHeight="1" x14ac:dyDescent="0.3">
      <c r="A2315" s="33" t="s">
        <v>8125</v>
      </c>
      <c r="B2315" s="34">
        <v>45890.467199074075</v>
      </c>
      <c r="C2315" s="34" t="str">
        <f t="shared" si="49"/>
        <v>202508</v>
      </c>
      <c r="D2315" s="35" t="s">
        <v>5380</v>
      </c>
      <c r="E2315" s="36" t="s">
        <v>910</v>
      </c>
      <c r="F2315" s="36" t="s">
        <v>1045</v>
      </c>
      <c r="G2315" s="37" t="s">
        <v>8126</v>
      </c>
      <c r="H2315" s="36" t="s">
        <v>4481</v>
      </c>
      <c r="I2315" s="35" t="s">
        <v>8127</v>
      </c>
      <c r="J2315" s="36" t="s">
        <v>914</v>
      </c>
      <c r="K2315" s="33" t="s">
        <v>916</v>
      </c>
      <c r="L2315" s="35" t="s">
        <v>916</v>
      </c>
      <c r="M2315" s="36" t="s">
        <v>916</v>
      </c>
      <c r="N2315" s="45">
        <v>46022</v>
      </c>
      <c r="O2315" s="36" t="s">
        <v>25</v>
      </c>
      <c r="P2315" s="38">
        <v>131.53280092590001</v>
      </c>
      <c r="Q2315" s="39" t="s">
        <v>1366</v>
      </c>
      <c r="R2315" s="35" t="s">
        <v>916</v>
      </c>
      <c r="S2315" s="35" t="s">
        <v>8128</v>
      </c>
      <c r="T2315" s="35" t="s">
        <v>1701</v>
      </c>
      <c r="U2315" s="40">
        <v>45891</v>
      </c>
      <c r="V2315" s="41">
        <v>46153.533101851855</v>
      </c>
      <c r="W2315" s="40">
        <v>45890</v>
      </c>
      <c r="X2315" s="35" t="s">
        <v>916</v>
      </c>
      <c r="Y2315" s="35" t="s">
        <v>916</v>
      </c>
      <c r="Z2315" s="35" t="s">
        <v>916</v>
      </c>
      <c r="AA2315" s="38">
        <v>3156.7872222216001</v>
      </c>
      <c r="AB2315" s="42" t="s">
        <v>916</v>
      </c>
      <c r="AC2315" s="43" t="s">
        <v>916</v>
      </c>
      <c r="AD2315" s="43" t="s">
        <v>916</v>
      </c>
      <c r="AE2315" s="33" t="s">
        <v>3982</v>
      </c>
      <c r="AF2315" s="35" t="s">
        <v>916</v>
      </c>
      <c r="AG2315" s="44">
        <v>487715.21277777781</v>
      </c>
      <c r="AH2315" s="42" t="s">
        <v>916</v>
      </c>
      <c r="AI2315" s="32" t="e">
        <f>VLOOKUP(A2315,'4月明細'!B:B,1,0)</f>
        <v>#N/A</v>
      </c>
    </row>
    <row r="2316" spans="1:35" ht="19.95" customHeight="1" x14ac:dyDescent="0.3">
      <c r="A2316" s="33" t="s">
        <v>8129</v>
      </c>
      <c r="B2316" s="34">
        <v>45890.457303240742</v>
      </c>
      <c r="C2316" s="34" t="str">
        <f t="shared" si="49"/>
        <v>202508</v>
      </c>
      <c r="D2316" s="35" t="s">
        <v>5380</v>
      </c>
      <c r="E2316" s="36" t="s">
        <v>910</v>
      </c>
      <c r="F2316" s="36" t="s">
        <v>1672</v>
      </c>
      <c r="G2316" s="37" t="s">
        <v>8130</v>
      </c>
      <c r="H2316" s="36" t="s">
        <v>4185</v>
      </c>
      <c r="I2316" s="35" t="s">
        <v>8131</v>
      </c>
      <c r="J2316" s="36" t="s">
        <v>914</v>
      </c>
      <c r="K2316" s="33" t="s">
        <v>916</v>
      </c>
      <c r="L2316" s="35" t="s">
        <v>916</v>
      </c>
      <c r="M2316" s="36" t="s">
        <v>916</v>
      </c>
      <c r="N2316" s="45">
        <v>46022</v>
      </c>
      <c r="O2316" s="36" t="s">
        <v>25</v>
      </c>
      <c r="P2316" s="38">
        <v>131.54269675929999</v>
      </c>
      <c r="Q2316" s="39" t="s">
        <v>8132</v>
      </c>
      <c r="R2316" s="35" t="s">
        <v>916</v>
      </c>
      <c r="S2316" s="35"/>
      <c r="T2316" s="35" t="s">
        <v>1701</v>
      </c>
      <c r="U2316" s="40">
        <v>45891</v>
      </c>
      <c r="V2316" s="41">
        <v>46153.533101851855</v>
      </c>
      <c r="W2316" s="40">
        <v>45890</v>
      </c>
      <c r="X2316" s="35" t="s">
        <v>916</v>
      </c>
      <c r="Y2316" s="35" t="s">
        <v>916</v>
      </c>
      <c r="Z2316" s="35" t="s">
        <v>916</v>
      </c>
      <c r="AA2316" s="38">
        <v>3157.0247222232001</v>
      </c>
      <c r="AB2316" s="42" t="s">
        <v>916</v>
      </c>
      <c r="AC2316" s="43" t="s">
        <v>916</v>
      </c>
      <c r="AD2316" s="43" t="s">
        <v>916</v>
      </c>
      <c r="AE2316" s="33" t="s">
        <v>3982</v>
      </c>
      <c r="AF2316" s="35" t="s">
        <v>916</v>
      </c>
      <c r="AG2316" s="44">
        <v>487714.97527777782</v>
      </c>
      <c r="AH2316" s="42" t="s">
        <v>916</v>
      </c>
      <c r="AI2316" s="32" t="e">
        <f>VLOOKUP(A2316,'4月明細'!B:B,1,0)</f>
        <v>#N/A</v>
      </c>
    </row>
    <row r="2317" spans="1:35" ht="19.95" customHeight="1" x14ac:dyDescent="0.3">
      <c r="A2317" s="33" t="s">
        <v>8133</v>
      </c>
      <c r="B2317" s="34">
        <v>45889.911122685182</v>
      </c>
      <c r="C2317" s="34" t="str">
        <f t="shared" si="49"/>
        <v>202508</v>
      </c>
      <c r="D2317" s="35" t="s">
        <v>6847</v>
      </c>
      <c r="E2317" s="36" t="s">
        <v>910</v>
      </c>
      <c r="F2317" s="36" t="s">
        <v>1898</v>
      </c>
      <c r="G2317" s="37" t="s">
        <v>8134</v>
      </c>
      <c r="H2317" s="36" t="s">
        <v>4185</v>
      </c>
      <c r="I2317" s="35"/>
      <c r="J2317" s="36" t="s">
        <v>929</v>
      </c>
      <c r="K2317" s="33" t="s">
        <v>916</v>
      </c>
      <c r="L2317" s="35" t="s">
        <v>916</v>
      </c>
      <c r="M2317" s="36" t="s">
        <v>916</v>
      </c>
      <c r="N2317" s="45">
        <v>46022</v>
      </c>
      <c r="O2317" s="36" t="s">
        <v>25</v>
      </c>
      <c r="P2317" s="38">
        <v>132.08887731479999</v>
      </c>
      <c r="Q2317" s="39" t="s">
        <v>8135</v>
      </c>
      <c r="R2317" s="35" t="s">
        <v>916</v>
      </c>
      <c r="S2317" s="35"/>
      <c r="T2317" s="35" t="s">
        <v>1701</v>
      </c>
      <c r="U2317" s="40">
        <v>45890</v>
      </c>
      <c r="V2317" s="41">
        <v>46153.533101851855</v>
      </c>
      <c r="W2317" s="40">
        <v>45890</v>
      </c>
      <c r="X2317" s="35" t="s">
        <v>916</v>
      </c>
      <c r="Y2317" s="35" t="s">
        <v>916</v>
      </c>
      <c r="Z2317" s="35" t="s">
        <v>916</v>
      </c>
      <c r="AA2317" s="38">
        <v>3170.1330555551999</v>
      </c>
      <c r="AB2317" s="42" t="s">
        <v>916</v>
      </c>
      <c r="AC2317" s="43" t="s">
        <v>916</v>
      </c>
      <c r="AD2317" s="43" t="s">
        <v>916</v>
      </c>
      <c r="AE2317" s="33" t="s">
        <v>3982</v>
      </c>
      <c r="AF2317" s="35" t="s">
        <v>916</v>
      </c>
      <c r="AG2317" s="44">
        <v>487701.86694444448</v>
      </c>
      <c r="AH2317" s="42" t="s">
        <v>916</v>
      </c>
      <c r="AI2317" s="32" t="e">
        <f>VLOOKUP(A2317,'4月明細'!B:B,1,0)</f>
        <v>#N/A</v>
      </c>
    </row>
    <row r="2318" spans="1:35" ht="19.95" customHeight="1" x14ac:dyDescent="0.3">
      <c r="A2318" s="33" t="s">
        <v>8136</v>
      </c>
      <c r="B2318" s="34">
        <v>45889.720937500002</v>
      </c>
      <c r="C2318" s="34" t="str">
        <f t="shared" si="49"/>
        <v>202508</v>
      </c>
      <c r="D2318" s="35" t="s">
        <v>996</v>
      </c>
      <c r="E2318" s="36" t="s">
        <v>910</v>
      </c>
      <c r="F2318" s="36" t="s">
        <v>1370</v>
      </c>
      <c r="G2318" s="37" t="s">
        <v>4737</v>
      </c>
      <c r="H2318" s="36" t="s">
        <v>913</v>
      </c>
      <c r="I2318" s="35"/>
      <c r="J2318" s="36" t="s">
        <v>929</v>
      </c>
      <c r="K2318" s="33" t="s">
        <v>916</v>
      </c>
      <c r="L2318" s="35" t="s">
        <v>916</v>
      </c>
      <c r="M2318" s="36" t="s">
        <v>916</v>
      </c>
      <c r="N2318" s="45">
        <v>46022</v>
      </c>
      <c r="O2318" s="36" t="s">
        <v>25</v>
      </c>
      <c r="P2318" s="38">
        <v>132.27906250000001</v>
      </c>
      <c r="Q2318" s="39" t="s">
        <v>8137</v>
      </c>
      <c r="R2318" s="35" t="s">
        <v>916</v>
      </c>
      <c r="S2318" s="35"/>
      <c r="T2318" s="35" t="s">
        <v>1701</v>
      </c>
      <c r="U2318" s="40">
        <v>45890</v>
      </c>
      <c r="V2318" s="41">
        <v>46153.533101851855</v>
      </c>
      <c r="W2318" s="40">
        <v>45889</v>
      </c>
      <c r="X2318" s="35" t="s">
        <v>916</v>
      </c>
      <c r="Y2318" s="35" t="s">
        <v>916</v>
      </c>
      <c r="Z2318" s="35" t="s">
        <v>916</v>
      </c>
      <c r="AA2318" s="38">
        <v>3174.6975000000002</v>
      </c>
      <c r="AB2318" s="42" t="s">
        <v>916</v>
      </c>
      <c r="AC2318" s="43" t="s">
        <v>916</v>
      </c>
      <c r="AD2318" s="43" t="s">
        <v>916</v>
      </c>
      <c r="AE2318" s="33" t="s">
        <v>3982</v>
      </c>
      <c r="AF2318" s="35" t="s">
        <v>916</v>
      </c>
      <c r="AG2318" s="44">
        <v>487697.30249999999</v>
      </c>
      <c r="AH2318" s="42" t="s">
        <v>916</v>
      </c>
      <c r="AI2318" s="32" t="e">
        <f>VLOOKUP(A2318,'4月明細'!B:B,1,0)</f>
        <v>#N/A</v>
      </c>
    </row>
    <row r="2319" spans="1:35" ht="19.95" customHeight="1" x14ac:dyDescent="0.3">
      <c r="A2319" s="33" t="s">
        <v>8138</v>
      </c>
      <c r="B2319" s="34">
        <v>45889.673807870371</v>
      </c>
      <c r="C2319" s="34" t="str">
        <f t="shared" si="49"/>
        <v>202508</v>
      </c>
      <c r="D2319" s="35" t="s">
        <v>996</v>
      </c>
      <c r="E2319" s="36" t="s">
        <v>910</v>
      </c>
      <c r="F2319" s="36" t="s">
        <v>2515</v>
      </c>
      <c r="G2319" s="37" t="s">
        <v>8139</v>
      </c>
      <c r="H2319" s="36" t="s">
        <v>3985</v>
      </c>
      <c r="I2319" s="35"/>
      <c r="J2319" s="36" t="s">
        <v>929</v>
      </c>
      <c r="K2319" s="33" t="s">
        <v>916</v>
      </c>
      <c r="L2319" s="35" t="s">
        <v>916</v>
      </c>
      <c r="M2319" s="36" t="s">
        <v>916</v>
      </c>
      <c r="N2319" s="45">
        <v>46022</v>
      </c>
      <c r="O2319" s="36" t="s">
        <v>25</v>
      </c>
      <c r="P2319" s="38">
        <v>132.3261921296</v>
      </c>
      <c r="Q2319" s="39" t="s">
        <v>8140</v>
      </c>
      <c r="R2319" s="35" t="s">
        <v>916</v>
      </c>
      <c r="S2319" s="35"/>
      <c r="T2319" s="35" t="s">
        <v>1701</v>
      </c>
      <c r="U2319" s="40">
        <v>45890</v>
      </c>
      <c r="V2319" s="41">
        <v>46153.533101851855</v>
      </c>
      <c r="W2319" s="40">
        <v>45889</v>
      </c>
      <c r="X2319" s="35" t="s">
        <v>916</v>
      </c>
      <c r="Y2319" s="35" t="s">
        <v>916</v>
      </c>
      <c r="Z2319" s="35" t="s">
        <v>916</v>
      </c>
      <c r="AA2319" s="38">
        <v>3175.8286111103998</v>
      </c>
      <c r="AB2319" s="42" t="s">
        <v>916</v>
      </c>
      <c r="AC2319" s="43" t="s">
        <v>916</v>
      </c>
      <c r="AD2319" s="43" t="s">
        <v>916</v>
      </c>
      <c r="AE2319" s="33" t="s">
        <v>3982</v>
      </c>
      <c r="AF2319" s="35" t="s">
        <v>916</v>
      </c>
      <c r="AG2319" s="44">
        <v>487696.17138888891</v>
      </c>
      <c r="AH2319" s="42" t="s">
        <v>916</v>
      </c>
      <c r="AI2319" s="32" t="e">
        <f>VLOOKUP(A2319,'4月明細'!B:B,1,0)</f>
        <v>#N/A</v>
      </c>
    </row>
    <row r="2320" spans="1:35" ht="19.95" customHeight="1" x14ac:dyDescent="0.3">
      <c r="A2320" s="33" t="s">
        <v>8141</v>
      </c>
      <c r="B2320" s="34">
        <v>45889.632557870369</v>
      </c>
      <c r="C2320" s="34" t="str">
        <f t="shared" si="49"/>
        <v>202508</v>
      </c>
      <c r="D2320" s="35" t="s">
        <v>5380</v>
      </c>
      <c r="E2320" s="36" t="s">
        <v>910</v>
      </c>
      <c r="F2320" s="36" t="s">
        <v>1672</v>
      </c>
      <c r="G2320" s="37" t="s">
        <v>8142</v>
      </c>
      <c r="H2320" s="36" t="s">
        <v>1048</v>
      </c>
      <c r="I2320" s="35"/>
      <c r="J2320" s="36" t="s">
        <v>929</v>
      </c>
      <c r="K2320" s="33" t="s">
        <v>916</v>
      </c>
      <c r="L2320" s="35" t="s">
        <v>916</v>
      </c>
      <c r="M2320" s="36" t="s">
        <v>916</v>
      </c>
      <c r="N2320" s="45">
        <v>46022</v>
      </c>
      <c r="O2320" s="36" t="s">
        <v>25</v>
      </c>
      <c r="P2320" s="38">
        <v>132.36744212959999</v>
      </c>
      <c r="Q2320" s="39" t="s">
        <v>931</v>
      </c>
      <c r="R2320" s="35" t="s">
        <v>916</v>
      </c>
      <c r="S2320" s="35"/>
      <c r="T2320" s="35" t="s">
        <v>1701</v>
      </c>
      <c r="U2320" s="40">
        <v>45890</v>
      </c>
      <c r="V2320" s="41">
        <v>46153.533101851855</v>
      </c>
      <c r="W2320" s="40">
        <v>45889</v>
      </c>
      <c r="X2320" s="35" t="s">
        <v>916</v>
      </c>
      <c r="Y2320" s="35" t="s">
        <v>916</v>
      </c>
      <c r="Z2320" s="35" t="s">
        <v>916</v>
      </c>
      <c r="AA2320" s="38">
        <v>3176.8186111104001</v>
      </c>
      <c r="AB2320" s="42" t="s">
        <v>916</v>
      </c>
      <c r="AC2320" s="43" t="s">
        <v>916</v>
      </c>
      <c r="AD2320" s="43" t="s">
        <v>916</v>
      </c>
      <c r="AE2320" s="33" t="s">
        <v>3982</v>
      </c>
      <c r="AF2320" s="35" t="s">
        <v>916</v>
      </c>
      <c r="AG2320" s="44">
        <v>487695.18138888897</v>
      </c>
      <c r="AH2320" s="42" t="s">
        <v>916</v>
      </c>
      <c r="AI2320" s="32" t="e">
        <f>VLOOKUP(A2320,'4月明細'!B:B,1,0)</f>
        <v>#N/A</v>
      </c>
    </row>
    <row r="2321" spans="1:35" ht="19.95" customHeight="1" x14ac:dyDescent="0.3">
      <c r="A2321" s="33" t="s">
        <v>8143</v>
      </c>
      <c r="B2321" s="34">
        <v>45889.577847222223</v>
      </c>
      <c r="C2321" s="34" t="str">
        <f t="shared" si="49"/>
        <v>202508</v>
      </c>
      <c r="D2321" s="35" t="s">
        <v>996</v>
      </c>
      <c r="E2321" s="36" t="s">
        <v>910</v>
      </c>
      <c r="F2321" s="36" t="s">
        <v>1370</v>
      </c>
      <c r="G2321" s="37" t="s">
        <v>8144</v>
      </c>
      <c r="H2321" s="36" t="s">
        <v>4203</v>
      </c>
      <c r="I2321" s="35"/>
      <c r="J2321" s="36" t="s">
        <v>929</v>
      </c>
      <c r="K2321" s="33" t="s">
        <v>916</v>
      </c>
      <c r="L2321" s="35" t="s">
        <v>916</v>
      </c>
      <c r="M2321" s="36" t="s">
        <v>916</v>
      </c>
      <c r="N2321" s="45">
        <v>46022</v>
      </c>
      <c r="O2321" s="36" t="s">
        <v>25</v>
      </c>
      <c r="P2321" s="38">
        <v>132.42215277779999</v>
      </c>
      <c r="Q2321" s="39" t="s">
        <v>8145</v>
      </c>
      <c r="R2321" s="35" t="s">
        <v>916</v>
      </c>
      <c r="S2321" s="35" t="s">
        <v>8146</v>
      </c>
      <c r="T2321" s="35" t="s">
        <v>1701</v>
      </c>
      <c r="U2321" s="40">
        <v>45890</v>
      </c>
      <c r="V2321" s="41">
        <v>46153.533101851855</v>
      </c>
      <c r="W2321" s="40">
        <v>45889</v>
      </c>
      <c r="X2321" s="35" t="s">
        <v>916</v>
      </c>
      <c r="Y2321" s="35" t="s">
        <v>916</v>
      </c>
      <c r="Z2321" s="35" t="s">
        <v>916</v>
      </c>
      <c r="AA2321" s="38">
        <v>3178.1316666672001</v>
      </c>
      <c r="AB2321" s="42" t="s">
        <v>916</v>
      </c>
      <c r="AC2321" s="43" t="s">
        <v>916</v>
      </c>
      <c r="AD2321" s="43" t="s">
        <v>916</v>
      </c>
      <c r="AE2321" s="33" t="s">
        <v>3982</v>
      </c>
      <c r="AF2321" s="35" t="s">
        <v>916</v>
      </c>
      <c r="AG2321" s="44">
        <v>487693.86833333329</v>
      </c>
      <c r="AH2321" s="42" t="s">
        <v>916</v>
      </c>
      <c r="AI2321" s="32" t="e">
        <f>VLOOKUP(A2321,'4月明細'!B:B,1,0)</f>
        <v>#N/A</v>
      </c>
    </row>
    <row r="2322" spans="1:35" ht="19.95" customHeight="1" x14ac:dyDescent="0.3">
      <c r="A2322" s="33" t="s">
        <v>8147</v>
      </c>
      <c r="B2322" s="34">
        <v>45889.578090277777</v>
      </c>
      <c r="C2322" s="34" t="str">
        <f t="shared" si="49"/>
        <v>202508</v>
      </c>
      <c r="D2322" s="35" t="s">
        <v>5380</v>
      </c>
      <c r="E2322" s="36" t="s">
        <v>910</v>
      </c>
      <c r="F2322" s="36" t="s">
        <v>1521</v>
      </c>
      <c r="G2322" s="37" t="s">
        <v>8148</v>
      </c>
      <c r="H2322" s="36" t="s">
        <v>4203</v>
      </c>
      <c r="I2322" s="35" t="s">
        <v>8149</v>
      </c>
      <c r="J2322" s="36" t="s">
        <v>929</v>
      </c>
      <c r="K2322" s="33" t="s">
        <v>916</v>
      </c>
      <c r="L2322" s="35" t="s">
        <v>916</v>
      </c>
      <c r="M2322" s="36" t="s">
        <v>916</v>
      </c>
      <c r="N2322" s="45">
        <v>46022</v>
      </c>
      <c r="O2322" s="36" t="s">
        <v>25</v>
      </c>
      <c r="P2322" s="38">
        <v>132.42190972220001</v>
      </c>
      <c r="Q2322" s="39" t="s">
        <v>8150</v>
      </c>
      <c r="R2322" s="35" t="s">
        <v>916</v>
      </c>
      <c r="S2322" s="35" t="s">
        <v>8151</v>
      </c>
      <c r="T2322" s="35" t="s">
        <v>1701</v>
      </c>
      <c r="U2322" s="40">
        <v>45890</v>
      </c>
      <c r="V2322" s="41">
        <v>46153.533101851855</v>
      </c>
      <c r="W2322" s="40">
        <v>45889</v>
      </c>
      <c r="X2322" s="35" t="s">
        <v>916</v>
      </c>
      <c r="Y2322" s="35" t="s">
        <v>916</v>
      </c>
      <c r="Z2322" s="35" t="s">
        <v>916</v>
      </c>
      <c r="AA2322" s="38">
        <v>3178.1258333328001</v>
      </c>
      <c r="AB2322" s="42" t="s">
        <v>916</v>
      </c>
      <c r="AC2322" s="43" t="s">
        <v>916</v>
      </c>
      <c r="AD2322" s="43" t="s">
        <v>916</v>
      </c>
      <c r="AE2322" s="33" t="s">
        <v>3982</v>
      </c>
      <c r="AF2322" s="35" t="s">
        <v>916</v>
      </c>
      <c r="AG2322" s="44">
        <v>487693.87416666659</v>
      </c>
      <c r="AH2322" s="42" t="s">
        <v>916</v>
      </c>
      <c r="AI2322" s="32" t="e">
        <f>VLOOKUP(A2322,'4月明細'!B:B,1,0)</f>
        <v>#N/A</v>
      </c>
    </row>
    <row r="2323" spans="1:35" ht="19.95" customHeight="1" x14ac:dyDescent="0.3">
      <c r="A2323" s="33" t="s">
        <v>8152</v>
      </c>
      <c r="B2323" s="34">
        <v>45889.535312499997</v>
      </c>
      <c r="C2323" s="34" t="str">
        <f t="shared" si="49"/>
        <v>202508</v>
      </c>
      <c r="D2323" s="35" t="s">
        <v>996</v>
      </c>
      <c r="E2323" s="36" t="s">
        <v>1199</v>
      </c>
      <c r="F2323" s="36" t="s">
        <v>1546</v>
      </c>
      <c r="G2323" s="37" t="s">
        <v>8153</v>
      </c>
      <c r="H2323" s="36" t="s">
        <v>1048</v>
      </c>
      <c r="I2323" s="35" t="s">
        <v>8154</v>
      </c>
      <c r="J2323" s="36" t="s">
        <v>914</v>
      </c>
      <c r="K2323" s="33" t="s">
        <v>916</v>
      </c>
      <c r="L2323" s="35" t="s">
        <v>916</v>
      </c>
      <c r="M2323" s="36" t="s">
        <v>916</v>
      </c>
      <c r="N2323" s="45">
        <v>46022</v>
      </c>
      <c r="O2323" s="36" t="s">
        <v>25</v>
      </c>
      <c r="P2323" s="38">
        <v>132.4646875</v>
      </c>
      <c r="Q2323" s="39" t="s">
        <v>8155</v>
      </c>
      <c r="R2323" s="35" t="s">
        <v>916</v>
      </c>
      <c r="S2323" s="35" t="s">
        <v>8156</v>
      </c>
      <c r="T2323" s="35" t="s">
        <v>1701</v>
      </c>
      <c r="U2323" s="40">
        <v>45890</v>
      </c>
      <c r="V2323" s="41">
        <v>46153.533101851855</v>
      </c>
      <c r="W2323" s="40">
        <v>45889</v>
      </c>
      <c r="X2323" s="35" t="s">
        <v>916</v>
      </c>
      <c r="Y2323" s="35" t="s">
        <v>916</v>
      </c>
      <c r="Z2323" s="35" t="s">
        <v>916</v>
      </c>
      <c r="AA2323" s="38">
        <v>3179.1525000000001</v>
      </c>
      <c r="AB2323" s="42" t="s">
        <v>916</v>
      </c>
      <c r="AC2323" s="43" t="s">
        <v>916</v>
      </c>
      <c r="AD2323" s="43" t="s">
        <v>916</v>
      </c>
      <c r="AE2323" s="33" t="s">
        <v>3982</v>
      </c>
      <c r="AF2323" s="35" t="s">
        <v>916</v>
      </c>
      <c r="AG2323" s="44">
        <v>487692.84749999997</v>
      </c>
      <c r="AH2323" s="42" t="s">
        <v>916</v>
      </c>
      <c r="AI2323" s="32" t="e">
        <f>VLOOKUP(A2323,'4月明細'!B:B,1,0)</f>
        <v>#N/A</v>
      </c>
    </row>
    <row r="2324" spans="1:35" ht="19.95" customHeight="1" x14ac:dyDescent="0.3">
      <c r="A2324" s="33" t="s">
        <v>8157</v>
      </c>
      <c r="B2324" s="34">
        <v>45889.528784722221</v>
      </c>
      <c r="C2324" s="34" t="str">
        <f t="shared" si="49"/>
        <v>202508</v>
      </c>
      <c r="D2324" s="35" t="s">
        <v>1747</v>
      </c>
      <c r="E2324" s="36" t="s">
        <v>1112</v>
      </c>
      <c r="F2324" s="36" t="s">
        <v>1060</v>
      </c>
      <c r="G2324" s="37" t="s">
        <v>8158</v>
      </c>
      <c r="H2324" s="36" t="s">
        <v>1048</v>
      </c>
      <c r="I2324" s="35"/>
      <c r="J2324" s="36" t="s">
        <v>938</v>
      </c>
      <c r="K2324" s="33" t="s">
        <v>916</v>
      </c>
      <c r="L2324" s="35" t="s">
        <v>916</v>
      </c>
      <c r="M2324" s="36" t="s">
        <v>916</v>
      </c>
      <c r="N2324" s="45">
        <v>46022</v>
      </c>
      <c r="O2324" s="36" t="s">
        <v>25</v>
      </c>
      <c r="P2324" s="38">
        <v>132.47121527780001</v>
      </c>
      <c r="Q2324" s="39" t="s">
        <v>8159</v>
      </c>
      <c r="R2324" s="35" t="s">
        <v>916</v>
      </c>
      <c r="S2324" s="35" t="s">
        <v>8160</v>
      </c>
      <c r="T2324" s="35" t="s">
        <v>1701</v>
      </c>
      <c r="U2324" s="40">
        <v>45890</v>
      </c>
      <c r="V2324" s="41">
        <v>46153.533101851855</v>
      </c>
      <c r="W2324" s="40">
        <v>45889</v>
      </c>
      <c r="X2324" s="35" t="s">
        <v>916</v>
      </c>
      <c r="Y2324" s="35" t="s">
        <v>916</v>
      </c>
      <c r="Z2324" s="35" t="s">
        <v>916</v>
      </c>
      <c r="AA2324" s="38">
        <v>3179.3091666671999</v>
      </c>
      <c r="AB2324" s="42" t="s">
        <v>916</v>
      </c>
      <c r="AC2324" s="43" t="s">
        <v>916</v>
      </c>
      <c r="AD2324" s="43" t="s">
        <v>916</v>
      </c>
      <c r="AE2324" s="33" t="s">
        <v>3982</v>
      </c>
      <c r="AF2324" s="35" t="s">
        <v>916</v>
      </c>
      <c r="AG2324" s="44">
        <v>487692.69083333341</v>
      </c>
      <c r="AH2324" s="42" t="s">
        <v>916</v>
      </c>
      <c r="AI2324" s="32" t="e">
        <f>VLOOKUP(A2324,'4月明細'!B:B,1,0)</f>
        <v>#N/A</v>
      </c>
    </row>
    <row r="2325" spans="1:35" ht="19.95" customHeight="1" x14ac:dyDescent="0.3">
      <c r="A2325" s="33" t="s">
        <v>8161</v>
      </c>
      <c r="B2325" s="34">
        <v>45889.50472222222</v>
      </c>
      <c r="C2325" s="34" t="str">
        <f t="shared" si="49"/>
        <v>202508</v>
      </c>
      <c r="D2325" s="35" t="s">
        <v>5380</v>
      </c>
      <c r="E2325" s="36" t="s">
        <v>910</v>
      </c>
      <c r="F2325" s="36" t="s">
        <v>976</v>
      </c>
      <c r="G2325" s="37" t="s">
        <v>8148</v>
      </c>
      <c r="H2325" s="36" t="s">
        <v>4203</v>
      </c>
      <c r="I2325" s="35" t="s">
        <v>8162</v>
      </c>
      <c r="J2325" s="36" t="s">
        <v>914</v>
      </c>
      <c r="K2325" s="33" t="s">
        <v>916</v>
      </c>
      <c r="L2325" s="35" t="s">
        <v>916</v>
      </c>
      <c r="M2325" s="36" t="s">
        <v>916</v>
      </c>
      <c r="N2325" s="45">
        <v>46022</v>
      </c>
      <c r="O2325" s="36" t="s">
        <v>25</v>
      </c>
      <c r="P2325" s="38">
        <v>132.4952777778</v>
      </c>
      <c r="Q2325" s="39" t="s">
        <v>8163</v>
      </c>
      <c r="R2325" s="35" t="s">
        <v>916</v>
      </c>
      <c r="S2325" s="35"/>
      <c r="T2325" s="35" t="s">
        <v>1701</v>
      </c>
      <c r="U2325" s="40">
        <v>45890</v>
      </c>
      <c r="V2325" s="41">
        <v>46153.533101851855</v>
      </c>
      <c r="W2325" s="40">
        <v>45889</v>
      </c>
      <c r="X2325" s="35" t="s">
        <v>916</v>
      </c>
      <c r="Y2325" s="35" t="s">
        <v>916</v>
      </c>
      <c r="Z2325" s="35" t="s">
        <v>916</v>
      </c>
      <c r="AA2325" s="38">
        <v>3179.8866666672002</v>
      </c>
      <c r="AB2325" s="42" t="s">
        <v>916</v>
      </c>
      <c r="AC2325" s="43" t="s">
        <v>916</v>
      </c>
      <c r="AD2325" s="43" t="s">
        <v>916</v>
      </c>
      <c r="AE2325" s="33" t="s">
        <v>3982</v>
      </c>
      <c r="AF2325" s="35" t="s">
        <v>916</v>
      </c>
      <c r="AG2325" s="44">
        <v>487692.1133333334</v>
      </c>
      <c r="AH2325" s="42" t="s">
        <v>916</v>
      </c>
      <c r="AI2325" s="32" t="e">
        <f>VLOOKUP(A2325,'4月明細'!B:B,1,0)</f>
        <v>#N/A</v>
      </c>
    </row>
    <row r="2326" spans="1:35" ht="19.95" customHeight="1" x14ac:dyDescent="0.3">
      <c r="A2326" s="33" t="s">
        <v>8164</v>
      </c>
      <c r="B2326" s="34">
        <v>45889.498078703706</v>
      </c>
      <c r="C2326" s="34" t="str">
        <f t="shared" si="49"/>
        <v>202508</v>
      </c>
      <c r="D2326" s="35" t="s">
        <v>5380</v>
      </c>
      <c r="E2326" s="36" t="s">
        <v>910</v>
      </c>
      <c r="F2326" s="36" t="s">
        <v>976</v>
      </c>
      <c r="G2326" s="37" t="s">
        <v>8165</v>
      </c>
      <c r="H2326" s="36" t="s">
        <v>4481</v>
      </c>
      <c r="I2326" s="35" t="s">
        <v>8166</v>
      </c>
      <c r="J2326" s="36" t="s">
        <v>914</v>
      </c>
      <c r="K2326" s="33" t="s">
        <v>916</v>
      </c>
      <c r="L2326" s="35" t="s">
        <v>916</v>
      </c>
      <c r="M2326" s="36" t="s">
        <v>916</v>
      </c>
      <c r="N2326" s="45">
        <v>46022</v>
      </c>
      <c r="O2326" s="36" t="s">
        <v>25</v>
      </c>
      <c r="P2326" s="38">
        <v>132.5019212963</v>
      </c>
      <c r="Q2326" s="39" t="s">
        <v>8167</v>
      </c>
      <c r="R2326" s="35" t="s">
        <v>916</v>
      </c>
      <c r="S2326" s="35" t="s">
        <v>8168</v>
      </c>
      <c r="T2326" s="35" t="s">
        <v>1701</v>
      </c>
      <c r="U2326" s="40">
        <v>45890</v>
      </c>
      <c r="V2326" s="41">
        <v>46153.533101851855</v>
      </c>
      <c r="W2326" s="40">
        <v>45889</v>
      </c>
      <c r="X2326" s="35" t="s">
        <v>916</v>
      </c>
      <c r="Y2326" s="35" t="s">
        <v>916</v>
      </c>
      <c r="Z2326" s="35" t="s">
        <v>916</v>
      </c>
      <c r="AA2326" s="38">
        <v>3180.0461111111999</v>
      </c>
      <c r="AB2326" s="42" t="s">
        <v>916</v>
      </c>
      <c r="AC2326" s="43" t="s">
        <v>916</v>
      </c>
      <c r="AD2326" s="43" t="s">
        <v>916</v>
      </c>
      <c r="AE2326" s="33" t="s">
        <v>3982</v>
      </c>
      <c r="AF2326" s="35" t="s">
        <v>916</v>
      </c>
      <c r="AG2326" s="44">
        <v>487691.95388888888</v>
      </c>
      <c r="AH2326" s="42" t="s">
        <v>916</v>
      </c>
      <c r="AI2326" s="32" t="e">
        <f>VLOOKUP(A2326,'4月明細'!B:B,1,0)</f>
        <v>#N/A</v>
      </c>
    </row>
    <row r="2327" spans="1:35" ht="19.95" customHeight="1" x14ac:dyDescent="0.3">
      <c r="A2327" s="33" t="s">
        <v>8169</v>
      </c>
      <c r="B2327" s="34">
        <v>45888.681608796294</v>
      </c>
      <c r="C2327" s="34" t="str">
        <f t="shared" si="49"/>
        <v>202508</v>
      </c>
      <c r="D2327" s="35" t="s">
        <v>996</v>
      </c>
      <c r="E2327" s="36" t="s">
        <v>910</v>
      </c>
      <c r="F2327" s="36" t="s">
        <v>1240</v>
      </c>
      <c r="G2327" s="37" t="s">
        <v>8170</v>
      </c>
      <c r="H2327" s="36" t="s">
        <v>1048</v>
      </c>
      <c r="I2327" s="35" t="s">
        <v>8171</v>
      </c>
      <c r="J2327" s="36" t="s">
        <v>929</v>
      </c>
      <c r="K2327" s="33" t="s">
        <v>916</v>
      </c>
      <c r="L2327" s="35" t="s">
        <v>916</v>
      </c>
      <c r="M2327" s="36" t="s">
        <v>916</v>
      </c>
      <c r="N2327" s="45">
        <v>46022</v>
      </c>
      <c r="O2327" s="36" t="s">
        <v>25</v>
      </c>
      <c r="P2327" s="38">
        <v>133.3183912037</v>
      </c>
      <c r="Q2327" s="39" t="s">
        <v>8050</v>
      </c>
      <c r="R2327" s="35" t="s">
        <v>916</v>
      </c>
      <c r="S2327" s="35"/>
      <c r="T2327" s="35" t="s">
        <v>1701</v>
      </c>
      <c r="U2327" s="40">
        <v>45889</v>
      </c>
      <c r="V2327" s="41">
        <v>46153.533101851855</v>
      </c>
      <c r="W2327" s="40">
        <v>45888</v>
      </c>
      <c r="X2327" s="35" t="s">
        <v>916</v>
      </c>
      <c r="Y2327" s="35" t="s">
        <v>916</v>
      </c>
      <c r="Z2327" s="35" t="s">
        <v>916</v>
      </c>
      <c r="AA2327" s="38">
        <v>3199.6413888888001</v>
      </c>
      <c r="AB2327" s="42" t="s">
        <v>916</v>
      </c>
      <c r="AC2327" s="43" t="s">
        <v>916</v>
      </c>
      <c r="AD2327" s="43" t="s">
        <v>916</v>
      </c>
      <c r="AE2327" s="33" t="s">
        <v>3982</v>
      </c>
      <c r="AF2327" s="35" t="s">
        <v>916</v>
      </c>
      <c r="AG2327" s="44">
        <v>487672.35861111118</v>
      </c>
      <c r="AH2327" s="42" t="s">
        <v>916</v>
      </c>
      <c r="AI2327" s="32" t="e">
        <f>VLOOKUP(A2327,'4月明細'!B:B,1,0)</f>
        <v>#N/A</v>
      </c>
    </row>
    <row r="2328" spans="1:35" ht="19.95" customHeight="1" x14ac:dyDescent="0.3">
      <c r="A2328" s="33" t="s">
        <v>8172</v>
      </c>
      <c r="B2328" s="34">
        <v>45888.671041666668</v>
      </c>
      <c r="C2328" s="34" t="str">
        <f t="shared" si="49"/>
        <v>202508</v>
      </c>
      <c r="D2328" s="35" t="s">
        <v>996</v>
      </c>
      <c r="E2328" s="36" t="s">
        <v>910</v>
      </c>
      <c r="F2328" s="36" t="s">
        <v>1232</v>
      </c>
      <c r="G2328" s="37" t="s">
        <v>8173</v>
      </c>
      <c r="H2328" s="36" t="s">
        <v>4107</v>
      </c>
      <c r="I2328" s="35" t="s">
        <v>8174</v>
      </c>
      <c r="J2328" s="36" t="s">
        <v>929</v>
      </c>
      <c r="K2328" s="33" t="s">
        <v>916</v>
      </c>
      <c r="L2328" s="35" t="s">
        <v>916</v>
      </c>
      <c r="M2328" s="36" t="s">
        <v>916</v>
      </c>
      <c r="N2328" s="45">
        <v>46022</v>
      </c>
      <c r="O2328" s="36" t="s">
        <v>25</v>
      </c>
      <c r="P2328" s="38">
        <v>133.32895833329999</v>
      </c>
      <c r="Q2328" s="39" t="s">
        <v>8175</v>
      </c>
      <c r="R2328" s="35" t="s">
        <v>916</v>
      </c>
      <c r="S2328" s="35"/>
      <c r="T2328" s="35" t="s">
        <v>1701</v>
      </c>
      <c r="U2328" s="40">
        <v>45889</v>
      </c>
      <c r="V2328" s="41">
        <v>46153.533101851855</v>
      </c>
      <c r="W2328" s="40">
        <v>45888</v>
      </c>
      <c r="X2328" s="35" t="s">
        <v>916</v>
      </c>
      <c r="Y2328" s="35" t="s">
        <v>916</v>
      </c>
      <c r="Z2328" s="35" t="s">
        <v>916</v>
      </c>
      <c r="AA2328" s="38">
        <v>3199.8949999992001</v>
      </c>
      <c r="AB2328" s="42" t="s">
        <v>916</v>
      </c>
      <c r="AC2328" s="43" t="s">
        <v>916</v>
      </c>
      <c r="AD2328" s="43" t="s">
        <v>916</v>
      </c>
      <c r="AE2328" s="33" t="s">
        <v>3982</v>
      </c>
      <c r="AF2328" s="35" t="s">
        <v>916</v>
      </c>
      <c r="AG2328" s="44">
        <v>487672.10499999998</v>
      </c>
      <c r="AH2328" s="42" t="s">
        <v>916</v>
      </c>
      <c r="AI2328" s="32" t="e">
        <f>VLOOKUP(A2328,'4月明細'!B:B,1,0)</f>
        <v>#N/A</v>
      </c>
    </row>
    <row r="2329" spans="1:35" ht="19.95" customHeight="1" x14ac:dyDescent="0.3">
      <c r="A2329" s="33" t="s">
        <v>8176</v>
      </c>
      <c r="B2329" s="34">
        <v>45888.431643518517</v>
      </c>
      <c r="C2329" s="34" t="str">
        <f t="shared" si="49"/>
        <v>202508</v>
      </c>
      <c r="D2329" s="35" t="s">
        <v>951</v>
      </c>
      <c r="E2329" s="36" t="s">
        <v>910</v>
      </c>
      <c r="F2329" s="36" t="s">
        <v>1032</v>
      </c>
      <c r="G2329" s="37" t="s">
        <v>8177</v>
      </c>
      <c r="H2329" s="36" t="s">
        <v>7610</v>
      </c>
      <c r="I2329" s="35" t="s">
        <v>8178</v>
      </c>
      <c r="J2329" s="36" t="s">
        <v>929</v>
      </c>
      <c r="K2329" s="33" t="s">
        <v>916</v>
      </c>
      <c r="L2329" s="35" t="s">
        <v>916</v>
      </c>
      <c r="M2329" s="36" t="s">
        <v>916</v>
      </c>
      <c r="N2329" s="45">
        <v>46022</v>
      </c>
      <c r="O2329" s="36" t="s">
        <v>25</v>
      </c>
      <c r="P2329" s="38">
        <v>133.56835648149999</v>
      </c>
      <c r="Q2329" s="39" t="s">
        <v>8179</v>
      </c>
      <c r="R2329" s="35" t="s">
        <v>916</v>
      </c>
      <c r="S2329" s="35"/>
      <c r="T2329" s="35" t="s">
        <v>1701</v>
      </c>
      <c r="U2329" s="40">
        <v>45889</v>
      </c>
      <c r="V2329" s="41">
        <v>46153.533101851855</v>
      </c>
      <c r="W2329" s="40">
        <v>45888</v>
      </c>
      <c r="X2329" s="35" t="s">
        <v>916</v>
      </c>
      <c r="Y2329" s="35" t="s">
        <v>916</v>
      </c>
      <c r="Z2329" s="35" t="s">
        <v>916</v>
      </c>
      <c r="AA2329" s="38">
        <v>3205.640555556</v>
      </c>
      <c r="AB2329" s="42" t="s">
        <v>916</v>
      </c>
      <c r="AC2329" s="43" t="s">
        <v>916</v>
      </c>
      <c r="AD2329" s="43" t="s">
        <v>916</v>
      </c>
      <c r="AE2329" s="33" t="s">
        <v>3982</v>
      </c>
      <c r="AF2329" s="35" t="s">
        <v>916</v>
      </c>
      <c r="AG2329" s="44">
        <v>487666.35944444442</v>
      </c>
      <c r="AH2329" s="42" t="s">
        <v>916</v>
      </c>
      <c r="AI2329" s="32" t="e">
        <f>VLOOKUP(A2329,'4月明細'!B:B,1,0)</f>
        <v>#N/A</v>
      </c>
    </row>
    <row r="2330" spans="1:35" ht="19.95" customHeight="1" x14ac:dyDescent="0.3">
      <c r="A2330" s="33" t="s">
        <v>8180</v>
      </c>
      <c r="B2330" s="34">
        <v>45888.556747685187</v>
      </c>
      <c r="C2330" s="34" t="str">
        <f t="shared" si="49"/>
        <v>202508</v>
      </c>
      <c r="D2330" s="35" t="s">
        <v>996</v>
      </c>
      <c r="E2330" s="36" t="s">
        <v>910</v>
      </c>
      <c r="F2330" s="36" t="s">
        <v>1338</v>
      </c>
      <c r="G2330" s="37" t="s">
        <v>8181</v>
      </c>
      <c r="H2330" s="36" t="s">
        <v>4007</v>
      </c>
      <c r="I2330" s="35"/>
      <c r="J2330" s="36" t="s">
        <v>914</v>
      </c>
      <c r="K2330" s="33" t="s">
        <v>916</v>
      </c>
      <c r="L2330" s="35" t="s">
        <v>916</v>
      </c>
      <c r="M2330" s="36" t="s">
        <v>916</v>
      </c>
      <c r="N2330" s="45">
        <v>46022</v>
      </c>
      <c r="O2330" s="36" t="s">
        <v>25</v>
      </c>
      <c r="P2330" s="38">
        <v>133.44325231479999</v>
      </c>
      <c r="Q2330" s="39" t="s">
        <v>8182</v>
      </c>
      <c r="R2330" s="35" t="s">
        <v>916</v>
      </c>
      <c r="S2330" s="35"/>
      <c r="T2330" s="35" t="s">
        <v>1701</v>
      </c>
      <c r="U2330" s="40">
        <v>45889</v>
      </c>
      <c r="V2330" s="41">
        <v>46153.533101851855</v>
      </c>
      <c r="W2330" s="40">
        <v>45888</v>
      </c>
      <c r="X2330" s="35" t="s">
        <v>916</v>
      </c>
      <c r="Y2330" s="35" t="s">
        <v>916</v>
      </c>
      <c r="Z2330" s="35" t="s">
        <v>916</v>
      </c>
      <c r="AA2330" s="38">
        <v>3202.6380555552</v>
      </c>
      <c r="AB2330" s="42" t="s">
        <v>916</v>
      </c>
      <c r="AC2330" s="43" t="s">
        <v>916</v>
      </c>
      <c r="AD2330" s="43" t="s">
        <v>916</v>
      </c>
      <c r="AE2330" s="33" t="s">
        <v>3982</v>
      </c>
      <c r="AF2330" s="35" t="s">
        <v>916</v>
      </c>
      <c r="AG2330" s="44">
        <v>487669.36194444448</v>
      </c>
      <c r="AH2330" s="42" t="s">
        <v>916</v>
      </c>
      <c r="AI2330" s="32" t="e">
        <f>VLOOKUP(A2330,'4月明細'!B:B,1,0)</f>
        <v>#N/A</v>
      </c>
    </row>
    <row r="2331" spans="1:35" ht="19.95" customHeight="1" x14ac:dyDescent="0.3">
      <c r="A2331" s="33" t="s">
        <v>8183</v>
      </c>
      <c r="B2331" s="34">
        <v>45888.525497685187</v>
      </c>
      <c r="C2331" s="34" t="str">
        <f t="shared" si="49"/>
        <v>202508</v>
      </c>
      <c r="D2331" s="35" t="s">
        <v>996</v>
      </c>
      <c r="E2331" s="36" t="s">
        <v>910</v>
      </c>
      <c r="F2331" s="36" t="s">
        <v>1285</v>
      </c>
      <c r="G2331" s="37" t="s">
        <v>8153</v>
      </c>
      <c r="H2331" s="36" t="s">
        <v>1048</v>
      </c>
      <c r="I2331" s="35" t="s">
        <v>8184</v>
      </c>
      <c r="J2331" s="36" t="s">
        <v>914</v>
      </c>
      <c r="K2331" s="33" t="s">
        <v>916</v>
      </c>
      <c r="L2331" s="35" t="s">
        <v>916</v>
      </c>
      <c r="M2331" s="36" t="s">
        <v>916</v>
      </c>
      <c r="N2331" s="45">
        <v>46022</v>
      </c>
      <c r="O2331" s="36" t="s">
        <v>25</v>
      </c>
      <c r="P2331" s="38">
        <v>133.47450231479999</v>
      </c>
      <c r="Q2331" s="39" t="s">
        <v>8185</v>
      </c>
      <c r="R2331" s="35" t="s">
        <v>916</v>
      </c>
      <c r="S2331" s="35"/>
      <c r="T2331" s="35" t="s">
        <v>1701</v>
      </c>
      <c r="U2331" s="40">
        <v>45889</v>
      </c>
      <c r="V2331" s="41">
        <v>46153.533101851855</v>
      </c>
      <c r="W2331" s="40">
        <v>45888</v>
      </c>
      <c r="X2331" s="35" t="s">
        <v>916</v>
      </c>
      <c r="Y2331" s="35" t="s">
        <v>916</v>
      </c>
      <c r="Z2331" s="35" t="s">
        <v>916</v>
      </c>
      <c r="AA2331" s="38">
        <v>3203.3880555552</v>
      </c>
      <c r="AB2331" s="42" t="s">
        <v>916</v>
      </c>
      <c r="AC2331" s="43" t="s">
        <v>916</v>
      </c>
      <c r="AD2331" s="43" t="s">
        <v>916</v>
      </c>
      <c r="AE2331" s="33" t="s">
        <v>3982</v>
      </c>
      <c r="AF2331" s="35" t="s">
        <v>916</v>
      </c>
      <c r="AG2331" s="44">
        <v>487668.61194444448</v>
      </c>
      <c r="AH2331" s="42" t="s">
        <v>916</v>
      </c>
      <c r="AI2331" s="32" t="e">
        <f>VLOOKUP(A2331,'4月明細'!B:B,1,0)</f>
        <v>#N/A</v>
      </c>
    </row>
    <row r="2332" spans="1:35" ht="19.95" customHeight="1" x14ac:dyDescent="0.3">
      <c r="A2332" s="33" t="s">
        <v>8186</v>
      </c>
      <c r="B2332" s="34">
        <v>45888.517812500002</v>
      </c>
      <c r="C2332" s="34" t="str">
        <f t="shared" si="49"/>
        <v>202508</v>
      </c>
      <c r="D2332" s="35" t="s">
        <v>996</v>
      </c>
      <c r="E2332" s="36" t="s">
        <v>910</v>
      </c>
      <c r="F2332" s="36" t="s">
        <v>1285</v>
      </c>
      <c r="G2332" s="37" t="s">
        <v>8187</v>
      </c>
      <c r="H2332" s="36" t="s">
        <v>1043</v>
      </c>
      <c r="I2332" s="35" t="s">
        <v>8188</v>
      </c>
      <c r="J2332" s="36" t="s">
        <v>914</v>
      </c>
      <c r="K2332" s="33" t="s">
        <v>916</v>
      </c>
      <c r="L2332" s="35" t="s">
        <v>916</v>
      </c>
      <c r="M2332" s="36" t="s">
        <v>916</v>
      </c>
      <c r="N2332" s="45">
        <v>46022</v>
      </c>
      <c r="O2332" s="36" t="s">
        <v>25</v>
      </c>
      <c r="P2332" s="38">
        <v>133.48218750000001</v>
      </c>
      <c r="Q2332" s="39" t="s">
        <v>8182</v>
      </c>
      <c r="R2332" s="35" t="s">
        <v>916</v>
      </c>
      <c r="S2332" s="35"/>
      <c r="T2332" s="35" t="s">
        <v>1701</v>
      </c>
      <c r="U2332" s="40">
        <v>45889</v>
      </c>
      <c r="V2332" s="41">
        <v>46153.533101851855</v>
      </c>
      <c r="W2332" s="40">
        <v>45888</v>
      </c>
      <c r="X2332" s="35" t="s">
        <v>916</v>
      </c>
      <c r="Y2332" s="35" t="s">
        <v>916</v>
      </c>
      <c r="Z2332" s="35" t="s">
        <v>916</v>
      </c>
      <c r="AA2332" s="38">
        <v>3203.5725000000002</v>
      </c>
      <c r="AB2332" s="42" t="s">
        <v>916</v>
      </c>
      <c r="AC2332" s="43" t="s">
        <v>916</v>
      </c>
      <c r="AD2332" s="43" t="s">
        <v>916</v>
      </c>
      <c r="AE2332" s="33" t="s">
        <v>3982</v>
      </c>
      <c r="AF2332" s="35" t="s">
        <v>916</v>
      </c>
      <c r="AG2332" s="44">
        <v>487668.42749999999</v>
      </c>
      <c r="AH2332" s="42" t="s">
        <v>916</v>
      </c>
      <c r="AI2332" s="32" t="e">
        <f>VLOOKUP(A2332,'4月明細'!B:B,1,0)</f>
        <v>#N/A</v>
      </c>
    </row>
    <row r="2333" spans="1:35" ht="19.95" customHeight="1" x14ac:dyDescent="0.3">
      <c r="A2333" s="33" t="s">
        <v>8189</v>
      </c>
      <c r="B2333" s="34">
        <v>45888.507974537039</v>
      </c>
      <c r="C2333" s="34" t="str">
        <f t="shared" si="49"/>
        <v>202508</v>
      </c>
      <c r="D2333" s="35" t="s">
        <v>996</v>
      </c>
      <c r="E2333" s="36" t="s">
        <v>910</v>
      </c>
      <c r="F2333" s="36" t="s">
        <v>1064</v>
      </c>
      <c r="G2333" s="37" t="s">
        <v>8190</v>
      </c>
      <c r="H2333" s="36" t="s">
        <v>4401</v>
      </c>
      <c r="I2333" s="35" t="s">
        <v>8191</v>
      </c>
      <c r="J2333" s="36" t="s">
        <v>929</v>
      </c>
      <c r="K2333" s="33" t="s">
        <v>916</v>
      </c>
      <c r="L2333" s="35" t="s">
        <v>916</v>
      </c>
      <c r="M2333" s="36" t="s">
        <v>916</v>
      </c>
      <c r="N2333" s="45">
        <v>46022</v>
      </c>
      <c r="O2333" s="36" t="s">
        <v>25</v>
      </c>
      <c r="P2333" s="38">
        <v>133.492025463</v>
      </c>
      <c r="Q2333" s="39" t="s">
        <v>8179</v>
      </c>
      <c r="R2333" s="35" t="s">
        <v>916</v>
      </c>
      <c r="S2333" s="35"/>
      <c r="T2333" s="35" t="s">
        <v>1701</v>
      </c>
      <c r="U2333" s="40">
        <v>45889</v>
      </c>
      <c r="V2333" s="41">
        <v>46153.533101851855</v>
      </c>
      <c r="W2333" s="40">
        <v>45888</v>
      </c>
      <c r="X2333" s="35" t="s">
        <v>916</v>
      </c>
      <c r="Y2333" s="35" t="s">
        <v>916</v>
      </c>
      <c r="Z2333" s="35" t="s">
        <v>916</v>
      </c>
      <c r="AA2333" s="38">
        <v>3203.8086111120001</v>
      </c>
      <c r="AB2333" s="42" t="s">
        <v>916</v>
      </c>
      <c r="AC2333" s="43" t="s">
        <v>916</v>
      </c>
      <c r="AD2333" s="43" t="s">
        <v>916</v>
      </c>
      <c r="AE2333" s="33" t="s">
        <v>3982</v>
      </c>
      <c r="AF2333" s="35" t="s">
        <v>916</v>
      </c>
      <c r="AG2333" s="44">
        <v>487668.19138888892</v>
      </c>
      <c r="AH2333" s="42" t="s">
        <v>916</v>
      </c>
      <c r="AI2333" s="32" t="e">
        <f>VLOOKUP(A2333,'4月明細'!B:B,1,0)</f>
        <v>#N/A</v>
      </c>
    </row>
    <row r="2334" spans="1:35" ht="19.95" customHeight="1" x14ac:dyDescent="0.3">
      <c r="A2334" s="33" t="s">
        <v>8192</v>
      </c>
      <c r="B2334" s="34">
        <v>45888.497083333335</v>
      </c>
      <c r="C2334" s="34" t="str">
        <f t="shared" si="49"/>
        <v>202508</v>
      </c>
      <c r="D2334" s="35" t="s">
        <v>996</v>
      </c>
      <c r="E2334" s="36" t="s">
        <v>910</v>
      </c>
      <c r="F2334" s="36" t="s">
        <v>1469</v>
      </c>
      <c r="G2334" s="37" t="s">
        <v>8193</v>
      </c>
      <c r="H2334" s="36" t="s">
        <v>4401</v>
      </c>
      <c r="I2334" s="35"/>
      <c r="J2334" s="36" t="s">
        <v>929</v>
      </c>
      <c r="K2334" s="33" t="s">
        <v>916</v>
      </c>
      <c r="L2334" s="35" t="s">
        <v>916</v>
      </c>
      <c r="M2334" s="36" t="s">
        <v>916</v>
      </c>
      <c r="N2334" s="45">
        <v>46022</v>
      </c>
      <c r="O2334" s="36" t="s">
        <v>25</v>
      </c>
      <c r="P2334" s="38">
        <v>133.5029166667</v>
      </c>
      <c r="Q2334" s="39" t="s">
        <v>8194</v>
      </c>
      <c r="R2334" s="35" t="s">
        <v>916</v>
      </c>
      <c r="S2334" s="35"/>
      <c r="T2334" s="35" t="s">
        <v>1701</v>
      </c>
      <c r="U2334" s="40">
        <v>45889</v>
      </c>
      <c r="V2334" s="41">
        <v>46153.533101851855</v>
      </c>
      <c r="W2334" s="40">
        <v>45888</v>
      </c>
      <c r="X2334" s="35" t="s">
        <v>916</v>
      </c>
      <c r="Y2334" s="35" t="s">
        <v>916</v>
      </c>
      <c r="Z2334" s="35" t="s">
        <v>916</v>
      </c>
      <c r="AA2334" s="38">
        <v>3204.0700000008001</v>
      </c>
      <c r="AB2334" s="42" t="s">
        <v>916</v>
      </c>
      <c r="AC2334" s="43" t="s">
        <v>916</v>
      </c>
      <c r="AD2334" s="43" t="s">
        <v>916</v>
      </c>
      <c r="AE2334" s="33" t="s">
        <v>3982</v>
      </c>
      <c r="AF2334" s="35" t="s">
        <v>916</v>
      </c>
      <c r="AG2334" s="44">
        <v>487667.93000000011</v>
      </c>
      <c r="AH2334" s="42" t="s">
        <v>916</v>
      </c>
      <c r="AI2334" s="32" t="e">
        <f>VLOOKUP(A2334,'4月明細'!B:B,1,0)</f>
        <v>#N/A</v>
      </c>
    </row>
    <row r="2335" spans="1:35" ht="19.95" customHeight="1" x14ac:dyDescent="0.3">
      <c r="A2335" s="33" t="s">
        <v>8195</v>
      </c>
      <c r="B2335" s="34">
        <v>45888.487500000003</v>
      </c>
      <c r="C2335" s="34" t="str">
        <f t="shared" si="49"/>
        <v>202508</v>
      </c>
      <c r="D2335" s="35" t="s">
        <v>996</v>
      </c>
      <c r="E2335" s="36" t="s">
        <v>910</v>
      </c>
      <c r="F2335" s="36" t="s">
        <v>1068</v>
      </c>
      <c r="G2335" s="37" t="s">
        <v>8190</v>
      </c>
      <c r="H2335" s="36" t="s">
        <v>4401</v>
      </c>
      <c r="I2335" s="35" t="s">
        <v>8196</v>
      </c>
      <c r="J2335" s="36" t="s">
        <v>929</v>
      </c>
      <c r="K2335" s="33" t="s">
        <v>916</v>
      </c>
      <c r="L2335" s="35" t="s">
        <v>916</v>
      </c>
      <c r="M2335" s="36" t="s">
        <v>916</v>
      </c>
      <c r="N2335" s="45">
        <v>46022</v>
      </c>
      <c r="O2335" s="36" t="s">
        <v>25</v>
      </c>
      <c r="P2335" s="38">
        <v>133.51249999999999</v>
      </c>
      <c r="Q2335" s="39" t="s">
        <v>8197</v>
      </c>
      <c r="R2335" s="35" t="s">
        <v>916</v>
      </c>
      <c r="S2335" s="35"/>
      <c r="T2335" s="35" t="s">
        <v>1701</v>
      </c>
      <c r="U2335" s="40">
        <v>45889</v>
      </c>
      <c r="V2335" s="41">
        <v>46153.533101851855</v>
      </c>
      <c r="W2335" s="40">
        <v>45888</v>
      </c>
      <c r="X2335" s="35" t="s">
        <v>916</v>
      </c>
      <c r="Y2335" s="35" t="s">
        <v>916</v>
      </c>
      <c r="Z2335" s="35" t="s">
        <v>916</v>
      </c>
      <c r="AA2335" s="38">
        <v>3204.3</v>
      </c>
      <c r="AB2335" s="42" t="s">
        <v>916</v>
      </c>
      <c r="AC2335" s="43" t="s">
        <v>916</v>
      </c>
      <c r="AD2335" s="43" t="s">
        <v>916</v>
      </c>
      <c r="AE2335" s="33" t="s">
        <v>3982</v>
      </c>
      <c r="AF2335" s="35" t="s">
        <v>916</v>
      </c>
      <c r="AG2335" s="44">
        <v>487667.7</v>
      </c>
      <c r="AH2335" s="42" t="s">
        <v>916</v>
      </c>
      <c r="AI2335" s="32" t="e">
        <f>VLOOKUP(A2335,'4月明細'!B:B,1,0)</f>
        <v>#N/A</v>
      </c>
    </row>
    <row r="2336" spans="1:35" ht="19.95" customHeight="1" x14ac:dyDescent="0.3">
      <c r="A2336" s="33" t="s">
        <v>8198</v>
      </c>
      <c r="B2336" s="34">
        <v>45888.483506944445</v>
      </c>
      <c r="C2336" s="34" t="str">
        <f t="shared" si="49"/>
        <v>202508</v>
      </c>
      <c r="D2336" s="35" t="s">
        <v>996</v>
      </c>
      <c r="E2336" s="36" t="s">
        <v>910</v>
      </c>
      <c r="F2336" s="36" t="s">
        <v>1068</v>
      </c>
      <c r="G2336" s="37" t="s">
        <v>8199</v>
      </c>
      <c r="H2336" s="36" t="s">
        <v>1114</v>
      </c>
      <c r="I2336" s="35" t="s">
        <v>8200</v>
      </c>
      <c r="J2336" s="36" t="s">
        <v>929</v>
      </c>
      <c r="K2336" s="33" t="s">
        <v>916</v>
      </c>
      <c r="L2336" s="35" t="s">
        <v>916</v>
      </c>
      <c r="M2336" s="36" t="s">
        <v>916</v>
      </c>
      <c r="N2336" s="45">
        <v>46022</v>
      </c>
      <c r="O2336" s="36" t="s">
        <v>25</v>
      </c>
      <c r="P2336" s="38">
        <v>133.51649305559999</v>
      </c>
      <c r="Q2336" s="39" t="s">
        <v>8201</v>
      </c>
      <c r="R2336" s="35" t="s">
        <v>916</v>
      </c>
      <c r="S2336" s="35"/>
      <c r="T2336" s="35" t="s">
        <v>1701</v>
      </c>
      <c r="U2336" s="40">
        <v>45889</v>
      </c>
      <c r="V2336" s="41">
        <v>46153.533101851855</v>
      </c>
      <c r="W2336" s="40">
        <v>45888</v>
      </c>
      <c r="X2336" s="35" t="s">
        <v>916</v>
      </c>
      <c r="Y2336" s="35" t="s">
        <v>916</v>
      </c>
      <c r="Z2336" s="35" t="s">
        <v>916</v>
      </c>
      <c r="AA2336" s="38">
        <v>3204.3958333343999</v>
      </c>
      <c r="AB2336" s="42" t="s">
        <v>916</v>
      </c>
      <c r="AC2336" s="43" t="s">
        <v>916</v>
      </c>
      <c r="AD2336" s="43" t="s">
        <v>916</v>
      </c>
      <c r="AE2336" s="33" t="s">
        <v>3982</v>
      </c>
      <c r="AF2336" s="35" t="s">
        <v>916</v>
      </c>
      <c r="AG2336" s="44">
        <v>487667.60416666669</v>
      </c>
      <c r="AH2336" s="42" t="s">
        <v>916</v>
      </c>
      <c r="AI2336" s="32" t="e">
        <f>VLOOKUP(A2336,'4月明細'!B:B,1,0)</f>
        <v>#N/A</v>
      </c>
    </row>
    <row r="2337" spans="1:35" ht="19.95" customHeight="1" x14ac:dyDescent="0.3">
      <c r="A2337" s="33" t="s">
        <v>8202</v>
      </c>
      <c r="B2337" s="34">
        <v>45888.456006944441</v>
      </c>
      <c r="C2337" s="34" t="str">
        <f t="shared" si="49"/>
        <v>202508</v>
      </c>
      <c r="D2337" s="35" t="s">
        <v>996</v>
      </c>
      <c r="E2337" s="36" t="s">
        <v>910</v>
      </c>
      <c r="F2337" s="36" t="s">
        <v>1564</v>
      </c>
      <c r="G2337" s="37" t="s">
        <v>8203</v>
      </c>
      <c r="H2337" s="36" t="s">
        <v>913</v>
      </c>
      <c r="I2337" s="35"/>
      <c r="J2337" s="36" t="s">
        <v>914</v>
      </c>
      <c r="K2337" s="33" t="s">
        <v>916</v>
      </c>
      <c r="L2337" s="35" t="s">
        <v>916</v>
      </c>
      <c r="M2337" s="36" t="s">
        <v>916</v>
      </c>
      <c r="N2337" s="45">
        <v>46022</v>
      </c>
      <c r="O2337" s="36" t="s">
        <v>25</v>
      </c>
      <c r="P2337" s="38">
        <v>133.5439930556</v>
      </c>
      <c r="Q2337" s="39" t="s">
        <v>8204</v>
      </c>
      <c r="R2337" s="35" t="s">
        <v>916</v>
      </c>
      <c r="S2337" s="35"/>
      <c r="T2337" s="35" t="s">
        <v>1701</v>
      </c>
      <c r="U2337" s="40">
        <v>45889</v>
      </c>
      <c r="V2337" s="41">
        <v>46153.533101851855</v>
      </c>
      <c r="W2337" s="40">
        <v>45888</v>
      </c>
      <c r="X2337" s="35" t="s">
        <v>916</v>
      </c>
      <c r="Y2337" s="35" t="s">
        <v>916</v>
      </c>
      <c r="Z2337" s="35" t="s">
        <v>916</v>
      </c>
      <c r="AA2337" s="38">
        <v>3205.0558333344002</v>
      </c>
      <c r="AB2337" s="42" t="s">
        <v>916</v>
      </c>
      <c r="AC2337" s="43" t="s">
        <v>916</v>
      </c>
      <c r="AD2337" s="43" t="s">
        <v>916</v>
      </c>
      <c r="AE2337" s="33" t="s">
        <v>3982</v>
      </c>
      <c r="AF2337" s="35" t="s">
        <v>916</v>
      </c>
      <c r="AG2337" s="44">
        <v>487666.94416666671</v>
      </c>
      <c r="AH2337" s="42" t="s">
        <v>916</v>
      </c>
      <c r="AI2337" s="32" t="e">
        <f>VLOOKUP(A2337,'4月明細'!B:B,1,0)</f>
        <v>#N/A</v>
      </c>
    </row>
    <row r="2338" spans="1:35" ht="19.95" customHeight="1" x14ac:dyDescent="0.3">
      <c r="A2338" s="33" t="s">
        <v>8205</v>
      </c>
      <c r="B2338" s="34">
        <v>45888.361307870371</v>
      </c>
      <c r="C2338" s="34" t="str">
        <f t="shared" si="49"/>
        <v>202508</v>
      </c>
      <c r="D2338" s="35" t="s">
        <v>1747</v>
      </c>
      <c r="E2338" s="36" t="s">
        <v>1112</v>
      </c>
      <c r="F2338" s="36" t="s">
        <v>1479</v>
      </c>
      <c r="G2338" s="37" t="s">
        <v>8206</v>
      </c>
      <c r="H2338" s="36" t="s">
        <v>1048</v>
      </c>
      <c r="I2338" s="35"/>
      <c r="J2338" s="36" t="s">
        <v>938</v>
      </c>
      <c r="K2338" s="33" t="s">
        <v>916</v>
      </c>
      <c r="L2338" s="35" t="s">
        <v>916</v>
      </c>
      <c r="M2338" s="36" t="s">
        <v>916</v>
      </c>
      <c r="N2338" s="45">
        <v>46022</v>
      </c>
      <c r="O2338" s="36" t="s">
        <v>25</v>
      </c>
      <c r="P2338" s="38">
        <v>133.6386921296</v>
      </c>
      <c r="Q2338" s="39" t="s">
        <v>8207</v>
      </c>
      <c r="R2338" s="35" t="s">
        <v>916</v>
      </c>
      <c r="S2338" s="35"/>
      <c r="T2338" s="35" t="s">
        <v>1701</v>
      </c>
      <c r="U2338" s="40">
        <v>45889</v>
      </c>
      <c r="V2338" s="41">
        <v>46153.533101851855</v>
      </c>
      <c r="W2338" s="40">
        <v>45888</v>
      </c>
      <c r="X2338" s="35" t="s">
        <v>916</v>
      </c>
      <c r="Y2338" s="35" t="s">
        <v>916</v>
      </c>
      <c r="Z2338" s="35" t="s">
        <v>916</v>
      </c>
      <c r="AA2338" s="38">
        <v>3207.3286111103998</v>
      </c>
      <c r="AB2338" s="42" t="s">
        <v>916</v>
      </c>
      <c r="AC2338" s="43" t="s">
        <v>916</v>
      </c>
      <c r="AD2338" s="43" t="s">
        <v>916</v>
      </c>
      <c r="AE2338" s="33" t="s">
        <v>3982</v>
      </c>
      <c r="AF2338" s="35" t="s">
        <v>916</v>
      </c>
      <c r="AG2338" s="44">
        <v>487664.67138888891</v>
      </c>
      <c r="AH2338" s="42" t="s">
        <v>916</v>
      </c>
      <c r="AI2338" s="32" t="e">
        <f>VLOOKUP(A2338,'4月明細'!B:B,1,0)</f>
        <v>#N/A</v>
      </c>
    </row>
    <row r="2339" spans="1:35" ht="19.95" customHeight="1" x14ac:dyDescent="0.3">
      <c r="A2339" s="33" t="s">
        <v>8208</v>
      </c>
      <c r="B2339" s="34">
        <v>45887.467013888891</v>
      </c>
      <c r="C2339" s="34" t="str">
        <f t="shared" si="49"/>
        <v>202508</v>
      </c>
      <c r="D2339" s="35" t="s">
        <v>7343</v>
      </c>
      <c r="E2339" s="36" t="s">
        <v>910</v>
      </c>
      <c r="F2339" s="36" t="s">
        <v>1141</v>
      </c>
      <c r="G2339" s="37" t="s">
        <v>8209</v>
      </c>
      <c r="H2339" s="36" t="s">
        <v>4185</v>
      </c>
      <c r="I2339" s="35" t="s">
        <v>8210</v>
      </c>
      <c r="J2339" s="36" t="s">
        <v>929</v>
      </c>
      <c r="K2339" s="33" t="s">
        <v>916</v>
      </c>
      <c r="L2339" s="35" t="s">
        <v>916</v>
      </c>
      <c r="M2339" s="36" t="s">
        <v>916</v>
      </c>
      <c r="N2339" s="45">
        <v>46022</v>
      </c>
      <c r="O2339" s="36" t="s">
        <v>25</v>
      </c>
      <c r="P2339" s="38">
        <v>134.5329861111</v>
      </c>
      <c r="Q2339" s="39" t="s">
        <v>8211</v>
      </c>
      <c r="R2339" s="35" t="s">
        <v>916</v>
      </c>
      <c r="S2339" s="35"/>
      <c r="T2339" s="35" t="s">
        <v>1701</v>
      </c>
      <c r="U2339" s="40">
        <v>45888</v>
      </c>
      <c r="V2339" s="41">
        <v>46153.533101851855</v>
      </c>
      <c r="W2339" s="40">
        <v>45887</v>
      </c>
      <c r="X2339" s="35" t="s">
        <v>916</v>
      </c>
      <c r="Y2339" s="35" t="s">
        <v>916</v>
      </c>
      <c r="Z2339" s="35" t="s">
        <v>916</v>
      </c>
      <c r="AA2339" s="38">
        <v>3228.7916666664</v>
      </c>
      <c r="AB2339" s="42" t="s">
        <v>916</v>
      </c>
      <c r="AC2339" s="43" t="s">
        <v>916</v>
      </c>
      <c r="AD2339" s="43" t="s">
        <v>916</v>
      </c>
      <c r="AE2339" s="33" t="s">
        <v>3982</v>
      </c>
      <c r="AF2339" s="35" t="s">
        <v>916</v>
      </c>
      <c r="AG2339" s="44">
        <v>487643.20833333337</v>
      </c>
      <c r="AH2339" s="42" t="s">
        <v>916</v>
      </c>
      <c r="AI2339" s="32" t="e">
        <f>VLOOKUP(A2339,'4月明細'!B:B,1,0)</f>
        <v>#N/A</v>
      </c>
    </row>
    <row r="2340" spans="1:35" ht="19.95" customHeight="1" x14ac:dyDescent="0.3">
      <c r="A2340" s="33" t="s">
        <v>8212</v>
      </c>
      <c r="B2340" s="34">
        <v>45887.627256944441</v>
      </c>
      <c r="C2340" s="34" t="str">
        <f t="shared" si="49"/>
        <v>202508</v>
      </c>
      <c r="D2340" s="35" t="s">
        <v>996</v>
      </c>
      <c r="E2340" s="36" t="s">
        <v>910</v>
      </c>
      <c r="F2340" s="36" t="s">
        <v>2080</v>
      </c>
      <c r="G2340" s="37" t="s">
        <v>8153</v>
      </c>
      <c r="H2340" s="36" t="s">
        <v>1048</v>
      </c>
      <c r="I2340" s="35" t="s">
        <v>8213</v>
      </c>
      <c r="J2340" s="36" t="s">
        <v>914</v>
      </c>
      <c r="K2340" s="33" t="s">
        <v>916</v>
      </c>
      <c r="L2340" s="35" t="s">
        <v>916</v>
      </c>
      <c r="M2340" s="36" t="s">
        <v>916</v>
      </c>
      <c r="N2340" s="45">
        <v>46022</v>
      </c>
      <c r="O2340" s="36" t="s">
        <v>25</v>
      </c>
      <c r="P2340" s="38">
        <v>134.37274305560001</v>
      </c>
      <c r="Q2340" s="39" t="s">
        <v>1328</v>
      </c>
      <c r="R2340" s="35" t="s">
        <v>916</v>
      </c>
      <c r="S2340" s="35"/>
      <c r="T2340" s="35" t="s">
        <v>1701</v>
      </c>
      <c r="U2340" s="40">
        <v>45888</v>
      </c>
      <c r="V2340" s="41">
        <v>46153.533101851855</v>
      </c>
      <c r="W2340" s="40">
        <v>45887</v>
      </c>
      <c r="X2340" s="35" t="s">
        <v>916</v>
      </c>
      <c r="Y2340" s="35" t="s">
        <v>916</v>
      </c>
      <c r="Z2340" s="35" t="s">
        <v>916</v>
      </c>
      <c r="AA2340" s="38">
        <v>3224.9458333344</v>
      </c>
      <c r="AB2340" s="42" t="s">
        <v>916</v>
      </c>
      <c r="AC2340" s="43" t="s">
        <v>916</v>
      </c>
      <c r="AD2340" s="43" t="s">
        <v>916</v>
      </c>
      <c r="AE2340" s="33" t="s">
        <v>3982</v>
      </c>
      <c r="AF2340" s="35" t="s">
        <v>916</v>
      </c>
      <c r="AG2340" s="44">
        <v>487647.0541666667</v>
      </c>
      <c r="AH2340" s="42" t="s">
        <v>916</v>
      </c>
      <c r="AI2340" s="32" t="e">
        <f>VLOOKUP(A2340,'4月明細'!B:B,1,0)</f>
        <v>#N/A</v>
      </c>
    </row>
    <row r="2341" spans="1:35" ht="19.95" customHeight="1" x14ac:dyDescent="0.3">
      <c r="A2341" s="33" t="s">
        <v>8214</v>
      </c>
      <c r="B2341" s="34">
        <v>45887.610671296294</v>
      </c>
      <c r="C2341" s="34" t="str">
        <f t="shared" si="49"/>
        <v>202508</v>
      </c>
      <c r="D2341" s="35" t="s">
        <v>996</v>
      </c>
      <c r="E2341" s="36" t="s">
        <v>910</v>
      </c>
      <c r="F2341" s="36" t="s">
        <v>1564</v>
      </c>
      <c r="G2341" s="37" t="s">
        <v>8215</v>
      </c>
      <c r="H2341" s="36" t="s">
        <v>4007</v>
      </c>
      <c r="I2341" s="35"/>
      <c r="J2341" s="36" t="s">
        <v>929</v>
      </c>
      <c r="K2341" s="33" t="s">
        <v>916</v>
      </c>
      <c r="L2341" s="35" t="s">
        <v>916</v>
      </c>
      <c r="M2341" s="36" t="s">
        <v>916</v>
      </c>
      <c r="N2341" s="45">
        <v>46022</v>
      </c>
      <c r="O2341" s="36" t="s">
        <v>25</v>
      </c>
      <c r="P2341" s="38">
        <v>134.38932870369999</v>
      </c>
      <c r="Q2341" s="39" t="s">
        <v>1328</v>
      </c>
      <c r="R2341" s="35" t="s">
        <v>916</v>
      </c>
      <c r="S2341" s="35"/>
      <c r="T2341" s="35" t="s">
        <v>1701</v>
      </c>
      <c r="U2341" s="40">
        <v>45888</v>
      </c>
      <c r="V2341" s="41">
        <v>46153.533101851855</v>
      </c>
      <c r="W2341" s="40">
        <v>45887</v>
      </c>
      <c r="X2341" s="35" t="s">
        <v>916</v>
      </c>
      <c r="Y2341" s="35" t="s">
        <v>916</v>
      </c>
      <c r="Z2341" s="35" t="s">
        <v>916</v>
      </c>
      <c r="AA2341" s="38">
        <v>3225.3438888887999</v>
      </c>
      <c r="AB2341" s="42" t="s">
        <v>916</v>
      </c>
      <c r="AC2341" s="43" t="s">
        <v>916</v>
      </c>
      <c r="AD2341" s="43" t="s">
        <v>916</v>
      </c>
      <c r="AE2341" s="33" t="s">
        <v>3982</v>
      </c>
      <c r="AF2341" s="35" t="s">
        <v>916</v>
      </c>
      <c r="AG2341" s="44">
        <v>975318.02277777786</v>
      </c>
      <c r="AH2341" s="42" t="s">
        <v>916</v>
      </c>
      <c r="AI2341" s="32" t="e">
        <f>VLOOKUP(A2341,'4月明細'!B:B,1,0)</f>
        <v>#N/A</v>
      </c>
    </row>
    <row r="2342" spans="1:35" ht="19.95" customHeight="1" x14ac:dyDescent="0.3">
      <c r="A2342" s="33" t="s">
        <v>8216</v>
      </c>
      <c r="B2342" s="34">
        <v>45887.589085648149</v>
      </c>
      <c r="C2342" s="34" t="str">
        <f t="shared" si="49"/>
        <v>202508</v>
      </c>
      <c r="D2342" s="35" t="s">
        <v>5380</v>
      </c>
      <c r="E2342" s="36" t="s">
        <v>910</v>
      </c>
      <c r="F2342" s="36" t="s">
        <v>2017</v>
      </c>
      <c r="G2342" s="37" t="s">
        <v>8217</v>
      </c>
      <c r="H2342" s="36" t="s">
        <v>4481</v>
      </c>
      <c r="I2342" s="35" t="s">
        <v>8218</v>
      </c>
      <c r="J2342" s="36" t="s">
        <v>914</v>
      </c>
      <c r="K2342" s="33" t="s">
        <v>916</v>
      </c>
      <c r="L2342" s="35" t="s">
        <v>916</v>
      </c>
      <c r="M2342" s="36" t="s">
        <v>916</v>
      </c>
      <c r="N2342" s="45">
        <v>46022</v>
      </c>
      <c r="O2342" s="36" t="s">
        <v>25</v>
      </c>
      <c r="P2342" s="38">
        <v>134.4109143519</v>
      </c>
      <c r="Q2342" s="39" t="s">
        <v>8219</v>
      </c>
      <c r="R2342" s="35" t="s">
        <v>916</v>
      </c>
      <c r="S2342" s="35"/>
      <c r="T2342" s="35" t="s">
        <v>1701</v>
      </c>
      <c r="U2342" s="40">
        <v>45888</v>
      </c>
      <c r="V2342" s="41">
        <v>46153.533101851855</v>
      </c>
      <c r="W2342" s="40">
        <v>45887</v>
      </c>
      <c r="X2342" s="35" t="s">
        <v>916</v>
      </c>
      <c r="Y2342" s="35" t="s">
        <v>916</v>
      </c>
      <c r="Z2342" s="35" t="s">
        <v>916</v>
      </c>
      <c r="AA2342" s="38">
        <v>3225.8619444455999</v>
      </c>
      <c r="AB2342" s="42" t="s">
        <v>916</v>
      </c>
      <c r="AC2342" s="43" t="s">
        <v>916</v>
      </c>
      <c r="AD2342" s="43" t="s">
        <v>916</v>
      </c>
      <c r="AE2342" s="33" t="s">
        <v>3982</v>
      </c>
      <c r="AF2342" s="35" t="s">
        <v>916</v>
      </c>
      <c r="AG2342" s="44">
        <v>487646.13805555558</v>
      </c>
      <c r="AH2342" s="42" t="s">
        <v>916</v>
      </c>
      <c r="AI2342" s="32" t="e">
        <f>VLOOKUP(A2342,'4月明細'!B:B,1,0)</f>
        <v>#N/A</v>
      </c>
    </row>
    <row r="2343" spans="1:35" ht="19.95" customHeight="1" x14ac:dyDescent="0.3">
      <c r="A2343" s="33" t="s">
        <v>8220</v>
      </c>
      <c r="B2343" s="34">
        <v>45887.567835648151</v>
      </c>
      <c r="C2343" s="34" t="str">
        <f t="shared" si="49"/>
        <v>202508</v>
      </c>
      <c r="D2343" s="35" t="s">
        <v>996</v>
      </c>
      <c r="E2343" s="36" t="s">
        <v>910</v>
      </c>
      <c r="F2343" s="36" t="s">
        <v>997</v>
      </c>
      <c r="G2343" s="37" t="s">
        <v>8221</v>
      </c>
      <c r="H2343" s="36" t="s">
        <v>4401</v>
      </c>
      <c r="I2343" s="35" t="s">
        <v>8222</v>
      </c>
      <c r="J2343" s="36" t="s">
        <v>929</v>
      </c>
      <c r="K2343" s="33" t="s">
        <v>916</v>
      </c>
      <c r="L2343" s="35" t="s">
        <v>916</v>
      </c>
      <c r="M2343" s="36" t="s">
        <v>916</v>
      </c>
      <c r="N2343" s="45">
        <v>46022</v>
      </c>
      <c r="O2343" s="36" t="s">
        <v>25</v>
      </c>
      <c r="P2343" s="38">
        <v>134.43216435190001</v>
      </c>
      <c r="Q2343" s="39" t="s">
        <v>6767</v>
      </c>
      <c r="R2343" s="35" t="s">
        <v>916</v>
      </c>
      <c r="S2343" s="35"/>
      <c r="T2343" s="35" t="s">
        <v>1701</v>
      </c>
      <c r="U2343" s="40">
        <v>45888</v>
      </c>
      <c r="V2343" s="41">
        <v>46153.533101851855</v>
      </c>
      <c r="W2343" s="40">
        <v>45887</v>
      </c>
      <c r="X2343" s="35" t="s">
        <v>916</v>
      </c>
      <c r="Y2343" s="35" t="s">
        <v>916</v>
      </c>
      <c r="Z2343" s="35" t="s">
        <v>916</v>
      </c>
      <c r="AA2343" s="38">
        <v>3226.3719444456001</v>
      </c>
      <c r="AB2343" s="42" t="s">
        <v>916</v>
      </c>
      <c r="AC2343" s="43" t="s">
        <v>916</v>
      </c>
      <c r="AD2343" s="43" t="s">
        <v>916</v>
      </c>
      <c r="AE2343" s="33" t="s">
        <v>3982</v>
      </c>
      <c r="AF2343" s="35" t="s">
        <v>916</v>
      </c>
      <c r="AG2343" s="44">
        <v>487645.62805555551</v>
      </c>
      <c r="AH2343" s="42" t="s">
        <v>916</v>
      </c>
      <c r="AI2343" s="32" t="e">
        <f>VLOOKUP(A2343,'4月明細'!B:B,1,0)</f>
        <v>#N/A</v>
      </c>
    </row>
    <row r="2344" spans="1:35" ht="19.95" customHeight="1" x14ac:dyDescent="0.3">
      <c r="A2344" s="33" t="s">
        <v>8223</v>
      </c>
      <c r="B2344" s="34">
        <v>45887.558148148149</v>
      </c>
      <c r="C2344" s="34" t="str">
        <f t="shared" si="49"/>
        <v>202508</v>
      </c>
      <c r="D2344" s="35" t="s">
        <v>996</v>
      </c>
      <c r="E2344" s="36" t="s">
        <v>910</v>
      </c>
      <c r="F2344" s="36" t="s">
        <v>1282</v>
      </c>
      <c r="G2344" s="37" t="s">
        <v>8224</v>
      </c>
      <c r="H2344" s="36" t="s">
        <v>1432</v>
      </c>
      <c r="I2344" s="35" t="s">
        <v>8225</v>
      </c>
      <c r="J2344" s="36" t="s">
        <v>929</v>
      </c>
      <c r="K2344" s="33" t="s">
        <v>916</v>
      </c>
      <c r="L2344" s="35" t="s">
        <v>916</v>
      </c>
      <c r="M2344" s="36" t="s">
        <v>916</v>
      </c>
      <c r="N2344" s="45">
        <v>46022</v>
      </c>
      <c r="O2344" s="36" t="s">
        <v>25</v>
      </c>
      <c r="P2344" s="38">
        <v>134.4418518519</v>
      </c>
      <c r="Q2344" s="39" t="s">
        <v>7977</v>
      </c>
      <c r="R2344" s="35" t="s">
        <v>916</v>
      </c>
      <c r="S2344" s="35"/>
      <c r="T2344" s="35" t="s">
        <v>1701</v>
      </c>
      <c r="U2344" s="40">
        <v>45888</v>
      </c>
      <c r="V2344" s="41">
        <v>46153.533101851855</v>
      </c>
      <c r="W2344" s="40">
        <v>45887</v>
      </c>
      <c r="X2344" s="35" t="s">
        <v>916</v>
      </c>
      <c r="Y2344" s="35" t="s">
        <v>916</v>
      </c>
      <c r="Z2344" s="35" t="s">
        <v>916</v>
      </c>
      <c r="AA2344" s="38">
        <v>3226.6044444456002</v>
      </c>
      <c r="AB2344" s="42" t="s">
        <v>916</v>
      </c>
      <c r="AC2344" s="43" t="s">
        <v>916</v>
      </c>
      <c r="AD2344" s="43" t="s">
        <v>916</v>
      </c>
      <c r="AE2344" s="33" t="s">
        <v>3982</v>
      </c>
      <c r="AF2344" s="35" t="s">
        <v>916</v>
      </c>
      <c r="AG2344" s="44">
        <v>487645.39555555559</v>
      </c>
      <c r="AH2344" s="42" t="s">
        <v>916</v>
      </c>
      <c r="AI2344" s="32" t="e">
        <f>VLOOKUP(A2344,'4月明細'!B:B,1,0)</f>
        <v>#N/A</v>
      </c>
    </row>
    <row r="2345" spans="1:35" ht="19.95" customHeight="1" x14ac:dyDescent="0.3">
      <c r="A2345" s="33" t="s">
        <v>8226</v>
      </c>
      <c r="B2345" s="34">
        <v>45887.525324074071</v>
      </c>
      <c r="C2345" s="34" t="str">
        <f t="shared" si="49"/>
        <v>202508</v>
      </c>
      <c r="D2345" s="35" t="s">
        <v>996</v>
      </c>
      <c r="E2345" s="36" t="s">
        <v>910</v>
      </c>
      <c r="F2345" s="36" t="s">
        <v>2614</v>
      </c>
      <c r="G2345" s="37" t="s">
        <v>8227</v>
      </c>
      <c r="H2345" s="36" t="s">
        <v>7588</v>
      </c>
      <c r="I2345" s="35"/>
      <c r="J2345" s="36" t="s">
        <v>929</v>
      </c>
      <c r="K2345" s="33" t="s">
        <v>916</v>
      </c>
      <c r="L2345" s="35" t="s">
        <v>916</v>
      </c>
      <c r="M2345" s="36" t="s">
        <v>916</v>
      </c>
      <c r="N2345" s="45">
        <v>46022</v>
      </c>
      <c r="O2345" s="36" t="s">
        <v>25</v>
      </c>
      <c r="P2345" s="38">
        <v>134.47467592589999</v>
      </c>
      <c r="Q2345" s="39" t="s">
        <v>8228</v>
      </c>
      <c r="R2345" s="35" t="s">
        <v>916</v>
      </c>
      <c r="S2345" s="35"/>
      <c r="T2345" s="35" t="s">
        <v>1701</v>
      </c>
      <c r="U2345" s="40">
        <v>45888</v>
      </c>
      <c r="V2345" s="41">
        <v>46153.533101851855</v>
      </c>
      <c r="W2345" s="40">
        <v>45887</v>
      </c>
      <c r="X2345" s="35" t="s">
        <v>916</v>
      </c>
      <c r="Y2345" s="35" t="s">
        <v>916</v>
      </c>
      <c r="Z2345" s="35" t="s">
        <v>916</v>
      </c>
      <c r="AA2345" s="38">
        <v>3227.3922222216002</v>
      </c>
      <c r="AB2345" s="42" t="s">
        <v>916</v>
      </c>
      <c r="AC2345" s="43" t="s">
        <v>916</v>
      </c>
      <c r="AD2345" s="43" t="s">
        <v>916</v>
      </c>
      <c r="AE2345" s="33" t="s">
        <v>3982</v>
      </c>
      <c r="AF2345" s="35" t="s">
        <v>916</v>
      </c>
      <c r="AG2345" s="44">
        <v>487644.60777777783</v>
      </c>
      <c r="AH2345" s="42" t="s">
        <v>916</v>
      </c>
      <c r="AI2345" s="32" t="e">
        <f>VLOOKUP(A2345,'4月明細'!B:B,1,0)</f>
        <v>#N/A</v>
      </c>
    </row>
    <row r="2346" spans="1:35" ht="19.95" customHeight="1" x14ac:dyDescent="0.3">
      <c r="A2346" s="33" t="s">
        <v>8229</v>
      </c>
      <c r="B2346" s="34">
        <v>45887.521053240744</v>
      </c>
      <c r="C2346" s="34" t="str">
        <f t="shared" si="49"/>
        <v>202508</v>
      </c>
      <c r="D2346" s="35" t="s">
        <v>996</v>
      </c>
      <c r="E2346" s="36" t="s">
        <v>910</v>
      </c>
      <c r="F2346" s="36" t="s">
        <v>1564</v>
      </c>
      <c r="G2346" s="37" t="s">
        <v>8153</v>
      </c>
      <c r="H2346" s="36" t="s">
        <v>1048</v>
      </c>
      <c r="I2346" s="35" t="s">
        <v>8230</v>
      </c>
      <c r="J2346" s="36" t="s">
        <v>929</v>
      </c>
      <c r="K2346" s="33" t="s">
        <v>916</v>
      </c>
      <c r="L2346" s="35" t="s">
        <v>916</v>
      </c>
      <c r="M2346" s="36" t="s">
        <v>916</v>
      </c>
      <c r="N2346" s="45">
        <v>46022</v>
      </c>
      <c r="O2346" s="36" t="s">
        <v>25</v>
      </c>
      <c r="P2346" s="38">
        <v>134.47894675929999</v>
      </c>
      <c r="Q2346" s="39" t="s">
        <v>8231</v>
      </c>
      <c r="R2346" s="35" t="s">
        <v>916</v>
      </c>
      <c r="S2346" s="35"/>
      <c r="T2346" s="35" t="s">
        <v>1701</v>
      </c>
      <c r="U2346" s="40">
        <v>45888</v>
      </c>
      <c r="V2346" s="41">
        <v>46153.533101851855</v>
      </c>
      <c r="W2346" s="40">
        <v>45887</v>
      </c>
      <c r="X2346" s="35" t="s">
        <v>916</v>
      </c>
      <c r="Y2346" s="35" t="s">
        <v>916</v>
      </c>
      <c r="Z2346" s="35" t="s">
        <v>916</v>
      </c>
      <c r="AA2346" s="38">
        <v>3227.4947222231999</v>
      </c>
      <c r="AB2346" s="42" t="s">
        <v>916</v>
      </c>
      <c r="AC2346" s="43" t="s">
        <v>916</v>
      </c>
      <c r="AD2346" s="43" t="s">
        <v>916</v>
      </c>
      <c r="AE2346" s="33" t="s">
        <v>3982</v>
      </c>
      <c r="AF2346" s="35" t="s">
        <v>916</v>
      </c>
      <c r="AG2346" s="44">
        <v>487644.50527777779</v>
      </c>
      <c r="AH2346" s="42" t="s">
        <v>916</v>
      </c>
      <c r="AI2346" s="32" t="e">
        <f>VLOOKUP(A2346,'4月明細'!B:B,1,0)</f>
        <v>#N/A</v>
      </c>
    </row>
    <row r="2347" spans="1:35" ht="19.95" customHeight="1" x14ac:dyDescent="0.3">
      <c r="A2347" s="33" t="s">
        <v>8232</v>
      </c>
      <c r="B2347" s="34">
        <v>45887.491898148146</v>
      </c>
      <c r="C2347" s="34" t="str">
        <f t="shared" si="49"/>
        <v>202508</v>
      </c>
      <c r="D2347" s="35" t="s">
        <v>5380</v>
      </c>
      <c r="E2347" s="36" t="s">
        <v>910</v>
      </c>
      <c r="F2347" s="36" t="s">
        <v>943</v>
      </c>
      <c r="G2347" s="37" t="s">
        <v>8233</v>
      </c>
      <c r="H2347" s="36" t="s">
        <v>4804</v>
      </c>
      <c r="I2347" s="35" t="s">
        <v>8234</v>
      </c>
      <c r="J2347" s="36" t="s">
        <v>929</v>
      </c>
      <c r="K2347" s="33" t="s">
        <v>916</v>
      </c>
      <c r="L2347" s="35" t="s">
        <v>916</v>
      </c>
      <c r="M2347" s="36" t="s">
        <v>916</v>
      </c>
      <c r="N2347" s="45">
        <v>46022</v>
      </c>
      <c r="O2347" s="36" t="s">
        <v>25</v>
      </c>
      <c r="P2347" s="38">
        <v>134.50810185189999</v>
      </c>
      <c r="Q2347" s="39" t="s">
        <v>8235</v>
      </c>
      <c r="R2347" s="35" t="s">
        <v>916</v>
      </c>
      <c r="S2347" s="35"/>
      <c r="T2347" s="35" t="s">
        <v>1701</v>
      </c>
      <c r="U2347" s="40">
        <v>45888</v>
      </c>
      <c r="V2347" s="41">
        <v>46153.533101851855</v>
      </c>
      <c r="W2347" s="40">
        <v>45887</v>
      </c>
      <c r="X2347" s="35" t="s">
        <v>916</v>
      </c>
      <c r="Y2347" s="35" t="s">
        <v>916</v>
      </c>
      <c r="Z2347" s="35" t="s">
        <v>916</v>
      </c>
      <c r="AA2347" s="38">
        <v>3228.1944444455999</v>
      </c>
      <c r="AB2347" s="42" t="s">
        <v>916</v>
      </c>
      <c r="AC2347" s="43" t="s">
        <v>916</v>
      </c>
      <c r="AD2347" s="43" t="s">
        <v>916</v>
      </c>
      <c r="AE2347" s="33" t="s">
        <v>3982</v>
      </c>
      <c r="AF2347" s="35" t="s">
        <v>916</v>
      </c>
      <c r="AG2347" s="44">
        <v>487643.80555555562</v>
      </c>
      <c r="AH2347" s="42" t="s">
        <v>916</v>
      </c>
      <c r="AI2347" s="32" t="e">
        <f>VLOOKUP(A2347,'4月明細'!B:B,1,0)</f>
        <v>#N/A</v>
      </c>
    </row>
    <row r="2348" spans="1:35" ht="19.95" customHeight="1" x14ac:dyDescent="0.3">
      <c r="A2348" s="33" t="s">
        <v>8236</v>
      </c>
      <c r="B2348" s="34">
        <v>45887.463333333333</v>
      </c>
      <c r="C2348" s="34" t="str">
        <f t="shared" si="49"/>
        <v>202508</v>
      </c>
      <c r="D2348" s="35" t="s">
        <v>7343</v>
      </c>
      <c r="E2348" s="36" t="s">
        <v>910</v>
      </c>
      <c r="F2348" s="36" t="s">
        <v>1475</v>
      </c>
      <c r="G2348" s="37" t="s">
        <v>8237</v>
      </c>
      <c r="H2348" s="36" t="s">
        <v>4060</v>
      </c>
      <c r="I2348" s="35"/>
      <c r="J2348" s="36" t="s">
        <v>914</v>
      </c>
      <c r="K2348" s="33" t="s">
        <v>916</v>
      </c>
      <c r="L2348" s="35" t="s">
        <v>916</v>
      </c>
      <c r="M2348" s="36" t="s">
        <v>916</v>
      </c>
      <c r="N2348" s="45">
        <v>46022</v>
      </c>
      <c r="O2348" s="36" t="s">
        <v>25</v>
      </c>
      <c r="P2348" s="38">
        <v>134.5366666667</v>
      </c>
      <c r="Q2348" s="39" t="s">
        <v>1366</v>
      </c>
      <c r="R2348" s="35" t="s">
        <v>916</v>
      </c>
      <c r="S2348" s="35"/>
      <c r="T2348" s="35" t="s">
        <v>1701</v>
      </c>
      <c r="U2348" s="40">
        <v>45888</v>
      </c>
      <c r="V2348" s="41">
        <v>46153.533101851855</v>
      </c>
      <c r="W2348" s="40">
        <v>45887</v>
      </c>
      <c r="X2348" s="35" t="s">
        <v>916</v>
      </c>
      <c r="Y2348" s="35" t="s">
        <v>916</v>
      </c>
      <c r="Z2348" s="35" t="s">
        <v>916</v>
      </c>
      <c r="AA2348" s="38">
        <v>3228.8800000008</v>
      </c>
      <c r="AB2348" s="42" t="s">
        <v>916</v>
      </c>
      <c r="AC2348" s="43" t="s">
        <v>916</v>
      </c>
      <c r="AD2348" s="43" t="s">
        <v>916</v>
      </c>
      <c r="AE2348" s="33" t="s">
        <v>3982</v>
      </c>
      <c r="AF2348" s="35" t="s">
        <v>916</v>
      </c>
      <c r="AG2348" s="44">
        <v>487643.12</v>
      </c>
      <c r="AH2348" s="42" t="s">
        <v>916</v>
      </c>
      <c r="AI2348" s="32" t="e">
        <f>VLOOKUP(A2348,'4月明細'!B:B,1,0)</f>
        <v>#N/A</v>
      </c>
    </row>
    <row r="2349" spans="1:35" ht="19.95" customHeight="1" x14ac:dyDescent="0.3">
      <c r="A2349" s="33" t="s">
        <v>8238</v>
      </c>
      <c r="B2349" s="34">
        <v>45887.438055555554</v>
      </c>
      <c r="C2349" s="34" t="str">
        <f t="shared" si="49"/>
        <v>202508</v>
      </c>
      <c r="D2349" s="35" t="s">
        <v>7343</v>
      </c>
      <c r="E2349" s="36" t="s">
        <v>910</v>
      </c>
      <c r="F2349" s="36" t="s">
        <v>1479</v>
      </c>
      <c r="G2349" s="37" t="s">
        <v>8239</v>
      </c>
      <c r="H2349" s="36" t="s">
        <v>1048</v>
      </c>
      <c r="I2349" s="35" t="s">
        <v>8240</v>
      </c>
      <c r="J2349" s="36" t="s">
        <v>914</v>
      </c>
      <c r="K2349" s="33" t="s">
        <v>916</v>
      </c>
      <c r="L2349" s="35" t="s">
        <v>916</v>
      </c>
      <c r="M2349" s="36" t="s">
        <v>916</v>
      </c>
      <c r="N2349" s="45">
        <v>46022</v>
      </c>
      <c r="O2349" s="36" t="s">
        <v>25</v>
      </c>
      <c r="P2349" s="38">
        <v>134.56194444440001</v>
      </c>
      <c r="Q2349" s="39" t="s">
        <v>8241</v>
      </c>
      <c r="R2349" s="35" t="s">
        <v>916</v>
      </c>
      <c r="S2349" s="35" t="s">
        <v>8242</v>
      </c>
      <c r="T2349" s="35" t="s">
        <v>1701</v>
      </c>
      <c r="U2349" s="40">
        <v>45888</v>
      </c>
      <c r="V2349" s="41">
        <v>46153.533101851855</v>
      </c>
      <c r="W2349" s="40">
        <v>45887</v>
      </c>
      <c r="X2349" s="35" t="s">
        <v>916</v>
      </c>
      <c r="Y2349" s="35" t="s">
        <v>916</v>
      </c>
      <c r="Z2349" s="35" t="s">
        <v>916</v>
      </c>
      <c r="AA2349" s="38">
        <v>3229.4866666655998</v>
      </c>
      <c r="AB2349" s="42" t="s">
        <v>916</v>
      </c>
      <c r="AC2349" s="43" t="s">
        <v>916</v>
      </c>
      <c r="AD2349" s="43" t="s">
        <v>916</v>
      </c>
      <c r="AE2349" s="33" t="s">
        <v>3982</v>
      </c>
      <c r="AF2349" s="35" t="s">
        <v>916</v>
      </c>
      <c r="AG2349" s="44">
        <v>487642.51333333331</v>
      </c>
      <c r="AH2349" s="42" t="s">
        <v>916</v>
      </c>
      <c r="AI2349" s="32" t="e">
        <f>VLOOKUP(A2349,'4月明細'!B:B,1,0)</f>
        <v>#N/A</v>
      </c>
    </row>
    <row r="2350" spans="1:35" ht="19.95" customHeight="1" x14ac:dyDescent="0.3">
      <c r="A2350" s="33" t="s">
        <v>8243</v>
      </c>
      <c r="B2350" s="34">
        <v>45887.457592592589</v>
      </c>
      <c r="C2350" s="34" t="str">
        <f t="shared" si="49"/>
        <v>202508</v>
      </c>
      <c r="D2350" s="35" t="s">
        <v>5380</v>
      </c>
      <c r="E2350" s="36" t="s">
        <v>910</v>
      </c>
      <c r="F2350" s="36" t="s">
        <v>1354</v>
      </c>
      <c r="G2350" s="37" t="s">
        <v>8244</v>
      </c>
      <c r="H2350" s="36" t="s">
        <v>5833</v>
      </c>
      <c r="I2350" s="35" t="s">
        <v>8245</v>
      </c>
      <c r="J2350" s="36" t="s">
        <v>929</v>
      </c>
      <c r="K2350" s="33" t="s">
        <v>916</v>
      </c>
      <c r="L2350" s="35" t="s">
        <v>916</v>
      </c>
      <c r="M2350" s="36" t="s">
        <v>916</v>
      </c>
      <c r="N2350" s="45">
        <v>46022</v>
      </c>
      <c r="O2350" s="36" t="s">
        <v>25</v>
      </c>
      <c r="P2350" s="38">
        <v>134.54240740739999</v>
      </c>
      <c r="Q2350" s="39" t="s">
        <v>8246</v>
      </c>
      <c r="R2350" s="35" t="s">
        <v>916</v>
      </c>
      <c r="S2350" s="35"/>
      <c r="T2350" s="35" t="s">
        <v>1701</v>
      </c>
      <c r="U2350" s="40">
        <v>45888</v>
      </c>
      <c r="V2350" s="41">
        <v>46153.533101851855</v>
      </c>
      <c r="W2350" s="40">
        <v>45887</v>
      </c>
      <c r="X2350" s="35" t="s">
        <v>916</v>
      </c>
      <c r="Y2350" s="35" t="s">
        <v>916</v>
      </c>
      <c r="Z2350" s="35" t="s">
        <v>916</v>
      </c>
      <c r="AA2350" s="38">
        <v>3229.0177777775998</v>
      </c>
      <c r="AB2350" s="42" t="s">
        <v>916</v>
      </c>
      <c r="AC2350" s="43" t="s">
        <v>916</v>
      </c>
      <c r="AD2350" s="43" t="s">
        <v>916</v>
      </c>
      <c r="AE2350" s="33" t="s">
        <v>3982</v>
      </c>
      <c r="AF2350" s="35" t="s">
        <v>916</v>
      </c>
      <c r="AG2350" s="44">
        <v>487642.98222222232</v>
      </c>
      <c r="AH2350" s="42" t="s">
        <v>916</v>
      </c>
      <c r="AI2350" s="32" t="e">
        <f>VLOOKUP(A2350,'4月明細'!B:B,1,0)</f>
        <v>#N/A</v>
      </c>
    </row>
    <row r="2351" spans="1:35" ht="19.95" customHeight="1" x14ac:dyDescent="0.3">
      <c r="A2351" s="33" t="s">
        <v>8247</v>
      </c>
      <c r="B2351" s="34">
        <v>45887.437083333331</v>
      </c>
      <c r="C2351" s="34" t="str">
        <f t="shared" si="49"/>
        <v>202508</v>
      </c>
      <c r="D2351" s="35" t="s">
        <v>1014</v>
      </c>
      <c r="E2351" s="36" t="s">
        <v>1112</v>
      </c>
      <c r="F2351" s="36" t="s">
        <v>1207</v>
      </c>
      <c r="G2351" s="37" t="s">
        <v>8248</v>
      </c>
      <c r="H2351" s="36" t="s">
        <v>5833</v>
      </c>
      <c r="I2351" s="35" t="s">
        <v>8249</v>
      </c>
      <c r="J2351" s="36" t="s">
        <v>929</v>
      </c>
      <c r="K2351" s="33" t="s">
        <v>916</v>
      </c>
      <c r="L2351" s="35" t="s">
        <v>916</v>
      </c>
      <c r="M2351" s="36" t="s">
        <v>916</v>
      </c>
      <c r="N2351" s="45">
        <v>46022</v>
      </c>
      <c r="O2351" s="36" t="s">
        <v>25</v>
      </c>
      <c r="P2351" s="38">
        <v>134.5629166667</v>
      </c>
      <c r="Q2351" s="39" t="s">
        <v>2722</v>
      </c>
      <c r="R2351" s="35" t="s">
        <v>916</v>
      </c>
      <c r="S2351" s="35" t="s">
        <v>8250</v>
      </c>
      <c r="T2351" s="35" t="s">
        <v>1701</v>
      </c>
      <c r="U2351" s="40">
        <v>45888</v>
      </c>
      <c r="V2351" s="41">
        <v>46153.533101851855</v>
      </c>
      <c r="W2351" s="40">
        <v>45887</v>
      </c>
      <c r="X2351" s="35" t="s">
        <v>916</v>
      </c>
      <c r="Y2351" s="35" t="s">
        <v>916</v>
      </c>
      <c r="Z2351" s="35" t="s">
        <v>916</v>
      </c>
      <c r="AA2351" s="38">
        <v>3229.5100000008001</v>
      </c>
      <c r="AB2351" s="42" t="s">
        <v>916</v>
      </c>
      <c r="AC2351" s="43" t="s">
        <v>916</v>
      </c>
      <c r="AD2351" s="43" t="s">
        <v>916</v>
      </c>
      <c r="AE2351" s="33" t="s">
        <v>3982</v>
      </c>
      <c r="AF2351" s="35" t="s">
        <v>916</v>
      </c>
      <c r="AG2351" s="44">
        <v>487642.49</v>
      </c>
      <c r="AH2351" s="42" t="s">
        <v>916</v>
      </c>
      <c r="AI2351" s="32" t="e">
        <f>VLOOKUP(A2351,'4月明細'!B:B,1,0)</f>
        <v>#N/A</v>
      </c>
    </row>
    <row r="2352" spans="1:35" ht="19.95" customHeight="1" x14ac:dyDescent="0.3">
      <c r="A2352" s="33" t="s">
        <v>8251</v>
      </c>
      <c r="B2352" s="34">
        <v>45886.732615740744</v>
      </c>
      <c r="C2352" s="34" t="str">
        <f t="shared" si="49"/>
        <v>202508</v>
      </c>
      <c r="D2352" s="35" t="s">
        <v>6281</v>
      </c>
      <c r="E2352" s="36" t="s">
        <v>910</v>
      </c>
      <c r="F2352" s="36" t="s">
        <v>1783</v>
      </c>
      <c r="G2352" s="37" t="s">
        <v>8252</v>
      </c>
      <c r="H2352" s="36" t="s">
        <v>4007</v>
      </c>
      <c r="I2352" s="35" t="s">
        <v>8253</v>
      </c>
      <c r="J2352" s="36" t="s">
        <v>929</v>
      </c>
      <c r="K2352" s="33" t="s">
        <v>916</v>
      </c>
      <c r="L2352" s="35" t="s">
        <v>916</v>
      </c>
      <c r="M2352" s="36" t="s">
        <v>916</v>
      </c>
      <c r="N2352" s="45">
        <v>46022</v>
      </c>
      <c r="O2352" s="36" t="s">
        <v>25</v>
      </c>
      <c r="P2352" s="38">
        <v>135.2673842593</v>
      </c>
      <c r="Q2352" s="39" t="s">
        <v>8254</v>
      </c>
      <c r="R2352" s="35" t="s">
        <v>916</v>
      </c>
      <c r="S2352" s="35"/>
      <c r="T2352" s="35" t="s">
        <v>1701</v>
      </c>
      <c r="U2352" s="40">
        <v>45887</v>
      </c>
      <c r="V2352" s="41">
        <v>46153.533101851855</v>
      </c>
      <c r="W2352" s="40">
        <v>45886</v>
      </c>
      <c r="X2352" s="35" t="s">
        <v>916</v>
      </c>
      <c r="Y2352" s="35" t="s">
        <v>916</v>
      </c>
      <c r="Z2352" s="35" t="s">
        <v>916</v>
      </c>
      <c r="AA2352" s="38">
        <v>3246.4172222232</v>
      </c>
      <c r="AB2352" s="42" t="s">
        <v>916</v>
      </c>
      <c r="AC2352" s="43" t="s">
        <v>916</v>
      </c>
      <c r="AD2352" s="43" t="s">
        <v>916</v>
      </c>
      <c r="AE2352" s="33" t="s">
        <v>3982</v>
      </c>
      <c r="AF2352" s="35" t="s">
        <v>916</v>
      </c>
      <c r="AG2352" s="44">
        <v>487625.5827777778</v>
      </c>
      <c r="AH2352" s="42" t="s">
        <v>916</v>
      </c>
      <c r="AI2352" s="32" t="e">
        <f>VLOOKUP(A2352,'4月明細'!B:B,1,0)</f>
        <v>#N/A</v>
      </c>
    </row>
    <row r="2353" spans="1:35" ht="19.95" customHeight="1" x14ac:dyDescent="0.3">
      <c r="A2353" s="33" t="s">
        <v>8255</v>
      </c>
      <c r="B2353" s="34">
        <v>45886.665162037039</v>
      </c>
      <c r="C2353" s="34" t="str">
        <f t="shared" si="49"/>
        <v>202508</v>
      </c>
      <c r="D2353" s="35" t="s">
        <v>8026</v>
      </c>
      <c r="E2353" s="36" t="s">
        <v>910</v>
      </c>
      <c r="F2353" s="36" t="s">
        <v>1068</v>
      </c>
      <c r="G2353" s="37" t="s">
        <v>8256</v>
      </c>
      <c r="H2353" s="36" t="s">
        <v>4060</v>
      </c>
      <c r="I2353" s="35"/>
      <c r="J2353" s="36" t="s">
        <v>929</v>
      </c>
      <c r="K2353" s="33" t="s">
        <v>916</v>
      </c>
      <c r="L2353" s="35" t="s">
        <v>916</v>
      </c>
      <c r="M2353" s="36" t="s">
        <v>916</v>
      </c>
      <c r="N2353" s="45">
        <v>46022</v>
      </c>
      <c r="O2353" s="36" t="s">
        <v>25</v>
      </c>
      <c r="P2353" s="38">
        <v>135.33483796300001</v>
      </c>
      <c r="Q2353" s="39" t="s">
        <v>7295</v>
      </c>
      <c r="R2353" s="35" t="s">
        <v>916</v>
      </c>
      <c r="S2353" s="35"/>
      <c r="T2353" s="35" t="s">
        <v>1701</v>
      </c>
      <c r="U2353" s="40">
        <v>45887</v>
      </c>
      <c r="V2353" s="41">
        <v>46153.533101851855</v>
      </c>
      <c r="W2353" s="40">
        <v>45886</v>
      </c>
      <c r="X2353" s="35" t="s">
        <v>916</v>
      </c>
      <c r="Y2353" s="35" t="s">
        <v>916</v>
      </c>
      <c r="Z2353" s="35" t="s">
        <v>916</v>
      </c>
      <c r="AA2353" s="38">
        <v>3248.0361111120001</v>
      </c>
      <c r="AB2353" s="42" t="s">
        <v>916</v>
      </c>
      <c r="AC2353" s="43" t="s">
        <v>916</v>
      </c>
      <c r="AD2353" s="43" t="s">
        <v>916</v>
      </c>
      <c r="AE2353" s="33" t="s">
        <v>3982</v>
      </c>
      <c r="AF2353" s="35" t="s">
        <v>916</v>
      </c>
      <c r="AG2353" s="44">
        <v>487623.96388888889</v>
      </c>
      <c r="AH2353" s="42" t="s">
        <v>916</v>
      </c>
      <c r="AI2353" s="32" t="e">
        <f>VLOOKUP(A2353,'4月明細'!B:B,1,0)</f>
        <v>#N/A</v>
      </c>
    </row>
    <row r="2354" spans="1:35" ht="19.95" customHeight="1" x14ac:dyDescent="0.3">
      <c r="A2354" s="33" t="s">
        <v>8257</v>
      </c>
      <c r="B2354" s="34">
        <v>45886.5778587963</v>
      </c>
      <c r="C2354" s="34" t="str">
        <f t="shared" si="49"/>
        <v>202508</v>
      </c>
      <c r="D2354" s="35" t="s">
        <v>951</v>
      </c>
      <c r="E2354" s="36" t="s">
        <v>910</v>
      </c>
      <c r="F2354" s="36" t="s">
        <v>1222</v>
      </c>
      <c r="G2354" s="37" t="s">
        <v>8258</v>
      </c>
      <c r="H2354" s="36" t="s">
        <v>1043</v>
      </c>
      <c r="I2354" s="35" t="s">
        <v>7939</v>
      </c>
      <c r="J2354" s="36" t="s">
        <v>929</v>
      </c>
      <c r="K2354" s="33" t="s">
        <v>916</v>
      </c>
      <c r="L2354" s="35" t="s">
        <v>916</v>
      </c>
      <c r="M2354" s="36" t="s">
        <v>916</v>
      </c>
      <c r="N2354" s="45">
        <v>46022</v>
      </c>
      <c r="O2354" s="36" t="s">
        <v>25</v>
      </c>
      <c r="P2354" s="38">
        <v>135.42214120369999</v>
      </c>
      <c r="Q2354" s="39" t="s">
        <v>1366</v>
      </c>
      <c r="R2354" s="35" t="s">
        <v>916</v>
      </c>
      <c r="S2354" s="35" t="s">
        <v>8259</v>
      </c>
      <c r="T2354" s="35" t="s">
        <v>1701</v>
      </c>
      <c r="U2354" s="40">
        <v>45887</v>
      </c>
      <c r="V2354" s="41">
        <v>46153.533101851855</v>
      </c>
      <c r="W2354" s="40">
        <v>45886</v>
      </c>
      <c r="X2354" s="35" t="s">
        <v>916</v>
      </c>
      <c r="Y2354" s="35" t="s">
        <v>916</v>
      </c>
      <c r="Z2354" s="35" t="s">
        <v>916</v>
      </c>
      <c r="AA2354" s="38">
        <v>3250.1313888887998</v>
      </c>
      <c r="AB2354" s="42" t="s">
        <v>916</v>
      </c>
      <c r="AC2354" s="43" t="s">
        <v>916</v>
      </c>
      <c r="AD2354" s="43" t="s">
        <v>916</v>
      </c>
      <c r="AE2354" s="33" t="s">
        <v>3982</v>
      </c>
      <c r="AF2354" s="35" t="s">
        <v>916</v>
      </c>
      <c r="AG2354" s="44">
        <v>487621.86861111107</v>
      </c>
      <c r="AH2354" s="42" t="s">
        <v>916</v>
      </c>
      <c r="AI2354" s="32" t="e">
        <f>VLOOKUP(A2354,'4月明細'!B:B,1,0)</f>
        <v>#N/A</v>
      </c>
    </row>
    <row r="2355" spans="1:35" ht="19.95" customHeight="1" x14ac:dyDescent="0.3">
      <c r="A2355" s="33" t="s">
        <v>8260</v>
      </c>
      <c r="B2355" s="34">
        <v>45886.651979166665</v>
      </c>
      <c r="C2355" s="34" t="str">
        <f t="shared" si="49"/>
        <v>202508</v>
      </c>
      <c r="D2355" s="35" t="s">
        <v>5380</v>
      </c>
      <c r="E2355" s="36" t="s">
        <v>910</v>
      </c>
      <c r="F2355" s="36" t="s">
        <v>1121</v>
      </c>
      <c r="G2355" s="37" t="s">
        <v>8261</v>
      </c>
      <c r="H2355" s="36" t="s">
        <v>8262</v>
      </c>
      <c r="I2355" s="35" t="s">
        <v>8263</v>
      </c>
      <c r="J2355" s="36" t="s">
        <v>929</v>
      </c>
      <c r="K2355" s="33" t="s">
        <v>916</v>
      </c>
      <c r="L2355" s="35" t="s">
        <v>916</v>
      </c>
      <c r="M2355" s="36" t="s">
        <v>916</v>
      </c>
      <c r="N2355" s="45">
        <v>46022</v>
      </c>
      <c r="O2355" s="36" t="s">
        <v>25</v>
      </c>
      <c r="P2355" s="38">
        <v>135.34802083330001</v>
      </c>
      <c r="Q2355" s="39" t="s">
        <v>1366</v>
      </c>
      <c r="R2355" s="35" t="s">
        <v>916</v>
      </c>
      <c r="S2355" s="35" t="s">
        <v>8264</v>
      </c>
      <c r="T2355" s="35" t="s">
        <v>1701</v>
      </c>
      <c r="U2355" s="40">
        <v>45887</v>
      </c>
      <c r="V2355" s="41">
        <v>46153.533101851855</v>
      </c>
      <c r="W2355" s="40">
        <v>45886</v>
      </c>
      <c r="X2355" s="35" t="s">
        <v>916</v>
      </c>
      <c r="Y2355" s="35" t="s">
        <v>916</v>
      </c>
      <c r="Z2355" s="35" t="s">
        <v>916</v>
      </c>
      <c r="AA2355" s="38">
        <v>3248.3524999992001</v>
      </c>
      <c r="AB2355" s="42" t="s">
        <v>916</v>
      </c>
      <c r="AC2355" s="43" t="s">
        <v>916</v>
      </c>
      <c r="AD2355" s="43" t="s">
        <v>916</v>
      </c>
      <c r="AE2355" s="33" t="s">
        <v>3982</v>
      </c>
      <c r="AF2355" s="35" t="s">
        <v>916</v>
      </c>
      <c r="AG2355" s="44">
        <v>487623.64750000008</v>
      </c>
      <c r="AH2355" s="42" t="s">
        <v>916</v>
      </c>
      <c r="AI2355" s="32" t="e">
        <f>VLOOKUP(A2355,'4月明細'!B:B,1,0)</f>
        <v>#N/A</v>
      </c>
    </row>
    <row r="2356" spans="1:35" ht="19.95" customHeight="1" x14ac:dyDescent="0.3">
      <c r="A2356" s="33" t="s">
        <v>8265</v>
      </c>
      <c r="B2356" s="34">
        <v>45886.62605324074</v>
      </c>
      <c r="C2356" s="34" t="str">
        <f t="shared" si="49"/>
        <v>202508</v>
      </c>
      <c r="D2356" s="35" t="s">
        <v>5380</v>
      </c>
      <c r="E2356" s="36" t="s">
        <v>910</v>
      </c>
      <c r="F2356" s="36" t="s">
        <v>1225</v>
      </c>
      <c r="G2356" s="37" t="s">
        <v>8266</v>
      </c>
      <c r="H2356" s="36" t="s">
        <v>4029</v>
      </c>
      <c r="I2356" s="35" t="s">
        <v>8267</v>
      </c>
      <c r="J2356" s="36" t="s">
        <v>929</v>
      </c>
      <c r="K2356" s="33" t="s">
        <v>916</v>
      </c>
      <c r="L2356" s="35" t="s">
        <v>916</v>
      </c>
      <c r="M2356" s="36" t="s">
        <v>916</v>
      </c>
      <c r="N2356" s="45">
        <v>46022</v>
      </c>
      <c r="O2356" s="36" t="s">
        <v>25</v>
      </c>
      <c r="P2356" s="38">
        <v>135.3739467593</v>
      </c>
      <c r="Q2356" s="39" t="s">
        <v>1328</v>
      </c>
      <c r="R2356" s="35" t="s">
        <v>916</v>
      </c>
      <c r="S2356" s="35" t="s">
        <v>8268</v>
      </c>
      <c r="T2356" s="35" t="s">
        <v>1701</v>
      </c>
      <c r="U2356" s="40">
        <v>45887</v>
      </c>
      <c r="V2356" s="41">
        <v>46153.533101851855</v>
      </c>
      <c r="W2356" s="40">
        <v>45886</v>
      </c>
      <c r="X2356" s="35" t="s">
        <v>916</v>
      </c>
      <c r="Y2356" s="35" t="s">
        <v>916</v>
      </c>
      <c r="Z2356" s="35" t="s">
        <v>916</v>
      </c>
      <c r="AA2356" s="38">
        <v>3248.9747222231999</v>
      </c>
      <c r="AB2356" s="42" t="s">
        <v>916</v>
      </c>
      <c r="AC2356" s="43" t="s">
        <v>916</v>
      </c>
      <c r="AD2356" s="43" t="s">
        <v>916</v>
      </c>
      <c r="AE2356" s="33" t="s">
        <v>3982</v>
      </c>
      <c r="AF2356" s="35" t="s">
        <v>916</v>
      </c>
      <c r="AG2356" s="44">
        <v>487623.02527777769</v>
      </c>
      <c r="AH2356" s="42" t="s">
        <v>916</v>
      </c>
      <c r="AI2356" s="32" t="e">
        <f>VLOOKUP(A2356,'4月明細'!B:B,1,0)</f>
        <v>#N/A</v>
      </c>
    </row>
    <row r="2357" spans="1:35" ht="19.95" customHeight="1" x14ac:dyDescent="0.3">
      <c r="A2357" s="33" t="s">
        <v>8269</v>
      </c>
      <c r="B2357" s="34">
        <v>45886.576469907406</v>
      </c>
      <c r="C2357" s="34" t="str">
        <f t="shared" si="49"/>
        <v>202508</v>
      </c>
      <c r="D2357" s="35" t="s">
        <v>5380</v>
      </c>
      <c r="E2357" s="36" t="s">
        <v>910</v>
      </c>
      <c r="F2357" s="36" t="s">
        <v>1354</v>
      </c>
      <c r="G2357" s="37" t="s">
        <v>8270</v>
      </c>
      <c r="H2357" s="36" t="s">
        <v>8262</v>
      </c>
      <c r="I2357" s="35" t="s">
        <v>1362</v>
      </c>
      <c r="J2357" s="36" t="s">
        <v>929</v>
      </c>
      <c r="K2357" s="33" t="s">
        <v>916</v>
      </c>
      <c r="L2357" s="35" t="s">
        <v>916</v>
      </c>
      <c r="M2357" s="36" t="s">
        <v>916</v>
      </c>
      <c r="N2357" s="45">
        <v>46022</v>
      </c>
      <c r="O2357" s="36" t="s">
        <v>25</v>
      </c>
      <c r="P2357" s="38">
        <v>135.4235300926</v>
      </c>
      <c r="Q2357" s="39" t="s">
        <v>1328</v>
      </c>
      <c r="R2357" s="35" t="s">
        <v>916</v>
      </c>
      <c r="S2357" s="35" t="s">
        <v>8271</v>
      </c>
      <c r="T2357" s="35" t="s">
        <v>1701</v>
      </c>
      <c r="U2357" s="40">
        <v>45887</v>
      </c>
      <c r="V2357" s="41">
        <v>46153.533101851855</v>
      </c>
      <c r="W2357" s="40">
        <v>45886</v>
      </c>
      <c r="X2357" s="35" t="s">
        <v>916</v>
      </c>
      <c r="Y2357" s="35" t="s">
        <v>916</v>
      </c>
      <c r="Z2357" s="35" t="s">
        <v>916</v>
      </c>
      <c r="AA2357" s="38">
        <v>3250.1647222224001</v>
      </c>
      <c r="AB2357" s="42" t="s">
        <v>916</v>
      </c>
      <c r="AC2357" s="43" t="s">
        <v>916</v>
      </c>
      <c r="AD2357" s="43" t="s">
        <v>916</v>
      </c>
      <c r="AE2357" s="33" t="s">
        <v>3982</v>
      </c>
      <c r="AF2357" s="35" t="s">
        <v>916</v>
      </c>
      <c r="AG2357" s="44">
        <v>487621.83527777792</v>
      </c>
      <c r="AH2357" s="42" t="s">
        <v>916</v>
      </c>
      <c r="AI2357" s="32" t="e">
        <f>VLOOKUP(A2357,'4月明細'!B:B,1,0)</f>
        <v>#N/A</v>
      </c>
    </row>
    <row r="2358" spans="1:35" ht="19.95" customHeight="1" x14ac:dyDescent="0.3">
      <c r="A2358" s="33" t="s">
        <v>8272</v>
      </c>
      <c r="B2358" s="34">
        <v>45886.546840277777</v>
      </c>
      <c r="C2358" s="34" t="str">
        <f t="shared" si="49"/>
        <v>202508</v>
      </c>
      <c r="D2358" s="35" t="s">
        <v>951</v>
      </c>
      <c r="E2358" s="36" t="s">
        <v>910</v>
      </c>
      <c r="F2358" s="36" t="s">
        <v>1145</v>
      </c>
      <c r="G2358" s="37" t="s">
        <v>8273</v>
      </c>
      <c r="H2358" s="36" t="s">
        <v>3996</v>
      </c>
      <c r="I2358" s="35"/>
      <c r="J2358" s="36" t="s">
        <v>914</v>
      </c>
      <c r="K2358" s="33" t="s">
        <v>916</v>
      </c>
      <c r="L2358" s="35" t="s">
        <v>916</v>
      </c>
      <c r="M2358" s="36" t="s">
        <v>916</v>
      </c>
      <c r="N2358" s="45">
        <v>46022</v>
      </c>
      <c r="O2358" s="36" t="s">
        <v>25</v>
      </c>
      <c r="P2358" s="38">
        <v>135.45315972220001</v>
      </c>
      <c r="Q2358" s="39" t="s">
        <v>1328</v>
      </c>
      <c r="R2358" s="35" t="s">
        <v>916</v>
      </c>
      <c r="S2358" s="35"/>
      <c r="T2358" s="35" t="s">
        <v>1701</v>
      </c>
      <c r="U2358" s="40">
        <v>45887</v>
      </c>
      <c r="V2358" s="41">
        <v>46153.533101851855</v>
      </c>
      <c r="W2358" s="40">
        <v>45886</v>
      </c>
      <c r="X2358" s="35" t="s">
        <v>916</v>
      </c>
      <c r="Y2358" s="35" t="s">
        <v>916</v>
      </c>
      <c r="Z2358" s="35" t="s">
        <v>916</v>
      </c>
      <c r="AA2358" s="38">
        <v>3250.8758333328001</v>
      </c>
      <c r="AB2358" s="42" t="s">
        <v>916</v>
      </c>
      <c r="AC2358" s="43" t="s">
        <v>916</v>
      </c>
      <c r="AD2358" s="43" t="s">
        <v>916</v>
      </c>
      <c r="AE2358" s="33" t="s">
        <v>3982</v>
      </c>
      <c r="AF2358" s="35" t="s">
        <v>916</v>
      </c>
      <c r="AG2358" s="44">
        <v>487621.12416666659</v>
      </c>
      <c r="AH2358" s="42" t="s">
        <v>916</v>
      </c>
      <c r="AI2358" s="32" t="e">
        <f>VLOOKUP(A2358,'4月明細'!B:B,1,0)</f>
        <v>#N/A</v>
      </c>
    </row>
    <row r="2359" spans="1:35" ht="19.95" customHeight="1" x14ac:dyDescent="0.3">
      <c r="A2359" s="33" t="s">
        <v>8274</v>
      </c>
      <c r="B2359" s="34">
        <v>45886.547939814816</v>
      </c>
      <c r="C2359" s="34" t="str">
        <f t="shared" si="49"/>
        <v>202508</v>
      </c>
      <c r="D2359" s="35" t="s">
        <v>6281</v>
      </c>
      <c r="E2359" s="36" t="s">
        <v>910</v>
      </c>
      <c r="F2359" s="36" t="s">
        <v>2298</v>
      </c>
      <c r="G2359" s="37" t="s">
        <v>8275</v>
      </c>
      <c r="H2359" s="36" t="s">
        <v>3985</v>
      </c>
      <c r="I2359" s="35" t="s">
        <v>8276</v>
      </c>
      <c r="J2359" s="36" t="s">
        <v>929</v>
      </c>
      <c r="K2359" s="33" t="s">
        <v>916</v>
      </c>
      <c r="L2359" s="35" t="s">
        <v>916</v>
      </c>
      <c r="M2359" s="36" t="s">
        <v>916</v>
      </c>
      <c r="N2359" s="45">
        <v>46022</v>
      </c>
      <c r="O2359" s="36" t="s">
        <v>25</v>
      </c>
      <c r="P2359" s="38">
        <v>135.4520601852</v>
      </c>
      <c r="Q2359" s="39" t="s">
        <v>8277</v>
      </c>
      <c r="R2359" s="35" t="s">
        <v>916</v>
      </c>
      <c r="S2359" s="35" t="s">
        <v>8278</v>
      </c>
      <c r="T2359" s="35" t="s">
        <v>1701</v>
      </c>
      <c r="U2359" s="40">
        <v>45887</v>
      </c>
      <c r="V2359" s="41">
        <v>46153.533101851855</v>
      </c>
      <c r="W2359" s="40">
        <v>45886</v>
      </c>
      <c r="X2359" s="35" t="s">
        <v>916</v>
      </c>
      <c r="Y2359" s="35" t="s">
        <v>916</v>
      </c>
      <c r="Z2359" s="35" t="s">
        <v>916</v>
      </c>
      <c r="AA2359" s="38">
        <v>3250.8494444448002</v>
      </c>
      <c r="AB2359" s="42" t="s">
        <v>916</v>
      </c>
      <c r="AC2359" s="43" t="s">
        <v>916</v>
      </c>
      <c r="AD2359" s="43" t="s">
        <v>916</v>
      </c>
      <c r="AE2359" s="33" t="s">
        <v>3982</v>
      </c>
      <c r="AF2359" s="35" t="s">
        <v>916</v>
      </c>
      <c r="AG2359" s="44">
        <v>487621.15055555559</v>
      </c>
      <c r="AH2359" s="42" t="s">
        <v>916</v>
      </c>
      <c r="AI2359" s="32" t="e">
        <f>VLOOKUP(A2359,'4月明細'!B:B,1,0)</f>
        <v>#N/A</v>
      </c>
    </row>
    <row r="2360" spans="1:35" ht="19.95" customHeight="1" x14ac:dyDescent="0.3">
      <c r="A2360" s="33" t="s">
        <v>8279</v>
      </c>
      <c r="B2360" s="34">
        <v>45886.53528935185</v>
      </c>
      <c r="C2360" s="34" t="str">
        <f t="shared" si="49"/>
        <v>202508</v>
      </c>
      <c r="D2360" s="35" t="s">
        <v>951</v>
      </c>
      <c r="E2360" s="36" t="s">
        <v>910</v>
      </c>
      <c r="F2360" s="36" t="s">
        <v>2515</v>
      </c>
      <c r="G2360" s="37" t="s">
        <v>8280</v>
      </c>
      <c r="H2360" s="36" t="s">
        <v>4060</v>
      </c>
      <c r="I2360" s="35" t="s">
        <v>8281</v>
      </c>
      <c r="J2360" s="36" t="s">
        <v>1058</v>
      </c>
      <c r="K2360" s="33" t="s">
        <v>916</v>
      </c>
      <c r="L2360" s="35" t="s">
        <v>916</v>
      </c>
      <c r="M2360" s="36" t="s">
        <v>916</v>
      </c>
      <c r="N2360" s="45">
        <v>46022</v>
      </c>
      <c r="O2360" s="36" t="s">
        <v>25</v>
      </c>
      <c r="P2360" s="38">
        <v>135.46471064810001</v>
      </c>
      <c r="Q2360" s="39" t="s">
        <v>1328</v>
      </c>
      <c r="R2360" s="35" t="s">
        <v>916</v>
      </c>
      <c r="S2360" s="35" t="s">
        <v>8282</v>
      </c>
      <c r="T2360" s="35" t="s">
        <v>1701</v>
      </c>
      <c r="U2360" s="40">
        <v>45887</v>
      </c>
      <c r="V2360" s="41">
        <v>46153.533101851855</v>
      </c>
      <c r="W2360" s="40">
        <v>45886</v>
      </c>
      <c r="X2360" s="35" t="s">
        <v>916</v>
      </c>
      <c r="Y2360" s="35" t="s">
        <v>916</v>
      </c>
      <c r="Z2360" s="35" t="s">
        <v>916</v>
      </c>
      <c r="AA2360" s="38">
        <v>3251.1530555544</v>
      </c>
      <c r="AB2360" s="42" t="s">
        <v>916</v>
      </c>
      <c r="AC2360" s="43" t="s">
        <v>916</v>
      </c>
      <c r="AD2360" s="43" t="s">
        <v>916</v>
      </c>
      <c r="AE2360" s="33" t="s">
        <v>3982</v>
      </c>
      <c r="AF2360" s="35" t="s">
        <v>916</v>
      </c>
      <c r="AG2360" s="44">
        <v>487620.84694444441</v>
      </c>
      <c r="AH2360" s="42" t="s">
        <v>916</v>
      </c>
      <c r="AI2360" s="32" t="e">
        <f>VLOOKUP(A2360,'4月明細'!B:B,1,0)</f>
        <v>#N/A</v>
      </c>
    </row>
    <row r="2361" spans="1:35" ht="19.95" customHeight="1" x14ac:dyDescent="0.3">
      <c r="A2361" s="33" t="s">
        <v>8283</v>
      </c>
      <c r="B2361" s="34">
        <v>45886.535046296296</v>
      </c>
      <c r="C2361" s="34" t="str">
        <f t="shared" si="49"/>
        <v>202508</v>
      </c>
      <c r="D2361" s="35" t="s">
        <v>951</v>
      </c>
      <c r="E2361" s="36" t="s">
        <v>910</v>
      </c>
      <c r="F2361" s="36" t="s">
        <v>1260</v>
      </c>
      <c r="G2361" s="37" t="s">
        <v>8284</v>
      </c>
      <c r="H2361" s="36" t="s">
        <v>4185</v>
      </c>
      <c r="I2361" s="35"/>
      <c r="J2361" s="36" t="s">
        <v>1058</v>
      </c>
      <c r="K2361" s="33" t="s">
        <v>916</v>
      </c>
      <c r="L2361" s="35" t="s">
        <v>916</v>
      </c>
      <c r="M2361" s="36" t="s">
        <v>916</v>
      </c>
      <c r="N2361" s="45">
        <v>46022</v>
      </c>
      <c r="O2361" s="36" t="s">
        <v>25</v>
      </c>
      <c r="P2361" s="38">
        <v>135.46495370369999</v>
      </c>
      <c r="Q2361" s="39" t="s">
        <v>8285</v>
      </c>
      <c r="R2361" s="35" t="s">
        <v>916</v>
      </c>
      <c r="S2361" s="35" t="s">
        <v>8286</v>
      </c>
      <c r="T2361" s="35" t="s">
        <v>1701</v>
      </c>
      <c r="U2361" s="40">
        <v>45887</v>
      </c>
      <c r="V2361" s="41">
        <v>46153.533101851855</v>
      </c>
      <c r="W2361" s="40">
        <v>45886</v>
      </c>
      <c r="X2361" s="35" t="s">
        <v>916</v>
      </c>
      <c r="Y2361" s="35" t="s">
        <v>916</v>
      </c>
      <c r="Z2361" s="35" t="s">
        <v>916</v>
      </c>
      <c r="AA2361" s="38">
        <v>3251.1588888888</v>
      </c>
      <c r="AB2361" s="42" t="s">
        <v>916</v>
      </c>
      <c r="AC2361" s="43" t="s">
        <v>916</v>
      </c>
      <c r="AD2361" s="43" t="s">
        <v>916</v>
      </c>
      <c r="AE2361" s="33" t="s">
        <v>3982</v>
      </c>
      <c r="AF2361" s="35" t="s">
        <v>916</v>
      </c>
      <c r="AG2361" s="44">
        <v>487620.84111111111</v>
      </c>
      <c r="AH2361" s="42" t="s">
        <v>916</v>
      </c>
      <c r="AI2361" s="32" t="e">
        <f>VLOOKUP(A2361,'4月明細'!B:B,1,0)</f>
        <v>#N/A</v>
      </c>
    </row>
    <row r="2362" spans="1:35" ht="19.95" customHeight="1" x14ac:dyDescent="0.3">
      <c r="A2362" s="33" t="s">
        <v>8287</v>
      </c>
      <c r="B2362" s="34">
        <v>45886.482118055559</v>
      </c>
      <c r="C2362" s="34" t="str">
        <f t="shared" si="49"/>
        <v>202508</v>
      </c>
      <c r="D2362" s="35" t="s">
        <v>6281</v>
      </c>
      <c r="E2362" s="36" t="s">
        <v>910</v>
      </c>
      <c r="F2362" s="36" t="s">
        <v>1423</v>
      </c>
      <c r="G2362" s="37" t="s">
        <v>8288</v>
      </c>
      <c r="H2362" s="36" t="s">
        <v>913</v>
      </c>
      <c r="I2362" s="35"/>
      <c r="J2362" s="36" t="s">
        <v>929</v>
      </c>
      <c r="K2362" s="33" t="s">
        <v>916</v>
      </c>
      <c r="L2362" s="35" t="s">
        <v>916</v>
      </c>
      <c r="M2362" s="36" t="s">
        <v>916</v>
      </c>
      <c r="N2362" s="45">
        <v>46022</v>
      </c>
      <c r="O2362" s="36" t="s">
        <v>25</v>
      </c>
      <c r="P2362" s="38">
        <v>135.51788194439999</v>
      </c>
      <c r="Q2362" s="39" t="s">
        <v>8289</v>
      </c>
      <c r="R2362" s="35" t="s">
        <v>916</v>
      </c>
      <c r="S2362" s="35"/>
      <c r="T2362" s="35" t="s">
        <v>1701</v>
      </c>
      <c r="U2362" s="40">
        <v>45887</v>
      </c>
      <c r="V2362" s="41">
        <v>46153.533101851855</v>
      </c>
      <c r="W2362" s="40">
        <v>45886</v>
      </c>
      <c r="X2362" s="35" t="s">
        <v>916</v>
      </c>
      <c r="Y2362" s="35" t="s">
        <v>916</v>
      </c>
      <c r="Z2362" s="35" t="s">
        <v>916</v>
      </c>
      <c r="AA2362" s="38">
        <v>3252.4291666656</v>
      </c>
      <c r="AB2362" s="42" t="s">
        <v>916</v>
      </c>
      <c r="AC2362" s="43" t="s">
        <v>916</v>
      </c>
      <c r="AD2362" s="43" t="s">
        <v>916</v>
      </c>
      <c r="AE2362" s="33" t="s">
        <v>3982</v>
      </c>
      <c r="AF2362" s="35" t="s">
        <v>916</v>
      </c>
      <c r="AG2362" s="44">
        <v>487619.5708333333</v>
      </c>
      <c r="AH2362" s="42" t="s">
        <v>916</v>
      </c>
      <c r="AI2362" s="32" t="e">
        <f>VLOOKUP(A2362,'4月明細'!B:B,1,0)</f>
        <v>#N/A</v>
      </c>
    </row>
    <row r="2363" spans="1:35" ht="19.95" customHeight="1" x14ac:dyDescent="0.3">
      <c r="A2363" s="33" t="s">
        <v>8290</v>
      </c>
      <c r="B2363" s="34">
        <v>45885.715960648151</v>
      </c>
      <c r="C2363" s="34" t="str">
        <f t="shared" si="49"/>
        <v>202508</v>
      </c>
      <c r="D2363" s="35" t="s">
        <v>5380</v>
      </c>
      <c r="E2363" s="36" t="s">
        <v>910</v>
      </c>
      <c r="F2363" s="36" t="s">
        <v>1748</v>
      </c>
      <c r="G2363" s="37" t="s">
        <v>3298</v>
      </c>
      <c r="H2363" s="36" t="s">
        <v>4007</v>
      </c>
      <c r="I2363" s="35" t="s">
        <v>8291</v>
      </c>
      <c r="J2363" s="36" t="s">
        <v>929</v>
      </c>
      <c r="K2363" s="33" t="s">
        <v>916</v>
      </c>
      <c r="L2363" s="35" t="s">
        <v>916</v>
      </c>
      <c r="M2363" s="36" t="s">
        <v>916</v>
      </c>
      <c r="N2363" s="45">
        <v>46022</v>
      </c>
      <c r="O2363" s="36" t="s">
        <v>25</v>
      </c>
      <c r="P2363" s="38">
        <v>136.28403935189999</v>
      </c>
      <c r="Q2363" s="39" t="s">
        <v>8277</v>
      </c>
      <c r="R2363" s="35" t="s">
        <v>916</v>
      </c>
      <c r="S2363" s="35" t="s">
        <v>8292</v>
      </c>
      <c r="T2363" s="35" t="s">
        <v>1701</v>
      </c>
      <c r="U2363" s="40">
        <v>45886</v>
      </c>
      <c r="V2363" s="41">
        <v>46153.533101851855</v>
      </c>
      <c r="W2363" s="40">
        <v>45885</v>
      </c>
      <c r="X2363" s="35" t="s">
        <v>916</v>
      </c>
      <c r="Y2363" s="35" t="s">
        <v>916</v>
      </c>
      <c r="Z2363" s="35" t="s">
        <v>916</v>
      </c>
      <c r="AA2363" s="38">
        <v>3270.8169444455998</v>
      </c>
      <c r="AB2363" s="42" t="s">
        <v>916</v>
      </c>
      <c r="AC2363" s="43" t="s">
        <v>916</v>
      </c>
      <c r="AD2363" s="43" t="s">
        <v>916</v>
      </c>
      <c r="AE2363" s="33" t="s">
        <v>3982</v>
      </c>
      <c r="AF2363" s="35" t="s">
        <v>916</v>
      </c>
      <c r="AG2363" s="44">
        <v>487601.18333333329</v>
      </c>
      <c r="AH2363" s="42" t="s">
        <v>916</v>
      </c>
      <c r="AI2363" s="32" t="e">
        <f>VLOOKUP(A2363,'4月明細'!B:B,1,0)</f>
        <v>#N/A</v>
      </c>
    </row>
    <row r="2364" spans="1:35" ht="19.95" customHeight="1" x14ac:dyDescent="0.3">
      <c r="A2364" s="33" t="s">
        <v>8293</v>
      </c>
      <c r="B2364" s="34">
        <v>45885.607187499998</v>
      </c>
      <c r="C2364" s="34" t="str">
        <f t="shared" si="49"/>
        <v>202508</v>
      </c>
      <c r="D2364" s="35" t="s">
        <v>6281</v>
      </c>
      <c r="E2364" s="36" t="s">
        <v>910</v>
      </c>
      <c r="F2364" s="36" t="s">
        <v>1232</v>
      </c>
      <c r="G2364" s="37" t="s">
        <v>8294</v>
      </c>
      <c r="H2364" s="36" t="s">
        <v>1048</v>
      </c>
      <c r="I2364" s="35" t="s">
        <v>8295</v>
      </c>
      <c r="J2364" s="36" t="s">
        <v>929</v>
      </c>
      <c r="K2364" s="33" t="s">
        <v>916</v>
      </c>
      <c r="L2364" s="35" t="s">
        <v>916</v>
      </c>
      <c r="M2364" s="36" t="s">
        <v>916</v>
      </c>
      <c r="N2364" s="45">
        <v>46022</v>
      </c>
      <c r="O2364" s="36" t="s">
        <v>25</v>
      </c>
      <c r="P2364" s="38">
        <v>136.39281249999999</v>
      </c>
      <c r="Q2364" s="39" t="s">
        <v>8296</v>
      </c>
      <c r="R2364" s="35" t="s">
        <v>916</v>
      </c>
      <c r="S2364" s="35" t="s">
        <v>8297</v>
      </c>
      <c r="T2364" s="35" t="s">
        <v>1701</v>
      </c>
      <c r="U2364" s="40">
        <v>45886</v>
      </c>
      <c r="V2364" s="41">
        <v>46153.533101851855</v>
      </c>
      <c r="W2364" s="40">
        <v>45885</v>
      </c>
      <c r="X2364" s="35" t="s">
        <v>916</v>
      </c>
      <c r="Y2364" s="35" t="s">
        <v>916</v>
      </c>
      <c r="Z2364" s="35" t="s">
        <v>916</v>
      </c>
      <c r="AA2364" s="38">
        <v>3273.4274999999998</v>
      </c>
      <c r="AB2364" s="42" t="s">
        <v>916</v>
      </c>
      <c r="AC2364" s="43" t="s">
        <v>916</v>
      </c>
      <c r="AD2364" s="43" t="s">
        <v>916</v>
      </c>
      <c r="AE2364" s="33" t="s">
        <v>3982</v>
      </c>
      <c r="AF2364" s="35" t="s">
        <v>916</v>
      </c>
      <c r="AG2364" s="44">
        <v>487598.57250000001</v>
      </c>
      <c r="AH2364" s="42" t="s">
        <v>916</v>
      </c>
      <c r="AI2364" s="32" t="e">
        <f>VLOOKUP(A2364,'4月明細'!B:B,1,0)</f>
        <v>#N/A</v>
      </c>
    </row>
    <row r="2365" spans="1:35" ht="19.95" customHeight="1" x14ac:dyDescent="0.3">
      <c r="A2365" s="33" t="s">
        <v>8298</v>
      </c>
      <c r="B2365" s="34">
        <v>45885.599039351851</v>
      </c>
      <c r="C2365" s="34" t="str">
        <f t="shared" si="49"/>
        <v>202508</v>
      </c>
      <c r="D2365" s="35" t="s">
        <v>6281</v>
      </c>
      <c r="E2365" s="36" t="s">
        <v>910</v>
      </c>
      <c r="F2365" s="36" t="s">
        <v>1232</v>
      </c>
      <c r="G2365" s="37" t="s">
        <v>8299</v>
      </c>
      <c r="H2365" s="36" t="s">
        <v>4007</v>
      </c>
      <c r="I2365" s="35" t="s">
        <v>8300</v>
      </c>
      <c r="J2365" s="36" t="s">
        <v>929</v>
      </c>
      <c r="K2365" s="33" t="s">
        <v>916</v>
      </c>
      <c r="L2365" s="35" t="s">
        <v>916</v>
      </c>
      <c r="M2365" s="36" t="s">
        <v>916</v>
      </c>
      <c r="N2365" s="45">
        <v>46022</v>
      </c>
      <c r="O2365" s="36" t="s">
        <v>25</v>
      </c>
      <c r="P2365" s="38">
        <v>136.40096064810001</v>
      </c>
      <c r="Q2365" s="39" t="s">
        <v>8301</v>
      </c>
      <c r="R2365" s="35" t="s">
        <v>916</v>
      </c>
      <c r="S2365" s="35" t="s">
        <v>8096</v>
      </c>
      <c r="T2365" s="35" t="s">
        <v>1701</v>
      </c>
      <c r="U2365" s="40">
        <v>45886</v>
      </c>
      <c r="V2365" s="41">
        <v>46153.533101851855</v>
      </c>
      <c r="W2365" s="40">
        <v>45885</v>
      </c>
      <c r="X2365" s="35" t="s">
        <v>916</v>
      </c>
      <c r="Y2365" s="35" t="s">
        <v>916</v>
      </c>
      <c r="Z2365" s="35" t="s">
        <v>916</v>
      </c>
      <c r="AA2365" s="38">
        <v>3273.6230555543998</v>
      </c>
      <c r="AB2365" s="42" t="s">
        <v>916</v>
      </c>
      <c r="AC2365" s="43" t="s">
        <v>916</v>
      </c>
      <c r="AD2365" s="43" t="s">
        <v>916</v>
      </c>
      <c r="AE2365" s="33" t="s">
        <v>3982</v>
      </c>
      <c r="AF2365" s="35" t="s">
        <v>916</v>
      </c>
      <c r="AG2365" s="44">
        <v>487598.37694444438</v>
      </c>
      <c r="AH2365" s="42" t="s">
        <v>916</v>
      </c>
      <c r="AI2365" s="32" t="e">
        <f>VLOOKUP(A2365,'4月明細'!B:B,1,0)</f>
        <v>#N/A</v>
      </c>
    </row>
    <row r="2366" spans="1:35" ht="19.95" customHeight="1" x14ac:dyDescent="0.3">
      <c r="A2366" s="33" t="s">
        <v>8302</v>
      </c>
      <c r="B2366" s="34">
        <v>45885.572395833333</v>
      </c>
      <c r="C2366" s="34" t="str">
        <f t="shared" si="49"/>
        <v>202508</v>
      </c>
      <c r="D2366" s="35" t="s">
        <v>8303</v>
      </c>
      <c r="E2366" s="36" t="s">
        <v>910</v>
      </c>
      <c r="F2366" s="36" t="s">
        <v>1335</v>
      </c>
      <c r="G2366" s="37" t="s">
        <v>8304</v>
      </c>
      <c r="H2366" s="36" t="s">
        <v>1048</v>
      </c>
      <c r="I2366" s="35" t="s">
        <v>8305</v>
      </c>
      <c r="J2366" s="36" t="s">
        <v>914</v>
      </c>
      <c r="K2366" s="33" t="s">
        <v>916</v>
      </c>
      <c r="L2366" s="35" t="s">
        <v>916</v>
      </c>
      <c r="M2366" s="36" t="s">
        <v>916</v>
      </c>
      <c r="N2366" s="45">
        <v>46022</v>
      </c>
      <c r="O2366" s="36" t="s">
        <v>25</v>
      </c>
      <c r="P2366" s="38">
        <v>136.42760416670001</v>
      </c>
      <c r="Q2366" s="39" t="s">
        <v>6708</v>
      </c>
      <c r="R2366" s="35" t="s">
        <v>916</v>
      </c>
      <c r="S2366" s="35"/>
      <c r="T2366" s="35" t="s">
        <v>1701</v>
      </c>
      <c r="U2366" s="40">
        <v>45886</v>
      </c>
      <c r="V2366" s="41">
        <v>46153.533113425925</v>
      </c>
      <c r="W2366" s="40">
        <v>45885</v>
      </c>
      <c r="X2366" s="35" t="s">
        <v>916</v>
      </c>
      <c r="Y2366" s="35" t="s">
        <v>916</v>
      </c>
      <c r="Z2366" s="35" t="s">
        <v>916</v>
      </c>
      <c r="AA2366" s="38">
        <v>3274.2625000008002</v>
      </c>
      <c r="AB2366" s="42" t="s">
        <v>916</v>
      </c>
      <c r="AC2366" s="43" t="s">
        <v>916</v>
      </c>
      <c r="AD2366" s="43" t="s">
        <v>916</v>
      </c>
      <c r="AE2366" s="33" t="s">
        <v>3982</v>
      </c>
      <c r="AF2366" s="35" t="s">
        <v>916</v>
      </c>
      <c r="AG2366" s="44">
        <v>487597.73749999999</v>
      </c>
      <c r="AH2366" s="42" t="s">
        <v>916</v>
      </c>
      <c r="AI2366" s="32" t="e">
        <f>VLOOKUP(A2366,'4月明細'!B:B,1,0)</f>
        <v>#N/A</v>
      </c>
    </row>
    <row r="2367" spans="1:35" ht="19.95" customHeight="1" x14ac:dyDescent="0.3">
      <c r="A2367" s="33" t="s">
        <v>8306</v>
      </c>
      <c r="B2367" s="34">
        <v>45885.494710648149</v>
      </c>
      <c r="C2367" s="34" t="str">
        <f t="shared" si="49"/>
        <v>202508</v>
      </c>
      <c r="D2367" s="35" t="s">
        <v>6281</v>
      </c>
      <c r="E2367" s="36" t="s">
        <v>1112</v>
      </c>
      <c r="F2367" s="36" t="s">
        <v>2550</v>
      </c>
      <c r="G2367" s="37" t="s">
        <v>8307</v>
      </c>
      <c r="H2367" s="36" t="s">
        <v>7610</v>
      </c>
      <c r="I2367" s="35" t="s">
        <v>8308</v>
      </c>
      <c r="J2367" s="36" t="s">
        <v>914</v>
      </c>
      <c r="K2367" s="33" t="s">
        <v>916</v>
      </c>
      <c r="L2367" s="35" t="s">
        <v>916</v>
      </c>
      <c r="M2367" s="36" t="s">
        <v>916</v>
      </c>
      <c r="N2367" s="45">
        <v>46022</v>
      </c>
      <c r="O2367" s="36" t="s">
        <v>25</v>
      </c>
      <c r="P2367" s="38">
        <v>136.50528935189999</v>
      </c>
      <c r="Q2367" s="39" t="s">
        <v>8309</v>
      </c>
      <c r="R2367" s="35" t="s">
        <v>916</v>
      </c>
      <c r="S2367" s="35" t="s">
        <v>8310</v>
      </c>
      <c r="T2367" s="35" t="s">
        <v>1701</v>
      </c>
      <c r="U2367" s="40">
        <v>45886</v>
      </c>
      <c r="V2367" s="41">
        <v>46153.533113425925</v>
      </c>
      <c r="W2367" s="40">
        <v>45885</v>
      </c>
      <c r="X2367" s="35" t="s">
        <v>916</v>
      </c>
      <c r="Y2367" s="35" t="s">
        <v>916</v>
      </c>
      <c r="Z2367" s="35" t="s">
        <v>916</v>
      </c>
      <c r="AA2367" s="38">
        <v>3276.1269444456002</v>
      </c>
      <c r="AB2367" s="42" t="s">
        <v>916</v>
      </c>
      <c r="AC2367" s="43" t="s">
        <v>916</v>
      </c>
      <c r="AD2367" s="43" t="s">
        <v>916</v>
      </c>
      <c r="AE2367" s="33" t="s">
        <v>3982</v>
      </c>
      <c r="AF2367" s="35" t="s">
        <v>916</v>
      </c>
      <c r="AG2367" s="44">
        <v>487595.87305555562</v>
      </c>
      <c r="AH2367" s="42" t="s">
        <v>916</v>
      </c>
      <c r="AI2367" s="32" t="e">
        <f>VLOOKUP(A2367,'4月明細'!B:B,1,0)</f>
        <v>#N/A</v>
      </c>
    </row>
    <row r="2368" spans="1:35" ht="19.95" customHeight="1" x14ac:dyDescent="0.3">
      <c r="A2368" s="33" t="s">
        <v>8311</v>
      </c>
      <c r="B2368" s="34">
        <v>45885.191122685188</v>
      </c>
      <c r="C2368" s="34" t="str">
        <f t="shared" si="49"/>
        <v>202508</v>
      </c>
      <c r="D2368" s="35" t="s">
        <v>8312</v>
      </c>
      <c r="E2368" s="36" t="s">
        <v>1112</v>
      </c>
      <c r="F2368" s="36" t="s">
        <v>1748</v>
      </c>
      <c r="G2368" s="37" t="s">
        <v>8313</v>
      </c>
      <c r="H2368" s="36" t="s">
        <v>1079</v>
      </c>
      <c r="I2368" s="35"/>
      <c r="J2368" s="36" t="s">
        <v>945</v>
      </c>
      <c r="K2368" s="33" t="s">
        <v>916</v>
      </c>
      <c r="L2368" s="35" t="s">
        <v>916</v>
      </c>
      <c r="M2368" s="36" t="s">
        <v>916</v>
      </c>
      <c r="N2368" s="45">
        <v>46022</v>
      </c>
      <c r="O2368" s="36" t="s">
        <v>25</v>
      </c>
      <c r="P2368" s="38">
        <v>136.80887731479999</v>
      </c>
      <c r="Q2368" s="39" t="s">
        <v>8314</v>
      </c>
      <c r="R2368" s="35" t="s">
        <v>916</v>
      </c>
      <c r="S2368" s="35"/>
      <c r="T2368" s="35" t="s">
        <v>1701</v>
      </c>
      <c r="U2368" s="40">
        <v>45886</v>
      </c>
      <c r="V2368" s="41">
        <v>46153.533113425925</v>
      </c>
      <c r="W2368" s="40">
        <v>45885</v>
      </c>
      <c r="X2368" s="35" t="s">
        <v>916</v>
      </c>
      <c r="Y2368" s="35" t="s">
        <v>916</v>
      </c>
      <c r="Z2368" s="35" t="s">
        <v>916</v>
      </c>
      <c r="AA2368" s="38">
        <v>3283.4130555552001</v>
      </c>
      <c r="AB2368" s="42" t="s">
        <v>916</v>
      </c>
      <c r="AC2368" s="43" t="s">
        <v>916</v>
      </c>
      <c r="AD2368" s="43" t="s">
        <v>916</v>
      </c>
      <c r="AE2368" s="33" t="s">
        <v>3982</v>
      </c>
      <c r="AF2368" s="35" t="s">
        <v>916</v>
      </c>
      <c r="AG2368" s="44">
        <v>487588.58694444451</v>
      </c>
      <c r="AH2368" s="42" t="s">
        <v>916</v>
      </c>
      <c r="AI2368" s="32" t="e">
        <f>VLOOKUP(A2368,'4月明細'!B:B,1,0)</f>
        <v>#N/A</v>
      </c>
    </row>
    <row r="2369" spans="1:35" ht="19.95" customHeight="1" x14ac:dyDescent="0.3">
      <c r="A2369" s="33" t="s">
        <v>8315</v>
      </c>
      <c r="B2369" s="34">
        <v>45885.10015046296</v>
      </c>
      <c r="C2369" s="34" t="str">
        <f t="shared" si="49"/>
        <v>202508</v>
      </c>
      <c r="D2369" s="35" t="s">
        <v>8312</v>
      </c>
      <c r="E2369" s="36" t="s">
        <v>1112</v>
      </c>
      <c r="F2369" s="36" t="s">
        <v>1924</v>
      </c>
      <c r="G2369" s="37" t="s">
        <v>4737</v>
      </c>
      <c r="H2369" s="36" t="s">
        <v>913</v>
      </c>
      <c r="I2369" s="35"/>
      <c r="J2369" s="36" t="s">
        <v>945</v>
      </c>
      <c r="K2369" s="33" t="s">
        <v>916</v>
      </c>
      <c r="L2369" s="35" t="s">
        <v>916</v>
      </c>
      <c r="M2369" s="36" t="s">
        <v>916</v>
      </c>
      <c r="N2369" s="45">
        <v>46022</v>
      </c>
      <c r="O2369" s="36" t="s">
        <v>25</v>
      </c>
      <c r="P2369" s="38">
        <v>136.89984953699999</v>
      </c>
      <c r="Q2369" s="39" t="s">
        <v>8316</v>
      </c>
      <c r="R2369" s="35" t="s">
        <v>916</v>
      </c>
      <c r="S2369" s="35" t="s">
        <v>6594</v>
      </c>
      <c r="T2369" s="35" t="s">
        <v>1701</v>
      </c>
      <c r="U2369" s="40">
        <v>45886</v>
      </c>
      <c r="V2369" s="41">
        <v>46153.533113425925</v>
      </c>
      <c r="W2369" s="40">
        <v>45885</v>
      </c>
      <c r="X2369" s="35" t="s">
        <v>916</v>
      </c>
      <c r="Y2369" s="35" t="s">
        <v>916</v>
      </c>
      <c r="Z2369" s="35" t="s">
        <v>916</v>
      </c>
      <c r="AA2369" s="38">
        <v>3285.5963888880001</v>
      </c>
      <c r="AB2369" s="42" t="s">
        <v>916</v>
      </c>
      <c r="AC2369" s="43" t="s">
        <v>916</v>
      </c>
      <c r="AD2369" s="43" t="s">
        <v>916</v>
      </c>
      <c r="AE2369" s="33" t="s">
        <v>3982</v>
      </c>
      <c r="AF2369" s="35" t="s">
        <v>916</v>
      </c>
      <c r="AG2369" s="44">
        <v>487586.40361111111</v>
      </c>
      <c r="AH2369" s="42" t="s">
        <v>916</v>
      </c>
      <c r="AI2369" s="32" t="e">
        <f>VLOOKUP(A2369,'4月明細'!B:B,1,0)</f>
        <v>#N/A</v>
      </c>
    </row>
    <row r="2370" spans="1:35" ht="19.95" customHeight="1" x14ac:dyDescent="0.3">
      <c r="A2370" s="33" t="s">
        <v>8317</v>
      </c>
      <c r="B2370" s="34">
        <v>45884.65552083333</v>
      </c>
      <c r="C2370" s="34" t="str">
        <f t="shared" si="49"/>
        <v>202508</v>
      </c>
      <c r="D2370" s="35" t="s">
        <v>7386</v>
      </c>
      <c r="E2370" s="36" t="s">
        <v>910</v>
      </c>
      <c r="F2370" s="36" t="s">
        <v>1723</v>
      </c>
      <c r="G2370" s="37" t="s">
        <v>8318</v>
      </c>
      <c r="H2370" s="36" t="s">
        <v>4185</v>
      </c>
      <c r="I2370" s="35"/>
      <c r="J2370" s="36" t="s">
        <v>929</v>
      </c>
      <c r="K2370" s="33" t="s">
        <v>916</v>
      </c>
      <c r="L2370" s="35" t="s">
        <v>916</v>
      </c>
      <c r="M2370" s="36" t="s">
        <v>916</v>
      </c>
      <c r="N2370" s="45">
        <v>46022</v>
      </c>
      <c r="O2370" s="36" t="s">
        <v>25</v>
      </c>
      <c r="P2370" s="38">
        <v>137.34447916670001</v>
      </c>
      <c r="Q2370" s="39" t="s">
        <v>1366</v>
      </c>
      <c r="R2370" s="35" t="s">
        <v>916</v>
      </c>
      <c r="S2370" s="35"/>
      <c r="T2370" s="35" t="s">
        <v>1701</v>
      </c>
      <c r="U2370" s="40">
        <v>45885</v>
      </c>
      <c r="V2370" s="41">
        <v>46153.533113425925</v>
      </c>
      <c r="W2370" s="40">
        <v>45884</v>
      </c>
      <c r="X2370" s="35" t="s">
        <v>916</v>
      </c>
      <c r="Y2370" s="35" t="s">
        <v>916</v>
      </c>
      <c r="Z2370" s="35" t="s">
        <v>916</v>
      </c>
      <c r="AA2370" s="38">
        <v>3296.2675000007998</v>
      </c>
      <c r="AB2370" s="42" t="s">
        <v>916</v>
      </c>
      <c r="AC2370" s="43" t="s">
        <v>916</v>
      </c>
      <c r="AD2370" s="43" t="s">
        <v>916</v>
      </c>
      <c r="AE2370" s="33" t="s">
        <v>3982</v>
      </c>
      <c r="AF2370" s="35" t="s">
        <v>916</v>
      </c>
      <c r="AG2370" s="44">
        <v>487575.73249999998</v>
      </c>
      <c r="AH2370" s="42" t="s">
        <v>916</v>
      </c>
      <c r="AI2370" s="32" t="e">
        <f>VLOOKUP(A2370,'4月明細'!B:B,1,0)</f>
        <v>#N/A</v>
      </c>
    </row>
    <row r="2371" spans="1:35" ht="19.95" customHeight="1" x14ac:dyDescent="0.3">
      <c r="A2371" s="33" t="s">
        <v>8319</v>
      </c>
      <c r="B2371" s="34">
        <v>45884.689675925925</v>
      </c>
      <c r="C2371" s="34" t="str">
        <f t="shared" ref="C2371:C2434" si="50">TEXT(B2371,"YYYYMM")</f>
        <v>202508</v>
      </c>
      <c r="D2371" s="35" t="s">
        <v>6281</v>
      </c>
      <c r="E2371" s="36" t="s">
        <v>910</v>
      </c>
      <c r="F2371" s="36" t="s">
        <v>1507</v>
      </c>
      <c r="G2371" s="37" t="s">
        <v>8320</v>
      </c>
      <c r="H2371" s="36" t="s">
        <v>4029</v>
      </c>
      <c r="I2371" s="35" t="s">
        <v>8321</v>
      </c>
      <c r="J2371" s="36" t="s">
        <v>929</v>
      </c>
      <c r="K2371" s="33" t="s">
        <v>916</v>
      </c>
      <c r="L2371" s="35" t="s">
        <v>916</v>
      </c>
      <c r="M2371" s="36" t="s">
        <v>916</v>
      </c>
      <c r="N2371" s="45">
        <v>46022</v>
      </c>
      <c r="O2371" s="36" t="s">
        <v>25</v>
      </c>
      <c r="P2371" s="38">
        <v>137.31032407410001</v>
      </c>
      <c r="Q2371" s="39" t="s">
        <v>1366</v>
      </c>
      <c r="R2371" s="35" t="s">
        <v>916</v>
      </c>
      <c r="S2371" s="35"/>
      <c r="T2371" s="35" t="s">
        <v>1701</v>
      </c>
      <c r="U2371" s="40">
        <v>45885</v>
      </c>
      <c r="V2371" s="41">
        <v>46153.533113425925</v>
      </c>
      <c r="W2371" s="40">
        <v>45884</v>
      </c>
      <c r="X2371" s="35" t="s">
        <v>916</v>
      </c>
      <c r="Y2371" s="35" t="s">
        <v>916</v>
      </c>
      <c r="Z2371" s="35" t="s">
        <v>916</v>
      </c>
      <c r="AA2371" s="38">
        <v>3295.4477777784</v>
      </c>
      <c r="AB2371" s="42" t="s">
        <v>916</v>
      </c>
      <c r="AC2371" s="43" t="s">
        <v>916</v>
      </c>
      <c r="AD2371" s="43" t="s">
        <v>916</v>
      </c>
      <c r="AE2371" s="33" t="s">
        <v>3982</v>
      </c>
      <c r="AF2371" s="35" t="s">
        <v>916</v>
      </c>
      <c r="AG2371" s="44">
        <v>487576.55222222221</v>
      </c>
      <c r="AH2371" s="42" t="s">
        <v>916</v>
      </c>
      <c r="AI2371" s="32" t="e">
        <f>VLOOKUP(A2371,'4月明細'!B:B,1,0)</f>
        <v>#N/A</v>
      </c>
    </row>
    <row r="2372" spans="1:35" ht="19.95" customHeight="1" x14ac:dyDescent="0.3">
      <c r="A2372" s="33" t="s">
        <v>8322</v>
      </c>
      <c r="B2372" s="34">
        <v>45884.673587962963</v>
      </c>
      <c r="C2372" s="34" t="str">
        <f t="shared" si="50"/>
        <v>202508</v>
      </c>
      <c r="D2372" s="35" t="s">
        <v>5380</v>
      </c>
      <c r="E2372" s="36" t="s">
        <v>910</v>
      </c>
      <c r="F2372" s="36" t="s">
        <v>2882</v>
      </c>
      <c r="G2372" s="37" t="s">
        <v>8323</v>
      </c>
      <c r="H2372" s="36" t="s">
        <v>4029</v>
      </c>
      <c r="I2372" s="35" t="s">
        <v>8324</v>
      </c>
      <c r="J2372" s="36" t="s">
        <v>929</v>
      </c>
      <c r="K2372" s="33" t="s">
        <v>916</v>
      </c>
      <c r="L2372" s="35" t="s">
        <v>916</v>
      </c>
      <c r="M2372" s="36" t="s">
        <v>916</v>
      </c>
      <c r="N2372" s="45">
        <v>46022</v>
      </c>
      <c r="O2372" s="36" t="s">
        <v>25</v>
      </c>
      <c r="P2372" s="38">
        <v>137.32641203700001</v>
      </c>
      <c r="Q2372" s="39" t="s">
        <v>1328</v>
      </c>
      <c r="R2372" s="35" t="s">
        <v>916</v>
      </c>
      <c r="S2372" s="35"/>
      <c r="T2372" s="35" t="s">
        <v>1701</v>
      </c>
      <c r="U2372" s="40">
        <v>45885</v>
      </c>
      <c r="V2372" s="41">
        <v>46153.533113425925</v>
      </c>
      <c r="W2372" s="40">
        <v>45884</v>
      </c>
      <c r="X2372" s="35" t="s">
        <v>916</v>
      </c>
      <c r="Y2372" s="35" t="s">
        <v>916</v>
      </c>
      <c r="Z2372" s="35" t="s">
        <v>916</v>
      </c>
      <c r="AA2372" s="38">
        <v>3295.8338888879998</v>
      </c>
      <c r="AB2372" s="42" t="s">
        <v>916</v>
      </c>
      <c r="AC2372" s="43" t="s">
        <v>916</v>
      </c>
      <c r="AD2372" s="43" t="s">
        <v>916</v>
      </c>
      <c r="AE2372" s="33" t="s">
        <v>3982</v>
      </c>
      <c r="AF2372" s="35" t="s">
        <v>916</v>
      </c>
      <c r="AG2372" s="44">
        <v>487576.16611111112</v>
      </c>
      <c r="AH2372" s="42" t="s">
        <v>916</v>
      </c>
      <c r="AI2372" s="32" t="e">
        <f>VLOOKUP(A2372,'4月明細'!B:B,1,0)</f>
        <v>#N/A</v>
      </c>
    </row>
    <row r="2373" spans="1:35" ht="19.95" customHeight="1" x14ac:dyDescent="0.3">
      <c r="A2373" s="33" t="s">
        <v>8325</v>
      </c>
      <c r="B2373" s="34">
        <v>45884.569861111115</v>
      </c>
      <c r="C2373" s="34" t="str">
        <f t="shared" si="50"/>
        <v>202508</v>
      </c>
      <c r="D2373" s="35" t="s">
        <v>7386</v>
      </c>
      <c r="E2373" s="36" t="s">
        <v>910</v>
      </c>
      <c r="F2373" s="36" t="s">
        <v>1145</v>
      </c>
      <c r="G2373" s="37" t="s">
        <v>8326</v>
      </c>
      <c r="H2373" s="36" t="s">
        <v>4203</v>
      </c>
      <c r="I2373" s="35" t="s">
        <v>8327</v>
      </c>
      <c r="J2373" s="36" t="s">
        <v>929</v>
      </c>
      <c r="K2373" s="33" t="s">
        <v>916</v>
      </c>
      <c r="L2373" s="35" t="s">
        <v>916</v>
      </c>
      <c r="M2373" s="36" t="s">
        <v>916</v>
      </c>
      <c r="N2373" s="45">
        <v>46022</v>
      </c>
      <c r="O2373" s="36" t="s">
        <v>25</v>
      </c>
      <c r="P2373" s="38">
        <v>137.43013888889999</v>
      </c>
      <c r="Q2373" s="39" t="s">
        <v>8328</v>
      </c>
      <c r="R2373" s="35" t="s">
        <v>916</v>
      </c>
      <c r="S2373" s="35"/>
      <c r="T2373" s="35" t="s">
        <v>1701</v>
      </c>
      <c r="U2373" s="40">
        <v>45885</v>
      </c>
      <c r="V2373" s="41">
        <v>46153.533113425925</v>
      </c>
      <c r="W2373" s="40">
        <v>45884</v>
      </c>
      <c r="X2373" s="35" t="s">
        <v>916</v>
      </c>
      <c r="Y2373" s="35" t="s">
        <v>916</v>
      </c>
      <c r="Z2373" s="35" t="s">
        <v>916</v>
      </c>
      <c r="AA2373" s="38">
        <v>3298.3233333336002</v>
      </c>
      <c r="AB2373" s="42" t="s">
        <v>916</v>
      </c>
      <c r="AC2373" s="43" t="s">
        <v>916</v>
      </c>
      <c r="AD2373" s="43" t="s">
        <v>916</v>
      </c>
      <c r="AE2373" s="33" t="s">
        <v>3982</v>
      </c>
      <c r="AF2373" s="35" t="s">
        <v>916</v>
      </c>
      <c r="AG2373" s="44">
        <v>487573.67666666658</v>
      </c>
      <c r="AH2373" s="42" t="s">
        <v>916</v>
      </c>
      <c r="AI2373" s="32" t="e">
        <f>VLOOKUP(A2373,'4月明細'!B:B,1,0)</f>
        <v>#N/A</v>
      </c>
    </row>
    <row r="2374" spans="1:35" ht="19.95" customHeight="1" x14ac:dyDescent="0.3">
      <c r="A2374" s="33" t="s">
        <v>8329</v>
      </c>
      <c r="B2374" s="34">
        <v>45884.638611111113</v>
      </c>
      <c r="C2374" s="34" t="str">
        <f t="shared" si="50"/>
        <v>202508</v>
      </c>
      <c r="D2374" s="35" t="s">
        <v>5380</v>
      </c>
      <c r="E2374" s="36" t="s">
        <v>910</v>
      </c>
      <c r="F2374" s="36" t="s">
        <v>1546</v>
      </c>
      <c r="G2374" s="37" t="s">
        <v>8330</v>
      </c>
      <c r="H2374" s="36" t="s">
        <v>7825</v>
      </c>
      <c r="I2374" s="35" t="s">
        <v>8331</v>
      </c>
      <c r="J2374" s="36" t="s">
        <v>929</v>
      </c>
      <c r="K2374" s="33" t="s">
        <v>916</v>
      </c>
      <c r="L2374" s="35" t="s">
        <v>916</v>
      </c>
      <c r="M2374" s="36" t="s">
        <v>916</v>
      </c>
      <c r="N2374" s="45">
        <v>46022</v>
      </c>
      <c r="O2374" s="36" t="s">
        <v>25</v>
      </c>
      <c r="P2374" s="38">
        <v>137.3613888889</v>
      </c>
      <c r="Q2374" s="39" t="s">
        <v>8332</v>
      </c>
      <c r="R2374" s="35" t="s">
        <v>916</v>
      </c>
      <c r="S2374" s="35"/>
      <c r="T2374" s="35" t="s">
        <v>1701</v>
      </c>
      <c r="U2374" s="40">
        <v>45885</v>
      </c>
      <c r="V2374" s="41">
        <v>46153.533113425925</v>
      </c>
      <c r="W2374" s="40">
        <v>45884</v>
      </c>
      <c r="X2374" s="35" t="s">
        <v>916</v>
      </c>
      <c r="Y2374" s="35" t="s">
        <v>916</v>
      </c>
      <c r="Z2374" s="35" t="s">
        <v>916</v>
      </c>
      <c r="AA2374" s="38">
        <v>3296.6733333336001</v>
      </c>
      <c r="AB2374" s="42" t="s">
        <v>916</v>
      </c>
      <c r="AC2374" s="43" t="s">
        <v>916</v>
      </c>
      <c r="AD2374" s="43" t="s">
        <v>916</v>
      </c>
      <c r="AE2374" s="33" t="s">
        <v>3982</v>
      </c>
      <c r="AF2374" s="35" t="s">
        <v>916</v>
      </c>
      <c r="AG2374" s="44">
        <v>487575.32666666672</v>
      </c>
      <c r="AH2374" s="42" t="s">
        <v>916</v>
      </c>
      <c r="AI2374" s="32" t="e">
        <f>VLOOKUP(A2374,'4月明細'!B:B,1,0)</f>
        <v>#N/A</v>
      </c>
    </row>
    <row r="2375" spans="1:35" ht="19.95" customHeight="1" x14ac:dyDescent="0.3">
      <c r="A2375" s="33" t="s">
        <v>8333</v>
      </c>
      <c r="B2375" s="34">
        <v>45884.617847222224</v>
      </c>
      <c r="C2375" s="34" t="str">
        <f t="shared" si="50"/>
        <v>202508</v>
      </c>
      <c r="D2375" s="35" t="s">
        <v>6281</v>
      </c>
      <c r="E2375" s="36" t="s">
        <v>910</v>
      </c>
      <c r="F2375" s="36" t="s">
        <v>1581</v>
      </c>
      <c r="G2375" s="37" t="s">
        <v>8334</v>
      </c>
      <c r="H2375" s="36" t="s">
        <v>4007</v>
      </c>
      <c r="I2375" s="35" t="s">
        <v>8335</v>
      </c>
      <c r="J2375" s="36" t="s">
        <v>929</v>
      </c>
      <c r="K2375" s="33" t="s">
        <v>916</v>
      </c>
      <c r="L2375" s="35" t="s">
        <v>916</v>
      </c>
      <c r="M2375" s="36" t="s">
        <v>916</v>
      </c>
      <c r="N2375" s="45">
        <v>46022</v>
      </c>
      <c r="O2375" s="36" t="s">
        <v>25</v>
      </c>
      <c r="P2375" s="38">
        <v>137.3821527778</v>
      </c>
      <c r="Q2375" s="39" t="s">
        <v>919</v>
      </c>
      <c r="R2375" s="35" t="s">
        <v>916</v>
      </c>
      <c r="S2375" s="35"/>
      <c r="T2375" s="35" t="s">
        <v>1701</v>
      </c>
      <c r="U2375" s="40">
        <v>45885</v>
      </c>
      <c r="V2375" s="41">
        <v>46153.533113425925</v>
      </c>
      <c r="W2375" s="40">
        <v>45884</v>
      </c>
      <c r="X2375" s="35" t="s">
        <v>916</v>
      </c>
      <c r="Y2375" s="35" t="s">
        <v>916</v>
      </c>
      <c r="Z2375" s="35" t="s">
        <v>916</v>
      </c>
      <c r="AA2375" s="38">
        <v>3297.1716666672</v>
      </c>
      <c r="AB2375" s="42" t="s">
        <v>916</v>
      </c>
      <c r="AC2375" s="43" t="s">
        <v>916</v>
      </c>
      <c r="AD2375" s="43" t="s">
        <v>916</v>
      </c>
      <c r="AE2375" s="33" t="s">
        <v>3982</v>
      </c>
      <c r="AF2375" s="35" t="s">
        <v>916</v>
      </c>
      <c r="AG2375" s="44">
        <v>487574.82833333343</v>
      </c>
      <c r="AH2375" s="42" t="s">
        <v>916</v>
      </c>
      <c r="AI2375" s="32" t="e">
        <f>VLOOKUP(A2375,'4月明細'!B:B,1,0)</f>
        <v>#N/A</v>
      </c>
    </row>
    <row r="2376" spans="1:35" ht="19.95" customHeight="1" x14ac:dyDescent="0.3">
      <c r="A2376" s="33" t="s">
        <v>8336</v>
      </c>
      <c r="B2376" s="34">
        <v>45884.602048611108</v>
      </c>
      <c r="C2376" s="34" t="str">
        <f t="shared" si="50"/>
        <v>202508</v>
      </c>
      <c r="D2376" s="35" t="s">
        <v>5380</v>
      </c>
      <c r="E2376" s="36" t="s">
        <v>910</v>
      </c>
      <c r="F2376" s="36" t="s">
        <v>1552</v>
      </c>
      <c r="G2376" s="37" t="s">
        <v>1725</v>
      </c>
      <c r="H2376" s="36" t="s">
        <v>4007</v>
      </c>
      <c r="I2376" s="35" t="s">
        <v>8337</v>
      </c>
      <c r="J2376" s="36" t="s">
        <v>914</v>
      </c>
      <c r="K2376" s="33" t="s">
        <v>916</v>
      </c>
      <c r="L2376" s="35" t="s">
        <v>916</v>
      </c>
      <c r="M2376" s="36" t="s">
        <v>916</v>
      </c>
      <c r="N2376" s="45">
        <v>46022</v>
      </c>
      <c r="O2376" s="36" t="s">
        <v>25</v>
      </c>
      <c r="P2376" s="38">
        <v>137.3979513889</v>
      </c>
      <c r="Q2376" s="39" t="s">
        <v>7870</v>
      </c>
      <c r="R2376" s="35" t="s">
        <v>916</v>
      </c>
      <c r="S2376" s="35"/>
      <c r="T2376" s="35" t="s">
        <v>1701</v>
      </c>
      <c r="U2376" s="40">
        <v>45885</v>
      </c>
      <c r="V2376" s="41">
        <v>46153.533113425925</v>
      </c>
      <c r="W2376" s="40">
        <v>45884</v>
      </c>
      <c r="X2376" s="35" t="s">
        <v>916</v>
      </c>
      <c r="Y2376" s="35" t="s">
        <v>916</v>
      </c>
      <c r="Z2376" s="35" t="s">
        <v>916</v>
      </c>
      <c r="AA2376" s="38">
        <v>3297.5508333336002</v>
      </c>
      <c r="AB2376" s="42" t="s">
        <v>916</v>
      </c>
      <c r="AC2376" s="43" t="s">
        <v>916</v>
      </c>
      <c r="AD2376" s="43" t="s">
        <v>916</v>
      </c>
      <c r="AE2376" s="33" t="s">
        <v>3982</v>
      </c>
      <c r="AF2376" s="35" t="s">
        <v>916</v>
      </c>
      <c r="AG2376" s="44">
        <v>487574.44916666672</v>
      </c>
      <c r="AH2376" s="42" t="s">
        <v>916</v>
      </c>
      <c r="AI2376" s="32" t="e">
        <f>VLOOKUP(A2376,'4月明細'!B:B,1,0)</f>
        <v>#N/A</v>
      </c>
    </row>
    <row r="2377" spans="1:35" ht="19.95" customHeight="1" x14ac:dyDescent="0.3">
      <c r="A2377" s="33" t="s">
        <v>8338</v>
      </c>
      <c r="B2377" s="34">
        <v>45884.581180555557</v>
      </c>
      <c r="C2377" s="34" t="str">
        <f t="shared" si="50"/>
        <v>202508</v>
      </c>
      <c r="D2377" s="35" t="s">
        <v>5380</v>
      </c>
      <c r="E2377" s="36" t="s">
        <v>910</v>
      </c>
      <c r="F2377" s="36" t="s">
        <v>1568</v>
      </c>
      <c r="G2377" s="37" t="s">
        <v>8339</v>
      </c>
      <c r="H2377" s="36" t="s">
        <v>7825</v>
      </c>
      <c r="I2377" s="35" t="s">
        <v>8340</v>
      </c>
      <c r="J2377" s="36" t="s">
        <v>914</v>
      </c>
      <c r="K2377" s="33" t="s">
        <v>916</v>
      </c>
      <c r="L2377" s="35" t="s">
        <v>916</v>
      </c>
      <c r="M2377" s="36" t="s">
        <v>916</v>
      </c>
      <c r="N2377" s="45">
        <v>46022</v>
      </c>
      <c r="O2377" s="36" t="s">
        <v>25</v>
      </c>
      <c r="P2377" s="38">
        <v>137.41881944439999</v>
      </c>
      <c r="Q2377" s="39" t="s">
        <v>1071</v>
      </c>
      <c r="R2377" s="35" t="s">
        <v>916</v>
      </c>
      <c r="S2377" s="35"/>
      <c r="T2377" s="35" t="s">
        <v>1701</v>
      </c>
      <c r="U2377" s="40">
        <v>45885</v>
      </c>
      <c r="V2377" s="41">
        <v>46153.533113425925</v>
      </c>
      <c r="W2377" s="40">
        <v>45884</v>
      </c>
      <c r="X2377" s="35" t="s">
        <v>916</v>
      </c>
      <c r="Y2377" s="35" t="s">
        <v>916</v>
      </c>
      <c r="Z2377" s="35" t="s">
        <v>916</v>
      </c>
      <c r="AA2377" s="38">
        <v>3298.0516666655999</v>
      </c>
      <c r="AB2377" s="42" t="s">
        <v>916</v>
      </c>
      <c r="AC2377" s="43" t="s">
        <v>916</v>
      </c>
      <c r="AD2377" s="43" t="s">
        <v>916</v>
      </c>
      <c r="AE2377" s="33" t="s">
        <v>3982</v>
      </c>
      <c r="AF2377" s="35" t="s">
        <v>916</v>
      </c>
      <c r="AG2377" s="44">
        <v>487573.94833333342</v>
      </c>
      <c r="AH2377" s="42" t="s">
        <v>916</v>
      </c>
      <c r="AI2377" s="32" t="e">
        <f>VLOOKUP(A2377,'4月明細'!B:B,1,0)</f>
        <v>#N/A</v>
      </c>
    </row>
    <row r="2378" spans="1:35" ht="19.95" customHeight="1" x14ac:dyDescent="0.3">
      <c r="A2378" s="33" t="s">
        <v>8341</v>
      </c>
      <c r="B2378" s="34">
        <v>45884.529629629629</v>
      </c>
      <c r="C2378" s="34" t="str">
        <f t="shared" si="50"/>
        <v>202508</v>
      </c>
      <c r="D2378" s="35" t="s">
        <v>951</v>
      </c>
      <c r="E2378" s="36" t="s">
        <v>910</v>
      </c>
      <c r="F2378" s="36" t="s">
        <v>1145</v>
      </c>
      <c r="G2378" s="37" t="s">
        <v>8342</v>
      </c>
      <c r="H2378" s="36" t="s">
        <v>4023</v>
      </c>
      <c r="I2378" s="35" t="s">
        <v>8343</v>
      </c>
      <c r="J2378" s="36" t="s">
        <v>929</v>
      </c>
      <c r="K2378" s="33" t="s">
        <v>916</v>
      </c>
      <c r="L2378" s="35" t="s">
        <v>916</v>
      </c>
      <c r="M2378" s="36" t="s">
        <v>916</v>
      </c>
      <c r="N2378" s="45">
        <v>46022</v>
      </c>
      <c r="O2378" s="36" t="s">
        <v>25</v>
      </c>
      <c r="P2378" s="38">
        <v>137.47037037039999</v>
      </c>
      <c r="Q2378" s="39" t="s">
        <v>8099</v>
      </c>
      <c r="R2378" s="35" t="s">
        <v>916</v>
      </c>
      <c r="S2378" s="35" t="s">
        <v>8344</v>
      </c>
      <c r="T2378" s="35" t="s">
        <v>1701</v>
      </c>
      <c r="U2378" s="40">
        <v>45885</v>
      </c>
      <c r="V2378" s="41">
        <v>46153.533113425925</v>
      </c>
      <c r="W2378" s="40">
        <v>45884</v>
      </c>
      <c r="X2378" s="35" t="s">
        <v>916</v>
      </c>
      <c r="Y2378" s="35" t="s">
        <v>916</v>
      </c>
      <c r="Z2378" s="35" t="s">
        <v>916</v>
      </c>
      <c r="AA2378" s="38">
        <v>3299.2888888896</v>
      </c>
      <c r="AB2378" s="42" t="s">
        <v>916</v>
      </c>
      <c r="AC2378" s="43" t="s">
        <v>916</v>
      </c>
      <c r="AD2378" s="43" t="s">
        <v>916</v>
      </c>
      <c r="AE2378" s="33" t="s">
        <v>3982</v>
      </c>
      <c r="AF2378" s="35" t="s">
        <v>916</v>
      </c>
      <c r="AG2378" s="44">
        <v>487572.7111111111</v>
      </c>
      <c r="AH2378" s="42" t="s">
        <v>916</v>
      </c>
      <c r="AI2378" s="32" t="e">
        <f>VLOOKUP(A2378,'4月明細'!B:B,1,0)</f>
        <v>#N/A</v>
      </c>
    </row>
    <row r="2379" spans="1:35" ht="19.95" customHeight="1" x14ac:dyDescent="0.3">
      <c r="A2379" s="33" t="s">
        <v>8345</v>
      </c>
      <c r="B2379" s="34">
        <v>45884.520879629628</v>
      </c>
      <c r="C2379" s="34" t="str">
        <f t="shared" si="50"/>
        <v>202508</v>
      </c>
      <c r="D2379" s="35" t="s">
        <v>7343</v>
      </c>
      <c r="E2379" s="36" t="s">
        <v>910</v>
      </c>
      <c r="F2379" s="36" t="s">
        <v>1183</v>
      </c>
      <c r="G2379" s="37" t="s">
        <v>8346</v>
      </c>
      <c r="H2379" s="36" t="s">
        <v>970</v>
      </c>
      <c r="I2379" s="35" t="s">
        <v>8347</v>
      </c>
      <c r="J2379" s="36" t="s">
        <v>914</v>
      </c>
      <c r="K2379" s="33" t="s">
        <v>916</v>
      </c>
      <c r="L2379" s="35" t="s">
        <v>916</v>
      </c>
      <c r="M2379" s="36" t="s">
        <v>916</v>
      </c>
      <c r="N2379" s="45">
        <v>46022</v>
      </c>
      <c r="O2379" s="36" t="s">
        <v>25</v>
      </c>
      <c r="P2379" s="38">
        <v>137.47912037040001</v>
      </c>
      <c r="Q2379" s="39" t="s">
        <v>8348</v>
      </c>
      <c r="R2379" s="35" t="s">
        <v>916</v>
      </c>
      <c r="S2379" s="35"/>
      <c r="T2379" s="35" t="s">
        <v>1701</v>
      </c>
      <c r="U2379" s="40">
        <v>45885</v>
      </c>
      <c r="V2379" s="41">
        <v>46153.533113425925</v>
      </c>
      <c r="W2379" s="40">
        <v>45884</v>
      </c>
      <c r="X2379" s="35" t="s">
        <v>916</v>
      </c>
      <c r="Y2379" s="35" t="s">
        <v>916</v>
      </c>
      <c r="Z2379" s="35" t="s">
        <v>916</v>
      </c>
      <c r="AA2379" s="38">
        <v>3299.4988888896</v>
      </c>
      <c r="AB2379" s="42" t="s">
        <v>916</v>
      </c>
      <c r="AC2379" s="43" t="s">
        <v>916</v>
      </c>
      <c r="AD2379" s="43" t="s">
        <v>916</v>
      </c>
      <c r="AE2379" s="33" t="s">
        <v>3982</v>
      </c>
      <c r="AF2379" s="35" t="s">
        <v>916</v>
      </c>
      <c r="AG2379" s="44">
        <v>487572.50111111108</v>
      </c>
      <c r="AH2379" s="42" t="s">
        <v>916</v>
      </c>
      <c r="AI2379" s="32" t="e">
        <f>VLOOKUP(A2379,'4月明細'!B:B,1,0)</f>
        <v>#N/A</v>
      </c>
    </row>
    <row r="2380" spans="1:35" ht="19.95" customHeight="1" x14ac:dyDescent="0.3">
      <c r="A2380" s="33" t="s">
        <v>8349</v>
      </c>
      <c r="B2380" s="34">
        <v>45884.432974537034</v>
      </c>
      <c r="C2380" s="34" t="str">
        <f t="shared" si="50"/>
        <v>202508</v>
      </c>
      <c r="D2380" s="35" t="s">
        <v>6877</v>
      </c>
      <c r="E2380" s="36" t="s">
        <v>910</v>
      </c>
      <c r="F2380" s="36" t="s">
        <v>1316</v>
      </c>
      <c r="G2380" s="37" t="s">
        <v>8350</v>
      </c>
      <c r="H2380" s="36" t="s">
        <v>4185</v>
      </c>
      <c r="I2380" s="35"/>
      <c r="J2380" s="36" t="s">
        <v>929</v>
      </c>
      <c r="K2380" s="33" t="s">
        <v>916</v>
      </c>
      <c r="L2380" s="35" t="s">
        <v>916</v>
      </c>
      <c r="M2380" s="36" t="s">
        <v>916</v>
      </c>
      <c r="N2380" s="45">
        <v>46022</v>
      </c>
      <c r="O2380" s="36" t="s">
        <v>25</v>
      </c>
      <c r="P2380" s="38">
        <v>137.56702546299999</v>
      </c>
      <c r="Q2380" s="39" t="s">
        <v>1328</v>
      </c>
      <c r="R2380" s="35" t="s">
        <v>916</v>
      </c>
      <c r="S2380" s="35"/>
      <c r="T2380" s="35" t="s">
        <v>1701</v>
      </c>
      <c r="U2380" s="40">
        <v>45885</v>
      </c>
      <c r="V2380" s="41">
        <v>46153.533113425925</v>
      </c>
      <c r="W2380" s="40">
        <v>45884</v>
      </c>
      <c r="X2380" s="35" t="s">
        <v>916</v>
      </c>
      <c r="Y2380" s="35" t="s">
        <v>916</v>
      </c>
      <c r="Z2380" s="35" t="s">
        <v>916</v>
      </c>
      <c r="AA2380" s="38">
        <v>3301.6086111119998</v>
      </c>
      <c r="AB2380" s="42" t="s">
        <v>916</v>
      </c>
      <c r="AC2380" s="43" t="s">
        <v>916</v>
      </c>
      <c r="AD2380" s="43" t="s">
        <v>916</v>
      </c>
      <c r="AE2380" s="33" t="s">
        <v>3982</v>
      </c>
      <c r="AF2380" s="35" t="s">
        <v>916</v>
      </c>
      <c r="AG2380" s="44">
        <v>487570.39138888888</v>
      </c>
      <c r="AH2380" s="42" t="s">
        <v>916</v>
      </c>
      <c r="AI2380" s="32" t="e">
        <f>VLOOKUP(A2380,'4月明細'!B:B,1,0)</f>
        <v>#N/A</v>
      </c>
    </row>
    <row r="2381" spans="1:35" ht="19.95" customHeight="1" x14ac:dyDescent="0.3">
      <c r="A2381" s="33" t="s">
        <v>8351</v>
      </c>
      <c r="B2381" s="34">
        <v>45884.513993055552</v>
      </c>
      <c r="C2381" s="34" t="str">
        <f t="shared" si="50"/>
        <v>202508</v>
      </c>
      <c r="D2381" s="35" t="s">
        <v>996</v>
      </c>
      <c r="E2381" s="36" t="s">
        <v>910</v>
      </c>
      <c r="F2381" s="36" t="s">
        <v>1967</v>
      </c>
      <c r="G2381" s="37" t="s">
        <v>8221</v>
      </c>
      <c r="H2381" s="36" t="s">
        <v>4401</v>
      </c>
      <c r="I2381" s="35"/>
      <c r="J2381" s="36" t="s">
        <v>929</v>
      </c>
      <c r="K2381" s="33" t="s">
        <v>916</v>
      </c>
      <c r="L2381" s="35" t="s">
        <v>916</v>
      </c>
      <c r="M2381" s="36" t="s">
        <v>916</v>
      </c>
      <c r="N2381" s="45">
        <v>46022</v>
      </c>
      <c r="O2381" s="36" t="s">
        <v>25</v>
      </c>
      <c r="P2381" s="38">
        <v>137.4860069444</v>
      </c>
      <c r="Q2381" s="39" t="s">
        <v>6793</v>
      </c>
      <c r="R2381" s="35" t="s">
        <v>916</v>
      </c>
      <c r="S2381" s="35"/>
      <c r="T2381" s="35" t="s">
        <v>1701</v>
      </c>
      <c r="U2381" s="40">
        <v>45885</v>
      </c>
      <c r="V2381" s="41">
        <v>46153.533113425925</v>
      </c>
      <c r="W2381" s="40">
        <v>45884</v>
      </c>
      <c r="X2381" s="35" t="s">
        <v>916</v>
      </c>
      <c r="Y2381" s="35" t="s">
        <v>916</v>
      </c>
      <c r="Z2381" s="35" t="s">
        <v>916</v>
      </c>
      <c r="AA2381" s="38">
        <v>3299.6641666656001</v>
      </c>
      <c r="AB2381" s="42" t="s">
        <v>916</v>
      </c>
      <c r="AC2381" s="43" t="s">
        <v>916</v>
      </c>
      <c r="AD2381" s="43" t="s">
        <v>916</v>
      </c>
      <c r="AE2381" s="33" t="s">
        <v>3982</v>
      </c>
      <c r="AF2381" s="35" t="s">
        <v>916</v>
      </c>
      <c r="AG2381" s="44">
        <v>487572.3361111111</v>
      </c>
      <c r="AH2381" s="42" t="s">
        <v>916</v>
      </c>
      <c r="AI2381" s="32" t="e">
        <f>VLOOKUP(A2381,'4月明細'!B:B,1,0)</f>
        <v>#N/A</v>
      </c>
    </row>
    <row r="2382" spans="1:35" ht="19.95" customHeight="1" x14ac:dyDescent="0.3">
      <c r="A2382" s="33" t="s">
        <v>8352</v>
      </c>
      <c r="B2382" s="34">
        <v>45884.449594907404</v>
      </c>
      <c r="C2382" s="34" t="str">
        <f t="shared" si="50"/>
        <v>202508</v>
      </c>
      <c r="D2382" s="35" t="s">
        <v>5380</v>
      </c>
      <c r="E2382" s="36" t="s">
        <v>910</v>
      </c>
      <c r="F2382" s="36" t="s">
        <v>1240</v>
      </c>
      <c r="G2382" s="37" t="s">
        <v>8353</v>
      </c>
      <c r="H2382" s="36" t="s">
        <v>1079</v>
      </c>
      <c r="I2382" s="35" t="s">
        <v>8354</v>
      </c>
      <c r="J2382" s="36" t="s">
        <v>929</v>
      </c>
      <c r="K2382" s="33" t="s">
        <v>916</v>
      </c>
      <c r="L2382" s="35" t="s">
        <v>916</v>
      </c>
      <c r="M2382" s="36" t="s">
        <v>916</v>
      </c>
      <c r="N2382" s="45">
        <v>46022</v>
      </c>
      <c r="O2382" s="36" t="s">
        <v>25</v>
      </c>
      <c r="P2382" s="38">
        <v>137.55040509259999</v>
      </c>
      <c r="Q2382" s="39" t="s">
        <v>8355</v>
      </c>
      <c r="R2382" s="35" t="s">
        <v>916</v>
      </c>
      <c r="S2382" s="35"/>
      <c r="T2382" s="35" t="s">
        <v>1701</v>
      </c>
      <c r="U2382" s="40">
        <v>45885</v>
      </c>
      <c r="V2382" s="41">
        <v>46153.533113425925</v>
      </c>
      <c r="W2382" s="40">
        <v>45884</v>
      </c>
      <c r="X2382" s="35" t="s">
        <v>916</v>
      </c>
      <c r="Y2382" s="35" t="s">
        <v>916</v>
      </c>
      <c r="Z2382" s="35" t="s">
        <v>916</v>
      </c>
      <c r="AA2382" s="38">
        <v>3301.2097222224002</v>
      </c>
      <c r="AB2382" s="42" t="s">
        <v>916</v>
      </c>
      <c r="AC2382" s="43" t="s">
        <v>916</v>
      </c>
      <c r="AD2382" s="43" t="s">
        <v>916</v>
      </c>
      <c r="AE2382" s="33" t="s">
        <v>3982</v>
      </c>
      <c r="AF2382" s="35" t="s">
        <v>916</v>
      </c>
      <c r="AG2382" s="44">
        <v>487570.79027777782</v>
      </c>
      <c r="AH2382" s="42" t="s">
        <v>916</v>
      </c>
      <c r="AI2382" s="32" t="e">
        <f>VLOOKUP(A2382,'4月明細'!B:B,1,0)</f>
        <v>#N/A</v>
      </c>
    </row>
    <row r="2383" spans="1:35" ht="19.95" customHeight="1" x14ac:dyDescent="0.3">
      <c r="A2383" s="33" t="s">
        <v>8356</v>
      </c>
      <c r="B2383" s="34">
        <v>45884.424537037034</v>
      </c>
      <c r="C2383" s="34" t="str">
        <f t="shared" si="50"/>
        <v>202508</v>
      </c>
      <c r="D2383" s="35" t="s">
        <v>951</v>
      </c>
      <c r="E2383" s="36" t="s">
        <v>910</v>
      </c>
      <c r="F2383" s="36" t="s">
        <v>1975</v>
      </c>
      <c r="G2383" s="37" t="s">
        <v>8357</v>
      </c>
      <c r="H2383" s="36" t="s">
        <v>4060</v>
      </c>
      <c r="I2383" s="35" t="s">
        <v>8358</v>
      </c>
      <c r="J2383" s="36" t="s">
        <v>929</v>
      </c>
      <c r="K2383" s="33" t="s">
        <v>916</v>
      </c>
      <c r="L2383" s="35" t="s">
        <v>916</v>
      </c>
      <c r="M2383" s="36" t="s">
        <v>916</v>
      </c>
      <c r="N2383" s="45">
        <v>46022</v>
      </c>
      <c r="O2383" s="36" t="s">
        <v>25</v>
      </c>
      <c r="P2383" s="38">
        <v>137.57546296300001</v>
      </c>
      <c r="Q2383" s="39" t="s">
        <v>5957</v>
      </c>
      <c r="R2383" s="35" t="s">
        <v>916</v>
      </c>
      <c r="S2383" s="35"/>
      <c r="T2383" s="35" t="s">
        <v>1701</v>
      </c>
      <c r="U2383" s="40">
        <v>45885</v>
      </c>
      <c r="V2383" s="41">
        <v>46153.533113425925</v>
      </c>
      <c r="W2383" s="40">
        <v>45884</v>
      </c>
      <c r="X2383" s="35" t="s">
        <v>916</v>
      </c>
      <c r="Y2383" s="35" t="s">
        <v>916</v>
      </c>
      <c r="Z2383" s="35" t="s">
        <v>916</v>
      </c>
      <c r="AA2383" s="38">
        <v>3301.8111111120002</v>
      </c>
      <c r="AB2383" s="42" t="s">
        <v>916</v>
      </c>
      <c r="AC2383" s="43" t="s">
        <v>916</v>
      </c>
      <c r="AD2383" s="43" t="s">
        <v>916</v>
      </c>
      <c r="AE2383" s="33" t="s">
        <v>3982</v>
      </c>
      <c r="AF2383" s="35" t="s">
        <v>916</v>
      </c>
      <c r="AG2383" s="44">
        <v>487570.18888888892</v>
      </c>
      <c r="AH2383" s="42" t="s">
        <v>916</v>
      </c>
      <c r="AI2383" s="32" t="e">
        <f>VLOOKUP(A2383,'4月明細'!B:B,1,0)</f>
        <v>#N/A</v>
      </c>
    </row>
    <row r="2384" spans="1:35" ht="19.95" customHeight="1" x14ac:dyDescent="0.3">
      <c r="A2384" s="33" t="s">
        <v>8359</v>
      </c>
      <c r="B2384" s="34">
        <v>45884.42292824074</v>
      </c>
      <c r="C2384" s="34" t="str">
        <f t="shared" si="50"/>
        <v>202508</v>
      </c>
      <c r="D2384" s="35" t="s">
        <v>951</v>
      </c>
      <c r="E2384" s="36" t="s">
        <v>910</v>
      </c>
      <c r="F2384" s="36" t="s">
        <v>1000</v>
      </c>
      <c r="G2384" s="37" t="s">
        <v>8360</v>
      </c>
      <c r="H2384" s="36" t="s">
        <v>4804</v>
      </c>
      <c r="I2384" s="35" t="s">
        <v>8361</v>
      </c>
      <c r="J2384" s="36" t="s">
        <v>929</v>
      </c>
      <c r="K2384" s="33" t="s">
        <v>916</v>
      </c>
      <c r="L2384" s="35" t="s">
        <v>916</v>
      </c>
      <c r="M2384" s="36" t="s">
        <v>916</v>
      </c>
      <c r="N2384" s="45">
        <v>46022</v>
      </c>
      <c r="O2384" s="36" t="s">
        <v>25</v>
      </c>
      <c r="P2384" s="38">
        <v>137.5770717593</v>
      </c>
      <c r="Q2384" s="39" t="s">
        <v>5951</v>
      </c>
      <c r="R2384" s="35" t="s">
        <v>916</v>
      </c>
      <c r="S2384" s="35"/>
      <c r="T2384" s="35" t="s">
        <v>1701</v>
      </c>
      <c r="U2384" s="40">
        <v>45885</v>
      </c>
      <c r="V2384" s="41">
        <v>46153.533113425925</v>
      </c>
      <c r="W2384" s="40">
        <v>45884</v>
      </c>
      <c r="X2384" s="35" t="s">
        <v>916</v>
      </c>
      <c r="Y2384" s="35" t="s">
        <v>916</v>
      </c>
      <c r="Z2384" s="35" t="s">
        <v>916</v>
      </c>
      <c r="AA2384" s="38">
        <v>3301.8497222231999</v>
      </c>
      <c r="AB2384" s="42" t="s">
        <v>916</v>
      </c>
      <c r="AC2384" s="43" t="s">
        <v>916</v>
      </c>
      <c r="AD2384" s="43" t="s">
        <v>916</v>
      </c>
      <c r="AE2384" s="33" t="s">
        <v>3982</v>
      </c>
      <c r="AF2384" s="35" t="s">
        <v>916</v>
      </c>
      <c r="AG2384" s="44">
        <v>487570.15027777769</v>
      </c>
      <c r="AH2384" s="42" t="s">
        <v>916</v>
      </c>
      <c r="AI2384" s="32" t="e">
        <f>VLOOKUP(A2384,'4月明細'!B:B,1,0)</f>
        <v>#N/A</v>
      </c>
    </row>
    <row r="2385" spans="1:35" ht="19.95" customHeight="1" x14ac:dyDescent="0.3">
      <c r="A2385" s="33" t="s">
        <v>8362</v>
      </c>
      <c r="B2385" s="34">
        <v>45883.727129629631</v>
      </c>
      <c r="C2385" s="34" t="str">
        <f t="shared" si="50"/>
        <v>202508</v>
      </c>
      <c r="D2385" s="35" t="s">
        <v>951</v>
      </c>
      <c r="E2385" s="36" t="s">
        <v>910</v>
      </c>
      <c r="F2385" s="36" t="s">
        <v>1179</v>
      </c>
      <c r="G2385" s="37" t="s">
        <v>8363</v>
      </c>
      <c r="H2385" s="36" t="s">
        <v>5927</v>
      </c>
      <c r="I2385" s="35" t="s">
        <v>8364</v>
      </c>
      <c r="J2385" s="36" t="s">
        <v>929</v>
      </c>
      <c r="K2385" s="33" t="s">
        <v>916</v>
      </c>
      <c r="L2385" s="35" t="s">
        <v>916</v>
      </c>
      <c r="M2385" s="36" t="s">
        <v>916</v>
      </c>
      <c r="N2385" s="45">
        <v>46022</v>
      </c>
      <c r="O2385" s="36" t="s">
        <v>25</v>
      </c>
      <c r="P2385" s="38">
        <v>138.2728703704</v>
      </c>
      <c r="Q2385" s="39" t="s">
        <v>8365</v>
      </c>
      <c r="R2385" s="35" t="s">
        <v>916</v>
      </c>
      <c r="S2385" s="35"/>
      <c r="T2385" s="35" t="s">
        <v>1701</v>
      </c>
      <c r="U2385" s="40">
        <v>45884</v>
      </c>
      <c r="V2385" s="41">
        <v>46153.533113425925</v>
      </c>
      <c r="W2385" s="40">
        <v>45883</v>
      </c>
      <c r="X2385" s="35" t="s">
        <v>916</v>
      </c>
      <c r="Y2385" s="35" t="s">
        <v>916</v>
      </c>
      <c r="Z2385" s="35" t="s">
        <v>916</v>
      </c>
      <c r="AA2385" s="38">
        <v>3318.5488888896002</v>
      </c>
      <c r="AB2385" s="42" t="s">
        <v>916</v>
      </c>
      <c r="AC2385" s="43" t="s">
        <v>916</v>
      </c>
      <c r="AD2385" s="43" t="s">
        <v>916</v>
      </c>
      <c r="AE2385" s="33" t="s">
        <v>3982</v>
      </c>
      <c r="AF2385" s="35" t="s">
        <v>916</v>
      </c>
      <c r="AG2385" s="44">
        <v>487553.45111111109</v>
      </c>
      <c r="AH2385" s="42" t="s">
        <v>916</v>
      </c>
      <c r="AI2385" s="32" t="e">
        <f>VLOOKUP(A2385,'4月明細'!B:B,1,0)</f>
        <v>#N/A</v>
      </c>
    </row>
    <row r="2386" spans="1:35" ht="19.95" customHeight="1" x14ac:dyDescent="0.3">
      <c r="A2386" s="33" t="s">
        <v>8366</v>
      </c>
      <c r="B2386" s="34">
        <v>45883.691504629627</v>
      </c>
      <c r="C2386" s="34" t="str">
        <f t="shared" si="50"/>
        <v>202508</v>
      </c>
      <c r="D2386" s="35" t="s">
        <v>996</v>
      </c>
      <c r="E2386" s="36" t="s">
        <v>910</v>
      </c>
      <c r="F2386" s="36" t="s">
        <v>1720</v>
      </c>
      <c r="G2386" s="37" t="s">
        <v>7230</v>
      </c>
      <c r="H2386" s="36" t="s">
        <v>4401</v>
      </c>
      <c r="I2386" s="35" t="s">
        <v>1362</v>
      </c>
      <c r="J2386" s="36" t="s">
        <v>929</v>
      </c>
      <c r="K2386" s="33" t="s">
        <v>916</v>
      </c>
      <c r="L2386" s="35" t="s">
        <v>916</v>
      </c>
      <c r="M2386" s="36" t="s">
        <v>916</v>
      </c>
      <c r="N2386" s="45">
        <v>46022</v>
      </c>
      <c r="O2386" s="36" t="s">
        <v>25</v>
      </c>
      <c r="P2386" s="38">
        <v>138.30849537040001</v>
      </c>
      <c r="Q2386" s="39" t="s">
        <v>2303</v>
      </c>
      <c r="R2386" s="35" t="s">
        <v>916</v>
      </c>
      <c r="S2386" s="35"/>
      <c r="T2386" s="35" t="s">
        <v>1701</v>
      </c>
      <c r="U2386" s="40">
        <v>45884</v>
      </c>
      <c r="V2386" s="41">
        <v>46153.533113425925</v>
      </c>
      <c r="W2386" s="40">
        <v>45883</v>
      </c>
      <c r="X2386" s="35" t="s">
        <v>916</v>
      </c>
      <c r="Y2386" s="35" t="s">
        <v>916</v>
      </c>
      <c r="Z2386" s="35" t="s">
        <v>916</v>
      </c>
      <c r="AA2386" s="38">
        <v>3319.4038888895998</v>
      </c>
      <c r="AB2386" s="42" t="s">
        <v>916</v>
      </c>
      <c r="AC2386" s="43" t="s">
        <v>916</v>
      </c>
      <c r="AD2386" s="43" t="s">
        <v>916</v>
      </c>
      <c r="AE2386" s="33" t="s">
        <v>3982</v>
      </c>
      <c r="AF2386" s="35" t="s">
        <v>916</v>
      </c>
      <c r="AG2386" s="44">
        <v>487552.59611111111</v>
      </c>
      <c r="AH2386" s="42" t="s">
        <v>916</v>
      </c>
      <c r="AI2386" s="32" t="e">
        <f>VLOOKUP(A2386,'4月明細'!B:B,1,0)</f>
        <v>#N/A</v>
      </c>
    </row>
    <row r="2387" spans="1:35" ht="19.95" customHeight="1" x14ac:dyDescent="0.3">
      <c r="A2387" s="33" t="s">
        <v>8367</v>
      </c>
      <c r="B2387" s="34">
        <v>45883.674375000002</v>
      </c>
      <c r="C2387" s="34" t="str">
        <f t="shared" si="50"/>
        <v>202508</v>
      </c>
      <c r="D2387" s="35" t="s">
        <v>996</v>
      </c>
      <c r="E2387" s="36" t="s">
        <v>910</v>
      </c>
      <c r="F2387" s="36" t="s">
        <v>1055</v>
      </c>
      <c r="G2387" s="37" t="s">
        <v>8368</v>
      </c>
      <c r="H2387" s="36" t="s">
        <v>5927</v>
      </c>
      <c r="I2387" s="35"/>
      <c r="J2387" s="36" t="s">
        <v>929</v>
      </c>
      <c r="K2387" s="33" t="s">
        <v>916</v>
      </c>
      <c r="L2387" s="35" t="s">
        <v>916</v>
      </c>
      <c r="M2387" s="36" t="s">
        <v>916</v>
      </c>
      <c r="N2387" s="45">
        <v>46022</v>
      </c>
      <c r="O2387" s="36" t="s">
        <v>25</v>
      </c>
      <c r="P2387" s="38">
        <v>138.325625</v>
      </c>
      <c r="Q2387" s="39" t="s">
        <v>8369</v>
      </c>
      <c r="R2387" s="35" t="s">
        <v>916</v>
      </c>
      <c r="S2387" s="35"/>
      <c r="T2387" s="35" t="s">
        <v>1701</v>
      </c>
      <c r="U2387" s="40">
        <v>45884</v>
      </c>
      <c r="V2387" s="41">
        <v>46153.533113425925</v>
      </c>
      <c r="W2387" s="40">
        <v>45883</v>
      </c>
      <c r="X2387" s="35" t="s">
        <v>916</v>
      </c>
      <c r="Y2387" s="35" t="s">
        <v>916</v>
      </c>
      <c r="Z2387" s="35" t="s">
        <v>916</v>
      </c>
      <c r="AA2387" s="38">
        <v>3319.8150000000001</v>
      </c>
      <c r="AB2387" s="42" t="s">
        <v>916</v>
      </c>
      <c r="AC2387" s="43" t="s">
        <v>916</v>
      </c>
      <c r="AD2387" s="43" t="s">
        <v>916</v>
      </c>
      <c r="AE2387" s="33" t="s">
        <v>3982</v>
      </c>
      <c r="AF2387" s="35" t="s">
        <v>916</v>
      </c>
      <c r="AG2387" s="44">
        <v>487552.18527777778</v>
      </c>
      <c r="AH2387" s="42" t="s">
        <v>916</v>
      </c>
      <c r="AI2387" s="32" t="e">
        <f>VLOOKUP(A2387,'4月明細'!B:B,1,0)</f>
        <v>#N/A</v>
      </c>
    </row>
    <row r="2388" spans="1:35" ht="19.95" customHeight="1" x14ac:dyDescent="0.3">
      <c r="A2388" s="33" t="s">
        <v>8370</v>
      </c>
      <c r="B2388" s="34">
        <v>45883.641574074078</v>
      </c>
      <c r="C2388" s="34" t="str">
        <f t="shared" si="50"/>
        <v>202508</v>
      </c>
      <c r="D2388" s="35" t="s">
        <v>996</v>
      </c>
      <c r="E2388" s="36" t="s">
        <v>910</v>
      </c>
      <c r="F2388" s="36" t="s">
        <v>1830</v>
      </c>
      <c r="G2388" s="37" t="s">
        <v>1472</v>
      </c>
      <c r="H2388" s="36" t="s">
        <v>1114</v>
      </c>
      <c r="I2388" s="35" t="s">
        <v>1362</v>
      </c>
      <c r="J2388" s="36" t="s">
        <v>914</v>
      </c>
      <c r="K2388" s="33" t="s">
        <v>916</v>
      </c>
      <c r="L2388" s="35" t="s">
        <v>916</v>
      </c>
      <c r="M2388" s="36" t="s">
        <v>916</v>
      </c>
      <c r="N2388" s="45">
        <v>46022</v>
      </c>
      <c r="O2388" s="36" t="s">
        <v>25</v>
      </c>
      <c r="P2388" s="38">
        <v>138.35842592590001</v>
      </c>
      <c r="Q2388" s="39" t="s">
        <v>6767</v>
      </c>
      <c r="R2388" s="35" t="s">
        <v>916</v>
      </c>
      <c r="S2388" s="35"/>
      <c r="T2388" s="35" t="s">
        <v>1701</v>
      </c>
      <c r="U2388" s="40">
        <v>45884</v>
      </c>
      <c r="V2388" s="41">
        <v>46153.533113425925</v>
      </c>
      <c r="W2388" s="40">
        <v>45883</v>
      </c>
      <c r="X2388" s="35" t="s">
        <v>916</v>
      </c>
      <c r="Y2388" s="35" t="s">
        <v>916</v>
      </c>
      <c r="Z2388" s="35" t="s">
        <v>916</v>
      </c>
      <c r="AA2388" s="38">
        <v>3320.6022222216002</v>
      </c>
      <c r="AB2388" s="42" t="s">
        <v>916</v>
      </c>
      <c r="AC2388" s="43" t="s">
        <v>916</v>
      </c>
      <c r="AD2388" s="43" t="s">
        <v>916</v>
      </c>
      <c r="AE2388" s="33" t="s">
        <v>3982</v>
      </c>
      <c r="AF2388" s="35" t="s">
        <v>916</v>
      </c>
      <c r="AG2388" s="44">
        <v>487551.39777777769</v>
      </c>
      <c r="AH2388" s="42" t="s">
        <v>916</v>
      </c>
      <c r="AI2388" s="32" t="e">
        <f>VLOOKUP(A2388,'4月明細'!B:B,1,0)</f>
        <v>#N/A</v>
      </c>
    </row>
    <row r="2389" spans="1:35" ht="19.95" customHeight="1" x14ac:dyDescent="0.3">
      <c r="A2389" s="33" t="s">
        <v>8371</v>
      </c>
      <c r="B2389" s="34">
        <v>45883.626631944448</v>
      </c>
      <c r="C2389" s="34" t="str">
        <f t="shared" si="50"/>
        <v>202508</v>
      </c>
      <c r="D2389" s="35" t="s">
        <v>996</v>
      </c>
      <c r="E2389" s="36" t="s">
        <v>910</v>
      </c>
      <c r="F2389" s="36" t="s">
        <v>1032</v>
      </c>
      <c r="G2389" s="37" t="s">
        <v>8372</v>
      </c>
      <c r="H2389" s="36" t="s">
        <v>1048</v>
      </c>
      <c r="I2389" s="35" t="s">
        <v>1362</v>
      </c>
      <c r="J2389" s="36" t="s">
        <v>929</v>
      </c>
      <c r="K2389" s="33" t="s">
        <v>916</v>
      </c>
      <c r="L2389" s="35" t="s">
        <v>916</v>
      </c>
      <c r="M2389" s="36" t="s">
        <v>916</v>
      </c>
      <c r="N2389" s="45">
        <v>46022</v>
      </c>
      <c r="O2389" s="36" t="s">
        <v>25</v>
      </c>
      <c r="P2389" s="38">
        <v>138.3733680556</v>
      </c>
      <c r="Q2389" s="39" t="s">
        <v>8241</v>
      </c>
      <c r="R2389" s="35" t="s">
        <v>916</v>
      </c>
      <c r="S2389" s="35"/>
      <c r="T2389" s="35" t="s">
        <v>1701</v>
      </c>
      <c r="U2389" s="40">
        <v>45884</v>
      </c>
      <c r="V2389" s="41">
        <v>46153.533113425925</v>
      </c>
      <c r="W2389" s="40">
        <v>45883</v>
      </c>
      <c r="X2389" s="35" t="s">
        <v>916</v>
      </c>
      <c r="Y2389" s="35" t="s">
        <v>916</v>
      </c>
      <c r="Z2389" s="35" t="s">
        <v>916</v>
      </c>
      <c r="AA2389" s="38">
        <v>3320.9608333343999</v>
      </c>
      <c r="AB2389" s="42" t="s">
        <v>916</v>
      </c>
      <c r="AC2389" s="43" t="s">
        <v>916</v>
      </c>
      <c r="AD2389" s="43" t="s">
        <v>916</v>
      </c>
      <c r="AE2389" s="33" t="s">
        <v>3982</v>
      </c>
      <c r="AF2389" s="35" t="s">
        <v>916</v>
      </c>
      <c r="AG2389" s="44">
        <v>487551.03916666668</v>
      </c>
      <c r="AH2389" s="42" t="s">
        <v>916</v>
      </c>
      <c r="AI2389" s="32" t="e">
        <f>VLOOKUP(A2389,'4月明細'!B:B,1,0)</f>
        <v>#N/A</v>
      </c>
    </row>
    <row r="2390" spans="1:35" ht="19.95" customHeight="1" x14ac:dyDescent="0.3">
      <c r="A2390" s="33" t="s">
        <v>8373</v>
      </c>
      <c r="B2390" s="34">
        <v>45883.588217592594</v>
      </c>
      <c r="C2390" s="34" t="str">
        <f t="shared" si="50"/>
        <v>202508</v>
      </c>
      <c r="D2390" s="35" t="s">
        <v>996</v>
      </c>
      <c r="E2390" s="36" t="s">
        <v>910</v>
      </c>
      <c r="F2390" s="36" t="s">
        <v>1720</v>
      </c>
      <c r="G2390" s="37" t="s">
        <v>8374</v>
      </c>
      <c r="H2390" s="36" t="s">
        <v>7588</v>
      </c>
      <c r="I2390" s="35"/>
      <c r="J2390" s="36" t="s">
        <v>929</v>
      </c>
      <c r="K2390" s="33" t="s">
        <v>916</v>
      </c>
      <c r="L2390" s="35" t="s">
        <v>916</v>
      </c>
      <c r="M2390" s="36" t="s">
        <v>916</v>
      </c>
      <c r="N2390" s="45">
        <v>46022</v>
      </c>
      <c r="O2390" s="36" t="s">
        <v>25</v>
      </c>
      <c r="P2390" s="38">
        <v>138.41178240740001</v>
      </c>
      <c r="Q2390" s="39" t="s">
        <v>2303</v>
      </c>
      <c r="R2390" s="35" t="s">
        <v>916</v>
      </c>
      <c r="S2390" s="35" t="s">
        <v>8375</v>
      </c>
      <c r="T2390" s="35" t="s">
        <v>1701</v>
      </c>
      <c r="U2390" s="40">
        <v>45884</v>
      </c>
      <c r="V2390" s="41">
        <v>46153.533113425925</v>
      </c>
      <c r="W2390" s="40">
        <v>45883</v>
      </c>
      <c r="X2390" s="35" t="s">
        <v>916</v>
      </c>
      <c r="Y2390" s="35" t="s">
        <v>916</v>
      </c>
      <c r="Z2390" s="35" t="s">
        <v>916</v>
      </c>
      <c r="AA2390" s="38">
        <v>3321.8827777776</v>
      </c>
      <c r="AB2390" s="42" t="s">
        <v>916</v>
      </c>
      <c r="AC2390" s="43" t="s">
        <v>916</v>
      </c>
      <c r="AD2390" s="43" t="s">
        <v>916</v>
      </c>
      <c r="AE2390" s="33" t="s">
        <v>3982</v>
      </c>
      <c r="AF2390" s="35" t="s">
        <v>916</v>
      </c>
      <c r="AG2390" s="44">
        <v>487550.11722222232</v>
      </c>
      <c r="AH2390" s="42" t="s">
        <v>916</v>
      </c>
      <c r="AI2390" s="32" t="e">
        <f>VLOOKUP(A2390,'4月明細'!B:B,1,0)</f>
        <v>#N/A</v>
      </c>
    </row>
    <row r="2391" spans="1:35" ht="19.95" customHeight="1" x14ac:dyDescent="0.3">
      <c r="A2391" s="33" t="s">
        <v>8376</v>
      </c>
      <c r="B2391" s="34">
        <v>45883.584166666667</v>
      </c>
      <c r="C2391" s="34" t="str">
        <f t="shared" si="50"/>
        <v>202508</v>
      </c>
      <c r="D2391" s="35" t="s">
        <v>996</v>
      </c>
      <c r="E2391" s="36" t="s">
        <v>910</v>
      </c>
      <c r="F2391" s="36" t="s">
        <v>1720</v>
      </c>
      <c r="G2391" s="37" t="s">
        <v>8377</v>
      </c>
      <c r="H2391" s="36" t="s">
        <v>7825</v>
      </c>
      <c r="I2391" s="35" t="s">
        <v>1362</v>
      </c>
      <c r="J2391" s="36" t="s">
        <v>929</v>
      </c>
      <c r="K2391" s="33" t="s">
        <v>916</v>
      </c>
      <c r="L2391" s="35" t="s">
        <v>916</v>
      </c>
      <c r="M2391" s="36" t="s">
        <v>916</v>
      </c>
      <c r="N2391" s="45">
        <v>46022</v>
      </c>
      <c r="O2391" s="36" t="s">
        <v>25</v>
      </c>
      <c r="P2391" s="38">
        <v>138.41583333329999</v>
      </c>
      <c r="Q2391" s="39" t="s">
        <v>1071</v>
      </c>
      <c r="R2391" s="35" t="s">
        <v>916</v>
      </c>
      <c r="S2391" s="35"/>
      <c r="T2391" s="35" t="s">
        <v>1701</v>
      </c>
      <c r="U2391" s="40">
        <v>45884</v>
      </c>
      <c r="V2391" s="41">
        <v>46153.533113425925</v>
      </c>
      <c r="W2391" s="40">
        <v>45883</v>
      </c>
      <c r="X2391" s="35" t="s">
        <v>916</v>
      </c>
      <c r="Y2391" s="35" t="s">
        <v>916</v>
      </c>
      <c r="Z2391" s="35" t="s">
        <v>916</v>
      </c>
      <c r="AA2391" s="38">
        <v>3321.9799999992001</v>
      </c>
      <c r="AB2391" s="42" t="s">
        <v>916</v>
      </c>
      <c r="AC2391" s="43" t="s">
        <v>916</v>
      </c>
      <c r="AD2391" s="43" t="s">
        <v>916</v>
      </c>
      <c r="AE2391" s="33" t="s">
        <v>3982</v>
      </c>
      <c r="AF2391" s="35" t="s">
        <v>916</v>
      </c>
      <c r="AG2391" s="44">
        <v>487550.02</v>
      </c>
      <c r="AH2391" s="42" t="s">
        <v>916</v>
      </c>
      <c r="AI2391" s="32" t="e">
        <f>VLOOKUP(A2391,'4月明細'!B:B,1,0)</f>
        <v>#N/A</v>
      </c>
    </row>
    <row r="2392" spans="1:35" ht="19.95" customHeight="1" x14ac:dyDescent="0.3">
      <c r="A2392" s="33" t="s">
        <v>8378</v>
      </c>
      <c r="B2392" s="34">
        <v>45883.455787037034</v>
      </c>
      <c r="C2392" s="34" t="str">
        <f t="shared" si="50"/>
        <v>202508</v>
      </c>
      <c r="D2392" s="35" t="s">
        <v>951</v>
      </c>
      <c r="E2392" s="36" t="s">
        <v>910</v>
      </c>
      <c r="F2392" s="36" t="s">
        <v>1386</v>
      </c>
      <c r="G2392" s="37" t="s">
        <v>8379</v>
      </c>
      <c r="H2392" s="36" t="s">
        <v>4324</v>
      </c>
      <c r="I2392" s="35" t="s">
        <v>8380</v>
      </c>
      <c r="J2392" s="36" t="s">
        <v>929</v>
      </c>
      <c r="K2392" s="33" t="s">
        <v>916</v>
      </c>
      <c r="L2392" s="35" t="s">
        <v>916</v>
      </c>
      <c r="M2392" s="36" t="s">
        <v>916</v>
      </c>
      <c r="N2392" s="45">
        <v>46022</v>
      </c>
      <c r="O2392" s="36" t="s">
        <v>25</v>
      </c>
      <c r="P2392" s="38">
        <v>138.54421296300001</v>
      </c>
      <c r="Q2392" s="39" t="s">
        <v>6767</v>
      </c>
      <c r="R2392" s="35" t="s">
        <v>916</v>
      </c>
      <c r="S2392" s="35"/>
      <c r="T2392" s="35" t="s">
        <v>1701</v>
      </c>
      <c r="U2392" s="40">
        <v>45884</v>
      </c>
      <c r="V2392" s="41">
        <v>46153.533113425925</v>
      </c>
      <c r="W2392" s="40">
        <v>45883</v>
      </c>
      <c r="X2392" s="35" t="s">
        <v>916</v>
      </c>
      <c r="Y2392" s="35" t="s">
        <v>916</v>
      </c>
      <c r="Z2392" s="35" t="s">
        <v>916</v>
      </c>
      <c r="AA2392" s="38">
        <v>3325.0611111120002</v>
      </c>
      <c r="AB2392" s="42" t="s">
        <v>916</v>
      </c>
      <c r="AC2392" s="43" t="s">
        <v>916</v>
      </c>
      <c r="AD2392" s="43" t="s">
        <v>916</v>
      </c>
      <c r="AE2392" s="33" t="s">
        <v>3982</v>
      </c>
      <c r="AF2392" s="35" t="s">
        <v>916</v>
      </c>
      <c r="AG2392" s="44">
        <v>487546.93888888892</v>
      </c>
      <c r="AH2392" s="42" t="s">
        <v>916</v>
      </c>
      <c r="AI2392" s="32" t="e">
        <f>VLOOKUP(A2392,'4月明細'!B:B,1,0)</f>
        <v>#N/A</v>
      </c>
    </row>
    <row r="2393" spans="1:35" ht="19.95" customHeight="1" x14ac:dyDescent="0.3">
      <c r="A2393" s="33" t="s">
        <v>8381</v>
      </c>
      <c r="B2393" s="34">
        <v>45883.522789351853</v>
      </c>
      <c r="C2393" s="34" t="str">
        <f t="shared" si="50"/>
        <v>202508</v>
      </c>
      <c r="D2393" s="35" t="s">
        <v>996</v>
      </c>
      <c r="E2393" s="36" t="s">
        <v>910</v>
      </c>
      <c r="F2393" s="36" t="s">
        <v>952</v>
      </c>
      <c r="G2393" s="37" t="s">
        <v>8382</v>
      </c>
      <c r="H2393" s="36" t="s">
        <v>5586</v>
      </c>
      <c r="I2393" s="35" t="s">
        <v>1362</v>
      </c>
      <c r="J2393" s="36" t="s">
        <v>929</v>
      </c>
      <c r="K2393" s="33" t="s">
        <v>916</v>
      </c>
      <c r="L2393" s="35" t="s">
        <v>916</v>
      </c>
      <c r="M2393" s="36" t="s">
        <v>916</v>
      </c>
      <c r="N2393" s="45">
        <v>46022</v>
      </c>
      <c r="O2393" s="36" t="s">
        <v>25</v>
      </c>
      <c r="P2393" s="38">
        <v>138.4772106481</v>
      </c>
      <c r="Q2393" s="39" t="s">
        <v>1328</v>
      </c>
      <c r="R2393" s="35" t="s">
        <v>916</v>
      </c>
      <c r="S2393" s="35"/>
      <c r="T2393" s="35" t="s">
        <v>1701</v>
      </c>
      <c r="U2393" s="40">
        <v>45884</v>
      </c>
      <c r="V2393" s="41">
        <v>46153.533113425925</v>
      </c>
      <c r="W2393" s="40">
        <v>45883</v>
      </c>
      <c r="X2393" s="35" t="s">
        <v>916</v>
      </c>
      <c r="Y2393" s="35" t="s">
        <v>916</v>
      </c>
      <c r="Z2393" s="35" t="s">
        <v>916</v>
      </c>
      <c r="AA2393" s="38">
        <v>3323.4530555544002</v>
      </c>
      <c r="AB2393" s="42" t="s">
        <v>916</v>
      </c>
      <c r="AC2393" s="43" t="s">
        <v>916</v>
      </c>
      <c r="AD2393" s="43" t="s">
        <v>916</v>
      </c>
      <c r="AE2393" s="33" t="s">
        <v>3982</v>
      </c>
      <c r="AF2393" s="35" t="s">
        <v>916</v>
      </c>
      <c r="AG2393" s="44">
        <v>487548.54694444448</v>
      </c>
      <c r="AH2393" s="42" t="s">
        <v>916</v>
      </c>
      <c r="AI2393" s="32" t="e">
        <f>VLOOKUP(A2393,'4月明細'!B:B,1,0)</f>
        <v>#N/A</v>
      </c>
    </row>
    <row r="2394" spans="1:35" ht="19.95" customHeight="1" x14ac:dyDescent="0.3">
      <c r="A2394" s="33" t="s">
        <v>8383</v>
      </c>
      <c r="B2394" s="34">
        <v>45883.486585648148</v>
      </c>
      <c r="C2394" s="34" t="str">
        <f t="shared" si="50"/>
        <v>202508</v>
      </c>
      <c r="D2394" s="35" t="s">
        <v>996</v>
      </c>
      <c r="E2394" s="36" t="s">
        <v>910</v>
      </c>
      <c r="F2394" s="36" t="s">
        <v>1220</v>
      </c>
      <c r="G2394" s="37" t="s">
        <v>8384</v>
      </c>
      <c r="H2394" s="36" t="s">
        <v>7825</v>
      </c>
      <c r="I2394" s="35"/>
      <c r="J2394" s="36" t="s">
        <v>929</v>
      </c>
      <c r="K2394" s="33" t="s">
        <v>916</v>
      </c>
      <c r="L2394" s="35" t="s">
        <v>916</v>
      </c>
      <c r="M2394" s="36" t="s">
        <v>916</v>
      </c>
      <c r="N2394" s="45">
        <v>46022</v>
      </c>
      <c r="O2394" s="36" t="s">
        <v>25</v>
      </c>
      <c r="P2394" s="38">
        <v>138.5134143519</v>
      </c>
      <c r="Q2394" s="39" t="s">
        <v>8385</v>
      </c>
      <c r="R2394" s="35" t="s">
        <v>916</v>
      </c>
      <c r="S2394" s="35"/>
      <c r="T2394" s="35" t="s">
        <v>1701</v>
      </c>
      <c r="U2394" s="40">
        <v>45884</v>
      </c>
      <c r="V2394" s="41">
        <v>46153.533113425925</v>
      </c>
      <c r="W2394" s="40">
        <v>45883</v>
      </c>
      <c r="X2394" s="35" t="s">
        <v>916</v>
      </c>
      <c r="Y2394" s="35" t="s">
        <v>916</v>
      </c>
      <c r="Z2394" s="35" t="s">
        <v>916</v>
      </c>
      <c r="AA2394" s="38">
        <v>3324.3219444455999</v>
      </c>
      <c r="AB2394" s="42" t="s">
        <v>916</v>
      </c>
      <c r="AC2394" s="43" t="s">
        <v>916</v>
      </c>
      <c r="AD2394" s="43" t="s">
        <v>916</v>
      </c>
      <c r="AE2394" s="33" t="s">
        <v>3982</v>
      </c>
      <c r="AF2394" s="35" t="s">
        <v>916</v>
      </c>
      <c r="AG2394" s="44">
        <v>487547.67805555562</v>
      </c>
      <c r="AH2394" s="42" t="s">
        <v>916</v>
      </c>
      <c r="AI2394" s="32" t="e">
        <f>VLOOKUP(A2394,'4月明細'!B:B,1,0)</f>
        <v>#N/A</v>
      </c>
    </row>
    <row r="2395" spans="1:35" ht="19.95" customHeight="1" x14ac:dyDescent="0.3">
      <c r="A2395" s="33" t="s">
        <v>8386</v>
      </c>
      <c r="B2395" s="34">
        <v>45883.444953703707</v>
      </c>
      <c r="C2395" s="34" t="str">
        <f t="shared" si="50"/>
        <v>202508</v>
      </c>
      <c r="D2395" s="35" t="s">
        <v>951</v>
      </c>
      <c r="E2395" s="36" t="s">
        <v>910</v>
      </c>
      <c r="F2395" s="36" t="s">
        <v>2090</v>
      </c>
      <c r="G2395" s="37" t="s">
        <v>8387</v>
      </c>
      <c r="H2395" s="36" t="s">
        <v>1114</v>
      </c>
      <c r="I2395" s="35" t="s">
        <v>8388</v>
      </c>
      <c r="J2395" s="36" t="s">
        <v>938</v>
      </c>
      <c r="K2395" s="33" t="s">
        <v>916</v>
      </c>
      <c r="L2395" s="35" t="s">
        <v>916</v>
      </c>
      <c r="M2395" s="36" t="s">
        <v>916</v>
      </c>
      <c r="N2395" s="45">
        <v>46022</v>
      </c>
      <c r="O2395" s="36" t="s">
        <v>25</v>
      </c>
      <c r="P2395" s="38">
        <v>138.55504629629999</v>
      </c>
      <c r="Q2395" s="39" t="s">
        <v>8389</v>
      </c>
      <c r="R2395" s="35" t="s">
        <v>916</v>
      </c>
      <c r="S2395" s="35"/>
      <c r="T2395" s="35" t="s">
        <v>1701</v>
      </c>
      <c r="U2395" s="40">
        <v>45884</v>
      </c>
      <c r="V2395" s="41">
        <v>46153.533113425925</v>
      </c>
      <c r="W2395" s="40">
        <v>45883</v>
      </c>
      <c r="X2395" s="35" t="s">
        <v>916</v>
      </c>
      <c r="Y2395" s="35" t="s">
        <v>916</v>
      </c>
      <c r="Z2395" s="35" t="s">
        <v>916</v>
      </c>
      <c r="AA2395" s="38">
        <v>3325.3211111112</v>
      </c>
      <c r="AB2395" s="42" t="s">
        <v>916</v>
      </c>
      <c r="AC2395" s="43" t="s">
        <v>916</v>
      </c>
      <c r="AD2395" s="43" t="s">
        <v>916</v>
      </c>
      <c r="AE2395" s="33" t="s">
        <v>3982</v>
      </c>
      <c r="AF2395" s="35" t="s">
        <v>916</v>
      </c>
      <c r="AG2395" s="44">
        <v>487546.67888888891</v>
      </c>
      <c r="AH2395" s="42" t="s">
        <v>916</v>
      </c>
      <c r="AI2395" s="32" t="e">
        <f>VLOOKUP(A2395,'4月明細'!B:B,1,0)</f>
        <v>#N/A</v>
      </c>
    </row>
    <row r="2396" spans="1:35" ht="19.95" customHeight="1" x14ac:dyDescent="0.3">
      <c r="A2396" s="33" t="s">
        <v>8390</v>
      </c>
      <c r="B2396" s="34">
        <v>45883.444398148145</v>
      </c>
      <c r="C2396" s="34" t="str">
        <f t="shared" si="50"/>
        <v>202508</v>
      </c>
      <c r="D2396" s="35" t="s">
        <v>951</v>
      </c>
      <c r="E2396" s="36" t="s">
        <v>910</v>
      </c>
      <c r="F2396" s="36" t="s">
        <v>981</v>
      </c>
      <c r="G2396" s="37" t="s">
        <v>8391</v>
      </c>
      <c r="H2396" s="36" t="s">
        <v>956</v>
      </c>
      <c r="I2396" s="35" t="s">
        <v>8392</v>
      </c>
      <c r="J2396" s="36" t="s">
        <v>914</v>
      </c>
      <c r="K2396" s="33" t="s">
        <v>916</v>
      </c>
      <c r="L2396" s="35" t="s">
        <v>916</v>
      </c>
      <c r="M2396" s="36" t="s">
        <v>916</v>
      </c>
      <c r="N2396" s="45">
        <v>46022</v>
      </c>
      <c r="O2396" s="36" t="s">
        <v>25</v>
      </c>
      <c r="P2396" s="38">
        <v>138.55560185190001</v>
      </c>
      <c r="Q2396" s="39" t="s">
        <v>5957</v>
      </c>
      <c r="R2396" s="35" t="s">
        <v>916</v>
      </c>
      <c r="S2396" s="35"/>
      <c r="T2396" s="35" t="s">
        <v>1701</v>
      </c>
      <c r="U2396" s="40">
        <v>45884</v>
      </c>
      <c r="V2396" s="41">
        <v>46153.533125000002</v>
      </c>
      <c r="W2396" s="40">
        <v>45883</v>
      </c>
      <c r="X2396" s="35" t="s">
        <v>916</v>
      </c>
      <c r="Y2396" s="35" t="s">
        <v>916</v>
      </c>
      <c r="Z2396" s="35" t="s">
        <v>916</v>
      </c>
      <c r="AA2396" s="38">
        <v>3325.3344444456002</v>
      </c>
      <c r="AB2396" s="42" t="s">
        <v>916</v>
      </c>
      <c r="AC2396" s="43" t="s">
        <v>916</v>
      </c>
      <c r="AD2396" s="43" t="s">
        <v>916</v>
      </c>
      <c r="AE2396" s="33" t="s">
        <v>3982</v>
      </c>
      <c r="AF2396" s="35" t="s">
        <v>916</v>
      </c>
      <c r="AG2396" s="44">
        <v>487546.66555555561</v>
      </c>
      <c r="AH2396" s="42" t="s">
        <v>916</v>
      </c>
      <c r="AI2396" s="32" t="e">
        <f>VLOOKUP(A2396,'4月明細'!B:B,1,0)</f>
        <v>#N/A</v>
      </c>
    </row>
    <row r="2397" spans="1:35" ht="19.95" customHeight="1" x14ac:dyDescent="0.3">
      <c r="A2397" s="33" t="s">
        <v>8393</v>
      </c>
      <c r="B2397" s="34">
        <v>45883.362685185188</v>
      </c>
      <c r="C2397" s="34" t="str">
        <f t="shared" si="50"/>
        <v>202508</v>
      </c>
      <c r="D2397" s="35" t="s">
        <v>3875</v>
      </c>
      <c r="E2397" s="36" t="s">
        <v>1112</v>
      </c>
      <c r="F2397" s="36" t="s">
        <v>987</v>
      </c>
      <c r="G2397" s="37" t="s">
        <v>8394</v>
      </c>
      <c r="H2397" s="36" t="s">
        <v>7610</v>
      </c>
      <c r="I2397" s="35"/>
      <c r="J2397" s="36" t="s">
        <v>929</v>
      </c>
      <c r="K2397" s="33" t="s">
        <v>916</v>
      </c>
      <c r="L2397" s="35" t="s">
        <v>916</v>
      </c>
      <c r="M2397" s="36" t="s">
        <v>916</v>
      </c>
      <c r="N2397" s="45">
        <v>46022</v>
      </c>
      <c r="O2397" s="36" t="s">
        <v>25</v>
      </c>
      <c r="P2397" s="38">
        <v>138.63731481479999</v>
      </c>
      <c r="Q2397" s="39" t="s">
        <v>8395</v>
      </c>
      <c r="R2397" s="35" t="s">
        <v>916</v>
      </c>
      <c r="S2397" s="35"/>
      <c r="T2397" s="35" t="s">
        <v>1701</v>
      </c>
      <c r="U2397" s="40">
        <v>45884</v>
      </c>
      <c r="V2397" s="41">
        <v>46153.533125000002</v>
      </c>
      <c r="W2397" s="40">
        <v>45883</v>
      </c>
      <c r="X2397" s="35" t="s">
        <v>916</v>
      </c>
      <c r="Y2397" s="35" t="s">
        <v>916</v>
      </c>
      <c r="Z2397" s="35" t="s">
        <v>916</v>
      </c>
      <c r="AA2397" s="38">
        <v>3327.2955555551998</v>
      </c>
      <c r="AB2397" s="42" t="s">
        <v>916</v>
      </c>
      <c r="AC2397" s="43" t="s">
        <v>916</v>
      </c>
      <c r="AD2397" s="43" t="s">
        <v>916</v>
      </c>
      <c r="AE2397" s="33" t="s">
        <v>3982</v>
      </c>
      <c r="AF2397" s="35" t="s">
        <v>916</v>
      </c>
      <c r="AG2397" s="44">
        <v>487544.70444444451</v>
      </c>
      <c r="AH2397" s="42" t="s">
        <v>916</v>
      </c>
      <c r="AI2397" s="32" t="e">
        <f>VLOOKUP(A2397,'4月明細'!B:B,1,0)</f>
        <v>#N/A</v>
      </c>
    </row>
    <row r="2398" spans="1:35" ht="19.95" customHeight="1" x14ac:dyDescent="0.3">
      <c r="A2398" s="33" t="s">
        <v>8396</v>
      </c>
      <c r="B2398" s="34">
        <v>45882.667488425926</v>
      </c>
      <c r="C2398" s="34" t="str">
        <f t="shared" si="50"/>
        <v>202508</v>
      </c>
      <c r="D2398" s="35" t="s">
        <v>951</v>
      </c>
      <c r="E2398" s="36" t="s">
        <v>910</v>
      </c>
      <c r="F2398" s="36" t="s">
        <v>1220</v>
      </c>
      <c r="G2398" s="37" t="s">
        <v>8397</v>
      </c>
      <c r="H2398" s="36" t="s">
        <v>7825</v>
      </c>
      <c r="I2398" s="35" t="s">
        <v>8398</v>
      </c>
      <c r="J2398" s="36" t="s">
        <v>929</v>
      </c>
      <c r="K2398" s="33" t="s">
        <v>916</v>
      </c>
      <c r="L2398" s="35" t="s">
        <v>916</v>
      </c>
      <c r="M2398" s="36" t="s">
        <v>916</v>
      </c>
      <c r="N2398" s="45">
        <v>46022</v>
      </c>
      <c r="O2398" s="36" t="s">
        <v>25</v>
      </c>
      <c r="P2398" s="38">
        <v>139.33251157410001</v>
      </c>
      <c r="Q2398" s="39" t="s">
        <v>8399</v>
      </c>
      <c r="R2398" s="35" t="s">
        <v>916</v>
      </c>
      <c r="S2398" s="35"/>
      <c r="T2398" s="35" t="s">
        <v>1701</v>
      </c>
      <c r="U2398" s="40">
        <v>45883</v>
      </c>
      <c r="V2398" s="41">
        <v>46153.533125000002</v>
      </c>
      <c r="W2398" s="40">
        <v>45882</v>
      </c>
      <c r="X2398" s="35" t="s">
        <v>916</v>
      </c>
      <c r="Y2398" s="35" t="s">
        <v>916</v>
      </c>
      <c r="Z2398" s="35" t="s">
        <v>916</v>
      </c>
      <c r="AA2398" s="38">
        <v>3343.9802777783998</v>
      </c>
      <c r="AB2398" s="42" t="s">
        <v>916</v>
      </c>
      <c r="AC2398" s="43" t="s">
        <v>916</v>
      </c>
      <c r="AD2398" s="43" t="s">
        <v>916</v>
      </c>
      <c r="AE2398" s="33" t="s">
        <v>3982</v>
      </c>
      <c r="AF2398" s="35" t="s">
        <v>916</v>
      </c>
      <c r="AG2398" s="44">
        <v>487528.01972222218</v>
      </c>
      <c r="AH2398" s="42" t="s">
        <v>916</v>
      </c>
      <c r="AI2398" s="32" t="e">
        <f>VLOOKUP(A2398,'4月明細'!B:B,1,0)</f>
        <v>#N/A</v>
      </c>
    </row>
    <row r="2399" spans="1:35" ht="19.95" customHeight="1" x14ac:dyDescent="0.3">
      <c r="A2399" s="33" t="s">
        <v>8400</v>
      </c>
      <c r="B2399" s="34">
        <v>45882.647129629629</v>
      </c>
      <c r="C2399" s="34" t="str">
        <f t="shared" si="50"/>
        <v>202508</v>
      </c>
      <c r="D2399" s="35" t="s">
        <v>996</v>
      </c>
      <c r="E2399" s="36" t="s">
        <v>910</v>
      </c>
      <c r="F2399" s="36" t="s">
        <v>1227</v>
      </c>
      <c r="G2399" s="37" t="s">
        <v>1018</v>
      </c>
      <c r="H2399" s="36" t="s">
        <v>7825</v>
      </c>
      <c r="I2399" s="35"/>
      <c r="J2399" s="36" t="s">
        <v>929</v>
      </c>
      <c r="K2399" s="33" t="s">
        <v>916</v>
      </c>
      <c r="L2399" s="35" t="s">
        <v>916</v>
      </c>
      <c r="M2399" s="36" t="s">
        <v>916</v>
      </c>
      <c r="N2399" s="45">
        <v>46022</v>
      </c>
      <c r="O2399" s="36" t="s">
        <v>25</v>
      </c>
      <c r="P2399" s="38">
        <v>139.35287037040001</v>
      </c>
      <c r="Q2399" s="39" t="s">
        <v>8401</v>
      </c>
      <c r="R2399" s="35" t="s">
        <v>916</v>
      </c>
      <c r="S2399" s="35"/>
      <c r="T2399" s="35" t="s">
        <v>1701</v>
      </c>
      <c r="U2399" s="40">
        <v>45883</v>
      </c>
      <c r="V2399" s="41">
        <v>46153.533125000002</v>
      </c>
      <c r="W2399" s="40">
        <v>45882</v>
      </c>
      <c r="X2399" s="35" t="s">
        <v>916</v>
      </c>
      <c r="Y2399" s="35" t="s">
        <v>916</v>
      </c>
      <c r="Z2399" s="35" t="s">
        <v>916</v>
      </c>
      <c r="AA2399" s="38">
        <v>3344.4688888895998</v>
      </c>
      <c r="AB2399" s="42" t="s">
        <v>916</v>
      </c>
      <c r="AC2399" s="43" t="s">
        <v>916</v>
      </c>
      <c r="AD2399" s="43" t="s">
        <v>916</v>
      </c>
      <c r="AE2399" s="33" t="s">
        <v>3982</v>
      </c>
      <c r="AF2399" s="35" t="s">
        <v>916</v>
      </c>
      <c r="AG2399" s="44">
        <v>487527.53111111111</v>
      </c>
      <c r="AH2399" s="42" t="s">
        <v>916</v>
      </c>
      <c r="AI2399" s="32" t="e">
        <f>VLOOKUP(A2399,'4月明細'!B:B,1,0)</f>
        <v>#N/A</v>
      </c>
    </row>
    <row r="2400" spans="1:35" ht="19.95" customHeight="1" x14ac:dyDescent="0.3">
      <c r="A2400" s="33" t="s">
        <v>8402</v>
      </c>
      <c r="B2400" s="34">
        <v>45882.567256944443</v>
      </c>
      <c r="C2400" s="34" t="str">
        <f t="shared" si="50"/>
        <v>202508</v>
      </c>
      <c r="D2400" s="35" t="s">
        <v>951</v>
      </c>
      <c r="E2400" s="36" t="s">
        <v>910</v>
      </c>
      <c r="F2400" s="36" t="s">
        <v>1381</v>
      </c>
      <c r="G2400" s="37" t="s">
        <v>8403</v>
      </c>
      <c r="H2400" s="36" t="s">
        <v>1079</v>
      </c>
      <c r="I2400" s="35" t="s">
        <v>8404</v>
      </c>
      <c r="J2400" s="36" t="s">
        <v>929</v>
      </c>
      <c r="K2400" s="33" t="s">
        <v>916</v>
      </c>
      <c r="L2400" s="35" t="s">
        <v>916</v>
      </c>
      <c r="M2400" s="36" t="s">
        <v>916</v>
      </c>
      <c r="N2400" s="45">
        <v>46022</v>
      </c>
      <c r="O2400" s="36" t="s">
        <v>25</v>
      </c>
      <c r="P2400" s="38">
        <v>139.43274305560001</v>
      </c>
      <c r="Q2400" s="39" t="s">
        <v>6940</v>
      </c>
      <c r="R2400" s="35" t="s">
        <v>916</v>
      </c>
      <c r="S2400" s="35"/>
      <c r="T2400" s="35" t="s">
        <v>1701</v>
      </c>
      <c r="U2400" s="40">
        <v>45883</v>
      </c>
      <c r="V2400" s="41">
        <v>46153.533125000002</v>
      </c>
      <c r="W2400" s="40">
        <v>45882</v>
      </c>
      <c r="X2400" s="35" t="s">
        <v>916</v>
      </c>
      <c r="Y2400" s="35" t="s">
        <v>916</v>
      </c>
      <c r="Z2400" s="35" t="s">
        <v>916</v>
      </c>
      <c r="AA2400" s="38">
        <v>3346.3858333344001</v>
      </c>
      <c r="AB2400" s="42" t="s">
        <v>916</v>
      </c>
      <c r="AC2400" s="43" t="s">
        <v>916</v>
      </c>
      <c r="AD2400" s="43" t="s">
        <v>916</v>
      </c>
      <c r="AE2400" s="33" t="s">
        <v>3982</v>
      </c>
      <c r="AF2400" s="35" t="s">
        <v>916</v>
      </c>
      <c r="AG2400" s="44">
        <v>487525.61416666658</v>
      </c>
      <c r="AH2400" s="42" t="s">
        <v>916</v>
      </c>
      <c r="AI2400" s="32" t="e">
        <f>VLOOKUP(A2400,'4月明細'!B:B,1,0)</f>
        <v>#N/A</v>
      </c>
    </row>
    <row r="2401" spans="1:35" ht="19.95" customHeight="1" x14ac:dyDescent="0.3">
      <c r="A2401" s="33" t="s">
        <v>8405</v>
      </c>
      <c r="B2401" s="34">
        <v>45882.556261574071</v>
      </c>
      <c r="C2401" s="34" t="str">
        <f t="shared" si="50"/>
        <v>202508</v>
      </c>
      <c r="D2401" s="35" t="s">
        <v>996</v>
      </c>
      <c r="E2401" s="36" t="s">
        <v>910</v>
      </c>
      <c r="F2401" s="36" t="s">
        <v>1765</v>
      </c>
      <c r="G2401" s="37" t="s">
        <v>8406</v>
      </c>
      <c r="H2401" s="36" t="s">
        <v>4185</v>
      </c>
      <c r="I2401" s="35" t="s">
        <v>8407</v>
      </c>
      <c r="J2401" s="36" t="s">
        <v>929</v>
      </c>
      <c r="K2401" s="33" t="s">
        <v>916</v>
      </c>
      <c r="L2401" s="35" t="s">
        <v>916</v>
      </c>
      <c r="M2401" s="36" t="s">
        <v>916</v>
      </c>
      <c r="N2401" s="45">
        <v>46022</v>
      </c>
      <c r="O2401" s="36" t="s">
        <v>25</v>
      </c>
      <c r="P2401" s="38">
        <v>139.44373842589999</v>
      </c>
      <c r="Q2401" s="39" t="s">
        <v>5957</v>
      </c>
      <c r="R2401" s="35" t="s">
        <v>916</v>
      </c>
      <c r="S2401" s="35"/>
      <c r="T2401" s="35" t="s">
        <v>1701</v>
      </c>
      <c r="U2401" s="40">
        <v>45883</v>
      </c>
      <c r="V2401" s="41">
        <v>46153.533125000002</v>
      </c>
      <c r="W2401" s="40">
        <v>45882</v>
      </c>
      <c r="X2401" s="35" t="s">
        <v>916</v>
      </c>
      <c r="Y2401" s="35" t="s">
        <v>916</v>
      </c>
      <c r="Z2401" s="35" t="s">
        <v>916</v>
      </c>
      <c r="AA2401" s="38">
        <v>3346.6497222215999</v>
      </c>
      <c r="AB2401" s="42" t="s">
        <v>916</v>
      </c>
      <c r="AC2401" s="43" t="s">
        <v>916</v>
      </c>
      <c r="AD2401" s="43" t="s">
        <v>916</v>
      </c>
      <c r="AE2401" s="33" t="s">
        <v>3982</v>
      </c>
      <c r="AF2401" s="35" t="s">
        <v>916</v>
      </c>
      <c r="AG2401" s="44">
        <v>487525.35027777782</v>
      </c>
      <c r="AH2401" s="42" t="s">
        <v>916</v>
      </c>
      <c r="AI2401" s="32" t="e">
        <f>VLOOKUP(A2401,'4月明細'!B:B,1,0)</f>
        <v>#N/A</v>
      </c>
    </row>
    <row r="2402" spans="1:35" ht="19.95" customHeight="1" x14ac:dyDescent="0.3">
      <c r="A2402" s="33" t="s">
        <v>8408</v>
      </c>
      <c r="B2402" s="34">
        <v>45882.519884259258</v>
      </c>
      <c r="C2402" s="34" t="str">
        <f t="shared" si="50"/>
        <v>202508</v>
      </c>
      <c r="D2402" s="35" t="s">
        <v>996</v>
      </c>
      <c r="E2402" s="36" t="s">
        <v>1112</v>
      </c>
      <c r="F2402" s="36" t="s">
        <v>947</v>
      </c>
      <c r="G2402" s="37" t="s">
        <v>8409</v>
      </c>
      <c r="H2402" s="36" t="s">
        <v>4401</v>
      </c>
      <c r="I2402" s="35" t="s">
        <v>8410</v>
      </c>
      <c r="J2402" s="36" t="s">
        <v>929</v>
      </c>
      <c r="K2402" s="33" t="s">
        <v>916</v>
      </c>
      <c r="L2402" s="35" t="s">
        <v>916</v>
      </c>
      <c r="M2402" s="36" t="s">
        <v>916</v>
      </c>
      <c r="N2402" s="45">
        <v>46022</v>
      </c>
      <c r="O2402" s="36" t="s">
        <v>25</v>
      </c>
      <c r="P2402" s="38">
        <v>139.4801157407</v>
      </c>
      <c r="Q2402" s="39" t="s">
        <v>5957</v>
      </c>
      <c r="R2402" s="35" t="s">
        <v>916</v>
      </c>
      <c r="S2402" s="35"/>
      <c r="T2402" s="35" t="s">
        <v>1701</v>
      </c>
      <c r="U2402" s="40">
        <v>45883</v>
      </c>
      <c r="V2402" s="41">
        <v>46153.533125000002</v>
      </c>
      <c r="W2402" s="40">
        <v>45882</v>
      </c>
      <c r="X2402" s="35" t="s">
        <v>916</v>
      </c>
      <c r="Y2402" s="35" t="s">
        <v>916</v>
      </c>
      <c r="Z2402" s="35" t="s">
        <v>916</v>
      </c>
      <c r="AA2402" s="38">
        <v>3347.5227777768</v>
      </c>
      <c r="AB2402" s="42" t="s">
        <v>916</v>
      </c>
      <c r="AC2402" s="43" t="s">
        <v>916</v>
      </c>
      <c r="AD2402" s="43" t="s">
        <v>916</v>
      </c>
      <c r="AE2402" s="33" t="s">
        <v>3982</v>
      </c>
      <c r="AF2402" s="35" t="s">
        <v>916</v>
      </c>
      <c r="AG2402" s="44">
        <v>487524.47722222231</v>
      </c>
      <c r="AH2402" s="42" t="s">
        <v>916</v>
      </c>
      <c r="AI2402" s="32" t="e">
        <f>VLOOKUP(A2402,'4月明細'!B:B,1,0)</f>
        <v>#N/A</v>
      </c>
    </row>
    <row r="2403" spans="1:35" ht="19.95" customHeight="1" x14ac:dyDescent="0.3">
      <c r="A2403" s="33" t="s">
        <v>8411</v>
      </c>
      <c r="B2403" s="34">
        <v>45882.465682870374</v>
      </c>
      <c r="C2403" s="34" t="str">
        <f t="shared" si="50"/>
        <v>202508</v>
      </c>
      <c r="D2403" s="35" t="s">
        <v>996</v>
      </c>
      <c r="E2403" s="36" t="s">
        <v>910</v>
      </c>
      <c r="F2403" s="36" t="s">
        <v>2804</v>
      </c>
      <c r="G2403" s="37" t="s">
        <v>8412</v>
      </c>
      <c r="H2403" s="36" t="s">
        <v>4481</v>
      </c>
      <c r="I2403" s="35" t="s">
        <v>1362</v>
      </c>
      <c r="J2403" s="36" t="s">
        <v>914</v>
      </c>
      <c r="K2403" s="33" t="s">
        <v>916</v>
      </c>
      <c r="L2403" s="35" t="s">
        <v>916</v>
      </c>
      <c r="M2403" s="36" t="s">
        <v>916</v>
      </c>
      <c r="N2403" s="45">
        <v>46022</v>
      </c>
      <c r="O2403" s="36" t="s">
        <v>25</v>
      </c>
      <c r="P2403" s="38">
        <v>139.5343171296</v>
      </c>
      <c r="Q2403" s="39" t="s">
        <v>1328</v>
      </c>
      <c r="R2403" s="35" t="s">
        <v>916</v>
      </c>
      <c r="S2403" s="35"/>
      <c r="T2403" s="35" t="s">
        <v>1701</v>
      </c>
      <c r="U2403" s="40">
        <v>45883</v>
      </c>
      <c r="V2403" s="41">
        <v>46153.533125000002</v>
      </c>
      <c r="W2403" s="40">
        <v>45882</v>
      </c>
      <c r="X2403" s="35" t="s">
        <v>916</v>
      </c>
      <c r="Y2403" s="35" t="s">
        <v>916</v>
      </c>
      <c r="Z2403" s="35" t="s">
        <v>916</v>
      </c>
      <c r="AA2403" s="38">
        <v>3348.8236111104002</v>
      </c>
      <c r="AB2403" s="42" t="s">
        <v>916</v>
      </c>
      <c r="AC2403" s="43" t="s">
        <v>916</v>
      </c>
      <c r="AD2403" s="43" t="s">
        <v>916</v>
      </c>
      <c r="AE2403" s="33" t="s">
        <v>3982</v>
      </c>
      <c r="AF2403" s="35" t="s">
        <v>916</v>
      </c>
      <c r="AG2403" s="44">
        <v>487523.17638888891</v>
      </c>
      <c r="AH2403" s="42" t="s">
        <v>916</v>
      </c>
      <c r="AI2403" s="32" t="e">
        <f>VLOOKUP(A2403,'4月明細'!B:B,1,0)</f>
        <v>#N/A</v>
      </c>
    </row>
    <row r="2404" spans="1:35" ht="19.95" customHeight="1" x14ac:dyDescent="0.3">
      <c r="A2404" s="33" t="s">
        <v>8413</v>
      </c>
      <c r="B2404" s="34">
        <v>45881.68677083333</v>
      </c>
      <c r="C2404" s="34" t="str">
        <f t="shared" si="50"/>
        <v>202508</v>
      </c>
      <c r="D2404" s="35" t="s">
        <v>5380</v>
      </c>
      <c r="E2404" s="36" t="s">
        <v>910</v>
      </c>
      <c r="F2404" s="36" t="s">
        <v>1469</v>
      </c>
      <c r="G2404" s="37" t="s">
        <v>8414</v>
      </c>
      <c r="H2404" s="36" t="s">
        <v>1048</v>
      </c>
      <c r="I2404" s="35" t="s">
        <v>8415</v>
      </c>
      <c r="J2404" s="36" t="s">
        <v>929</v>
      </c>
      <c r="K2404" s="33" t="s">
        <v>916</v>
      </c>
      <c r="L2404" s="35" t="s">
        <v>916</v>
      </c>
      <c r="M2404" s="36" t="s">
        <v>916</v>
      </c>
      <c r="N2404" s="45">
        <v>46022</v>
      </c>
      <c r="O2404" s="36" t="s">
        <v>25</v>
      </c>
      <c r="P2404" s="38">
        <v>140.31322916670001</v>
      </c>
      <c r="Q2404" s="39" t="s">
        <v>1328</v>
      </c>
      <c r="R2404" s="35" t="s">
        <v>916</v>
      </c>
      <c r="S2404" s="35"/>
      <c r="T2404" s="35" t="s">
        <v>1701</v>
      </c>
      <c r="U2404" s="40">
        <v>45882</v>
      </c>
      <c r="V2404" s="41">
        <v>46153.533125000002</v>
      </c>
      <c r="W2404" s="40">
        <v>45881</v>
      </c>
      <c r="X2404" s="35" t="s">
        <v>916</v>
      </c>
      <c r="Y2404" s="35" t="s">
        <v>916</v>
      </c>
      <c r="Z2404" s="35" t="s">
        <v>916</v>
      </c>
      <c r="AA2404" s="38">
        <v>3367.5175000007998</v>
      </c>
      <c r="AB2404" s="42" t="s">
        <v>916</v>
      </c>
      <c r="AC2404" s="43" t="s">
        <v>916</v>
      </c>
      <c r="AD2404" s="43" t="s">
        <v>916</v>
      </c>
      <c r="AE2404" s="33" t="s">
        <v>3982</v>
      </c>
      <c r="AF2404" s="35" t="s">
        <v>916</v>
      </c>
      <c r="AG2404" s="44">
        <v>487504.48249999998</v>
      </c>
      <c r="AH2404" s="42" t="s">
        <v>916</v>
      </c>
      <c r="AI2404" s="32" t="e">
        <f>VLOOKUP(A2404,'4月明細'!B:B,1,0)</f>
        <v>#N/A</v>
      </c>
    </row>
    <row r="2405" spans="1:35" ht="19.95" customHeight="1" x14ac:dyDescent="0.3">
      <c r="A2405" s="33" t="s">
        <v>8416</v>
      </c>
      <c r="B2405" s="34">
        <v>45881.573148148149</v>
      </c>
      <c r="C2405" s="34" t="str">
        <f t="shared" si="50"/>
        <v>202508</v>
      </c>
      <c r="D2405" s="35" t="s">
        <v>6281</v>
      </c>
      <c r="E2405" s="36" t="s">
        <v>910</v>
      </c>
      <c r="F2405" s="36" t="s">
        <v>1479</v>
      </c>
      <c r="G2405" s="37" t="s">
        <v>8417</v>
      </c>
      <c r="H2405" s="36" t="s">
        <v>4060</v>
      </c>
      <c r="I2405" s="35"/>
      <c r="J2405" s="36" t="s">
        <v>929</v>
      </c>
      <c r="K2405" s="33" t="s">
        <v>916</v>
      </c>
      <c r="L2405" s="35" t="s">
        <v>916</v>
      </c>
      <c r="M2405" s="36" t="s">
        <v>916</v>
      </c>
      <c r="N2405" s="45">
        <v>46022</v>
      </c>
      <c r="O2405" s="36" t="s">
        <v>25</v>
      </c>
      <c r="P2405" s="38">
        <v>140.42685185190001</v>
      </c>
      <c r="Q2405" s="39" t="s">
        <v>8418</v>
      </c>
      <c r="R2405" s="35" t="s">
        <v>916</v>
      </c>
      <c r="S2405" s="35" t="s">
        <v>8419</v>
      </c>
      <c r="T2405" s="35" t="s">
        <v>1701</v>
      </c>
      <c r="U2405" s="40">
        <v>45882</v>
      </c>
      <c r="V2405" s="41">
        <v>46153.533125000002</v>
      </c>
      <c r="W2405" s="40">
        <v>45881</v>
      </c>
      <c r="X2405" s="35" t="s">
        <v>916</v>
      </c>
      <c r="Y2405" s="35" t="s">
        <v>916</v>
      </c>
      <c r="Z2405" s="35" t="s">
        <v>916</v>
      </c>
      <c r="AA2405" s="38">
        <v>3370.2444444456</v>
      </c>
      <c r="AB2405" s="42" t="s">
        <v>916</v>
      </c>
      <c r="AC2405" s="43" t="s">
        <v>916</v>
      </c>
      <c r="AD2405" s="43" t="s">
        <v>916</v>
      </c>
      <c r="AE2405" s="33" t="s">
        <v>3982</v>
      </c>
      <c r="AF2405" s="35" t="s">
        <v>916</v>
      </c>
      <c r="AG2405" s="44">
        <v>487501.75555555557</v>
      </c>
      <c r="AH2405" s="42" t="s">
        <v>916</v>
      </c>
      <c r="AI2405" s="32" t="e">
        <f>VLOOKUP(A2405,'4月明細'!B:B,1,0)</f>
        <v>#N/A</v>
      </c>
    </row>
    <row r="2406" spans="1:35" ht="19.95" customHeight="1" x14ac:dyDescent="0.3">
      <c r="A2406" s="33" t="s">
        <v>8420</v>
      </c>
      <c r="B2406" s="34">
        <v>45881.630706018521</v>
      </c>
      <c r="C2406" s="34" t="str">
        <f t="shared" si="50"/>
        <v>202508</v>
      </c>
      <c r="D2406" s="35" t="s">
        <v>8421</v>
      </c>
      <c r="E2406" s="36" t="s">
        <v>910</v>
      </c>
      <c r="F2406" s="36" t="s">
        <v>1068</v>
      </c>
      <c r="G2406" s="37" t="s">
        <v>8422</v>
      </c>
      <c r="H2406" s="36" t="s">
        <v>4029</v>
      </c>
      <c r="I2406" s="35" t="s">
        <v>8423</v>
      </c>
      <c r="J2406" s="36" t="s">
        <v>929</v>
      </c>
      <c r="K2406" s="33" t="s">
        <v>916</v>
      </c>
      <c r="L2406" s="35" t="s">
        <v>916</v>
      </c>
      <c r="M2406" s="36" t="s">
        <v>916</v>
      </c>
      <c r="N2406" s="45">
        <v>46022</v>
      </c>
      <c r="O2406" s="36" t="s">
        <v>25</v>
      </c>
      <c r="P2406" s="38">
        <v>140.36929398149999</v>
      </c>
      <c r="Q2406" s="39" t="s">
        <v>8424</v>
      </c>
      <c r="R2406" s="35" t="s">
        <v>916</v>
      </c>
      <c r="S2406" s="35"/>
      <c r="T2406" s="35" t="s">
        <v>1701</v>
      </c>
      <c r="U2406" s="40">
        <v>45882</v>
      </c>
      <c r="V2406" s="41">
        <v>46153.533125000002</v>
      </c>
      <c r="W2406" s="40">
        <v>45881</v>
      </c>
      <c r="X2406" s="35" t="s">
        <v>916</v>
      </c>
      <c r="Y2406" s="35" t="s">
        <v>916</v>
      </c>
      <c r="Z2406" s="35" t="s">
        <v>916</v>
      </c>
      <c r="AA2406" s="38">
        <v>3368.8630555559998</v>
      </c>
      <c r="AB2406" s="42" t="s">
        <v>916</v>
      </c>
      <c r="AC2406" s="43" t="s">
        <v>916</v>
      </c>
      <c r="AD2406" s="43" t="s">
        <v>916</v>
      </c>
      <c r="AE2406" s="33" t="s">
        <v>3982</v>
      </c>
      <c r="AF2406" s="35" t="s">
        <v>916</v>
      </c>
      <c r="AG2406" s="44">
        <v>487503.13694444438</v>
      </c>
      <c r="AH2406" s="42" t="s">
        <v>916</v>
      </c>
      <c r="AI2406" s="32" t="e">
        <f>VLOOKUP(A2406,'4月明細'!B:B,1,0)</f>
        <v>#N/A</v>
      </c>
    </row>
    <row r="2407" spans="1:35" ht="19.95" customHeight="1" x14ac:dyDescent="0.3">
      <c r="A2407" s="33" t="s">
        <v>8425</v>
      </c>
      <c r="B2407" s="34">
        <v>45881.578263888892</v>
      </c>
      <c r="C2407" s="34" t="str">
        <f t="shared" si="50"/>
        <v>202508</v>
      </c>
      <c r="D2407" s="35" t="s">
        <v>5380</v>
      </c>
      <c r="E2407" s="36" t="s">
        <v>910</v>
      </c>
      <c r="F2407" s="36" t="s">
        <v>1370</v>
      </c>
      <c r="G2407" s="37" t="s">
        <v>8426</v>
      </c>
      <c r="H2407" s="36" t="s">
        <v>4029</v>
      </c>
      <c r="I2407" s="35" t="s">
        <v>8427</v>
      </c>
      <c r="J2407" s="36" t="s">
        <v>929</v>
      </c>
      <c r="K2407" s="33" t="s">
        <v>916</v>
      </c>
      <c r="L2407" s="35" t="s">
        <v>916</v>
      </c>
      <c r="M2407" s="36" t="s">
        <v>916</v>
      </c>
      <c r="N2407" s="45">
        <v>46022</v>
      </c>
      <c r="O2407" s="36" t="s">
        <v>25</v>
      </c>
      <c r="P2407" s="38">
        <v>140.42173611109999</v>
      </c>
      <c r="Q2407" s="39" t="s">
        <v>1328</v>
      </c>
      <c r="R2407" s="35" t="s">
        <v>916</v>
      </c>
      <c r="S2407" s="35"/>
      <c r="T2407" s="35" t="s">
        <v>1701</v>
      </c>
      <c r="U2407" s="40">
        <v>45882</v>
      </c>
      <c r="V2407" s="41">
        <v>46153.533125000002</v>
      </c>
      <c r="W2407" s="40">
        <v>45881</v>
      </c>
      <c r="X2407" s="35" t="s">
        <v>916</v>
      </c>
      <c r="Y2407" s="35" t="s">
        <v>916</v>
      </c>
      <c r="Z2407" s="35" t="s">
        <v>916</v>
      </c>
      <c r="AA2407" s="38">
        <v>3370.1216666664</v>
      </c>
      <c r="AB2407" s="42" t="s">
        <v>916</v>
      </c>
      <c r="AC2407" s="43" t="s">
        <v>916</v>
      </c>
      <c r="AD2407" s="43" t="s">
        <v>916</v>
      </c>
      <c r="AE2407" s="33" t="s">
        <v>3982</v>
      </c>
      <c r="AF2407" s="35" t="s">
        <v>916</v>
      </c>
      <c r="AG2407" s="44">
        <v>487501.8783333333</v>
      </c>
      <c r="AH2407" s="42" t="s">
        <v>916</v>
      </c>
      <c r="AI2407" s="32" t="e">
        <f>VLOOKUP(A2407,'4月明細'!B:B,1,0)</f>
        <v>#N/A</v>
      </c>
    </row>
    <row r="2408" spans="1:35" ht="19.95" customHeight="1" x14ac:dyDescent="0.3">
      <c r="A2408" s="33" t="s">
        <v>8428</v>
      </c>
      <c r="B2408" s="34">
        <v>45881.572615740741</v>
      </c>
      <c r="C2408" s="34" t="str">
        <f t="shared" si="50"/>
        <v>202508</v>
      </c>
      <c r="D2408" s="35" t="s">
        <v>6281</v>
      </c>
      <c r="E2408" s="36" t="s">
        <v>910</v>
      </c>
      <c r="F2408" s="36" t="s">
        <v>1731</v>
      </c>
      <c r="G2408" s="37" t="s">
        <v>8429</v>
      </c>
      <c r="H2408" s="36" t="s">
        <v>1432</v>
      </c>
      <c r="I2408" s="35"/>
      <c r="J2408" s="36" t="s">
        <v>929</v>
      </c>
      <c r="K2408" s="33" t="s">
        <v>916</v>
      </c>
      <c r="L2408" s="35" t="s">
        <v>916</v>
      </c>
      <c r="M2408" s="36" t="s">
        <v>916</v>
      </c>
      <c r="N2408" s="45">
        <v>46022</v>
      </c>
      <c r="O2408" s="36" t="s">
        <v>25</v>
      </c>
      <c r="P2408" s="38">
        <v>140.4273842593</v>
      </c>
      <c r="Q2408" s="39" t="s">
        <v>5957</v>
      </c>
      <c r="R2408" s="35" t="s">
        <v>916</v>
      </c>
      <c r="S2408" s="35"/>
      <c r="T2408" s="35" t="s">
        <v>1701</v>
      </c>
      <c r="U2408" s="40">
        <v>45882</v>
      </c>
      <c r="V2408" s="41">
        <v>46153.533125000002</v>
      </c>
      <c r="W2408" s="40">
        <v>45881</v>
      </c>
      <c r="X2408" s="35" t="s">
        <v>916</v>
      </c>
      <c r="Y2408" s="35" t="s">
        <v>916</v>
      </c>
      <c r="Z2408" s="35" t="s">
        <v>916</v>
      </c>
      <c r="AA2408" s="38">
        <v>3370.2572222232002</v>
      </c>
      <c r="AB2408" s="42" t="s">
        <v>916</v>
      </c>
      <c r="AC2408" s="43" t="s">
        <v>916</v>
      </c>
      <c r="AD2408" s="43" t="s">
        <v>916</v>
      </c>
      <c r="AE2408" s="33" t="s">
        <v>3982</v>
      </c>
      <c r="AF2408" s="35" t="s">
        <v>916</v>
      </c>
      <c r="AG2408" s="44">
        <v>487501.74277777778</v>
      </c>
      <c r="AH2408" s="42" t="s">
        <v>916</v>
      </c>
      <c r="AI2408" s="32" t="e">
        <f>VLOOKUP(A2408,'4月明細'!B:B,1,0)</f>
        <v>#N/A</v>
      </c>
    </row>
    <row r="2409" spans="1:35" ht="19.95" customHeight="1" x14ac:dyDescent="0.3">
      <c r="A2409" s="33" t="s">
        <v>8430</v>
      </c>
      <c r="B2409" s="34">
        <v>45881.57104166667</v>
      </c>
      <c r="C2409" s="34" t="str">
        <f t="shared" si="50"/>
        <v>202508</v>
      </c>
      <c r="D2409" s="35" t="s">
        <v>6281</v>
      </c>
      <c r="E2409" s="36" t="s">
        <v>910</v>
      </c>
      <c r="F2409" s="36" t="s">
        <v>1316</v>
      </c>
      <c r="G2409" s="37" t="s">
        <v>8429</v>
      </c>
      <c r="H2409" s="36" t="s">
        <v>1432</v>
      </c>
      <c r="I2409" s="35"/>
      <c r="J2409" s="36" t="s">
        <v>929</v>
      </c>
      <c r="K2409" s="33" t="s">
        <v>916</v>
      </c>
      <c r="L2409" s="35" t="s">
        <v>916</v>
      </c>
      <c r="M2409" s="36" t="s">
        <v>916</v>
      </c>
      <c r="N2409" s="45">
        <v>46022</v>
      </c>
      <c r="O2409" s="36" t="s">
        <v>25</v>
      </c>
      <c r="P2409" s="38">
        <v>140.42895833329999</v>
      </c>
      <c r="Q2409" s="39" t="s">
        <v>5957</v>
      </c>
      <c r="R2409" s="35" t="s">
        <v>916</v>
      </c>
      <c r="S2409" s="35"/>
      <c r="T2409" s="35" t="s">
        <v>1701</v>
      </c>
      <c r="U2409" s="40">
        <v>45882</v>
      </c>
      <c r="V2409" s="41">
        <v>46153.533125000002</v>
      </c>
      <c r="W2409" s="40">
        <v>45881</v>
      </c>
      <c r="X2409" s="35" t="s">
        <v>916</v>
      </c>
      <c r="Y2409" s="35" t="s">
        <v>916</v>
      </c>
      <c r="Z2409" s="35" t="s">
        <v>916</v>
      </c>
      <c r="AA2409" s="38">
        <v>3370.2949999992002</v>
      </c>
      <c r="AB2409" s="42" t="s">
        <v>916</v>
      </c>
      <c r="AC2409" s="43" t="s">
        <v>916</v>
      </c>
      <c r="AD2409" s="43" t="s">
        <v>916</v>
      </c>
      <c r="AE2409" s="33" t="s">
        <v>3982</v>
      </c>
      <c r="AF2409" s="35" t="s">
        <v>916</v>
      </c>
      <c r="AG2409" s="44">
        <v>487501.70500000002</v>
      </c>
      <c r="AH2409" s="42" t="s">
        <v>916</v>
      </c>
      <c r="AI2409" s="32" t="e">
        <f>VLOOKUP(A2409,'4月明細'!B:B,1,0)</f>
        <v>#N/A</v>
      </c>
    </row>
    <row r="2410" spans="1:35" ht="19.95" customHeight="1" x14ac:dyDescent="0.3">
      <c r="A2410" s="33" t="s">
        <v>8431</v>
      </c>
      <c r="B2410" s="34">
        <v>45881.567986111113</v>
      </c>
      <c r="C2410" s="34" t="str">
        <f t="shared" si="50"/>
        <v>202508</v>
      </c>
      <c r="D2410" s="35" t="s">
        <v>5380</v>
      </c>
      <c r="E2410" s="36" t="s">
        <v>910</v>
      </c>
      <c r="F2410" s="36" t="s">
        <v>1064</v>
      </c>
      <c r="G2410" s="37" t="s">
        <v>8432</v>
      </c>
      <c r="H2410" s="36" t="s">
        <v>4162</v>
      </c>
      <c r="I2410" s="35" t="s">
        <v>8433</v>
      </c>
      <c r="J2410" s="36" t="s">
        <v>929</v>
      </c>
      <c r="K2410" s="33" t="s">
        <v>916</v>
      </c>
      <c r="L2410" s="35" t="s">
        <v>916</v>
      </c>
      <c r="M2410" s="36" t="s">
        <v>916</v>
      </c>
      <c r="N2410" s="45">
        <v>46022</v>
      </c>
      <c r="O2410" s="36" t="s">
        <v>25</v>
      </c>
      <c r="P2410" s="38">
        <v>140.4320138889</v>
      </c>
      <c r="Q2410" s="39" t="s">
        <v>8434</v>
      </c>
      <c r="R2410" s="35" t="s">
        <v>916</v>
      </c>
      <c r="S2410" s="35"/>
      <c r="T2410" s="35" t="s">
        <v>1701</v>
      </c>
      <c r="U2410" s="40">
        <v>45882</v>
      </c>
      <c r="V2410" s="41">
        <v>46153.533125000002</v>
      </c>
      <c r="W2410" s="40">
        <v>45881</v>
      </c>
      <c r="X2410" s="35" t="s">
        <v>916</v>
      </c>
      <c r="Y2410" s="35" t="s">
        <v>916</v>
      </c>
      <c r="Z2410" s="35" t="s">
        <v>916</v>
      </c>
      <c r="AA2410" s="38">
        <v>3370.3683333335998</v>
      </c>
      <c r="AB2410" s="42" t="s">
        <v>916</v>
      </c>
      <c r="AC2410" s="43" t="s">
        <v>916</v>
      </c>
      <c r="AD2410" s="43" t="s">
        <v>916</v>
      </c>
      <c r="AE2410" s="33" t="s">
        <v>3982</v>
      </c>
      <c r="AF2410" s="35" t="s">
        <v>916</v>
      </c>
      <c r="AG2410" s="44">
        <v>487501.63166666671</v>
      </c>
      <c r="AH2410" s="42" t="s">
        <v>916</v>
      </c>
      <c r="AI2410" s="32" t="e">
        <f>VLOOKUP(A2410,'4月明細'!B:B,1,0)</f>
        <v>#N/A</v>
      </c>
    </row>
    <row r="2411" spans="1:35" ht="19.95" customHeight="1" x14ac:dyDescent="0.3">
      <c r="A2411" s="33" t="s">
        <v>8435</v>
      </c>
      <c r="B2411" s="34">
        <v>45881.533275462964</v>
      </c>
      <c r="C2411" s="34" t="str">
        <f t="shared" si="50"/>
        <v>202508</v>
      </c>
      <c r="D2411" s="35" t="s">
        <v>6281</v>
      </c>
      <c r="E2411" s="36" t="s">
        <v>910</v>
      </c>
      <c r="F2411" s="36" t="s">
        <v>1870</v>
      </c>
      <c r="G2411" s="37" t="s">
        <v>8436</v>
      </c>
      <c r="H2411" s="36" t="s">
        <v>5833</v>
      </c>
      <c r="I2411" s="35"/>
      <c r="J2411" s="36" t="s">
        <v>929</v>
      </c>
      <c r="K2411" s="33" t="s">
        <v>916</v>
      </c>
      <c r="L2411" s="35" t="s">
        <v>916</v>
      </c>
      <c r="M2411" s="36" t="s">
        <v>916</v>
      </c>
      <c r="N2411" s="45">
        <v>46022</v>
      </c>
      <c r="O2411" s="36" t="s">
        <v>25</v>
      </c>
      <c r="P2411" s="38">
        <v>140.466724537</v>
      </c>
      <c r="Q2411" s="39" t="s">
        <v>8437</v>
      </c>
      <c r="R2411" s="35" t="s">
        <v>916</v>
      </c>
      <c r="S2411" s="35"/>
      <c r="T2411" s="35" t="s">
        <v>1701</v>
      </c>
      <c r="U2411" s="40">
        <v>45882</v>
      </c>
      <c r="V2411" s="41">
        <v>46153.533125000002</v>
      </c>
      <c r="W2411" s="40">
        <v>45881</v>
      </c>
      <c r="X2411" s="35" t="s">
        <v>916</v>
      </c>
      <c r="Y2411" s="35" t="s">
        <v>916</v>
      </c>
      <c r="Z2411" s="35" t="s">
        <v>916</v>
      </c>
      <c r="AA2411" s="38">
        <v>3371.2013888880001</v>
      </c>
      <c r="AB2411" s="42" t="s">
        <v>916</v>
      </c>
      <c r="AC2411" s="43" t="s">
        <v>916</v>
      </c>
      <c r="AD2411" s="43" t="s">
        <v>916</v>
      </c>
      <c r="AE2411" s="33" t="s">
        <v>3982</v>
      </c>
      <c r="AF2411" s="35" t="s">
        <v>916</v>
      </c>
      <c r="AG2411" s="44">
        <v>487500.79861111112</v>
      </c>
      <c r="AH2411" s="42" t="s">
        <v>916</v>
      </c>
      <c r="AI2411" s="32" t="e">
        <f>VLOOKUP(A2411,'4月明細'!B:B,1,0)</f>
        <v>#N/A</v>
      </c>
    </row>
    <row r="2412" spans="1:35" ht="19.95" customHeight="1" x14ac:dyDescent="0.3">
      <c r="A2412" s="33" t="s">
        <v>8438</v>
      </c>
      <c r="B2412" s="34">
        <v>45881.516875000001</v>
      </c>
      <c r="C2412" s="34" t="str">
        <f t="shared" si="50"/>
        <v>202508</v>
      </c>
      <c r="D2412" s="35" t="s">
        <v>5380</v>
      </c>
      <c r="E2412" s="36" t="s">
        <v>910</v>
      </c>
      <c r="F2412" s="36" t="s">
        <v>2515</v>
      </c>
      <c r="G2412" s="37" t="s">
        <v>8261</v>
      </c>
      <c r="H2412" s="36" t="s">
        <v>4481</v>
      </c>
      <c r="I2412" s="35" t="s">
        <v>8439</v>
      </c>
      <c r="J2412" s="36" t="s">
        <v>929</v>
      </c>
      <c r="K2412" s="33" t="s">
        <v>916</v>
      </c>
      <c r="L2412" s="35" t="s">
        <v>916</v>
      </c>
      <c r="M2412" s="36" t="s">
        <v>916</v>
      </c>
      <c r="N2412" s="45">
        <v>46022</v>
      </c>
      <c r="O2412" s="36" t="s">
        <v>25</v>
      </c>
      <c r="P2412" s="38">
        <v>140.483125</v>
      </c>
      <c r="Q2412" s="39" t="s">
        <v>8440</v>
      </c>
      <c r="R2412" s="35" t="s">
        <v>916</v>
      </c>
      <c r="S2412" s="35" t="s">
        <v>8441</v>
      </c>
      <c r="T2412" s="35" t="s">
        <v>1701</v>
      </c>
      <c r="U2412" s="40">
        <v>45882</v>
      </c>
      <c r="V2412" s="41">
        <v>46153.533125000002</v>
      </c>
      <c r="W2412" s="40">
        <v>45881</v>
      </c>
      <c r="X2412" s="35" t="s">
        <v>916</v>
      </c>
      <c r="Y2412" s="35" t="s">
        <v>916</v>
      </c>
      <c r="Z2412" s="35" t="s">
        <v>916</v>
      </c>
      <c r="AA2412" s="38">
        <v>3371.5949999999998</v>
      </c>
      <c r="AB2412" s="42" t="s">
        <v>916</v>
      </c>
      <c r="AC2412" s="43" t="s">
        <v>916</v>
      </c>
      <c r="AD2412" s="43" t="s">
        <v>916</v>
      </c>
      <c r="AE2412" s="33" t="s">
        <v>3982</v>
      </c>
      <c r="AF2412" s="35" t="s">
        <v>916</v>
      </c>
      <c r="AG2412" s="44">
        <v>487500.40500000003</v>
      </c>
      <c r="AH2412" s="42" t="s">
        <v>916</v>
      </c>
      <c r="AI2412" s="32" t="e">
        <f>VLOOKUP(A2412,'4月明細'!B:B,1,0)</f>
        <v>#N/A</v>
      </c>
    </row>
    <row r="2413" spans="1:35" ht="19.95" customHeight="1" x14ac:dyDescent="0.3">
      <c r="A2413" s="33" t="s">
        <v>8442</v>
      </c>
      <c r="B2413" s="34">
        <v>45881.451944444445</v>
      </c>
      <c r="C2413" s="34" t="str">
        <f t="shared" si="50"/>
        <v>202508</v>
      </c>
      <c r="D2413" s="35" t="s">
        <v>6281</v>
      </c>
      <c r="E2413" s="36" t="s">
        <v>910</v>
      </c>
      <c r="F2413" s="36" t="s">
        <v>1745</v>
      </c>
      <c r="G2413" s="37" t="s">
        <v>8443</v>
      </c>
      <c r="H2413" s="36" t="s">
        <v>1352</v>
      </c>
      <c r="I2413" s="35"/>
      <c r="J2413" s="36" t="s">
        <v>929</v>
      </c>
      <c r="K2413" s="33" t="s">
        <v>916</v>
      </c>
      <c r="L2413" s="35" t="s">
        <v>916</v>
      </c>
      <c r="M2413" s="36" t="s">
        <v>916</v>
      </c>
      <c r="N2413" s="45">
        <v>46022</v>
      </c>
      <c r="O2413" s="36" t="s">
        <v>25</v>
      </c>
      <c r="P2413" s="38">
        <v>140.5480555556</v>
      </c>
      <c r="Q2413" s="39" t="s">
        <v>8444</v>
      </c>
      <c r="R2413" s="35" t="s">
        <v>916</v>
      </c>
      <c r="S2413" s="35" t="s">
        <v>8445</v>
      </c>
      <c r="T2413" s="35" t="s">
        <v>1701</v>
      </c>
      <c r="U2413" s="40">
        <v>45882</v>
      </c>
      <c r="V2413" s="41">
        <v>46153.533125000002</v>
      </c>
      <c r="W2413" s="40">
        <v>45881</v>
      </c>
      <c r="X2413" s="35" t="s">
        <v>916</v>
      </c>
      <c r="Y2413" s="35" t="s">
        <v>916</v>
      </c>
      <c r="Z2413" s="35" t="s">
        <v>916</v>
      </c>
      <c r="AA2413" s="38">
        <v>3373.1533333344</v>
      </c>
      <c r="AB2413" s="42" t="s">
        <v>916</v>
      </c>
      <c r="AC2413" s="43" t="s">
        <v>916</v>
      </c>
      <c r="AD2413" s="43" t="s">
        <v>916</v>
      </c>
      <c r="AE2413" s="33" t="s">
        <v>3982</v>
      </c>
      <c r="AF2413" s="35" t="s">
        <v>916</v>
      </c>
      <c r="AG2413" s="44">
        <v>487498.84666666668</v>
      </c>
      <c r="AH2413" s="42" t="s">
        <v>916</v>
      </c>
      <c r="AI2413" s="32" t="e">
        <f>VLOOKUP(A2413,'4月明細'!B:B,1,0)</f>
        <v>#N/A</v>
      </c>
    </row>
    <row r="2414" spans="1:35" ht="19.95" customHeight="1" x14ac:dyDescent="0.3">
      <c r="A2414" s="33" t="s">
        <v>8446</v>
      </c>
      <c r="B2414" s="34">
        <v>45880.589166666665</v>
      </c>
      <c r="C2414" s="34" t="str">
        <f t="shared" si="50"/>
        <v>202508</v>
      </c>
      <c r="D2414" s="35" t="s">
        <v>5380</v>
      </c>
      <c r="E2414" s="36" t="s">
        <v>910</v>
      </c>
      <c r="F2414" s="36" t="s">
        <v>1693</v>
      </c>
      <c r="G2414" s="37" t="s">
        <v>8447</v>
      </c>
      <c r="H2414" s="36" t="s">
        <v>4065</v>
      </c>
      <c r="I2414" s="35" t="s">
        <v>8448</v>
      </c>
      <c r="J2414" s="36" t="s">
        <v>914</v>
      </c>
      <c r="K2414" s="33" t="s">
        <v>916</v>
      </c>
      <c r="L2414" s="35" t="s">
        <v>916</v>
      </c>
      <c r="M2414" s="36" t="s">
        <v>916</v>
      </c>
      <c r="N2414" s="45">
        <v>46022</v>
      </c>
      <c r="O2414" s="36" t="s">
        <v>25</v>
      </c>
      <c r="P2414" s="38">
        <v>141.41083333329999</v>
      </c>
      <c r="Q2414" s="39" t="s">
        <v>8449</v>
      </c>
      <c r="R2414" s="35" t="s">
        <v>916</v>
      </c>
      <c r="S2414" s="35"/>
      <c r="T2414" s="35" t="s">
        <v>1701</v>
      </c>
      <c r="U2414" s="40">
        <v>45881</v>
      </c>
      <c r="V2414" s="41">
        <v>46153.533125000002</v>
      </c>
      <c r="W2414" s="40">
        <v>45880</v>
      </c>
      <c r="X2414" s="35" t="s">
        <v>916</v>
      </c>
      <c r="Y2414" s="35" t="s">
        <v>916</v>
      </c>
      <c r="Z2414" s="35" t="s">
        <v>916</v>
      </c>
      <c r="AA2414" s="38">
        <v>3393.8599999992002</v>
      </c>
      <c r="AB2414" s="42" t="s">
        <v>916</v>
      </c>
      <c r="AC2414" s="43" t="s">
        <v>916</v>
      </c>
      <c r="AD2414" s="43" t="s">
        <v>916</v>
      </c>
      <c r="AE2414" s="33" t="s">
        <v>3982</v>
      </c>
      <c r="AF2414" s="35" t="s">
        <v>916</v>
      </c>
      <c r="AG2414" s="44">
        <v>487478.14</v>
      </c>
      <c r="AH2414" s="42" t="s">
        <v>916</v>
      </c>
      <c r="AI2414" s="32" t="e">
        <f>VLOOKUP(A2414,'4月明細'!B:B,1,0)</f>
        <v>#N/A</v>
      </c>
    </row>
    <row r="2415" spans="1:35" ht="19.95" customHeight="1" x14ac:dyDescent="0.3">
      <c r="A2415" s="33" t="s">
        <v>8450</v>
      </c>
      <c r="B2415" s="34">
        <v>45880.588449074072</v>
      </c>
      <c r="C2415" s="34" t="str">
        <f t="shared" si="50"/>
        <v>202508</v>
      </c>
      <c r="D2415" s="35" t="s">
        <v>996</v>
      </c>
      <c r="E2415" s="36" t="s">
        <v>910</v>
      </c>
      <c r="F2415" s="36" t="s">
        <v>2059</v>
      </c>
      <c r="G2415" s="37" t="s">
        <v>8451</v>
      </c>
      <c r="H2415" s="36" t="s">
        <v>1114</v>
      </c>
      <c r="I2415" s="35"/>
      <c r="J2415" s="36" t="s">
        <v>929</v>
      </c>
      <c r="K2415" s="33" t="s">
        <v>916</v>
      </c>
      <c r="L2415" s="35" t="s">
        <v>916</v>
      </c>
      <c r="M2415" s="36" t="s">
        <v>916</v>
      </c>
      <c r="N2415" s="45">
        <v>46022</v>
      </c>
      <c r="O2415" s="36" t="s">
        <v>25</v>
      </c>
      <c r="P2415" s="38">
        <v>141.4115509259</v>
      </c>
      <c r="Q2415" s="39" t="s">
        <v>8452</v>
      </c>
      <c r="R2415" s="35" t="s">
        <v>916</v>
      </c>
      <c r="S2415" s="35"/>
      <c r="T2415" s="35" t="s">
        <v>1701</v>
      </c>
      <c r="U2415" s="40">
        <v>45881</v>
      </c>
      <c r="V2415" s="41">
        <v>46153.533125000002</v>
      </c>
      <c r="W2415" s="40">
        <v>45880</v>
      </c>
      <c r="X2415" s="35" t="s">
        <v>916</v>
      </c>
      <c r="Y2415" s="35" t="s">
        <v>916</v>
      </c>
      <c r="Z2415" s="35" t="s">
        <v>916</v>
      </c>
      <c r="AA2415" s="38">
        <v>3393.8772222215998</v>
      </c>
      <c r="AB2415" s="42" t="s">
        <v>916</v>
      </c>
      <c r="AC2415" s="43" t="s">
        <v>916</v>
      </c>
      <c r="AD2415" s="43" t="s">
        <v>916</v>
      </c>
      <c r="AE2415" s="33" t="s">
        <v>3982</v>
      </c>
      <c r="AF2415" s="35" t="s">
        <v>916</v>
      </c>
      <c r="AG2415" s="44">
        <v>487478.12277777778</v>
      </c>
      <c r="AH2415" s="42" t="s">
        <v>916</v>
      </c>
      <c r="AI2415" s="32" t="e">
        <f>VLOOKUP(A2415,'4月明細'!B:B,1,0)</f>
        <v>#N/A</v>
      </c>
    </row>
    <row r="2416" spans="1:35" ht="19.95" customHeight="1" x14ac:dyDescent="0.3">
      <c r="A2416" s="33" t="s">
        <v>8453</v>
      </c>
      <c r="B2416" s="34">
        <v>45880.57372685185</v>
      </c>
      <c r="C2416" s="34" t="str">
        <f t="shared" si="50"/>
        <v>202508</v>
      </c>
      <c r="D2416" s="35" t="s">
        <v>996</v>
      </c>
      <c r="E2416" s="36" t="s">
        <v>910</v>
      </c>
      <c r="F2416" s="36" t="s">
        <v>943</v>
      </c>
      <c r="G2416" s="37" t="s">
        <v>8454</v>
      </c>
      <c r="H2416" s="36" t="s">
        <v>4023</v>
      </c>
      <c r="I2416" s="35"/>
      <c r="J2416" s="36" t="s">
        <v>914</v>
      </c>
      <c r="K2416" s="33" t="s">
        <v>916</v>
      </c>
      <c r="L2416" s="35" t="s">
        <v>916</v>
      </c>
      <c r="M2416" s="36" t="s">
        <v>916</v>
      </c>
      <c r="N2416" s="45">
        <v>46022</v>
      </c>
      <c r="O2416" s="36" t="s">
        <v>25</v>
      </c>
      <c r="P2416" s="38">
        <v>141.42627314809999</v>
      </c>
      <c r="Q2416" s="39" t="s">
        <v>8455</v>
      </c>
      <c r="R2416" s="35" t="s">
        <v>916</v>
      </c>
      <c r="S2416" s="35"/>
      <c r="T2416" s="35" t="s">
        <v>1701</v>
      </c>
      <c r="U2416" s="40">
        <v>45881</v>
      </c>
      <c r="V2416" s="41">
        <v>46153.533125000002</v>
      </c>
      <c r="W2416" s="40">
        <v>45880</v>
      </c>
      <c r="X2416" s="35" t="s">
        <v>916</v>
      </c>
      <c r="Y2416" s="35" t="s">
        <v>916</v>
      </c>
      <c r="Z2416" s="35" t="s">
        <v>916</v>
      </c>
      <c r="AA2416" s="38">
        <v>3394.2305555543999</v>
      </c>
      <c r="AB2416" s="42" t="s">
        <v>916</v>
      </c>
      <c r="AC2416" s="43" t="s">
        <v>916</v>
      </c>
      <c r="AD2416" s="43" t="s">
        <v>916</v>
      </c>
      <c r="AE2416" s="33" t="s">
        <v>3982</v>
      </c>
      <c r="AF2416" s="35" t="s">
        <v>916</v>
      </c>
      <c r="AG2416" s="44">
        <v>487477.76944444439</v>
      </c>
      <c r="AH2416" s="42" t="s">
        <v>916</v>
      </c>
      <c r="AI2416" s="32" t="e">
        <f>VLOOKUP(A2416,'4月明細'!B:B,1,0)</f>
        <v>#N/A</v>
      </c>
    </row>
    <row r="2417" spans="1:35" ht="19.95" customHeight="1" x14ac:dyDescent="0.3">
      <c r="A2417" s="33" t="s">
        <v>8456</v>
      </c>
      <c r="B2417" s="34">
        <v>45880.511550925927</v>
      </c>
      <c r="C2417" s="34" t="str">
        <f t="shared" si="50"/>
        <v>202508</v>
      </c>
      <c r="D2417" s="35" t="s">
        <v>5380</v>
      </c>
      <c r="E2417" s="36" t="s">
        <v>910</v>
      </c>
      <c r="F2417" s="36" t="s">
        <v>1000</v>
      </c>
      <c r="G2417" s="37" t="s">
        <v>8457</v>
      </c>
      <c r="H2417" s="36" t="s">
        <v>4804</v>
      </c>
      <c r="I2417" s="35" t="s">
        <v>8458</v>
      </c>
      <c r="J2417" s="36" t="s">
        <v>914</v>
      </c>
      <c r="K2417" s="33" t="s">
        <v>916</v>
      </c>
      <c r="L2417" s="35" t="s">
        <v>916</v>
      </c>
      <c r="M2417" s="36" t="s">
        <v>916</v>
      </c>
      <c r="N2417" s="45">
        <v>46022</v>
      </c>
      <c r="O2417" s="36" t="s">
        <v>25</v>
      </c>
      <c r="P2417" s="38">
        <v>141.4884490741</v>
      </c>
      <c r="Q2417" s="39" t="s">
        <v>5439</v>
      </c>
      <c r="R2417" s="35" t="s">
        <v>916</v>
      </c>
      <c r="S2417" s="35" t="s">
        <v>7279</v>
      </c>
      <c r="T2417" s="35" t="s">
        <v>1701</v>
      </c>
      <c r="U2417" s="40">
        <v>45881</v>
      </c>
      <c r="V2417" s="41">
        <v>46153.533125000002</v>
      </c>
      <c r="W2417" s="40">
        <v>45880</v>
      </c>
      <c r="X2417" s="35" t="s">
        <v>916</v>
      </c>
      <c r="Y2417" s="35" t="s">
        <v>916</v>
      </c>
      <c r="Z2417" s="35" t="s">
        <v>916</v>
      </c>
      <c r="AA2417" s="38">
        <v>3395.7227777784001</v>
      </c>
      <c r="AB2417" s="42" t="s">
        <v>916</v>
      </c>
      <c r="AC2417" s="43" t="s">
        <v>916</v>
      </c>
      <c r="AD2417" s="43" t="s">
        <v>916</v>
      </c>
      <c r="AE2417" s="33" t="s">
        <v>3982</v>
      </c>
      <c r="AF2417" s="35" t="s">
        <v>916</v>
      </c>
      <c r="AG2417" s="44">
        <v>487476.27722222218</v>
      </c>
      <c r="AH2417" s="42" t="s">
        <v>916</v>
      </c>
      <c r="AI2417" s="32" t="e">
        <f>VLOOKUP(A2417,'4月明細'!B:B,1,0)</f>
        <v>#N/A</v>
      </c>
    </row>
    <row r="2418" spans="1:35" ht="19.95" customHeight="1" x14ac:dyDescent="0.3">
      <c r="A2418" s="33" t="s">
        <v>8459</v>
      </c>
      <c r="B2418" s="34">
        <v>45880.468229166669</v>
      </c>
      <c r="C2418" s="34" t="str">
        <f t="shared" si="50"/>
        <v>202508</v>
      </c>
      <c r="D2418" s="35" t="s">
        <v>6281</v>
      </c>
      <c r="E2418" s="36" t="s">
        <v>910</v>
      </c>
      <c r="F2418" s="36" t="s">
        <v>1253</v>
      </c>
      <c r="G2418" s="37" t="s">
        <v>8460</v>
      </c>
      <c r="H2418" s="36" t="s">
        <v>1114</v>
      </c>
      <c r="I2418" s="35"/>
      <c r="J2418" s="36" t="s">
        <v>914</v>
      </c>
      <c r="K2418" s="33" t="s">
        <v>916</v>
      </c>
      <c r="L2418" s="35" t="s">
        <v>916</v>
      </c>
      <c r="M2418" s="36" t="s">
        <v>916</v>
      </c>
      <c r="N2418" s="45">
        <v>46022</v>
      </c>
      <c r="O2418" s="36" t="s">
        <v>25</v>
      </c>
      <c r="P2418" s="38">
        <v>141.53177083329999</v>
      </c>
      <c r="Q2418" s="39" t="s">
        <v>8461</v>
      </c>
      <c r="R2418" s="35" t="s">
        <v>916</v>
      </c>
      <c r="S2418" s="35"/>
      <c r="T2418" s="35" t="s">
        <v>1701</v>
      </c>
      <c r="U2418" s="40">
        <v>45881</v>
      </c>
      <c r="V2418" s="41">
        <v>46153.533125000002</v>
      </c>
      <c r="W2418" s="40">
        <v>45880</v>
      </c>
      <c r="X2418" s="35" t="s">
        <v>916</v>
      </c>
      <c r="Y2418" s="35" t="s">
        <v>916</v>
      </c>
      <c r="Z2418" s="35" t="s">
        <v>916</v>
      </c>
      <c r="AA2418" s="38">
        <v>3396.7624999991999</v>
      </c>
      <c r="AB2418" s="42" t="s">
        <v>916</v>
      </c>
      <c r="AC2418" s="43" t="s">
        <v>916</v>
      </c>
      <c r="AD2418" s="43" t="s">
        <v>916</v>
      </c>
      <c r="AE2418" s="33" t="s">
        <v>3982</v>
      </c>
      <c r="AF2418" s="35" t="s">
        <v>916</v>
      </c>
      <c r="AG2418" s="44">
        <v>487475.23749999999</v>
      </c>
      <c r="AH2418" s="42" t="s">
        <v>916</v>
      </c>
      <c r="AI2418" s="32" t="e">
        <f>VLOOKUP(A2418,'4月明細'!B:B,1,0)</f>
        <v>#N/A</v>
      </c>
    </row>
    <row r="2419" spans="1:35" ht="19.95" customHeight="1" x14ac:dyDescent="0.3">
      <c r="A2419" s="33" t="s">
        <v>8462</v>
      </c>
      <c r="B2419" s="34">
        <v>45879.763807870368</v>
      </c>
      <c r="C2419" s="34" t="str">
        <f t="shared" si="50"/>
        <v>202508</v>
      </c>
      <c r="D2419" s="35" t="s">
        <v>951</v>
      </c>
      <c r="E2419" s="36" t="s">
        <v>910</v>
      </c>
      <c r="F2419" s="36" t="s">
        <v>1768</v>
      </c>
      <c r="G2419" s="37" t="s">
        <v>8463</v>
      </c>
      <c r="H2419" s="36" t="s">
        <v>913</v>
      </c>
      <c r="I2419" s="35"/>
      <c r="J2419" s="36" t="s">
        <v>929</v>
      </c>
      <c r="K2419" s="33" t="s">
        <v>916</v>
      </c>
      <c r="L2419" s="35" t="s">
        <v>916</v>
      </c>
      <c r="M2419" s="36" t="s">
        <v>1039</v>
      </c>
      <c r="N2419" s="45">
        <v>46022</v>
      </c>
      <c r="O2419" s="36" t="s">
        <v>25</v>
      </c>
      <c r="P2419" s="38">
        <v>142.2361921296</v>
      </c>
      <c r="Q2419" s="39" t="s">
        <v>8464</v>
      </c>
      <c r="R2419" s="35" t="s">
        <v>916</v>
      </c>
      <c r="S2419" s="35"/>
      <c r="T2419" s="35" t="s">
        <v>1701</v>
      </c>
      <c r="U2419" s="40">
        <v>45880</v>
      </c>
      <c r="V2419" s="41">
        <v>46153.533125000002</v>
      </c>
      <c r="W2419" s="40">
        <v>45879</v>
      </c>
      <c r="X2419" s="35" t="s">
        <v>916</v>
      </c>
      <c r="Y2419" s="35" t="s">
        <v>916</v>
      </c>
      <c r="Z2419" s="35" t="s">
        <v>916</v>
      </c>
      <c r="AA2419" s="38">
        <v>3413.6686111104</v>
      </c>
      <c r="AB2419" s="42" t="s">
        <v>916</v>
      </c>
      <c r="AC2419" s="43" t="s">
        <v>916</v>
      </c>
      <c r="AD2419" s="43" t="s">
        <v>916</v>
      </c>
      <c r="AE2419" s="33" t="s">
        <v>3982</v>
      </c>
      <c r="AF2419" s="35" t="s">
        <v>916</v>
      </c>
      <c r="AG2419" s="44">
        <v>487458.33138888888</v>
      </c>
      <c r="AH2419" s="42" t="s">
        <v>916</v>
      </c>
      <c r="AI2419" s="32" t="e">
        <f>VLOOKUP(A2419,'4月明細'!B:B,1,0)</f>
        <v>#N/A</v>
      </c>
    </row>
    <row r="2420" spans="1:35" ht="19.95" customHeight="1" x14ac:dyDescent="0.3">
      <c r="A2420" s="33" t="s">
        <v>8465</v>
      </c>
      <c r="B2420" s="34">
        <v>45879.719907407409</v>
      </c>
      <c r="C2420" s="34" t="str">
        <f t="shared" si="50"/>
        <v>202508</v>
      </c>
      <c r="D2420" s="35" t="s">
        <v>996</v>
      </c>
      <c r="E2420" s="36" t="s">
        <v>910</v>
      </c>
      <c r="F2420" s="36" t="s">
        <v>2080</v>
      </c>
      <c r="G2420" s="37" t="s">
        <v>8466</v>
      </c>
      <c r="H2420" s="36" t="s">
        <v>7588</v>
      </c>
      <c r="I2420" s="35"/>
      <c r="J2420" s="36" t="s">
        <v>929</v>
      </c>
      <c r="K2420" s="33" t="s">
        <v>916</v>
      </c>
      <c r="L2420" s="35" t="s">
        <v>916</v>
      </c>
      <c r="M2420" s="36" t="s">
        <v>916</v>
      </c>
      <c r="N2420" s="45">
        <v>46022</v>
      </c>
      <c r="O2420" s="36" t="s">
        <v>25</v>
      </c>
      <c r="P2420" s="38">
        <v>142.2800925926</v>
      </c>
      <c r="Q2420" s="39" t="s">
        <v>8467</v>
      </c>
      <c r="R2420" s="35" t="s">
        <v>916</v>
      </c>
      <c r="S2420" s="35"/>
      <c r="T2420" s="35" t="s">
        <v>1701</v>
      </c>
      <c r="U2420" s="40">
        <v>45880</v>
      </c>
      <c r="V2420" s="41">
        <v>46153.533125000002</v>
      </c>
      <c r="W2420" s="40">
        <v>45879</v>
      </c>
      <c r="X2420" s="35" t="s">
        <v>916</v>
      </c>
      <c r="Y2420" s="35" t="s">
        <v>916</v>
      </c>
      <c r="Z2420" s="35" t="s">
        <v>916</v>
      </c>
      <c r="AA2420" s="38">
        <v>3414.7222222224</v>
      </c>
      <c r="AB2420" s="42" t="s">
        <v>916</v>
      </c>
      <c r="AC2420" s="43" t="s">
        <v>916</v>
      </c>
      <c r="AD2420" s="43" t="s">
        <v>916</v>
      </c>
      <c r="AE2420" s="33" t="s">
        <v>3982</v>
      </c>
      <c r="AF2420" s="35" t="s">
        <v>916</v>
      </c>
      <c r="AG2420" s="44">
        <v>487457.27777777781</v>
      </c>
      <c r="AH2420" s="42" t="s">
        <v>916</v>
      </c>
      <c r="AI2420" s="32" t="e">
        <f>VLOOKUP(A2420,'4月明細'!B:B,1,0)</f>
        <v>#N/A</v>
      </c>
    </row>
    <row r="2421" spans="1:35" ht="19.95" customHeight="1" x14ac:dyDescent="0.3">
      <c r="A2421" s="33" t="s">
        <v>8468</v>
      </c>
      <c r="B2421" s="34">
        <v>45879.545069444444</v>
      </c>
      <c r="C2421" s="34" t="str">
        <f t="shared" si="50"/>
        <v>202508</v>
      </c>
      <c r="D2421" s="35" t="s">
        <v>996</v>
      </c>
      <c r="E2421" s="36" t="s">
        <v>910</v>
      </c>
      <c r="F2421" s="36" t="s">
        <v>1060</v>
      </c>
      <c r="G2421" s="37" t="s">
        <v>8469</v>
      </c>
      <c r="H2421" s="36" t="s">
        <v>1114</v>
      </c>
      <c r="I2421" s="35"/>
      <c r="J2421" s="36" t="s">
        <v>914</v>
      </c>
      <c r="K2421" s="33" t="s">
        <v>916</v>
      </c>
      <c r="L2421" s="35" t="s">
        <v>916</v>
      </c>
      <c r="M2421" s="36" t="s">
        <v>916</v>
      </c>
      <c r="N2421" s="45">
        <v>46022</v>
      </c>
      <c r="O2421" s="36" t="s">
        <v>25</v>
      </c>
      <c r="P2421" s="38">
        <v>142.45493055559999</v>
      </c>
      <c r="Q2421" s="39" t="s">
        <v>6767</v>
      </c>
      <c r="R2421" s="35" t="s">
        <v>916</v>
      </c>
      <c r="S2421" s="35"/>
      <c r="T2421" s="35" t="s">
        <v>1701</v>
      </c>
      <c r="U2421" s="40">
        <v>45880</v>
      </c>
      <c r="V2421" s="41">
        <v>46153.533125000002</v>
      </c>
      <c r="W2421" s="40">
        <v>45879</v>
      </c>
      <c r="X2421" s="35" t="s">
        <v>916</v>
      </c>
      <c r="Y2421" s="35" t="s">
        <v>916</v>
      </c>
      <c r="Z2421" s="35" t="s">
        <v>916</v>
      </c>
      <c r="AA2421" s="38">
        <v>3418.9183333343999</v>
      </c>
      <c r="AB2421" s="42" t="s">
        <v>916</v>
      </c>
      <c r="AC2421" s="43" t="s">
        <v>916</v>
      </c>
      <c r="AD2421" s="43" t="s">
        <v>916</v>
      </c>
      <c r="AE2421" s="33" t="s">
        <v>3982</v>
      </c>
      <c r="AF2421" s="35" t="s">
        <v>916</v>
      </c>
      <c r="AG2421" s="44">
        <v>487453.08166666672</v>
      </c>
      <c r="AH2421" s="42" t="s">
        <v>916</v>
      </c>
      <c r="AI2421" s="32" t="e">
        <f>VLOOKUP(A2421,'4月明細'!B:B,1,0)</f>
        <v>#N/A</v>
      </c>
    </row>
    <row r="2422" spans="1:35" ht="19.95" customHeight="1" x14ac:dyDescent="0.3">
      <c r="A2422" s="33" t="s">
        <v>8470</v>
      </c>
      <c r="B2422" s="34">
        <v>45879.542916666665</v>
      </c>
      <c r="C2422" s="34" t="str">
        <f t="shared" si="50"/>
        <v>202508</v>
      </c>
      <c r="D2422" s="35" t="s">
        <v>6281</v>
      </c>
      <c r="E2422" s="36" t="s">
        <v>910</v>
      </c>
      <c r="F2422" s="36" t="s">
        <v>1344</v>
      </c>
      <c r="G2422" s="37" t="s">
        <v>8471</v>
      </c>
      <c r="H2422" s="36" t="s">
        <v>3985</v>
      </c>
      <c r="I2422" s="35"/>
      <c r="J2422" s="36" t="s">
        <v>914</v>
      </c>
      <c r="K2422" s="33" t="s">
        <v>916</v>
      </c>
      <c r="L2422" s="35" t="s">
        <v>916</v>
      </c>
      <c r="M2422" s="36" t="s">
        <v>916</v>
      </c>
      <c r="N2422" s="45">
        <v>46022</v>
      </c>
      <c r="O2422" s="36" t="s">
        <v>25</v>
      </c>
      <c r="P2422" s="38">
        <v>142.45708333330001</v>
      </c>
      <c r="Q2422" s="39" t="s">
        <v>8472</v>
      </c>
      <c r="R2422" s="35" t="s">
        <v>916</v>
      </c>
      <c r="S2422" s="35"/>
      <c r="T2422" s="35" t="s">
        <v>1701</v>
      </c>
      <c r="U2422" s="40">
        <v>45880</v>
      </c>
      <c r="V2422" s="41">
        <v>46153.533125000002</v>
      </c>
      <c r="W2422" s="40">
        <v>45879</v>
      </c>
      <c r="X2422" s="35" t="s">
        <v>916</v>
      </c>
      <c r="Y2422" s="35" t="s">
        <v>916</v>
      </c>
      <c r="Z2422" s="35" t="s">
        <v>916</v>
      </c>
      <c r="AA2422" s="38">
        <v>3418.9699999991999</v>
      </c>
      <c r="AB2422" s="42" t="s">
        <v>916</v>
      </c>
      <c r="AC2422" s="43" t="s">
        <v>916</v>
      </c>
      <c r="AD2422" s="43" t="s">
        <v>916</v>
      </c>
      <c r="AE2422" s="33" t="s">
        <v>3982</v>
      </c>
      <c r="AF2422" s="35" t="s">
        <v>916</v>
      </c>
      <c r="AG2422" s="44">
        <v>487453.03</v>
      </c>
      <c r="AH2422" s="42" t="s">
        <v>916</v>
      </c>
      <c r="AI2422" s="32" t="e">
        <f>VLOOKUP(A2422,'4月明細'!B:B,1,0)</f>
        <v>#N/A</v>
      </c>
    </row>
    <row r="2423" spans="1:35" ht="19.95" customHeight="1" x14ac:dyDescent="0.3">
      <c r="A2423" s="33" t="s">
        <v>8473</v>
      </c>
      <c r="B2423" s="34">
        <v>45879.501435185186</v>
      </c>
      <c r="C2423" s="34" t="str">
        <f t="shared" si="50"/>
        <v>202508</v>
      </c>
      <c r="D2423" s="35" t="s">
        <v>996</v>
      </c>
      <c r="E2423" s="36" t="s">
        <v>910</v>
      </c>
      <c r="F2423" s="36" t="s">
        <v>1237</v>
      </c>
      <c r="G2423" s="37" t="s">
        <v>8474</v>
      </c>
      <c r="H2423" s="36" t="s">
        <v>7825</v>
      </c>
      <c r="I2423" s="35" t="s">
        <v>1362</v>
      </c>
      <c r="J2423" s="36" t="s">
        <v>914</v>
      </c>
      <c r="K2423" s="33" t="s">
        <v>916</v>
      </c>
      <c r="L2423" s="35" t="s">
        <v>916</v>
      </c>
      <c r="M2423" s="36" t="s">
        <v>916</v>
      </c>
      <c r="N2423" s="45">
        <v>46022</v>
      </c>
      <c r="O2423" s="36" t="s">
        <v>25</v>
      </c>
      <c r="P2423" s="38">
        <v>142.49856481480001</v>
      </c>
      <c r="Q2423" s="39" t="s">
        <v>8475</v>
      </c>
      <c r="R2423" s="35" t="s">
        <v>916</v>
      </c>
      <c r="S2423" s="35"/>
      <c r="T2423" s="35" t="s">
        <v>1701</v>
      </c>
      <c r="U2423" s="40">
        <v>45880</v>
      </c>
      <c r="V2423" s="41">
        <v>46153.533125000002</v>
      </c>
      <c r="W2423" s="40">
        <v>45879</v>
      </c>
      <c r="X2423" s="35" t="s">
        <v>916</v>
      </c>
      <c r="Y2423" s="35" t="s">
        <v>916</v>
      </c>
      <c r="Z2423" s="35" t="s">
        <v>916</v>
      </c>
      <c r="AA2423" s="38">
        <v>3419.9655555551999</v>
      </c>
      <c r="AB2423" s="42" t="s">
        <v>916</v>
      </c>
      <c r="AC2423" s="43" t="s">
        <v>916</v>
      </c>
      <c r="AD2423" s="43" t="s">
        <v>916</v>
      </c>
      <c r="AE2423" s="33" t="s">
        <v>3982</v>
      </c>
      <c r="AF2423" s="35" t="s">
        <v>916</v>
      </c>
      <c r="AG2423" s="44">
        <v>487452.03444444452</v>
      </c>
      <c r="AH2423" s="42" t="s">
        <v>916</v>
      </c>
      <c r="AI2423" s="32" t="e">
        <f>VLOOKUP(A2423,'4月明細'!B:B,1,0)</f>
        <v>#N/A</v>
      </c>
    </row>
    <row r="2424" spans="1:35" ht="19.95" customHeight="1" x14ac:dyDescent="0.3">
      <c r="A2424" s="33" t="s">
        <v>8476</v>
      </c>
      <c r="B2424" s="34">
        <v>45879.474386574075</v>
      </c>
      <c r="C2424" s="34" t="str">
        <f t="shared" si="50"/>
        <v>202508</v>
      </c>
      <c r="D2424" s="35" t="s">
        <v>951</v>
      </c>
      <c r="E2424" s="36" t="s">
        <v>910</v>
      </c>
      <c r="F2424" s="36" t="s">
        <v>1316</v>
      </c>
      <c r="G2424" s="37" t="s">
        <v>8477</v>
      </c>
      <c r="H2424" s="36" t="s">
        <v>4185</v>
      </c>
      <c r="I2424" s="35"/>
      <c r="J2424" s="36" t="s">
        <v>929</v>
      </c>
      <c r="K2424" s="33" t="s">
        <v>916</v>
      </c>
      <c r="L2424" s="35" t="s">
        <v>916</v>
      </c>
      <c r="M2424" s="36" t="s">
        <v>916</v>
      </c>
      <c r="N2424" s="45">
        <v>46022</v>
      </c>
      <c r="O2424" s="36" t="s">
        <v>25</v>
      </c>
      <c r="P2424" s="38">
        <v>142.52561342589999</v>
      </c>
      <c r="Q2424" s="39" t="s">
        <v>8478</v>
      </c>
      <c r="R2424" s="35" t="s">
        <v>916</v>
      </c>
      <c r="S2424" s="35"/>
      <c r="T2424" s="35" t="s">
        <v>1701</v>
      </c>
      <c r="U2424" s="40">
        <v>45880</v>
      </c>
      <c r="V2424" s="41">
        <v>46153.533125000002</v>
      </c>
      <c r="W2424" s="40">
        <v>45879</v>
      </c>
      <c r="X2424" s="35" t="s">
        <v>916</v>
      </c>
      <c r="Y2424" s="35" t="s">
        <v>916</v>
      </c>
      <c r="Z2424" s="35" t="s">
        <v>916</v>
      </c>
      <c r="AA2424" s="38">
        <v>3420.6147222216</v>
      </c>
      <c r="AB2424" s="42" t="s">
        <v>916</v>
      </c>
      <c r="AC2424" s="43" t="s">
        <v>916</v>
      </c>
      <c r="AD2424" s="43" t="s">
        <v>916</v>
      </c>
      <c r="AE2424" s="33" t="s">
        <v>3982</v>
      </c>
      <c r="AF2424" s="35" t="s">
        <v>916</v>
      </c>
      <c r="AG2424" s="44">
        <v>487451.38527777779</v>
      </c>
      <c r="AH2424" s="42" t="s">
        <v>916</v>
      </c>
      <c r="AI2424" s="32" t="e">
        <f>VLOOKUP(A2424,'4月明細'!B:B,1,0)</f>
        <v>#N/A</v>
      </c>
    </row>
    <row r="2425" spans="1:35" ht="19.95" customHeight="1" x14ac:dyDescent="0.3">
      <c r="A2425" s="33" t="s">
        <v>8479</v>
      </c>
      <c r="B2425" s="34">
        <v>45878.619050925925</v>
      </c>
      <c r="C2425" s="34" t="str">
        <f t="shared" si="50"/>
        <v>202508</v>
      </c>
      <c r="D2425" s="35" t="s">
        <v>996</v>
      </c>
      <c r="E2425" s="36" t="s">
        <v>910</v>
      </c>
      <c r="F2425" s="36" t="s">
        <v>1335</v>
      </c>
      <c r="G2425" s="37" t="s">
        <v>8480</v>
      </c>
      <c r="H2425" s="36" t="s">
        <v>5833</v>
      </c>
      <c r="I2425" s="35"/>
      <c r="J2425" s="36" t="s">
        <v>929</v>
      </c>
      <c r="K2425" s="33" t="s">
        <v>916</v>
      </c>
      <c r="L2425" s="35" t="s">
        <v>916</v>
      </c>
      <c r="M2425" s="36" t="s">
        <v>916</v>
      </c>
      <c r="N2425" s="45">
        <v>46022</v>
      </c>
      <c r="O2425" s="36" t="s">
        <v>25</v>
      </c>
      <c r="P2425" s="38">
        <v>143.38094907409999</v>
      </c>
      <c r="Q2425" s="39" t="s">
        <v>8481</v>
      </c>
      <c r="R2425" s="35" t="s">
        <v>916</v>
      </c>
      <c r="S2425" s="35"/>
      <c r="T2425" s="35" t="s">
        <v>1624</v>
      </c>
      <c r="U2425" s="40">
        <v>45879</v>
      </c>
      <c r="V2425" s="41">
        <v>46153.533125000002</v>
      </c>
      <c r="W2425" s="40">
        <v>45878</v>
      </c>
      <c r="X2425" s="35" t="s">
        <v>916</v>
      </c>
      <c r="Y2425" s="35" t="s">
        <v>916</v>
      </c>
      <c r="Z2425" s="35" t="s">
        <v>916</v>
      </c>
      <c r="AA2425" s="38">
        <v>3441.1427777784002</v>
      </c>
      <c r="AB2425" s="42" t="s">
        <v>916</v>
      </c>
      <c r="AC2425" s="43" t="s">
        <v>916</v>
      </c>
      <c r="AD2425" s="43" t="s">
        <v>916</v>
      </c>
      <c r="AE2425" s="33" t="s">
        <v>3982</v>
      </c>
      <c r="AF2425" s="35" t="s">
        <v>916</v>
      </c>
      <c r="AG2425" s="44">
        <v>487430.8572222222</v>
      </c>
      <c r="AH2425" s="42" t="s">
        <v>916</v>
      </c>
      <c r="AI2425" s="32" t="e">
        <f>VLOOKUP(A2425,'4月明細'!B:B,1,0)</f>
        <v>#N/A</v>
      </c>
    </row>
    <row r="2426" spans="1:35" ht="19.95" customHeight="1" x14ac:dyDescent="0.3">
      <c r="A2426" s="33" t="s">
        <v>8482</v>
      </c>
      <c r="B2426" s="34">
        <v>45878.614606481482</v>
      </c>
      <c r="C2426" s="34" t="str">
        <f t="shared" si="50"/>
        <v>202508</v>
      </c>
      <c r="D2426" s="35" t="s">
        <v>5380</v>
      </c>
      <c r="E2426" s="36" t="s">
        <v>910</v>
      </c>
      <c r="F2426" s="36" t="s">
        <v>2059</v>
      </c>
      <c r="G2426" s="37" t="s">
        <v>8483</v>
      </c>
      <c r="H2426" s="36" t="s">
        <v>5833</v>
      </c>
      <c r="I2426" s="35" t="s">
        <v>8484</v>
      </c>
      <c r="J2426" s="36" t="s">
        <v>929</v>
      </c>
      <c r="K2426" s="33" t="s">
        <v>916</v>
      </c>
      <c r="L2426" s="35" t="s">
        <v>916</v>
      </c>
      <c r="M2426" s="36" t="s">
        <v>916</v>
      </c>
      <c r="N2426" s="45">
        <v>46022</v>
      </c>
      <c r="O2426" s="36" t="s">
        <v>25</v>
      </c>
      <c r="P2426" s="38">
        <v>143.3853935185</v>
      </c>
      <c r="Q2426" s="39" t="s">
        <v>8485</v>
      </c>
      <c r="R2426" s="35" t="s">
        <v>916</v>
      </c>
      <c r="S2426" s="35"/>
      <c r="T2426" s="35" t="s">
        <v>1701</v>
      </c>
      <c r="U2426" s="40">
        <v>45879</v>
      </c>
      <c r="V2426" s="41">
        <v>46153.533125000002</v>
      </c>
      <c r="W2426" s="40">
        <v>45878</v>
      </c>
      <c r="X2426" s="35" t="s">
        <v>916</v>
      </c>
      <c r="Y2426" s="35" t="s">
        <v>916</v>
      </c>
      <c r="Z2426" s="35" t="s">
        <v>916</v>
      </c>
      <c r="AA2426" s="38">
        <v>3441.2494444439999</v>
      </c>
      <c r="AB2426" s="42" t="s">
        <v>916</v>
      </c>
      <c r="AC2426" s="43" t="s">
        <v>916</v>
      </c>
      <c r="AD2426" s="43" t="s">
        <v>916</v>
      </c>
      <c r="AE2426" s="33" t="s">
        <v>3982</v>
      </c>
      <c r="AF2426" s="35" t="s">
        <v>916</v>
      </c>
      <c r="AG2426" s="44">
        <v>487430.75055555563</v>
      </c>
      <c r="AH2426" s="42" t="s">
        <v>916</v>
      </c>
      <c r="AI2426" s="32" t="e">
        <f>VLOOKUP(A2426,'4月明細'!B:B,1,0)</f>
        <v>#N/A</v>
      </c>
    </row>
    <row r="2427" spans="1:35" ht="19.95" customHeight="1" x14ac:dyDescent="0.3">
      <c r="A2427" s="33" t="s">
        <v>8486</v>
      </c>
      <c r="B2427" s="34">
        <v>45878.573483796295</v>
      </c>
      <c r="C2427" s="34" t="str">
        <f t="shared" si="50"/>
        <v>202508</v>
      </c>
      <c r="D2427" s="35" t="s">
        <v>6847</v>
      </c>
      <c r="E2427" s="36" t="s">
        <v>910</v>
      </c>
      <c r="F2427" s="36" t="s">
        <v>2298</v>
      </c>
      <c r="G2427" s="37" t="s">
        <v>8487</v>
      </c>
      <c r="H2427" s="36" t="s">
        <v>4804</v>
      </c>
      <c r="I2427" s="35" t="s">
        <v>8488</v>
      </c>
      <c r="J2427" s="36" t="s">
        <v>929</v>
      </c>
      <c r="K2427" s="33" t="s">
        <v>916</v>
      </c>
      <c r="L2427" s="35" t="s">
        <v>916</v>
      </c>
      <c r="M2427" s="36" t="s">
        <v>916</v>
      </c>
      <c r="N2427" s="45">
        <v>46022</v>
      </c>
      <c r="O2427" s="36" t="s">
        <v>25</v>
      </c>
      <c r="P2427" s="38">
        <v>143.4265162037</v>
      </c>
      <c r="Q2427" s="39" t="s">
        <v>1008</v>
      </c>
      <c r="R2427" s="35" t="s">
        <v>916</v>
      </c>
      <c r="S2427" s="35"/>
      <c r="T2427" s="35" t="s">
        <v>1701</v>
      </c>
      <c r="U2427" s="40">
        <v>45879</v>
      </c>
      <c r="V2427" s="41">
        <v>46153.533125000002</v>
      </c>
      <c r="W2427" s="40">
        <v>45878</v>
      </c>
      <c r="X2427" s="35" t="s">
        <v>916</v>
      </c>
      <c r="Y2427" s="35" t="s">
        <v>916</v>
      </c>
      <c r="Z2427" s="35" t="s">
        <v>916</v>
      </c>
      <c r="AA2427" s="38">
        <v>3442.2363888887999</v>
      </c>
      <c r="AB2427" s="42" t="s">
        <v>916</v>
      </c>
      <c r="AC2427" s="43" t="s">
        <v>916</v>
      </c>
      <c r="AD2427" s="43" t="s">
        <v>916</v>
      </c>
      <c r="AE2427" s="33" t="s">
        <v>3982</v>
      </c>
      <c r="AF2427" s="35" t="s">
        <v>916</v>
      </c>
      <c r="AG2427" s="44">
        <v>487429.76361111109</v>
      </c>
      <c r="AH2427" s="42" t="s">
        <v>916</v>
      </c>
      <c r="AI2427" s="32" t="e">
        <f>VLOOKUP(A2427,'4月明細'!B:B,1,0)</f>
        <v>#N/A</v>
      </c>
    </row>
    <row r="2428" spans="1:35" ht="19.95" customHeight="1" x14ac:dyDescent="0.3">
      <c r="A2428" s="33" t="s">
        <v>8489</v>
      </c>
      <c r="B2428" s="34">
        <v>45878.524872685186</v>
      </c>
      <c r="C2428" s="34" t="str">
        <f t="shared" si="50"/>
        <v>202508</v>
      </c>
      <c r="D2428" s="35" t="s">
        <v>996</v>
      </c>
      <c r="E2428" s="36" t="s">
        <v>910</v>
      </c>
      <c r="F2428" s="36" t="s">
        <v>964</v>
      </c>
      <c r="G2428" s="37" t="s">
        <v>8490</v>
      </c>
      <c r="H2428" s="36" t="s">
        <v>1114</v>
      </c>
      <c r="I2428" s="35"/>
      <c r="J2428" s="36" t="s">
        <v>914</v>
      </c>
      <c r="K2428" s="33" t="s">
        <v>916</v>
      </c>
      <c r="L2428" s="35" t="s">
        <v>916</v>
      </c>
      <c r="M2428" s="36" t="s">
        <v>916</v>
      </c>
      <c r="N2428" s="45">
        <v>46022</v>
      </c>
      <c r="O2428" s="36" t="s">
        <v>25</v>
      </c>
      <c r="P2428" s="38">
        <v>143.47512731480001</v>
      </c>
      <c r="Q2428" s="39" t="s">
        <v>7489</v>
      </c>
      <c r="R2428" s="35" t="s">
        <v>916</v>
      </c>
      <c r="S2428" s="35"/>
      <c r="T2428" s="35" t="s">
        <v>1701</v>
      </c>
      <c r="U2428" s="40">
        <v>45879</v>
      </c>
      <c r="V2428" s="41">
        <v>46153.533125000002</v>
      </c>
      <c r="W2428" s="40">
        <v>45878</v>
      </c>
      <c r="X2428" s="35" t="s">
        <v>916</v>
      </c>
      <c r="Y2428" s="35" t="s">
        <v>916</v>
      </c>
      <c r="Z2428" s="35" t="s">
        <v>916</v>
      </c>
      <c r="AA2428" s="38">
        <v>3443.4030555551999</v>
      </c>
      <c r="AB2428" s="42" t="s">
        <v>916</v>
      </c>
      <c r="AC2428" s="43" t="s">
        <v>916</v>
      </c>
      <c r="AD2428" s="43" t="s">
        <v>916</v>
      </c>
      <c r="AE2428" s="33" t="s">
        <v>3982</v>
      </c>
      <c r="AF2428" s="35" t="s">
        <v>916</v>
      </c>
      <c r="AG2428" s="44">
        <v>487428.59694444452</v>
      </c>
      <c r="AH2428" s="42" t="s">
        <v>916</v>
      </c>
      <c r="AI2428" s="32" t="e">
        <f>VLOOKUP(A2428,'4月明細'!B:B,1,0)</f>
        <v>#N/A</v>
      </c>
    </row>
    <row r="2429" spans="1:35" ht="19.95" customHeight="1" x14ac:dyDescent="0.3">
      <c r="A2429" s="33" t="s">
        <v>8491</v>
      </c>
      <c r="B2429" s="34">
        <v>45878.43408564815</v>
      </c>
      <c r="C2429" s="34" t="str">
        <f t="shared" si="50"/>
        <v>202508</v>
      </c>
      <c r="D2429" s="35" t="s">
        <v>951</v>
      </c>
      <c r="E2429" s="36" t="s">
        <v>910</v>
      </c>
      <c r="F2429" s="36" t="s">
        <v>1068</v>
      </c>
      <c r="G2429" s="37" t="s">
        <v>8492</v>
      </c>
      <c r="H2429" s="36" t="s">
        <v>3991</v>
      </c>
      <c r="I2429" s="35"/>
      <c r="J2429" s="36" t="s">
        <v>914</v>
      </c>
      <c r="K2429" s="33" t="s">
        <v>916</v>
      </c>
      <c r="L2429" s="35" t="s">
        <v>916</v>
      </c>
      <c r="M2429" s="36" t="s">
        <v>916</v>
      </c>
      <c r="N2429" s="45">
        <v>46022</v>
      </c>
      <c r="O2429" s="36" t="s">
        <v>25</v>
      </c>
      <c r="P2429" s="38">
        <v>143.56591435179999</v>
      </c>
      <c r="Q2429" s="39" t="s">
        <v>2171</v>
      </c>
      <c r="R2429" s="35" t="s">
        <v>916</v>
      </c>
      <c r="S2429" s="35"/>
      <c r="T2429" s="35" t="s">
        <v>1701</v>
      </c>
      <c r="U2429" s="40">
        <v>45879</v>
      </c>
      <c r="V2429" s="41">
        <v>46153.533125000002</v>
      </c>
      <c r="W2429" s="40">
        <v>45878</v>
      </c>
      <c r="X2429" s="35" t="s">
        <v>916</v>
      </c>
      <c r="Y2429" s="35" t="s">
        <v>916</v>
      </c>
      <c r="Z2429" s="35" t="s">
        <v>916</v>
      </c>
      <c r="AA2429" s="38">
        <v>3445.5819444432</v>
      </c>
      <c r="AB2429" s="42" t="s">
        <v>916</v>
      </c>
      <c r="AC2429" s="43" t="s">
        <v>916</v>
      </c>
      <c r="AD2429" s="43" t="s">
        <v>916</v>
      </c>
      <c r="AE2429" s="33" t="s">
        <v>3982</v>
      </c>
      <c r="AF2429" s="35" t="s">
        <v>916</v>
      </c>
      <c r="AG2429" s="44">
        <v>487426.41805555561</v>
      </c>
      <c r="AH2429" s="42" t="s">
        <v>916</v>
      </c>
      <c r="AI2429" s="32" t="e">
        <f>VLOOKUP(A2429,'4月明細'!B:B,1,0)</f>
        <v>#N/A</v>
      </c>
    </row>
    <row r="2430" spans="1:35" ht="19.95" customHeight="1" x14ac:dyDescent="0.3">
      <c r="A2430" s="33" t="s">
        <v>8493</v>
      </c>
      <c r="B2430" s="34">
        <v>45877.708599537036</v>
      </c>
      <c r="C2430" s="34" t="str">
        <f t="shared" si="50"/>
        <v>202508</v>
      </c>
      <c r="D2430" s="35" t="s">
        <v>996</v>
      </c>
      <c r="E2430" s="36" t="s">
        <v>910</v>
      </c>
      <c r="F2430" s="36" t="s">
        <v>1723</v>
      </c>
      <c r="G2430" s="37" t="s">
        <v>8494</v>
      </c>
      <c r="H2430" s="36" t="s">
        <v>913</v>
      </c>
      <c r="I2430" s="35" t="s">
        <v>8495</v>
      </c>
      <c r="J2430" s="36" t="s">
        <v>929</v>
      </c>
      <c r="K2430" s="33" t="s">
        <v>916</v>
      </c>
      <c r="L2430" s="35" t="s">
        <v>916</v>
      </c>
      <c r="M2430" s="36" t="s">
        <v>1135</v>
      </c>
      <c r="N2430" s="45">
        <v>46022</v>
      </c>
      <c r="O2430" s="36" t="s">
        <v>25</v>
      </c>
      <c r="P2430" s="38">
        <v>144.291400463</v>
      </c>
      <c r="Q2430" s="39" t="s">
        <v>8496</v>
      </c>
      <c r="R2430" s="35" t="s">
        <v>916</v>
      </c>
      <c r="S2430" s="35"/>
      <c r="T2430" s="35" t="s">
        <v>1701</v>
      </c>
      <c r="U2430" s="40">
        <v>45878</v>
      </c>
      <c r="V2430" s="41">
        <v>46153.533125000002</v>
      </c>
      <c r="W2430" s="40">
        <v>45877</v>
      </c>
      <c r="X2430" s="35" t="s">
        <v>916</v>
      </c>
      <c r="Y2430" s="35" t="s">
        <v>916</v>
      </c>
      <c r="Z2430" s="35" t="s">
        <v>916</v>
      </c>
      <c r="AA2430" s="38">
        <v>3462.9936111120001</v>
      </c>
      <c r="AB2430" s="42" t="s">
        <v>916</v>
      </c>
      <c r="AC2430" s="43" t="s">
        <v>916</v>
      </c>
      <c r="AD2430" s="43" t="s">
        <v>916</v>
      </c>
      <c r="AE2430" s="33" t="s">
        <v>3982</v>
      </c>
      <c r="AF2430" s="35" t="s">
        <v>916</v>
      </c>
      <c r="AG2430" s="44">
        <v>487409.00638888893</v>
      </c>
      <c r="AH2430" s="42" t="s">
        <v>916</v>
      </c>
      <c r="AI2430" s="32" t="e">
        <f>VLOOKUP(A2430,'4月明細'!B:B,1,0)</f>
        <v>#N/A</v>
      </c>
    </row>
    <row r="2431" spans="1:35" ht="19.95" customHeight="1" x14ac:dyDescent="0.3">
      <c r="A2431" s="33" t="s">
        <v>8497</v>
      </c>
      <c r="B2431" s="34">
        <v>45877.705555555556</v>
      </c>
      <c r="C2431" s="34" t="str">
        <f t="shared" si="50"/>
        <v>202508</v>
      </c>
      <c r="D2431" s="35" t="s">
        <v>996</v>
      </c>
      <c r="E2431" s="36" t="s">
        <v>910</v>
      </c>
      <c r="F2431" s="36" t="s">
        <v>1768</v>
      </c>
      <c r="G2431" s="37" t="s">
        <v>8498</v>
      </c>
      <c r="H2431" s="36" t="s">
        <v>913</v>
      </c>
      <c r="I2431" s="35"/>
      <c r="J2431" s="36" t="s">
        <v>929</v>
      </c>
      <c r="K2431" s="33" t="s">
        <v>916</v>
      </c>
      <c r="L2431" s="35" t="s">
        <v>916</v>
      </c>
      <c r="M2431" s="36" t="s">
        <v>1135</v>
      </c>
      <c r="N2431" s="45">
        <v>46022</v>
      </c>
      <c r="O2431" s="36" t="s">
        <v>25</v>
      </c>
      <c r="P2431" s="38">
        <v>144.2944444444</v>
      </c>
      <c r="Q2431" s="39" t="s">
        <v>8499</v>
      </c>
      <c r="R2431" s="35" t="s">
        <v>916</v>
      </c>
      <c r="S2431" s="35"/>
      <c r="T2431" s="35" t="s">
        <v>1701</v>
      </c>
      <c r="U2431" s="40">
        <v>45878</v>
      </c>
      <c r="V2431" s="41">
        <v>46153.533125000002</v>
      </c>
      <c r="W2431" s="40">
        <v>45877</v>
      </c>
      <c r="X2431" s="35" t="s">
        <v>916</v>
      </c>
      <c r="Y2431" s="35" t="s">
        <v>916</v>
      </c>
      <c r="Z2431" s="35" t="s">
        <v>916</v>
      </c>
      <c r="AA2431" s="38">
        <v>3463.0666666656002</v>
      </c>
      <c r="AB2431" s="42" t="s">
        <v>916</v>
      </c>
      <c r="AC2431" s="43" t="s">
        <v>916</v>
      </c>
      <c r="AD2431" s="43" t="s">
        <v>916</v>
      </c>
      <c r="AE2431" s="33" t="s">
        <v>3982</v>
      </c>
      <c r="AF2431" s="35" t="s">
        <v>916</v>
      </c>
      <c r="AG2431" s="44">
        <v>487408.93333333329</v>
      </c>
      <c r="AH2431" s="42" t="s">
        <v>916</v>
      </c>
      <c r="AI2431" s="32" t="e">
        <f>VLOOKUP(A2431,'4月明細'!B:B,1,0)</f>
        <v>#N/A</v>
      </c>
    </row>
    <row r="2432" spans="1:35" ht="19.95" customHeight="1" x14ac:dyDescent="0.3">
      <c r="A2432" s="33" t="s">
        <v>8500</v>
      </c>
      <c r="B2432" s="34">
        <v>45877.471550925926</v>
      </c>
      <c r="C2432" s="34" t="str">
        <f t="shared" si="50"/>
        <v>202508</v>
      </c>
      <c r="D2432" s="35" t="s">
        <v>951</v>
      </c>
      <c r="E2432" s="36" t="s">
        <v>910</v>
      </c>
      <c r="F2432" s="36" t="s">
        <v>1010</v>
      </c>
      <c r="G2432" s="37" t="s">
        <v>8501</v>
      </c>
      <c r="H2432" s="36" t="s">
        <v>970</v>
      </c>
      <c r="I2432" s="35" t="s">
        <v>8502</v>
      </c>
      <c r="J2432" s="36" t="s">
        <v>929</v>
      </c>
      <c r="K2432" s="33" t="s">
        <v>916</v>
      </c>
      <c r="L2432" s="35" t="s">
        <v>916</v>
      </c>
      <c r="M2432" s="36" t="s">
        <v>916</v>
      </c>
      <c r="N2432" s="45">
        <v>46022</v>
      </c>
      <c r="O2432" s="36" t="s">
        <v>25</v>
      </c>
      <c r="P2432" s="38">
        <v>144.5284490741</v>
      </c>
      <c r="Q2432" s="39" t="s">
        <v>8503</v>
      </c>
      <c r="R2432" s="35" t="s">
        <v>916</v>
      </c>
      <c r="S2432" s="35"/>
      <c r="T2432" s="35" t="s">
        <v>1701</v>
      </c>
      <c r="U2432" s="40">
        <v>45878</v>
      </c>
      <c r="V2432" s="41">
        <v>46153.533125000002</v>
      </c>
      <c r="W2432" s="40">
        <v>45877</v>
      </c>
      <c r="X2432" s="35" t="s">
        <v>916</v>
      </c>
      <c r="Y2432" s="35" t="s">
        <v>916</v>
      </c>
      <c r="Z2432" s="35" t="s">
        <v>916</v>
      </c>
      <c r="AA2432" s="38">
        <v>3468.6827777784001</v>
      </c>
      <c r="AB2432" s="42" t="s">
        <v>916</v>
      </c>
      <c r="AC2432" s="43" t="s">
        <v>916</v>
      </c>
      <c r="AD2432" s="43" t="s">
        <v>916</v>
      </c>
      <c r="AE2432" s="33" t="s">
        <v>3982</v>
      </c>
      <c r="AF2432" s="35" t="s">
        <v>916</v>
      </c>
      <c r="AG2432" s="44">
        <v>487403.31722222222</v>
      </c>
      <c r="AH2432" s="42" t="s">
        <v>916</v>
      </c>
      <c r="AI2432" s="32" t="e">
        <f>VLOOKUP(A2432,'4月明細'!B:B,1,0)</f>
        <v>#N/A</v>
      </c>
    </row>
    <row r="2433" spans="1:35" ht="19.95" customHeight="1" x14ac:dyDescent="0.3">
      <c r="A2433" s="33" t="s">
        <v>8504</v>
      </c>
      <c r="B2433" s="34">
        <v>45877.671261574076</v>
      </c>
      <c r="C2433" s="34" t="str">
        <f t="shared" si="50"/>
        <v>202508</v>
      </c>
      <c r="D2433" s="35" t="s">
        <v>996</v>
      </c>
      <c r="E2433" s="36" t="s">
        <v>910</v>
      </c>
      <c r="F2433" s="36" t="s">
        <v>1568</v>
      </c>
      <c r="G2433" s="37" t="s">
        <v>8505</v>
      </c>
      <c r="H2433" s="36" t="s">
        <v>3985</v>
      </c>
      <c r="I2433" s="35" t="s">
        <v>1362</v>
      </c>
      <c r="J2433" s="36" t="s">
        <v>929</v>
      </c>
      <c r="K2433" s="33" t="s">
        <v>916</v>
      </c>
      <c r="L2433" s="35" t="s">
        <v>916</v>
      </c>
      <c r="M2433" s="36" t="s">
        <v>916</v>
      </c>
      <c r="N2433" s="45">
        <v>46022</v>
      </c>
      <c r="O2433" s="36" t="s">
        <v>25</v>
      </c>
      <c r="P2433" s="38">
        <v>144.32873842590001</v>
      </c>
      <c r="Q2433" s="39" t="s">
        <v>8506</v>
      </c>
      <c r="R2433" s="35" t="s">
        <v>916</v>
      </c>
      <c r="S2433" s="35"/>
      <c r="T2433" s="35" t="s">
        <v>1701</v>
      </c>
      <c r="U2433" s="40">
        <v>45878</v>
      </c>
      <c r="V2433" s="41">
        <v>46153.533125000002</v>
      </c>
      <c r="W2433" s="40">
        <v>45877</v>
      </c>
      <c r="X2433" s="35" t="s">
        <v>916</v>
      </c>
      <c r="Y2433" s="35" t="s">
        <v>916</v>
      </c>
      <c r="Z2433" s="35" t="s">
        <v>916</v>
      </c>
      <c r="AA2433" s="38">
        <v>3463.8897222216001</v>
      </c>
      <c r="AB2433" s="42" t="s">
        <v>916</v>
      </c>
      <c r="AC2433" s="43" t="s">
        <v>916</v>
      </c>
      <c r="AD2433" s="43" t="s">
        <v>916</v>
      </c>
      <c r="AE2433" s="33" t="s">
        <v>3982</v>
      </c>
      <c r="AF2433" s="35" t="s">
        <v>916</v>
      </c>
      <c r="AG2433" s="44">
        <v>487408.11027777783</v>
      </c>
      <c r="AH2433" s="42" t="s">
        <v>916</v>
      </c>
      <c r="AI2433" s="32" t="e">
        <f>VLOOKUP(A2433,'4月明細'!B:B,1,0)</f>
        <v>#N/A</v>
      </c>
    </row>
    <row r="2434" spans="1:35" ht="19.95" customHeight="1" x14ac:dyDescent="0.3">
      <c r="A2434" s="33" t="s">
        <v>8507</v>
      </c>
      <c r="B2434" s="34">
        <v>45877.630219907405</v>
      </c>
      <c r="C2434" s="34" t="str">
        <f t="shared" si="50"/>
        <v>202508</v>
      </c>
      <c r="D2434" s="35" t="s">
        <v>996</v>
      </c>
      <c r="E2434" s="36" t="s">
        <v>910</v>
      </c>
      <c r="F2434" s="36" t="s">
        <v>1000</v>
      </c>
      <c r="G2434" s="37" t="s">
        <v>8508</v>
      </c>
      <c r="H2434" s="36" t="s">
        <v>1048</v>
      </c>
      <c r="I2434" s="35"/>
      <c r="J2434" s="36" t="s">
        <v>929</v>
      </c>
      <c r="K2434" s="33" t="s">
        <v>916</v>
      </c>
      <c r="L2434" s="35" t="s">
        <v>916</v>
      </c>
      <c r="M2434" s="36" t="s">
        <v>916</v>
      </c>
      <c r="N2434" s="45">
        <v>46022</v>
      </c>
      <c r="O2434" s="36" t="s">
        <v>25</v>
      </c>
      <c r="P2434" s="38">
        <v>144.3697800926</v>
      </c>
      <c r="Q2434" s="39" t="s">
        <v>5957</v>
      </c>
      <c r="R2434" s="35" t="s">
        <v>916</v>
      </c>
      <c r="S2434" s="35"/>
      <c r="T2434" s="35" t="s">
        <v>1701</v>
      </c>
      <c r="U2434" s="40">
        <v>45878</v>
      </c>
      <c r="V2434" s="41">
        <v>46153.533125000002</v>
      </c>
      <c r="W2434" s="40">
        <v>45877</v>
      </c>
      <c r="X2434" s="35" t="s">
        <v>916</v>
      </c>
      <c r="Y2434" s="35" t="s">
        <v>916</v>
      </c>
      <c r="Z2434" s="35" t="s">
        <v>916</v>
      </c>
      <c r="AA2434" s="38">
        <v>3464.8747222224001</v>
      </c>
      <c r="AB2434" s="42" t="s">
        <v>916</v>
      </c>
      <c r="AC2434" s="43" t="s">
        <v>916</v>
      </c>
      <c r="AD2434" s="43" t="s">
        <v>916</v>
      </c>
      <c r="AE2434" s="33" t="s">
        <v>3982</v>
      </c>
      <c r="AF2434" s="35" t="s">
        <v>916</v>
      </c>
      <c r="AG2434" s="44">
        <v>487407.12527777778</v>
      </c>
      <c r="AH2434" s="42" t="s">
        <v>916</v>
      </c>
      <c r="AI2434" s="32" t="e">
        <f>VLOOKUP(A2434,'4月明細'!B:B,1,0)</f>
        <v>#N/A</v>
      </c>
    </row>
    <row r="2435" spans="1:35" ht="19.95" customHeight="1" x14ac:dyDescent="0.3">
      <c r="A2435" s="33" t="s">
        <v>8509</v>
      </c>
      <c r="B2435" s="34">
        <v>45877.518819444442</v>
      </c>
      <c r="C2435" s="34" t="str">
        <f t="shared" ref="C2435:C2497" si="51">TEXT(B2435,"YYYYMM")</f>
        <v>202508</v>
      </c>
      <c r="D2435" s="35" t="s">
        <v>5380</v>
      </c>
      <c r="E2435" s="36" t="s">
        <v>910</v>
      </c>
      <c r="F2435" s="36" t="s">
        <v>1584</v>
      </c>
      <c r="G2435" s="37" t="s">
        <v>8510</v>
      </c>
      <c r="H2435" s="36" t="s">
        <v>4029</v>
      </c>
      <c r="I2435" s="35" t="s">
        <v>8511</v>
      </c>
      <c r="J2435" s="36" t="s">
        <v>929</v>
      </c>
      <c r="K2435" s="33" t="s">
        <v>916</v>
      </c>
      <c r="L2435" s="35" t="s">
        <v>916</v>
      </c>
      <c r="M2435" s="36" t="s">
        <v>916</v>
      </c>
      <c r="N2435" s="45">
        <v>46022</v>
      </c>
      <c r="O2435" s="36" t="s">
        <v>25</v>
      </c>
      <c r="P2435" s="38">
        <v>144.48118055559999</v>
      </c>
      <c r="Q2435" s="39" t="s">
        <v>1328</v>
      </c>
      <c r="R2435" s="35" t="s">
        <v>916</v>
      </c>
      <c r="S2435" s="35" t="s">
        <v>8512</v>
      </c>
      <c r="T2435" s="35" t="s">
        <v>1701</v>
      </c>
      <c r="U2435" s="40">
        <v>45878</v>
      </c>
      <c r="V2435" s="41">
        <v>46153.533125000002</v>
      </c>
      <c r="W2435" s="40">
        <v>45877</v>
      </c>
      <c r="X2435" s="35" t="s">
        <v>916</v>
      </c>
      <c r="Y2435" s="35" t="s">
        <v>916</v>
      </c>
      <c r="Z2435" s="35" t="s">
        <v>916</v>
      </c>
      <c r="AA2435" s="38">
        <v>3467.5483333344</v>
      </c>
      <c r="AB2435" s="42" t="s">
        <v>916</v>
      </c>
      <c r="AC2435" s="43" t="s">
        <v>916</v>
      </c>
      <c r="AD2435" s="43" t="s">
        <v>916</v>
      </c>
      <c r="AE2435" s="33" t="s">
        <v>3982</v>
      </c>
      <c r="AF2435" s="35" t="s">
        <v>916</v>
      </c>
      <c r="AG2435" s="44">
        <v>487404.45166666672</v>
      </c>
      <c r="AH2435" s="42" t="s">
        <v>916</v>
      </c>
      <c r="AI2435" s="32" t="e">
        <f>VLOOKUP(A2435,'4月明細'!B:B,1,0)</f>
        <v>#N/A</v>
      </c>
    </row>
    <row r="2436" spans="1:35" ht="19.95" customHeight="1" x14ac:dyDescent="0.3">
      <c r="A2436" s="33" t="s">
        <v>8513</v>
      </c>
      <c r="B2436" s="34">
        <v>45877.494687500002</v>
      </c>
      <c r="C2436" s="34" t="str">
        <f t="shared" si="51"/>
        <v>202508</v>
      </c>
      <c r="D2436" s="35" t="s">
        <v>996</v>
      </c>
      <c r="E2436" s="36" t="s">
        <v>910</v>
      </c>
      <c r="F2436" s="36" t="s">
        <v>1521</v>
      </c>
      <c r="G2436" s="37" t="s">
        <v>7392</v>
      </c>
      <c r="H2436" s="36" t="s">
        <v>7588</v>
      </c>
      <c r="I2436" s="35"/>
      <c r="J2436" s="36" t="s">
        <v>929</v>
      </c>
      <c r="K2436" s="33" t="s">
        <v>916</v>
      </c>
      <c r="L2436" s="35" t="s">
        <v>916</v>
      </c>
      <c r="M2436" s="36" t="s">
        <v>916</v>
      </c>
      <c r="N2436" s="45">
        <v>46022</v>
      </c>
      <c r="O2436" s="36" t="s">
        <v>25</v>
      </c>
      <c r="P2436" s="38">
        <v>144.5053125</v>
      </c>
      <c r="Q2436" s="39" t="s">
        <v>1404</v>
      </c>
      <c r="R2436" s="35" t="s">
        <v>916</v>
      </c>
      <c r="S2436" s="35"/>
      <c r="T2436" s="35" t="s">
        <v>1701</v>
      </c>
      <c r="U2436" s="40">
        <v>45878</v>
      </c>
      <c r="V2436" s="41">
        <v>46153.533125000002</v>
      </c>
      <c r="W2436" s="40">
        <v>45877</v>
      </c>
      <c r="X2436" s="35" t="s">
        <v>916</v>
      </c>
      <c r="Y2436" s="35" t="s">
        <v>916</v>
      </c>
      <c r="Z2436" s="35" t="s">
        <v>916</v>
      </c>
      <c r="AA2436" s="38">
        <v>3468.1275000000001</v>
      </c>
      <c r="AB2436" s="42" t="s">
        <v>916</v>
      </c>
      <c r="AC2436" s="43" t="s">
        <v>916</v>
      </c>
      <c r="AD2436" s="43" t="s">
        <v>916</v>
      </c>
      <c r="AE2436" s="33" t="s">
        <v>3982</v>
      </c>
      <c r="AF2436" s="35" t="s">
        <v>916</v>
      </c>
      <c r="AG2436" s="44">
        <v>487403.87249999988</v>
      </c>
      <c r="AH2436" s="42" t="s">
        <v>916</v>
      </c>
      <c r="AI2436" s="32" t="e">
        <f>VLOOKUP(A2436,'4月明細'!B:B,1,0)</f>
        <v>#N/A</v>
      </c>
    </row>
    <row r="2437" spans="1:35" ht="19.95" customHeight="1" x14ac:dyDescent="0.3">
      <c r="A2437" s="33" t="s">
        <v>8514</v>
      </c>
      <c r="B2437" s="34">
        <v>45877.473217592589</v>
      </c>
      <c r="C2437" s="34" t="str">
        <f t="shared" si="51"/>
        <v>202508</v>
      </c>
      <c r="D2437" s="35" t="s">
        <v>996</v>
      </c>
      <c r="E2437" s="36" t="s">
        <v>910</v>
      </c>
      <c r="F2437" s="36" t="s">
        <v>1253</v>
      </c>
      <c r="G2437" s="37" t="s">
        <v>8515</v>
      </c>
      <c r="H2437" s="36" t="s">
        <v>1114</v>
      </c>
      <c r="I2437" s="35" t="s">
        <v>8516</v>
      </c>
      <c r="J2437" s="36" t="s">
        <v>929</v>
      </c>
      <c r="K2437" s="33" t="s">
        <v>916</v>
      </c>
      <c r="L2437" s="35" t="s">
        <v>916</v>
      </c>
      <c r="M2437" s="36" t="s">
        <v>916</v>
      </c>
      <c r="N2437" s="45">
        <v>46022</v>
      </c>
      <c r="O2437" s="36" t="s">
        <v>25</v>
      </c>
      <c r="P2437" s="38">
        <v>144.52678240739999</v>
      </c>
      <c r="Q2437" s="39" t="s">
        <v>8517</v>
      </c>
      <c r="R2437" s="35" t="s">
        <v>916</v>
      </c>
      <c r="S2437" s="35"/>
      <c r="T2437" s="35" t="s">
        <v>1701</v>
      </c>
      <c r="U2437" s="40">
        <v>45878</v>
      </c>
      <c r="V2437" s="41">
        <v>46153.533125000002</v>
      </c>
      <c r="W2437" s="40">
        <v>45877</v>
      </c>
      <c r="X2437" s="35" t="s">
        <v>916</v>
      </c>
      <c r="Y2437" s="35" t="s">
        <v>916</v>
      </c>
      <c r="Z2437" s="35" t="s">
        <v>916</v>
      </c>
      <c r="AA2437" s="38">
        <v>3468.6427777775998</v>
      </c>
      <c r="AB2437" s="42" t="s">
        <v>916</v>
      </c>
      <c r="AC2437" s="43" t="s">
        <v>916</v>
      </c>
      <c r="AD2437" s="43" t="s">
        <v>916</v>
      </c>
      <c r="AE2437" s="33" t="s">
        <v>3982</v>
      </c>
      <c r="AF2437" s="35" t="s">
        <v>916</v>
      </c>
      <c r="AG2437" s="44">
        <v>487403.35722222232</v>
      </c>
      <c r="AH2437" s="42" t="s">
        <v>916</v>
      </c>
      <c r="AI2437" s="32" t="e">
        <f>VLOOKUP(A2437,'4月明細'!B:B,1,0)</f>
        <v>#N/A</v>
      </c>
    </row>
    <row r="2438" spans="1:35" ht="19.95" customHeight="1" x14ac:dyDescent="0.3">
      <c r="A2438" s="33" t="s">
        <v>8518</v>
      </c>
      <c r="B2438" s="34">
        <v>45877.457025462965</v>
      </c>
      <c r="C2438" s="34" t="str">
        <f t="shared" si="51"/>
        <v>202508</v>
      </c>
      <c r="D2438" s="35" t="s">
        <v>5380</v>
      </c>
      <c r="E2438" s="36" t="s">
        <v>910</v>
      </c>
      <c r="F2438" s="36" t="s">
        <v>1634</v>
      </c>
      <c r="G2438" s="37" t="s">
        <v>8519</v>
      </c>
      <c r="H2438" s="36" t="s">
        <v>1048</v>
      </c>
      <c r="I2438" s="35" t="s">
        <v>8520</v>
      </c>
      <c r="J2438" s="36" t="s">
        <v>929</v>
      </c>
      <c r="K2438" s="33" t="s">
        <v>916</v>
      </c>
      <c r="L2438" s="35" t="s">
        <v>916</v>
      </c>
      <c r="M2438" s="36" t="s">
        <v>916</v>
      </c>
      <c r="N2438" s="45">
        <v>46022</v>
      </c>
      <c r="O2438" s="36" t="s">
        <v>25</v>
      </c>
      <c r="P2438" s="38">
        <v>144.54297453699999</v>
      </c>
      <c r="Q2438" s="39" t="s">
        <v>8521</v>
      </c>
      <c r="R2438" s="35" t="s">
        <v>916</v>
      </c>
      <c r="S2438" s="35"/>
      <c r="T2438" s="35" t="s">
        <v>1701</v>
      </c>
      <c r="U2438" s="40">
        <v>45878</v>
      </c>
      <c r="V2438" s="41">
        <v>46153.533125000002</v>
      </c>
      <c r="W2438" s="40">
        <v>45877</v>
      </c>
      <c r="X2438" s="35" t="s">
        <v>916</v>
      </c>
      <c r="Y2438" s="35" t="s">
        <v>916</v>
      </c>
      <c r="Z2438" s="35" t="s">
        <v>916</v>
      </c>
      <c r="AA2438" s="38">
        <v>3469.031388888</v>
      </c>
      <c r="AB2438" s="42" t="s">
        <v>916</v>
      </c>
      <c r="AC2438" s="43" t="s">
        <v>916</v>
      </c>
      <c r="AD2438" s="43" t="s">
        <v>916</v>
      </c>
      <c r="AE2438" s="33" t="s">
        <v>3982</v>
      </c>
      <c r="AF2438" s="35" t="s">
        <v>916</v>
      </c>
      <c r="AG2438" s="44">
        <v>487402.96861111099</v>
      </c>
      <c r="AH2438" s="42" t="s">
        <v>916</v>
      </c>
      <c r="AI2438" s="32" t="e">
        <f>VLOOKUP(A2438,'4月明細'!B:B,1,0)</f>
        <v>#N/A</v>
      </c>
    </row>
    <row r="2439" spans="1:35" ht="19.95" customHeight="1" x14ac:dyDescent="0.3">
      <c r="A2439" s="33" t="s">
        <v>8522</v>
      </c>
      <c r="B2439" s="34">
        <v>45877.450543981482</v>
      </c>
      <c r="C2439" s="34" t="str">
        <f t="shared" si="51"/>
        <v>202508</v>
      </c>
      <c r="D2439" s="35" t="s">
        <v>996</v>
      </c>
      <c r="E2439" s="36" t="s">
        <v>910</v>
      </c>
      <c r="F2439" s="36" t="s">
        <v>1045</v>
      </c>
      <c r="G2439" s="37" t="s">
        <v>8523</v>
      </c>
      <c r="H2439" s="36" t="s">
        <v>1114</v>
      </c>
      <c r="I2439" s="35"/>
      <c r="J2439" s="36" t="s">
        <v>914</v>
      </c>
      <c r="K2439" s="33" t="s">
        <v>916</v>
      </c>
      <c r="L2439" s="35" t="s">
        <v>916</v>
      </c>
      <c r="M2439" s="36" t="s">
        <v>916</v>
      </c>
      <c r="N2439" s="45">
        <v>46022</v>
      </c>
      <c r="O2439" s="36" t="s">
        <v>25</v>
      </c>
      <c r="P2439" s="38">
        <v>144.5494560185</v>
      </c>
      <c r="Q2439" s="39" t="s">
        <v>8524</v>
      </c>
      <c r="R2439" s="35" t="s">
        <v>916</v>
      </c>
      <c r="S2439" s="35" t="s">
        <v>8525</v>
      </c>
      <c r="T2439" s="35" t="s">
        <v>1701</v>
      </c>
      <c r="U2439" s="40">
        <v>45878</v>
      </c>
      <c r="V2439" s="41">
        <v>46153.533125000002</v>
      </c>
      <c r="W2439" s="40">
        <v>45877</v>
      </c>
      <c r="X2439" s="35" t="s">
        <v>916</v>
      </c>
      <c r="Y2439" s="35" t="s">
        <v>916</v>
      </c>
      <c r="Z2439" s="35" t="s">
        <v>916</v>
      </c>
      <c r="AA2439" s="38">
        <v>3469.1869444439999</v>
      </c>
      <c r="AB2439" s="42" t="s">
        <v>916</v>
      </c>
      <c r="AC2439" s="43" t="s">
        <v>916</v>
      </c>
      <c r="AD2439" s="43" t="s">
        <v>916</v>
      </c>
      <c r="AE2439" s="33" t="s">
        <v>3982</v>
      </c>
      <c r="AF2439" s="35" t="s">
        <v>916</v>
      </c>
      <c r="AG2439" s="44">
        <v>487402.81305555563</v>
      </c>
      <c r="AH2439" s="42" t="s">
        <v>916</v>
      </c>
      <c r="AI2439" s="32" t="e">
        <f>VLOOKUP(A2439,'4月明細'!B:B,1,0)</f>
        <v>#N/A</v>
      </c>
    </row>
    <row r="2440" spans="1:35" ht="19.95" customHeight="1" x14ac:dyDescent="0.3">
      <c r="A2440" s="33" t="s">
        <v>8526</v>
      </c>
      <c r="B2440" s="34">
        <v>45877.150405092594</v>
      </c>
      <c r="C2440" s="34" t="str">
        <f t="shared" si="51"/>
        <v>202508</v>
      </c>
      <c r="D2440" s="35" t="s">
        <v>960</v>
      </c>
      <c r="E2440" s="36" t="s">
        <v>1112</v>
      </c>
      <c r="F2440" s="36" t="s">
        <v>1521</v>
      </c>
      <c r="G2440" s="37" t="s">
        <v>8527</v>
      </c>
      <c r="H2440" s="36" t="s">
        <v>1184</v>
      </c>
      <c r="I2440" s="35"/>
      <c r="J2440" s="36" t="s">
        <v>945</v>
      </c>
      <c r="K2440" s="33" t="s">
        <v>916</v>
      </c>
      <c r="L2440" s="35" t="s">
        <v>916</v>
      </c>
      <c r="M2440" s="36" t="s">
        <v>916</v>
      </c>
      <c r="N2440" s="45">
        <v>46022</v>
      </c>
      <c r="O2440" s="36" t="s">
        <v>25</v>
      </c>
      <c r="P2440" s="38">
        <v>144.84959490739999</v>
      </c>
      <c r="Q2440" s="39" t="s">
        <v>8528</v>
      </c>
      <c r="R2440" s="35" t="s">
        <v>916</v>
      </c>
      <c r="S2440" s="35" t="s">
        <v>8529</v>
      </c>
      <c r="T2440" s="35" t="s">
        <v>1701</v>
      </c>
      <c r="U2440" s="40">
        <v>45878</v>
      </c>
      <c r="V2440" s="41">
        <v>46153.533125000002</v>
      </c>
      <c r="W2440" s="40">
        <v>45877</v>
      </c>
      <c r="X2440" s="35" t="s">
        <v>916</v>
      </c>
      <c r="Y2440" s="35" t="s">
        <v>916</v>
      </c>
      <c r="Z2440" s="35" t="s">
        <v>916</v>
      </c>
      <c r="AA2440" s="38">
        <v>3476.3902777776002</v>
      </c>
      <c r="AB2440" s="42" t="s">
        <v>916</v>
      </c>
      <c r="AC2440" s="43" t="s">
        <v>916</v>
      </c>
      <c r="AD2440" s="43" t="s">
        <v>916</v>
      </c>
      <c r="AE2440" s="33" t="s">
        <v>3982</v>
      </c>
      <c r="AF2440" s="35" t="s">
        <v>916</v>
      </c>
      <c r="AG2440" s="44">
        <v>487395.60972222232</v>
      </c>
      <c r="AH2440" s="42" t="s">
        <v>916</v>
      </c>
      <c r="AI2440" s="32" t="e">
        <f>VLOOKUP(A2440,'4月明細'!B:B,1,0)</f>
        <v>#N/A</v>
      </c>
    </row>
    <row r="2441" spans="1:35" ht="19.95" customHeight="1" x14ac:dyDescent="0.3">
      <c r="A2441" s="33" t="s">
        <v>8530</v>
      </c>
      <c r="B2441" s="34">
        <v>45876.684849537036</v>
      </c>
      <c r="C2441" s="34" t="str">
        <f t="shared" si="51"/>
        <v>202508</v>
      </c>
      <c r="D2441" s="35" t="s">
        <v>996</v>
      </c>
      <c r="E2441" s="36" t="s">
        <v>910</v>
      </c>
      <c r="F2441" s="36" t="s">
        <v>961</v>
      </c>
      <c r="G2441" s="37" t="s">
        <v>8531</v>
      </c>
      <c r="H2441" s="36" t="s">
        <v>4185</v>
      </c>
      <c r="I2441" s="35"/>
      <c r="J2441" s="36" t="s">
        <v>929</v>
      </c>
      <c r="K2441" s="33" t="s">
        <v>916</v>
      </c>
      <c r="L2441" s="35" t="s">
        <v>916</v>
      </c>
      <c r="M2441" s="36" t="s">
        <v>916</v>
      </c>
      <c r="N2441" s="45">
        <v>46022</v>
      </c>
      <c r="O2441" s="36" t="s">
        <v>25</v>
      </c>
      <c r="P2441" s="38">
        <v>145.31515046300001</v>
      </c>
      <c r="Q2441" s="39" t="s">
        <v>8532</v>
      </c>
      <c r="R2441" s="35" t="s">
        <v>916</v>
      </c>
      <c r="S2441" s="35"/>
      <c r="T2441" s="35" t="s">
        <v>1701</v>
      </c>
      <c r="U2441" s="40">
        <v>45877</v>
      </c>
      <c r="V2441" s="41">
        <v>46153.533125000002</v>
      </c>
      <c r="W2441" s="40">
        <v>45876</v>
      </c>
      <c r="X2441" s="35" t="s">
        <v>916</v>
      </c>
      <c r="Y2441" s="35" t="s">
        <v>916</v>
      </c>
      <c r="Z2441" s="35" t="s">
        <v>916</v>
      </c>
      <c r="AA2441" s="38">
        <v>3487.5636111120002</v>
      </c>
      <c r="AB2441" s="42" t="s">
        <v>916</v>
      </c>
      <c r="AC2441" s="43" t="s">
        <v>916</v>
      </c>
      <c r="AD2441" s="43" t="s">
        <v>916</v>
      </c>
      <c r="AE2441" s="33" t="s">
        <v>3982</v>
      </c>
      <c r="AF2441" s="35" t="s">
        <v>916</v>
      </c>
      <c r="AG2441" s="44">
        <v>487384.43638888898</v>
      </c>
      <c r="AH2441" s="42" t="s">
        <v>916</v>
      </c>
      <c r="AI2441" s="32" t="e">
        <f>VLOOKUP(A2441,'4月明細'!B:B,1,0)</f>
        <v>#N/A</v>
      </c>
    </row>
    <row r="2442" spans="1:35" ht="19.95" customHeight="1" x14ac:dyDescent="0.3">
      <c r="A2442" s="33" t="s">
        <v>8533</v>
      </c>
      <c r="B2442" s="34">
        <v>45876.666909722226</v>
      </c>
      <c r="C2442" s="34" t="str">
        <f t="shared" si="51"/>
        <v>202508</v>
      </c>
      <c r="D2442" s="35" t="s">
        <v>996</v>
      </c>
      <c r="E2442" s="36" t="s">
        <v>910</v>
      </c>
      <c r="F2442" s="36" t="s">
        <v>961</v>
      </c>
      <c r="G2442" s="37" t="s">
        <v>8534</v>
      </c>
      <c r="H2442" s="36" t="s">
        <v>4060</v>
      </c>
      <c r="I2442" s="35" t="s">
        <v>1362</v>
      </c>
      <c r="J2442" s="36" t="s">
        <v>929</v>
      </c>
      <c r="K2442" s="33" t="s">
        <v>916</v>
      </c>
      <c r="L2442" s="35" t="s">
        <v>916</v>
      </c>
      <c r="M2442" s="36" t="s">
        <v>916</v>
      </c>
      <c r="N2442" s="45">
        <v>46022</v>
      </c>
      <c r="O2442" s="36" t="s">
        <v>25</v>
      </c>
      <c r="P2442" s="38">
        <v>145.33309027780001</v>
      </c>
      <c r="Q2442" s="39" t="s">
        <v>8535</v>
      </c>
      <c r="R2442" s="35" t="s">
        <v>916</v>
      </c>
      <c r="S2442" s="35"/>
      <c r="T2442" s="35" t="s">
        <v>1701</v>
      </c>
      <c r="U2442" s="40">
        <v>45877</v>
      </c>
      <c r="V2442" s="41">
        <v>46153.533125000002</v>
      </c>
      <c r="W2442" s="40">
        <v>45876</v>
      </c>
      <c r="X2442" s="35" t="s">
        <v>916</v>
      </c>
      <c r="Y2442" s="35" t="s">
        <v>916</v>
      </c>
      <c r="Z2442" s="35" t="s">
        <v>916</v>
      </c>
      <c r="AA2442" s="38">
        <v>3487.9941666671998</v>
      </c>
      <c r="AB2442" s="42" t="s">
        <v>916</v>
      </c>
      <c r="AC2442" s="43" t="s">
        <v>916</v>
      </c>
      <c r="AD2442" s="43" t="s">
        <v>916</v>
      </c>
      <c r="AE2442" s="33" t="s">
        <v>3982</v>
      </c>
      <c r="AF2442" s="35" t="s">
        <v>916</v>
      </c>
      <c r="AG2442" s="44">
        <v>487384.00583333342</v>
      </c>
      <c r="AH2442" s="42" t="s">
        <v>916</v>
      </c>
      <c r="AI2442" s="32" t="e">
        <f>VLOOKUP(A2442,'4月明細'!B:B,1,0)</f>
        <v>#N/A</v>
      </c>
    </row>
    <row r="2443" spans="1:35" ht="19.95" customHeight="1" x14ac:dyDescent="0.3">
      <c r="A2443" s="33" t="s">
        <v>8536</v>
      </c>
      <c r="B2443" s="34">
        <v>45876.639166666668</v>
      </c>
      <c r="C2443" s="34" t="str">
        <f t="shared" si="51"/>
        <v>202508</v>
      </c>
      <c r="D2443" s="35" t="s">
        <v>996</v>
      </c>
      <c r="E2443" s="36" t="s">
        <v>910</v>
      </c>
      <c r="F2443" s="36" t="s">
        <v>1419</v>
      </c>
      <c r="G2443" s="37" t="s">
        <v>8537</v>
      </c>
      <c r="H2443" s="36" t="s">
        <v>5586</v>
      </c>
      <c r="I2443" s="35" t="s">
        <v>8538</v>
      </c>
      <c r="J2443" s="36" t="s">
        <v>929</v>
      </c>
      <c r="K2443" s="33" t="s">
        <v>916</v>
      </c>
      <c r="L2443" s="35" t="s">
        <v>916</v>
      </c>
      <c r="M2443" s="36" t="s">
        <v>916</v>
      </c>
      <c r="N2443" s="45">
        <v>46022</v>
      </c>
      <c r="O2443" s="36" t="s">
        <v>25</v>
      </c>
      <c r="P2443" s="38">
        <v>145.36083333330001</v>
      </c>
      <c r="Q2443" s="39" t="s">
        <v>8539</v>
      </c>
      <c r="R2443" s="35" t="s">
        <v>916</v>
      </c>
      <c r="S2443" s="35"/>
      <c r="T2443" s="35" t="s">
        <v>1701</v>
      </c>
      <c r="U2443" s="40">
        <v>45877</v>
      </c>
      <c r="V2443" s="41">
        <v>46153.533125000002</v>
      </c>
      <c r="W2443" s="40">
        <v>45876</v>
      </c>
      <c r="X2443" s="35" t="s">
        <v>916</v>
      </c>
      <c r="Y2443" s="35" t="s">
        <v>916</v>
      </c>
      <c r="Z2443" s="35" t="s">
        <v>916</v>
      </c>
      <c r="AA2443" s="38">
        <v>3488.6599999992</v>
      </c>
      <c r="AB2443" s="42" t="s">
        <v>916</v>
      </c>
      <c r="AC2443" s="43" t="s">
        <v>916</v>
      </c>
      <c r="AD2443" s="43" t="s">
        <v>916</v>
      </c>
      <c r="AE2443" s="33" t="s">
        <v>3982</v>
      </c>
      <c r="AF2443" s="35" t="s">
        <v>916</v>
      </c>
      <c r="AG2443" s="44">
        <v>487383.34</v>
      </c>
      <c r="AH2443" s="42" t="s">
        <v>916</v>
      </c>
      <c r="AI2443" s="32" t="e">
        <f>VLOOKUP(A2443,'4月明細'!B:B,1,0)</f>
        <v>#N/A</v>
      </c>
    </row>
    <row r="2444" spans="1:35" ht="19.95" customHeight="1" x14ac:dyDescent="0.3">
      <c r="A2444" s="33" t="s">
        <v>8540</v>
      </c>
      <c r="B2444" s="34">
        <v>45876.58625</v>
      </c>
      <c r="C2444" s="34" t="str">
        <f t="shared" si="51"/>
        <v>202508</v>
      </c>
      <c r="D2444" s="35" t="s">
        <v>996</v>
      </c>
      <c r="E2444" s="36" t="s">
        <v>910</v>
      </c>
      <c r="F2444" s="36" t="s">
        <v>2300</v>
      </c>
      <c r="G2444" s="37" t="s">
        <v>8541</v>
      </c>
      <c r="H2444" s="36" t="s">
        <v>956</v>
      </c>
      <c r="I2444" s="35"/>
      <c r="J2444" s="36" t="s">
        <v>914</v>
      </c>
      <c r="K2444" s="33" t="s">
        <v>916</v>
      </c>
      <c r="L2444" s="35" t="s">
        <v>916</v>
      </c>
      <c r="M2444" s="36" t="s">
        <v>916</v>
      </c>
      <c r="N2444" s="45">
        <v>46022</v>
      </c>
      <c r="O2444" s="36" t="s">
        <v>25</v>
      </c>
      <c r="P2444" s="38">
        <v>145.41374999999999</v>
      </c>
      <c r="Q2444" s="39" t="s">
        <v>8542</v>
      </c>
      <c r="R2444" s="35" t="s">
        <v>916</v>
      </c>
      <c r="S2444" s="35"/>
      <c r="T2444" s="35" t="s">
        <v>1701</v>
      </c>
      <c r="U2444" s="40">
        <v>45877</v>
      </c>
      <c r="V2444" s="41">
        <v>46153.533125000002</v>
      </c>
      <c r="W2444" s="40">
        <v>45876</v>
      </c>
      <c r="X2444" s="35" t="s">
        <v>916</v>
      </c>
      <c r="Y2444" s="35" t="s">
        <v>916</v>
      </c>
      <c r="Z2444" s="35" t="s">
        <v>916</v>
      </c>
      <c r="AA2444" s="38">
        <v>3489.93</v>
      </c>
      <c r="AB2444" s="42" t="s">
        <v>916</v>
      </c>
      <c r="AC2444" s="43" t="s">
        <v>916</v>
      </c>
      <c r="AD2444" s="43" t="s">
        <v>916</v>
      </c>
      <c r="AE2444" s="33" t="s">
        <v>3982</v>
      </c>
      <c r="AF2444" s="35" t="s">
        <v>916</v>
      </c>
      <c r="AG2444" s="44">
        <v>487382.07</v>
      </c>
      <c r="AH2444" s="42" t="s">
        <v>916</v>
      </c>
      <c r="AI2444" s="32" t="e">
        <f>VLOOKUP(A2444,'4月明細'!B:B,1,0)</f>
        <v>#N/A</v>
      </c>
    </row>
    <row r="2445" spans="1:35" ht="19.95" customHeight="1" x14ac:dyDescent="0.3">
      <c r="A2445" s="33" t="s">
        <v>8543</v>
      </c>
      <c r="B2445" s="34">
        <v>45876.555208333331</v>
      </c>
      <c r="C2445" s="34" t="str">
        <f t="shared" si="51"/>
        <v>202508</v>
      </c>
      <c r="D2445" s="35" t="s">
        <v>5380</v>
      </c>
      <c r="E2445" s="36" t="s">
        <v>910</v>
      </c>
      <c r="F2445" s="36" t="s">
        <v>1799</v>
      </c>
      <c r="G2445" s="37" t="s">
        <v>8544</v>
      </c>
      <c r="H2445" s="36" t="s">
        <v>4029</v>
      </c>
      <c r="I2445" s="35" t="s">
        <v>8545</v>
      </c>
      <c r="J2445" s="36" t="s">
        <v>929</v>
      </c>
      <c r="K2445" s="33" t="s">
        <v>916</v>
      </c>
      <c r="L2445" s="35" t="s">
        <v>916</v>
      </c>
      <c r="M2445" s="36" t="s">
        <v>916</v>
      </c>
      <c r="N2445" s="45">
        <v>46022</v>
      </c>
      <c r="O2445" s="36" t="s">
        <v>25</v>
      </c>
      <c r="P2445" s="38">
        <v>145.44479166670001</v>
      </c>
      <c r="Q2445" s="39" t="s">
        <v>1366</v>
      </c>
      <c r="R2445" s="35" t="s">
        <v>916</v>
      </c>
      <c r="S2445" s="35"/>
      <c r="T2445" s="35" t="s">
        <v>1701</v>
      </c>
      <c r="U2445" s="40">
        <v>45877</v>
      </c>
      <c r="V2445" s="41">
        <v>46153.533125000002</v>
      </c>
      <c r="W2445" s="40">
        <v>45876</v>
      </c>
      <c r="X2445" s="35" t="s">
        <v>916</v>
      </c>
      <c r="Y2445" s="35" t="s">
        <v>916</v>
      </c>
      <c r="Z2445" s="35" t="s">
        <v>916</v>
      </c>
      <c r="AA2445" s="38">
        <v>3490.6750000008001</v>
      </c>
      <c r="AB2445" s="42" t="s">
        <v>916</v>
      </c>
      <c r="AC2445" s="43" t="s">
        <v>916</v>
      </c>
      <c r="AD2445" s="43" t="s">
        <v>916</v>
      </c>
      <c r="AE2445" s="33" t="s">
        <v>3982</v>
      </c>
      <c r="AF2445" s="35" t="s">
        <v>916</v>
      </c>
      <c r="AG2445" s="44">
        <v>487381.32500000013</v>
      </c>
      <c r="AH2445" s="42" t="s">
        <v>916</v>
      </c>
      <c r="AI2445" s="32" t="e">
        <f>VLOOKUP(A2445,'4月明細'!B:B,1,0)</f>
        <v>#N/A</v>
      </c>
    </row>
    <row r="2446" spans="1:35" ht="19.95" customHeight="1" x14ac:dyDescent="0.3">
      <c r="A2446" s="33" t="s">
        <v>8546</v>
      </c>
      <c r="B2446" s="34">
        <v>45876.547962962963</v>
      </c>
      <c r="C2446" s="34" t="str">
        <f t="shared" si="51"/>
        <v>202508</v>
      </c>
      <c r="D2446" s="35" t="s">
        <v>6281</v>
      </c>
      <c r="E2446" s="36" t="s">
        <v>1199</v>
      </c>
      <c r="F2446" s="36" t="s">
        <v>1282</v>
      </c>
      <c r="G2446" s="37" t="s">
        <v>8547</v>
      </c>
      <c r="H2446" s="36" t="s">
        <v>4162</v>
      </c>
      <c r="I2446" s="35"/>
      <c r="J2446" s="36" t="s">
        <v>929</v>
      </c>
      <c r="K2446" s="33" t="s">
        <v>916</v>
      </c>
      <c r="L2446" s="35" t="s">
        <v>916</v>
      </c>
      <c r="M2446" s="36" t="s">
        <v>916</v>
      </c>
      <c r="N2446" s="45">
        <v>46022</v>
      </c>
      <c r="O2446" s="36" t="s">
        <v>25</v>
      </c>
      <c r="P2446" s="38">
        <v>145.452037037</v>
      </c>
      <c r="Q2446" s="39" t="s">
        <v>8524</v>
      </c>
      <c r="R2446" s="35" t="s">
        <v>916</v>
      </c>
      <c r="S2446" s="35" t="s">
        <v>8548</v>
      </c>
      <c r="T2446" s="35" t="s">
        <v>1701</v>
      </c>
      <c r="U2446" s="40">
        <v>45877</v>
      </c>
      <c r="V2446" s="41">
        <v>46153.533125000002</v>
      </c>
      <c r="W2446" s="40">
        <v>45876</v>
      </c>
      <c r="X2446" s="35" t="s">
        <v>916</v>
      </c>
      <c r="Y2446" s="35" t="s">
        <v>916</v>
      </c>
      <c r="Z2446" s="35" t="s">
        <v>916</v>
      </c>
      <c r="AA2446" s="38">
        <v>3490.8488888880001</v>
      </c>
      <c r="AB2446" s="42" t="s">
        <v>916</v>
      </c>
      <c r="AC2446" s="43" t="s">
        <v>916</v>
      </c>
      <c r="AD2446" s="43" t="s">
        <v>916</v>
      </c>
      <c r="AE2446" s="33" t="s">
        <v>3982</v>
      </c>
      <c r="AF2446" s="35" t="s">
        <v>916</v>
      </c>
      <c r="AG2446" s="44">
        <v>487381.1511111111</v>
      </c>
      <c r="AH2446" s="42" t="s">
        <v>916</v>
      </c>
      <c r="AI2446" s="32" t="e">
        <f>VLOOKUP(A2446,'4月明細'!B:B,1,0)</f>
        <v>#N/A</v>
      </c>
    </row>
    <row r="2447" spans="1:35" ht="19.95" customHeight="1" x14ac:dyDescent="0.3">
      <c r="A2447" s="33" t="s">
        <v>8549</v>
      </c>
      <c r="B2447" s="34">
        <v>45876.513969907406</v>
      </c>
      <c r="C2447" s="34" t="str">
        <f t="shared" si="51"/>
        <v>202508</v>
      </c>
      <c r="D2447" s="35" t="s">
        <v>6281</v>
      </c>
      <c r="E2447" s="36" t="s">
        <v>910</v>
      </c>
      <c r="F2447" s="36" t="s">
        <v>1748</v>
      </c>
      <c r="G2447" s="37" t="s">
        <v>8550</v>
      </c>
      <c r="H2447" s="36" t="s">
        <v>913</v>
      </c>
      <c r="I2447" s="35"/>
      <c r="J2447" s="36" t="s">
        <v>929</v>
      </c>
      <c r="K2447" s="33" t="s">
        <v>916</v>
      </c>
      <c r="L2447" s="35" t="s">
        <v>916</v>
      </c>
      <c r="M2447" s="36" t="s">
        <v>916</v>
      </c>
      <c r="N2447" s="45">
        <v>46022</v>
      </c>
      <c r="O2447" s="36" t="s">
        <v>25</v>
      </c>
      <c r="P2447" s="38">
        <v>145.4860300926</v>
      </c>
      <c r="Q2447" s="39" t="s">
        <v>8551</v>
      </c>
      <c r="R2447" s="35" t="s">
        <v>916</v>
      </c>
      <c r="S2447" s="35" t="s">
        <v>8552</v>
      </c>
      <c r="T2447" s="35" t="s">
        <v>1701</v>
      </c>
      <c r="U2447" s="40">
        <v>45877</v>
      </c>
      <c r="V2447" s="41">
        <v>46153.533125000002</v>
      </c>
      <c r="W2447" s="40">
        <v>45876</v>
      </c>
      <c r="X2447" s="35" t="s">
        <v>916</v>
      </c>
      <c r="Y2447" s="35" t="s">
        <v>916</v>
      </c>
      <c r="Z2447" s="35" t="s">
        <v>916</v>
      </c>
      <c r="AA2447" s="38">
        <v>3491.6647222224001</v>
      </c>
      <c r="AB2447" s="42" t="s">
        <v>916</v>
      </c>
      <c r="AC2447" s="43" t="s">
        <v>916</v>
      </c>
      <c r="AD2447" s="43" t="s">
        <v>916</v>
      </c>
      <c r="AE2447" s="33" t="s">
        <v>3982</v>
      </c>
      <c r="AF2447" s="35" t="s">
        <v>916</v>
      </c>
      <c r="AG2447" s="44">
        <v>487380.33527777792</v>
      </c>
      <c r="AH2447" s="42" t="s">
        <v>916</v>
      </c>
      <c r="AI2447" s="32" t="e">
        <f>VLOOKUP(A2447,'4月明細'!B:B,1,0)</f>
        <v>#N/A</v>
      </c>
    </row>
    <row r="2448" spans="1:35" ht="19.95" customHeight="1" x14ac:dyDescent="0.3">
      <c r="A2448" s="33" t="s">
        <v>8553</v>
      </c>
      <c r="B2448" s="34">
        <v>45876.473182870373</v>
      </c>
      <c r="C2448" s="34" t="str">
        <f t="shared" si="51"/>
        <v>202508</v>
      </c>
      <c r="D2448" s="35" t="s">
        <v>7386</v>
      </c>
      <c r="E2448" s="36" t="s">
        <v>910</v>
      </c>
      <c r="F2448" s="36" t="s">
        <v>1967</v>
      </c>
      <c r="G2448" s="37" t="s">
        <v>8554</v>
      </c>
      <c r="H2448" s="36" t="s">
        <v>4324</v>
      </c>
      <c r="I2448" s="35" t="s">
        <v>8555</v>
      </c>
      <c r="J2448" s="36" t="s">
        <v>929</v>
      </c>
      <c r="K2448" s="33" t="s">
        <v>916</v>
      </c>
      <c r="L2448" s="35" t="s">
        <v>916</v>
      </c>
      <c r="M2448" s="36" t="s">
        <v>916</v>
      </c>
      <c r="N2448" s="45">
        <v>46022</v>
      </c>
      <c r="O2448" s="36" t="s">
        <v>25</v>
      </c>
      <c r="P2448" s="38">
        <v>145.5268171296</v>
      </c>
      <c r="Q2448" s="39" t="s">
        <v>8556</v>
      </c>
      <c r="R2448" s="35" t="s">
        <v>916</v>
      </c>
      <c r="S2448" s="35" t="s">
        <v>8557</v>
      </c>
      <c r="T2448" s="35" t="s">
        <v>1701</v>
      </c>
      <c r="U2448" s="40">
        <v>45877</v>
      </c>
      <c r="V2448" s="41">
        <v>46153.533136574071</v>
      </c>
      <c r="W2448" s="40">
        <v>45876</v>
      </c>
      <c r="X2448" s="35" t="s">
        <v>916</v>
      </c>
      <c r="Y2448" s="35" t="s">
        <v>916</v>
      </c>
      <c r="Z2448" s="35" t="s">
        <v>916</v>
      </c>
      <c r="AA2448" s="38">
        <v>3492.6436111103999</v>
      </c>
      <c r="AB2448" s="42" t="s">
        <v>916</v>
      </c>
      <c r="AC2448" s="43" t="s">
        <v>916</v>
      </c>
      <c r="AD2448" s="43" t="s">
        <v>916</v>
      </c>
      <c r="AE2448" s="33" t="s">
        <v>3982</v>
      </c>
      <c r="AF2448" s="35" t="s">
        <v>916</v>
      </c>
      <c r="AG2448" s="44">
        <v>487379.3563888889</v>
      </c>
      <c r="AH2448" s="42" t="s">
        <v>916</v>
      </c>
      <c r="AI2448" s="32" t="e">
        <f>VLOOKUP(A2448,'4月明細'!B:B,1,0)</f>
        <v>#N/A</v>
      </c>
    </row>
    <row r="2449" spans="1:35" ht="19.95" customHeight="1" x14ac:dyDescent="0.3">
      <c r="A2449" s="33" t="s">
        <v>8558</v>
      </c>
      <c r="B2449" s="34">
        <v>45876.481412037036</v>
      </c>
      <c r="C2449" s="34" t="str">
        <f t="shared" si="51"/>
        <v>202508</v>
      </c>
      <c r="D2449" s="35" t="s">
        <v>5380</v>
      </c>
      <c r="E2449" s="36" t="s">
        <v>910</v>
      </c>
      <c r="F2449" s="36" t="s">
        <v>1720</v>
      </c>
      <c r="G2449" s="37" t="s">
        <v>8559</v>
      </c>
      <c r="H2449" s="36" t="s">
        <v>4029</v>
      </c>
      <c r="I2449" s="35" t="s">
        <v>8560</v>
      </c>
      <c r="J2449" s="36" t="s">
        <v>929</v>
      </c>
      <c r="K2449" s="33" t="s">
        <v>916</v>
      </c>
      <c r="L2449" s="35" t="s">
        <v>916</v>
      </c>
      <c r="M2449" s="36" t="s">
        <v>916</v>
      </c>
      <c r="N2449" s="45">
        <v>46022</v>
      </c>
      <c r="O2449" s="36" t="s">
        <v>25</v>
      </c>
      <c r="P2449" s="38">
        <v>145.51858796299999</v>
      </c>
      <c r="Q2449" s="39" t="s">
        <v>1366</v>
      </c>
      <c r="R2449" s="35" t="s">
        <v>916</v>
      </c>
      <c r="S2449" s="35"/>
      <c r="T2449" s="35" t="s">
        <v>1701</v>
      </c>
      <c r="U2449" s="40">
        <v>45877</v>
      </c>
      <c r="V2449" s="41">
        <v>46153.533136574071</v>
      </c>
      <c r="W2449" s="40">
        <v>45876</v>
      </c>
      <c r="X2449" s="35" t="s">
        <v>916</v>
      </c>
      <c r="Y2449" s="35" t="s">
        <v>916</v>
      </c>
      <c r="Z2449" s="35" t="s">
        <v>916</v>
      </c>
      <c r="AA2449" s="38">
        <v>3492.4461111119999</v>
      </c>
      <c r="AB2449" s="42" t="s">
        <v>916</v>
      </c>
      <c r="AC2449" s="43" t="s">
        <v>916</v>
      </c>
      <c r="AD2449" s="43" t="s">
        <v>916</v>
      </c>
      <c r="AE2449" s="33" t="s">
        <v>3982</v>
      </c>
      <c r="AF2449" s="35" t="s">
        <v>916</v>
      </c>
      <c r="AG2449" s="44">
        <v>487379.55388888891</v>
      </c>
      <c r="AH2449" s="42" t="s">
        <v>916</v>
      </c>
      <c r="AI2449" s="32" t="e">
        <f>VLOOKUP(A2449,'4月明細'!B:B,1,0)</f>
        <v>#N/A</v>
      </c>
    </row>
    <row r="2450" spans="1:35" ht="19.95" customHeight="1" x14ac:dyDescent="0.3">
      <c r="A2450" s="33" t="s">
        <v>8561</v>
      </c>
      <c r="B2450" s="34">
        <v>45876.471666666665</v>
      </c>
      <c r="C2450" s="34" t="str">
        <f t="shared" si="51"/>
        <v>202508</v>
      </c>
      <c r="D2450" s="35" t="s">
        <v>951</v>
      </c>
      <c r="E2450" s="36" t="s">
        <v>910</v>
      </c>
      <c r="F2450" s="36" t="s">
        <v>1055</v>
      </c>
      <c r="G2450" s="37" t="s">
        <v>8562</v>
      </c>
      <c r="H2450" s="36" t="s">
        <v>1114</v>
      </c>
      <c r="I2450" s="35"/>
      <c r="J2450" s="36" t="s">
        <v>914</v>
      </c>
      <c r="K2450" s="33" t="s">
        <v>916</v>
      </c>
      <c r="L2450" s="35" t="s">
        <v>916</v>
      </c>
      <c r="M2450" s="36" t="s">
        <v>916</v>
      </c>
      <c r="N2450" s="45">
        <v>46022</v>
      </c>
      <c r="O2450" s="36" t="s">
        <v>25</v>
      </c>
      <c r="P2450" s="38">
        <v>145.5283333333</v>
      </c>
      <c r="Q2450" s="39" t="s">
        <v>8563</v>
      </c>
      <c r="R2450" s="35" t="s">
        <v>916</v>
      </c>
      <c r="S2450" s="35"/>
      <c r="T2450" s="35" t="s">
        <v>1701</v>
      </c>
      <c r="U2450" s="40">
        <v>45877</v>
      </c>
      <c r="V2450" s="41">
        <v>46153.533136574071</v>
      </c>
      <c r="W2450" s="40">
        <v>45876</v>
      </c>
      <c r="X2450" s="35" t="s">
        <v>916</v>
      </c>
      <c r="Y2450" s="35" t="s">
        <v>916</v>
      </c>
      <c r="Z2450" s="35" t="s">
        <v>916</v>
      </c>
      <c r="AA2450" s="38">
        <v>3492.6799999991999</v>
      </c>
      <c r="AB2450" s="42" t="s">
        <v>916</v>
      </c>
      <c r="AC2450" s="43" t="s">
        <v>916</v>
      </c>
      <c r="AD2450" s="43" t="s">
        <v>916</v>
      </c>
      <c r="AE2450" s="33" t="s">
        <v>3982</v>
      </c>
      <c r="AF2450" s="35" t="s">
        <v>916</v>
      </c>
      <c r="AG2450" s="44">
        <v>487379.32000000012</v>
      </c>
      <c r="AH2450" s="42" t="s">
        <v>916</v>
      </c>
      <c r="AI2450" s="32" t="e">
        <f>VLOOKUP(A2450,'4月明細'!B:B,1,0)</f>
        <v>#N/A</v>
      </c>
    </row>
    <row r="2451" spans="1:35" ht="19.95" customHeight="1" x14ac:dyDescent="0.3">
      <c r="A2451" s="33" t="s">
        <v>8564</v>
      </c>
      <c r="B2451" s="34">
        <v>45876.470879629633</v>
      </c>
      <c r="C2451" s="34" t="str">
        <f t="shared" si="51"/>
        <v>202508</v>
      </c>
      <c r="D2451" s="35" t="s">
        <v>996</v>
      </c>
      <c r="E2451" s="36" t="s">
        <v>910</v>
      </c>
      <c r="F2451" s="36" t="s">
        <v>1568</v>
      </c>
      <c r="G2451" s="37" t="s">
        <v>8565</v>
      </c>
      <c r="H2451" s="36" t="s">
        <v>7610</v>
      </c>
      <c r="I2451" s="35"/>
      <c r="J2451" s="36" t="s">
        <v>914</v>
      </c>
      <c r="K2451" s="33" t="s">
        <v>916</v>
      </c>
      <c r="L2451" s="35" t="s">
        <v>916</v>
      </c>
      <c r="M2451" s="36" t="s">
        <v>916</v>
      </c>
      <c r="N2451" s="45">
        <v>46022</v>
      </c>
      <c r="O2451" s="36" t="s">
        <v>25</v>
      </c>
      <c r="P2451" s="38">
        <v>145.52912037039999</v>
      </c>
      <c r="Q2451" s="39" t="s">
        <v>1366</v>
      </c>
      <c r="R2451" s="35" t="s">
        <v>916</v>
      </c>
      <c r="S2451" s="35" t="s">
        <v>8566</v>
      </c>
      <c r="T2451" s="35" t="s">
        <v>1701</v>
      </c>
      <c r="U2451" s="40">
        <v>45877</v>
      </c>
      <c r="V2451" s="41">
        <v>46153.533136574071</v>
      </c>
      <c r="W2451" s="40">
        <v>45876</v>
      </c>
      <c r="X2451" s="35" t="s">
        <v>916</v>
      </c>
      <c r="Y2451" s="35" t="s">
        <v>916</v>
      </c>
      <c r="Z2451" s="35" t="s">
        <v>916</v>
      </c>
      <c r="AA2451" s="38">
        <v>3492.6988888895999</v>
      </c>
      <c r="AB2451" s="42" t="s">
        <v>916</v>
      </c>
      <c r="AC2451" s="43" t="s">
        <v>916</v>
      </c>
      <c r="AD2451" s="43" t="s">
        <v>916</v>
      </c>
      <c r="AE2451" s="33" t="s">
        <v>3982</v>
      </c>
      <c r="AF2451" s="35" t="s">
        <v>916</v>
      </c>
      <c r="AG2451" s="44">
        <v>487379.30111111113</v>
      </c>
      <c r="AH2451" s="42" t="s">
        <v>916</v>
      </c>
      <c r="AI2451" s="32" t="e">
        <f>VLOOKUP(A2451,'4月明細'!B:B,1,0)</f>
        <v>#N/A</v>
      </c>
    </row>
    <row r="2452" spans="1:35" ht="19.95" customHeight="1" x14ac:dyDescent="0.3">
      <c r="A2452" s="33" t="s">
        <v>8567</v>
      </c>
      <c r="B2452" s="34">
        <v>45876.469722222224</v>
      </c>
      <c r="C2452" s="34" t="str">
        <f t="shared" si="51"/>
        <v>202508</v>
      </c>
      <c r="D2452" s="35" t="s">
        <v>951</v>
      </c>
      <c r="E2452" s="36" t="s">
        <v>910</v>
      </c>
      <c r="F2452" s="36" t="s">
        <v>2090</v>
      </c>
      <c r="G2452" s="37" t="s">
        <v>8568</v>
      </c>
      <c r="H2452" s="36" t="s">
        <v>1114</v>
      </c>
      <c r="I2452" s="35" t="s">
        <v>8569</v>
      </c>
      <c r="J2452" s="36" t="s">
        <v>938</v>
      </c>
      <c r="K2452" s="33" t="s">
        <v>916</v>
      </c>
      <c r="L2452" s="35" t="s">
        <v>916</v>
      </c>
      <c r="M2452" s="36" t="s">
        <v>916</v>
      </c>
      <c r="N2452" s="45">
        <v>46022</v>
      </c>
      <c r="O2452" s="36" t="s">
        <v>25</v>
      </c>
      <c r="P2452" s="38">
        <v>145.53027777779999</v>
      </c>
      <c r="Q2452" s="39" t="s">
        <v>2171</v>
      </c>
      <c r="R2452" s="35" t="s">
        <v>916</v>
      </c>
      <c r="S2452" s="35"/>
      <c r="T2452" s="35" t="s">
        <v>1701</v>
      </c>
      <c r="U2452" s="40">
        <v>45877</v>
      </c>
      <c r="V2452" s="41">
        <v>46153.533136574071</v>
      </c>
      <c r="W2452" s="40">
        <v>45876</v>
      </c>
      <c r="X2452" s="35" t="s">
        <v>916</v>
      </c>
      <c r="Y2452" s="35" t="s">
        <v>916</v>
      </c>
      <c r="Z2452" s="35" t="s">
        <v>916</v>
      </c>
      <c r="AA2452" s="38">
        <v>3492.7266666671999</v>
      </c>
      <c r="AB2452" s="42" t="s">
        <v>916</v>
      </c>
      <c r="AC2452" s="43" t="s">
        <v>916</v>
      </c>
      <c r="AD2452" s="43" t="s">
        <v>916</v>
      </c>
      <c r="AE2452" s="33" t="s">
        <v>3982</v>
      </c>
      <c r="AF2452" s="35" t="s">
        <v>916</v>
      </c>
      <c r="AG2452" s="44">
        <v>487379.27333333337</v>
      </c>
      <c r="AH2452" s="42" t="s">
        <v>916</v>
      </c>
      <c r="AI2452" s="32" t="e">
        <f>VLOOKUP(A2452,'4月明細'!B:B,1,0)</f>
        <v>#N/A</v>
      </c>
    </row>
    <row r="2453" spans="1:35" ht="19.95" customHeight="1" x14ac:dyDescent="0.3">
      <c r="A2453" s="33" t="s">
        <v>8570</v>
      </c>
      <c r="B2453" s="34">
        <v>45876.468171296299</v>
      </c>
      <c r="C2453" s="34" t="str">
        <f t="shared" si="51"/>
        <v>202508</v>
      </c>
      <c r="D2453" s="35" t="s">
        <v>951</v>
      </c>
      <c r="E2453" s="36" t="s">
        <v>910</v>
      </c>
      <c r="F2453" s="36" t="s">
        <v>2090</v>
      </c>
      <c r="G2453" s="37" t="s">
        <v>8571</v>
      </c>
      <c r="H2453" s="36" t="s">
        <v>1114</v>
      </c>
      <c r="I2453" s="35" t="s">
        <v>8572</v>
      </c>
      <c r="J2453" s="36" t="s">
        <v>938</v>
      </c>
      <c r="K2453" s="33" t="s">
        <v>916</v>
      </c>
      <c r="L2453" s="35" t="s">
        <v>916</v>
      </c>
      <c r="M2453" s="36" t="s">
        <v>916</v>
      </c>
      <c r="N2453" s="45">
        <v>46022</v>
      </c>
      <c r="O2453" s="36" t="s">
        <v>25</v>
      </c>
      <c r="P2453" s="38">
        <v>145.5318287037</v>
      </c>
      <c r="Q2453" s="36" t="s">
        <v>916</v>
      </c>
      <c r="R2453" s="35" t="s">
        <v>916</v>
      </c>
      <c r="S2453" s="35"/>
      <c r="T2453" s="35" t="s">
        <v>1701</v>
      </c>
      <c r="U2453" s="40">
        <v>45877</v>
      </c>
      <c r="V2453" s="41">
        <v>46153.533136574071</v>
      </c>
      <c r="W2453" s="40">
        <v>45876</v>
      </c>
      <c r="X2453" s="35" t="s">
        <v>916</v>
      </c>
      <c r="Y2453" s="35" t="s">
        <v>916</v>
      </c>
      <c r="Z2453" s="35" t="s">
        <v>916</v>
      </c>
      <c r="AA2453" s="38">
        <v>3492.7638888888</v>
      </c>
      <c r="AB2453" s="42" t="s">
        <v>916</v>
      </c>
      <c r="AC2453" s="43" t="s">
        <v>916</v>
      </c>
      <c r="AD2453" s="43" t="s">
        <v>916</v>
      </c>
      <c r="AE2453" s="33" t="s">
        <v>3982</v>
      </c>
      <c r="AF2453" s="35" t="s">
        <v>916</v>
      </c>
      <c r="AG2453" s="44">
        <v>487379.23611111112</v>
      </c>
      <c r="AH2453" s="42" t="s">
        <v>916</v>
      </c>
      <c r="AI2453" s="32" t="e">
        <f>VLOOKUP(A2453,'4月明細'!B:B,1,0)</f>
        <v>#N/A</v>
      </c>
    </row>
    <row r="2454" spans="1:35" ht="19.95" customHeight="1" x14ac:dyDescent="0.3">
      <c r="A2454" s="33" t="s">
        <v>8573</v>
      </c>
      <c r="B2454" s="34">
        <v>45876.467175925929</v>
      </c>
      <c r="C2454" s="34" t="str">
        <f t="shared" si="51"/>
        <v>202508</v>
      </c>
      <c r="D2454" s="35" t="s">
        <v>951</v>
      </c>
      <c r="E2454" s="36" t="s">
        <v>910</v>
      </c>
      <c r="F2454" s="36" t="s">
        <v>2090</v>
      </c>
      <c r="G2454" s="37" t="s">
        <v>8574</v>
      </c>
      <c r="H2454" s="36" t="s">
        <v>1114</v>
      </c>
      <c r="I2454" s="35" t="s">
        <v>8575</v>
      </c>
      <c r="J2454" s="36" t="s">
        <v>938</v>
      </c>
      <c r="K2454" s="33" t="s">
        <v>916</v>
      </c>
      <c r="L2454" s="35" t="s">
        <v>916</v>
      </c>
      <c r="M2454" s="36" t="s">
        <v>916</v>
      </c>
      <c r="N2454" s="45">
        <v>46022</v>
      </c>
      <c r="O2454" s="36" t="s">
        <v>25</v>
      </c>
      <c r="P2454" s="38">
        <v>145.53282407410001</v>
      </c>
      <c r="Q2454" s="36" t="s">
        <v>916</v>
      </c>
      <c r="R2454" s="35" t="s">
        <v>916</v>
      </c>
      <c r="S2454" s="35"/>
      <c r="T2454" s="35" t="s">
        <v>1701</v>
      </c>
      <c r="U2454" s="40">
        <v>45877</v>
      </c>
      <c r="V2454" s="41">
        <v>46153.533136574071</v>
      </c>
      <c r="W2454" s="40">
        <v>45876</v>
      </c>
      <c r="X2454" s="35" t="s">
        <v>916</v>
      </c>
      <c r="Y2454" s="35" t="s">
        <v>916</v>
      </c>
      <c r="Z2454" s="35" t="s">
        <v>916</v>
      </c>
      <c r="AA2454" s="38">
        <v>3492.7877777784001</v>
      </c>
      <c r="AB2454" s="42" t="s">
        <v>916</v>
      </c>
      <c r="AC2454" s="43" t="s">
        <v>916</v>
      </c>
      <c r="AD2454" s="43" t="s">
        <v>916</v>
      </c>
      <c r="AE2454" s="33" t="s">
        <v>3982</v>
      </c>
      <c r="AF2454" s="35" t="s">
        <v>916</v>
      </c>
      <c r="AG2454" s="44">
        <v>487379.21222222218</v>
      </c>
      <c r="AH2454" s="42" t="s">
        <v>916</v>
      </c>
      <c r="AI2454" s="32" t="e">
        <f>VLOOKUP(A2454,'4月明細'!B:B,1,0)</f>
        <v>#N/A</v>
      </c>
    </row>
    <row r="2455" spans="1:35" ht="19.95" customHeight="1" x14ac:dyDescent="0.3">
      <c r="A2455" s="33" t="s">
        <v>8576</v>
      </c>
      <c r="B2455" s="34">
        <v>45876.459293981483</v>
      </c>
      <c r="C2455" s="34" t="str">
        <f t="shared" si="51"/>
        <v>202508</v>
      </c>
      <c r="D2455" s="35" t="s">
        <v>996</v>
      </c>
      <c r="E2455" s="36" t="s">
        <v>910</v>
      </c>
      <c r="F2455" s="36" t="s">
        <v>1521</v>
      </c>
      <c r="G2455" s="37" t="s">
        <v>8577</v>
      </c>
      <c r="H2455" s="36" t="s">
        <v>2347</v>
      </c>
      <c r="I2455" s="35"/>
      <c r="J2455" s="36" t="s">
        <v>929</v>
      </c>
      <c r="K2455" s="33" t="s">
        <v>916</v>
      </c>
      <c r="L2455" s="35" t="s">
        <v>916</v>
      </c>
      <c r="M2455" s="36" t="s">
        <v>916</v>
      </c>
      <c r="N2455" s="45">
        <v>46022</v>
      </c>
      <c r="O2455" s="36" t="s">
        <v>25</v>
      </c>
      <c r="P2455" s="38">
        <v>145.5407060185</v>
      </c>
      <c r="Q2455" s="39" t="s">
        <v>8578</v>
      </c>
      <c r="R2455" s="35" t="s">
        <v>916</v>
      </c>
      <c r="S2455" s="35"/>
      <c r="T2455" s="35" t="s">
        <v>1701</v>
      </c>
      <c r="U2455" s="40">
        <v>45877</v>
      </c>
      <c r="V2455" s="41">
        <v>46153.533136574071</v>
      </c>
      <c r="W2455" s="40">
        <v>45876</v>
      </c>
      <c r="X2455" s="35" t="s">
        <v>916</v>
      </c>
      <c r="Y2455" s="35" t="s">
        <v>916</v>
      </c>
      <c r="Z2455" s="35" t="s">
        <v>916</v>
      </c>
      <c r="AA2455" s="38">
        <v>3492.9769444439999</v>
      </c>
      <c r="AB2455" s="42" t="s">
        <v>916</v>
      </c>
      <c r="AC2455" s="43" t="s">
        <v>916</v>
      </c>
      <c r="AD2455" s="43" t="s">
        <v>916</v>
      </c>
      <c r="AE2455" s="33" t="s">
        <v>3982</v>
      </c>
      <c r="AF2455" s="35" t="s">
        <v>916</v>
      </c>
      <c r="AG2455" s="44">
        <v>487379.02305555559</v>
      </c>
      <c r="AH2455" s="42" t="s">
        <v>916</v>
      </c>
      <c r="AI2455" s="32" t="e">
        <f>VLOOKUP(A2455,'4月明細'!B:B,1,0)</f>
        <v>#N/A</v>
      </c>
    </row>
    <row r="2456" spans="1:35" ht="19.95" customHeight="1" x14ac:dyDescent="0.3">
      <c r="A2456" s="33" t="s">
        <v>8579</v>
      </c>
      <c r="B2456" s="34">
        <v>45875.623090277775</v>
      </c>
      <c r="C2456" s="34" t="str">
        <f t="shared" si="51"/>
        <v>202508</v>
      </c>
      <c r="D2456" s="35" t="s">
        <v>6281</v>
      </c>
      <c r="E2456" s="36" t="s">
        <v>910</v>
      </c>
      <c r="F2456" s="36" t="s">
        <v>1341</v>
      </c>
      <c r="G2456" s="37" t="s">
        <v>8580</v>
      </c>
      <c r="H2456" s="36" t="s">
        <v>1114</v>
      </c>
      <c r="I2456" s="35"/>
      <c r="J2456" s="36" t="s">
        <v>1058</v>
      </c>
      <c r="K2456" s="33" t="s">
        <v>916</v>
      </c>
      <c r="L2456" s="35" t="s">
        <v>916</v>
      </c>
      <c r="M2456" s="36" t="s">
        <v>916</v>
      </c>
      <c r="N2456" s="45">
        <v>46022</v>
      </c>
      <c r="O2456" s="36" t="s">
        <v>25</v>
      </c>
      <c r="P2456" s="38">
        <v>146.3769097222</v>
      </c>
      <c r="Q2456" s="39" t="s">
        <v>1739</v>
      </c>
      <c r="R2456" s="35" t="s">
        <v>916</v>
      </c>
      <c r="S2456" s="35"/>
      <c r="T2456" s="35" t="s">
        <v>1701</v>
      </c>
      <c r="U2456" s="40">
        <v>45876</v>
      </c>
      <c r="V2456" s="41">
        <v>46153.533136574071</v>
      </c>
      <c r="W2456" s="40">
        <v>45875</v>
      </c>
      <c r="X2456" s="35" t="s">
        <v>916</v>
      </c>
      <c r="Y2456" s="35" t="s">
        <v>916</v>
      </c>
      <c r="Z2456" s="35" t="s">
        <v>916</v>
      </c>
      <c r="AA2456" s="38">
        <v>3513.0458333328002</v>
      </c>
      <c r="AB2456" s="42" t="s">
        <v>916</v>
      </c>
      <c r="AC2456" s="43" t="s">
        <v>916</v>
      </c>
      <c r="AD2456" s="43" t="s">
        <v>916</v>
      </c>
      <c r="AE2456" s="33" t="s">
        <v>3982</v>
      </c>
      <c r="AF2456" s="35" t="s">
        <v>916</v>
      </c>
      <c r="AG2456" s="44">
        <v>487358.95416666672</v>
      </c>
      <c r="AH2456" s="42" t="s">
        <v>916</v>
      </c>
      <c r="AI2456" s="32" t="e">
        <f>VLOOKUP(A2456,'4月明細'!B:B,1,0)</f>
        <v>#N/A</v>
      </c>
    </row>
    <row r="2457" spans="1:35" ht="19.95" customHeight="1" x14ac:dyDescent="0.3">
      <c r="A2457" s="33" t="s">
        <v>8581</v>
      </c>
      <c r="B2457" s="34">
        <v>45875.622361111113</v>
      </c>
      <c r="C2457" s="34" t="str">
        <f t="shared" si="51"/>
        <v>202508</v>
      </c>
      <c r="D2457" s="35" t="s">
        <v>6281</v>
      </c>
      <c r="E2457" s="36" t="s">
        <v>910</v>
      </c>
      <c r="F2457" s="36" t="s">
        <v>1341</v>
      </c>
      <c r="G2457" s="37" t="s">
        <v>8582</v>
      </c>
      <c r="H2457" s="36" t="s">
        <v>3991</v>
      </c>
      <c r="I2457" s="35"/>
      <c r="J2457" s="36" t="s">
        <v>1058</v>
      </c>
      <c r="K2457" s="33" t="s">
        <v>916</v>
      </c>
      <c r="L2457" s="35" t="s">
        <v>916</v>
      </c>
      <c r="M2457" s="36" t="s">
        <v>916</v>
      </c>
      <c r="N2457" s="45">
        <v>46022</v>
      </c>
      <c r="O2457" s="36" t="s">
        <v>25</v>
      </c>
      <c r="P2457" s="38">
        <v>146.37763888890001</v>
      </c>
      <c r="Q2457" s="39" t="s">
        <v>2266</v>
      </c>
      <c r="R2457" s="35" t="s">
        <v>916</v>
      </c>
      <c r="S2457" s="35"/>
      <c r="T2457" s="35" t="s">
        <v>1701</v>
      </c>
      <c r="U2457" s="40">
        <v>45876</v>
      </c>
      <c r="V2457" s="41">
        <v>46153.533136574071</v>
      </c>
      <c r="W2457" s="40">
        <v>45875</v>
      </c>
      <c r="X2457" s="35" t="s">
        <v>916</v>
      </c>
      <c r="Y2457" s="35" t="s">
        <v>916</v>
      </c>
      <c r="Z2457" s="35" t="s">
        <v>916</v>
      </c>
      <c r="AA2457" s="38">
        <v>3513.0633333336</v>
      </c>
      <c r="AB2457" s="42" t="s">
        <v>916</v>
      </c>
      <c r="AC2457" s="43" t="s">
        <v>916</v>
      </c>
      <c r="AD2457" s="43" t="s">
        <v>916</v>
      </c>
      <c r="AE2457" s="33" t="s">
        <v>3982</v>
      </c>
      <c r="AF2457" s="35" t="s">
        <v>916</v>
      </c>
      <c r="AG2457" s="44">
        <v>487358.9366666667</v>
      </c>
      <c r="AH2457" s="42" t="s">
        <v>916</v>
      </c>
      <c r="AI2457" s="32" t="e">
        <f>VLOOKUP(A2457,'4月明細'!B:B,1,0)</f>
        <v>#N/A</v>
      </c>
    </row>
    <row r="2458" spans="1:35" ht="19.95" customHeight="1" x14ac:dyDescent="0.3">
      <c r="A2458" s="33" t="s">
        <v>8583</v>
      </c>
      <c r="B2458" s="34">
        <v>45875.616481481484</v>
      </c>
      <c r="C2458" s="34" t="str">
        <f t="shared" si="51"/>
        <v>202508</v>
      </c>
      <c r="D2458" s="35" t="s">
        <v>6281</v>
      </c>
      <c r="E2458" s="36" t="s">
        <v>910</v>
      </c>
      <c r="F2458" s="36" t="s">
        <v>1260</v>
      </c>
      <c r="G2458" s="37" t="s">
        <v>8584</v>
      </c>
      <c r="H2458" s="36" t="s">
        <v>4240</v>
      </c>
      <c r="I2458" s="35"/>
      <c r="J2458" s="36" t="s">
        <v>929</v>
      </c>
      <c r="K2458" s="33" t="s">
        <v>916</v>
      </c>
      <c r="L2458" s="35" t="s">
        <v>916</v>
      </c>
      <c r="M2458" s="36" t="s">
        <v>916</v>
      </c>
      <c r="N2458" s="45">
        <v>46022</v>
      </c>
      <c r="O2458" s="36" t="s">
        <v>25</v>
      </c>
      <c r="P2458" s="38">
        <v>146.38351851850001</v>
      </c>
      <c r="Q2458" s="39" t="s">
        <v>8585</v>
      </c>
      <c r="R2458" s="35" t="s">
        <v>916</v>
      </c>
      <c r="S2458" s="35"/>
      <c r="T2458" s="35" t="s">
        <v>1701</v>
      </c>
      <c r="U2458" s="40">
        <v>45876</v>
      </c>
      <c r="V2458" s="41">
        <v>46153.533136574071</v>
      </c>
      <c r="W2458" s="40">
        <v>45875</v>
      </c>
      <c r="X2458" s="35" t="s">
        <v>916</v>
      </c>
      <c r="Y2458" s="35" t="s">
        <v>916</v>
      </c>
      <c r="Z2458" s="35" t="s">
        <v>916</v>
      </c>
      <c r="AA2458" s="38">
        <v>3513.2044444439998</v>
      </c>
      <c r="AB2458" s="42" t="s">
        <v>916</v>
      </c>
      <c r="AC2458" s="43" t="s">
        <v>916</v>
      </c>
      <c r="AD2458" s="43" t="s">
        <v>916</v>
      </c>
      <c r="AE2458" s="33" t="s">
        <v>3982</v>
      </c>
      <c r="AF2458" s="35" t="s">
        <v>916</v>
      </c>
      <c r="AG2458" s="44">
        <v>487358.79555555561</v>
      </c>
      <c r="AH2458" s="42" t="s">
        <v>916</v>
      </c>
      <c r="AI2458" s="32" t="e">
        <f>VLOOKUP(A2458,'4月明細'!B:B,1,0)</f>
        <v>#N/A</v>
      </c>
    </row>
    <row r="2459" spans="1:35" ht="19.95" customHeight="1" x14ac:dyDescent="0.3">
      <c r="A2459" s="33" t="s">
        <v>8586</v>
      </c>
      <c r="B2459" s="34">
        <v>45875.532025462962</v>
      </c>
      <c r="C2459" s="34" t="str">
        <f t="shared" si="51"/>
        <v>202508</v>
      </c>
      <c r="D2459" s="35" t="s">
        <v>6281</v>
      </c>
      <c r="E2459" s="36" t="s">
        <v>910</v>
      </c>
      <c r="F2459" s="36" t="s">
        <v>1975</v>
      </c>
      <c r="G2459" s="37" t="s">
        <v>8587</v>
      </c>
      <c r="H2459" s="36" t="s">
        <v>1114</v>
      </c>
      <c r="I2459" s="35"/>
      <c r="J2459" s="36" t="s">
        <v>945</v>
      </c>
      <c r="K2459" s="33" t="s">
        <v>916</v>
      </c>
      <c r="L2459" s="35" t="s">
        <v>916</v>
      </c>
      <c r="M2459" s="36" t="s">
        <v>916</v>
      </c>
      <c r="N2459" s="45">
        <v>46022</v>
      </c>
      <c r="O2459" s="36" t="s">
        <v>25</v>
      </c>
      <c r="P2459" s="38">
        <v>146.467974537</v>
      </c>
      <c r="Q2459" s="39" t="s">
        <v>8588</v>
      </c>
      <c r="R2459" s="35" t="s">
        <v>916</v>
      </c>
      <c r="S2459" s="35"/>
      <c r="T2459" s="35" t="s">
        <v>1701</v>
      </c>
      <c r="U2459" s="40">
        <v>45876</v>
      </c>
      <c r="V2459" s="41">
        <v>46153.533136574071</v>
      </c>
      <c r="W2459" s="40">
        <v>45875</v>
      </c>
      <c r="X2459" s="35" t="s">
        <v>916</v>
      </c>
      <c r="Y2459" s="35" t="s">
        <v>916</v>
      </c>
      <c r="Z2459" s="35" t="s">
        <v>916</v>
      </c>
      <c r="AA2459" s="38">
        <v>3515.2313888879999</v>
      </c>
      <c r="AB2459" s="42" t="s">
        <v>916</v>
      </c>
      <c r="AC2459" s="43" t="s">
        <v>916</v>
      </c>
      <c r="AD2459" s="43" t="s">
        <v>916</v>
      </c>
      <c r="AE2459" s="33" t="s">
        <v>3982</v>
      </c>
      <c r="AF2459" s="35" t="s">
        <v>916</v>
      </c>
      <c r="AG2459" s="44">
        <v>487356.7686111111</v>
      </c>
      <c r="AH2459" s="42" t="s">
        <v>916</v>
      </c>
      <c r="AI2459" s="32" t="e">
        <f>VLOOKUP(A2459,'4月明細'!B:B,1,0)</f>
        <v>#N/A</v>
      </c>
    </row>
    <row r="2460" spans="1:35" ht="19.95" customHeight="1" x14ac:dyDescent="0.3">
      <c r="A2460" s="33" t="s">
        <v>8589</v>
      </c>
      <c r="B2460" s="34">
        <v>45875.490289351852</v>
      </c>
      <c r="C2460" s="34" t="str">
        <f t="shared" si="51"/>
        <v>202508</v>
      </c>
      <c r="D2460" s="35" t="s">
        <v>5380</v>
      </c>
      <c r="E2460" s="36" t="s">
        <v>910</v>
      </c>
      <c r="F2460" s="36" t="s">
        <v>972</v>
      </c>
      <c r="G2460" s="37" t="s">
        <v>8590</v>
      </c>
      <c r="H2460" s="36" t="s">
        <v>5927</v>
      </c>
      <c r="I2460" s="35" t="s">
        <v>8591</v>
      </c>
      <c r="J2460" s="36" t="s">
        <v>929</v>
      </c>
      <c r="K2460" s="33" t="s">
        <v>916</v>
      </c>
      <c r="L2460" s="35" t="s">
        <v>916</v>
      </c>
      <c r="M2460" s="36" t="s">
        <v>916</v>
      </c>
      <c r="N2460" s="45">
        <v>46022</v>
      </c>
      <c r="O2460" s="36" t="s">
        <v>25</v>
      </c>
      <c r="P2460" s="38">
        <v>146.5097106481</v>
      </c>
      <c r="Q2460" s="39" t="s">
        <v>8592</v>
      </c>
      <c r="R2460" s="35" t="s">
        <v>916</v>
      </c>
      <c r="S2460" s="35"/>
      <c r="T2460" s="35" t="s">
        <v>1701</v>
      </c>
      <c r="U2460" s="40">
        <v>45876</v>
      </c>
      <c r="V2460" s="41">
        <v>46153.533136574071</v>
      </c>
      <c r="W2460" s="40">
        <v>45875</v>
      </c>
      <c r="X2460" s="35" t="s">
        <v>916</v>
      </c>
      <c r="Y2460" s="35" t="s">
        <v>916</v>
      </c>
      <c r="Z2460" s="35" t="s">
        <v>916</v>
      </c>
      <c r="AA2460" s="38">
        <v>3516.2330555543999</v>
      </c>
      <c r="AB2460" s="42" t="s">
        <v>916</v>
      </c>
      <c r="AC2460" s="43" t="s">
        <v>916</v>
      </c>
      <c r="AD2460" s="43" t="s">
        <v>916</v>
      </c>
      <c r="AE2460" s="33" t="s">
        <v>3982</v>
      </c>
      <c r="AF2460" s="35" t="s">
        <v>916</v>
      </c>
      <c r="AG2460" s="44">
        <v>487355.76694444439</v>
      </c>
      <c r="AH2460" s="42" t="s">
        <v>916</v>
      </c>
      <c r="AI2460" s="32" t="e">
        <f>VLOOKUP(A2460,'4月明細'!B:B,1,0)</f>
        <v>#N/A</v>
      </c>
    </row>
    <row r="2461" spans="1:35" ht="19.95" customHeight="1" x14ac:dyDescent="0.3">
      <c r="A2461" s="33" t="s">
        <v>8593</v>
      </c>
      <c r="B2461" s="34">
        <v>45874.665451388886</v>
      </c>
      <c r="C2461" s="34" t="str">
        <f t="shared" si="51"/>
        <v>202508</v>
      </c>
      <c r="D2461" s="35" t="s">
        <v>996</v>
      </c>
      <c r="E2461" s="36" t="s">
        <v>910</v>
      </c>
      <c r="F2461" s="36" t="s">
        <v>1870</v>
      </c>
      <c r="G2461" s="37" t="s">
        <v>8594</v>
      </c>
      <c r="H2461" s="36" t="s">
        <v>4185</v>
      </c>
      <c r="I2461" s="35"/>
      <c r="J2461" s="36" t="s">
        <v>929</v>
      </c>
      <c r="K2461" s="33" t="s">
        <v>916</v>
      </c>
      <c r="L2461" s="35" t="s">
        <v>916</v>
      </c>
      <c r="M2461" s="36" t="s">
        <v>916</v>
      </c>
      <c r="N2461" s="45">
        <v>46022</v>
      </c>
      <c r="O2461" s="36" t="s">
        <v>25</v>
      </c>
      <c r="P2461" s="38">
        <v>147.33454861109999</v>
      </c>
      <c r="Q2461" s="39" t="s">
        <v>8595</v>
      </c>
      <c r="R2461" s="35" t="s">
        <v>916</v>
      </c>
      <c r="S2461" s="35"/>
      <c r="T2461" s="35" t="s">
        <v>1701</v>
      </c>
      <c r="U2461" s="40">
        <v>45875</v>
      </c>
      <c r="V2461" s="41">
        <v>46153.533136574071</v>
      </c>
      <c r="W2461" s="40">
        <v>45874</v>
      </c>
      <c r="X2461" s="35" t="s">
        <v>916</v>
      </c>
      <c r="Y2461" s="35" t="s">
        <v>916</v>
      </c>
      <c r="Z2461" s="35" t="s">
        <v>916</v>
      </c>
      <c r="AA2461" s="38">
        <v>3536.0291666664002</v>
      </c>
      <c r="AB2461" s="42" t="s">
        <v>916</v>
      </c>
      <c r="AC2461" s="43" t="s">
        <v>916</v>
      </c>
      <c r="AD2461" s="43" t="s">
        <v>916</v>
      </c>
      <c r="AE2461" s="33" t="s">
        <v>3982</v>
      </c>
      <c r="AF2461" s="35" t="s">
        <v>916</v>
      </c>
      <c r="AG2461" s="44">
        <v>487335.97083333333</v>
      </c>
      <c r="AH2461" s="42" t="s">
        <v>916</v>
      </c>
      <c r="AI2461" s="32" t="e">
        <f>VLOOKUP(A2461,'4月明細'!B:B,1,0)</f>
        <v>#N/A</v>
      </c>
    </row>
    <row r="2462" spans="1:35" ht="19.95" customHeight="1" x14ac:dyDescent="0.3">
      <c r="A2462" s="33" t="s">
        <v>8596</v>
      </c>
      <c r="B2462" s="34">
        <v>45874.601504629631</v>
      </c>
      <c r="C2462" s="34" t="str">
        <f t="shared" si="51"/>
        <v>202508</v>
      </c>
      <c r="D2462" s="35" t="s">
        <v>996</v>
      </c>
      <c r="E2462" s="36" t="s">
        <v>910</v>
      </c>
      <c r="F2462" s="36" t="s">
        <v>1141</v>
      </c>
      <c r="G2462" s="37" t="s">
        <v>8466</v>
      </c>
      <c r="H2462" s="36" t="s">
        <v>7588</v>
      </c>
      <c r="I2462" s="35"/>
      <c r="J2462" s="36" t="s">
        <v>929</v>
      </c>
      <c r="K2462" s="33" t="s">
        <v>916</v>
      </c>
      <c r="L2462" s="35" t="s">
        <v>916</v>
      </c>
      <c r="M2462" s="36" t="s">
        <v>916</v>
      </c>
      <c r="N2462" s="45">
        <v>46022</v>
      </c>
      <c r="O2462" s="36" t="s">
        <v>25</v>
      </c>
      <c r="P2462" s="38">
        <v>147.39849537040001</v>
      </c>
      <c r="Q2462" s="39" t="s">
        <v>8597</v>
      </c>
      <c r="R2462" s="35" t="s">
        <v>916</v>
      </c>
      <c r="S2462" s="35"/>
      <c r="T2462" s="35" t="s">
        <v>1701</v>
      </c>
      <c r="U2462" s="40">
        <v>45875</v>
      </c>
      <c r="V2462" s="41">
        <v>46153.533136574071</v>
      </c>
      <c r="W2462" s="40">
        <v>45874</v>
      </c>
      <c r="X2462" s="35" t="s">
        <v>916</v>
      </c>
      <c r="Y2462" s="35" t="s">
        <v>916</v>
      </c>
      <c r="Z2462" s="35" t="s">
        <v>916</v>
      </c>
      <c r="AA2462" s="38">
        <v>3537.5638888896001</v>
      </c>
      <c r="AB2462" s="42" t="s">
        <v>916</v>
      </c>
      <c r="AC2462" s="43" t="s">
        <v>916</v>
      </c>
      <c r="AD2462" s="43" t="s">
        <v>916</v>
      </c>
      <c r="AE2462" s="33" t="s">
        <v>3982</v>
      </c>
      <c r="AF2462" s="35" t="s">
        <v>916</v>
      </c>
      <c r="AG2462" s="44">
        <v>487334.43611111108</v>
      </c>
      <c r="AH2462" s="42" t="s">
        <v>916</v>
      </c>
      <c r="AI2462" s="32" t="e">
        <f>VLOOKUP(A2462,'4月明細'!B:B,1,0)</f>
        <v>#N/A</v>
      </c>
    </row>
    <row r="2463" spans="1:35" ht="19.95" customHeight="1" x14ac:dyDescent="0.3">
      <c r="A2463" s="33" t="s">
        <v>8598</v>
      </c>
      <c r="B2463" s="34">
        <v>45874.590127314812</v>
      </c>
      <c r="C2463" s="34" t="str">
        <f t="shared" si="51"/>
        <v>202508</v>
      </c>
      <c r="D2463" s="35" t="s">
        <v>996</v>
      </c>
      <c r="E2463" s="36" t="s">
        <v>910</v>
      </c>
      <c r="F2463" s="36" t="s">
        <v>1723</v>
      </c>
      <c r="G2463" s="37" t="s">
        <v>8599</v>
      </c>
      <c r="H2463" s="36" t="s">
        <v>1048</v>
      </c>
      <c r="I2463" s="35"/>
      <c r="J2463" s="36" t="s">
        <v>929</v>
      </c>
      <c r="K2463" s="33" t="s">
        <v>916</v>
      </c>
      <c r="L2463" s="35" t="s">
        <v>916</v>
      </c>
      <c r="M2463" s="36" t="s">
        <v>916</v>
      </c>
      <c r="N2463" s="45">
        <v>46022</v>
      </c>
      <c r="O2463" s="36" t="s">
        <v>25</v>
      </c>
      <c r="P2463" s="38">
        <v>147.40987268520001</v>
      </c>
      <c r="Q2463" s="39" t="s">
        <v>8600</v>
      </c>
      <c r="R2463" s="35" t="s">
        <v>916</v>
      </c>
      <c r="S2463" s="35"/>
      <c r="T2463" s="35" t="s">
        <v>1701</v>
      </c>
      <c r="U2463" s="40">
        <v>45875</v>
      </c>
      <c r="V2463" s="41">
        <v>46153.533136574071</v>
      </c>
      <c r="W2463" s="40">
        <v>45874</v>
      </c>
      <c r="X2463" s="35" t="s">
        <v>916</v>
      </c>
      <c r="Y2463" s="35" t="s">
        <v>916</v>
      </c>
      <c r="Z2463" s="35" t="s">
        <v>916</v>
      </c>
      <c r="AA2463" s="38">
        <v>3537.8369444447999</v>
      </c>
      <c r="AB2463" s="42" t="s">
        <v>916</v>
      </c>
      <c r="AC2463" s="43" t="s">
        <v>916</v>
      </c>
      <c r="AD2463" s="43" t="s">
        <v>916</v>
      </c>
      <c r="AE2463" s="33" t="s">
        <v>3982</v>
      </c>
      <c r="AF2463" s="35" t="s">
        <v>916</v>
      </c>
      <c r="AG2463" s="44">
        <v>487334.16305555549</v>
      </c>
      <c r="AH2463" s="42" t="s">
        <v>916</v>
      </c>
      <c r="AI2463" s="32" t="e">
        <f>VLOOKUP(A2463,'4月明細'!B:B,1,0)</f>
        <v>#N/A</v>
      </c>
    </row>
    <row r="2464" spans="1:35" ht="19.95" customHeight="1" x14ac:dyDescent="0.3">
      <c r="A2464" s="33" t="s">
        <v>8601</v>
      </c>
      <c r="B2464" s="34">
        <v>45874.572060185186</v>
      </c>
      <c r="C2464" s="34" t="str">
        <f t="shared" si="51"/>
        <v>202508</v>
      </c>
      <c r="D2464" s="35" t="s">
        <v>996</v>
      </c>
      <c r="E2464" s="36" t="s">
        <v>910</v>
      </c>
      <c r="F2464" s="36" t="s">
        <v>2080</v>
      </c>
      <c r="G2464" s="37" t="s">
        <v>8602</v>
      </c>
      <c r="H2464" s="36" t="s">
        <v>7825</v>
      </c>
      <c r="I2464" s="35"/>
      <c r="J2464" s="36" t="s">
        <v>929</v>
      </c>
      <c r="K2464" s="33" t="s">
        <v>916</v>
      </c>
      <c r="L2464" s="35" t="s">
        <v>916</v>
      </c>
      <c r="M2464" s="36" t="s">
        <v>916</v>
      </c>
      <c r="N2464" s="45">
        <v>46022</v>
      </c>
      <c r="O2464" s="36" t="s">
        <v>25</v>
      </c>
      <c r="P2464" s="38">
        <v>147.4279398148</v>
      </c>
      <c r="Q2464" s="39" t="s">
        <v>8603</v>
      </c>
      <c r="R2464" s="35" t="s">
        <v>916</v>
      </c>
      <c r="S2464" s="35"/>
      <c r="T2464" s="35" t="s">
        <v>1701</v>
      </c>
      <c r="U2464" s="40">
        <v>45875</v>
      </c>
      <c r="V2464" s="41">
        <v>46153.533136574071</v>
      </c>
      <c r="W2464" s="40">
        <v>45874</v>
      </c>
      <c r="X2464" s="35" t="s">
        <v>916</v>
      </c>
      <c r="Y2464" s="35" t="s">
        <v>916</v>
      </c>
      <c r="Z2464" s="35" t="s">
        <v>916</v>
      </c>
      <c r="AA2464" s="38">
        <v>3538.2705555552002</v>
      </c>
      <c r="AB2464" s="42" t="s">
        <v>916</v>
      </c>
      <c r="AC2464" s="43" t="s">
        <v>916</v>
      </c>
      <c r="AD2464" s="43" t="s">
        <v>916</v>
      </c>
      <c r="AE2464" s="33" t="s">
        <v>3982</v>
      </c>
      <c r="AF2464" s="35" t="s">
        <v>916</v>
      </c>
      <c r="AG2464" s="44">
        <v>487333.72944444453</v>
      </c>
      <c r="AH2464" s="42" t="s">
        <v>916</v>
      </c>
      <c r="AI2464" s="32" t="e">
        <f>VLOOKUP(A2464,'4月明細'!B:B,1,0)</f>
        <v>#N/A</v>
      </c>
    </row>
    <row r="2465" spans="1:35" ht="19.95" customHeight="1" x14ac:dyDescent="0.3">
      <c r="A2465" s="33" t="s">
        <v>8604</v>
      </c>
      <c r="B2465" s="34">
        <v>45874.543541666666</v>
      </c>
      <c r="C2465" s="34" t="str">
        <f t="shared" si="51"/>
        <v>202508</v>
      </c>
      <c r="D2465" s="35" t="s">
        <v>6281</v>
      </c>
      <c r="E2465" s="36" t="s">
        <v>910</v>
      </c>
      <c r="F2465" s="36" t="s">
        <v>1621</v>
      </c>
      <c r="G2465" s="37" t="s">
        <v>8605</v>
      </c>
      <c r="H2465" s="36" t="s">
        <v>4023</v>
      </c>
      <c r="I2465" s="35"/>
      <c r="J2465" s="36" t="s">
        <v>929</v>
      </c>
      <c r="K2465" s="33" t="s">
        <v>916</v>
      </c>
      <c r="L2465" s="35" t="s">
        <v>916</v>
      </c>
      <c r="M2465" s="36" t="s">
        <v>916</v>
      </c>
      <c r="N2465" s="45">
        <v>46022</v>
      </c>
      <c r="O2465" s="36" t="s">
        <v>25</v>
      </c>
      <c r="P2465" s="38">
        <v>147.45645833329999</v>
      </c>
      <c r="Q2465" s="39" t="s">
        <v>8606</v>
      </c>
      <c r="R2465" s="35" t="s">
        <v>916</v>
      </c>
      <c r="S2465" s="35"/>
      <c r="T2465" s="35" t="s">
        <v>1701</v>
      </c>
      <c r="U2465" s="40">
        <v>45875</v>
      </c>
      <c r="V2465" s="41">
        <v>46153.533136574071</v>
      </c>
      <c r="W2465" s="40">
        <v>45874</v>
      </c>
      <c r="X2465" s="35" t="s">
        <v>916</v>
      </c>
      <c r="Y2465" s="35" t="s">
        <v>916</v>
      </c>
      <c r="Z2465" s="35" t="s">
        <v>916</v>
      </c>
      <c r="AA2465" s="38">
        <v>3538.9549999992</v>
      </c>
      <c r="AB2465" s="42" t="s">
        <v>916</v>
      </c>
      <c r="AC2465" s="43" t="s">
        <v>916</v>
      </c>
      <c r="AD2465" s="43" t="s">
        <v>916</v>
      </c>
      <c r="AE2465" s="33" t="s">
        <v>3982</v>
      </c>
      <c r="AF2465" s="35" t="s">
        <v>916</v>
      </c>
      <c r="AG2465" s="44">
        <v>487333.04499999998</v>
      </c>
      <c r="AH2465" s="42" t="s">
        <v>916</v>
      </c>
      <c r="AI2465" s="32" t="e">
        <f>VLOOKUP(A2465,'4月明細'!B:B,1,0)</f>
        <v>#N/A</v>
      </c>
    </row>
    <row r="2466" spans="1:35" ht="19.95" customHeight="1" x14ac:dyDescent="0.3">
      <c r="A2466" s="33" t="s">
        <v>8607</v>
      </c>
      <c r="B2466" s="34">
        <v>45874.541493055556</v>
      </c>
      <c r="C2466" s="34" t="str">
        <f t="shared" si="51"/>
        <v>202508</v>
      </c>
      <c r="D2466" s="35" t="s">
        <v>6281</v>
      </c>
      <c r="E2466" s="36" t="s">
        <v>910</v>
      </c>
      <c r="F2466" s="36" t="s">
        <v>1768</v>
      </c>
      <c r="G2466" s="37" t="s">
        <v>4737</v>
      </c>
      <c r="H2466" s="36" t="s">
        <v>913</v>
      </c>
      <c r="I2466" s="35"/>
      <c r="J2466" s="36" t="s">
        <v>914</v>
      </c>
      <c r="K2466" s="33" t="s">
        <v>916</v>
      </c>
      <c r="L2466" s="35" t="s">
        <v>916</v>
      </c>
      <c r="M2466" s="36" t="s">
        <v>916</v>
      </c>
      <c r="N2466" s="45">
        <v>46022</v>
      </c>
      <c r="O2466" s="36" t="s">
        <v>25</v>
      </c>
      <c r="P2466" s="38">
        <v>147.4585069444</v>
      </c>
      <c r="Q2466" s="39" t="s">
        <v>8608</v>
      </c>
      <c r="R2466" s="35" t="s">
        <v>916</v>
      </c>
      <c r="S2466" s="35"/>
      <c r="T2466" s="35" t="s">
        <v>1701</v>
      </c>
      <c r="U2466" s="40">
        <v>45875</v>
      </c>
      <c r="V2466" s="41">
        <v>46153.533136574071</v>
      </c>
      <c r="W2466" s="40">
        <v>45874</v>
      </c>
      <c r="X2466" s="35" t="s">
        <v>916</v>
      </c>
      <c r="Y2466" s="35" t="s">
        <v>916</v>
      </c>
      <c r="Z2466" s="35" t="s">
        <v>916</v>
      </c>
      <c r="AA2466" s="38">
        <v>3539.0041666656002</v>
      </c>
      <c r="AB2466" s="42" t="s">
        <v>916</v>
      </c>
      <c r="AC2466" s="43" t="s">
        <v>916</v>
      </c>
      <c r="AD2466" s="43" t="s">
        <v>916</v>
      </c>
      <c r="AE2466" s="33" t="s">
        <v>3982</v>
      </c>
      <c r="AF2466" s="35" t="s">
        <v>916</v>
      </c>
      <c r="AG2466" s="44">
        <v>487332.99583333329</v>
      </c>
      <c r="AH2466" s="42" t="s">
        <v>916</v>
      </c>
      <c r="AI2466" s="32" t="e">
        <f>VLOOKUP(A2466,'4月明細'!B:B,1,0)</f>
        <v>#N/A</v>
      </c>
    </row>
    <row r="2467" spans="1:35" ht="19.95" customHeight="1" x14ac:dyDescent="0.3">
      <c r="A2467" s="33" t="s">
        <v>8609</v>
      </c>
      <c r="B2467" s="34">
        <v>45873.6643287037</v>
      </c>
      <c r="C2467" s="34" t="str">
        <f t="shared" si="51"/>
        <v>202508</v>
      </c>
      <c r="D2467" s="35" t="s">
        <v>951</v>
      </c>
      <c r="E2467" s="36" t="s">
        <v>910</v>
      </c>
      <c r="F2467" s="36" t="s">
        <v>1114</v>
      </c>
      <c r="G2467" s="37" t="s">
        <v>8610</v>
      </c>
      <c r="H2467" s="36" t="s">
        <v>1114</v>
      </c>
      <c r="I2467" s="35" t="s">
        <v>8611</v>
      </c>
      <c r="J2467" s="36" t="s">
        <v>938</v>
      </c>
      <c r="K2467" s="33" t="s">
        <v>916</v>
      </c>
      <c r="L2467" s="35" t="s">
        <v>916</v>
      </c>
      <c r="M2467" s="36" t="s">
        <v>916</v>
      </c>
      <c r="N2467" s="45">
        <v>46022</v>
      </c>
      <c r="O2467" s="36" t="s">
        <v>25</v>
      </c>
      <c r="P2467" s="38">
        <v>148.33567129630001</v>
      </c>
      <c r="Q2467" s="36" t="s">
        <v>916</v>
      </c>
      <c r="R2467" s="35" t="s">
        <v>916</v>
      </c>
      <c r="S2467" s="35"/>
      <c r="T2467" s="35" t="s">
        <v>1701</v>
      </c>
      <c r="U2467" s="40">
        <v>45874</v>
      </c>
      <c r="V2467" s="41">
        <v>46153.533136574071</v>
      </c>
      <c r="W2467" s="40">
        <v>45873</v>
      </c>
      <c r="X2467" s="35" t="s">
        <v>916</v>
      </c>
      <c r="Y2467" s="35" t="s">
        <v>916</v>
      </c>
      <c r="Z2467" s="35" t="s">
        <v>916</v>
      </c>
      <c r="AA2467" s="38">
        <v>3560.0561111112002</v>
      </c>
      <c r="AB2467" s="42" t="s">
        <v>916</v>
      </c>
      <c r="AC2467" s="43" t="s">
        <v>916</v>
      </c>
      <c r="AD2467" s="43" t="s">
        <v>916</v>
      </c>
      <c r="AE2467" s="33" t="s">
        <v>3982</v>
      </c>
      <c r="AF2467" s="35" t="s">
        <v>916</v>
      </c>
      <c r="AG2467" s="44">
        <v>487311.94388888893</v>
      </c>
      <c r="AH2467" s="42" t="s">
        <v>916</v>
      </c>
      <c r="AI2467" s="32" t="e">
        <f>VLOOKUP(A2467,'4月明細'!B:B,1,0)</f>
        <v>#N/A</v>
      </c>
    </row>
    <row r="2468" spans="1:35" ht="19.95" customHeight="1" x14ac:dyDescent="0.3">
      <c r="A2468" s="33" t="s">
        <v>8612</v>
      </c>
      <c r="B2468" s="34">
        <v>45873.690682870372</v>
      </c>
      <c r="C2468" s="34" t="str">
        <f t="shared" si="51"/>
        <v>202508</v>
      </c>
      <c r="D2468" s="35" t="s">
        <v>996</v>
      </c>
      <c r="E2468" s="36" t="s">
        <v>910</v>
      </c>
      <c r="F2468" s="36" t="s">
        <v>1507</v>
      </c>
      <c r="G2468" s="37" t="s">
        <v>8613</v>
      </c>
      <c r="H2468" s="36" t="s">
        <v>7825</v>
      </c>
      <c r="I2468" s="35"/>
      <c r="J2468" s="36" t="s">
        <v>929</v>
      </c>
      <c r="K2468" s="33" t="s">
        <v>916</v>
      </c>
      <c r="L2468" s="35" t="s">
        <v>916</v>
      </c>
      <c r="M2468" s="36" t="s">
        <v>916</v>
      </c>
      <c r="N2468" s="45">
        <v>46022</v>
      </c>
      <c r="O2468" s="36" t="s">
        <v>25</v>
      </c>
      <c r="P2468" s="38">
        <v>148.3093171296</v>
      </c>
      <c r="Q2468" s="39" t="s">
        <v>8614</v>
      </c>
      <c r="R2468" s="35" t="s">
        <v>916</v>
      </c>
      <c r="S2468" s="35"/>
      <c r="T2468" s="35" t="s">
        <v>1701</v>
      </c>
      <c r="U2468" s="40">
        <v>45874</v>
      </c>
      <c r="V2468" s="41">
        <v>46153.533136574071</v>
      </c>
      <c r="W2468" s="40">
        <v>45873</v>
      </c>
      <c r="X2468" s="35" t="s">
        <v>916</v>
      </c>
      <c r="Y2468" s="35" t="s">
        <v>916</v>
      </c>
      <c r="Z2468" s="35" t="s">
        <v>916</v>
      </c>
      <c r="AA2468" s="38">
        <v>3559.4236111104001</v>
      </c>
      <c r="AB2468" s="42" t="s">
        <v>916</v>
      </c>
      <c r="AC2468" s="43" t="s">
        <v>916</v>
      </c>
      <c r="AD2468" s="43" t="s">
        <v>916</v>
      </c>
      <c r="AE2468" s="33" t="s">
        <v>3982</v>
      </c>
      <c r="AF2468" s="35" t="s">
        <v>916</v>
      </c>
      <c r="AG2468" s="44">
        <v>487312.57638888888</v>
      </c>
      <c r="AH2468" s="42" t="s">
        <v>916</v>
      </c>
      <c r="AI2468" s="32" t="e">
        <f>VLOOKUP(A2468,'4月明細'!B:B,1,0)</f>
        <v>#N/A</v>
      </c>
    </row>
    <row r="2469" spans="1:35" ht="19.95" customHeight="1" x14ac:dyDescent="0.3">
      <c r="A2469" s="33" t="s">
        <v>8615</v>
      </c>
      <c r="B2469" s="34">
        <v>45873.600451388891</v>
      </c>
      <c r="C2469" s="34" t="str">
        <f t="shared" si="51"/>
        <v>202508</v>
      </c>
      <c r="D2469" s="35" t="s">
        <v>7386</v>
      </c>
      <c r="E2469" s="36" t="s">
        <v>910</v>
      </c>
      <c r="F2469" s="36" t="s">
        <v>1260</v>
      </c>
      <c r="G2469" s="37" t="s">
        <v>8616</v>
      </c>
      <c r="H2469" s="36" t="s">
        <v>4017</v>
      </c>
      <c r="I2469" s="35" t="s">
        <v>8617</v>
      </c>
      <c r="J2469" s="36" t="s">
        <v>914</v>
      </c>
      <c r="K2469" s="33" t="s">
        <v>916</v>
      </c>
      <c r="L2469" s="35" t="s">
        <v>916</v>
      </c>
      <c r="M2469" s="36" t="s">
        <v>916</v>
      </c>
      <c r="N2469" s="45">
        <v>46022</v>
      </c>
      <c r="O2469" s="36" t="s">
        <v>25</v>
      </c>
      <c r="P2469" s="38">
        <v>148.39954861109999</v>
      </c>
      <c r="Q2469" s="39" t="s">
        <v>8618</v>
      </c>
      <c r="R2469" s="35" t="s">
        <v>916</v>
      </c>
      <c r="S2469" s="35"/>
      <c r="T2469" s="35" t="s">
        <v>1701</v>
      </c>
      <c r="U2469" s="40">
        <v>45874</v>
      </c>
      <c r="V2469" s="41">
        <v>46153.533136574071</v>
      </c>
      <c r="W2469" s="40">
        <v>45873</v>
      </c>
      <c r="X2469" s="35" t="s">
        <v>916</v>
      </c>
      <c r="Y2469" s="35" t="s">
        <v>916</v>
      </c>
      <c r="Z2469" s="35" t="s">
        <v>916</v>
      </c>
      <c r="AA2469" s="38">
        <v>3561.5891666664002</v>
      </c>
      <c r="AB2469" s="42" t="s">
        <v>916</v>
      </c>
      <c r="AC2469" s="43" t="s">
        <v>916</v>
      </c>
      <c r="AD2469" s="43" t="s">
        <v>916</v>
      </c>
      <c r="AE2469" s="33" t="s">
        <v>3982</v>
      </c>
      <c r="AF2469" s="35" t="s">
        <v>916</v>
      </c>
      <c r="AG2469" s="44">
        <v>487310.41083333333</v>
      </c>
      <c r="AH2469" s="42" t="s">
        <v>916</v>
      </c>
      <c r="AI2469" s="32" t="e">
        <f>VLOOKUP(A2469,'4月明細'!B:B,1,0)</f>
        <v>#N/A</v>
      </c>
    </row>
    <row r="2470" spans="1:35" ht="19.95" customHeight="1" x14ac:dyDescent="0.3">
      <c r="A2470" s="33" t="s">
        <v>8619</v>
      </c>
      <c r="B2470" s="34">
        <v>45873.457280092596</v>
      </c>
      <c r="C2470" s="34" t="str">
        <f t="shared" si="51"/>
        <v>202508</v>
      </c>
      <c r="D2470" s="35" t="s">
        <v>951</v>
      </c>
      <c r="E2470" s="36" t="s">
        <v>910</v>
      </c>
      <c r="F2470" s="36" t="s">
        <v>2298</v>
      </c>
      <c r="G2470" s="37" t="s">
        <v>8620</v>
      </c>
      <c r="H2470" s="36" t="s">
        <v>1043</v>
      </c>
      <c r="I2470" s="35" t="s">
        <v>8621</v>
      </c>
      <c r="J2470" s="36" t="s">
        <v>929</v>
      </c>
      <c r="K2470" s="33" t="s">
        <v>916</v>
      </c>
      <c r="L2470" s="35" t="s">
        <v>916</v>
      </c>
      <c r="M2470" s="36" t="s">
        <v>916</v>
      </c>
      <c r="N2470" s="45">
        <v>46022</v>
      </c>
      <c r="O2470" s="36" t="s">
        <v>25</v>
      </c>
      <c r="P2470" s="38">
        <v>148.5427199074</v>
      </c>
      <c r="Q2470" s="39" t="s">
        <v>8622</v>
      </c>
      <c r="R2470" s="35" t="s">
        <v>916</v>
      </c>
      <c r="S2470" s="35"/>
      <c r="T2470" s="35" t="s">
        <v>1701</v>
      </c>
      <c r="U2470" s="40">
        <v>45874</v>
      </c>
      <c r="V2470" s="41">
        <v>46153.533136574071</v>
      </c>
      <c r="W2470" s="40">
        <v>45873</v>
      </c>
      <c r="X2470" s="35" t="s">
        <v>916</v>
      </c>
      <c r="Y2470" s="35" t="s">
        <v>916</v>
      </c>
      <c r="Z2470" s="35" t="s">
        <v>916</v>
      </c>
      <c r="AA2470" s="38">
        <v>3565.0252777776</v>
      </c>
      <c r="AB2470" s="42" t="s">
        <v>916</v>
      </c>
      <c r="AC2470" s="43" t="s">
        <v>916</v>
      </c>
      <c r="AD2470" s="43" t="s">
        <v>916</v>
      </c>
      <c r="AE2470" s="33" t="s">
        <v>3982</v>
      </c>
      <c r="AF2470" s="35" t="s">
        <v>916</v>
      </c>
      <c r="AG2470" s="44">
        <v>487306.97472222219</v>
      </c>
      <c r="AH2470" s="42" t="s">
        <v>916</v>
      </c>
      <c r="AI2470" s="32" t="e">
        <f>VLOOKUP(A2470,'4月明細'!B:B,1,0)</f>
        <v>#N/A</v>
      </c>
    </row>
    <row r="2471" spans="1:35" ht="19.95" customHeight="1" x14ac:dyDescent="0.3">
      <c r="A2471" s="33" t="s">
        <v>8623</v>
      </c>
      <c r="B2471" s="34">
        <v>45873.558888888889</v>
      </c>
      <c r="C2471" s="34" t="str">
        <f t="shared" si="51"/>
        <v>202508</v>
      </c>
      <c r="D2471" s="35" t="s">
        <v>996</v>
      </c>
      <c r="E2471" s="36" t="s">
        <v>910</v>
      </c>
      <c r="F2471" s="36" t="s">
        <v>2225</v>
      </c>
      <c r="G2471" s="37" t="s">
        <v>7392</v>
      </c>
      <c r="H2471" s="36" t="s">
        <v>7588</v>
      </c>
      <c r="I2471" s="35"/>
      <c r="J2471" s="36" t="s">
        <v>929</v>
      </c>
      <c r="K2471" s="33" t="s">
        <v>916</v>
      </c>
      <c r="L2471" s="35" t="s">
        <v>916</v>
      </c>
      <c r="M2471" s="36" t="s">
        <v>916</v>
      </c>
      <c r="N2471" s="45">
        <v>46022</v>
      </c>
      <c r="O2471" s="36" t="s">
        <v>25</v>
      </c>
      <c r="P2471" s="38">
        <v>148.44111111110001</v>
      </c>
      <c r="Q2471" s="39" t="s">
        <v>8624</v>
      </c>
      <c r="R2471" s="35" t="s">
        <v>916</v>
      </c>
      <c r="S2471" s="35"/>
      <c r="T2471" s="35" t="s">
        <v>1701</v>
      </c>
      <c r="U2471" s="40">
        <v>45874</v>
      </c>
      <c r="V2471" s="41">
        <v>46153.533136574071</v>
      </c>
      <c r="W2471" s="40">
        <v>45873</v>
      </c>
      <c r="X2471" s="35" t="s">
        <v>916</v>
      </c>
      <c r="Y2471" s="35" t="s">
        <v>916</v>
      </c>
      <c r="Z2471" s="35" t="s">
        <v>916</v>
      </c>
      <c r="AA2471" s="38">
        <v>3562.5866666664001</v>
      </c>
      <c r="AB2471" s="42" t="s">
        <v>916</v>
      </c>
      <c r="AC2471" s="43" t="s">
        <v>916</v>
      </c>
      <c r="AD2471" s="43" t="s">
        <v>916</v>
      </c>
      <c r="AE2471" s="33" t="s">
        <v>3982</v>
      </c>
      <c r="AF2471" s="35" t="s">
        <v>916</v>
      </c>
      <c r="AG2471" s="44">
        <v>487309.41333333327</v>
      </c>
      <c r="AH2471" s="42" t="s">
        <v>916</v>
      </c>
      <c r="AI2471" s="32" t="e">
        <f>VLOOKUP(A2471,'4月明細'!B:B,1,0)</f>
        <v>#N/A</v>
      </c>
    </row>
    <row r="2472" spans="1:35" ht="19.95" customHeight="1" x14ac:dyDescent="0.3">
      <c r="A2472" s="33" t="s">
        <v>8625</v>
      </c>
      <c r="B2472" s="34">
        <v>45873.509675925925</v>
      </c>
      <c r="C2472" s="34" t="str">
        <f t="shared" si="51"/>
        <v>202508</v>
      </c>
      <c r="D2472" s="35" t="s">
        <v>6847</v>
      </c>
      <c r="E2472" s="36" t="s">
        <v>910</v>
      </c>
      <c r="F2472" s="36" t="s">
        <v>1240</v>
      </c>
      <c r="G2472" s="37" t="s">
        <v>7262</v>
      </c>
      <c r="H2472" s="36" t="s">
        <v>7610</v>
      </c>
      <c r="I2472" s="35"/>
      <c r="J2472" s="36" t="s">
        <v>1058</v>
      </c>
      <c r="K2472" s="33" t="s">
        <v>916</v>
      </c>
      <c r="L2472" s="35" t="s">
        <v>916</v>
      </c>
      <c r="M2472" s="36" t="s">
        <v>916</v>
      </c>
      <c r="N2472" s="45">
        <v>46022</v>
      </c>
      <c r="O2472" s="36" t="s">
        <v>25</v>
      </c>
      <c r="P2472" s="38">
        <v>148.49032407409999</v>
      </c>
      <c r="Q2472" s="39" t="s">
        <v>8626</v>
      </c>
      <c r="R2472" s="35" t="s">
        <v>916</v>
      </c>
      <c r="S2472" s="35"/>
      <c r="T2472" s="35" t="s">
        <v>1701</v>
      </c>
      <c r="U2472" s="40">
        <v>45874</v>
      </c>
      <c r="V2472" s="41">
        <v>46153.533136574071</v>
      </c>
      <c r="W2472" s="40">
        <v>45873</v>
      </c>
      <c r="X2472" s="35" t="s">
        <v>916</v>
      </c>
      <c r="Y2472" s="35" t="s">
        <v>916</v>
      </c>
      <c r="Z2472" s="35" t="s">
        <v>916</v>
      </c>
      <c r="AA2472" s="38">
        <v>3563.7677777784002</v>
      </c>
      <c r="AB2472" s="42" t="s">
        <v>916</v>
      </c>
      <c r="AC2472" s="43" t="s">
        <v>916</v>
      </c>
      <c r="AD2472" s="43" t="s">
        <v>916</v>
      </c>
      <c r="AE2472" s="33" t="s">
        <v>3982</v>
      </c>
      <c r="AF2472" s="35" t="s">
        <v>916</v>
      </c>
      <c r="AG2472" s="44">
        <v>487308.2322222222</v>
      </c>
      <c r="AH2472" s="42" t="s">
        <v>916</v>
      </c>
      <c r="AI2472" s="32" t="e">
        <f>VLOOKUP(A2472,'4月明細'!B:B,1,0)</f>
        <v>#N/A</v>
      </c>
    </row>
    <row r="2473" spans="1:35" ht="19.95" customHeight="1" x14ac:dyDescent="0.3">
      <c r="A2473" s="33" t="s">
        <v>8627</v>
      </c>
      <c r="B2473" s="34">
        <v>45873.476689814815</v>
      </c>
      <c r="C2473" s="34" t="str">
        <f t="shared" si="51"/>
        <v>202508</v>
      </c>
      <c r="D2473" s="35" t="s">
        <v>996</v>
      </c>
      <c r="E2473" s="36" t="s">
        <v>910</v>
      </c>
      <c r="F2473" s="36" t="s">
        <v>1338</v>
      </c>
      <c r="G2473" s="37" t="s">
        <v>8628</v>
      </c>
      <c r="H2473" s="36" t="s">
        <v>7825</v>
      </c>
      <c r="I2473" s="35"/>
      <c r="J2473" s="36" t="s">
        <v>914</v>
      </c>
      <c r="K2473" s="33" t="s">
        <v>916</v>
      </c>
      <c r="L2473" s="35" t="s">
        <v>916</v>
      </c>
      <c r="M2473" s="36" t="s">
        <v>916</v>
      </c>
      <c r="N2473" s="45">
        <v>46022</v>
      </c>
      <c r="O2473" s="36" t="s">
        <v>25</v>
      </c>
      <c r="P2473" s="38">
        <v>148.52331018519999</v>
      </c>
      <c r="Q2473" s="39" t="s">
        <v>8629</v>
      </c>
      <c r="R2473" s="35" t="s">
        <v>916</v>
      </c>
      <c r="S2473" s="35"/>
      <c r="T2473" s="35" t="s">
        <v>1701</v>
      </c>
      <c r="U2473" s="40">
        <v>45874</v>
      </c>
      <c r="V2473" s="41">
        <v>46153.533136574071</v>
      </c>
      <c r="W2473" s="40">
        <v>45873</v>
      </c>
      <c r="X2473" s="35" t="s">
        <v>916</v>
      </c>
      <c r="Y2473" s="35" t="s">
        <v>916</v>
      </c>
      <c r="Z2473" s="35" t="s">
        <v>916</v>
      </c>
      <c r="AA2473" s="38">
        <v>3564.5594444448002</v>
      </c>
      <c r="AB2473" s="42" t="s">
        <v>916</v>
      </c>
      <c r="AC2473" s="43" t="s">
        <v>916</v>
      </c>
      <c r="AD2473" s="43" t="s">
        <v>916</v>
      </c>
      <c r="AE2473" s="33" t="s">
        <v>3982</v>
      </c>
      <c r="AF2473" s="35" t="s">
        <v>916</v>
      </c>
      <c r="AG2473" s="44">
        <v>487307.44055555557</v>
      </c>
      <c r="AH2473" s="42" t="s">
        <v>916</v>
      </c>
      <c r="AI2473" s="32" t="e">
        <f>VLOOKUP(A2473,'4月明細'!B:B,1,0)</f>
        <v>#N/A</v>
      </c>
    </row>
    <row r="2474" spans="1:35" ht="19.95" customHeight="1" x14ac:dyDescent="0.3">
      <c r="A2474" s="33" t="s">
        <v>8630</v>
      </c>
      <c r="B2474" s="34">
        <v>45873.456712962965</v>
      </c>
      <c r="C2474" s="34" t="str">
        <f t="shared" si="51"/>
        <v>202508</v>
      </c>
      <c r="D2474" s="35" t="s">
        <v>951</v>
      </c>
      <c r="E2474" s="36" t="s">
        <v>910</v>
      </c>
      <c r="F2474" s="36" t="s">
        <v>1285</v>
      </c>
      <c r="G2474" s="37" t="s">
        <v>8631</v>
      </c>
      <c r="H2474" s="36" t="s">
        <v>1432</v>
      </c>
      <c r="I2474" s="35" t="s">
        <v>8632</v>
      </c>
      <c r="J2474" s="36" t="s">
        <v>929</v>
      </c>
      <c r="K2474" s="33" t="s">
        <v>916</v>
      </c>
      <c r="L2474" s="35" t="s">
        <v>916</v>
      </c>
      <c r="M2474" s="36" t="s">
        <v>916</v>
      </c>
      <c r="N2474" s="45">
        <v>46022</v>
      </c>
      <c r="O2474" s="36" t="s">
        <v>25</v>
      </c>
      <c r="P2474" s="38">
        <v>148.543287037</v>
      </c>
      <c r="Q2474" s="36" t="s">
        <v>916</v>
      </c>
      <c r="R2474" s="35" t="s">
        <v>916</v>
      </c>
      <c r="S2474" s="35"/>
      <c r="T2474" s="35" t="s">
        <v>1701</v>
      </c>
      <c r="U2474" s="40">
        <v>45874</v>
      </c>
      <c r="V2474" s="41">
        <v>46153.533136574071</v>
      </c>
      <c r="W2474" s="40">
        <v>45873</v>
      </c>
      <c r="X2474" s="35" t="s">
        <v>916</v>
      </c>
      <c r="Y2474" s="35" t="s">
        <v>916</v>
      </c>
      <c r="Z2474" s="35" t="s">
        <v>916</v>
      </c>
      <c r="AA2474" s="38">
        <v>3565.0388888880002</v>
      </c>
      <c r="AB2474" s="42" t="s">
        <v>916</v>
      </c>
      <c r="AC2474" s="43" t="s">
        <v>916</v>
      </c>
      <c r="AD2474" s="43" t="s">
        <v>916</v>
      </c>
      <c r="AE2474" s="33" t="s">
        <v>3982</v>
      </c>
      <c r="AF2474" s="35" t="s">
        <v>916</v>
      </c>
      <c r="AG2474" s="44">
        <v>487306.9611111111</v>
      </c>
      <c r="AH2474" s="42" t="s">
        <v>916</v>
      </c>
      <c r="AI2474" s="32" t="e">
        <f>VLOOKUP(A2474,'4月明細'!B:B,1,0)</f>
        <v>#N/A</v>
      </c>
    </row>
    <row r="2475" spans="1:35" ht="19.95" customHeight="1" x14ac:dyDescent="0.3">
      <c r="A2475" s="33" t="s">
        <v>8633</v>
      </c>
      <c r="B2475" s="34">
        <v>45872.70511574074</v>
      </c>
      <c r="C2475" s="34" t="str">
        <f t="shared" si="51"/>
        <v>202508</v>
      </c>
      <c r="D2475" s="35" t="s">
        <v>8634</v>
      </c>
      <c r="E2475" s="36" t="s">
        <v>910</v>
      </c>
      <c r="F2475" s="36" t="s">
        <v>1055</v>
      </c>
      <c r="G2475" s="37" t="s">
        <v>8635</v>
      </c>
      <c r="H2475" s="36" t="s">
        <v>1048</v>
      </c>
      <c r="I2475" s="35" t="s">
        <v>8636</v>
      </c>
      <c r="J2475" s="36" t="s">
        <v>929</v>
      </c>
      <c r="K2475" s="33" t="s">
        <v>916</v>
      </c>
      <c r="L2475" s="35" t="s">
        <v>916</v>
      </c>
      <c r="M2475" s="36" t="s">
        <v>916</v>
      </c>
      <c r="N2475" s="45">
        <v>46022</v>
      </c>
      <c r="O2475" s="36" t="s">
        <v>25</v>
      </c>
      <c r="P2475" s="38">
        <v>149.29488425930001</v>
      </c>
      <c r="Q2475" s="36" t="s">
        <v>916</v>
      </c>
      <c r="R2475" s="35" t="s">
        <v>916</v>
      </c>
      <c r="S2475" s="35" t="s">
        <v>8637</v>
      </c>
      <c r="T2475" s="35" t="s">
        <v>1701</v>
      </c>
      <c r="U2475" s="40">
        <v>45873</v>
      </c>
      <c r="V2475" s="41">
        <v>46153.533136574071</v>
      </c>
      <c r="W2475" s="40">
        <v>45872</v>
      </c>
      <c r="X2475" s="35" t="s">
        <v>916</v>
      </c>
      <c r="Y2475" s="35" t="s">
        <v>916</v>
      </c>
      <c r="Z2475" s="35" t="s">
        <v>916</v>
      </c>
      <c r="AA2475" s="38">
        <v>3583.0772222231999</v>
      </c>
      <c r="AB2475" s="42" t="s">
        <v>916</v>
      </c>
      <c r="AC2475" s="43" t="s">
        <v>916</v>
      </c>
      <c r="AD2475" s="43" t="s">
        <v>916</v>
      </c>
      <c r="AE2475" s="33" t="s">
        <v>3982</v>
      </c>
      <c r="AF2475" s="35" t="s">
        <v>916</v>
      </c>
      <c r="AG2475" s="44">
        <v>487288.92277777783</v>
      </c>
      <c r="AH2475" s="42" t="s">
        <v>916</v>
      </c>
      <c r="AI2475" s="32" t="e">
        <f>VLOOKUP(A2475,'4月明細'!B:B,1,0)</f>
        <v>#N/A</v>
      </c>
    </row>
    <row r="2476" spans="1:35" ht="19.95" customHeight="1" x14ac:dyDescent="0.3">
      <c r="A2476" s="33" t="s">
        <v>8638</v>
      </c>
      <c r="B2476" s="34">
        <v>45872.645798611113</v>
      </c>
      <c r="C2476" s="34" t="str">
        <f t="shared" si="51"/>
        <v>202508</v>
      </c>
      <c r="D2476" s="35" t="s">
        <v>7386</v>
      </c>
      <c r="E2476" s="36" t="s">
        <v>910</v>
      </c>
      <c r="F2476" s="36" t="s">
        <v>1634</v>
      </c>
      <c r="G2476" s="37" t="s">
        <v>8639</v>
      </c>
      <c r="H2476" s="36" t="s">
        <v>913</v>
      </c>
      <c r="I2476" s="35"/>
      <c r="J2476" s="36" t="s">
        <v>929</v>
      </c>
      <c r="K2476" s="33" t="s">
        <v>916</v>
      </c>
      <c r="L2476" s="35" t="s">
        <v>916</v>
      </c>
      <c r="M2476" s="36" t="s">
        <v>916</v>
      </c>
      <c r="N2476" s="45">
        <v>46022</v>
      </c>
      <c r="O2476" s="36" t="s">
        <v>25</v>
      </c>
      <c r="P2476" s="38">
        <v>149.35420138890001</v>
      </c>
      <c r="Q2476" s="39" t="s">
        <v>8640</v>
      </c>
      <c r="R2476" s="35" t="s">
        <v>916</v>
      </c>
      <c r="S2476" s="35"/>
      <c r="T2476" s="35" t="s">
        <v>1624</v>
      </c>
      <c r="U2476" s="40">
        <v>45873</v>
      </c>
      <c r="V2476" s="41">
        <v>46153.533136574071</v>
      </c>
      <c r="W2476" s="40">
        <v>45872</v>
      </c>
      <c r="X2476" s="35" t="s">
        <v>916</v>
      </c>
      <c r="Y2476" s="35" t="s">
        <v>916</v>
      </c>
      <c r="Z2476" s="35" t="s">
        <v>916</v>
      </c>
      <c r="AA2476" s="38">
        <v>3584.5008333336</v>
      </c>
      <c r="AB2476" s="42" t="s">
        <v>916</v>
      </c>
      <c r="AC2476" s="43" t="s">
        <v>916</v>
      </c>
      <c r="AD2476" s="43" t="s">
        <v>916</v>
      </c>
      <c r="AE2476" s="33" t="s">
        <v>3982</v>
      </c>
      <c r="AF2476" s="35" t="s">
        <v>916</v>
      </c>
      <c r="AG2476" s="44">
        <v>487287.4991666667</v>
      </c>
      <c r="AH2476" s="42" t="s">
        <v>916</v>
      </c>
      <c r="AI2476" s="32" t="e">
        <f>VLOOKUP(A2476,'4月明細'!B:B,1,0)</f>
        <v>#N/A</v>
      </c>
    </row>
    <row r="2477" spans="1:35" ht="19.95" customHeight="1" x14ac:dyDescent="0.3">
      <c r="A2477" s="33" t="s">
        <v>8641</v>
      </c>
      <c r="B2477" s="34">
        <v>45872.641817129632</v>
      </c>
      <c r="C2477" s="34" t="str">
        <f t="shared" si="51"/>
        <v>202508</v>
      </c>
      <c r="D2477" s="35" t="s">
        <v>951</v>
      </c>
      <c r="E2477" s="36" t="s">
        <v>910</v>
      </c>
      <c r="F2477" s="36" t="s">
        <v>1338</v>
      </c>
      <c r="G2477" s="37" t="s">
        <v>8642</v>
      </c>
      <c r="H2477" s="36" t="s">
        <v>1043</v>
      </c>
      <c r="I2477" s="35" t="s">
        <v>8643</v>
      </c>
      <c r="J2477" s="36" t="s">
        <v>929</v>
      </c>
      <c r="K2477" s="33" t="s">
        <v>916</v>
      </c>
      <c r="L2477" s="35" t="s">
        <v>916</v>
      </c>
      <c r="M2477" s="36" t="s">
        <v>916</v>
      </c>
      <c r="N2477" s="45">
        <v>46022</v>
      </c>
      <c r="O2477" s="36" t="s">
        <v>25</v>
      </c>
      <c r="P2477" s="38">
        <v>149.35818287039999</v>
      </c>
      <c r="Q2477" s="36" t="s">
        <v>916</v>
      </c>
      <c r="R2477" s="35" t="s">
        <v>916</v>
      </c>
      <c r="S2477" s="35"/>
      <c r="T2477" s="35" t="s">
        <v>1701</v>
      </c>
      <c r="U2477" s="40">
        <v>45873</v>
      </c>
      <c r="V2477" s="41">
        <v>46153.533136574071</v>
      </c>
      <c r="W2477" s="40">
        <v>45872</v>
      </c>
      <c r="X2477" s="35" t="s">
        <v>916</v>
      </c>
      <c r="Y2477" s="35" t="s">
        <v>916</v>
      </c>
      <c r="Z2477" s="35" t="s">
        <v>916</v>
      </c>
      <c r="AA2477" s="38">
        <v>3584.5963888895999</v>
      </c>
      <c r="AB2477" s="42" t="s">
        <v>916</v>
      </c>
      <c r="AC2477" s="43" t="s">
        <v>916</v>
      </c>
      <c r="AD2477" s="43" t="s">
        <v>916</v>
      </c>
      <c r="AE2477" s="33" t="s">
        <v>3982</v>
      </c>
      <c r="AF2477" s="35" t="s">
        <v>916</v>
      </c>
      <c r="AG2477" s="44">
        <v>487287.40361111122</v>
      </c>
      <c r="AH2477" s="42" t="s">
        <v>916</v>
      </c>
      <c r="AI2477" s="32" t="e">
        <f>VLOOKUP(A2477,'4月明細'!B:B,1,0)</f>
        <v>#N/A</v>
      </c>
    </row>
    <row r="2478" spans="1:35" ht="19.95" customHeight="1" x14ac:dyDescent="0.3">
      <c r="A2478" s="33" t="s">
        <v>8644</v>
      </c>
      <c r="B2478" s="34">
        <v>45872.616944444446</v>
      </c>
      <c r="C2478" s="34" t="str">
        <f t="shared" si="51"/>
        <v>202508</v>
      </c>
      <c r="D2478" s="35" t="s">
        <v>7386</v>
      </c>
      <c r="E2478" s="36" t="s">
        <v>910</v>
      </c>
      <c r="F2478" s="36" t="s">
        <v>1469</v>
      </c>
      <c r="G2478" s="37" t="s">
        <v>8645</v>
      </c>
      <c r="H2478" s="36" t="s">
        <v>3996</v>
      </c>
      <c r="I2478" s="35" t="s">
        <v>8646</v>
      </c>
      <c r="J2478" s="36" t="s">
        <v>929</v>
      </c>
      <c r="K2478" s="33" t="s">
        <v>916</v>
      </c>
      <c r="L2478" s="35" t="s">
        <v>916</v>
      </c>
      <c r="M2478" s="36" t="s">
        <v>916</v>
      </c>
      <c r="N2478" s="45">
        <v>46022</v>
      </c>
      <c r="O2478" s="36" t="s">
        <v>25</v>
      </c>
      <c r="P2478" s="38">
        <v>149.38305555560001</v>
      </c>
      <c r="Q2478" s="36" t="s">
        <v>916</v>
      </c>
      <c r="R2478" s="35" t="s">
        <v>916</v>
      </c>
      <c r="S2478" s="35"/>
      <c r="T2478" s="35" t="s">
        <v>1701</v>
      </c>
      <c r="U2478" s="40">
        <v>45873</v>
      </c>
      <c r="V2478" s="41">
        <v>46153.533136574071</v>
      </c>
      <c r="W2478" s="40">
        <v>45872</v>
      </c>
      <c r="X2478" s="35" t="s">
        <v>916</v>
      </c>
      <c r="Y2478" s="35" t="s">
        <v>916</v>
      </c>
      <c r="Z2478" s="35" t="s">
        <v>916</v>
      </c>
      <c r="AA2478" s="38">
        <v>3585.1933333344</v>
      </c>
      <c r="AB2478" s="42" t="s">
        <v>916</v>
      </c>
      <c r="AC2478" s="43" t="s">
        <v>916</v>
      </c>
      <c r="AD2478" s="43" t="s">
        <v>916</v>
      </c>
      <c r="AE2478" s="33" t="s">
        <v>3982</v>
      </c>
      <c r="AF2478" s="35" t="s">
        <v>916</v>
      </c>
      <c r="AG2478" s="44">
        <v>487286.8066666667</v>
      </c>
      <c r="AH2478" s="42" t="s">
        <v>916</v>
      </c>
      <c r="AI2478" s="32" t="e">
        <f>VLOOKUP(A2478,'4月明細'!B:B,1,0)</f>
        <v>#N/A</v>
      </c>
    </row>
    <row r="2479" spans="1:35" ht="19.95" customHeight="1" x14ac:dyDescent="0.3">
      <c r="A2479" s="33" t="s">
        <v>8647</v>
      </c>
      <c r="B2479" s="34">
        <v>45872.575046296297</v>
      </c>
      <c r="C2479" s="34" t="str">
        <f t="shared" si="51"/>
        <v>202508</v>
      </c>
      <c r="D2479" s="35" t="s">
        <v>7386</v>
      </c>
      <c r="E2479" s="36" t="s">
        <v>910</v>
      </c>
      <c r="F2479" s="36" t="s">
        <v>1469</v>
      </c>
      <c r="G2479" s="37" t="s">
        <v>8648</v>
      </c>
      <c r="H2479" s="36" t="s">
        <v>1048</v>
      </c>
      <c r="I2479" s="35" t="s">
        <v>8649</v>
      </c>
      <c r="J2479" s="36" t="s">
        <v>929</v>
      </c>
      <c r="K2479" s="33" t="s">
        <v>916</v>
      </c>
      <c r="L2479" s="35" t="s">
        <v>916</v>
      </c>
      <c r="M2479" s="36" t="s">
        <v>916</v>
      </c>
      <c r="N2479" s="45">
        <v>46022</v>
      </c>
      <c r="O2479" s="36" t="s">
        <v>25</v>
      </c>
      <c r="P2479" s="38">
        <v>149.4249537037</v>
      </c>
      <c r="Q2479" s="36" t="s">
        <v>916</v>
      </c>
      <c r="R2479" s="35" t="s">
        <v>916</v>
      </c>
      <c r="S2479" s="35" t="s">
        <v>8650</v>
      </c>
      <c r="T2479" s="35" t="s">
        <v>1701</v>
      </c>
      <c r="U2479" s="40">
        <v>45873</v>
      </c>
      <c r="V2479" s="41">
        <v>46153.533136574071</v>
      </c>
      <c r="W2479" s="40">
        <v>45872</v>
      </c>
      <c r="X2479" s="35" t="s">
        <v>916</v>
      </c>
      <c r="Y2479" s="35" t="s">
        <v>916</v>
      </c>
      <c r="Z2479" s="35" t="s">
        <v>916</v>
      </c>
      <c r="AA2479" s="38">
        <v>3586.1988888888</v>
      </c>
      <c r="AB2479" s="42" t="s">
        <v>916</v>
      </c>
      <c r="AC2479" s="43" t="s">
        <v>916</v>
      </c>
      <c r="AD2479" s="43" t="s">
        <v>916</v>
      </c>
      <c r="AE2479" s="33" t="s">
        <v>3982</v>
      </c>
      <c r="AF2479" s="35" t="s">
        <v>916</v>
      </c>
      <c r="AG2479" s="44">
        <v>487285.80111111113</v>
      </c>
      <c r="AH2479" s="42" t="s">
        <v>916</v>
      </c>
      <c r="AI2479" s="32" t="e">
        <f>VLOOKUP(A2479,'4月明細'!B:B,1,0)</f>
        <v>#N/A</v>
      </c>
    </row>
    <row r="2480" spans="1:35" ht="19.95" customHeight="1" x14ac:dyDescent="0.3">
      <c r="A2480" s="33" t="s">
        <v>8651</v>
      </c>
      <c r="B2480" s="34">
        <v>45872.601597222223</v>
      </c>
      <c r="C2480" s="34" t="str">
        <f t="shared" si="51"/>
        <v>202508</v>
      </c>
      <c r="D2480" s="35" t="s">
        <v>8634</v>
      </c>
      <c r="E2480" s="36" t="s">
        <v>910</v>
      </c>
      <c r="F2480" s="36" t="s">
        <v>964</v>
      </c>
      <c r="G2480" s="37" t="s">
        <v>8652</v>
      </c>
      <c r="H2480" s="36" t="s">
        <v>4481</v>
      </c>
      <c r="I2480" s="35" t="s">
        <v>8653</v>
      </c>
      <c r="J2480" s="36" t="s">
        <v>929</v>
      </c>
      <c r="K2480" s="33" t="s">
        <v>916</v>
      </c>
      <c r="L2480" s="35" t="s">
        <v>916</v>
      </c>
      <c r="M2480" s="36" t="s">
        <v>916</v>
      </c>
      <c r="N2480" s="45">
        <v>46022</v>
      </c>
      <c r="O2480" s="36" t="s">
        <v>25</v>
      </c>
      <c r="P2480" s="38">
        <v>149.39840277779999</v>
      </c>
      <c r="Q2480" s="36" t="s">
        <v>916</v>
      </c>
      <c r="R2480" s="35" t="s">
        <v>916</v>
      </c>
      <c r="S2480" s="35" t="s">
        <v>8259</v>
      </c>
      <c r="T2480" s="35" t="s">
        <v>1701</v>
      </c>
      <c r="U2480" s="40">
        <v>45873</v>
      </c>
      <c r="V2480" s="41">
        <v>46153.533136574071</v>
      </c>
      <c r="W2480" s="40">
        <v>45872</v>
      </c>
      <c r="X2480" s="35" t="s">
        <v>916</v>
      </c>
      <c r="Y2480" s="35" t="s">
        <v>916</v>
      </c>
      <c r="Z2480" s="35" t="s">
        <v>916</v>
      </c>
      <c r="AA2480" s="38">
        <v>3585.5616666671999</v>
      </c>
      <c r="AB2480" s="42" t="s">
        <v>916</v>
      </c>
      <c r="AC2480" s="43" t="s">
        <v>916</v>
      </c>
      <c r="AD2480" s="43" t="s">
        <v>916</v>
      </c>
      <c r="AE2480" s="33" t="s">
        <v>3982</v>
      </c>
      <c r="AF2480" s="35" t="s">
        <v>916</v>
      </c>
      <c r="AG2480" s="44">
        <v>487286.43833333341</v>
      </c>
      <c r="AH2480" s="42" t="s">
        <v>916</v>
      </c>
      <c r="AI2480" s="32" t="e">
        <f>VLOOKUP(A2480,'4月明細'!B:B,1,0)</f>
        <v>#N/A</v>
      </c>
    </row>
    <row r="2481" spans="1:35" ht="19.95" customHeight="1" x14ac:dyDescent="0.3">
      <c r="A2481" s="33" t="s">
        <v>8654</v>
      </c>
      <c r="B2481" s="34">
        <v>45872.482824074075</v>
      </c>
      <c r="C2481" s="34" t="str">
        <f t="shared" si="51"/>
        <v>202508</v>
      </c>
      <c r="D2481" s="35" t="s">
        <v>951</v>
      </c>
      <c r="E2481" s="36" t="s">
        <v>910</v>
      </c>
      <c r="F2481" s="36" t="s">
        <v>2090</v>
      </c>
      <c r="G2481" s="37" t="s">
        <v>8655</v>
      </c>
      <c r="H2481" s="36" t="s">
        <v>1114</v>
      </c>
      <c r="I2481" s="35" t="s">
        <v>8656</v>
      </c>
      <c r="J2481" s="36" t="s">
        <v>938</v>
      </c>
      <c r="K2481" s="33" t="s">
        <v>916</v>
      </c>
      <c r="L2481" s="35" t="s">
        <v>916</v>
      </c>
      <c r="M2481" s="36" t="s">
        <v>916</v>
      </c>
      <c r="N2481" s="45">
        <v>46022</v>
      </c>
      <c r="O2481" s="36" t="s">
        <v>25</v>
      </c>
      <c r="P2481" s="38">
        <v>149.51717592590001</v>
      </c>
      <c r="Q2481" s="39" t="s">
        <v>8657</v>
      </c>
      <c r="R2481" s="35" t="s">
        <v>916</v>
      </c>
      <c r="S2481" s="35"/>
      <c r="T2481" s="35" t="s">
        <v>1701</v>
      </c>
      <c r="U2481" s="40">
        <v>45873</v>
      </c>
      <c r="V2481" s="41">
        <v>46153.533136574071</v>
      </c>
      <c r="W2481" s="40">
        <v>45872</v>
      </c>
      <c r="X2481" s="35" t="s">
        <v>916</v>
      </c>
      <c r="Y2481" s="35" t="s">
        <v>916</v>
      </c>
      <c r="Z2481" s="35" t="s">
        <v>916</v>
      </c>
      <c r="AA2481" s="38">
        <v>3588.4122222216001</v>
      </c>
      <c r="AB2481" s="42" t="s">
        <v>916</v>
      </c>
      <c r="AC2481" s="43" t="s">
        <v>916</v>
      </c>
      <c r="AD2481" s="43" t="s">
        <v>916</v>
      </c>
      <c r="AE2481" s="33" t="s">
        <v>3982</v>
      </c>
      <c r="AF2481" s="35" t="s">
        <v>916</v>
      </c>
      <c r="AG2481" s="44">
        <v>487283.58777777781</v>
      </c>
      <c r="AH2481" s="42" t="s">
        <v>916</v>
      </c>
      <c r="AI2481" s="32" t="e">
        <f>VLOOKUP(A2481,'4月明細'!B:B,1,0)</f>
        <v>#N/A</v>
      </c>
    </row>
    <row r="2482" spans="1:35" ht="19.95" customHeight="1" x14ac:dyDescent="0.3">
      <c r="A2482" s="33" t="s">
        <v>8658</v>
      </c>
      <c r="B2482" s="34">
        <v>45872.482372685183</v>
      </c>
      <c r="C2482" s="34" t="str">
        <f t="shared" si="51"/>
        <v>202508</v>
      </c>
      <c r="D2482" s="35" t="s">
        <v>7386</v>
      </c>
      <c r="E2482" s="36" t="s">
        <v>910</v>
      </c>
      <c r="F2482" s="36" t="s">
        <v>1130</v>
      </c>
      <c r="G2482" s="37" t="s">
        <v>8659</v>
      </c>
      <c r="H2482" s="36" t="s">
        <v>1043</v>
      </c>
      <c r="I2482" s="35" t="s">
        <v>8660</v>
      </c>
      <c r="J2482" s="36" t="s">
        <v>914</v>
      </c>
      <c r="K2482" s="33" t="s">
        <v>916</v>
      </c>
      <c r="L2482" s="35" t="s">
        <v>916</v>
      </c>
      <c r="M2482" s="36" t="s">
        <v>916</v>
      </c>
      <c r="N2482" s="45">
        <v>46022</v>
      </c>
      <c r="O2482" s="36" t="s">
        <v>25</v>
      </c>
      <c r="P2482" s="38">
        <v>149.5176273148</v>
      </c>
      <c r="Q2482" s="36" t="s">
        <v>916</v>
      </c>
      <c r="R2482" s="35" t="s">
        <v>916</v>
      </c>
      <c r="S2482" s="35" t="s">
        <v>8259</v>
      </c>
      <c r="T2482" s="35" t="s">
        <v>1701</v>
      </c>
      <c r="U2482" s="40">
        <v>45873</v>
      </c>
      <c r="V2482" s="41">
        <v>46153.533136574071</v>
      </c>
      <c r="W2482" s="40">
        <v>45872</v>
      </c>
      <c r="X2482" s="35" t="s">
        <v>916</v>
      </c>
      <c r="Y2482" s="35" t="s">
        <v>916</v>
      </c>
      <c r="Z2482" s="35" t="s">
        <v>916</v>
      </c>
      <c r="AA2482" s="38">
        <v>3588.4230555551999</v>
      </c>
      <c r="AB2482" s="42" t="s">
        <v>916</v>
      </c>
      <c r="AC2482" s="43" t="s">
        <v>916</v>
      </c>
      <c r="AD2482" s="43" t="s">
        <v>916</v>
      </c>
      <c r="AE2482" s="33" t="s">
        <v>3982</v>
      </c>
      <c r="AF2482" s="35" t="s">
        <v>916</v>
      </c>
      <c r="AG2482" s="44">
        <v>487283.57694444439</v>
      </c>
      <c r="AH2482" s="42" t="s">
        <v>916</v>
      </c>
      <c r="AI2482" s="32" t="e">
        <f>VLOOKUP(A2482,'4月明細'!B:B,1,0)</f>
        <v>#N/A</v>
      </c>
    </row>
    <row r="2483" spans="1:35" ht="19.95" customHeight="1" x14ac:dyDescent="0.3">
      <c r="A2483" s="33" t="s">
        <v>8661</v>
      </c>
      <c r="B2483" s="34">
        <v>45872.143946759257</v>
      </c>
      <c r="C2483" s="34" t="str">
        <f t="shared" si="51"/>
        <v>202508</v>
      </c>
      <c r="D2483" s="35" t="s">
        <v>8662</v>
      </c>
      <c r="E2483" s="36" t="s">
        <v>1112</v>
      </c>
      <c r="F2483" s="36" t="s">
        <v>987</v>
      </c>
      <c r="G2483" s="37" t="s">
        <v>8663</v>
      </c>
      <c r="H2483" s="36" t="s">
        <v>913</v>
      </c>
      <c r="I2483" s="35"/>
      <c r="J2483" s="36" t="s">
        <v>945</v>
      </c>
      <c r="K2483" s="33" t="s">
        <v>916</v>
      </c>
      <c r="L2483" s="35" t="s">
        <v>916</v>
      </c>
      <c r="M2483" s="36" t="s">
        <v>916</v>
      </c>
      <c r="N2483" s="45">
        <v>46022</v>
      </c>
      <c r="O2483" s="36" t="s">
        <v>25</v>
      </c>
      <c r="P2483" s="38">
        <v>149.85605324069999</v>
      </c>
      <c r="Q2483" s="36" t="s">
        <v>916</v>
      </c>
      <c r="R2483" s="35" t="s">
        <v>916</v>
      </c>
      <c r="S2483" s="35" t="s">
        <v>8664</v>
      </c>
      <c r="T2483" s="35" t="s">
        <v>1701</v>
      </c>
      <c r="U2483" s="40">
        <v>45873</v>
      </c>
      <c r="V2483" s="41">
        <v>46153.533136574071</v>
      </c>
      <c r="W2483" s="40">
        <v>45872</v>
      </c>
      <c r="X2483" s="35" t="s">
        <v>916</v>
      </c>
      <c r="Y2483" s="35" t="s">
        <v>916</v>
      </c>
      <c r="Z2483" s="35" t="s">
        <v>916</v>
      </c>
      <c r="AA2483" s="38">
        <v>3596.5452777768</v>
      </c>
      <c r="AB2483" s="42" t="s">
        <v>916</v>
      </c>
      <c r="AC2483" s="43" t="s">
        <v>916</v>
      </c>
      <c r="AD2483" s="43" t="s">
        <v>916</v>
      </c>
      <c r="AE2483" s="33" t="s">
        <v>3982</v>
      </c>
      <c r="AF2483" s="35" t="s">
        <v>916</v>
      </c>
      <c r="AG2483" s="44">
        <v>487275.45472222229</v>
      </c>
      <c r="AH2483" s="42" t="s">
        <v>916</v>
      </c>
      <c r="AI2483" s="32" t="e">
        <f>VLOOKUP(A2483,'4月明細'!B:B,1,0)</f>
        <v>#N/A</v>
      </c>
    </row>
    <row r="2484" spans="1:35" ht="19.95" customHeight="1" x14ac:dyDescent="0.3">
      <c r="A2484" s="33" t="s">
        <v>8665</v>
      </c>
      <c r="B2484" s="34">
        <v>45871.625555555554</v>
      </c>
      <c r="C2484" s="34" t="str">
        <f t="shared" si="51"/>
        <v>202508</v>
      </c>
      <c r="D2484" s="35" t="s">
        <v>8666</v>
      </c>
      <c r="E2484" s="36" t="s">
        <v>910</v>
      </c>
      <c r="F2484" s="36" t="s">
        <v>1220</v>
      </c>
      <c r="G2484" s="37" t="s">
        <v>8667</v>
      </c>
      <c r="H2484" s="36" t="s">
        <v>4007</v>
      </c>
      <c r="I2484" s="35" t="s">
        <v>8668</v>
      </c>
      <c r="J2484" s="36" t="s">
        <v>914</v>
      </c>
      <c r="K2484" s="33" t="s">
        <v>916</v>
      </c>
      <c r="L2484" s="35" t="s">
        <v>916</v>
      </c>
      <c r="M2484" s="36" t="s">
        <v>916</v>
      </c>
      <c r="N2484" s="45">
        <v>46022</v>
      </c>
      <c r="O2484" s="36" t="s">
        <v>25</v>
      </c>
      <c r="P2484" s="38">
        <v>150.37444444440001</v>
      </c>
      <c r="Q2484" s="36" t="s">
        <v>916</v>
      </c>
      <c r="R2484" s="35" t="s">
        <v>916</v>
      </c>
      <c r="S2484" s="35"/>
      <c r="T2484" s="35" t="s">
        <v>1701</v>
      </c>
      <c r="U2484" s="40">
        <v>45872</v>
      </c>
      <c r="V2484" s="41">
        <v>46153.533136574071</v>
      </c>
      <c r="W2484" s="40">
        <v>45871</v>
      </c>
      <c r="X2484" s="35" t="s">
        <v>916</v>
      </c>
      <c r="Y2484" s="35" t="s">
        <v>916</v>
      </c>
      <c r="Z2484" s="35" t="s">
        <v>916</v>
      </c>
      <c r="AA2484" s="38">
        <v>3608.9866666655998</v>
      </c>
      <c r="AB2484" s="42" t="s">
        <v>916</v>
      </c>
      <c r="AC2484" s="43" t="s">
        <v>916</v>
      </c>
      <c r="AD2484" s="43" t="s">
        <v>916</v>
      </c>
      <c r="AE2484" s="33" t="s">
        <v>3982</v>
      </c>
      <c r="AF2484" s="35" t="s">
        <v>916</v>
      </c>
      <c r="AG2484" s="44">
        <v>487263.01333333331</v>
      </c>
      <c r="AH2484" s="42" t="s">
        <v>916</v>
      </c>
      <c r="AI2484" s="32" t="e">
        <f>VLOOKUP(A2484,'4月明細'!B:B,1,0)</f>
        <v>#N/A</v>
      </c>
    </row>
    <row r="2485" spans="1:35" ht="19.95" customHeight="1" x14ac:dyDescent="0.3">
      <c r="A2485" s="33" t="s">
        <v>8669</v>
      </c>
      <c r="B2485" s="34">
        <v>45871.622314814813</v>
      </c>
      <c r="C2485" s="34" t="str">
        <f t="shared" si="51"/>
        <v>202508</v>
      </c>
      <c r="D2485" s="35" t="s">
        <v>1108</v>
      </c>
      <c r="E2485" s="36" t="s">
        <v>910</v>
      </c>
      <c r="F2485" s="36" t="s">
        <v>1108</v>
      </c>
      <c r="G2485" s="37" t="s">
        <v>8670</v>
      </c>
      <c r="H2485" s="36" t="s">
        <v>1048</v>
      </c>
      <c r="I2485" s="35" t="s">
        <v>8671</v>
      </c>
      <c r="J2485" s="36" t="s">
        <v>914</v>
      </c>
      <c r="K2485" s="33" t="s">
        <v>916</v>
      </c>
      <c r="L2485" s="35" t="s">
        <v>916</v>
      </c>
      <c r="M2485" s="36" t="s">
        <v>916</v>
      </c>
      <c r="N2485" s="45">
        <v>46022</v>
      </c>
      <c r="O2485" s="36" t="s">
        <v>25</v>
      </c>
      <c r="P2485" s="38">
        <v>150.37768518519999</v>
      </c>
      <c r="Q2485" s="36" t="s">
        <v>916</v>
      </c>
      <c r="R2485" s="35" t="s">
        <v>916</v>
      </c>
      <c r="S2485" s="35"/>
      <c r="T2485" s="35" t="s">
        <v>1701</v>
      </c>
      <c r="U2485" s="40">
        <v>45872</v>
      </c>
      <c r="V2485" s="41">
        <v>46153.533136574071</v>
      </c>
      <c r="W2485" s="40">
        <v>45871</v>
      </c>
      <c r="X2485" s="35" t="s">
        <v>916</v>
      </c>
      <c r="Y2485" s="35" t="s">
        <v>916</v>
      </c>
      <c r="Z2485" s="35" t="s">
        <v>916</v>
      </c>
      <c r="AA2485" s="38">
        <v>3609.0644444447998</v>
      </c>
      <c r="AB2485" s="42" t="s">
        <v>916</v>
      </c>
      <c r="AC2485" s="43" t="s">
        <v>916</v>
      </c>
      <c r="AD2485" s="43" t="s">
        <v>916</v>
      </c>
      <c r="AE2485" s="33" t="s">
        <v>3982</v>
      </c>
      <c r="AF2485" s="35" t="s">
        <v>916</v>
      </c>
      <c r="AG2485" s="44">
        <v>487262.93555555562</v>
      </c>
      <c r="AH2485" s="42" t="s">
        <v>916</v>
      </c>
      <c r="AI2485" s="32" t="e">
        <f>VLOOKUP(A2485,'4月明細'!B:B,1,0)</f>
        <v>#N/A</v>
      </c>
    </row>
    <row r="2486" spans="1:35" ht="19.95" customHeight="1" x14ac:dyDescent="0.3">
      <c r="A2486" s="33" t="s">
        <v>8672</v>
      </c>
      <c r="B2486" s="34">
        <v>45871.465428240743</v>
      </c>
      <c r="C2486" s="34" t="str">
        <f t="shared" si="51"/>
        <v>202508</v>
      </c>
      <c r="D2486" s="35" t="s">
        <v>951</v>
      </c>
      <c r="E2486" s="36" t="s">
        <v>910</v>
      </c>
      <c r="F2486" s="36" t="s">
        <v>1179</v>
      </c>
      <c r="G2486" s="37" t="s">
        <v>8673</v>
      </c>
      <c r="H2486" s="36" t="s">
        <v>1043</v>
      </c>
      <c r="I2486" s="35" t="s">
        <v>8674</v>
      </c>
      <c r="J2486" s="36" t="s">
        <v>914</v>
      </c>
      <c r="K2486" s="33" t="s">
        <v>916</v>
      </c>
      <c r="L2486" s="35" t="s">
        <v>916</v>
      </c>
      <c r="M2486" s="36" t="s">
        <v>916</v>
      </c>
      <c r="N2486" s="45">
        <v>46022</v>
      </c>
      <c r="O2486" s="36" t="s">
        <v>25</v>
      </c>
      <c r="P2486" s="38">
        <v>150.53457175930001</v>
      </c>
      <c r="Q2486" s="36" t="s">
        <v>916</v>
      </c>
      <c r="R2486" s="35" t="s">
        <v>916</v>
      </c>
      <c r="S2486" s="35"/>
      <c r="T2486" s="35" t="s">
        <v>1701</v>
      </c>
      <c r="U2486" s="40">
        <v>45872</v>
      </c>
      <c r="V2486" s="41">
        <v>46153.533136574071</v>
      </c>
      <c r="W2486" s="40">
        <v>45871</v>
      </c>
      <c r="X2486" s="35" t="s">
        <v>916</v>
      </c>
      <c r="Y2486" s="35" t="s">
        <v>916</v>
      </c>
      <c r="Z2486" s="35" t="s">
        <v>916</v>
      </c>
      <c r="AA2486" s="38">
        <v>3612.8297222232</v>
      </c>
      <c r="AB2486" s="42" t="s">
        <v>916</v>
      </c>
      <c r="AC2486" s="43" t="s">
        <v>916</v>
      </c>
      <c r="AD2486" s="43" t="s">
        <v>916</v>
      </c>
      <c r="AE2486" s="33" t="s">
        <v>3982</v>
      </c>
      <c r="AF2486" s="35" t="s">
        <v>916</v>
      </c>
      <c r="AG2486" s="44">
        <v>487259.17027777783</v>
      </c>
      <c r="AH2486" s="42" t="s">
        <v>916</v>
      </c>
      <c r="AI2486" s="32" t="e">
        <f>VLOOKUP(A2486,'4月明細'!B:B,1,0)</f>
        <v>#N/A</v>
      </c>
    </row>
    <row r="2487" spans="1:35" ht="19.95" customHeight="1" x14ac:dyDescent="0.3">
      <c r="A2487" s="33" t="s">
        <v>8675</v>
      </c>
      <c r="B2487" s="34">
        <v>45871.460185185184</v>
      </c>
      <c r="C2487" s="34" t="str">
        <f t="shared" si="51"/>
        <v>202508</v>
      </c>
      <c r="D2487" s="35" t="s">
        <v>7386</v>
      </c>
      <c r="E2487" s="36" t="s">
        <v>910</v>
      </c>
      <c r="F2487" s="36" t="s">
        <v>947</v>
      </c>
      <c r="G2487" s="37" t="s">
        <v>8676</v>
      </c>
      <c r="H2487" s="36" t="s">
        <v>3996</v>
      </c>
      <c r="I2487" s="35"/>
      <c r="J2487" s="36" t="s">
        <v>914</v>
      </c>
      <c r="K2487" s="33" t="s">
        <v>916</v>
      </c>
      <c r="L2487" s="35" t="s">
        <v>916</v>
      </c>
      <c r="M2487" s="36" t="s">
        <v>916</v>
      </c>
      <c r="N2487" s="45">
        <v>46022</v>
      </c>
      <c r="O2487" s="36" t="s">
        <v>25</v>
      </c>
      <c r="P2487" s="38">
        <v>150.5398148148</v>
      </c>
      <c r="Q2487" s="36" t="s">
        <v>916</v>
      </c>
      <c r="R2487" s="35" t="s">
        <v>916</v>
      </c>
      <c r="S2487" s="35"/>
      <c r="T2487" s="35" t="s">
        <v>1701</v>
      </c>
      <c r="U2487" s="40">
        <v>45872</v>
      </c>
      <c r="V2487" s="41">
        <v>46153.533136574071</v>
      </c>
      <c r="W2487" s="40">
        <v>45871</v>
      </c>
      <c r="X2487" s="35" t="s">
        <v>916</v>
      </c>
      <c r="Y2487" s="35" t="s">
        <v>916</v>
      </c>
      <c r="Z2487" s="35" t="s">
        <v>916</v>
      </c>
      <c r="AA2487" s="38">
        <v>3612.9555555552001</v>
      </c>
      <c r="AB2487" s="42" t="s">
        <v>916</v>
      </c>
      <c r="AC2487" s="43" t="s">
        <v>916</v>
      </c>
      <c r="AD2487" s="43" t="s">
        <v>916</v>
      </c>
      <c r="AE2487" s="33" t="s">
        <v>3982</v>
      </c>
      <c r="AF2487" s="35" t="s">
        <v>916</v>
      </c>
      <c r="AG2487" s="44">
        <v>487259.04444444447</v>
      </c>
      <c r="AH2487" s="42" t="s">
        <v>916</v>
      </c>
      <c r="AI2487" s="32" t="e">
        <f>VLOOKUP(A2487,'4月明細'!B:B,1,0)</f>
        <v>#N/A</v>
      </c>
    </row>
    <row r="2488" spans="1:35" ht="19.95" customHeight="1" x14ac:dyDescent="0.3">
      <c r="A2488" s="33" t="s">
        <v>8677</v>
      </c>
      <c r="B2488" s="34">
        <v>45871.459456018521</v>
      </c>
      <c r="C2488" s="34" t="str">
        <f t="shared" si="51"/>
        <v>202508</v>
      </c>
      <c r="D2488" s="35" t="s">
        <v>7386</v>
      </c>
      <c r="E2488" s="36" t="s">
        <v>910</v>
      </c>
      <c r="F2488" s="36" t="s">
        <v>947</v>
      </c>
      <c r="G2488" s="37" t="s">
        <v>8678</v>
      </c>
      <c r="H2488" s="36" t="s">
        <v>1048</v>
      </c>
      <c r="I2488" s="35" t="s">
        <v>8679</v>
      </c>
      <c r="J2488" s="36" t="s">
        <v>914</v>
      </c>
      <c r="K2488" s="33" t="s">
        <v>916</v>
      </c>
      <c r="L2488" s="35" t="s">
        <v>916</v>
      </c>
      <c r="M2488" s="36" t="s">
        <v>916</v>
      </c>
      <c r="N2488" s="45">
        <v>46022</v>
      </c>
      <c r="O2488" s="36" t="s">
        <v>25</v>
      </c>
      <c r="P2488" s="38">
        <v>150.54054398150001</v>
      </c>
      <c r="Q2488" s="36" t="s">
        <v>916</v>
      </c>
      <c r="R2488" s="35" t="s">
        <v>916</v>
      </c>
      <c r="S2488" s="35"/>
      <c r="T2488" s="35" t="s">
        <v>1701</v>
      </c>
      <c r="U2488" s="40">
        <v>45872</v>
      </c>
      <c r="V2488" s="41">
        <v>46153.533136574071</v>
      </c>
      <c r="W2488" s="40">
        <v>45871</v>
      </c>
      <c r="X2488" s="35" t="s">
        <v>916</v>
      </c>
      <c r="Y2488" s="35" t="s">
        <v>916</v>
      </c>
      <c r="Z2488" s="35" t="s">
        <v>916</v>
      </c>
      <c r="AA2488" s="38">
        <v>3612.973055556</v>
      </c>
      <c r="AB2488" s="42" t="s">
        <v>916</v>
      </c>
      <c r="AC2488" s="43" t="s">
        <v>916</v>
      </c>
      <c r="AD2488" s="43" t="s">
        <v>916</v>
      </c>
      <c r="AE2488" s="33" t="s">
        <v>3982</v>
      </c>
      <c r="AF2488" s="35" t="s">
        <v>916</v>
      </c>
      <c r="AG2488" s="44">
        <v>487259.0269444444</v>
      </c>
      <c r="AH2488" s="42" t="s">
        <v>916</v>
      </c>
      <c r="AI2488" s="32" t="e">
        <f>VLOOKUP(A2488,'4月明細'!B:B,1,0)</f>
        <v>#N/A</v>
      </c>
    </row>
    <row r="2489" spans="1:35" ht="19.95" customHeight="1" x14ac:dyDescent="0.3">
      <c r="A2489" s="33" t="s">
        <v>8680</v>
      </c>
      <c r="B2489" s="34">
        <v>45871.45275462963</v>
      </c>
      <c r="C2489" s="34" t="str">
        <f t="shared" si="51"/>
        <v>202508</v>
      </c>
      <c r="D2489" s="35" t="s">
        <v>6389</v>
      </c>
      <c r="E2489" s="36" t="s">
        <v>910</v>
      </c>
      <c r="F2489" s="36" t="s">
        <v>1207</v>
      </c>
      <c r="G2489" s="37" t="s">
        <v>8681</v>
      </c>
      <c r="H2489" s="36" t="s">
        <v>5106</v>
      </c>
      <c r="I2489" s="35"/>
      <c r="J2489" s="36" t="s">
        <v>929</v>
      </c>
      <c r="K2489" s="33" t="s">
        <v>916</v>
      </c>
      <c r="L2489" s="35" t="s">
        <v>916</v>
      </c>
      <c r="M2489" s="36" t="s">
        <v>916</v>
      </c>
      <c r="N2489" s="45">
        <v>46022</v>
      </c>
      <c r="O2489" s="36" t="s">
        <v>25</v>
      </c>
      <c r="P2489" s="38">
        <v>150.54724537039999</v>
      </c>
      <c r="Q2489" s="39" t="s">
        <v>8682</v>
      </c>
      <c r="R2489" s="35" t="s">
        <v>916</v>
      </c>
      <c r="S2489" s="35"/>
      <c r="T2489" s="35" t="s">
        <v>1701</v>
      </c>
      <c r="U2489" s="40">
        <v>45872</v>
      </c>
      <c r="V2489" s="41">
        <v>46153.533136574071</v>
      </c>
      <c r="W2489" s="40">
        <v>45871</v>
      </c>
      <c r="X2489" s="35" t="s">
        <v>916</v>
      </c>
      <c r="Y2489" s="35" t="s">
        <v>916</v>
      </c>
      <c r="Z2489" s="35" t="s">
        <v>916</v>
      </c>
      <c r="AA2489" s="38">
        <v>3613.1338888895998</v>
      </c>
      <c r="AB2489" s="42" t="s">
        <v>916</v>
      </c>
      <c r="AC2489" s="43" t="s">
        <v>916</v>
      </c>
      <c r="AD2489" s="43" t="s">
        <v>916</v>
      </c>
      <c r="AE2489" s="33" t="s">
        <v>3982</v>
      </c>
      <c r="AF2489" s="35" t="s">
        <v>916</v>
      </c>
      <c r="AG2489" s="44">
        <v>487258.86611111113</v>
      </c>
      <c r="AH2489" s="42" t="s">
        <v>916</v>
      </c>
      <c r="AI2489" s="32" t="e">
        <f>VLOOKUP(A2489,'4月明細'!B:B,1,0)</f>
        <v>#N/A</v>
      </c>
    </row>
    <row r="2490" spans="1:35" ht="19.95" customHeight="1" x14ac:dyDescent="0.3">
      <c r="A2490" s="33" t="s">
        <v>8683</v>
      </c>
      <c r="B2490" s="34">
        <v>45871.431030092594</v>
      </c>
      <c r="C2490" s="34" t="str">
        <f t="shared" si="51"/>
        <v>202508</v>
      </c>
      <c r="D2490" s="35" t="s">
        <v>6281</v>
      </c>
      <c r="E2490" s="36" t="s">
        <v>910</v>
      </c>
      <c r="F2490" s="36" t="s">
        <v>1260</v>
      </c>
      <c r="G2490" s="37" t="s">
        <v>8684</v>
      </c>
      <c r="H2490" s="36" t="s">
        <v>1079</v>
      </c>
      <c r="I2490" s="35"/>
      <c r="J2490" s="36" t="s">
        <v>914</v>
      </c>
      <c r="K2490" s="33" t="s">
        <v>916</v>
      </c>
      <c r="L2490" s="35" t="s">
        <v>916</v>
      </c>
      <c r="M2490" s="36" t="s">
        <v>916</v>
      </c>
      <c r="N2490" s="45">
        <v>46022</v>
      </c>
      <c r="O2490" s="36" t="s">
        <v>25</v>
      </c>
      <c r="P2490" s="38">
        <v>150.5689699074</v>
      </c>
      <c r="Q2490" s="36" t="s">
        <v>916</v>
      </c>
      <c r="R2490" s="35" t="s">
        <v>916</v>
      </c>
      <c r="S2490" s="35"/>
      <c r="T2490" s="35" t="s">
        <v>1701</v>
      </c>
      <c r="U2490" s="40">
        <v>45872</v>
      </c>
      <c r="V2490" s="41">
        <v>46153.533136574071</v>
      </c>
      <c r="W2490" s="40">
        <v>45871</v>
      </c>
      <c r="X2490" s="35" t="s">
        <v>916</v>
      </c>
      <c r="Y2490" s="35" t="s">
        <v>916</v>
      </c>
      <c r="Z2490" s="35" t="s">
        <v>916</v>
      </c>
      <c r="AA2490" s="38">
        <v>3613.6552777776001</v>
      </c>
      <c r="AB2490" s="42" t="s">
        <v>916</v>
      </c>
      <c r="AC2490" s="43" t="s">
        <v>916</v>
      </c>
      <c r="AD2490" s="43" t="s">
        <v>916</v>
      </c>
      <c r="AE2490" s="33" t="s">
        <v>3982</v>
      </c>
      <c r="AF2490" s="35" t="s">
        <v>916</v>
      </c>
      <c r="AG2490" s="44">
        <v>487258.34472222219</v>
      </c>
      <c r="AH2490" s="42" t="s">
        <v>916</v>
      </c>
      <c r="AI2490" s="32" t="e">
        <f>VLOOKUP(A2490,'4月明細'!B:B,1,0)</f>
        <v>#N/A</v>
      </c>
    </row>
    <row r="2491" spans="1:35" ht="19.95" customHeight="1" x14ac:dyDescent="0.3">
      <c r="A2491" s="33" t="s">
        <v>8685</v>
      </c>
      <c r="B2491" s="34">
        <v>45871.413472222222</v>
      </c>
      <c r="C2491" s="34" t="str">
        <f t="shared" si="51"/>
        <v>202508</v>
      </c>
      <c r="D2491" s="35" t="s">
        <v>8686</v>
      </c>
      <c r="E2491" s="36" t="s">
        <v>910</v>
      </c>
      <c r="F2491" s="36" t="s">
        <v>1672</v>
      </c>
      <c r="G2491" s="37" t="s">
        <v>1580</v>
      </c>
      <c r="H2491" s="36" t="s">
        <v>4029</v>
      </c>
      <c r="I2491" s="35"/>
      <c r="J2491" s="36" t="s">
        <v>914</v>
      </c>
      <c r="K2491" s="33" t="s">
        <v>916</v>
      </c>
      <c r="L2491" s="35" t="s">
        <v>916</v>
      </c>
      <c r="M2491" s="36" t="s">
        <v>916</v>
      </c>
      <c r="N2491" s="45">
        <v>46022</v>
      </c>
      <c r="O2491" s="36" t="s">
        <v>25</v>
      </c>
      <c r="P2491" s="38">
        <v>150.5865277778</v>
      </c>
      <c r="Q2491" s="36" t="s">
        <v>916</v>
      </c>
      <c r="R2491" s="35" t="s">
        <v>916</v>
      </c>
      <c r="S2491" s="35"/>
      <c r="T2491" s="35" t="s">
        <v>1701</v>
      </c>
      <c r="U2491" s="40">
        <v>45872</v>
      </c>
      <c r="V2491" s="41">
        <v>46153.533136574071</v>
      </c>
      <c r="W2491" s="40">
        <v>45871</v>
      </c>
      <c r="X2491" s="35" t="s">
        <v>916</v>
      </c>
      <c r="Y2491" s="35" t="s">
        <v>916</v>
      </c>
      <c r="Z2491" s="35" t="s">
        <v>916</v>
      </c>
      <c r="AA2491" s="38">
        <v>3614.0766666671998</v>
      </c>
      <c r="AB2491" s="42" t="s">
        <v>916</v>
      </c>
      <c r="AC2491" s="43" t="s">
        <v>916</v>
      </c>
      <c r="AD2491" s="43" t="s">
        <v>916</v>
      </c>
      <c r="AE2491" s="33" t="s">
        <v>3982</v>
      </c>
      <c r="AF2491" s="35" t="s">
        <v>916</v>
      </c>
      <c r="AG2491" s="44">
        <v>487257.92361111112</v>
      </c>
      <c r="AH2491" s="42" t="s">
        <v>916</v>
      </c>
      <c r="AI2491" s="32" t="e">
        <f>VLOOKUP(A2491,'4月明細'!B:B,1,0)</f>
        <v>#N/A</v>
      </c>
    </row>
    <row r="2492" spans="1:35" ht="19.95" customHeight="1" x14ac:dyDescent="0.3">
      <c r="A2492" s="33" t="s">
        <v>8687</v>
      </c>
      <c r="B2492" s="34">
        <v>45870.604699074072</v>
      </c>
      <c r="C2492" s="34" t="str">
        <f t="shared" si="51"/>
        <v>202508</v>
      </c>
      <c r="D2492" s="35" t="s">
        <v>996</v>
      </c>
      <c r="E2492" s="36" t="s">
        <v>910</v>
      </c>
      <c r="F2492" s="36" t="s">
        <v>1606</v>
      </c>
      <c r="G2492" s="37" t="s">
        <v>8466</v>
      </c>
      <c r="H2492" s="36" t="s">
        <v>7588</v>
      </c>
      <c r="I2492" s="35"/>
      <c r="J2492" s="36" t="s">
        <v>929</v>
      </c>
      <c r="K2492" s="33" t="s">
        <v>916</v>
      </c>
      <c r="L2492" s="35" t="s">
        <v>916</v>
      </c>
      <c r="M2492" s="36" t="s">
        <v>916</v>
      </c>
      <c r="N2492" s="45">
        <v>46022</v>
      </c>
      <c r="O2492" s="36" t="s">
        <v>25</v>
      </c>
      <c r="P2492" s="38">
        <v>151.39530092589999</v>
      </c>
      <c r="Q2492" s="36" t="s">
        <v>916</v>
      </c>
      <c r="R2492" s="35" t="s">
        <v>916</v>
      </c>
      <c r="S2492" s="35"/>
      <c r="T2492" s="35" t="s">
        <v>1701</v>
      </c>
      <c r="U2492" s="40">
        <v>45871</v>
      </c>
      <c r="V2492" s="41">
        <v>46153.533136574071</v>
      </c>
      <c r="W2492" s="40">
        <v>45870</v>
      </c>
      <c r="X2492" s="35" t="s">
        <v>916</v>
      </c>
      <c r="Y2492" s="35" t="s">
        <v>916</v>
      </c>
      <c r="Z2492" s="35" t="s">
        <v>916</v>
      </c>
      <c r="AA2492" s="38">
        <v>3633.4872222215999</v>
      </c>
      <c r="AB2492" s="42" t="s">
        <v>916</v>
      </c>
      <c r="AC2492" s="43" t="s">
        <v>916</v>
      </c>
      <c r="AD2492" s="43" t="s">
        <v>916</v>
      </c>
      <c r="AE2492" s="33" t="s">
        <v>3982</v>
      </c>
      <c r="AF2492" s="35" t="s">
        <v>916</v>
      </c>
      <c r="AG2492" s="44">
        <v>487238.51277777791</v>
      </c>
      <c r="AH2492" s="42" t="s">
        <v>916</v>
      </c>
      <c r="AI2492" s="32" t="e">
        <f>VLOOKUP(A2492,'4月明細'!B:B,1,0)</f>
        <v>#N/A</v>
      </c>
    </row>
    <row r="2493" spans="1:35" ht="19.95" customHeight="1" x14ac:dyDescent="0.3">
      <c r="A2493" s="33" t="s">
        <v>8688</v>
      </c>
      <c r="B2493" s="34">
        <v>45870.567303240743</v>
      </c>
      <c r="C2493" s="34" t="str">
        <f t="shared" si="51"/>
        <v>202508</v>
      </c>
      <c r="D2493" s="35" t="s">
        <v>7343</v>
      </c>
      <c r="E2493" s="36" t="s">
        <v>910</v>
      </c>
      <c r="F2493" s="36" t="s">
        <v>1531</v>
      </c>
      <c r="G2493" s="37" t="s">
        <v>8689</v>
      </c>
      <c r="H2493" s="36" t="s">
        <v>5083</v>
      </c>
      <c r="I2493" s="35" t="s">
        <v>8690</v>
      </c>
      <c r="J2493" s="36" t="s">
        <v>914</v>
      </c>
      <c r="K2493" s="33" t="s">
        <v>916</v>
      </c>
      <c r="L2493" s="35" t="s">
        <v>916</v>
      </c>
      <c r="M2493" s="36" t="s">
        <v>916</v>
      </c>
      <c r="N2493" s="45">
        <v>46022</v>
      </c>
      <c r="O2493" s="36" t="s">
        <v>25</v>
      </c>
      <c r="P2493" s="38">
        <v>151.4326967593</v>
      </c>
      <c r="Q2493" s="39" t="s">
        <v>8691</v>
      </c>
      <c r="R2493" s="35" t="s">
        <v>916</v>
      </c>
      <c r="S2493" s="35"/>
      <c r="T2493" s="35" t="s">
        <v>1701</v>
      </c>
      <c r="U2493" s="40">
        <v>45871</v>
      </c>
      <c r="V2493" s="41">
        <v>46153.533136574071</v>
      </c>
      <c r="W2493" s="40">
        <v>45870</v>
      </c>
      <c r="X2493" s="35" t="s">
        <v>916</v>
      </c>
      <c r="Y2493" s="35" t="s">
        <v>916</v>
      </c>
      <c r="Z2493" s="35" t="s">
        <v>916</v>
      </c>
      <c r="AA2493" s="38">
        <v>3634.3847222231998</v>
      </c>
      <c r="AB2493" s="42" t="s">
        <v>916</v>
      </c>
      <c r="AC2493" s="43" t="s">
        <v>916</v>
      </c>
      <c r="AD2493" s="43" t="s">
        <v>916</v>
      </c>
      <c r="AE2493" s="33" t="s">
        <v>3982</v>
      </c>
      <c r="AF2493" s="35" t="s">
        <v>916</v>
      </c>
      <c r="AG2493" s="44">
        <v>487237.61527777778</v>
      </c>
      <c r="AH2493" s="42" t="s">
        <v>916</v>
      </c>
      <c r="AI2493" s="32" t="e">
        <f>VLOOKUP(A2493,'4月明細'!B:B,1,0)</f>
        <v>#N/A</v>
      </c>
    </row>
    <row r="2494" spans="1:35" ht="19.95" customHeight="1" x14ac:dyDescent="0.3">
      <c r="A2494" s="33" t="s">
        <v>8692</v>
      </c>
      <c r="B2494" s="34">
        <v>45870.55431712963</v>
      </c>
      <c r="C2494" s="34" t="str">
        <f t="shared" si="51"/>
        <v>202508</v>
      </c>
      <c r="D2494" s="35" t="s">
        <v>996</v>
      </c>
      <c r="E2494" s="36" t="s">
        <v>910</v>
      </c>
      <c r="F2494" s="36" t="s">
        <v>1588</v>
      </c>
      <c r="G2494" s="37" t="s">
        <v>8693</v>
      </c>
      <c r="H2494" s="36" t="s">
        <v>7825</v>
      </c>
      <c r="I2494" s="35"/>
      <c r="J2494" s="36" t="s">
        <v>929</v>
      </c>
      <c r="K2494" s="33" t="s">
        <v>916</v>
      </c>
      <c r="L2494" s="35" t="s">
        <v>916</v>
      </c>
      <c r="M2494" s="36" t="s">
        <v>916</v>
      </c>
      <c r="N2494" s="45">
        <v>46022</v>
      </c>
      <c r="O2494" s="36" t="s">
        <v>25</v>
      </c>
      <c r="P2494" s="38">
        <v>151.44568287039999</v>
      </c>
      <c r="Q2494" s="36" t="s">
        <v>916</v>
      </c>
      <c r="R2494" s="35" t="s">
        <v>916</v>
      </c>
      <c r="S2494" s="35"/>
      <c r="T2494" s="35" t="s">
        <v>1701</v>
      </c>
      <c r="U2494" s="40">
        <v>45871</v>
      </c>
      <c r="V2494" s="41">
        <v>46153.533136574071</v>
      </c>
      <c r="W2494" s="40">
        <v>45870</v>
      </c>
      <c r="X2494" s="35" t="s">
        <v>916</v>
      </c>
      <c r="Y2494" s="35" t="s">
        <v>916</v>
      </c>
      <c r="Z2494" s="35" t="s">
        <v>916</v>
      </c>
      <c r="AA2494" s="38">
        <v>3634.6963888895998</v>
      </c>
      <c r="AB2494" s="42" t="s">
        <v>916</v>
      </c>
      <c r="AC2494" s="43" t="s">
        <v>916</v>
      </c>
      <c r="AD2494" s="43" t="s">
        <v>916</v>
      </c>
      <c r="AE2494" s="33" t="s">
        <v>3982</v>
      </c>
      <c r="AF2494" s="35" t="s">
        <v>916</v>
      </c>
      <c r="AG2494" s="44">
        <v>487237.30361111113</v>
      </c>
      <c r="AH2494" s="42" t="s">
        <v>916</v>
      </c>
      <c r="AI2494" s="32" t="e">
        <f>VLOOKUP(A2494,'4月明細'!B:B,1,0)</f>
        <v>#N/A</v>
      </c>
    </row>
    <row r="2495" spans="1:35" ht="19.95" customHeight="1" x14ac:dyDescent="0.3">
      <c r="A2495" s="33" t="s">
        <v>8694</v>
      </c>
      <c r="B2495" s="34">
        <v>45870.505462962959</v>
      </c>
      <c r="C2495" s="34" t="str">
        <f t="shared" si="51"/>
        <v>202508</v>
      </c>
      <c r="D2495" s="35" t="s">
        <v>6847</v>
      </c>
      <c r="E2495" s="36" t="s">
        <v>910</v>
      </c>
      <c r="F2495" s="36" t="s">
        <v>1469</v>
      </c>
      <c r="G2495" s="37" t="s">
        <v>8695</v>
      </c>
      <c r="H2495" s="36" t="s">
        <v>4162</v>
      </c>
      <c r="I2495" s="35" t="s">
        <v>8696</v>
      </c>
      <c r="J2495" s="36" t="s">
        <v>914</v>
      </c>
      <c r="K2495" s="33" t="s">
        <v>916</v>
      </c>
      <c r="L2495" s="35" t="s">
        <v>916</v>
      </c>
      <c r="M2495" s="36" t="s">
        <v>916</v>
      </c>
      <c r="N2495" s="45">
        <v>46022</v>
      </c>
      <c r="O2495" s="36" t="s">
        <v>25</v>
      </c>
      <c r="P2495" s="38">
        <v>151.49453703699999</v>
      </c>
      <c r="Q2495" s="39" t="s">
        <v>8697</v>
      </c>
      <c r="R2495" s="35" t="s">
        <v>916</v>
      </c>
      <c r="S2495" s="35"/>
      <c r="T2495" s="35" t="s">
        <v>1701</v>
      </c>
      <c r="U2495" s="40">
        <v>45871</v>
      </c>
      <c r="V2495" s="41">
        <v>46153.533136574071</v>
      </c>
      <c r="W2495" s="40">
        <v>45870</v>
      </c>
      <c r="X2495" s="35" t="s">
        <v>916</v>
      </c>
      <c r="Y2495" s="35" t="s">
        <v>916</v>
      </c>
      <c r="Z2495" s="35" t="s">
        <v>916</v>
      </c>
      <c r="AA2495" s="38">
        <v>3635.8688888880001</v>
      </c>
      <c r="AB2495" s="42" t="s">
        <v>916</v>
      </c>
      <c r="AC2495" s="43" t="s">
        <v>916</v>
      </c>
      <c r="AD2495" s="43" t="s">
        <v>916</v>
      </c>
      <c r="AE2495" s="33" t="s">
        <v>3982</v>
      </c>
      <c r="AF2495" s="35" t="s">
        <v>916</v>
      </c>
      <c r="AG2495" s="44">
        <v>487236.13111111108</v>
      </c>
      <c r="AH2495" s="42" t="s">
        <v>916</v>
      </c>
      <c r="AI2495" s="32" t="e">
        <f>VLOOKUP(A2495,'4月明細'!B:B,1,0)</f>
        <v>#N/A</v>
      </c>
    </row>
    <row r="2496" spans="1:35" ht="19.95" customHeight="1" x14ac:dyDescent="0.3">
      <c r="A2496" s="33" t="s">
        <v>8698</v>
      </c>
      <c r="B2496" s="34">
        <v>45870.002789351849</v>
      </c>
      <c r="C2496" s="34" t="str">
        <f t="shared" si="51"/>
        <v>202508</v>
      </c>
      <c r="D2496" s="35" t="s">
        <v>960</v>
      </c>
      <c r="E2496" s="36" t="s">
        <v>1112</v>
      </c>
      <c r="F2496" s="36" t="s">
        <v>1381</v>
      </c>
      <c r="G2496" s="37" t="s">
        <v>8699</v>
      </c>
      <c r="H2496" s="36" t="s">
        <v>5106</v>
      </c>
      <c r="I2496" s="35"/>
      <c r="J2496" s="36" t="s">
        <v>945</v>
      </c>
      <c r="K2496" s="33" t="s">
        <v>916</v>
      </c>
      <c r="L2496" s="35" t="s">
        <v>916</v>
      </c>
      <c r="M2496" s="36" t="s">
        <v>916</v>
      </c>
      <c r="N2496" s="45">
        <v>46022</v>
      </c>
      <c r="O2496" s="36" t="s">
        <v>25</v>
      </c>
      <c r="P2496" s="38">
        <v>151.99721064810001</v>
      </c>
      <c r="Q2496" s="36" t="s">
        <v>916</v>
      </c>
      <c r="R2496" s="35" t="s">
        <v>916</v>
      </c>
      <c r="S2496" s="35"/>
      <c r="T2496" s="35" t="s">
        <v>1701</v>
      </c>
      <c r="U2496" s="40">
        <v>45871</v>
      </c>
      <c r="V2496" s="41">
        <v>46153.533136574071</v>
      </c>
      <c r="W2496" s="40">
        <v>45870</v>
      </c>
      <c r="X2496" s="35" t="s">
        <v>916</v>
      </c>
      <c r="Y2496" s="35" t="s">
        <v>916</v>
      </c>
      <c r="Z2496" s="35" t="s">
        <v>916</v>
      </c>
      <c r="AA2496" s="38">
        <v>3647.9330555544002</v>
      </c>
      <c r="AB2496" s="42" t="s">
        <v>916</v>
      </c>
      <c r="AC2496" s="43" t="s">
        <v>916</v>
      </c>
      <c r="AD2496" s="43" t="s">
        <v>916</v>
      </c>
      <c r="AE2496" s="33" t="s">
        <v>3982</v>
      </c>
      <c r="AF2496" s="35" t="s">
        <v>916</v>
      </c>
      <c r="AG2496" s="44">
        <v>487224.06694444438</v>
      </c>
      <c r="AH2496" s="42" t="s">
        <v>916</v>
      </c>
      <c r="AI2496" s="32" t="e">
        <f>VLOOKUP(A2496,'4月明細'!B:B,1,0)</f>
        <v>#N/A</v>
      </c>
    </row>
    <row r="2497" spans="1:35" ht="19.95" customHeight="1" x14ac:dyDescent="0.3">
      <c r="A2497" s="33" t="s">
        <v>8700</v>
      </c>
      <c r="B2497" s="34">
        <v>45868.778298611112</v>
      </c>
      <c r="C2497" s="34" t="str">
        <f t="shared" si="51"/>
        <v>202507</v>
      </c>
      <c r="D2497" s="35" t="s">
        <v>5512</v>
      </c>
      <c r="E2497" s="36" t="s">
        <v>1199</v>
      </c>
      <c r="F2497" s="36" t="s">
        <v>1860</v>
      </c>
      <c r="G2497" s="37" t="s">
        <v>8701</v>
      </c>
      <c r="H2497" s="36" t="s">
        <v>1079</v>
      </c>
      <c r="I2497" s="35"/>
      <c r="J2497" s="36" t="s">
        <v>1058</v>
      </c>
      <c r="K2497" s="33" t="s">
        <v>916</v>
      </c>
      <c r="L2497" s="35" t="s">
        <v>916</v>
      </c>
      <c r="M2497" s="36" t="s">
        <v>916</v>
      </c>
      <c r="N2497" s="45">
        <v>46022</v>
      </c>
      <c r="O2497" s="36" t="s">
        <v>25</v>
      </c>
      <c r="P2497" s="38">
        <v>153.22170138889999</v>
      </c>
      <c r="Q2497" s="39" t="s">
        <v>8702</v>
      </c>
      <c r="R2497" s="35" t="s">
        <v>916</v>
      </c>
      <c r="S2497" s="35" t="s">
        <v>8703</v>
      </c>
      <c r="T2497" s="35" t="s">
        <v>1701</v>
      </c>
      <c r="U2497" s="40">
        <v>45869</v>
      </c>
      <c r="V2497" s="41">
        <v>46153.533136574071</v>
      </c>
      <c r="W2497" s="40">
        <v>45868</v>
      </c>
      <c r="X2497" s="35" t="s">
        <v>916</v>
      </c>
      <c r="Y2497" s="35" t="s">
        <v>916</v>
      </c>
      <c r="Z2497" s="35" t="s">
        <v>916</v>
      </c>
      <c r="AA2497" s="38">
        <v>3677.3208333336001</v>
      </c>
      <c r="AB2497" s="42" t="s">
        <v>916</v>
      </c>
      <c r="AC2497" s="43" t="s">
        <v>916</v>
      </c>
      <c r="AD2497" s="43" t="s">
        <v>916</v>
      </c>
      <c r="AE2497" s="33" t="s">
        <v>3982</v>
      </c>
      <c r="AF2497" s="35" t="s">
        <v>916</v>
      </c>
      <c r="AG2497" s="44">
        <v>487194.6791666667</v>
      </c>
      <c r="AH2497" s="42" t="s">
        <v>916</v>
      </c>
      <c r="AI2497" s="32" t="e">
        <f>VLOOKUP(A2497,'4月明細'!B:B,1,0)</f>
        <v>#N/A</v>
      </c>
    </row>
  </sheetData>
  <autoFilter ref="A1:AK2497" xr:uid="{0630042C-953E-49DD-AFB1-57E5FC379B41}"/>
  <phoneticPr fontId="7" type="noConversion"/>
  <hyperlinks>
    <hyperlink ref="I3" r:id="rId1" xr:uid="{4B554228-73B0-42EF-8640-AB38A06A80F9}"/>
    <hyperlink ref="I5" r:id="rId2" xr:uid="{65AFA5E1-666C-4494-9FE7-ECEC1300A663}"/>
    <hyperlink ref="I7" r:id="rId3" xr:uid="{D76BCAE3-4851-496F-B934-B9414654DC84}"/>
    <hyperlink ref="I8" r:id="rId4" xr:uid="{CF0DC365-5957-4845-ABDF-BD6B9CB1494D}"/>
    <hyperlink ref="I10" r:id="rId5" xr:uid="{751DDE23-3293-4DBD-931F-6F867304C82C}"/>
    <hyperlink ref="I11" r:id="rId6" xr:uid="{4AF93507-5340-47EB-BB4D-FBB843608CCB}"/>
    <hyperlink ref="I14" r:id="rId7" xr:uid="{E02B509C-ED24-4802-B981-64E8D1E88CFD}"/>
    <hyperlink ref="I15" r:id="rId8" xr:uid="{4DD1E63E-5C80-4670-B8DD-2C130717A3DA}"/>
    <hyperlink ref="I18" r:id="rId9" xr:uid="{270C02FF-EA05-4A59-A81D-8843A3FE7577}"/>
    <hyperlink ref="I20" r:id="rId10" xr:uid="{30AAA8D9-8E9F-42A5-B4D2-B622526C03E1}"/>
    <hyperlink ref="I22" r:id="rId11" xr:uid="{0DBBB1E4-B92E-43BC-AF75-F05825DAEE9D}"/>
    <hyperlink ref="I23" r:id="rId12" xr:uid="{F42EA616-8C2C-4FF9-91CC-9584BD11DBB9}"/>
    <hyperlink ref="I24" r:id="rId13" xr:uid="{A707F2AB-471C-4B11-B227-2B0234A22C83}"/>
    <hyperlink ref="I25" r:id="rId14" xr:uid="{5A17F71C-721C-4AE6-84A1-49BC881D364E}"/>
    <hyperlink ref="I28" r:id="rId15" xr:uid="{82D6FC21-CA66-4E99-A77E-2703C7037462}"/>
    <hyperlink ref="I29" r:id="rId16" xr:uid="{29A1B50F-2AC0-4C44-8CE6-2F0806506EFD}"/>
    <hyperlink ref="I33" r:id="rId17" xr:uid="{C4A6E708-5A13-4D55-B050-188EE5D18D75}"/>
    <hyperlink ref="I36" r:id="rId18" xr:uid="{2BA3A33C-C31D-4F51-BEAE-CFC5043F16D8}"/>
    <hyperlink ref="I37" r:id="rId19" xr:uid="{E45A2AFD-4D1D-4CA4-AE28-FF6111ABEDD1}"/>
    <hyperlink ref="I41" r:id="rId20" xr:uid="{5E5C5F13-C764-4CC5-80D5-669AD7F1261A}"/>
    <hyperlink ref="I42" r:id="rId21" xr:uid="{90C1150C-E90A-474A-873B-ED4F0031E9BB}"/>
    <hyperlink ref="I45" r:id="rId22" xr:uid="{670900F9-4E81-463F-8790-613745BB0AF8}"/>
    <hyperlink ref="I50" r:id="rId23" xr:uid="{FD8874A1-131B-4392-B426-F4CD584BD293}"/>
    <hyperlink ref="I51" r:id="rId24" xr:uid="{629FDD6E-D900-4E83-8B42-4017EE067D00}"/>
    <hyperlink ref="I52" r:id="rId25" xr:uid="{39180FB7-B900-40DE-85C3-9F7FD0BD8BCB}"/>
    <hyperlink ref="I54" r:id="rId26" xr:uid="{69D4BE61-6F67-4B05-90BD-8AA03FF478B9}"/>
    <hyperlink ref="I55" r:id="rId27" xr:uid="{C3D4DC65-C600-4940-B7A6-273248632F42}"/>
    <hyperlink ref="I56" r:id="rId28" xr:uid="{94BB91DC-2E0A-45C0-925D-A954E41E8A56}"/>
    <hyperlink ref="I61" r:id="rId29" xr:uid="{D8330B57-E14C-4BFF-A90B-6677850A4AF4}"/>
    <hyperlink ref="I64" r:id="rId30" xr:uid="{1151BD95-FA48-4EA7-BF74-5EE8481616B8}"/>
    <hyperlink ref="I70" r:id="rId31" xr:uid="{619AFC51-2B5C-422C-A9FB-2701468BF969}"/>
    <hyperlink ref="I73" r:id="rId32" xr:uid="{23B0AD4D-DECC-45FA-9C9B-085F441C4021}"/>
    <hyperlink ref="I74" r:id="rId33" xr:uid="{8639B1FB-C8F4-47AA-AD18-64EF911A05F3}"/>
    <hyperlink ref="I77" r:id="rId34" xr:uid="{BC4CBDDB-4E25-4955-B2A6-F16EAEDB981E}"/>
    <hyperlink ref="I78" r:id="rId35" xr:uid="{9A603C66-08EA-4B8E-A588-6EF0DDF2246F}"/>
    <hyperlink ref="I80" r:id="rId36" xr:uid="{A591816C-271E-4C72-9011-9A4592D7F826}"/>
    <hyperlink ref="I84" r:id="rId37" xr:uid="{EEB76A93-EF3F-4CE0-B2E2-82B195372837}"/>
    <hyperlink ref="I87" r:id="rId38" xr:uid="{1DE12E96-E3FE-4292-81B3-93C149E823BA}"/>
    <hyperlink ref="I89" r:id="rId39" xr:uid="{FAFE851F-AF52-4620-A46A-97E3AE935416}"/>
    <hyperlink ref="I90" r:id="rId40" xr:uid="{1341E7A1-AA0F-41A2-A648-5A0A3B374836}"/>
    <hyperlink ref="I93" r:id="rId41" xr:uid="{0D08F5AB-D384-4F0F-AA68-1AAF57B27A0F}"/>
    <hyperlink ref="I97" r:id="rId42" xr:uid="{0AF6077F-A19F-41F2-9B20-22A441BDA21C}"/>
    <hyperlink ref="I99" r:id="rId43" xr:uid="{C1EEF6BD-BC9B-46BF-BBF8-2894BD9349CC}"/>
    <hyperlink ref="I101" r:id="rId44" xr:uid="{C23CB7AA-7D5F-4046-9F82-6978EBBF37C9}"/>
    <hyperlink ref="I102" r:id="rId45" xr:uid="{70D175C2-C7BF-4873-8B9C-7A65B9771618}"/>
    <hyperlink ref="I103" r:id="rId46" xr:uid="{5538435C-DA11-431E-A4A1-07A85EC271F7}"/>
    <hyperlink ref="I104" r:id="rId47" xr:uid="{4EF1DD0C-06E0-4E24-9B49-71D8C8D4F252}"/>
    <hyperlink ref="I106" r:id="rId48" xr:uid="{77C824B3-502D-48F9-AF6E-4CFCCD48AC7C}"/>
    <hyperlink ref="I107" r:id="rId49" xr:uid="{948AA4C6-0044-4C8C-81F1-27E666830B08}"/>
    <hyperlink ref="I115" r:id="rId50" xr:uid="{1899A307-EF4F-41A7-B15F-F2F427DFA215}"/>
    <hyperlink ref="I117" r:id="rId51" xr:uid="{A0DEB174-A7D0-4FD1-9FC0-92FDC6508B0C}"/>
    <hyperlink ref="I118" r:id="rId52" xr:uid="{5BDAF74F-5C24-4327-8443-32EB5B9BEFFE}"/>
    <hyperlink ref="I119" r:id="rId53" xr:uid="{F6395B7D-976F-4489-AC89-DB3DE32370EB}"/>
    <hyperlink ref="I120" r:id="rId54" xr:uid="{CDFFF608-856C-446A-A80A-8E4FDBE719D1}"/>
    <hyperlink ref="I125" r:id="rId55" xr:uid="{0729FF8C-D7D8-43D3-84C8-A7434EAB00CF}"/>
    <hyperlink ref="I126" r:id="rId56" xr:uid="{889BA792-9999-4D7F-8C46-C6E44FF7DB0C}"/>
    <hyperlink ref="I129" r:id="rId57" xr:uid="{391F8799-B585-4A9A-99AF-E6CA00A4CE7D}"/>
    <hyperlink ref="I130" r:id="rId58" xr:uid="{AE3BF342-B261-4884-A966-F7DE31DE6B47}"/>
    <hyperlink ref="I132" r:id="rId59" xr:uid="{CC54F97E-7AFE-4599-A34A-6ACA52C18797}"/>
    <hyperlink ref="I133" r:id="rId60" xr:uid="{8EEB1BE0-CF03-4447-A92B-17ABCEE9A255}"/>
    <hyperlink ref="I136" r:id="rId61" xr:uid="{E806B621-D400-4DB9-A13C-63745B3F2E05}"/>
    <hyperlink ref="I137" r:id="rId62" xr:uid="{60D113A0-1D51-4A50-9492-3E45F9D5518E}"/>
    <hyperlink ref="I138" r:id="rId63" xr:uid="{17608FBF-3B3D-45B3-B042-A2B18E17318E}"/>
    <hyperlink ref="I140" r:id="rId64" xr:uid="{9ACF258C-F1F9-4CAC-A097-141DD6799831}"/>
    <hyperlink ref="I143" r:id="rId65" xr:uid="{2C2E2D06-166E-4EDD-9014-9C3B2C629156}"/>
    <hyperlink ref="I146" r:id="rId66" xr:uid="{A9382C87-234C-40A0-9BD5-ABAD4D3A4585}"/>
    <hyperlink ref="I148" r:id="rId67" xr:uid="{B1B08E8B-CECD-4EAE-A788-B87CC20F95F1}"/>
    <hyperlink ref="I149" r:id="rId68" xr:uid="{862B69A5-0C13-4970-AF2D-30E8BDF802C0}"/>
    <hyperlink ref="I150" r:id="rId69" xr:uid="{C5FC3B15-A40F-4BC7-8430-B1D7DEE3F5E8}"/>
    <hyperlink ref="I152" r:id="rId70" xr:uid="{88D0B191-F605-4CE0-86E3-DB0F9C27BC33}"/>
    <hyperlink ref="I156" r:id="rId71" xr:uid="{4D081F87-74EA-425F-81DF-374DB8C93251}"/>
    <hyperlink ref="I157" r:id="rId72" xr:uid="{7C45F07F-B7DF-4011-882E-B62481431977}"/>
    <hyperlink ref="I159" r:id="rId73" xr:uid="{5AFD0751-F55F-4333-9CB6-8FE0413F0B2C}"/>
    <hyperlink ref="I160" r:id="rId74" xr:uid="{CF58FC73-17F5-4E71-A312-BF23BB39FCC2}"/>
    <hyperlink ref="I162" r:id="rId75" xr:uid="{682532C8-93AF-4B66-A5F3-1C7A316F57FE}"/>
    <hyperlink ref="I163" r:id="rId76" xr:uid="{79641BF9-BE36-4914-8319-A9F69714E52D}"/>
    <hyperlink ref="I164" r:id="rId77" xr:uid="{0FC2B81B-E543-46BC-BEF5-AE7D7C1F7F67}"/>
    <hyperlink ref="I165" r:id="rId78" xr:uid="{061BFFFA-68C8-4F99-8E19-06DF9236EE04}"/>
    <hyperlink ref="I166" r:id="rId79" xr:uid="{D304068B-4D76-446D-B9C3-DF7D9BC0DAEE}"/>
    <hyperlink ref="I170" r:id="rId80" xr:uid="{E6F1904C-E839-4CEE-9102-78BBA69A5EBF}"/>
    <hyperlink ref="I171" r:id="rId81" xr:uid="{68C1B497-86AF-41D8-B6BA-C8D65CFF523B}"/>
    <hyperlink ref="I172" r:id="rId82" xr:uid="{D4395737-4F54-4C13-8185-0B0C6F06488A}"/>
    <hyperlink ref="I176" r:id="rId83" xr:uid="{2AC6792E-D7C5-40F6-B21C-6C8C55279099}"/>
    <hyperlink ref="I178" r:id="rId84" xr:uid="{5ABE0F23-18B0-475E-A678-0F5061DB8FA2}"/>
    <hyperlink ref="I179" r:id="rId85" xr:uid="{E8613B1C-2EA4-496E-A28C-7317964477EA}"/>
    <hyperlink ref="I180" r:id="rId86" xr:uid="{2AE7A8AA-1AC5-4ADE-B91D-BBFDA63BB57B}"/>
    <hyperlink ref="I181" r:id="rId87" xr:uid="{0B1379E2-8249-4CE2-B9BF-463A1DBC50E7}"/>
    <hyperlink ref="I185" r:id="rId88" xr:uid="{4A00C8D3-0487-4468-A95A-9C03DA485B90}"/>
    <hyperlink ref="I195" r:id="rId89" xr:uid="{877A264C-F5E8-48D8-83AE-C5EB1908D98C}"/>
    <hyperlink ref="I201" r:id="rId90" xr:uid="{7EAF7BC8-7EFF-48F6-AD13-100A4BAF8A46}"/>
    <hyperlink ref="I202" r:id="rId91" xr:uid="{C3BF1C5F-BE48-4164-A252-AC2ABF87F01E}"/>
    <hyperlink ref="I203" r:id="rId92" xr:uid="{F688856C-B916-489E-9208-D790BFE53D72}"/>
    <hyperlink ref="I204" r:id="rId93" xr:uid="{B5169378-3791-431F-AB78-C46A7159CFDA}"/>
    <hyperlink ref="I205" r:id="rId94" xr:uid="{57F14173-3CA1-43F2-91A3-470B126E712D}"/>
    <hyperlink ref="I208" r:id="rId95" xr:uid="{04EFE236-7DF8-4DFE-9BDE-3340BC2C006A}"/>
    <hyperlink ref="I212" r:id="rId96" xr:uid="{FAF7FC6E-F32F-4943-BB15-AB00820C8981}"/>
    <hyperlink ref="I215" r:id="rId97" xr:uid="{DC5912DB-B29F-4C68-A35D-C05376063682}"/>
    <hyperlink ref="I217" r:id="rId98" xr:uid="{70259348-C5B5-4673-BA00-294CE667784B}"/>
    <hyperlink ref="I218" r:id="rId99" xr:uid="{2B967760-F665-4232-87E6-61896626D6B1}"/>
    <hyperlink ref="I223" r:id="rId100" xr:uid="{4E37DE77-94DC-43D7-A1C8-E6846532246E}"/>
    <hyperlink ref="I225" r:id="rId101" xr:uid="{31E39BC2-3878-4149-9C1F-25D342271B9F}"/>
    <hyperlink ref="I231" r:id="rId102" xr:uid="{0D220B9F-40E1-44C0-9478-7CD9FD430BE3}"/>
    <hyperlink ref="I234" r:id="rId103" xr:uid="{DF7E8932-0FE5-4F4E-BF63-20ECD0128312}"/>
    <hyperlink ref="I239" r:id="rId104" xr:uid="{DDABDD30-E95A-41E5-BABB-F3DBB75F73BD}"/>
    <hyperlink ref="I245" r:id="rId105" xr:uid="{783F7E79-E733-4FBA-A10F-CCE065B6F5B2}"/>
    <hyperlink ref="I247" r:id="rId106" xr:uid="{3833687D-4EA3-4760-BD25-7FD910C4FC75}"/>
    <hyperlink ref="I248" r:id="rId107" xr:uid="{B592E560-A257-4CE6-85E5-617BB87295F9}"/>
    <hyperlink ref="I250" r:id="rId108" xr:uid="{FA411496-9FBE-45C8-BD14-E1D8813C2413}"/>
    <hyperlink ref="I256" r:id="rId109" xr:uid="{CA00C81F-4CA3-4151-9619-8CAEBED1412D}"/>
    <hyperlink ref="I257" r:id="rId110" xr:uid="{3A37B677-2202-42FA-82BC-1DD33AF5146C}"/>
    <hyperlink ref="I258" r:id="rId111" xr:uid="{D975BEC1-ED50-4B8E-A1FB-256C1DF7E745}"/>
    <hyperlink ref="I261" r:id="rId112" xr:uid="{2E55DF48-3759-4293-BDC2-56C0ED94A89E}"/>
    <hyperlink ref="I262" r:id="rId113" xr:uid="{0EA5E66E-48D5-436D-8D30-4FFE4CFC5899}"/>
    <hyperlink ref="I263" r:id="rId114" xr:uid="{C7ADE104-F7AA-4770-92B4-16A850195C40}"/>
    <hyperlink ref="I265" r:id="rId115" xr:uid="{348F0E9C-C114-463F-9536-5265BFBAE0F8}"/>
    <hyperlink ref="I266" r:id="rId116" xr:uid="{F1D27FBD-A18B-410C-9434-FCE0132BF736}"/>
    <hyperlink ref="I267" r:id="rId117" xr:uid="{D3F48271-5B2A-4A61-A46A-2314A2441498}"/>
    <hyperlink ref="I268" r:id="rId118" xr:uid="{29AA5929-F231-4DD6-BDFE-18A336B39982}"/>
    <hyperlink ref="I269" r:id="rId119" xr:uid="{29BAC294-F812-4D00-88FD-7EDF8BFF03F1}"/>
    <hyperlink ref="I270" r:id="rId120" xr:uid="{DC1AAEB7-5E77-40C0-958F-C4A3279FCCC3}"/>
    <hyperlink ref="I271" r:id="rId121" xr:uid="{3B94D1F7-7FAA-49CF-A18E-BAF18939EDDF}"/>
    <hyperlink ref="I279" r:id="rId122" xr:uid="{A88EC74E-4798-41AC-9282-98065DE107EB}"/>
    <hyperlink ref="I280" r:id="rId123" xr:uid="{3AA68AB5-8AFD-4041-99A6-E612473D2E45}"/>
    <hyperlink ref="I281" r:id="rId124" xr:uid="{9D9AF3E4-B551-46D1-93C2-473F7A8F89C3}"/>
    <hyperlink ref="I282" r:id="rId125" xr:uid="{65AA371F-864E-4DDA-B476-E9A45681C0A1}"/>
    <hyperlink ref="I283" r:id="rId126" xr:uid="{DA5D5484-1B9A-47C9-B845-4C28F845509D}"/>
    <hyperlink ref="I284" r:id="rId127" xr:uid="{C046B58E-86F0-47AB-8D14-877DDAB8A1D9}"/>
    <hyperlink ref="I285" r:id="rId128" xr:uid="{073CACB4-598C-4E82-855C-210D9FC9FF90}"/>
    <hyperlink ref="I286" r:id="rId129" xr:uid="{9076B112-6D7C-4470-BD74-2759ABB3B8CC}"/>
    <hyperlink ref="I287" r:id="rId130" xr:uid="{5C56A31D-AF24-46A0-A018-A7672B69EDC5}"/>
    <hyperlink ref="I288" r:id="rId131" xr:uid="{2E641AC9-E4F3-4D0F-82B6-A521C576E3FF}"/>
    <hyperlink ref="I290" r:id="rId132" xr:uid="{0E67C566-3826-4FE6-9004-F004704208BD}"/>
    <hyperlink ref="I292" r:id="rId133" xr:uid="{BD5E45C6-8802-47DA-959C-E2A42A924FA5}"/>
    <hyperlink ref="I295" r:id="rId134" xr:uid="{517749FC-09E9-4086-8748-8CD75B4F2ADC}"/>
    <hyperlink ref="I302" r:id="rId135" xr:uid="{ABFB44C6-DAA8-49DF-AAE7-7D777B1CCD13}"/>
    <hyperlink ref="I303" r:id="rId136" xr:uid="{C0AEEAF6-E0BE-4C8C-A404-E8141AF4260B}"/>
    <hyperlink ref="I319" r:id="rId137" xr:uid="{70C3A884-4E35-4603-91D0-8AC3B39F3C13}"/>
    <hyperlink ref="I321" r:id="rId138" xr:uid="{73ED072C-E0BF-4391-8062-F1EA9F389106}"/>
    <hyperlink ref="I323" r:id="rId139" xr:uid="{4887CA83-A948-4A9A-BB76-EB0DDEBDB0C3}"/>
    <hyperlink ref="I329" r:id="rId140" xr:uid="{5D4CC4C8-B636-46B9-A76A-1EB760288E6F}"/>
    <hyperlink ref="I331" r:id="rId141" xr:uid="{94D5ADDB-2605-451D-A1B3-62A84251ECA9}"/>
    <hyperlink ref="I332" r:id="rId142" xr:uid="{13F89558-30F9-48B6-838F-8620A5675D6E}"/>
    <hyperlink ref="I333" r:id="rId143" xr:uid="{D64A79C3-B776-4AB5-97CD-EDD409BB59E0}"/>
    <hyperlink ref="I334" r:id="rId144" xr:uid="{662B2CA1-C234-4453-BC7A-4046DD5D07ED}"/>
    <hyperlink ref="I340" r:id="rId145" xr:uid="{66D31567-6BF6-4B53-AD8F-22E7F72D5565}"/>
    <hyperlink ref="S341" r:id="rId146" xr:uid="{5D3B795E-9C49-459D-8B54-1ABAB7186EC6}"/>
    <hyperlink ref="I346" r:id="rId147" xr:uid="{7EB95F97-5D6F-4E42-99B4-653696E57745}"/>
    <hyperlink ref="I348" r:id="rId148" xr:uid="{4B1D984F-540D-4773-9BE0-C4CC8943D183}"/>
    <hyperlink ref="I349" r:id="rId149" xr:uid="{E6051C47-92CE-4550-B50C-F2DEC6F7947E}"/>
    <hyperlink ref="I350" r:id="rId150" xr:uid="{B641B4EF-3FB1-4C30-AB5A-FFCD937224CF}"/>
    <hyperlink ref="I351" r:id="rId151" xr:uid="{454AAD98-3E43-42F5-ADDE-8C1FD20A1DFF}"/>
    <hyperlink ref="I352" r:id="rId152" xr:uid="{40A816A1-E8F7-4585-B685-33D7667CA914}"/>
    <hyperlink ref="I353" r:id="rId153" xr:uid="{DE31A92A-D299-469D-80B2-DC76C227AC4A}"/>
    <hyperlink ref="S355" r:id="rId154" xr:uid="{A142A3FE-1E8F-4C59-8E44-B80AE9046EE9}"/>
    <hyperlink ref="S361" r:id="rId155" xr:uid="{ECAAD21A-BF0B-465F-AEFC-FB39C2526F81}"/>
    <hyperlink ref="S363" r:id="rId156" xr:uid="{80E09ACF-CE41-4AA9-9A13-37490B34FCB5}"/>
    <hyperlink ref="I370" r:id="rId157" xr:uid="{9EAFDC09-64E6-4E2D-B474-B7D923133A78}"/>
    <hyperlink ref="I376" r:id="rId158" xr:uid="{D714F831-683D-47E6-B6AF-97E2442DA52C}"/>
    <hyperlink ref="I385" r:id="rId159" xr:uid="{AA683811-6BC8-4A4B-B971-A77A722DF999}"/>
    <hyperlink ref="I388" r:id="rId160" xr:uid="{F5C52115-049A-42F5-A6C2-FC31F62A2413}"/>
    <hyperlink ref="S390" r:id="rId161" xr:uid="{D157CC6A-4ACE-4BD2-9121-BCBFFBAFE2B1}"/>
    <hyperlink ref="I391" r:id="rId162" xr:uid="{78E772EF-6053-4EDD-B91F-2497CE65A494}"/>
    <hyperlink ref="S391" r:id="rId163" xr:uid="{CA15F09E-E7D2-4FAC-9A52-1014E3B221CA}"/>
    <hyperlink ref="S392" r:id="rId164" xr:uid="{68070241-E37D-45C0-AC2F-0D00BA648412}"/>
    <hyperlink ref="S393" r:id="rId165" xr:uid="{1D3F2D9B-8821-4E63-84E9-6A300725FB7D}"/>
    <hyperlink ref="S396" r:id="rId166" xr:uid="{2C081437-F2B6-4F0E-AD34-532232214BBF}"/>
    <hyperlink ref="I398" r:id="rId167" xr:uid="{A437AB38-7A5C-4207-B8A6-D40A2E93205F}"/>
    <hyperlink ref="S398" r:id="rId168" xr:uid="{C35FA05D-3B24-450C-9C1F-AF9C5DA24954}"/>
    <hyperlink ref="S399" r:id="rId169" xr:uid="{C77612DD-EAEA-42D6-A899-11969315BF9F}"/>
    <hyperlink ref="I405" r:id="rId170" xr:uid="{9B5C819E-44B1-48EA-A9C7-EC25114A6A4A}"/>
    <hyperlink ref="S405" r:id="rId171" xr:uid="{996F9487-C4FC-4239-9DD4-61450CECEDB9}"/>
    <hyperlink ref="I407" r:id="rId172" xr:uid="{5CEC721F-E25E-4088-A57C-88AD7959AB4E}"/>
    <hyperlink ref="S410" r:id="rId173" xr:uid="{07C45ADA-97EB-4364-A741-B40B31D437B9}"/>
    <hyperlink ref="I411" r:id="rId174" xr:uid="{F88F2849-3720-4DC2-A6D3-98318DD24559}"/>
    <hyperlink ref="S412" r:id="rId175" xr:uid="{20B136F3-2D2A-4D9A-A927-A626446A1E11}"/>
    <hyperlink ref="S413" r:id="rId176" xr:uid="{B27123A3-FDA2-4A2B-B7C9-4EC0AA254F9B}"/>
    <hyperlink ref="I414" r:id="rId177" xr:uid="{8E41ACBE-1EE2-4997-BB87-FCD78F447F83}"/>
    <hyperlink ref="I415" r:id="rId178" xr:uid="{3C099B0F-C7D1-4CFF-93DB-8F8E0E0E6681}"/>
    <hyperlink ref="S416" r:id="rId179" xr:uid="{575ED6AC-31C1-4E6D-8621-F01D616AA728}"/>
    <hyperlink ref="S418" r:id="rId180" xr:uid="{53EE28CC-980E-4D10-A9BB-0AA9FECB08DC}"/>
    <hyperlink ref="S420" r:id="rId181" xr:uid="{9985FE17-AC2D-46F4-A7A9-6C821F3ABC6B}"/>
    <hyperlink ref="S421" r:id="rId182" xr:uid="{707EFA76-C977-4D94-9338-9AD4DB76F868}"/>
    <hyperlink ref="I424" r:id="rId183" xr:uid="{8F3D0633-89EE-40D2-8585-B0305381D102}"/>
    <hyperlink ref="S424" r:id="rId184" xr:uid="{BED705DE-B0BB-44F7-BDD0-56AE5583871F}"/>
    <hyperlink ref="I428" r:id="rId185" xr:uid="{C579BACE-1763-46D8-98E0-0D0F9624C63C}"/>
    <hyperlink ref="I430" r:id="rId186" xr:uid="{BA17D2BD-C100-4054-B5A8-4C116450C082}"/>
    <hyperlink ref="S432" r:id="rId187" xr:uid="{46143DC4-825F-4EAF-9D68-84A2677C53C4}"/>
    <hyperlink ref="I433" r:id="rId188" xr:uid="{1E102AAE-1416-4327-9194-A9783E93D365}"/>
    <hyperlink ref="S436" r:id="rId189" xr:uid="{886B1FEE-7390-4F8B-96FB-EC8BC7FB3016}"/>
    <hyperlink ref="I438" r:id="rId190" xr:uid="{D945F513-0236-4E0A-A868-824D80545219}"/>
    <hyperlink ref="S440" r:id="rId191" xr:uid="{5B686FD0-F8C1-4EA1-A88F-440E49E96639}"/>
    <hyperlink ref="S442" r:id="rId192" xr:uid="{04C01459-6805-4294-8BEF-822C2894DBB4}"/>
    <hyperlink ref="S445" r:id="rId193" xr:uid="{95E0BBDD-5A9E-4230-9CDB-45F3E662EB81}"/>
    <hyperlink ref="S447" r:id="rId194" xr:uid="{43258F01-03EE-4091-B326-F6255B8A4E3D}"/>
    <hyperlink ref="S448" r:id="rId195" xr:uid="{D873642B-A4BC-461B-94B0-51BCC65C37A5}"/>
    <hyperlink ref="S449" r:id="rId196" xr:uid="{79E6C0C6-F983-44BC-B14C-DCAC53597538}"/>
    <hyperlink ref="I451" r:id="rId197" xr:uid="{DC6182CD-5379-48F3-A3AB-349A91A1731F}"/>
    <hyperlink ref="I454" r:id="rId198" xr:uid="{B320AAFB-68A2-4DE2-ACC8-DB76E08A1FDF}"/>
    <hyperlink ref="I456" r:id="rId199" xr:uid="{82BE8D8E-794C-43C2-9B90-ABFDCBE8AC80}"/>
    <hyperlink ref="S456" r:id="rId200" xr:uid="{0129ADC9-214C-4C64-A0BC-1BA99B21CD0F}"/>
    <hyperlink ref="I457" r:id="rId201" xr:uid="{A7BAA2C3-B852-4D5C-8D29-7DC6FC7F1C51}"/>
    <hyperlink ref="I463" r:id="rId202" xr:uid="{6304F281-EEB9-4F83-9CA3-AA26EA62687F}"/>
    <hyperlink ref="S463" r:id="rId203" xr:uid="{E49ED4CD-B5F0-423D-BDE4-3640CED309C4}"/>
    <hyperlink ref="I466" r:id="rId204" xr:uid="{4ABD61E9-175A-47F2-9A4B-8CFACD5301DF}"/>
    <hyperlink ref="S468" r:id="rId205" xr:uid="{2CF0AB80-4989-4778-8CA9-3902B3814B61}"/>
    <hyperlink ref="I470" r:id="rId206" xr:uid="{A4EEEB32-7A7B-4C95-82C4-0B38667D8E0C}"/>
    <hyperlink ref="I474" r:id="rId207" xr:uid="{7F3E005F-0DDA-45C4-8B14-AD5487EA9FFC}"/>
    <hyperlink ref="S474" r:id="rId208" xr:uid="{5721FD28-30E2-49ED-B9BB-EFC4047E89C5}"/>
    <hyperlink ref="S475" r:id="rId209" xr:uid="{8B2E5455-FE0C-40EC-9049-AC7CAF110DC0}"/>
    <hyperlink ref="I479" r:id="rId210" xr:uid="{6B6BA3B0-4F13-4FC2-9859-C70E4D4F66C9}"/>
    <hyperlink ref="I480" r:id="rId211" xr:uid="{CC7E200F-5430-4337-8467-E85CD835A8C1}"/>
    <hyperlink ref="S480" r:id="rId212" xr:uid="{E6C2E30D-ACE0-4D30-8B3C-F57EB39CA89E}"/>
    <hyperlink ref="I481" r:id="rId213" xr:uid="{09E5CC64-1C9B-4250-B828-E97EFB721A77}"/>
    <hyperlink ref="I482" r:id="rId214" xr:uid="{4DFB8A03-49ED-430A-9B59-4E8E7D293E6B}"/>
    <hyperlink ref="I483" r:id="rId215" xr:uid="{63CC6E97-2D88-4C64-9C9E-17D9D6D783E4}"/>
    <hyperlink ref="I484" r:id="rId216" xr:uid="{6F9287E1-FC6B-453B-B580-5E35767DB221}"/>
    <hyperlink ref="I485" r:id="rId217" xr:uid="{F8170E39-EC48-45CD-8242-EBDBE07FC6E5}"/>
    <hyperlink ref="I486" r:id="rId218" xr:uid="{BC87B960-AE24-4E2B-83FD-A7EA21041A19}"/>
    <hyperlink ref="I487" r:id="rId219" xr:uid="{B5E82DD8-59A8-4B4E-ADB7-7D4FD19976EF}"/>
    <hyperlink ref="S487" r:id="rId220" xr:uid="{ED330011-C662-4434-B759-90AAC9EC10AB}"/>
    <hyperlink ref="S488" r:id="rId221" xr:uid="{07647E06-60FE-45A4-82DA-5BF9A16A609D}"/>
    <hyperlink ref="I490" r:id="rId222" xr:uid="{91B79D34-FAB7-4E5A-AAB6-7783FC5524C0}"/>
    <hyperlink ref="S490" r:id="rId223" xr:uid="{B70DEE7B-4AEA-45EC-B292-792ED169A9D8}"/>
    <hyperlink ref="I494" r:id="rId224" xr:uid="{95B7B407-ECE8-4C50-A196-4A0EBBEC643A}"/>
    <hyperlink ref="S494" r:id="rId225" xr:uid="{29EBE754-AC88-40E9-BE3D-E3549B3D5D27}"/>
    <hyperlink ref="I495" r:id="rId226" xr:uid="{2E094DFF-7CFB-4733-82A2-47A7AB3F06F4}"/>
    <hyperlink ref="S495" r:id="rId227" xr:uid="{B662E9D3-0280-4851-B9AD-58DE32CEC82A}"/>
    <hyperlink ref="S496" r:id="rId228" xr:uid="{821134C7-7D41-42CC-BABD-0662C2E51025}"/>
    <hyperlink ref="I497" r:id="rId229" xr:uid="{886C2288-4F36-4261-A565-CB64C3ADC0B5}"/>
    <hyperlink ref="I499" r:id="rId230" xr:uid="{54ACF474-0510-49DE-9624-D4BFD6C710C1}"/>
    <hyperlink ref="I502" r:id="rId231" xr:uid="{FE965E42-A613-4F4F-9435-8A6A7808FBD7}"/>
    <hyperlink ref="I503" r:id="rId232" xr:uid="{DA6ABA1E-79EF-4028-98D4-AD00537BC010}"/>
    <hyperlink ref="S503" r:id="rId233" xr:uid="{FCD5D631-0EB7-491C-9043-058B6A294CCA}"/>
    <hyperlink ref="I504" r:id="rId234" xr:uid="{12B54CEF-C095-493B-877B-6FC208E2F0A3}"/>
    <hyperlink ref="I507" r:id="rId235" xr:uid="{69D2DCEF-9327-40A5-8E31-0D1D92C4E980}"/>
    <hyperlink ref="S517" r:id="rId236" xr:uid="{8CCB48BD-3C94-495A-B8A9-C625D6308634}"/>
    <hyperlink ref="I523" r:id="rId237" xr:uid="{9B539DF0-0A52-4325-8D02-EE848EDA03DE}"/>
    <hyperlink ref="I526" r:id="rId238" xr:uid="{43161B99-B2E9-4C21-8737-8DA3FB91A7B4}"/>
    <hyperlink ref="I528" r:id="rId239" xr:uid="{78EE0F78-3E0C-48F1-B8C8-02475368BF61}"/>
    <hyperlink ref="I529" r:id="rId240" xr:uid="{F2AAB1C2-7EF4-49D3-95E8-583B1E1AF553}"/>
    <hyperlink ref="S529" r:id="rId241" xr:uid="{CEE685BC-8FB5-4560-82AF-1B4F8247C167}"/>
    <hyperlink ref="S530" r:id="rId242" xr:uid="{419672E0-7E42-42F4-B511-090AD1FC449B}"/>
    <hyperlink ref="I532" r:id="rId243" xr:uid="{91CF1F80-A64E-4F18-8659-65623A7C3520}"/>
    <hyperlink ref="S537" r:id="rId244" xr:uid="{41A5A1E8-08B8-47A3-9063-0AC1BA30B3C6}"/>
    <hyperlink ref="I541" r:id="rId245" xr:uid="{5BBCE447-7023-484A-8AC5-98D4E7050E32}"/>
    <hyperlink ref="S546" r:id="rId246" xr:uid="{BB7B8BED-9709-4193-A144-6CEF4F4E445F}"/>
    <hyperlink ref="I547" r:id="rId247" xr:uid="{9A80D807-7FC8-4E52-B0C1-0B8EFC87CA98}"/>
    <hyperlink ref="S547" r:id="rId248" xr:uid="{B1ACCA38-BFBC-45B7-81DE-500A27F9BF33}"/>
    <hyperlink ref="I548" r:id="rId249" xr:uid="{9A0AC137-C93D-458E-9CFD-0482CB5990EF}"/>
    <hyperlink ref="I549" r:id="rId250" xr:uid="{E089F724-5481-4149-B742-1D4E2FCBEB86}"/>
    <hyperlink ref="I553" r:id="rId251" xr:uid="{56D7B8E4-8C70-4FF4-9905-432C5241CE7E}"/>
    <hyperlink ref="I554" r:id="rId252" xr:uid="{534E1ABB-EF35-48CD-8961-8A397B5C9FC9}"/>
    <hyperlink ref="I555" r:id="rId253" xr:uid="{73697D28-EDA4-4BA2-8B5A-173B78F61F88}"/>
    <hyperlink ref="I556" r:id="rId254" xr:uid="{035F99C0-6D82-4414-B070-21F53EE85B4C}"/>
    <hyperlink ref="I557" r:id="rId255" xr:uid="{D82739DD-6E0E-4A11-97D3-D6EC4F1EBD38}"/>
    <hyperlink ref="I558" r:id="rId256" xr:uid="{7D5D113B-AB1B-4528-891C-1B3DF04A7049}"/>
    <hyperlink ref="I559" r:id="rId257" xr:uid="{4A3FA1CA-02FA-42B9-BAC8-5085D6C86E72}"/>
    <hyperlink ref="I560" r:id="rId258" xr:uid="{84F99E30-A6A8-433E-BFBE-E123FDE497FC}"/>
    <hyperlink ref="I561" r:id="rId259" xr:uid="{9F18C9CF-637D-4D17-A8B8-B91DF73758C3}"/>
    <hyperlink ref="I562" r:id="rId260" xr:uid="{1A01B9AD-F797-4C2D-A8AF-AC2C0DC05EC5}"/>
    <hyperlink ref="I563" r:id="rId261" xr:uid="{7BDE8674-3E89-4696-B35B-1B3B55035720}"/>
    <hyperlink ref="I564" r:id="rId262" xr:uid="{F5CCC92C-5D7C-4DEC-B282-7365317C5342}"/>
    <hyperlink ref="I565" r:id="rId263" xr:uid="{93531391-7933-4376-856F-271A85CE4C5D}"/>
    <hyperlink ref="I566" r:id="rId264" xr:uid="{07CAF9FE-207B-43F7-90B6-5A94EBD5E5D8}"/>
    <hyperlink ref="I567" r:id="rId265" xr:uid="{9F52547E-5CBB-4C0F-ACB4-B13E19FEA752}"/>
    <hyperlink ref="I569" r:id="rId266" xr:uid="{F9B2AB22-BF0C-43AB-8216-6B6D0880B150}"/>
    <hyperlink ref="I572" r:id="rId267" xr:uid="{F1F63B51-B395-4C9D-917C-D91E581595F9}"/>
    <hyperlink ref="I573" r:id="rId268" xr:uid="{4E83D127-2E8C-4D53-889C-721C73DCAB15}"/>
    <hyperlink ref="I574" r:id="rId269" xr:uid="{E96DD0AC-A310-4F33-ACE2-D71FE7E3206B}"/>
    <hyperlink ref="I575" r:id="rId270" xr:uid="{7B370805-BE54-47BE-8A89-377E318653FE}"/>
    <hyperlink ref="I576" r:id="rId271" xr:uid="{865B2D59-8D23-4ED6-9270-F68CE31647A9}"/>
    <hyperlink ref="I577" r:id="rId272" xr:uid="{7BD2CF03-19C3-4816-A64E-39EC549B708F}"/>
    <hyperlink ref="I578" r:id="rId273" xr:uid="{79250952-F831-4FE3-8B94-E054114CDAFA}"/>
    <hyperlink ref="I579" r:id="rId274" xr:uid="{0B6BB35C-5F7E-4D20-AF81-95F3940039EE}"/>
    <hyperlink ref="I581" r:id="rId275" xr:uid="{5296FBCD-266C-4772-9BBD-BE8964D5F6E6}"/>
    <hyperlink ref="I582" r:id="rId276" xr:uid="{31D69707-B8D9-4FAD-A5DB-B381DF3897D9}"/>
    <hyperlink ref="I583" r:id="rId277" xr:uid="{0F519420-8B85-4ADC-950B-71247DE016FB}"/>
    <hyperlink ref="I584" r:id="rId278" xr:uid="{503E7814-6FE8-4E3E-962A-5023F6992618}"/>
    <hyperlink ref="I585" r:id="rId279" xr:uid="{3686D81A-4190-4626-9199-B1B2484F9EF0}"/>
    <hyperlink ref="I586" r:id="rId280" xr:uid="{1E08C88C-343D-4FA4-A910-513BCF9BADB4}"/>
    <hyperlink ref="I587" r:id="rId281" xr:uid="{062118E6-ED08-47AC-9EBA-CFEC7FE044E2}"/>
    <hyperlink ref="I588" r:id="rId282" xr:uid="{224BFB04-B5AF-4A42-8B33-FFFACF3B18D3}"/>
    <hyperlink ref="I589" r:id="rId283" xr:uid="{4C6D21EC-27BF-40E4-95DB-F1ACFB95A201}"/>
    <hyperlink ref="I590" r:id="rId284" xr:uid="{127D46E6-258A-4BB3-BC04-FCB9890C1727}"/>
    <hyperlink ref="I591" r:id="rId285" xr:uid="{8D6A7D33-DD07-4FF2-A8C5-6A1DAEECC0CC}"/>
    <hyperlink ref="I592" r:id="rId286" xr:uid="{BF8E8D47-D089-468E-9E8F-01E1879458E7}"/>
    <hyperlink ref="S595" r:id="rId287" xr:uid="{E5378EB2-944F-410C-B54D-D59CED4F117A}"/>
    <hyperlink ref="I596" r:id="rId288" xr:uid="{EE058A4A-C385-4EED-9781-9E40DB1B3B06}"/>
    <hyperlink ref="I597" r:id="rId289" xr:uid="{A081574B-13B1-4D57-A508-B6E8BFB36E34}"/>
    <hyperlink ref="I598" r:id="rId290" xr:uid="{793C3091-7A00-47D8-8E9E-4B14D4B7427B}"/>
    <hyperlink ref="S599" r:id="rId291" xr:uid="{FA15D716-C01B-4C6C-B88E-8FE933A79ACE}"/>
    <hyperlink ref="I600" r:id="rId292" xr:uid="{63F17BD3-5402-4510-8385-AB849AC390C0}"/>
    <hyperlink ref="I601" r:id="rId293" xr:uid="{530E45AB-E800-4633-BF18-A9250FF153B0}"/>
    <hyperlink ref="I602" r:id="rId294" xr:uid="{3E933604-8F06-4D58-B88C-97DF7C1314D9}"/>
    <hyperlink ref="I603" r:id="rId295" xr:uid="{412AC686-6481-4562-A70B-584558615CD9}"/>
    <hyperlink ref="I604" r:id="rId296" xr:uid="{98891C08-21CC-46E9-80CE-5187B409175F}"/>
    <hyperlink ref="I605" r:id="rId297" xr:uid="{31002D81-1188-476C-B774-3D9F9CBAEAC6}"/>
    <hyperlink ref="I606" r:id="rId298" xr:uid="{22D25394-D0CF-4066-A069-6DEBD5251EF3}"/>
    <hyperlink ref="I607" r:id="rId299" xr:uid="{E41077A7-617C-4D05-978B-2EF81BC37673}"/>
    <hyperlink ref="I608" r:id="rId300" xr:uid="{0FFA7394-A0DE-413D-99E1-CBD724ADC7CE}"/>
    <hyperlink ref="I609" r:id="rId301" xr:uid="{94A95926-1174-4A86-A4EB-4AF70F205FAC}"/>
    <hyperlink ref="I611" r:id="rId302" xr:uid="{FDDFBDD6-670F-4ED3-8A54-A1F7B41FF569}"/>
    <hyperlink ref="I612" r:id="rId303" xr:uid="{27EE8057-B995-46D6-A404-5B92495A53D5}"/>
    <hyperlink ref="S613" r:id="rId304" xr:uid="{2DF936B4-59C8-4334-9259-585EFFA3FD75}"/>
    <hyperlink ref="I614" r:id="rId305" xr:uid="{46F15293-0DBD-4470-A88C-C44382A93DFF}"/>
    <hyperlink ref="I616" r:id="rId306" xr:uid="{DCB55734-D36B-4E0B-AAAC-8315246CFDED}"/>
    <hyperlink ref="S616" r:id="rId307" xr:uid="{76C282C8-7D9F-4F7C-ABC3-D3F91AD07EB3}"/>
    <hyperlink ref="I617" r:id="rId308" xr:uid="{67590F34-E7CD-4375-81E3-D8D9D5E07027}"/>
    <hyperlink ref="I618" r:id="rId309" xr:uid="{3ECDA932-4591-4664-AA1D-8C89350D612E}"/>
    <hyperlink ref="I619" r:id="rId310" xr:uid="{901DD7F9-C755-4264-BB89-6064AD733916}"/>
    <hyperlink ref="I620" r:id="rId311" xr:uid="{2668549A-96DD-4DEE-A787-C1C08B1DCDEC}"/>
    <hyperlink ref="I621" r:id="rId312" xr:uid="{494C881E-603B-46DA-850E-394B0316FFF3}"/>
    <hyperlink ref="I622" r:id="rId313" xr:uid="{78324957-2EB6-49AC-8299-E7E2C6535DA5}"/>
    <hyperlink ref="I623" r:id="rId314" xr:uid="{8D5A29EF-7454-420D-95D8-4F1F3B08257F}"/>
    <hyperlink ref="I624" r:id="rId315" xr:uid="{0A036ACA-70CA-449A-AF77-EFAA6759807D}"/>
    <hyperlink ref="I625" r:id="rId316" xr:uid="{E72995FD-A9FE-426E-AABF-45103E75DD3E}"/>
    <hyperlink ref="I626" r:id="rId317" xr:uid="{5D3AB7EB-64E3-4D88-9D4A-913F9CF8FC52}"/>
    <hyperlink ref="I627" r:id="rId318" xr:uid="{80F2F074-072B-46D7-851D-FF94824FD8E8}"/>
    <hyperlink ref="I628" r:id="rId319" xr:uid="{4F13C1BC-7852-4624-AA41-F8B78A12B62A}"/>
    <hyperlink ref="I629" r:id="rId320" xr:uid="{9175EDFF-2808-4D75-A374-80D0A3BD6FD2}"/>
    <hyperlink ref="I630" r:id="rId321" xr:uid="{84CDD562-5462-4106-B8FD-4406A0DECD7B}"/>
    <hyperlink ref="I631" r:id="rId322" xr:uid="{EB6AAF4B-2C97-4B35-B976-E35C0BA917AC}"/>
    <hyperlink ref="I632" r:id="rId323" xr:uid="{5450BA82-A375-4A85-B82B-D2C281C0F36A}"/>
    <hyperlink ref="I633" r:id="rId324" xr:uid="{710AA92D-59F4-4BA0-AAFB-A9B3289FDB61}"/>
    <hyperlink ref="I634" r:id="rId325" xr:uid="{92541C26-EBD5-42D0-9BE5-0EC78DE9B291}"/>
    <hyperlink ref="I635" r:id="rId326" xr:uid="{998E4469-8A43-4D31-944F-A00305E84826}"/>
    <hyperlink ref="I636" r:id="rId327" xr:uid="{B90DE14E-C7DF-44E8-B1BC-E229D2808E40}"/>
    <hyperlink ref="I637" r:id="rId328" xr:uid="{335265EF-4AF7-414F-AF4A-D3640889666C}"/>
    <hyperlink ref="I638" r:id="rId329" xr:uid="{5275832A-4EDB-4D98-98C4-DD60E6A88A64}"/>
    <hyperlink ref="S639" r:id="rId330" xr:uid="{7FB4286F-BF99-41C9-8F93-787C0FA469CB}"/>
    <hyperlink ref="I640" r:id="rId331" xr:uid="{B8E0F379-8F0E-4312-A235-322622576EE7}"/>
    <hyperlink ref="I641" r:id="rId332" xr:uid="{8684501E-9636-4AB0-8EA8-50A1F87F4CCC}"/>
    <hyperlink ref="I642" r:id="rId333" xr:uid="{6CB09C39-E76A-4921-BD60-A533FEB435D9}"/>
    <hyperlink ref="I643" r:id="rId334" xr:uid="{C8DDC832-A2E6-4814-A8C6-8C564F0B39F2}"/>
    <hyperlink ref="S644" r:id="rId335" xr:uid="{EA65C18D-EF14-4318-ACA5-1382794CD529}"/>
    <hyperlink ref="I645" r:id="rId336" xr:uid="{195265A1-8C19-4664-B7A6-23E257A4281D}"/>
    <hyperlink ref="I646" r:id="rId337" xr:uid="{2A3EC1FD-2E06-4965-9270-F703B8BB7140}"/>
    <hyperlink ref="I649" r:id="rId338" xr:uid="{6E7B512C-E697-4777-A65E-0A8BFC109F81}"/>
    <hyperlink ref="S649" r:id="rId339" xr:uid="{08C06F90-D810-4BD9-8E4D-F68985A78713}"/>
    <hyperlink ref="I650" r:id="rId340" xr:uid="{85A07FCB-07EE-42F9-B8D3-CBF373E3871B}"/>
    <hyperlink ref="I651" r:id="rId341" xr:uid="{A30EA9F3-C63F-47E9-894C-8CD97B4606FC}"/>
    <hyperlink ref="I652" r:id="rId342" xr:uid="{02917DB0-1F6C-4487-ABDF-AA8AE44753ED}"/>
    <hyperlink ref="I653" r:id="rId343" xr:uid="{775FEC3A-37F0-4891-84D2-289A407CA9E0}"/>
    <hyperlink ref="I654" r:id="rId344" xr:uid="{81604E51-9814-4E8C-8DC2-649743F89D3E}"/>
    <hyperlink ref="I655" r:id="rId345" xr:uid="{F7888052-AD62-4E4A-8062-351D3301BEAC}"/>
    <hyperlink ref="I656" r:id="rId346" xr:uid="{5CE06D94-71B0-4C6C-AF1E-4AD74D5EE189}"/>
    <hyperlink ref="I659" r:id="rId347" xr:uid="{16AC01C1-5652-4FFB-BD53-CEC48E3A77C2}"/>
    <hyperlink ref="S660" r:id="rId348" xr:uid="{A69113C5-9F84-4CF4-A191-CB85D4AFE619}"/>
    <hyperlink ref="I661" r:id="rId349" xr:uid="{D4BF7B1F-5DE9-48F4-8B09-70C608503D43}"/>
    <hyperlink ref="S661" r:id="rId350" xr:uid="{FDEA4AF5-5391-4DD4-B828-B7F8B140D31A}"/>
    <hyperlink ref="S663" r:id="rId351" xr:uid="{F8FFC073-D66C-47C0-B7A8-D2B078D150EE}"/>
    <hyperlink ref="S664" r:id="rId352" xr:uid="{72D0271A-5F06-4378-B78C-17DCF6839968}"/>
    <hyperlink ref="I665" r:id="rId353" xr:uid="{2BCDF510-8B9C-4140-8352-95E01B3CE11D}"/>
    <hyperlink ref="S665" r:id="rId354" xr:uid="{63009275-5B27-43ED-A361-089EB86FE16B}"/>
    <hyperlink ref="I666" r:id="rId355" xr:uid="{92628BCC-92C2-4E4A-BD32-D2EBB47FF9AF}"/>
    <hyperlink ref="S666" r:id="rId356" xr:uid="{17799144-D86F-42CE-AD4B-5C47815D630D}"/>
    <hyperlink ref="S667" r:id="rId357" xr:uid="{31E0B0C0-C434-4F8B-9A43-A3C663FEA685}"/>
    <hyperlink ref="I668" r:id="rId358" xr:uid="{21DE568D-2527-4E30-BDA3-1AD485091F50}"/>
    <hyperlink ref="S668" r:id="rId359" xr:uid="{1B913A77-A589-426E-BD43-561E563E599F}"/>
    <hyperlink ref="S669" r:id="rId360" xr:uid="{D175FEE0-0385-4483-AF54-1686940B9342}"/>
    <hyperlink ref="I670" r:id="rId361" xr:uid="{2F2FC52C-A7DC-4AB0-8387-134CC88273AB}"/>
    <hyperlink ref="S670" r:id="rId362" xr:uid="{96492C9D-838A-4264-A61E-26C9320CF246}"/>
    <hyperlink ref="S673" r:id="rId363" xr:uid="{FC8E8B04-0D72-4934-8C30-B9BCEB67C01B}"/>
    <hyperlink ref="I674" r:id="rId364" xr:uid="{11F02E9B-1809-4BAD-9051-8E91E0A0DE36}"/>
    <hyperlink ref="S676" r:id="rId365" xr:uid="{A4CF4089-14A2-4FF5-8558-976D775C5AA2}"/>
    <hyperlink ref="I678" r:id="rId366" xr:uid="{A2083AD2-2AEA-4A0C-A6A8-29F9BBF02FAB}"/>
    <hyperlink ref="S679" r:id="rId367" xr:uid="{85918201-5346-4756-B7A8-DF027AEDD534}"/>
    <hyperlink ref="I681" r:id="rId368" xr:uid="{F8BCB776-18F6-4F9C-BD00-D3C407C9A21F}"/>
    <hyperlink ref="S681" r:id="rId369" xr:uid="{F7880F80-EC9C-4743-A9E9-5B83FBECDC7E}"/>
    <hyperlink ref="S687" r:id="rId370" xr:uid="{D7E63B3F-1176-4DF2-8363-C21F6CEF7A5E}"/>
    <hyperlink ref="I688" r:id="rId371" xr:uid="{6FED1990-F060-400A-B196-A455D515C7DC}"/>
    <hyperlink ref="I689" r:id="rId372" xr:uid="{F0DEAB91-50DD-4E6B-902C-589DE2A0C81E}"/>
    <hyperlink ref="S689" r:id="rId373" xr:uid="{353F5C06-3104-46B7-BF4B-114690BF7775}"/>
    <hyperlink ref="I690" r:id="rId374" xr:uid="{660E318F-4685-43F8-91CC-798E57450186}"/>
    <hyperlink ref="S690" r:id="rId375" xr:uid="{871C1717-C1BE-4865-84DF-726275178DF4}"/>
    <hyperlink ref="I694" r:id="rId376" xr:uid="{44129988-874B-4327-957F-F813D02CB7F3}"/>
    <hyperlink ref="I695" r:id="rId377" xr:uid="{3821A2F8-F3BC-4AF9-BB27-FDB80F02D247}"/>
    <hyperlink ref="I699" r:id="rId378" xr:uid="{50D2D73B-1508-4DAA-8524-1233930134A2}"/>
    <hyperlink ref="I704" r:id="rId379" xr:uid="{8CD7A454-2310-4A4D-B2A0-F924B14D9DE9}"/>
    <hyperlink ref="S705" r:id="rId380" xr:uid="{8BEB6005-01A3-43A4-8664-06F4DB63922C}"/>
    <hyperlink ref="I706" r:id="rId381" xr:uid="{343AEB9C-ED92-4C8C-A80C-F2E20FC441CF}"/>
    <hyperlink ref="S706" r:id="rId382" xr:uid="{B9E563FB-5060-422B-98C6-73A7DD1A6A96}"/>
    <hyperlink ref="I708" r:id="rId383" xr:uid="{F7475C9C-8128-4927-A3CC-0138D16186B6}"/>
    <hyperlink ref="I709" r:id="rId384" xr:uid="{C2BB87D5-08A0-4DD2-AFE1-DA76D1C9A676}"/>
    <hyperlink ref="I710" r:id="rId385" xr:uid="{CBB07A0E-43E0-4C6D-A22D-CD40EED9DF11}"/>
    <hyperlink ref="S710" r:id="rId386" xr:uid="{E2AED4FD-E63D-4FAE-8655-88C4D5B641BA}"/>
    <hyperlink ref="I711" r:id="rId387" xr:uid="{C0A5C2B3-DDB0-416C-96FA-EA7871F9095A}"/>
    <hyperlink ref="I714" r:id="rId388" xr:uid="{67B86CEC-405B-40AC-87B6-3EF22AD40FD5}"/>
    <hyperlink ref="I720" r:id="rId389" xr:uid="{91C4877A-CDF3-4952-9399-D0B54FC981C2}"/>
    <hyperlink ref="I721" r:id="rId390" xr:uid="{7503388E-D9B4-46CD-94B0-9B868DC50AFB}"/>
    <hyperlink ref="I722" r:id="rId391" xr:uid="{A5D0FF7E-CC2E-446E-8962-E11C41AB65C3}"/>
    <hyperlink ref="I725" r:id="rId392" xr:uid="{2CECBD85-DA51-4A9E-9C6F-8B1224980AAA}"/>
    <hyperlink ref="S725" r:id="rId393" xr:uid="{7C51E91F-D091-4F14-9892-E3B8FDC35CC8}"/>
    <hyperlink ref="I730" r:id="rId394" xr:uid="{EB6FF460-571E-44FC-8B2E-F047A94A00A4}"/>
    <hyperlink ref="I733" r:id="rId395" xr:uid="{99DE178D-490C-4FCC-9235-7F83C0CD1778}"/>
    <hyperlink ref="I736" r:id="rId396" xr:uid="{2CB6158E-0999-4A81-9F83-AD86A0CB6F19}"/>
    <hyperlink ref="I737" r:id="rId397" xr:uid="{B60C62BD-BFB4-4FDA-809E-14D3657D1234}"/>
    <hyperlink ref="I738" r:id="rId398" xr:uid="{E19E4D49-D4FD-4419-A953-1F5014DAEB90}"/>
    <hyperlink ref="I742" r:id="rId399" xr:uid="{F2B9A362-C2BF-4B53-B58B-41EF6358F4CB}"/>
    <hyperlink ref="S742" r:id="rId400" xr:uid="{55AB368C-0C8B-4AD2-A968-DBB4B96FB9B8}"/>
    <hyperlink ref="I745" r:id="rId401" xr:uid="{A57B59AA-ABCF-4F65-99FD-40CC4BC6C544}"/>
    <hyperlink ref="I749" r:id="rId402" xr:uid="{8D66D7C2-C741-41EF-B5AB-9512F65C9E52}"/>
    <hyperlink ref="S749" r:id="rId403" xr:uid="{0B36A53B-91E7-43A4-A7D9-E95C1B00DBDD}"/>
    <hyperlink ref="I752" r:id="rId404" xr:uid="{EE901204-81C3-4E3B-96F8-B4CB748426FA}"/>
    <hyperlink ref="S752" r:id="rId405" xr:uid="{2FD0225F-FDF2-4B82-B6FC-C2ABB1841E74}"/>
    <hyperlink ref="I753" r:id="rId406" xr:uid="{8BF82E62-73E8-4BCB-8423-4A67ECB9B324}"/>
    <hyperlink ref="I754" r:id="rId407" xr:uid="{4ED28588-6451-44BC-8CD0-9EDCEFE9A1ED}"/>
    <hyperlink ref="S754" r:id="rId408" xr:uid="{B66DC999-C984-4071-BA8D-90400C19BC48}"/>
    <hyperlink ref="I761" r:id="rId409" xr:uid="{CD8EFDCA-5D61-444F-94B6-799FEF824F9E}"/>
    <hyperlink ref="I763" r:id="rId410" xr:uid="{2CE11C81-6B83-4CC9-8140-2DE177A4C7FE}"/>
    <hyperlink ref="I765" r:id="rId411" xr:uid="{9422E9BD-07FB-4AFE-A2EA-33439EF03D9C}"/>
    <hyperlink ref="I767" r:id="rId412" xr:uid="{B96B0C29-C467-45F2-A667-2FFCBC14D558}"/>
    <hyperlink ref="S767" r:id="rId413" xr:uid="{2626E07E-D17B-4CE7-A9BA-AB6FC558C0B0}"/>
    <hyperlink ref="I768" r:id="rId414" xr:uid="{E4B1B6EC-768C-47CB-8FAD-18C0ED6CD4AC}"/>
    <hyperlink ref="I769" r:id="rId415" xr:uid="{86915241-21B6-4CED-B3E5-900E6E96BF35}"/>
    <hyperlink ref="I770" r:id="rId416" xr:uid="{4ED0D073-BBA1-484D-B1C6-B4F9B02AB0CD}"/>
    <hyperlink ref="I771" r:id="rId417" xr:uid="{A87750C5-06BD-4612-B73E-974A12B855C7}"/>
    <hyperlink ref="I772" r:id="rId418" xr:uid="{4F95AF12-59F8-4209-BE77-F0547699383B}"/>
    <hyperlink ref="I773" r:id="rId419" xr:uid="{807C819C-7C4F-444D-A943-CED5AF8166C1}"/>
    <hyperlink ref="I774" r:id="rId420" xr:uid="{B4FCBC37-1BD9-4257-A0B6-C172B091C4AD}"/>
    <hyperlink ref="I779" r:id="rId421" xr:uid="{3F98854A-88F0-4BF1-9AD6-37A6807885A6}"/>
    <hyperlink ref="S780" r:id="rId422" xr:uid="{574A9B31-3F81-45C6-B827-895769FDBFA2}"/>
    <hyperlink ref="I781" r:id="rId423" xr:uid="{D945CA5F-0BE8-4827-99A6-346B5EA2D443}"/>
    <hyperlink ref="I782" r:id="rId424" xr:uid="{BC90CAD6-426B-4124-A467-8DE5C2017817}"/>
    <hyperlink ref="I783" r:id="rId425" xr:uid="{2159D0A2-0C50-44FE-906F-E4DC3C36A717}"/>
    <hyperlink ref="I784" r:id="rId426" xr:uid="{2611F2E3-9F38-45F9-90F8-B2E9C852ACC7}"/>
    <hyperlink ref="I785" r:id="rId427" xr:uid="{F8847701-8017-4095-9082-B774800FA813}"/>
    <hyperlink ref="I786" r:id="rId428" xr:uid="{3EA207A9-566C-4F28-AF07-9EA70A29F6A7}"/>
    <hyperlink ref="S786" r:id="rId429" xr:uid="{B280E5FC-AFB5-471A-8664-E05D7195C461}"/>
    <hyperlink ref="I787" r:id="rId430" xr:uid="{CB0682F7-B9E6-4A90-8E3F-21DD2F9DA31B}"/>
    <hyperlink ref="I790" r:id="rId431" xr:uid="{41B44BFF-9F0E-449B-8242-3A5AFCF5BB26}"/>
    <hyperlink ref="I794" r:id="rId432" xr:uid="{42725AB1-D035-4BB4-BA95-2AAA23D0CF26}"/>
    <hyperlink ref="I800" r:id="rId433" xr:uid="{45073C4B-B08F-42C7-A3CE-9687013A1DC9}"/>
    <hyperlink ref="I802" r:id="rId434" xr:uid="{FD9D0204-92B3-48B7-8705-B69F73315425}"/>
    <hyperlink ref="I803" r:id="rId435" xr:uid="{BE00BFC2-073B-4052-8371-DB4E165682EF}"/>
    <hyperlink ref="I804" r:id="rId436" xr:uid="{EAC6C482-BA79-4209-B929-F24EF664FFF0}"/>
    <hyperlink ref="S805" r:id="rId437" xr:uid="{4A85793F-608D-4593-BCDE-49AC9CEE1A88}"/>
    <hyperlink ref="S806" r:id="rId438" xr:uid="{6F4BFC17-E90C-4EC6-B597-C5596081169D}"/>
    <hyperlink ref="S808" r:id="rId439" xr:uid="{EA6F85F7-0F7A-411E-B2A2-E89015DC949D}"/>
    <hyperlink ref="I819" r:id="rId440" xr:uid="{5AA0C168-7892-4E9D-A75F-07562DA6158C}"/>
    <hyperlink ref="I820" r:id="rId441" xr:uid="{05CE5630-512C-4AAE-8DDC-37454626AEB3}"/>
    <hyperlink ref="I821" r:id="rId442" xr:uid="{EE65C191-EF70-490E-963C-1EDC03DA0CDC}"/>
    <hyperlink ref="I822" r:id="rId443" xr:uid="{647FC4D0-B58C-491F-ABC6-D42E9A29C32F}"/>
    <hyperlink ref="S822" r:id="rId444" xr:uid="{33EE5D27-1E18-46F8-85D1-FB24C96ED0E9}"/>
    <hyperlink ref="I831" r:id="rId445" xr:uid="{2B286B07-0730-413F-A5F1-422E98A66A2B}"/>
    <hyperlink ref="I833" r:id="rId446" xr:uid="{E4098CB6-895B-4E02-B077-8551E7BEF1B7}"/>
    <hyperlink ref="I834" r:id="rId447" xr:uid="{05AFD4E6-9521-406B-B91A-D7C87CA298D8}"/>
    <hyperlink ref="S834" r:id="rId448" xr:uid="{82270F59-CEE7-4BF0-BF3E-EFD627BEF38E}"/>
    <hyperlink ref="S837" r:id="rId449" xr:uid="{52CB653C-6693-41BB-A713-31B274870CFC}"/>
    <hyperlink ref="S842" r:id="rId450" xr:uid="{5920811E-89D8-4C3E-9E5A-797158201082}"/>
    <hyperlink ref="S843" r:id="rId451" xr:uid="{CFF5DFBE-2603-476E-908C-66AF56309744}"/>
    <hyperlink ref="I845" r:id="rId452" xr:uid="{BB7530A2-AE18-4F69-84CD-CB8F091D91D5}"/>
    <hyperlink ref="S847" r:id="rId453" xr:uid="{ACBAA880-284B-4B28-85CE-9CAAA06E3922}"/>
    <hyperlink ref="I848" r:id="rId454" xr:uid="{D716D5FC-5859-4B94-A7E4-0E79778119D4}"/>
    <hyperlink ref="I850" r:id="rId455" xr:uid="{B2C904D2-F16E-4498-8980-8C52C20930DA}"/>
    <hyperlink ref="I851" r:id="rId456" xr:uid="{EDCCD572-6C3E-4704-8014-01FA0A2E3919}"/>
    <hyperlink ref="I852" r:id="rId457" xr:uid="{A5DE5372-EC8E-4A77-8B26-445E9C5A4DF9}"/>
    <hyperlink ref="I853" r:id="rId458" xr:uid="{2B257E9E-3F86-4630-A64F-9FAA1721D432}"/>
    <hyperlink ref="I854" r:id="rId459" xr:uid="{1A03088A-8D0E-41E0-95DC-2F01A711DEC6}"/>
    <hyperlink ref="I855" r:id="rId460" xr:uid="{6BE2A907-41FB-4313-AE69-D72C8854A2C1}"/>
    <hyperlink ref="S855" r:id="rId461" xr:uid="{C7F3A0A4-C6A2-4B15-9060-855CF056D0F2}"/>
    <hyperlink ref="I856" r:id="rId462" xr:uid="{6D16984A-DA0D-41D5-A39F-8442916317F0}"/>
    <hyperlink ref="S856" r:id="rId463" xr:uid="{664F517B-4DA5-46DE-AD80-3FD5B4B22CB9}"/>
    <hyperlink ref="I857" r:id="rId464" xr:uid="{D59A9535-EBAC-4B04-8E7A-BA2377375124}"/>
    <hyperlink ref="I858" r:id="rId465" xr:uid="{AF98086F-F6C1-4750-928B-1B759BC12731}"/>
    <hyperlink ref="S858" r:id="rId466" xr:uid="{026336D1-6491-4877-A050-183249BD2CAC}"/>
    <hyperlink ref="I859" r:id="rId467" xr:uid="{519F86D3-9EFE-4757-9031-988EAE332A2F}"/>
    <hyperlink ref="I860" r:id="rId468" xr:uid="{181C0943-2CC2-4693-9A7C-60314597B22D}"/>
    <hyperlink ref="S860" r:id="rId469" xr:uid="{C63BC4AE-38D1-4E3C-B5DF-C83BEB68BD2E}"/>
    <hyperlink ref="S863" r:id="rId470" xr:uid="{39E02C62-1E77-451E-ADFC-5626AF681FEB}"/>
    <hyperlink ref="I864" r:id="rId471" xr:uid="{AAC7DB64-DFAD-4F47-9E85-376F40185C39}"/>
    <hyperlink ref="S864" r:id="rId472" xr:uid="{D8ABE9C7-C1A5-410B-B6D7-1687B8C1D1DB}"/>
    <hyperlink ref="I865" r:id="rId473" xr:uid="{6BA9CD4A-8050-4D7B-8F72-E168FC1E45D0}"/>
    <hyperlink ref="S865" r:id="rId474" xr:uid="{848BADD0-F8DD-4455-B669-4B8108F69EE4}"/>
    <hyperlink ref="S866" r:id="rId475" xr:uid="{7CC97C45-D5DC-4C1E-ADF1-C4F109C49741}"/>
    <hyperlink ref="S867" r:id="rId476" xr:uid="{B535C420-2933-4EDB-B0F7-A64B970C7534}"/>
    <hyperlink ref="S869" r:id="rId477" xr:uid="{11FAC142-5F52-459F-9730-41F73A933E68}"/>
    <hyperlink ref="I870" r:id="rId478" xr:uid="{092F0484-7151-4476-817D-15199BFCEB7A}"/>
    <hyperlink ref="S870" r:id="rId479" xr:uid="{DB996279-96EE-4639-ABBA-914894CC2591}"/>
    <hyperlink ref="I873" r:id="rId480" xr:uid="{65F8B66E-6C88-431A-B83D-C9F44F20B80F}"/>
    <hyperlink ref="S873" r:id="rId481" xr:uid="{F0464026-396C-4F07-9133-886FFC5348C6}"/>
    <hyperlink ref="I877" r:id="rId482" xr:uid="{1C3544B3-A80D-4810-A5C2-BDF06F35B4EA}"/>
    <hyperlink ref="S877" r:id="rId483" xr:uid="{5CF4B477-46BB-4007-A703-9432189E68F0}"/>
    <hyperlink ref="S880" r:id="rId484" xr:uid="{FFC4B4C8-D736-4015-A023-1F988CBFDD0C}"/>
    <hyperlink ref="S883" r:id="rId485" xr:uid="{CBE518DD-EC75-490B-B881-36D9EC288845}"/>
    <hyperlink ref="S887" r:id="rId486" xr:uid="{3C432C3E-7E07-466C-81D0-AC8EE0B6C333}"/>
    <hyperlink ref="I889" r:id="rId487" xr:uid="{C948CE19-303D-4F9F-85F2-2C22A594780F}"/>
    <hyperlink ref="S889" r:id="rId488" xr:uid="{A5CEA020-A7BD-4934-A721-835263484EB4}"/>
    <hyperlink ref="I893" r:id="rId489" xr:uid="{30782A98-BD5D-40CE-A94A-33B75BAFFEAA}"/>
    <hyperlink ref="S893" r:id="rId490" xr:uid="{FBF84E87-CA0B-4DD8-9825-15DF2CE49D17}"/>
    <hyperlink ref="I894" r:id="rId491" xr:uid="{3B0328C7-C191-4BDB-8A44-203815786637}"/>
    <hyperlink ref="I895" r:id="rId492" xr:uid="{8CD2D08A-10CE-4309-8488-24329320AE84}"/>
    <hyperlink ref="I896" r:id="rId493" xr:uid="{912DC39B-5A91-4AB9-B1E9-40BF551BF6F0}"/>
    <hyperlink ref="S896" r:id="rId494" xr:uid="{35D8D690-09D3-47AD-9D27-EB8A0BB332B5}"/>
    <hyperlink ref="I897" r:id="rId495" xr:uid="{02A002E5-27B4-4DEC-A3A2-D1513DE8A937}"/>
    <hyperlink ref="S899" r:id="rId496" xr:uid="{DCE3A4B6-4994-4432-8FBD-87EF22E58FAE}"/>
    <hyperlink ref="S900" r:id="rId497" xr:uid="{829D03A9-25C8-494B-856D-143EF00F4132}"/>
    <hyperlink ref="I901" r:id="rId498" xr:uid="{D5185DBF-9A12-4E63-910B-8FE4730AA293}"/>
    <hyperlink ref="I902" r:id="rId499" xr:uid="{2DB8D98B-5F02-4ACB-8DB5-A88620D01C37}"/>
    <hyperlink ref="I903" r:id="rId500" xr:uid="{B6D50C35-E83B-4567-B0DD-2BE52AE1A8B3}"/>
    <hyperlink ref="I904" r:id="rId501" xr:uid="{3D5E3B8A-8979-4289-BBF4-0841F57E5A2E}"/>
    <hyperlink ref="S905" r:id="rId502" xr:uid="{276093F0-C840-40E1-9583-A25893E59B78}"/>
    <hyperlink ref="I906" r:id="rId503" xr:uid="{0C831391-1294-42C4-B6CE-74E97A8497C5}"/>
    <hyperlink ref="S906" r:id="rId504" xr:uid="{6ECB76BF-5961-4E93-9AAD-F60E12D6DD43}"/>
    <hyperlink ref="S907" r:id="rId505" xr:uid="{5A1F052C-3BEB-4398-B3AA-97C77FBC46DD}"/>
    <hyperlink ref="I908" r:id="rId506" xr:uid="{334E8394-3288-489C-B237-CF2C3C8A04EB}"/>
    <hyperlink ref="S908" r:id="rId507" xr:uid="{7A0E4BCC-297B-49AF-A282-75624565EA77}"/>
    <hyperlink ref="S912" r:id="rId508" xr:uid="{885A64AB-463A-411C-8F58-2AF8164AF6F4}"/>
    <hyperlink ref="I914" r:id="rId509" xr:uid="{58FF6586-615A-47C5-A329-C3FF04A0B343}"/>
    <hyperlink ref="I915" r:id="rId510" xr:uid="{9CA65FEE-C66B-497D-8F5B-CF8210E6C08E}"/>
    <hyperlink ref="S915" r:id="rId511" xr:uid="{03EF712A-8507-4BDD-BC6B-9C21A26DA0B1}"/>
    <hyperlink ref="I916" r:id="rId512" xr:uid="{DAF8280F-C5F0-4A85-A0FB-1D2446CD26D7}"/>
    <hyperlink ref="I917" r:id="rId513" xr:uid="{44283E15-BCD6-49C6-8111-1A9114FDC727}"/>
    <hyperlink ref="S917" r:id="rId514" xr:uid="{588201FC-82A4-4740-8F70-841D172DD431}"/>
    <hyperlink ref="I918" r:id="rId515" xr:uid="{22A62584-7076-45CE-896D-2B09028F4F90}"/>
    <hyperlink ref="S918" r:id="rId516" xr:uid="{85636D0D-27A8-4985-931A-239166794163}"/>
    <hyperlink ref="I919" r:id="rId517" xr:uid="{70740CDF-B319-4E10-9199-21EB97B60529}"/>
    <hyperlink ref="I920" r:id="rId518" xr:uid="{AAAA5C52-C38C-4036-B51B-FD851D295591}"/>
    <hyperlink ref="S920" r:id="rId519" xr:uid="{5103394E-E0C0-4612-B72F-C02FD44A7917}"/>
    <hyperlink ref="I921" r:id="rId520" xr:uid="{DED63AC6-EBA6-4D67-99CF-4899FC9191E8}"/>
    <hyperlink ref="S921" r:id="rId521" xr:uid="{C3B4B2F5-D17A-4049-A210-CF54588806CB}"/>
    <hyperlink ref="S922" r:id="rId522" xr:uid="{7DA33A71-931E-450E-B832-24FD686B1BAC}"/>
    <hyperlink ref="S923" r:id="rId523" xr:uid="{50B9C2F7-4617-4F22-8D12-E1260DF59E1A}"/>
    <hyperlink ref="S924" r:id="rId524" xr:uid="{2FBCEEF2-BCDD-4D74-873E-BBB0368AA708}"/>
    <hyperlink ref="I929" r:id="rId525" xr:uid="{AE463D93-98F8-4995-B961-6C4C693D247C}"/>
    <hyperlink ref="S930" r:id="rId526" xr:uid="{1BB4CA0C-923C-4712-8882-416BB3F29E71}"/>
    <hyperlink ref="I931" r:id="rId527" xr:uid="{55F591C7-4566-436E-9C50-073A7DA83F1D}"/>
    <hyperlink ref="I932" r:id="rId528" xr:uid="{0F834E50-0B70-44FA-B5B8-A6B0A23E07D6}"/>
    <hyperlink ref="I933" r:id="rId529" xr:uid="{5113C25E-63E5-42B9-8E7F-EE63D09EA59F}"/>
    <hyperlink ref="S933" r:id="rId530" xr:uid="{033A3E2D-21BC-4B05-AA68-34E1DC534457}"/>
    <hyperlink ref="I934" r:id="rId531" xr:uid="{4D5FDD72-2C0E-4573-B21B-E5A83051999D}"/>
    <hyperlink ref="S934" r:id="rId532" xr:uid="{0BC313BC-0ABE-47BA-9073-094C9E0E53D2}"/>
    <hyperlink ref="S935" r:id="rId533" xr:uid="{20D96176-958B-4159-AEB0-74C508554C6C}"/>
    <hyperlink ref="I939" r:id="rId534" xr:uid="{E5191895-90EA-4A47-9B2E-7D0A35A0867D}"/>
    <hyperlink ref="S939" r:id="rId535" xr:uid="{B1442648-815D-48ED-B8FC-A0BD4938EA2C}"/>
    <hyperlink ref="I942" r:id="rId536" xr:uid="{9219138C-4524-4D75-B28A-685B5D6F0DC8}"/>
    <hyperlink ref="S942" r:id="rId537" xr:uid="{9658BA45-AF15-4860-9982-B8D3043A7812}"/>
    <hyperlink ref="I943" r:id="rId538" xr:uid="{A37EDCC6-6C7D-46E7-99F5-4B1CA7D47853}"/>
    <hyperlink ref="S943" r:id="rId539" xr:uid="{7A33648E-0A93-467D-A3C6-D19D55C4070B}"/>
    <hyperlink ref="S944" r:id="rId540" xr:uid="{9C767CE0-8046-4634-AAC3-A27403301303}"/>
    <hyperlink ref="I945" r:id="rId541" xr:uid="{421D919E-F736-4F35-B0AB-AAED28C7E7C6}"/>
    <hyperlink ref="S945" r:id="rId542" xr:uid="{9952E71B-CED2-4702-A4DC-2C8CB3B35067}"/>
    <hyperlink ref="I948" r:id="rId543" xr:uid="{8898F67F-6A41-47AD-AC3F-5FCA5027E453}"/>
    <hyperlink ref="S948" r:id="rId544" xr:uid="{38F6C9B3-188F-418B-A0D3-6F8DC59FB070}"/>
    <hyperlink ref="I951" r:id="rId545" xr:uid="{5341F8AA-35B4-4041-ACDA-F2B21AC0A0A4}"/>
    <hyperlink ref="S951" r:id="rId546" xr:uid="{983B520C-1FE6-444D-8845-D72300DC5E85}"/>
    <hyperlink ref="I956" r:id="rId547" xr:uid="{A1F93B2D-36C4-4DE3-84F1-236DFD80AFF5}"/>
    <hyperlink ref="S963" r:id="rId548" xr:uid="{166A0A37-BCE0-417E-A3C6-A55E379EBD45}"/>
    <hyperlink ref="I964" r:id="rId549" xr:uid="{E10E4DB0-55E2-4819-8077-ABF274446292}"/>
    <hyperlink ref="I966" r:id="rId550" xr:uid="{D7C907FD-DF5C-44CC-AF2D-597CC5CB285A}"/>
    <hyperlink ref="I968" r:id="rId551" xr:uid="{6AC62A3F-06DB-41E5-A5EA-2CD592EEE05B}"/>
    <hyperlink ref="S975" r:id="rId552" xr:uid="{B92A644F-FFD8-48F4-9942-2AEF3FB6C0C5}"/>
    <hyperlink ref="I978" r:id="rId553" xr:uid="{B21A5E6D-3E19-4FC0-ABC0-539B44E8A3EC}"/>
    <hyperlink ref="S978" r:id="rId554" xr:uid="{1A923ED7-A9D1-488B-9347-E64BFDD1A472}"/>
    <hyperlink ref="I979" r:id="rId555" xr:uid="{F35ECAEF-78AB-43C7-A460-CCFA390A9E7E}"/>
    <hyperlink ref="S979" r:id="rId556" xr:uid="{06431837-5C2B-4B52-A5FB-B4BF731C370D}"/>
    <hyperlink ref="I980" r:id="rId557" xr:uid="{E21FACFF-D652-4D84-ACBF-0AEFF1F82798}"/>
    <hyperlink ref="S980" r:id="rId558" xr:uid="{90C0AE37-F08D-4038-AFFF-A7892BF91982}"/>
    <hyperlink ref="I981" r:id="rId559" xr:uid="{672EA522-3ED4-44E7-8FC4-24F56EE7A736}"/>
    <hyperlink ref="S981" r:id="rId560" xr:uid="{82B9793D-49A1-4920-9233-354B24EADCCE}"/>
    <hyperlink ref="S984" r:id="rId561" xr:uid="{D25AA765-F09A-4B6B-AED8-1C5B72E3ED53}"/>
    <hyperlink ref="I988" r:id="rId562" xr:uid="{4C16DA53-E5FE-4A81-A57E-2E8DB5AE876E}"/>
    <hyperlink ref="S988" r:id="rId563" xr:uid="{4A4BF570-3D34-4D9E-AA2D-679F3A0ED0DA}"/>
    <hyperlink ref="I989" r:id="rId564" xr:uid="{F15681CF-D1D6-4B52-B39B-ADA39FB197EB}"/>
    <hyperlink ref="I990" r:id="rId565" xr:uid="{EE587B20-AA76-41F0-A573-56D965BD685A}"/>
    <hyperlink ref="I991" r:id="rId566" xr:uid="{1BF7CC5E-920A-4D74-B827-D2A5B15028A5}"/>
    <hyperlink ref="I992" r:id="rId567" xr:uid="{41470C57-9385-4301-8EEA-3D719958A4C0}"/>
    <hyperlink ref="S992" r:id="rId568" xr:uid="{6FAB1C0A-53F7-4B87-87B0-CF40792D0200}"/>
    <hyperlink ref="I993" r:id="rId569" xr:uid="{ECFA1BF5-1937-423A-9950-40EBF69F5773}"/>
    <hyperlink ref="I994" r:id="rId570" xr:uid="{628338F4-2B68-49DC-9444-E67A6666104F}"/>
    <hyperlink ref="I995" r:id="rId571" xr:uid="{10CAFAAA-F481-48B2-B986-B0D20E087800}"/>
    <hyperlink ref="S995" r:id="rId572" xr:uid="{ED1F94A5-8426-4D9F-8C77-23CD6FD74766}"/>
    <hyperlink ref="I996" r:id="rId573" xr:uid="{C3BCC9B1-2FE2-4C24-9835-B19ACE28EDBF}"/>
    <hyperlink ref="I997" r:id="rId574" xr:uid="{335AA481-B5B5-4F92-B92E-9165DE1BAA75}"/>
    <hyperlink ref="S997" r:id="rId575" xr:uid="{ADAEB26E-D8A9-4AD5-9AC4-6D4688B75559}"/>
    <hyperlink ref="I998" r:id="rId576" xr:uid="{CEDC2879-9C97-411C-9037-7874A9736120}"/>
    <hyperlink ref="S998" r:id="rId577" xr:uid="{D8593D23-ADF5-4509-961C-B43672265109}"/>
    <hyperlink ref="I999" r:id="rId578" xr:uid="{DFB81631-C748-4E55-875C-7F5B9DAC3EC9}"/>
    <hyperlink ref="I1000" r:id="rId579" xr:uid="{6E5340BF-F9FF-4AB5-B31F-7347DC83F123}"/>
    <hyperlink ref="I1001" r:id="rId580" xr:uid="{DBDC1BB8-81F7-45C9-9A04-C8021C70463A}"/>
    <hyperlink ref="S1001" r:id="rId581" xr:uid="{DDF77370-1B53-4CF8-8F12-A46EECCF1F01}"/>
    <hyperlink ref="I1002" r:id="rId582" xr:uid="{17DAC03B-AE4C-4CC8-B2C0-95E35ABEFB9E}"/>
    <hyperlink ref="S1002" r:id="rId583" xr:uid="{A552E8D1-BD67-4AB2-998A-F9E7C25E513E}"/>
    <hyperlink ref="I1003" r:id="rId584" xr:uid="{02FEF2E5-1322-42A1-8BD5-3F38D39AF71E}"/>
    <hyperlink ref="S1003" r:id="rId585" xr:uid="{5EE69222-3D5E-42E6-A52D-93AFEBC60E41}"/>
    <hyperlink ref="I1004" r:id="rId586" xr:uid="{5C399C50-6D25-4900-AF58-00E13C9B7DB1}"/>
    <hyperlink ref="I1005" r:id="rId587" xr:uid="{12B2D081-E5DA-44AF-B625-CAC726E3BC9E}"/>
    <hyperlink ref="S1005" r:id="rId588" xr:uid="{C90A21D0-C377-4DF0-BA56-35E71AEFA874}"/>
    <hyperlink ref="I1006" r:id="rId589" xr:uid="{6D6BF7F8-B86C-4AF4-A695-BF74E7CBCC76}"/>
    <hyperlink ref="I1007" r:id="rId590" xr:uid="{981D5052-0B4F-46B4-97AA-80344966A0EF}"/>
    <hyperlink ref="S1007" r:id="rId591" xr:uid="{84921453-091B-495D-8C37-F9BD912847C0}"/>
    <hyperlink ref="S1008" r:id="rId592" xr:uid="{C88C0446-F5E7-46DD-84F0-84B0EB3639BD}"/>
    <hyperlink ref="I1013" r:id="rId593" xr:uid="{67903C96-3116-4914-BA3F-4A839CCF5149}"/>
    <hyperlink ref="S1013" r:id="rId594" xr:uid="{B7D7C255-F7B6-432C-86AB-13D1E89416A9}"/>
    <hyperlink ref="I1022" r:id="rId595" xr:uid="{75604F92-9D4A-4568-9D74-3EF7C7BC8A62}"/>
    <hyperlink ref="I1024" r:id="rId596" xr:uid="{C28DA852-ABA3-4C44-AF53-D6535178C53B}"/>
    <hyperlink ref="S1024" r:id="rId597" xr:uid="{A9A66692-5CDA-47DE-899B-BC57004B0EE2}"/>
    <hyperlink ref="S1027" r:id="rId598" xr:uid="{BAE40F28-A215-4A17-8938-4A9ED7D884AD}"/>
    <hyperlink ref="I1028" r:id="rId599" xr:uid="{63AAC6C9-7444-4C72-A562-FD0ABBAB4ED1}"/>
    <hyperlink ref="S1028" r:id="rId600" xr:uid="{ADEAA225-3E36-47D3-8E0C-2D8451A91721}"/>
    <hyperlink ref="I1031" r:id="rId601" xr:uid="{6493FC47-BDA3-4D11-8696-FC9E85C2C53E}"/>
    <hyperlink ref="I1032" r:id="rId602" xr:uid="{A3EBF058-51C6-46E5-A7ED-CC48EE786977}"/>
    <hyperlink ref="S1032" r:id="rId603" xr:uid="{7DA9BFA2-43FA-4B89-9EC0-BE0E990F5B94}"/>
    <hyperlink ref="I1033" r:id="rId604" xr:uid="{1C2B50D3-6683-4191-8A6C-D6C4F5B90AB3}"/>
    <hyperlink ref="I1034" r:id="rId605" xr:uid="{8A4FC836-955B-436C-85CA-21639D56D2B3}"/>
    <hyperlink ref="S1034" r:id="rId606" xr:uid="{F5D5F06A-9A99-4E65-97BF-2805EF13A5D2}"/>
    <hyperlink ref="S1036" r:id="rId607" xr:uid="{E7473F3D-AE40-4363-89D0-9BD219B7EF2E}"/>
    <hyperlink ref="I1037" r:id="rId608" xr:uid="{E534ED4D-D1D2-4DD4-BCA9-1CAC9481D8D0}"/>
    <hyperlink ref="S1037" r:id="rId609" xr:uid="{74557EB9-738A-455F-A125-4F6DEE9B6101}"/>
    <hyperlink ref="S1039" r:id="rId610" xr:uid="{49535033-4171-4935-9F91-CA8D68E7B225}"/>
    <hyperlink ref="I1040" r:id="rId611" xr:uid="{2AF87627-C8BA-4EE3-862A-D7B269BCC52B}"/>
    <hyperlink ref="S1040" r:id="rId612" xr:uid="{FC0851AF-7AB2-469B-9AD2-986823728F35}"/>
    <hyperlink ref="S1041" r:id="rId613" xr:uid="{B8D39C8E-36C0-4102-A0C2-77CDA55E352C}"/>
    <hyperlink ref="I1042" r:id="rId614" xr:uid="{DF8809A2-F192-4B24-9414-3220CE6AF820}"/>
    <hyperlink ref="I1043" r:id="rId615" xr:uid="{AD50D7B3-F54A-4272-8E3A-D290EC49D4E4}"/>
    <hyperlink ref="I1044" r:id="rId616" xr:uid="{8693A568-E69E-4522-BF60-A34ED4049450}"/>
    <hyperlink ref="I1045" r:id="rId617" xr:uid="{E3E1983C-8D8D-49C2-A02C-35D488831332}"/>
    <hyperlink ref="I1046" r:id="rId618" xr:uid="{34AB4B24-C561-482B-BECE-19B2D902E8E3}"/>
    <hyperlink ref="I1047" r:id="rId619" xr:uid="{451A28F6-B5E0-4327-8316-665A082EB039}"/>
    <hyperlink ref="I1048" r:id="rId620" xr:uid="{FC839BC2-9C12-4BFB-8683-4C77509797CA}"/>
    <hyperlink ref="I1049" r:id="rId621" xr:uid="{14D17F24-6CD4-43AB-B383-3A9590CA0DD2}"/>
    <hyperlink ref="I1050" r:id="rId622" xr:uid="{6E11E23E-2B51-4D54-B731-902B17FCEC0E}"/>
    <hyperlink ref="S1050" r:id="rId623" xr:uid="{7A6F6CC6-7F8B-4AAF-9E49-6E4F9CB22D19}"/>
    <hyperlink ref="I1051" r:id="rId624" xr:uid="{D0EE9C58-4C30-4239-9683-A0FD89C87B9A}"/>
    <hyperlink ref="I1052" r:id="rId625" xr:uid="{DC622E47-EDE8-4DDA-819D-77682875C808}"/>
    <hyperlink ref="I1053" r:id="rId626" xr:uid="{415F1124-1009-4AF4-BDD3-607EC07D2FEE}"/>
    <hyperlink ref="I1054" r:id="rId627" xr:uid="{980D17A0-C7FB-4AC7-B386-4D420B08779E}"/>
    <hyperlink ref="I1055" r:id="rId628" xr:uid="{BA43F765-BC3D-425D-8E1B-C2F058325353}"/>
    <hyperlink ref="I1056" r:id="rId629" xr:uid="{830274BC-D09E-44AC-82FD-79131BB983AC}"/>
    <hyperlink ref="I1058" r:id="rId630" xr:uid="{C7ADE695-AC71-4925-912E-994CA9933A18}"/>
    <hyperlink ref="I1065" r:id="rId631" xr:uid="{529323EF-28B2-45B1-8384-C8E32F450DFF}"/>
    <hyperlink ref="S1065" r:id="rId632" xr:uid="{C2C87B58-BFA5-42E4-91A8-7ED263478ACF}"/>
    <hyperlink ref="I1068" r:id="rId633" xr:uid="{4A03CAAB-7505-47DA-A460-62CCF7066E99}"/>
    <hyperlink ref="S1068" r:id="rId634" xr:uid="{8A848EAE-B90F-4B32-86AD-7EAB7403DA1D}"/>
    <hyperlink ref="I1070" r:id="rId635" xr:uid="{ADFAC04F-13B0-4ED1-B907-1A7F6AC4F533}"/>
    <hyperlink ref="S1070" r:id="rId636" xr:uid="{97C32F48-7CB4-4EF9-A5B9-5E344323BE38}"/>
    <hyperlink ref="I1076" r:id="rId637" xr:uid="{B4D3F4B5-7E6D-46A7-A881-AE752E5932C5}"/>
    <hyperlink ref="S1076" r:id="rId638" xr:uid="{42CA5E10-4901-4909-B487-D9D9D68906AF}"/>
    <hyperlink ref="I1080" r:id="rId639" xr:uid="{7FC099A3-78F8-4A0E-9DFD-889778020869}"/>
    <hyperlink ref="S1080" r:id="rId640" xr:uid="{28C8C558-673A-4879-8348-60DF16B4F561}"/>
    <hyperlink ref="I1083" r:id="rId641" xr:uid="{25DCC2B1-B6EB-4CA6-8137-92955902E0FE}"/>
    <hyperlink ref="S1083" r:id="rId642" xr:uid="{134B7376-3767-444C-890D-B2C7A49D7724}"/>
    <hyperlink ref="S1084" r:id="rId643" xr:uid="{AAE4B2AF-7048-4E6C-861A-4768106CA1FC}"/>
    <hyperlink ref="I1085" r:id="rId644" xr:uid="{13F06ACC-9B4D-4108-B41B-BE63605EF650}"/>
    <hyperlink ref="I1088" r:id="rId645" xr:uid="{7E80F67B-417B-4961-9246-909D82864DD9}"/>
    <hyperlink ref="S1088" r:id="rId646" xr:uid="{336F2DC5-86A5-4D91-B846-9B7071B0CAE1}"/>
    <hyperlink ref="I1089" r:id="rId647" xr:uid="{38B10625-FCC9-4551-86D1-6263330C0396}"/>
    <hyperlink ref="S1089" r:id="rId648" xr:uid="{DA02D243-A25F-4CDE-98BD-EA9ABEB26741}"/>
    <hyperlink ref="S1092" r:id="rId649" xr:uid="{98B4EF78-95C4-43FD-88A4-3729CED54BD2}"/>
    <hyperlink ref="S1093" r:id="rId650" xr:uid="{2954EB86-0AB7-4879-B68E-3EFB1D70A9B1}"/>
    <hyperlink ref="I1096" r:id="rId651" xr:uid="{EE24D222-005C-4D8B-A727-42956D3F1B56}"/>
    <hyperlink ref="S1096" r:id="rId652" xr:uid="{889A682A-075A-4AF1-B45F-31C4EB63ED22}"/>
    <hyperlink ref="I1100" r:id="rId653" xr:uid="{BD2CC97E-D36D-4771-A586-491E5E41860F}"/>
    <hyperlink ref="S1100" r:id="rId654" xr:uid="{166F2B7B-679C-42C4-B63E-E1AE890AAE2B}"/>
    <hyperlink ref="I1101" r:id="rId655" xr:uid="{DFDD86CD-8B88-4708-B701-BCC7F1AF9566}"/>
    <hyperlink ref="S1101" r:id="rId656" xr:uid="{6940EADA-3ECD-4264-94EE-0219EBA127B2}"/>
    <hyperlink ref="S1103" r:id="rId657" xr:uid="{227C2BBE-06AA-4468-959B-87EFB3FF2E1C}"/>
    <hyperlink ref="I1104" r:id="rId658" xr:uid="{80117186-34A3-42EF-906B-6E32098B3FF5}"/>
    <hyperlink ref="I1105" r:id="rId659" xr:uid="{202F1010-AF6A-4E5A-B01C-0A553FFDCFDE}"/>
    <hyperlink ref="I1106" r:id="rId660" xr:uid="{332C5B19-45D4-4583-BE6F-53A4AD7798F7}"/>
    <hyperlink ref="S1106" r:id="rId661" xr:uid="{5E330661-52DB-43D7-B2E5-A2C993E0C478}"/>
    <hyperlink ref="I1107" r:id="rId662" xr:uid="{93502BF3-0F0D-40F8-AC07-4074293605F0}"/>
    <hyperlink ref="I1108" r:id="rId663" xr:uid="{2002D1C7-9EEF-40F0-AD41-24E6DE261F9F}"/>
    <hyperlink ref="I1109" r:id="rId664" xr:uid="{14E08772-4E5C-4E2D-B37E-2182062FAE7B}"/>
    <hyperlink ref="I1110" r:id="rId665" xr:uid="{F025800C-7091-4A46-B48C-DACF98E7686A}"/>
    <hyperlink ref="I1111" r:id="rId666" xr:uid="{D9D46A8C-C2E6-423E-8E5A-A0887E607730}"/>
    <hyperlink ref="I1112" r:id="rId667" xr:uid="{91F1B18E-813B-4945-9E79-D32B0C809477}"/>
    <hyperlink ref="I1113" r:id="rId668" xr:uid="{92FCEACA-2BB3-45D1-87DA-98665F8A328A}"/>
    <hyperlink ref="S1113" r:id="rId669" xr:uid="{D5653584-24D5-41FE-B175-F633FF024543}"/>
    <hyperlink ref="I1115" r:id="rId670" xr:uid="{7304B74E-FE66-4CA7-90D1-8A679C4655B7}"/>
    <hyperlink ref="S1115" r:id="rId671" xr:uid="{404F4F11-818F-47EF-809A-E6093982AE0B}"/>
    <hyperlink ref="I1121" r:id="rId672" xr:uid="{1E126DAF-C41E-4655-9143-F9179E9A1EE6}"/>
    <hyperlink ref="S1121" r:id="rId673" xr:uid="{EA019FA7-B435-4FA8-86EB-F8585BC2DE58}"/>
    <hyperlink ref="I1122" r:id="rId674" xr:uid="{0508135B-F222-4742-B98B-C469F82F23AF}"/>
    <hyperlink ref="I1124" r:id="rId675" xr:uid="{FE00DC79-02CA-4806-88E8-AF71E457AA43}"/>
    <hyperlink ref="I1125" r:id="rId676" xr:uid="{AE4E7FB5-2DB5-4707-9367-97A4E82AFC82}"/>
    <hyperlink ref="S1125" r:id="rId677" xr:uid="{0CCC9289-A307-4856-8350-C48CED692534}"/>
    <hyperlink ref="I1128" r:id="rId678" xr:uid="{127F3D79-E405-451D-8081-137489EC6C26}"/>
    <hyperlink ref="S1128" r:id="rId679" xr:uid="{4C1D08D0-1DB7-4CED-BFA2-786D701C0374}"/>
    <hyperlink ref="I1130" r:id="rId680" xr:uid="{C2D6071C-6120-49E7-BE32-90B3EB3E4F69}"/>
    <hyperlink ref="S1130" r:id="rId681" xr:uid="{4BC2D4DA-7DAC-49E3-B826-40F0837C0134}"/>
    <hyperlink ref="I1132" r:id="rId682" xr:uid="{6209AC76-1378-42BE-809D-894F141BED48}"/>
    <hyperlink ref="I1134" r:id="rId683" xr:uid="{D7548AAF-5F74-4D51-A9EE-63DC2736E185}"/>
    <hyperlink ref="S1134" r:id="rId684" xr:uid="{23C61CD8-1D0C-45C9-94B4-A2486FFEAED7}"/>
    <hyperlink ref="S1135" r:id="rId685" xr:uid="{01D9BA4E-F425-4585-81DE-ECB34AA5D6FE}"/>
    <hyperlink ref="I1136" r:id="rId686" xr:uid="{6DCFA0E8-0A28-419E-A00E-B825A255A37D}"/>
    <hyperlink ref="S1136" r:id="rId687" xr:uid="{D6859942-4470-4BF7-A752-763B57F1A15C}"/>
    <hyperlink ref="I1138" r:id="rId688" xr:uid="{FCCEC445-3F60-4411-BA8E-238B56F78A79}"/>
    <hyperlink ref="S1138" r:id="rId689" xr:uid="{86887F89-1F3A-40A2-9E60-A46D269D908E}"/>
    <hyperlink ref="S1140" r:id="rId690" xr:uid="{EFCD2FFA-4A59-4D71-8D6D-CA876EF76315}"/>
    <hyperlink ref="S1142" r:id="rId691" xr:uid="{7E15252F-3D7A-44D1-94D7-8D23A82FC7A8}"/>
    <hyperlink ref="I1144" r:id="rId692" xr:uid="{FF08BC2B-4D62-4999-A14C-840601CC6E63}"/>
    <hyperlink ref="S1144" r:id="rId693" xr:uid="{D63F47B7-033C-4757-9FF9-CB36B03B8D6C}"/>
    <hyperlink ref="I1145" r:id="rId694" xr:uid="{66536597-86C4-44EC-BD8F-96F8AD6D27AE}"/>
    <hyperlink ref="S1145" r:id="rId695" xr:uid="{B45A2429-1E57-4831-944E-FBDAE5CE2D5C}"/>
    <hyperlink ref="I1146" r:id="rId696" xr:uid="{94608E4C-657D-44F9-A585-B53F73E41C1F}"/>
    <hyperlink ref="S1146" r:id="rId697" xr:uid="{91B2407F-865D-4BD8-8E1B-5B91E5E1C24D}"/>
    <hyperlink ref="I1148" r:id="rId698" xr:uid="{C56BCE67-5FFD-49B5-9018-848311FF4661}"/>
    <hyperlink ref="S1151" r:id="rId699" xr:uid="{4A707D9A-0DCA-4C3B-B709-A502AED89C6E}"/>
    <hyperlink ref="S1153" r:id="rId700" xr:uid="{6187BF47-15DE-4EF9-97DD-240D4DD9BF8A}"/>
    <hyperlink ref="I1154" r:id="rId701" xr:uid="{079F8A04-CCF0-4E8D-8A2A-8CA6484462D4}"/>
    <hyperlink ref="S1154" r:id="rId702" xr:uid="{32828EB8-8400-4E33-8C16-08A542A0D334}"/>
    <hyperlink ref="I1155" r:id="rId703" xr:uid="{44321786-52CE-4114-BDB2-2EA5220C9E21}"/>
    <hyperlink ref="S1155" r:id="rId704" xr:uid="{49200DC0-66E6-498F-BB37-6ED09B95A179}"/>
    <hyperlink ref="S1156" r:id="rId705" xr:uid="{93225EC7-0DAA-406F-96E9-43E93D5FB1D7}"/>
    <hyperlink ref="I1157" r:id="rId706" xr:uid="{EB00A20E-B516-4EA6-827C-2A45E4D7BDAD}"/>
    <hyperlink ref="S1157" r:id="rId707" xr:uid="{B5D58305-BBAF-4A07-98CF-3A36F518E38B}"/>
    <hyperlink ref="I1158" r:id="rId708" xr:uid="{FAA55A5B-8064-48F6-A24A-B37BE7CCA231}"/>
    <hyperlink ref="S1158" r:id="rId709" xr:uid="{5E144659-496A-444F-8FA6-1B62DBDF96E0}"/>
    <hyperlink ref="S1159" r:id="rId710" xr:uid="{54226661-98F9-4E70-B367-A38915C51322}"/>
    <hyperlink ref="I1161" r:id="rId711" xr:uid="{FDE9EBC9-D12C-414A-9047-C5B9B5B86077}"/>
    <hyperlink ref="S1161" r:id="rId712" xr:uid="{27CE9A49-6200-4415-8A86-8268FC3D2AE7}"/>
    <hyperlink ref="I1162" r:id="rId713" xr:uid="{B9AD5BA8-226B-4A4C-A44C-EAE16DF19F8C}"/>
    <hyperlink ref="I1163" r:id="rId714" xr:uid="{8CFBBD4A-5E14-40EC-8889-43B8040CD5E7}"/>
    <hyperlink ref="I1165" r:id="rId715" xr:uid="{5C1918A3-E5F8-48F6-9D5C-C9588224D11C}"/>
    <hyperlink ref="I1166" r:id="rId716" xr:uid="{73008ECA-BD2E-4232-8D12-102DC702F8C7}"/>
    <hyperlink ref="I1168" r:id="rId717" xr:uid="{CB2361CD-CC57-40E5-856D-E7FF94B528A6}"/>
    <hyperlink ref="I1169" r:id="rId718" xr:uid="{8EEB886F-9C8A-4087-A2B6-C59EEE0A86B0}"/>
    <hyperlink ref="S1169" r:id="rId719" xr:uid="{328B99CC-27C5-4164-B110-7C4CE871739E}"/>
    <hyperlink ref="I1170" r:id="rId720" xr:uid="{577D187F-399E-4518-AFD0-657C5D0E0607}"/>
    <hyperlink ref="S1170" r:id="rId721" xr:uid="{37381DAE-1324-41A9-92AE-411FBB7B1BFE}"/>
    <hyperlink ref="I1171" r:id="rId722" xr:uid="{6BF0117C-9778-4D6B-9677-ABD43EA97117}"/>
    <hyperlink ref="S1171" r:id="rId723" xr:uid="{DAF68ECF-F7C1-42BD-8AF0-437D593A5575}"/>
    <hyperlink ref="I1172" r:id="rId724" xr:uid="{50D2687E-FAE4-4814-825B-B38DFF6F8F95}"/>
    <hyperlink ref="I1174" r:id="rId725" xr:uid="{DE8559B1-2B05-41B6-BCCA-9A0A453E1A48}"/>
    <hyperlink ref="S1174" r:id="rId726" xr:uid="{59E79747-57BD-40E7-91FB-7F10DABCCD1F}"/>
    <hyperlink ref="S1176" r:id="rId727" xr:uid="{93EDDA63-AD53-416F-99D0-4A52EED97BC7}"/>
    <hyperlink ref="S1177" r:id="rId728" xr:uid="{438A51E8-59BB-47D4-A51D-C832CF2DA251}"/>
    <hyperlink ref="S1178" r:id="rId729" xr:uid="{10F8ADBE-856B-445E-BEEE-F0A5492F2ED3}"/>
    <hyperlink ref="S1179" r:id="rId730" xr:uid="{31D2235F-B44A-4AE9-B757-38E625F513AD}"/>
    <hyperlink ref="S1180" r:id="rId731" xr:uid="{EF7C803A-2D00-4D79-8F1F-08EB487DAF14}"/>
    <hyperlink ref="S1181" r:id="rId732" xr:uid="{4907645C-D1B5-4C54-8EF0-DF698D1B1C8F}"/>
    <hyperlink ref="I1183" r:id="rId733" xr:uid="{2C7EACE2-F364-47D0-9A24-8196851D63D1}"/>
    <hyperlink ref="S1184" r:id="rId734" xr:uid="{9B1DEABF-C0A2-4CAC-B61B-C1595EF4C3B1}"/>
    <hyperlink ref="I1186" r:id="rId735" xr:uid="{5437E446-EA24-4809-BAED-F6BFD03D0519}"/>
    <hyperlink ref="S1186" r:id="rId736" xr:uid="{A7A6BE7C-5D29-4FC2-AF5C-26046FA0F51F}"/>
    <hyperlink ref="I1187" r:id="rId737" xr:uid="{A0ADAD54-F6C5-4304-9320-128AE0D00EDF}"/>
    <hyperlink ref="S1187" r:id="rId738" xr:uid="{811D43E7-CCE2-48F1-9307-5DB1427491B6}"/>
    <hyperlink ref="I1188" r:id="rId739" xr:uid="{4A0CD835-8BBC-4E92-8D7E-B9DBFD721D72}"/>
    <hyperlink ref="I1189" r:id="rId740" xr:uid="{111859D2-9EF4-4257-901C-CBB37FEFC3EE}"/>
    <hyperlink ref="S1193" r:id="rId741" xr:uid="{B0E07080-77DE-4033-8ED9-7E73E821AF99}"/>
    <hyperlink ref="S1195" r:id="rId742" xr:uid="{D04C9125-25C0-4B48-9E72-C4413C1276A4}"/>
    <hyperlink ref="S1197" r:id="rId743" xr:uid="{583A74C9-EB1F-4121-BDF3-2748FD7B129A}"/>
    <hyperlink ref="I1198" r:id="rId744" xr:uid="{C3801DA9-6406-4CAF-933E-5559395A479C}"/>
    <hyperlink ref="I1199" r:id="rId745" xr:uid="{4A0358BF-266F-41B9-80FA-663340B0E7EA}"/>
    <hyperlink ref="S1199" r:id="rId746" xr:uid="{AB61E6C7-69FD-4AD7-A6A3-0341C265B433}"/>
    <hyperlink ref="I1200" r:id="rId747" xr:uid="{385597D8-1385-489C-9EB7-131DAFC55E2D}"/>
    <hyperlink ref="S1200" r:id="rId748" xr:uid="{775EF6F7-223A-4660-A092-985659CCBF2C}"/>
    <hyperlink ref="I1201" r:id="rId749" xr:uid="{C8E4E79F-D231-4561-A39E-3950DDFB59C1}"/>
    <hyperlink ref="S1201" r:id="rId750" xr:uid="{09B39FF8-36D1-4BEE-8256-01CE13447375}"/>
    <hyperlink ref="I1202" r:id="rId751" xr:uid="{562084FE-FCA0-43AB-AC54-B4E2E2762B68}"/>
    <hyperlink ref="I1203" r:id="rId752" xr:uid="{55F892D7-F645-4DA4-9113-D9C9FAF8C021}"/>
    <hyperlink ref="S1203" r:id="rId753" xr:uid="{72873874-7622-4A25-B95A-D17C696D0D7E}"/>
    <hyperlink ref="S1205" r:id="rId754" xr:uid="{76B64502-F904-4E87-8C09-61EEF3437620}"/>
    <hyperlink ref="I1207" r:id="rId755" xr:uid="{0AEDD5A5-356A-485F-B44E-DB9B179B6AE9}"/>
    <hyperlink ref="S1207" r:id="rId756" xr:uid="{DD7458F3-614D-4258-A70F-C6D1EEDE5CAC}"/>
    <hyperlink ref="I1209" r:id="rId757" xr:uid="{0146CB68-171D-4832-905B-B4828E9EA2D5}"/>
    <hyperlink ref="S1209" r:id="rId758" xr:uid="{4E6C435C-E129-4C62-9521-220AD1F63235}"/>
    <hyperlink ref="I1210" r:id="rId759" xr:uid="{CED4127D-7D61-4F82-8670-95F69050C645}"/>
    <hyperlink ref="S1210" r:id="rId760" xr:uid="{71C43C39-5187-4ADC-87F2-0D089279F5F1}"/>
    <hyperlink ref="I1214" r:id="rId761" xr:uid="{8EC939FB-7CFD-4000-A901-ED7F8841E2A2}"/>
    <hyperlink ref="S1215" r:id="rId762" xr:uid="{FD874717-12F3-4AE9-9930-1039865C6FF9}"/>
    <hyperlink ref="S1217" r:id="rId763" xr:uid="{7FAC91AC-B3D1-425B-857B-9A8387B649A5}"/>
    <hyperlink ref="S1218" r:id="rId764" xr:uid="{328EE10E-F755-41EE-AA59-3B6E6158D6B9}"/>
    <hyperlink ref="I1219" r:id="rId765" xr:uid="{71EE04B7-91C3-4DDA-9ACF-9068A121E0EC}"/>
    <hyperlink ref="S1219" r:id="rId766" xr:uid="{5EC4D615-A558-4C1D-816E-79225E135366}"/>
    <hyperlink ref="I1220" r:id="rId767" xr:uid="{F2BC2C41-A7DA-4945-A629-B33DC26D18B6}"/>
    <hyperlink ref="I1223" r:id="rId768" xr:uid="{FCE69E4A-5BDD-48D5-BEF0-FD24F86B9CCE}"/>
    <hyperlink ref="I1225" r:id="rId769" xr:uid="{D6C2520E-84CE-44CF-9944-90F2D2F83639}"/>
    <hyperlink ref="S1225" r:id="rId770" xr:uid="{5382F41B-0BF9-4DC8-A4E5-EDDB81C587BE}"/>
    <hyperlink ref="I1228" r:id="rId771" xr:uid="{651778D2-2612-470A-8191-21CF8872768C}"/>
    <hyperlink ref="S1228" r:id="rId772" xr:uid="{CAF94CA2-24B6-476C-964B-0465C01DF1DE}"/>
    <hyperlink ref="I1229" r:id="rId773" xr:uid="{18FC2E54-E343-442A-A4D9-7586465FB910}"/>
    <hyperlink ref="I1231" r:id="rId774" xr:uid="{D97896E6-CBB4-4722-9A45-A9BA3DD0993B}"/>
    <hyperlink ref="I1232" r:id="rId775" xr:uid="{1C19D3D9-4103-4F4E-A691-0BC86FA9C13D}"/>
    <hyperlink ref="I1234" r:id="rId776" xr:uid="{B15A3C3B-2A99-4A57-A0F1-A55EF9CEB2E4}"/>
    <hyperlink ref="I1235" r:id="rId777" xr:uid="{2F568611-0293-4836-BFAF-30101F20F83A}"/>
    <hyperlink ref="I1236" r:id="rId778" xr:uid="{18785C7A-3B00-4FBA-955B-6999955D4F72}"/>
    <hyperlink ref="I1238" r:id="rId779" xr:uid="{20953A3C-536E-4E61-9D0D-6B4929896731}"/>
    <hyperlink ref="I1240" r:id="rId780" xr:uid="{8BDB8AA4-A1D6-45EB-9670-E421153BEFFF}"/>
    <hyperlink ref="S1240" r:id="rId781" xr:uid="{6D929C89-970B-4957-8DA9-85FD93FE945E}"/>
    <hyperlink ref="I1244" r:id="rId782" xr:uid="{96EA6AC3-AE6C-4ACF-83C0-7D74874A2443}"/>
    <hyperlink ref="S1244" r:id="rId783" xr:uid="{2B3BCF33-A04E-49BB-ACAC-4775B76F62B4}"/>
    <hyperlink ref="I1245" r:id="rId784" xr:uid="{11D5E40A-08DF-4199-A32A-9AA7AB3C2FC8}"/>
    <hyperlink ref="S1245" r:id="rId785" xr:uid="{DB05BF12-98D5-4BC1-8E91-3CDD1BC4A16C}"/>
    <hyperlink ref="I1246" r:id="rId786" xr:uid="{FFC22116-54EE-45D2-A0F9-EA32A35CC821}"/>
    <hyperlink ref="S1248" r:id="rId787" xr:uid="{2CA76ABC-ED67-49EC-9A19-935A98EF25A6}"/>
    <hyperlink ref="I1249" r:id="rId788" xr:uid="{5FDA117B-0421-4E29-922A-62124441D4A3}"/>
    <hyperlink ref="S1249" r:id="rId789" xr:uid="{8F1BA6F5-70AC-4A36-ABCF-64ACDABC77E6}"/>
    <hyperlink ref="S1250" r:id="rId790" xr:uid="{089107A2-A272-43BF-BCE3-9C997CFBC33A}"/>
    <hyperlink ref="I1251" r:id="rId791" xr:uid="{9BCB7BDB-5C6D-402F-86CB-638ECB93E3A7}"/>
    <hyperlink ref="S1251" r:id="rId792" xr:uid="{CF038590-2A9B-42F7-AC0A-6B900AA20BE0}"/>
    <hyperlink ref="I1254" r:id="rId793" xr:uid="{80F416AC-3602-4B3A-9606-DC00E3D8377C}"/>
    <hyperlink ref="S1254" r:id="rId794" xr:uid="{16D19016-B3D4-4913-A951-4A57793D694D}"/>
    <hyperlink ref="I1256" r:id="rId795" xr:uid="{A62BB034-DD30-49D5-9193-1077CFB509A9}"/>
    <hyperlink ref="S1258" r:id="rId796" xr:uid="{58757109-3F9D-436E-A6DB-6DABFEACF4CA}"/>
    <hyperlink ref="I1259" r:id="rId797" xr:uid="{0F352ABD-7B20-4BD4-8C9F-5884963AABED}"/>
    <hyperlink ref="S1259" r:id="rId798" xr:uid="{2F1B1B08-F60A-49D0-9572-B3338A31D916}"/>
    <hyperlink ref="I1260" r:id="rId799" xr:uid="{14660340-1050-4AAE-814D-AA00ECAD8A7B}"/>
    <hyperlink ref="S1260" r:id="rId800" xr:uid="{666D67C9-854D-41FC-BE12-6FD1637473A5}"/>
    <hyperlink ref="S1262" r:id="rId801" xr:uid="{55B98C19-A547-4B4C-ABE9-42D54D8FB973}"/>
    <hyperlink ref="I1263" r:id="rId802" xr:uid="{996143FB-BC0F-40CC-BACF-C777D9A621E9}"/>
    <hyperlink ref="I1264" r:id="rId803" xr:uid="{B4F0166E-0E62-42AA-B2D7-43B02F4F8379}"/>
    <hyperlink ref="I1265" r:id="rId804" xr:uid="{5869D610-56CF-42DD-885E-2565DD49E848}"/>
    <hyperlink ref="S1265" r:id="rId805" xr:uid="{FFCE2F5C-0FB3-426E-A6C7-B5190B272D3D}"/>
    <hyperlink ref="I1266" r:id="rId806" xr:uid="{E4E66E20-898A-40B0-9C4A-618B3DFA94B5}"/>
    <hyperlink ref="S1266" r:id="rId807" xr:uid="{A925BC13-58D8-4C11-BED5-AB6787B85426}"/>
    <hyperlink ref="S1269" r:id="rId808" xr:uid="{371ABD23-0FE7-438C-9ACE-60D5950D203E}"/>
    <hyperlink ref="I1270" r:id="rId809" xr:uid="{A2418B3F-1E2E-451B-A455-ADB79F864CDA}"/>
    <hyperlink ref="S1270" r:id="rId810" xr:uid="{CCB487F2-FBEF-42AF-BCE1-510B29ED5B58}"/>
    <hyperlink ref="S1272" r:id="rId811" xr:uid="{9DCAB102-522F-40DF-A737-F454FE248BFA}"/>
    <hyperlink ref="I1273" r:id="rId812" xr:uid="{669E3402-2552-4E00-B69B-F73FC64BC2A5}"/>
    <hyperlink ref="S1273" r:id="rId813" xr:uid="{0B7C613D-DF30-4EE9-91DE-B9D7D2425022}"/>
    <hyperlink ref="S1274" r:id="rId814" xr:uid="{00C1C633-2332-4685-9058-4BADB2B05C85}"/>
    <hyperlink ref="I1275" r:id="rId815" xr:uid="{E81ED2C6-124F-46A1-8CC5-9C67ABE356BD}"/>
    <hyperlink ref="S1276" r:id="rId816" xr:uid="{461DED66-3C5F-43C4-B2CE-B32D4449558E}"/>
    <hyperlink ref="S1277" r:id="rId817" xr:uid="{C9C8A870-DA51-48A4-9A29-C0A8C9A481BA}"/>
    <hyperlink ref="I1279" r:id="rId818" xr:uid="{E850A1DB-B58A-494D-B4BE-60206D460258}"/>
    <hyperlink ref="S1279" r:id="rId819" xr:uid="{A771BD77-39A7-4E9C-99CD-E7E7AF559CF5}"/>
    <hyperlink ref="S1280" r:id="rId820" xr:uid="{21574C0B-A6AD-4D2B-8EE3-805B43986010}"/>
    <hyperlink ref="S1281" r:id="rId821" xr:uid="{6C491FAF-E77B-441B-9136-A47F20D83C59}"/>
    <hyperlink ref="S1283" r:id="rId822" xr:uid="{029C1EA1-5FB2-4CBE-9530-A14EC3375C66}"/>
    <hyperlink ref="I1285" r:id="rId823" xr:uid="{24A8AE30-16DD-4F8D-AFF3-C048E423A72B}"/>
    <hyperlink ref="I1286" r:id="rId824" xr:uid="{F061721A-0B3E-4F05-A3AE-7345ACBF3811}"/>
    <hyperlink ref="S1286" r:id="rId825" xr:uid="{4978FC80-6220-4FAA-85BD-BDCD503E74DE}"/>
    <hyperlink ref="I1287" r:id="rId826" xr:uid="{B1F10B9C-FA65-4922-985A-63DD7031AC00}"/>
    <hyperlink ref="S1287" r:id="rId827" xr:uid="{83664D3E-0F55-4EB8-B93F-77AD4C8B5852}"/>
    <hyperlink ref="S1289" r:id="rId828" xr:uid="{41338325-6C06-4F7D-855E-2B0E27D61361}"/>
    <hyperlink ref="I1291" r:id="rId829" xr:uid="{A6630496-F1B0-482D-9256-884F44FC8AB5}"/>
    <hyperlink ref="S1291" r:id="rId830" xr:uid="{300AB198-65BD-41CE-903E-1E344ABB1F5A}"/>
    <hyperlink ref="S1292" r:id="rId831" xr:uid="{0081DE8B-6931-4D87-AC0D-9B962F35571F}"/>
    <hyperlink ref="I1293" r:id="rId832" xr:uid="{5A873E79-B60E-4183-B1ED-5C8EEF8FA820}"/>
    <hyperlink ref="S1296" r:id="rId833" xr:uid="{870AD63E-2627-411B-8C69-32C5C42B6BA7}"/>
    <hyperlink ref="I1298" r:id="rId834" xr:uid="{EFE538FA-DC41-4404-BF66-916B63ACCD7E}"/>
    <hyperlink ref="S1299" r:id="rId835" xr:uid="{F6EE416B-572A-46B1-9C93-5E5219C6268C}"/>
    <hyperlink ref="I1302" r:id="rId836" xr:uid="{141CE687-B2AD-4FB5-A300-E627A93FBC6A}"/>
    <hyperlink ref="S1302" r:id="rId837" xr:uid="{75CA227B-23F9-4A3C-9616-0DF78CA0C2B3}"/>
    <hyperlink ref="S1305" r:id="rId838" xr:uid="{BEC92519-123B-4E0D-B0F4-CFDDB316E469}"/>
    <hyperlink ref="I1306" r:id="rId839" xr:uid="{84140E40-E7AE-485D-AFEC-3C049B10A500}"/>
    <hyperlink ref="S1306" r:id="rId840" xr:uid="{E93A7FD4-5428-4138-B81A-1EA4F80704BF}"/>
    <hyperlink ref="I1309" r:id="rId841" xr:uid="{8714D8FE-C848-481A-97E7-9A7BD477E719}"/>
    <hyperlink ref="S1309" r:id="rId842" xr:uid="{9864067F-81DB-445F-9031-7B39C9927C1D}"/>
    <hyperlink ref="S1311" r:id="rId843" xr:uid="{36C339B2-9853-4E32-A3BC-F3EB2B3CB158}"/>
    <hyperlink ref="I1312" r:id="rId844" xr:uid="{62656865-1F9F-4318-8DA8-6094A9AAF8CE}"/>
    <hyperlink ref="S1312" r:id="rId845" xr:uid="{04D1C683-219D-414D-B401-3725C115D89A}"/>
    <hyperlink ref="I1313" r:id="rId846" xr:uid="{E0FF6B30-3FBC-468F-A749-490DDBFB3EDE}"/>
    <hyperlink ref="S1315" r:id="rId847" xr:uid="{C7F65D41-C03C-4E7D-80B5-39B81385C7C9}"/>
    <hyperlink ref="I1316" r:id="rId848" xr:uid="{D91154EB-2A73-43E0-B6E9-15A96728E010}"/>
    <hyperlink ref="I1317" r:id="rId849" xr:uid="{85FB9653-E927-4A56-8FAC-3D49173FB872}"/>
    <hyperlink ref="S1317" r:id="rId850" xr:uid="{D4FBC422-28AD-4D80-94F4-62E565EE4B9F}"/>
    <hyperlink ref="I1318" r:id="rId851" xr:uid="{EBB31E1A-7532-472B-9849-8413FFF5D2C3}"/>
    <hyperlink ref="S1318" r:id="rId852" xr:uid="{B78852CF-21B6-49F1-9126-701D7247AE00}"/>
    <hyperlink ref="S1319" r:id="rId853" xr:uid="{07127FA9-07EF-4184-B5C5-DC833601CC32}"/>
    <hyperlink ref="I1320" r:id="rId854" xr:uid="{399EE51F-1EAF-4317-9B4C-48DD55FEF222}"/>
    <hyperlink ref="S1321" r:id="rId855" xr:uid="{C6C78376-1AAB-4085-86E8-DAEE85E03AD8}"/>
    <hyperlink ref="I1322" r:id="rId856" xr:uid="{FDEF6047-EFFC-4FF8-B19D-CA93606DF86D}"/>
    <hyperlink ref="I1323" r:id="rId857" xr:uid="{75CC71E1-A4FC-4A8A-9A70-856B18065034}"/>
    <hyperlink ref="S1323" r:id="rId858" xr:uid="{E219F45B-DE11-46EA-B222-742C4534E2E1}"/>
    <hyperlink ref="S1328" r:id="rId859" xr:uid="{DAC8FDC9-BC6F-45D5-8FD0-1B0A83A6CDE5}"/>
    <hyperlink ref="I1331" r:id="rId860" xr:uid="{9BE4FA8A-1FD6-4CC2-903A-1652214A3C12}"/>
    <hyperlink ref="I1332" r:id="rId861" xr:uid="{5F60AFF5-DAE4-4FA8-B20E-584218973F7F}"/>
    <hyperlink ref="S1332" r:id="rId862" xr:uid="{05823C42-090A-480A-A18B-2AA970F304D8}"/>
    <hyperlink ref="S1333" r:id="rId863" xr:uid="{2DB3A599-4120-452C-ACAA-D2C98F12D221}"/>
    <hyperlink ref="S1334" r:id="rId864" xr:uid="{4E1A6F9B-F34F-4734-8CF5-1353D834A85A}"/>
    <hyperlink ref="I1336" r:id="rId865" xr:uid="{5FAA8E8B-709F-4861-BB47-63CCCEC7F0B6}"/>
    <hyperlink ref="S1336" r:id="rId866" xr:uid="{A16510A4-9F25-4324-93E7-FBA355149955}"/>
    <hyperlink ref="I1337" r:id="rId867" xr:uid="{DC1692FE-AB22-4C09-9CAD-B8D2BC92E520}"/>
    <hyperlink ref="I1338" r:id="rId868" xr:uid="{03DA9EF6-7E3E-4CF3-B7DC-8C5C98DC3819}"/>
    <hyperlink ref="S1338" r:id="rId869" xr:uid="{057457C2-9CD2-4269-B078-A82D110DC916}"/>
    <hyperlink ref="I1340" r:id="rId870" xr:uid="{764B332B-BD27-4220-8B07-F487F1C87848}"/>
    <hyperlink ref="S1340" r:id="rId871" xr:uid="{C8A4AB84-4EC4-480C-9586-6A9A31787413}"/>
    <hyperlink ref="I1341" r:id="rId872" xr:uid="{E564B4E7-D8C1-4AE8-B724-8FF91BB7DC54}"/>
    <hyperlink ref="I1342" r:id="rId873" xr:uid="{484526B4-D6FC-4CF5-B52C-96FF35694B80}"/>
    <hyperlink ref="S1343" r:id="rId874" xr:uid="{68A2E1C5-9743-4682-A473-17D5B6D2B4D8}"/>
    <hyperlink ref="S1345" r:id="rId875" xr:uid="{FBAC47F7-9D1C-4669-9BFC-0E85DDE38B54}"/>
    <hyperlink ref="S1346" r:id="rId876" xr:uid="{F1F84DFE-9688-4557-9FAA-E3A271313C6F}"/>
    <hyperlink ref="I1348" r:id="rId877" xr:uid="{EE6A2B10-7A2B-4E0F-A346-9F54093953EF}"/>
    <hyperlink ref="S1348" r:id="rId878" xr:uid="{90D15422-8D0E-40B5-BA2B-FB39859AA235}"/>
    <hyperlink ref="S1349" r:id="rId879" xr:uid="{685B0CF2-CE58-44C2-A322-4E1557D48E79}"/>
    <hyperlink ref="I1350" r:id="rId880" xr:uid="{60E491D0-7782-4438-A627-5DFBB5EBABF9}"/>
    <hyperlink ref="S1350" r:id="rId881" xr:uid="{1601EA01-975B-4D06-8147-98AB028862CF}"/>
    <hyperlink ref="S1351" r:id="rId882" xr:uid="{87F3D327-324A-4187-8206-01E3C43673D3}"/>
    <hyperlink ref="I1352" r:id="rId883" xr:uid="{2EE53132-CCE3-42B8-B97B-034FACE00D9D}"/>
    <hyperlink ref="S1352" r:id="rId884" xr:uid="{D10C7E2C-3D1C-46E9-975E-C62C26B44F1E}"/>
    <hyperlink ref="S1354" r:id="rId885" xr:uid="{C833CC06-C2E8-4C5A-8AAE-652C45262B2E}"/>
    <hyperlink ref="I1356" r:id="rId886" xr:uid="{06B02B13-4F32-4916-8611-03D15266666D}"/>
    <hyperlink ref="S1356" r:id="rId887" xr:uid="{D4AD32D1-9FF4-427C-8A85-35E2020D11CF}"/>
    <hyperlink ref="S1357" r:id="rId888" xr:uid="{D08C2ED1-8255-48EF-AB83-BFB05EBB6DB6}"/>
    <hyperlink ref="I1358" r:id="rId889" xr:uid="{22DD1DE4-F5C7-4E58-9362-C223B8293BCA}"/>
    <hyperlink ref="S1358" r:id="rId890" xr:uid="{A731C36A-11C4-4B66-8676-70C861705A36}"/>
    <hyperlink ref="S1360" r:id="rId891" xr:uid="{E279C481-AD7E-400E-BE62-45AF5D4FCC0D}"/>
    <hyperlink ref="S1361" r:id="rId892" xr:uid="{46ECC479-410E-439B-A7A4-D44152FC4DA3}"/>
    <hyperlink ref="I1362" r:id="rId893" xr:uid="{9421339C-20A0-4C67-B06B-F6B8C8F56CEE}"/>
    <hyperlink ref="I1363" r:id="rId894" xr:uid="{B24AE350-976A-4C7B-A607-A9264178C9F1}"/>
    <hyperlink ref="I1364" r:id="rId895" xr:uid="{4B079D8E-A403-482E-A21E-3A7141B0C09F}"/>
    <hyperlink ref="S1365" r:id="rId896" xr:uid="{8D7D5E0B-077E-4763-9499-A457921C6200}"/>
    <hyperlink ref="S1366" r:id="rId897" xr:uid="{40704B88-0AAF-470B-8F65-54F7D6F6105C}"/>
    <hyperlink ref="I1367" r:id="rId898" xr:uid="{E0F9B48E-D851-45B0-965C-5A1DFE7DC8B7}"/>
    <hyperlink ref="S1367" r:id="rId899" xr:uid="{F69FB215-B077-4517-B02E-88BF0880837D}"/>
    <hyperlink ref="I1368" r:id="rId900" xr:uid="{D3610431-9CDE-41E0-BDAF-CEAEBA358F3B}"/>
    <hyperlink ref="S1368" r:id="rId901" xr:uid="{D688222F-0576-4712-BDCF-B902C1504423}"/>
    <hyperlink ref="I1373" r:id="rId902" xr:uid="{FF09BE2E-CA3A-4FD9-9092-0FC0A4EAD665}"/>
    <hyperlink ref="S1374" r:id="rId903" xr:uid="{D57D4BCD-B082-4DC7-8B9A-DE61AE92B5EC}"/>
    <hyperlink ref="I1375" r:id="rId904" xr:uid="{8A37B290-0FE2-491C-B5F8-8B366608F82C}"/>
    <hyperlink ref="S1375" r:id="rId905" xr:uid="{18A468C7-DB97-4B8F-9FAC-49CC2B5D33D4}"/>
    <hyperlink ref="I1376" r:id="rId906" xr:uid="{80CC05A9-2EF6-4583-A713-057B31A18863}"/>
    <hyperlink ref="S1376" r:id="rId907" xr:uid="{2AFE9E63-8455-483F-8599-3DE04D11513A}"/>
    <hyperlink ref="I1377" r:id="rId908" xr:uid="{E71827F1-4D43-4F7D-BFA5-4270F279976D}"/>
    <hyperlink ref="S1377" r:id="rId909" xr:uid="{88923803-5D13-45EB-B9C3-98B5086F0D8F}"/>
    <hyperlink ref="S1385" r:id="rId910" xr:uid="{CBFF5A50-AB6F-462D-A300-D07A56139FC9}"/>
    <hyperlink ref="S1387" r:id="rId911" xr:uid="{50C77C5B-2F51-4662-857A-FC2F4507C0DB}"/>
    <hyperlink ref="S1389" r:id="rId912" xr:uid="{B17A6375-970F-4D9F-B3C3-4AAF39E94FFE}"/>
    <hyperlink ref="I1391" r:id="rId913" xr:uid="{DDFCDB7B-5AB2-415F-B518-728EC74BC156}"/>
    <hyperlink ref="I1392" r:id="rId914" xr:uid="{05290D6A-B6EA-4823-B9F0-F96E29F50151}"/>
    <hyperlink ref="S1392" r:id="rId915" xr:uid="{45AC4360-526F-44F8-BF94-5DBBFAC7E817}"/>
    <hyperlink ref="I1393" r:id="rId916" xr:uid="{B3D23D00-B070-4019-933C-4FD70A2EB982}"/>
    <hyperlink ref="I1394" r:id="rId917" xr:uid="{328AD709-0F9A-4148-8CF4-B39E5D3C8DDB}"/>
    <hyperlink ref="S1394" r:id="rId918" xr:uid="{3ADBD805-E20C-4B15-8948-B77C54860445}"/>
    <hyperlink ref="I1395" r:id="rId919" xr:uid="{502631C0-F8DD-45A4-AD64-766DD4C3A335}"/>
    <hyperlink ref="S1395" r:id="rId920" xr:uid="{2BC28FD8-375A-40E4-982A-DC3951424B2A}"/>
    <hyperlink ref="I1398" r:id="rId921" xr:uid="{4C424043-7DA6-41EC-A125-B0D75F2F739B}"/>
    <hyperlink ref="S1398" r:id="rId922" xr:uid="{45068540-CAC3-4E8E-A777-28B2DEF8C4D6}"/>
    <hyperlink ref="I1399" r:id="rId923" xr:uid="{A3D001B9-6610-409B-9B48-C48E951C2C87}"/>
    <hyperlink ref="S1399" r:id="rId924" xr:uid="{02167D45-4BA4-43DD-9491-F5E840BC9AB7}"/>
    <hyperlink ref="I1402" r:id="rId925" xr:uid="{FF77739E-9484-44CA-950D-AC6A23A34E92}"/>
    <hyperlink ref="S1402" r:id="rId926" xr:uid="{8581AB23-7761-4D5A-BE75-DD7EFC755368}"/>
    <hyperlink ref="I1403" r:id="rId927" xr:uid="{26E6CAFA-5B23-4842-9F89-7812F495B9C0}"/>
    <hyperlink ref="I1404" r:id="rId928" xr:uid="{654D1AB8-13C4-4B27-9AD5-CEFA8DB762E5}"/>
    <hyperlink ref="S1404" r:id="rId929" xr:uid="{DE010A72-0882-4082-9F52-9FA7855F46FA}"/>
    <hyperlink ref="I1405" r:id="rId930" xr:uid="{B9DF896C-5BC1-48D4-A54D-8C448D011C62}"/>
    <hyperlink ref="S1405" r:id="rId931" xr:uid="{53FC88BC-67B4-48F0-9239-35314FA0BBFB}"/>
    <hyperlink ref="I1407" r:id="rId932" xr:uid="{2596C856-5946-4C7B-BE8C-795C4304AD36}"/>
    <hyperlink ref="S1407" r:id="rId933" xr:uid="{0A3EF2B1-4AAE-436D-B79C-64FC7353B559}"/>
    <hyperlink ref="I1408" r:id="rId934" xr:uid="{5253D089-9FD2-4C7B-BB02-47AC8B058462}"/>
    <hyperlink ref="S1408" r:id="rId935" xr:uid="{1BC0E9E2-FEE1-47AE-A375-4A370A5140DF}"/>
    <hyperlink ref="I1409" r:id="rId936" xr:uid="{F1201E4C-7A68-4C03-945B-6FD7FB7335E3}"/>
    <hyperlink ref="S1409" r:id="rId937" xr:uid="{F9444AAD-4713-4CBE-A4C2-22CF76F40AD8}"/>
    <hyperlink ref="I1410" r:id="rId938" xr:uid="{80C6CF24-4585-49E3-B419-487A5EFFF497}"/>
    <hyperlink ref="I1411" r:id="rId939" xr:uid="{113B8FE6-F11F-42F0-A15D-260DE613AAA4}"/>
    <hyperlink ref="I1413" r:id="rId940" xr:uid="{63277063-461C-40E8-ADC4-80280ACAB623}"/>
    <hyperlink ref="I1415" r:id="rId941" xr:uid="{49E2BF65-9C00-4C3A-A662-961E56ED3D9B}"/>
    <hyperlink ref="I1417" r:id="rId942" xr:uid="{46FDFEDC-C1F5-4910-9321-E5CD29F47F52}"/>
    <hyperlink ref="I1419" r:id="rId943" xr:uid="{34E8A513-BCE3-47A7-B19D-AED0EC4477B1}"/>
    <hyperlink ref="S1419" r:id="rId944" xr:uid="{06979FDB-997B-4E7B-AAF1-88F2B06C0942}"/>
    <hyperlink ref="I1420" r:id="rId945" xr:uid="{6728FF39-AC41-49FC-9E38-99130DB2BE04}"/>
    <hyperlink ref="I1421" r:id="rId946" xr:uid="{3DF8175B-EFD6-4C84-AFB8-4882BF725D38}"/>
    <hyperlink ref="I1427" r:id="rId947" xr:uid="{A70EEE6B-5F41-4689-B32B-192D0C92CC62}"/>
    <hyperlink ref="I1428" r:id="rId948" xr:uid="{18772EBB-688F-4480-9852-BE22318AF77F}"/>
    <hyperlink ref="S1428" r:id="rId949" xr:uid="{2986EDB4-F6AB-42D5-B053-2B558DCE9844}"/>
    <hyperlink ref="I1429" r:id="rId950" xr:uid="{99FF16BD-01D7-4B90-BC71-DD60EAB839D7}"/>
    <hyperlink ref="I1430" r:id="rId951" xr:uid="{9E1620C2-65C1-4C00-8A63-00F0E84C9EA3}"/>
    <hyperlink ref="S1430" r:id="rId952" xr:uid="{744B7211-6234-42BB-B17C-854636172AFC}"/>
    <hyperlink ref="I1438" r:id="rId953" xr:uid="{7CB2DFE3-8DD5-4FF0-AC48-76C3DC22D3C2}"/>
    <hyperlink ref="S1438" r:id="rId954" xr:uid="{403836DD-7CB5-45B9-AAB7-35A3A49A40F6}"/>
    <hyperlink ref="I1442" r:id="rId955" xr:uid="{258C1585-DE75-48CE-AA97-F2D2AA2CE64A}"/>
    <hyperlink ref="S1442" r:id="rId956" xr:uid="{8C363F7E-22C8-4134-966A-8D2046A7BA5E}"/>
    <hyperlink ref="I1447" r:id="rId957" xr:uid="{F33F93AA-0375-4A00-9418-D7D1BF92601E}"/>
    <hyperlink ref="I1449" r:id="rId958" xr:uid="{FBBC6817-B3A5-4554-B0A2-2C200ABA6954}"/>
    <hyperlink ref="I1450" r:id="rId959" xr:uid="{0B52986E-4DC4-444D-ADDF-3B82B8FA811D}"/>
    <hyperlink ref="S1450" r:id="rId960" xr:uid="{7A74162B-7E1E-492D-8013-AC5CC501CBD2}"/>
    <hyperlink ref="S1452" r:id="rId961" xr:uid="{5B2916D5-8430-4BE5-AE86-72F8D453C437}"/>
    <hyperlink ref="I1453" r:id="rId962" xr:uid="{2BC6C1FE-845B-4CF9-93D3-2C95918C0146}"/>
    <hyperlink ref="I1454" r:id="rId963" xr:uid="{92F3DED4-ED10-4F70-8B91-8DBAA58830AA}"/>
    <hyperlink ref="S1455" r:id="rId964" xr:uid="{6E582BAE-2288-49F2-B759-204800EEB42C}"/>
    <hyperlink ref="S1456" r:id="rId965" xr:uid="{635DB1C3-E7BD-41DB-97FD-E06C628224A0}"/>
    <hyperlink ref="I1457" r:id="rId966" xr:uid="{0F88CE1B-7412-4D83-A01D-61E8D351E130}"/>
    <hyperlink ref="S1461" r:id="rId967" xr:uid="{0C4A8D32-FF63-4CC0-A137-1C1764280723}"/>
    <hyperlink ref="S1463" r:id="rId968" xr:uid="{92F9024D-7778-41B4-99C1-2A2F8A647C47}"/>
    <hyperlink ref="S1464" r:id="rId969" xr:uid="{D5CBA135-8EDE-45FC-A4C6-4864FA32241D}"/>
    <hyperlink ref="I1465" r:id="rId970" xr:uid="{0FC08E52-97E6-4512-829D-7EA1A206DE81}"/>
    <hyperlink ref="S1465" r:id="rId971" xr:uid="{23667757-F6C7-454C-93A7-D7E223998BB3}"/>
    <hyperlink ref="I1466" r:id="rId972" xr:uid="{7C2AE54D-31C3-45D1-AA11-ED479235C17F}"/>
    <hyperlink ref="S1466" r:id="rId973" xr:uid="{E445A673-E0C4-48D9-8BB4-6501FE7D687E}"/>
    <hyperlink ref="S1468" r:id="rId974" xr:uid="{CAA85F63-4056-4B55-AC79-A76D7AECE72D}"/>
    <hyperlink ref="I1469" r:id="rId975" xr:uid="{224A8CA4-ECA0-4B56-BC71-E42E3922D91D}"/>
    <hyperlink ref="I1470" r:id="rId976" xr:uid="{80BA1881-A97B-4FF6-91BD-40220EDAE97E}"/>
    <hyperlink ref="S1470" r:id="rId977" xr:uid="{DB772106-B3FC-402F-B477-392376F76824}"/>
    <hyperlink ref="I1471" r:id="rId978" xr:uid="{8B014188-659F-47D4-B39D-4FCD8D8E46BB}"/>
    <hyperlink ref="S1471" r:id="rId979" xr:uid="{1B8349E1-8625-4112-9D73-994C1D2BA629}"/>
    <hyperlink ref="S1472" r:id="rId980" xr:uid="{397CEC37-82EE-4C84-9698-1CCE6C5F17AD}"/>
    <hyperlink ref="I1473" r:id="rId981" xr:uid="{883D8C7C-6984-4E90-82F0-720F83467A5E}"/>
    <hyperlink ref="S1473" r:id="rId982" xr:uid="{5AD40225-719A-49FD-82D0-4DCF4DF0D3C3}"/>
    <hyperlink ref="I1474" r:id="rId983" xr:uid="{D9A75342-17DE-4544-B876-3845A61D8F48}"/>
    <hyperlink ref="S1474" r:id="rId984" xr:uid="{59407020-9F0C-410E-9C19-7693524937B2}"/>
    <hyperlink ref="I1475" r:id="rId985" xr:uid="{09989244-935A-4DD0-8E3B-236A96B6EA57}"/>
    <hyperlink ref="S1475" r:id="rId986" xr:uid="{DF22162E-9D6A-4F40-B33D-0CB1E0809414}"/>
    <hyperlink ref="I1476" r:id="rId987" xr:uid="{E097C571-8AB5-40CA-8C41-290902E5F33C}"/>
    <hyperlink ref="S1476" r:id="rId988" xr:uid="{2FE26143-F4B3-4116-978E-BB04380A1D7F}"/>
    <hyperlink ref="I1477" r:id="rId989" xr:uid="{9250927E-B6C8-4ADF-99D8-BF6264B85EE1}"/>
    <hyperlink ref="S1477" r:id="rId990" xr:uid="{117793D5-00FB-49E0-9723-3388A86F00D5}"/>
    <hyperlink ref="S1478" r:id="rId991" xr:uid="{AC1DE606-A987-4785-9033-F29935F6D49E}"/>
    <hyperlink ref="I1479" r:id="rId992" xr:uid="{D75581B2-CE52-4ECB-9E9E-CC6753BA4E21}"/>
    <hyperlink ref="S1479" r:id="rId993" xr:uid="{2DD19278-7316-4938-9E72-9AFF807A2765}"/>
    <hyperlink ref="I1480" r:id="rId994" xr:uid="{E0B1D82E-2101-4027-9397-BEE5F2B602E7}"/>
    <hyperlink ref="I1483" r:id="rId995" xr:uid="{FCCA1362-43D4-49F6-B4E3-065A6927048D}"/>
    <hyperlink ref="S1483" r:id="rId996" xr:uid="{6608B824-5960-43D4-B7EC-DA4F8DA14517}"/>
    <hyperlink ref="I1484" r:id="rId997" xr:uid="{542A35A5-04F5-48CF-AD39-D955FDFDF3FD}"/>
    <hyperlink ref="S1484" r:id="rId998" xr:uid="{E1E2F4D5-5949-40E6-A370-8658FEC59A06}"/>
    <hyperlink ref="I1485" r:id="rId999" xr:uid="{5EC8B314-0473-4BE3-9D7E-D35B5276CFE1}"/>
    <hyperlink ref="I1487" r:id="rId1000" xr:uid="{373118E1-FF3C-44AD-AB1D-0468DA758E81}"/>
    <hyperlink ref="S1487" r:id="rId1001" xr:uid="{8E67E7C3-D691-499B-8592-FCB0D514C44C}"/>
    <hyperlink ref="I1488" r:id="rId1002" xr:uid="{5CCAE0B2-23EE-4BFE-8FBD-0F7BFEB03029}"/>
    <hyperlink ref="S1488" r:id="rId1003" xr:uid="{A7CCCBA8-977B-4DBC-8B98-C60B43F62095}"/>
    <hyperlink ref="I1489" r:id="rId1004" xr:uid="{C62465BE-EA72-4B34-BB0E-B06D96D5CB01}"/>
    <hyperlink ref="I1490" r:id="rId1005" xr:uid="{26E0B8BC-4B88-4E36-8A61-5FB9B3EA0C50}"/>
    <hyperlink ref="S1490" r:id="rId1006" xr:uid="{732DF195-7DAC-4F0E-9567-BF86AD126481}"/>
    <hyperlink ref="I1491" r:id="rId1007" xr:uid="{A62A8AD7-7359-489D-8E02-FE048F6FB093}"/>
    <hyperlink ref="I1492" r:id="rId1008" xr:uid="{1649A45D-F0AE-40A9-AEA4-0198C1670B7D}"/>
    <hyperlink ref="I1493" r:id="rId1009" xr:uid="{A03C4BF7-9117-4C73-BCBE-A23D64BC45F7}"/>
    <hyperlink ref="I1495" r:id="rId1010" xr:uid="{ABAF4480-825E-4AA0-AABE-D6EC54A39F82}"/>
    <hyperlink ref="S1495" r:id="rId1011" xr:uid="{28755AD7-83EC-4EDF-9BBB-CB303F127DA6}"/>
    <hyperlink ref="I1497" r:id="rId1012" xr:uid="{30BB3EEB-314F-4198-8C7C-6939B031CC61}"/>
    <hyperlink ref="I1499" r:id="rId1013" xr:uid="{AA37CD85-E4B5-44A4-A281-686DF56AC1EE}"/>
    <hyperlink ref="S1499" r:id="rId1014" xr:uid="{636D6F9F-639E-409C-81F3-225534A7D3D9}"/>
    <hyperlink ref="S1500" r:id="rId1015" xr:uid="{F5CFDAB2-1B97-43B0-92A0-079EFBA1EED7}"/>
    <hyperlink ref="S1501" r:id="rId1016" xr:uid="{ABC7336F-C2D6-43B0-8BBC-37C5637EBCE4}"/>
    <hyperlink ref="I1502" r:id="rId1017" xr:uid="{3C7CF2A3-8C3F-4E72-A5D2-976E1653A720}"/>
    <hyperlink ref="S1502" r:id="rId1018" xr:uid="{3D976E93-086B-4C7B-95CD-8ADA31E40102}"/>
    <hyperlink ref="I1503" r:id="rId1019" xr:uid="{8073B227-8931-44D8-AC32-A9170C717CA0}"/>
    <hyperlink ref="S1503" r:id="rId1020" xr:uid="{77112A06-EED0-4455-943B-9150C071B9B4}"/>
    <hyperlink ref="S1504" r:id="rId1021" xr:uid="{77E4E8FC-B990-4296-BD97-BD29D6396AB1}"/>
    <hyperlink ref="I1507" r:id="rId1022" xr:uid="{3A6F0488-A9E6-4987-9D41-2D761036E818}"/>
    <hyperlink ref="S1507" r:id="rId1023" xr:uid="{CC965DFF-724F-48E5-902C-519E9A71F3A4}"/>
    <hyperlink ref="I1508" r:id="rId1024" xr:uid="{D8339453-F5DE-4789-9F24-40C367DA5116}"/>
    <hyperlink ref="S1508" r:id="rId1025" xr:uid="{312B919C-7E82-4AB7-9492-88381E7D6D88}"/>
    <hyperlink ref="I1512" r:id="rId1026" xr:uid="{AD148DD3-4D5C-48A7-AFFD-C5D8A325BD43}"/>
    <hyperlink ref="I1514" r:id="rId1027" xr:uid="{DBD7B5E4-C7F5-446D-AF12-813392011389}"/>
    <hyperlink ref="S1514" r:id="rId1028" xr:uid="{B1AB22AF-A3CB-4BF9-9E93-5BF91C9DF430}"/>
    <hyperlink ref="I1515" r:id="rId1029" xr:uid="{AEB8DAA1-5CBA-4376-9360-43D7180592E6}"/>
    <hyperlink ref="I1516" r:id="rId1030" xr:uid="{32906B66-FFB9-449A-83DE-834FBBD2F10E}"/>
    <hyperlink ref="I1520" r:id="rId1031" xr:uid="{04863EAC-69A8-4752-8227-06C13E14D58C}"/>
    <hyperlink ref="I1521" r:id="rId1032" xr:uid="{6A0FB73F-E6E0-401F-9241-2EF883AAB29A}"/>
    <hyperlink ref="I1522" r:id="rId1033" xr:uid="{06B5D0DC-9B21-4F4B-A06A-2270E5F0F97E}"/>
    <hyperlink ref="I1523" r:id="rId1034" xr:uid="{F23CDDB3-1300-4121-B2C8-893ED259B453}"/>
    <hyperlink ref="I1524" r:id="rId1035" xr:uid="{72E78343-B526-483A-98FE-8A024BA86ADC}"/>
    <hyperlink ref="S1524" r:id="rId1036" xr:uid="{0A473998-B6D0-4664-A137-DDEE5A837380}"/>
    <hyperlink ref="I1525" r:id="rId1037" xr:uid="{C5198689-1897-4783-B7A2-252F5AE67B30}"/>
    <hyperlink ref="S1527" r:id="rId1038" xr:uid="{5B4598B8-B023-46CC-895D-066BA1DE73C5}"/>
    <hyperlink ref="S1528" r:id="rId1039" xr:uid="{5943A85D-FA3F-4D78-ADDF-11A5959B9C6B}"/>
    <hyperlink ref="I1530" r:id="rId1040" xr:uid="{D6654F72-47AE-4A44-B4D5-D94F38C1FB43}"/>
    <hyperlink ref="I1533" r:id="rId1041" xr:uid="{7D50E843-F047-49CA-9A91-C8A6703BCC53}"/>
    <hyperlink ref="I1534" r:id="rId1042" xr:uid="{8E88E782-5CD6-45CE-8EDB-ABC9FEC64F9D}"/>
    <hyperlink ref="I1536" r:id="rId1043" xr:uid="{CD2A09E8-2D21-457A-B383-09A13D3CE38E}"/>
    <hyperlink ref="S1536" r:id="rId1044" xr:uid="{9A5CCC28-4C3E-4381-80CF-58436CAD23B5}"/>
    <hyperlink ref="I1537" r:id="rId1045" xr:uid="{2BA55DE6-174E-403D-8A7A-5032A064B4B9}"/>
    <hyperlink ref="I1538" r:id="rId1046" xr:uid="{A9388983-A413-46DB-87A8-20AC05A78332}"/>
    <hyperlink ref="S1538" r:id="rId1047" xr:uid="{9651206E-227B-4F83-B5B6-1800F1CAFA35}"/>
    <hyperlink ref="I1539" r:id="rId1048" xr:uid="{8B7179E2-CFA1-429B-B392-5BFAB9AC4FDE}"/>
    <hyperlink ref="I1540" r:id="rId1049" xr:uid="{B5A74B7F-3426-429D-B8F6-D4021E760FA6}"/>
    <hyperlink ref="S1540" r:id="rId1050" xr:uid="{90E0606D-DC64-4C7C-8A80-4AA1FEEA52AD}"/>
    <hyperlink ref="S1541" r:id="rId1051" xr:uid="{AC54BB2E-6532-4D21-AF9B-60A497B92CE6}"/>
    <hyperlink ref="I1542" r:id="rId1052" xr:uid="{7123DAFB-852D-4DC2-8E25-4841B72A67E3}"/>
    <hyperlink ref="S1542" r:id="rId1053" xr:uid="{9F915758-D03E-4C17-8849-572C61E2CFB9}"/>
    <hyperlink ref="I1544" r:id="rId1054" xr:uid="{28A64BCA-D340-49F2-B62A-32DB0BAFF8B2}"/>
    <hyperlink ref="S1544" r:id="rId1055" xr:uid="{953629D5-3174-42E7-BE93-7D0B77C3DE88}"/>
    <hyperlink ref="I1545" r:id="rId1056" xr:uid="{3C88EAE8-B81A-4EA8-99A0-069A47FFF4FF}"/>
    <hyperlink ref="S1545" r:id="rId1057" xr:uid="{98ADF911-EC08-42E4-B999-C8DBF25A50DD}"/>
    <hyperlink ref="I1546" r:id="rId1058" xr:uid="{C00196DC-C99A-4F31-9E1A-4E06E574A8D3}"/>
    <hyperlink ref="I1547" r:id="rId1059" xr:uid="{DD5DAFA0-6489-4B71-9160-9EE478E1CD4B}"/>
    <hyperlink ref="S1547" r:id="rId1060" xr:uid="{0B6D5E25-42A3-40B0-B2F9-651BFFE7BB88}"/>
    <hyperlink ref="I1548" r:id="rId1061" xr:uid="{AB36B32F-1D89-45A3-B64F-A4EE4076F7C8}"/>
    <hyperlink ref="I1550" r:id="rId1062" xr:uid="{A140CE19-A205-4425-AC9F-07E10C97A449}"/>
    <hyperlink ref="S1550" r:id="rId1063" xr:uid="{E78230D4-1E21-4F77-8858-BC05B06F105D}"/>
    <hyperlink ref="I1551" r:id="rId1064" xr:uid="{6C6325C3-7B72-414C-AB20-7D650057826C}"/>
    <hyperlink ref="I1553" r:id="rId1065" xr:uid="{6F7C04A2-BFED-42DA-BE2C-5EDE73A35366}"/>
    <hyperlink ref="S1555" r:id="rId1066" xr:uid="{E148CBE6-2E56-435F-9BC6-DBE751A7AD64}"/>
    <hyperlink ref="I1556" r:id="rId1067" xr:uid="{931E2CCC-14CF-44D4-8C13-680085EDA698}"/>
    <hyperlink ref="S1556" r:id="rId1068" xr:uid="{50B1EDA3-8315-4D88-8A09-B2C42197113A}"/>
    <hyperlink ref="S1560" r:id="rId1069" xr:uid="{BCD07A80-270E-4383-B52A-3DDC48C799E6}"/>
    <hyperlink ref="I1562" r:id="rId1070" xr:uid="{BB71D7C4-7A7C-4709-929F-54D361F2B7D2}"/>
    <hyperlink ref="S1562" r:id="rId1071" xr:uid="{1DECF175-FA4C-4DAA-97C0-5DB3CC7F3417}"/>
    <hyperlink ref="I1563" r:id="rId1072" xr:uid="{A21CC340-A1BC-4396-ABF0-EB2B5EB17E82}"/>
    <hyperlink ref="S1565" r:id="rId1073" xr:uid="{9AC7A513-2445-4B15-A933-D4E9224E7A88}"/>
    <hyperlink ref="S1566" r:id="rId1074" xr:uid="{FF629AA3-BDAB-4873-9FD3-719F27A80F39}"/>
    <hyperlink ref="I1567" r:id="rId1075" xr:uid="{912F9DF3-F86F-42DD-AA4F-6119B80B463F}"/>
    <hyperlink ref="I1568" r:id="rId1076" xr:uid="{935B8F83-1753-4C68-AB81-368E80BFE388}"/>
    <hyperlink ref="S1568" r:id="rId1077" xr:uid="{A43AC1CC-E6CC-4397-958E-E91558C6BA2C}"/>
    <hyperlink ref="I1569" r:id="rId1078" xr:uid="{0624C618-05AB-47DC-BA6D-E81C295FA0A7}"/>
    <hyperlink ref="S1569" r:id="rId1079" xr:uid="{DC998B91-6B13-4288-904F-ED00E72691DA}"/>
    <hyperlink ref="I1570" r:id="rId1080" xr:uid="{F1A3FA30-A09C-4F15-A2AF-004D9F25A463}"/>
    <hyperlink ref="I1571" r:id="rId1081" xr:uid="{CCA8FE94-6967-4DA1-A004-790378E465B2}"/>
    <hyperlink ref="S1571" r:id="rId1082" xr:uid="{2591F9B8-39B5-4FBC-B8D2-6733F94F316B}"/>
    <hyperlink ref="I1572" r:id="rId1083" xr:uid="{5506A70A-F5CA-4571-B398-271FD6A2E3D2}"/>
    <hyperlink ref="S1572" r:id="rId1084" xr:uid="{F0115C77-B89B-4704-9F2C-969E5E35AC94}"/>
    <hyperlink ref="I1573" r:id="rId1085" xr:uid="{331E053C-2622-461D-8DA5-50E82AA3B260}"/>
    <hyperlink ref="S1575" r:id="rId1086" xr:uid="{AA843268-680D-4C8B-A6A3-6326513E70DB}"/>
    <hyperlink ref="S1576" r:id="rId1087" xr:uid="{0BB433ED-16E5-4481-9AE6-B727E35B4CCA}"/>
    <hyperlink ref="I1578" r:id="rId1088" xr:uid="{A3F532A1-8FC9-40A1-8C73-466C701FBD16}"/>
    <hyperlink ref="S1578" r:id="rId1089" xr:uid="{678D5EEE-2C16-4015-829F-84FEC12D302C}"/>
    <hyperlink ref="I1579" r:id="rId1090" xr:uid="{EF0A20FC-4AC2-4966-A6D6-0C18320A9385}"/>
    <hyperlink ref="S1579" r:id="rId1091" xr:uid="{8D740220-6C52-48F6-BAD2-445195DCEB44}"/>
    <hyperlink ref="I1580" r:id="rId1092" xr:uid="{3CBFFF12-3354-4784-A2F7-80DE17764BD0}"/>
    <hyperlink ref="I1581" r:id="rId1093" xr:uid="{87DD7693-8FF7-41B5-A5BB-0BEA3295626D}"/>
    <hyperlink ref="S1581" r:id="rId1094" xr:uid="{13365586-1E55-49D2-A225-14754CB432C8}"/>
    <hyperlink ref="S1583" r:id="rId1095" xr:uid="{4C140103-F838-4F7F-8E63-AC60543106C0}"/>
    <hyperlink ref="I1585" r:id="rId1096" xr:uid="{26C50A15-0B90-4094-A6AE-A83CC1D8F321}"/>
    <hyperlink ref="S1585" r:id="rId1097" xr:uid="{E1CFB40A-A29A-4A2E-970E-4F988900B1B8}"/>
    <hyperlink ref="I1587" r:id="rId1098" xr:uid="{992209DA-F320-4D66-8262-FA444C89312B}"/>
    <hyperlink ref="I1588" r:id="rId1099" xr:uid="{DA7A4E8C-3AE1-4919-901A-73E9413C3CF2}"/>
    <hyperlink ref="S1588" r:id="rId1100" xr:uid="{F9DC06BA-86A8-42F9-B6B3-14FE315E8B41}"/>
    <hyperlink ref="I1589" r:id="rId1101" xr:uid="{8101B300-65F2-444B-B976-8769B4FDB944}"/>
    <hyperlink ref="S1592" r:id="rId1102" xr:uid="{5005283E-8371-41AF-8C7F-9025D6E41475}"/>
    <hyperlink ref="I1595" r:id="rId1103" xr:uid="{85796F84-EDBD-4F3A-837E-ED7896117B41}"/>
    <hyperlink ref="I1596" r:id="rId1104" xr:uid="{4E5E25AD-8FA1-485C-8578-CC8231E4A209}"/>
    <hyperlink ref="I1598" r:id="rId1105" xr:uid="{92DF31B4-43F7-4E6E-B91B-7DA7A84EBA7A}"/>
    <hyperlink ref="I1601" r:id="rId1106" xr:uid="{00DB96B4-00C6-481C-A242-87D8AC3AF7F0}"/>
    <hyperlink ref="S1601" r:id="rId1107" xr:uid="{142680E8-9B0B-46F6-BFED-56D27A0782D9}"/>
    <hyperlink ref="S1602" r:id="rId1108" xr:uid="{DB7BA6D4-D582-40E9-B528-066BFBE2BCBF}"/>
    <hyperlink ref="I1603" r:id="rId1109" xr:uid="{1F00B9F4-022D-4C60-A890-96E4DD61EDF8}"/>
    <hyperlink ref="S1603" r:id="rId1110" xr:uid="{18B6AE2F-ABE9-45DF-9BA1-A096FA801831}"/>
    <hyperlink ref="I1605" r:id="rId1111" xr:uid="{72B3CCBB-7794-47FF-87BC-14534D698011}"/>
    <hyperlink ref="I1606" r:id="rId1112" xr:uid="{DBB1EAED-5BEE-425E-80BE-FBF155F5EFDB}"/>
    <hyperlink ref="S1607" r:id="rId1113" xr:uid="{F2337B78-23F6-45DC-B343-7BAE91CAED6B}"/>
    <hyperlink ref="S1609" r:id="rId1114" xr:uid="{77344F46-879D-496D-95EC-DC32B140F8BD}"/>
    <hyperlink ref="S1610" r:id="rId1115" xr:uid="{7E0CDE85-F48F-4AFB-95DE-F5821A406A4D}"/>
    <hyperlink ref="I1611" r:id="rId1116" xr:uid="{48B6473E-78E6-4577-9C43-2073C0AB15AC}"/>
    <hyperlink ref="S1611" r:id="rId1117" xr:uid="{E839B8D0-1937-44B4-99E7-6A7ACDB1ACF5}"/>
    <hyperlink ref="I1612" r:id="rId1118" xr:uid="{6A0ACEAC-91D0-42D9-9A83-C0138C54734C}"/>
    <hyperlink ref="I1613" r:id="rId1119" xr:uid="{45F9E175-7BBC-47BD-BF26-F4906C3055B1}"/>
    <hyperlink ref="S1613" r:id="rId1120" xr:uid="{17DF52D2-7979-4F6C-83D1-7FEA4F44D2B4}"/>
    <hyperlink ref="S1615" r:id="rId1121" xr:uid="{51187312-58DA-4494-B393-98F851526AE1}"/>
    <hyperlink ref="S1616" r:id="rId1122" xr:uid="{79E2D19D-C95A-4E54-BFBD-6619491F6899}"/>
    <hyperlink ref="I1624" r:id="rId1123" xr:uid="{DCDFFB94-0888-4132-A353-528C91D2F4B9}"/>
    <hyperlink ref="I1627" r:id="rId1124" xr:uid="{EFBEA269-2450-4A0A-A036-F20A7EA4870E}"/>
    <hyperlink ref="I1629" r:id="rId1125" xr:uid="{0AC85648-AEB7-4943-9E13-D17679FD21DC}"/>
    <hyperlink ref="S1631" r:id="rId1126" xr:uid="{8F908362-633D-417E-88FB-2062CC34E1BD}"/>
    <hyperlink ref="I1633" r:id="rId1127" xr:uid="{70B3DC26-F33C-49AD-BE6F-295479C86999}"/>
    <hyperlink ref="S1633" r:id="rId1128" xr:uid="{9E259251-56C5-45E1-AD1E-68DAEFF57D88}"/>
    <hyperlink ref="I1634" r:id="rId1129" xr:uid="{B4BB8545-1516-472A-9A47-0D45005F9DA2}"/>
    <hyperlink ref="I1635" r:id="rId1130" xr:uid="{7A7B8206-F625-47F9-A09F-0732ECD8461F}"/>
    <hyperlink ref="I1640" r:id="rId1131" xr:uid="{B4AEF91C-26C7-47AD-B3A1-813F9CE2C925}"/>
    <hyperlink ref="S1640" r:id="rId1132" xr:uid="{D19D698C-670B-4340-8756-2EA9A29E6030}"/>
    <hyperlink ref="S1643" r:id="rId1133" xr:uid="{C4F57500-8A88-4C52-B99F-7E6BC16D1F9D}"/>
    <hyperlink ref="S1644" r:id="rId1134" xr:uid="{15573CCA-DA2C-4CFC-92DA-21CE56F8C9A3}"/>
    <hyperlink ref="I1645" r:id="rId1135" xr:uid="{598BEB53-E1EB-465C-A333-563273B29A96}"/>
    <hyperlink ref="S1645" r:id="rId1136" xr:uid="{5C0CBD69-CB66-42A9-BAA3-8DC732B50B5F}"/>
    <hyperlink ref="I1647" r:id="rId1137" xr:uid="{20D530C1-16B4-4A15-83BC-85F47F8137D5}"/>
    <hyperlink ref="I1649" r:id="rId1138" xr:uid="{651FD452-6E2A-484A-A50C-3D200CA06D34}"/>
    <hyperlink ref="S1649" r:id="rId1139" xr:uid="{4D646202-ED7E-4EB0-A34E-1AA2D2E0B8FE}"/>
    <hyperlink ref="I1650" r:id="rId1140" xr:uid="{9D9FFA69-0368-481E-B1F7-07EEA67F9B8E}"/>
    <hyperlink ref="S1650" r:id="rId1141" xr:uid="{F6FF3D4F-91A1-437C-8B22-6FE1F0516B11}"/>
    <hyperlink ref="S1651" r:id="rId1142" xr:uid="{7F9DBDA6-EE2A-4004-88BF-AFB276614238}"/>
    <hyperlink ref="S1652" r:id="rId1143" xr:uid="{1C70A6F7-C6B6-4A68-A0E3-9F37AD51F4EE}"/>
    <hyperlink ref="I1655" r:id="rId1144" xr:uid="{FD47019F-243F-4019-B782-F4459B0799DD}"/>
    <hyperlink ref="S1655" r:id="rId1145" xr:uid="{C6D6409E-0040-46F7-BE13-A7EB00F141C9}"/>
    <hyperlink ref="I1656" r:id="rId1146" xr:uid="{E3931D7F-5379-4131-ACC8-B393B234FAE9}"/>
    <hyperlink ref="I1657" r:id="rId1147" xr:uid="{2D140C4F-37C3-4B6F-AE4B-7647813E7670}"/>
    <hyperlink ref="S1657" r:id="rId1148" xr:uid="{2C4F0436-B878-491E-8ED9-3E9DDD1BE95A}"/>
    <hyperlink ref="S1658" r:id="rId1149" xr:uid="{37C26D81-FDD4-4CE2-9BC8-7A25EBD83886}"/>
    <hyperlink ref="I1663" r:id="rId1150" xr:uid="{DCBADC97-AD15-44E5-AD46-DE102A48FA5D}"/>
    <hyperlink ref="I1664" r:id="rId1151" xr:uid="{48F0FA85-332B-41E6-8B8E-4EBACBC63413}"/>
    <hyperlink ref="S1664" r:id="rId1152" xr:uid="{C28EDCE9-C1E3-47E1-B698-5A5914542AF0}"/>
    <hyperlink ref="I1665" r:id="rId1153" xr:uid="{C2E725D4-2DE0-4801-AB9E-55D232D741F3}"/>
    <hyperlink ref="I1669" r:id="rId1154" xr:uid="{E52E01EE-E921-45FD-8589-91EF70FEEEE1}"/>
    <hyperlink ref="S1669" r:id="rId1155" xr:uid="{64C66323-38D2-47CF-904F-1332F8BAF2BF}"/>
    <hyperlink ref="I1670" r:id="rId1156" xr:uid="{44A93170-1AB8-4FF0-981F-BCF1D0BBEB91}"/>
    <hyperlink ref="S1670" r:id="rId1157" xr:uid="{4CEA0A9B-382F-46EA-B824-6A17BC8B318F}"/>
    <hyperlink ref="I1671" r:id="rId1158" xr:uid="{80FCFCA5-3E2F-4680-B29E-8352B5B43CD7}"/>
    <hyperlink ref="S1671" r:id="rId1159" xr:uid="{EE72EC64-E287-4A61-B7B6-64C75B679100}"/>
    <hyperlink ref="I1672" r:id="rId1160" xr:uid="{55239CE8-FC01-45E7-A299-44FEA465B95D}"/>
    <hyperlink ref="S1672" r:id="rId1161" xr:uid="{BE59D646-3B6B-4016-B310-A0E116F0CAAC}"/>
    <hyperlink ref="I1674" r:id="rId1162" xr:uid="{3508411E-EEDB-4A25-9C6D-0DC58C7F5EB9}"/>
    <hyperlink ref="I1675" r:id="rId1163" xr:uid="{2CBE960C-9481-4DDB-89DE-733BD6823CC4}"/>
    <hyperlink ref="S1677" r:id="rId1164" xr:uid="{BFAA1F45-F8F2-4E50-B408-A2C89FF73965}"/>
    <hyperlink ref="I1678" r:id="rId1165" xr:uid="{DD908FD3-AA47-4955-9B00-370556E37A71}"/>
    <hyperlink ref="S1678" r:id="rId1166" xr:uid="{F25B9B37-C0AE-4A8A-B0DE-6DB63D76902B}"/>
    <hyperlink ref="I1679" r:id="rId1167" xr:uid="{4EBFA8A2-C3EB-440B-AA5D-1766C99DA964}"/>
    <hyperlink ref="S1679" r:id="rId1168" xr:uid="{761F6E93-A852-4956-AC1A-B38B49198709}"/>
    <hyperlink ref="I1680" r:id="rId1169" xr:uid="{A2985C99-DFA8-4AEE-9F75-41CB89A192EF}"/>
    <hyperlink ref="I1681" r:id="rId1170" xr:uid="{B1A4FB98-EC6E-43C2-8C43-D9C13C8113FF}"/>
    <hyperlink ref="I1682" r:id="rId1171" xr:uid="{006B3BDA-6398-4BBF-80DE-7E45A8EFC187}"/>
    <hyperlink ref="I1683" r:id="rId1172" xr:uid="{600F70B0-BD81-49E3-A389-BDE7596EBF21}"/>
    <hyperlink ref="I1684" r:id="rId1173" xr:uid="{0917E1E3-C40D-4179-8554-4BBA97F479B3}"/>
    <hyperlink ref="I1685" r:id="rId1174" xr:uid="{EFBE1B75-8309-4B2F-8392-EFB51E306CAE}"/>
    <hyperlink ref="I1686" r:id="rId1175" xr:uid="{963DC515-3420-4AA1-956D-B2FA4C80DEB0}"/>
    <hyperlink ref="I1687" r:id="rId1176" xr:uid="{3931404F-AB91-4831-92EA-05E5683DED53}"/>
    <hyperlink ref="I1688" r:id="rId1177" xr:uid="{2BF964D7-F09D-4AB7-B7F4-50011D5BB2F1}"/>
    <hyperlink ref="S1688" r:id="rId1178" xr:uid="{83D0B3C0-5448-467B-A52D-EA864E60E085}"/>
    <hyperlink ref="I1689" r:id="rId1179" xr:uid="{9453563F-5DE8-4D73-876F-529251AD0B76}"/>
    <hyperlink ref="I1690" r:id="rId1180" xr:uid="{D927D150-6BED-4D99-BDED-64F433265D16}"/>
    <hyperlink ref="S1690" r:id="rId1181" xr:uid="{33EB643F-5C24-4EBF-BE5E-DB4C95AEF13B}"/>
    <hyperlink ref="I1691" r:id="rId1182" xr:uid="{2102AF7A-9754-4B13-90DA-A4F1F2DB9523}"/>
    <hyperlink ref="I1694" r:id="rId1183" xr:uid="{E4FE908A-8A16-45C2-ACCA-9E78DC73A63C}"/>
    <hyperlink ref="S1694" r:id="rId1184" xr:uid="{615E6853-0732-46EC-8FE5-4FBF95FD1B0E}"/>
    <hyperlink ref="I1695" r:id="rId1185" xr:uid="{67722671-26E6-49B4-93C5-D2B0E983A194}"/>
    <hyperlink ref="S1696" r:id="rId1186" xr:uid="{5C054E50-1C17-4A3E-ADCD-C2E71AF8BCB4}"/>
    <hyperlink ref="I1697" r:id="rId1187" xr:uid="{EAFF0F18-03FF-4FD4-B898-E3B2192C67B8}"/>
    <hyperlink ref="I1698" r:id="rId1188" xr:uid="{C8EB7231-F1E9-4007-8BEA-3F00C31C9054}"/>
    <hyperlink ref="I1699" r:id="rId1189" xr:uid="{9549696C-EB67-45D1-B8A4-754C94AB28F1}"/>
    <hyperlink ref="I1700" r:id="rId1190" xr:uid="{AE4E0C5C-E55C-478D-9B38-88EA1E4D3047}"/>
    <hyperlink ref="I1703" r:id="rId1191" xr:uid="{443E46F1-FB03-4E18-A439-6815FF5571D4}"/>
    <hyperlink ref="S1703" r:id="rId1192" xr:uid="{781ACD7C-E33C-41B7-96EB-E2A34F7F8652}"/>
    <hyperlink ref="I1706" r:id="rId1193" xr:uid="{D4DABC4B-4B4B-4FA7-B8E7-3CD66D372E94}"/>
    <hyperlink ref="S1706" r:id="rId1194" xr:uid="{261202FC-D1B2-4633-88FC-24503EA3A4B1}"/>
    <hyperlink ref="I1707" r:id="rId1195" xr:uid="{509464BD-235E-48FC-ACEC-8B46B86490D1}"/>
    <hyperlink ref="S1707" r:id="rId1196" xr:uid="{14DC7F4A-94F1-410A-B390-8D7D8946B8F0}"/>
    <hyperlink ref="S1708" r:id="rId1197" xr:uid="{060DED7B-91C9-455A-915D-44345CD4642C}"/>
    <hyperlink ref="I1709" r:id="rId1198" xr:uid="{DAD043A2-5CC0-4A2F-B3BC-EBAA70F5E460}"/>
    <hyperlink ref="S1709" r:id="rId1199" xr:uid="{E7CBB730-829D-476B-AE65-2A3982C5A41B}"/>
    <hyperlink ref="I1710" r:id="rId1200" xr:uid="{96514309-7823-4913-A9AC-49A8CDAACBCB}"/>
    <hyperlink ref="I1712" r:id="rId1201" xr:uid="{1B4C88A3-D255-4A28-A5C2-7B5C25E7B303}"/>
    <hyperlink ref="I1713" r:id="rId1202" xr:uid="{8C7ACCC0-8E51-41AE-A037-FA05525D3155}"/>
    <hyperlink ref="I1714" r:id="rId1203" xr:uid="{0E398A8F-834D-4840-8529-5EFB6A5AABD9}"/>
    <hyperlink ref="I1716" r:id="rId1204" xr:uid="{A9674F39-5ABB-4DE6-A1B5-27D799A23242}"/>
    <hyperlink ref="I1718" r:id="rId1205" xr:uid="{EE1EF269-6680-4D57-B5E9-07082F067E86}"/>
    <hyperlink ref="I1719" r:id="rId1206" xr:uid="{09F34DFB-1A8B-4B73-B930-E42F1685DFA7}"/>
    <hyperlink ref="I1720" r:id="rId1207" xr:uid="{8D05916F-CDA7-4742-ADD1-901CCC9E7FC2}"/>
    <hyperlink ref="I1723" r:id="rId1208" xr:uid="{792162A2-9C4D-4856-AAD2-0965A10B9FE7}"/>
    <hyperlink ref="I1725" r:id="rId1209" xr:uid="{89C54EFD-7271-49D0-9DCD-EB50BB91F5F2}"/>
    <hyperlink ref="S1725" r:id="rId1210" xr:uid="{57B47643-4EAB-4CA3-B182-7D389FA287CB}"/>
    <hyperlink ref="I1726" r:id="rId1211" xr:uid="{F5C64FF5-A609-4EC9-8063-C1176BA5078C}"/>
    <hyperlink ref="I1727" r:id="rId1212" xr:uid="{404D4DDC-8F3F-43E6-A715-87252AFD855F}"/>
    <hyperlink ref="I1728" r:id="rId1213" xr:uid="{9B5B10AD-99BF-4F76-B48D-C52AE6E7F87B}"/>
    <hyperlink ref="I1729" r:id="rId1214" xr:uid="{D9B0A12A-F8F0-49AB-BAC3-8758F3EF29ED}"/>
    <hyperlink ref="S1729" r:id="rId1215" xr:uid="{68700773-3559-4EDA-8F46-F3BF6F3FB4F3}"/>
    <hyperlink ref="I1730" r:id="rId1216" xr:uid="{5EA05AE1-F09A-4347-B964-A3A9EB713B11}"/>
    <hyperlink ref="S1730" r:id="rId1217" xr:uid="{46D488C0-B8D2-4809-8B9D-E6F77D611D23}"/>
    <hyperlink ref="I1731" r:id="rId1218" xr:uid="{F140583E-1756-4D08-A2B0-56DC8644FEBF}"/>
    <hyperlink ref="I1732" r:id="rId1219" xr:uid="{99A7F4E5-21B9-49C0-B8A8-8217D255DA20}"/>
    <hyperlink ref="S1732" r:id="rId1220" xr:uid="{D98E8C81-F783-4372-AC51-F61D2BCFBAE1}"/>
    <hyperlink ref="I1735" r:id="rId1221" xr:uid="{27F6B441-37F7-4D78-BB54-00F7DF890F8B}"/>
    <hyperlink ref="I1736" r:id="rId1222" xr:uid="{6C1557EE-9E77-4AF3-8ED1-A5B8A165FE48}"/>
    <hyperlink ref="I1738" r:id="rId1223" xr:uid="{E4FEADC6-7A16-4004-BF4E-068512B818CC}"/>
    <hyperlink ref="S1741" r:id="rId1224" xr:uid="{DF1DE78B-1CE3-4507-9471-3E5417457BBD}"/>
    <hyperlink ref="S1742" r:id="rId1225" xr:uid="{73B40469-F634-478F-9788-3D00FC289458}"/>
    <hyperlink ref="I1746" r:id="rId1226" xr:uid="{DDF3D514-8B3C-40C7-B575-4C39C7DEF6B6}"/>
    <hyperlink ref="S1746" r:id="rId1227" xr:uid="{194B17DC-3357-40AF-8B8A-786A03A55082}"/>
    <hyperlink ref="S1747" r:id="rId1228" xr:uid="{B605602F-6B70-420F-AEDD-117BAB26B11E}"/>
    <hyperlink ref="I1749" r:id="rId1229" xr:uid="{C53E6FEE-4D53-40EA-9281-F5E3FD159A60}"/>
    <hyperlink ref="I1750" r:id="rId1230" xr:uid="{DDF8AAB9-E8E1-4A1C-8C2E-1E0A3CC90181}"/>
    <hyperlink ref="S1750" r:id="rId1231" xr:uid="{B96640D6-AD06-454B-AD5C-F3E4E6EB62F1}"/>
    <hyperlink ref="I1752" r:id="rId1232" xr:uid="{F1405C89-09B2-49B2-9218-789E97C2FF27}"/>
    <hyperlink ref="I1753" r:id="rId1233" xr:uid="{D61ED2D6-E9E5-4092-835B-F5E4F43CE78F}"/>
    <hyperlink ref="I1754" r:id="rId1234" xr:uid="{29CFC3A4-46CC-4EB4-881C-98B0AAA428F6}"/>
    <hyperlink ref="I1755" r:id="rId1235" xr:uid="{0CDFA07B-8E5E-4914-BD99-820611B84D3B}"/>
    <hyperlink ref="S1755" r:id="rId1236" xr:uid="{0CCF4570-4CF5-4549-A881-5924EE2261BF}"/>
    <hyperlink ref="I1756" r:id="rId1237" xr:uid="{F8870AC1-3251-4F5B-8C89-4592215E451B}"/>
    <hyperlink ref="S1756" r:id="rId1238" xr:uid="{3094C840-BA2F-43DB-AA23-0C39873E35C2}"/>
    <hyperlink ref="I1757" r:id="rId1239" xr:uid="{113F050A-D56D-4917-A26E-9ADC213A3491}"/>
    <hyperlink ref="S1758" r:id="rId1240" xr:uid="{220803F8-0E31-4274-86C6-402D17041D86}"/>
    <hyperlink ref="I1767" r:id="rId1241" xr:uid="{9D64F056-23C8-4F1F-A0D6-4807D9978916}"/>
    <hyperlink ref="I1768" r:id="rId1242" xr:uid="{7F3ED28B-52EA-4CA9-A406-6E2B43A3542D}"/>
    <hyperlink ref="S1768" r:id="rId1243" xr:uid="{A43CCDCA-AA78-45C7-9E16-263F0A1C7888}"/>
    <hyperlink ref="I1769" r:id="rId1244" xr:uid="{179B2CD1-81C9-4493-A52A-5D7A305E2F21}"/>
    <hyperlink ref="I1770" r:id="rId1245" xr:uid="{FE74438F-A754-499F-997C-612AFBC426F8}"/>
    <hyperlink ref="I1772" r:id="rId1246" xr:uid="{56B8F3F0-CE98-4466-B6A5-9CC0D6451177}"/>
    <hyperlink ref="I1774" r:id="rId1247" xr:uid="{023B83DB-222B-4247-998F-86969A8E8FFB}"/>
    <hyperlink ref="I1776" r:id="rId1248" xr:uid="{2C36B653-A313-4665-A14E-9844C5DF69E7}"/>
    <hyperlink ref="I1777" r:id="rId1249" xr:uid="{F2B22C51-625E-4DCB-8912-FFBEC3692FD2}"/>
    <hyperlink ref="I1779" r:id="rId1250" xr:uid="{13FE6AAA-8B36-4EE7-B8C8-708A0ADBD20F}"/>
    <hyperlink ref="I1780" r:id="rId1251" xr:uid="{83277605-230F-44A0-822B-FD28EEAFE0A1}"/>
    <hyperlink ref="I1782" r:id="rId1252" xr:uid="{FC45DC2C-BCF8-48BD-91F0-7F06F0AFD6FD}"/>
    <hyperlink ref="I1785" r:id="rId1253" xr:uid="{BD72102A-FCC2-429E-A4E3-8A8CA3C81305}"/>
    <hyperlink ref="I1787" r:id="rId1254" xr:uid="{A3D6558A-D50B-42C0-9843-9C7443D45A81}"/>
    <hyperlink ref="I1788" r:id="rId1255" xr:uid="{CF0B7FD5-BE8C-4A42-B7A3-93C3BB7B426D}"/>
    <hyperlink ref="I1789" r:id="rId1256" xr:uid="{59E2D131-5C62-471C-9AE5-1ED394DD875B}"/>
    <hyperlink ref="I1790" r:id="rId1257" xr:uid="{C19FD8BC-8199-4382-8B5B-27C4A12A363A}"/>
    <hyperlink ref="I1791" r:id="rId1258" xr:uid="{A405FD27-B82A-498A-9F59-01D82C21918C}"/>
    <hyperlink ref="I1793" r:id="rId1259" xr:uid="{2C30261A-4877-4443-8B33-98A8FF6B93B3}"/>
    <hyperlink ref="I1795" r:id="rId1260" xr:uid="{2C2FFBE2-DED6-43BD-9BCE-C5E6E843E5D4}"/>
    <hyperlink ref="S1795" r:id="rId1261" xr:uid="{3187B1FF-BC80-4DC4-A4DC-F94714912975}"/>
    <hyperlink ref="I1796" r:id="rId1262" xr:uid="{2B3BC8B1-9F29-4B00-A21E-E070D3BF003D}"/>
    <hyperlink ref="I1797" r:id="rId1263" xr:uid="{3F7F814A-916A-468C-961D-7240228096E9}"/>
    <hyperlink ref="I1798" r:id="rId1264" xr:uid="{4517085B-0452-4142-96B0-E22C8A155F65}"/>
    <hyperlink ref="I1799" r:id="rId1265" xr:uid="{E6AAF2F1-1412-4563-A64D-1C834BF971FC}"/>
    <hyperlink ref="I1800" r:id="rId1266" xr:uid="{463912D7-1A2C-4AB3-8B0A-8730FB354DD5}"/>
    <hyperlink ref="I1802" r:id="rId1267" xr:uid="{6BC7E776-C383-454E-B965-A7CCD6A1860F}"/>
    <hyperlink ref="I1803" r:id="rId1268" xr:uid="{B2513152-57A0-45AE-8D96-4FDF55AF3F23}"/>
    <hyperlink ref="S1803" r:id="rId1269" xr:uid="{A5AFF6AA-465E-44A1-988A-A8DEC763D209}"/>
    <hyperlink ref="I1804" r:id="rId1270" xr:uid="{31215194-D845-4254-8034-B9A9ED8A8867}"/>
    <hyperlink ref="I1805" r:id="rId1271" xr:uid="{4B88F3ED-DBC8-4E45-9ACD-B5299DDEFD17}"/>
    <hyperlink ref="S1807" r:id="rId1272" xr:uid="{97BB2178-A17F-4810-B03E-046A72093BDB}"/>
    <hyperlink ref="I1813" r:id="rId1273" xr:uid="{8E367272-905B-4C29-88BF-22F203CE3B3B}"/>
    <hyperlink ref="S1813" r:id="rId1274" xr:uid="{CFC6C073-D367-4759-B2C1-D7B7EB090335}"/>
    <hyperlink ref="I1815" r:id="rId1275" xr:uid="{7A6956FF-A67A-4274-9EB8-FD99B64A91CC}"/>
    <hyperlink ref="S1815" r:id="rId1276" xr:uid="{3C305356-D995-43FB-B16B-DC1C9684D784}"/>
    <hyperlink ref="I1817" r:id="rId1277" xr:uid="{A122D4EA-65DF-48AC-A609-05E88C13571E}"/>
    <hyperlink ref="S1817" r:id="rId1278" xr:uid="{320C7D1C-22A4-46FC-9515-63D373C49EA4}"/>
    <hyperlink ref="I1818" r:id="rId1279" xr:uid="{2ECE27CB-2D9A-4D49-9539-2345355D1887}"/>
    <hyperlink ref="S1818" r:id="rId1280" xr:uid="{1925BF85-8467-4646-96E5-75272BE5B78E}"/>
    <hyperlink ref="I1819" r:id="rId1281" xr:uid="{8DD7153A-A304-4304-95E2-D3B911D9B9B8}"/>
    <hyperlink ref="S1819" r:id="rId1282" xr:uid="{CF90F6C6-0B96-461E-84D2-95E7B2B34582}"/>
    <hyperlink ref="I1820" r:id="rId1283" xr:uid="{3D0B859E-552C-4FF4-8565-9753CB497293}"/>
    <hyperlink ref="I1821" r:id="rId1284" xr:uid="{29EED0EC-CE93-429F-A273-3BFE40A32BB1}"/>
    <hyperlink ref="S1822" r:id="rId1285" xr:uid="{7A2F5950-6D85-49F3-88C0-F661B28E13DB}"/>
    <hyperlink ref="I1823" r:id="rId1286" xr:uid="{D6870B26-F166-444F-8468-7064BA603E12}"/>
    <hyperlink ref="S1824" r:id="rId1287" xr:uid="{7C61E6D4-F043-4003-A857-668F64E87419}"/>
    <hyperlink ref="I1825" r:id="rId1288" xr:uid="{AF55C751-F468-4363-ABFE-2782AAD925B4}"/>
    <hyperlink ref="S1825" r:id="rId1289" xr:uid="{CB167099-904B-4424-8A58-16D8183D7AE6}"/>
    <hyperlink ref="I1826" r:id="rId1290" xr:uid="{9C562499-C8A9-4B54-B0BD-DBD58D4FB873}"/>
    <hyperlink ref="I1827" r:id="rId1291" xr:uid="{0256BB18-1906-4E78-9BF1-EF2131CEC291}"/>
    <hyperlink ref="S1827" r:id="rId1292" xr:uid="{11A08614-ABBB-4054-A06D-BD577F68EAB7}"/>
    <hyperlink ref="I1829" r:id="rId1293" xr:uid="{77B02A2C-6F87-4A8B-A188-49A6F0DC4A86}"/>
    <hyperlink ref="I1830" r:id="rId1294" xr:uid="{F145872D-4AF5-4C2D-84D8-7C4AA75488EE}"/>
    <hyperlink ref="S1830" r:id="rId1295" xr:uid="{16C169A4-D4E1-48BE-A0F9-A8A49F147CE0}"/>
    <hyperlink ref="I1832" r:id="rId1296" xr:uid="{E5D7D9F3-2482-4645-AD54-0E07F11001FA}"/>
    <hyperlink ref="S1832" r:id="rId1297" xr:uid="{A600A423-1509-489C-B791-0AE8DE2E652F}"/>
    <hyperlink ref="I1833" r:id="rId1298" xr:uid="{BC13B02B-A569-44DF-BEEC-47D78E0FE445}"/>
    <hyperlink ref="S1833" r:id="rId1299" xr:uid="{C009DF5A-5276-4360-A72E-958BB3456B34}"/>
    <hyperlink ref="I1834" r:id="rId1300" xr:uid="{41D83AF8-A418-4563-9138-D4BAF30874D7}"/>
    <hyperlink ref="S1834" r:id="rId1301" xr:uid="{7EF20F87-A022-4B19-B3A9-95934C60D4D5}"/>
    <hyperlink ref="I1835" r:id="rId1302" xr:uid="{96F84341-C016-49AD-A53D-FF449478B566}"/>
    <hyperlink ref="S1835" r:id="rId1303" xr:uid="{148DD85F-B644-4FCA-BDC4-E73B8B451BE7}"/>
    <hyperlink ref="I1836" r:id="rId1304" xr:uid="{9F6DA524-A914-4C77-B922-A6FB1F7DB23C}"/>
    <hyperlink ref="S1836" r:id="rId1305" xr:uid="{0131C253-819A-452C-A9E6-9BAECA145D5C}"/>
    <hyperlink ref="I1837" r:id="rId1306" xr:uid="{9CB67699-7B65-4896-8B55-159F7FDB4E4C}"/>
    <hyperlink ref="S1838" r:id="rId1307" xr:uid="{D7E2789A-B115-4614-ABA0-1FC76548055D}"/>
    <hyperlink ref="I1839" r:id="rId1308" xr:uid="{E799517F-26A4-432B-B5F9-4BAD260B2495}"/>
    <hyperlink ref="S1839" r:id="rId1309" xr:uid="{30AFC9A0-0837-410C-A5BE-3F3D3D74B2F4}"/>
    <hyperlink ref="I1840" r:id="rId1310" xr:uid="{4DBA518F-2A51-43A0-B2F0-63B9AD0192CD}"/>
    <hyperlink ref="I1841" r:id="rId1311" xr:uid="{5A4F7848-C58C-4C96-82FC-8FFA3D1BB3AC}"/>
    <hyperlink ref="S1841" r:id="rId1312" xr:uid="{19B3A8D3-E98E-4955-97E8-A4821BCA164A}"/>
    <hyperlink ref="I1842" r:id="rId1313" xr:uid="{9BD9BA90-AD2A-46A8-A6A2-BB3E2DCB5DC9}"/>
    <hyperlink ref="S1842" r:id="rId1314" xr:uid="{CEE8D4FA-79DC-4FFA-B1D4-4F98113F191C}"/>
    <hyperlink ref="I1844" r:id="rId1315" xr:uid="{71D4C0DF-2BBF-4FD4-A60C-42BF0BBD18B2}"/>
    <hyperlink ref="I1845" r:id="rId1316" xr:uid="{3A782FFC-4EE6-4981-BEE4-3E717A7E44B0}"/>
    <hyperlink ref="S1845" r:id="rId1317" xr:uid="{BD022667-ED36-4BC7-8644-B0487D5C22BF}"/>
    <hyperlink ref="I1846" r:id="rId1318" xr:uid="{5D7AE56E-6A50-4C58-BDFA-C87837FA36A5}"/>
    <hyperlink ref="S1846" r:id="rId1319" xr:uid="{8EDC39E3-58BB-4B26-A86F-09BB83EB3CBD}"/>
    <hyperlink ref="I1849" r:id="rId1320" xr:uid="{8FBB5514-2726-43F5-ADCD-12EE7F5E78CF}"/>
    <hyperlink ref="I1850" r:id="rId1321" xr:uid="{7AB7DADC-CFD0-4CD2-A11E-B8951A91B0A2}"/>
    <hyperlink ref="S1850" r:id="rId1322" xr:uid="{F9C9D43B-EAF5-4C4A-9789-4E92F331E965}"/>
    <hyperlink ref="I1851" r:id="rId1323" xr:uid="{0C304937-0750-44DA-809C-13EE696F7DCC}"/>
    <hyperlink ref="S1851" r:id="rId1324" xr:uid="{B1D7CAD7-007C-4BB5-A34A-AA68448A5185}"/>
    <hyperlink ref="I1852" r:id="rId1325" xr:uid="{B2006CB9-9194-4796-BEB4-FDDAE280B748}"/>
    <hyperlink ref="S1852" r:id="rId1326" xr:uid="{90B12BE6-4819-4327-9CD6-3A54F4B585D5}"/>
    <hyperlink ref="S1853" r:id="rId1327" xr:uid="{1C2FE4C4-F1C0-4002-8E1F-AC58E95E84DD}"/>
    <hyperlink ref="S1854" r:id="rId1328" xr:uid="{1F89B49F-6B4E-48A3-A267-89E6EEE244C6}"/>
    <hyperlink ref="S1857" r:id="rId1329" xr:uid="{829CE863-1734-474D-983F-4A593C8E652B}"/>
    <hyperlink ref="I1859" r:id="rId1330" xr:uid="{49FB9AB0-BC38-46C0-90CB-09108DAA2D9A}"/>
    <hyperlink ref="S1859" r:id="rId1331" xr:uid="{5E7D8EEA-4BE6-42B1-8619-2760A4E0E085}"/>
    <hyperlink ref="S1860" r:id="rId1332" xr:uid="{D14F4D57-9EA1-41F1-A351-7E443954F1C1}"/>
    <hyperlink ref="I1861" r:id="rId1333" xr:uid="{4517D509-D178-460C-A57F-FE04B1672303}"/>
    <hyperlink ref="I1862" r:id="rId1334" xr:uid="{E6617309-B634-4E76-BB60-C83B8777B7FE}"/>
    <hyperlink ref="S1862" r:id="rId1335" xr:uid="{64F46C08-DFA9-4F4A-8691-FC6183E5B1E9}"/>
    <hyperlink ref="I1869" r:id="rId1336" xr:uid="{94E60C92-D763-46F0-ABBD-49D91A0ACFCC}"/>
    <hyperlink ref="I1872" r:id="rId1337" xr:uid="{57B81D68-A981-4BA4-A9C0-0FDB8322F605}"/>
    <hyperlink ref="I1873" r:id="rId1338" xr:uid="{B9C7734A-B3C7-4F93-A1B6-C9C3A437F5E9}"/>
    <hyperlink ref="I1874" r:id="rId1339" xr:uid="{2F58EB01-5191-4F83-93D2-86F6521A594A}"/>
    <hyperlink ref="I1876" r:id="rId1340" xr:uid="{1DC17E1B-3C97-4782-A455-59D9EA967E7A}"/>
    <hyperlink ref="I1877" r:id="rId1341" xr:uid="{52AAE7F7-72A4-4C90-8FF1-79E039131D70}"/>
    <hyperlink ref="I1878" r:id="rId1342" xr:uid="{7F2F96EC-7701-4648-85B5-4B6703F02052}"/>
    <hyperlink ref="S1879" r:id="rId1343" xr:uid="{2BBA4CEE-6F08-4506-A4A4-1FAADF79CE9E}"/>
    <hyperlink ref="S1880" r:id="rId1344" xr:uid="{9A64EDB2-3DB9-49A0-93EF-23959B2FDECC}"/>
    <hyperlink ref="I1882" r:id="rId1345" xr:uid="{85498F00-57EC-4839-A498-D8AA90312976}"/>
    <hyperlink ref="I1883" r:id="rId1346" xr:uid="{5DE12C86-C34E-43D1-AA2C-F8CA33A8F23E}"/>
    <hyperlink ref="I1885" r:id="rId1347" xr:uid="{6DF4C3C4-DD44-4A32-A306-72F248077EDC}"/>
    <hyperlink ref="I1886" r:id="rId1348" xr:uid="{23A13F1C-211D-453A-B53F-97086CF1D256}"/>
    <hyperlink ref="I1890" r:id="rId1349" xr:uid="{91DDBECA-BBFC-4433-89C9-03AA0738FB9A}"/>
    <hyperlink ref="I1891" r:id="rId1350" xr:uid="{7FB8B5D4-0D31-4353-A243-4BEF9527D8E3}"/>
    <hyperlink ref="I1894" r:id="rId1351" xr:uid="{A6D8F27C-3930-41F1-B65F-5D76D71F449B}"/>
    <hyperlink ref="I1895" r:id="rId1352" xr:uid="{E3DE7FA7-A092-45F9-A9BB-009D83F1EEEC}"/>
    <hyperlink ref="S1895" r:id="rId1353" xr:uid="{21350EBC-2261-480F-9467-0CDA82C2B4A8}"/>
    <hyperlink ref="I1897" r:id="rId1354" xr:uid="{7601215A-C2E2-4B0A-9C2E-FDC94829993A}"/>
    <hyperlink ref="I1898" r:id="rId1355" xr:uid="{E8D84D4B-0A8E-499C-B6AE-4BFDCF5E40A6}"/>
    <hyperlink ref="S1901" r:id="rId1356" xr:uid="{908D9675-45B6-446F-A2E1-6CC9073A07EE}"/>
    <hyperlink ref="I1902" r:id="rId1357" xr:uid="{2C508E4D-A915-4C51-84A0-C4505C199D4E}"/>
    <hyperlink ref="S1902" r:id="rId1358" xr:uid="{F4DF2945-DA87-4968-B3BA-5D936A5C56E7}"/>
    <hyperlink ref="I1904" r:id="rId1359" xr:uid="{8BB21D56-F758-4FBD-AF2B-8C798DD41C24}"/>
    <hyperlink ref="I1913" r:id="rId1360" xr:uid="{223D066C-BC87-49F3-98A9-BC2764FEFE75}"/>
    <hyperlink ref="S1913" r:id="rId1361" xr:uid="{14DD97FC-F811-4772-9D09-51A898ED6672}"/>
    <hyperlink ref="I1914" r:id="rId1362" xr:uid="{C2D960C5-D0BA-463B-9305-6F8EFF161236}"/>
    <hyperlink ref="I1915" r:id="rId1363" xr:uid="{9B3696BE-6385-4B72-9C66-210A6B279523}"/>
    <hyperlink ref="S1915" r:id="rId1364" xr:uid="{6B9775CE-0C52-4A5D-BB1D-78346F317A23}"/>
    <hyperlink ref="I1916" r:id="rId1365" xr:uid="{AB9E2E2A-9FC1-4F4A-8676-1F0039D0F519}"/>
    <hyperlink ref="S1916" r:id="rId1366" xr:uid="{832F9BC2-F25B-437C-9851-5C15D2CFC85A}"/>
    <hyperlink ref="I1917" r:id="rId1367" xr:uid="{D5411AB6-5E16-4E33-A72A-83132E5D78EF}"/>
    <hyperlink ref="S1917" r:id="rId1368" xr:uid="{A7FAB0F6-2DD7-4E3C-9B35-77C3F82732CD}"/>
    <hyperlink ref="I1919" r:id="rId1369" xr:uid="{BF9E9336-D329-41DF-999D-58C82ACEABC6}"/>
    <hyperlink ref="S1921" r:id="rId1370" xr:uid="{001E2EF3-966B-4D8A-968A-B9824B6A7290}"/>
    <hyperlink ref="S1922" r:id="rId1371" xr:uid="{02320DD1-C58C-43F8-8029-AA04EA801A1D}"/>
    <hyperlink ref="I1923" r:id="rId1372" xr:uid="{8219253C-D500-46AE-BE59-FD57C84A697C}"/>
    <hyperlink ref="I1924" r:id="rId1373" xr:uid="{75AAD80C-FFF8-4F70-AB0D-4AA1716B4122}"/>
    <hyperlink ref="I1925" r:id="rId1374" xr:uid="{6DCBCE02-5FDE-481E-8A95-80238F0F7CB7}"/>
    <hyperlink ref="S1925" r:id="rId1375" xr:uid="{CBF82BCF-5A7F-413C-AD1B-AA11E10CBE72}"/>
    <hyperlink ref="I1926" r:id="rId1376" xr:uid="{0CE0B2CB-F26D-4400-A8EC-73A142AD8EC8}"/>
    <hyperlink ref="S1926" r:id="rId1377" xr:uid="{9AF7ACDC-11AA-4529-B856-0FF6F03E7D0A}"/>
    <hyperlink ref="I1927" r:id="rId1378" xr:uid="{2EE27FBA-1A21-4CF1-822A-3B9F9F89364C}"/>
    <hyperlink ref="S1928" r:id="rId1379" xr:uid="{0B39D60F-E5B8-4000-A0D9-ECF36DDEB903}"/>
    <hyperlink ref="S1930" r:id="rId1380" xr:uid="{5E4FE9D3-2643-4969-9B55-9E98D0501A35}"/>
    <hyperlink ref="S1931" r:id="rId1381" xr:uid="{E580CB76-4E4F-4DD9-A64D-2F4C6155A653}"/>
    <hyperlink ref="I1935" r:id="rId1382" xr:uid="{57FF3705-27AA-47A1-8E01-DE6B39700E42}"/>
    <hyperlink ref="I1936" r:id="rId1383" xr:uid="{1C29C801-5EA0-415C-9A73-2EC435595EBB}"/>
    <hyperlink ref="S1936" r:id="rId1384" xr:uid="{F7361579-6B23-49A2-B957-8605F514D59D}"/>
    <hyperlink ref="I1937" r:id="rId1385" xr:uid="{196A6A23-9D15-469D-BC88-9542D77C7E1B}"/>
    <hyperlink ref="I1938" r:id="rId1386" xr:uid="{42D0955D-722E-48CB-AC80-E3279575E3CA}"/>
    <hyperlink ref="S1938" r:id="rId1387" xr:uid="{5B72DCC3-0BC5-48CA-95B1-451F7B1804E0}"/>
    <hyperlink ref="I1940" r:id="rId1388" xr:uid="{7BC29BDB-AC83-48E5-A415-0E59F4B73C65}"/>
    <hyperlink ref="I1941" r:id="rId1389" xr:uid="{B0A2E7DF-077F-45F7-A733-D61BF19E28A2}"/>
    <hyperlink ref="I1942" r:id="rId1390" xr:uid="{382FC387-7D3A-41F6-AB5E-3AD051E7CCD8}"/>
    <hyperlink ref="I1943" r:id="rId1391" xr:uid="{E4F33B35-76D7-4ABA-B293-6829556C3961}"/>
    <hyperlink ref="S1946" r:id="rId1392" xr:uid="{139BB013-FBC0-4C82-A176-E88439DBD7A0}"/>
    <hyperlink ref="I1947" r:id="rId1393" xr:uid="{A9BDDEC3-136E-44A9-8F98-7A86B7589746}"/>
    <hyperlink ref="S1947" r:id="rId1394" xr:uid="{00EB6AA3-674F-4D73-ADD0-3C00A04D3BCD}"/>
    <hyperlink ref="I1948" r:id="rId1395" xr:uid="{668D10C4-62C1-4ACD-BBB4-273F04772961}"/>
    <hyperlink ref="S1948" r:id="rId1396" xr:uid="{EF770FE5-6A52-46CD-A485-12A2F4606F06}"/>
    <hyperlink ref="S1949" r:id="rId1397" xr:uid="{6D320389-32F4-4AF7-BCA5-1D8D337DD8CC}"/>
    <hyperlink ref="S1950" r:id="rId1398" xr:uid="{D39D537D-940B-4C01-BF73-37CC6F0FBD24}"/>
    <hyperlink ref="I1951" r:id="rId1399" xr:uid="{CA8AD5C6-8145-4E8E-8865-EA8F5AC59127}"/>
    <hyperlink ref="S1951" r:id="rId1400" xr:uid="{41815734-DA6C-4183-9409-D84790188F84}"/>
    <hyperlink ref="I1952" r:id="rId1401" xr:uid="{EC46932C-35B1-4384-9DFB-5A3CA9F03CD0}"/>
    <hyperlink ref="S1952" r:id="rId1402" xr:uid="{09178572-2F9C-4706-92A6-E8B5CF5CC9A8}"/>
    <hyperlink ref="I1953" r:id="rId1403" xr:uid="{039E367B-958F-4DD9-9F4C-9D1F90CEB816}"/>
    <hyperlink ref="S1953" r:id="rId1404" xr:uid="{37D47F77-AA18-4B3F-881B-AA50C3D7F215}"/>
    <hyperlink ref="I1954" r:id="rId1405" xr:uid="{5F7FA291-BA86-40D9-A84E-C5E4AEFAC75F}"/>
    <hyperlink ref="S1954" r:id="rId1406" xr:uid="{224E3673-1D61-4796-9E97-DA8AF9615BC6}"/>
    <hyperlink ref="I1955" r:id="rId1407" xr:uid="{63EE875C-F8EC-4A3C-8C8E-A6397B636639}"/>
    <hyperlink ref="I1956" r:id="rId1408" xr:uid="{691673CF-74A4-47F4-AF84-5C1E138DCEBD}"/>
    <hyperlink ref="S1956" r:id="rId1409" xr:uid="{9696A8AC-3A4D-4EE8-A4D0-8A6FE870EB86}"/>
    <hyperlink ref="S1958" r:id="rId1410" xr:uid="{87F89C61-379A-4C58-982F-EB079E47BF58}"/>
    <hyperlink ref="I1959" r:id="rId1411" xr:uid="{938356B4-85FF-48C9-8CE3-659DB81ADA07}"/>
    <hyperlink ref="S1959" r:id="rId1412" xr:uid="{12392B33-B0A8-45E7-8D0D-B8C72A5E7232}"/>
    <hyperlink ref="I1960" r:id="rId1413" xr:uid="{244F82D3-CD0E-476A-A5D3-D7D4B58F261E}"/>
    <hyperlink ref="S1960" r:id="rId1414" xr:uid="{5CA0DCF7-06BD-4105-B3DC-8B617A42017F}"/>
    <hyperlink ref="I1961" r:id="rId1415" xr:uid="{B9E352BB-431A-4206-A276-CF3AA970D590}"/>
    <hyperlink ref="S1961" r:id="rId1416" xr:uid="{5CFD070C-1E41-4A1E-939E-B054C6294989}"/>
    <hyperlink ref="I1962" r:id="rId1417" xr:uid="{B9E23152-F136-487B-B760-C3C21798F03F}"/>
    <hyperlink ref="S1962" r:id="rId1418" xr:uid="{7CB54D83-32BE-43FB-A061-7CC6725D22F5}"/>
    <hyperlink ref="I1963" r:id="rId1419" xr:uid="{CFB66DC0-0899-48BB-B18A-38C98C94D243}"/>
    <hyperlink ref="S1963" r:id="rId1420" xr:uid="{F12EE2D3-5CBF-4334-9CD0-A8EED0D74D3C}"/>
    <hyperlink ref="S1964" r:id="rId1421" xr:uid="{CFFF6852-5D55-4ABE-9FB9-11A26A7CCB81}"/>
    <hyperlink ref="S1965" r:id="rId1422" xr:uid="{1E812D0E-BC19-4F80-AEA4-B4231DDD14C4}"/>
    <hyperlink ref="I1966" r:id="rId1423" xr:uid="{46095B28-5CEE-4DFA-BE11-39C9BB6F2501}"/>
    <hyperlink ref="I1967" r:id="rId1424" xr:uid="{E6389CB9-9AD1-433F-9024-5505324FF683}"/>
    <hyperlink ref="S1967" r:id="rId1425" xr:uid="{AAFB218B-66C1-4558-A231-A2AC9A2A4A98}"/>
    <hyperlink ref="I1968" r:id="rId1426" xr:uid="{2945C65A-C919-4DD7-8547-0C0F2FB2EE6B}"/>
    <hyperlink ref="S1968" r:id="rId1427" xr:uid="{18C4E704-B108-4530-9075-F467E97F5646}"/>
    <hyperlink ref="I1971" r:id="rId1428" xr:uid="{E43FBF73-5FDD-4B0B-AA2D-3EC066E04DCB}"/>
    <hyperlink ref="S1972" r:id="rId1429" xr:uid="{BF73F9F1-A3A1-48F8-9908-192C7A2F983B}"/>
    <hyperlink ref="I1973" r:id="rId1430" xr:uid="{243E85D6-3664-4A3C-A4E7-52484750C8DC}"/>
    <hyperlink ref="S1973" r:id="rId1431" xr:uid="{CA982596-D5AD-4F17-9276-DC5799DA4F34}"/>
    <hyperlink ref="I1974" r:id="rId1432" xr:uid="{54708B45-9BFD-4E9E-BE94-7735E97CBBD2}"/>
    <hyperlink ref="S1974" r:id="rId1433" xr:uid="{C6DB0335-D730-4DB5-8DAA-A2C9C3F1B9F3}"/>
    <hyperlink ref="I1975" r:id="rId1434" xr:uid="{8EE7977A-31AE-439F-A608-D76470E5B4C6}"/>
    <hyperlink ref="S1975" r:id="rId1435" xr:uid="{E54AF805-91B9-425C-B3D9-84C69C9C2FD5}"/>
    <hyperlink ref="I1976" r:id="rId1436" xr:uid="{B5F6373E-45BE-49E4-9A93-9BA391AFF479}"/>
    <hyperlink ref="S1976" r:id="rId1437" xr:uid="{24164536-1C68-4C09-B2DD-83B30BEAAC07}"/>
    <hyperlink ref="S1978" r:id="rId1438" xr:uid="{6F46E758-BEBF-4514-85E9-690A7F8930BD}"/>
    <hyperlink ref="I1981" r:id="rId1439" xr:uid="{89F36ED5-9649-4584-9406-C1ED5F2BD36F}"/>
    <hyperlink ref="S1981" r:id="rId1440" xr:uid="{2EFFCD78-E2C4-426B-91E4-DEFC681EA9AB}"/>
    <hyperlink ref="I1985" r:id="rId1441" xr:uid="{0ED5E30B-D0E6-48D8-8F33-127A33FF4432}"/>
    <hyperlink ref="S1985" r:id="rId1442" xr:uid="{49B34EDC-9B85-47E9-8DD9-D96FD12167F1}"/>
    <hyperlink ref="I1990" r:id="rId1443" xr:uid="{4601F6F3-CBC0-41B8-A6A3-E924367EBB5A}"/>
    <hyperlink ref="S1990" r:id="rId1444" xr:uid="{35FE6494-0389-4E93-8572-142A31E1B376}"/>
    <hyperlink ref="I1991" r:id="rId1445" xr:uid="{64288D9E-F659-411F-ACD4-E0D310E7DDA9}"/>
    <hyperlink ref="S1991" r:id="rId1446" xr:uid="{99EF3BAE-5139-454C-B00C-EDFF3A0E2125}"/>
    <hyperlink ref="S1992" r:id="rId1447" xr:uid="{E6FC2202-F702-4A90-8CCC-F07E28A1F123}"/>
    <hyperlink ref="S1994" r:id="rId1448" xr:uid="{9F572918-417F-4791-AF9A-3671D6236921}"/>
    <hyperlink ref="I1995" r:id="rId1449" xr:uid="{9D894377-1D35-4164-AE74-4D93831BAEFD}"/>
    <hyperlink ref="S1995" r:id="rId1450" xr:uid="{6B7BD23D-FF01-4494-B43A-26EEC3CCE4B2}"/>
    <hyperlink ref="I1996" r:id="rId1451" xr:uid="{67B73358-710E-4B73-85D1-93A883CC8471}"/>
    <hyperlink ref="S1996" r:id="rId1452" xr:uid="{F8CA110C-8D61-4941-87ED-0BB1CE4FE80E}"/>
    <hyperlink ref="I1997" r:id="rId1453" xr:uid="{4C6117FB-8883-44F0-B4C4-22513E747E23}"/>
    <hyperlink ref="S1997" r:id="rId1454" xr:uid="{9F913B5B-AAA8-4DF7-B27C-1AF456EF1D21}"/>
    <hyperlink ref="S1998" r:id="rId1455" xr:uid="{CD86B63F-64BC-4CBE-AA04-D4106AEEAC44}"/>
    <hyperlink ref="I2000" r:id="rId1456" xr:uid="{FDE94586-87BC-4A98-AA4A-213DDC38DDE1}"/>
    <hyperlink ref="I2001" r:id="rId1457" xr:uid="{4D1FAC39-DFE4-4174-B217-B489458D3065}"/>
    <hyperlink ref="I2002" r:id="rId1458" xr:uid="{D1F6A61B-AD4B-4A1B-939F-E9B071EF9B79}"/>
    <hyperlink ref="S2003" r:id="rId1459" xr:uid="{65C9C68B-67FA-4E78-9400-DD2E60401348}"/>
    <hyperlink ref="I2004" r:id="rId1460" xr:uid="{5BF17D9A-5464-4F67-9067-A7178A4A5E1B}"/>
    <hyperlink ref="I2005" r:id="rId1461" xr:uid="{C600E2D9-B5FF-421C-81A0-5F8901734683}"/>
    <hyperlink ref="S2005" r:id="rId1462" xr:uid="{7469BC79-3E74-4822-93B5-B52102E604A3}"/>
    <hyperlink ref="I2006" r:id="rId1463" xr:uid="{17B26B3B-BC8A-4F50-93B7-66F317324FF5}"/>
    <hyperlink ref="I2007" r:id="rId1464" xr:uid="{A5E83BD1-9930-4E35-8213-9C747E0372F0}"/>
    <hyperlink ref="S2007" r:id="rId1465" xr:uid="{D8E0F1A0-43D6-45EF-9068-2E9E98115CC3}"/>
    <hyperlink ref="I2008" r:id="rId1466" xr:uid="{DC207372-C3FE-41C6-AA9A-1D83F85F0542}"/>
    <hyperlink ref="S2008" r:id="rId1467" xr:uid="{D49D4FF6-8FB4-4F42-933C-5973DAE07E08}"/>
    <hyperlink ref="I2009" r:id="rId1468" xr:uid="{A5D9B22C-6BAE-4A6A-98B9-8FD4FA6FEAB4}"/>
    <hyperlink ref="S2009" r:id="rId1469" xr:uid="{B57A19B4-49F7-451D-B12D-7EA8F2C4A054}"/>
    <hyperlink ref="S2010" r:id="rId1470" xr:uid="{717CC107-D4A7-44C0-9E58-8F5C01695422}"/>
    <hyperlink ref="S2011" r:id="rId1471" xr:uid="{C9152788-BD34-48DA-AA8B-C1D8742D57AE}"/>
    <hyperlink ref="S2012" r:id="rId1472" xr:uid="{F6CCBB10-322A-4232-8C7F-311335FFEED3}"/>
    <hyperlink ref="I2013" r:id="rId1473" xr:uid="{5B5F3E92-08A0-43CF-91FD-A06082610DC1}"/>
    <hyperlink ref="S2013" r:id="rId1474" xr:uid="{4EC8D5C1-0B5E-49D0-9AF8-DA7B66331654}"/>
    <hyperlink ref="I2014" r:id="rId1475" xr:uid="{D5E76319-CFFF-4D40-95BB-17BF593E92FB}"/>
    <hyperlink ref="I2015" r:id="rId1476" xr:uid="{85CC317A-F97B-45FE-AFE5-6E09166D50B3}"/>
    <hyperlink ref="S2015" r:id="rId1477" xr:uid="{FF546B8F-EAE5-4CA6-89E6-C9B486DC3956}"/>
    <hyperlink ref="I2016" r:id="rId1478" xr:uid="{19B39C21-49D2-43B5-91C2-58F246055232}"/>
    <hyperlink ref="S2016" r:id="rId1479" xr:uid="{2BC00CFE-A8CD-4EAA-8D9D-FC7236BBA739}"/>
    <hyperlink ref="S2017" r:id="rId1480" xr:uid="{F0741917-D214-4BC8-B0DB-4AEA77836507}"/>
    <hyperlink ref="S2018" r:id="rId1481" xr:uid="{15C07172-AE82-4B28-B8DA-C330988D6DB2}"/>
    <hyperlink ref="I2019" r:id="rId1482" xr:uid="{4FBCF364-7A14-4C9C-B7BE-406093DC3C46}"/>
    <hyperlink ref="S2020" r:id="rId1483" xr:uid="{054E288F-230A-4AAD-9211-A961EF9D7240}"/>
    <hyperlink ref="I2022" r:id="rId1484" xr:uid="{0E3C52F4-72A5-46F0-A8C2-6ECB35D48F66}"/>
    <hyperlink ref="S2023" r:id="rId1485" xr:uid="{A03D09D9-01DE-4F7A-B6A4-4F9113C765DF}"/>
    <hyperlink ref="I2025" r:id="rId1486" xr:uid="{A2D966BB-4F4E-4A14-9DE9-AA4E624FB75B}"/>
    <hyperlink ref="I2027" r:id="rId1487" xr:uid="{2DDC69BC-333D-4A9E-B180-DAE797B945C1}"/>
    <hyperlink ref="S2027" r:id="rId1488" xr:uid="{9A760B0B-B066-4AA0-A8C0-DA6F1EB59086}"/>
    <hyperlink ref="I2028" r:id="rId1489" xr:uid="{70C2802C-9615-4005-BC74-FF4C5075D637}"/>
    <hyperlink ref="S2028" r:id="rId1490" xr:uid="{208275AE-7267-48AC-AA91-8AD52B240410}"/>
    <hyperlink ref="I2029" r:id="rId1491" xr:uid="{2A190B86-684A-4142-8728-248BDB1D26C4}"/>
    <hyperlink ref="I2030" r:id="rId1492" xr:uid="{B27D6F6F-B07F-477B-A941-840C4A4C27F0}"/>
    <hyperlink ref="I2031" r:id="rId1493" xr:uid="{01B7890E-7DB2-4ED3-9DC6-5D210CCCCAE7}"/>
    <hyperlink ref="S2031" r:id="rId1494" xr:uid="{199FA221-DDCA-4B80-AB48-3B4FB6A04604}"/>
    <hyperlink ref="I2033" r:id="rId1495" xr:uid="{1E663E00-685B-4FA2-93B3-CDDAD48DEC4C}"/>
    <hyperlink ref="S2033" r:id="rId1496" xr:uid="{F0A56466-986D-45DA-A3AF-EB6FA0F386C3}"/>
    <hyperlink ref="I2034" r:id="rId1497" xr:uid="{6085C250-8CA0-495E-939F-7C61086E3807}"/>
    <hyperlink ref="S2034" r:id="rId1498" xr:uid="{D1AD00AA-476C-4130-9687-1C32CFAE9861}"/>
    <hyperlink ref="I2035" r:id="rId1499" xr:uid="{903FB680-EE90-47C4-A9A2-1697187DFF69}"/>
    <hyperlink ref="S2038" r:id="rId1500" xr:uid="{5E843953-D07F-49CD-8073-63404205B1EF}"/>
    <hyperlink ref="I2039" r:id="rId1501" xr:uid="{0B4905F6-C50B-4239-AD52-AE8721149967}"/>
    <hyperlink ref="S2039" r:id="rId1502" xr:uid="{B8765DD4-ABB7-4310-8592-B90793E89D30}"/>
    <hyperlink ref="I2044" r:id="rId1503" xr:uid="{B66B4BA6-FD28-4E7B-B97B-E58486A2E4D6}"/>
    <hyperlink ref="S2044" r:id="rId1504" xr:uid="{42BB3865-812C-4AEC-A0F7-8D0E1632A5A4}"/>
    <hyperlink ref="S2049" r:id="rId1505" xr:uid="{C5F7E5CC-1C11-41F5-AF7A-2C07226AD58F}"/>
    <hyperlink ref="S2052" r:id="rId1506" xr:uid="{679F1400-2FC4-456C-9781-C03ECFE9FF19}"/>
    <hyperlink ref="I2053" r:id="rId1507" xr:uid="{D981A45C-B41B-4B70-8619-0EFABD4353BC}"/>
    <hyperlink ref="S2053" r:id="rId1508" xr:uid="{F28E7CFA-A7FE-4368-BD26-F6000CB4981B}"/>
    <hyperlink ref="S2054" r:id="rId1509" xr:uid="{3AE401CD-E2C8-41C2-A3F5-AF86519CC10A}"/>
    <hyperlink ref="S2055" r:id="rId1510" xr:uid="{CA84BA2C-6B0E-41E9-97A0-461F044922DC}"/>
    <hyperlink ref="S2060" r:id="rId1511" xr:uid="{3F586AC6-8ABC-42B4-A454-2A6F3BC70142}"/>
    <hyperlink ref="I2062" r:id="rId1512" xr:uid="{831D9BF2-78A7-445F-94CA-4EF7D72B90D3}"/>
    <hyperlink ref="I2063" r:id="rId1513" xr:uid="{9E99CC67-8D4A-4665-B43F-1BEABCA4F8A7}"/>
    <hyperlink ref="S2063" r:id="rId1514" xr:uid="{8D02BDFF-E154-4983-AFD5-A47A493C6759}"/>
    <hyperlink ref="I2065" r:id="rId1515" xr:uid="{4FA8327D-ED32-431E-B693-FB284EE9E7DC}"/>
    <hyperlink ref="S2065" r:id="rId1516" xr:uid="{CDEDE5F3-FA9F-4BB6-A26E-2A7ADB840A6E}"/>
    <hyperlink ref="I2066" r:id="rId1517" xr:uid="{39B7D7B5-3478-43A3-BEE1-04F929812E76}"/>
    <hyperlink ref="S2066" r:id="rId1518" xr:uid="{61506364-641C-4045-8A89-0233B86D24C3}"/>
    <hyperlink ref="I2068" r:id="rId1519" xr:uid="{8FF1C153-40F8-483E-AFE7-9EE1BBA3E7BA}"/>
    <hyperlink ref="I2070" r:id="rId1520" xr:uid="{29F2C4C7-BB86-464F-8643-2E7F4238830D}"/>
    <hyperlink ref="I2074" r:id="rId1521" xr:uid="{149B6AE5-2D2D-497B-9AD1-EAC5207C15D2}"/>
    <hyperlink ref="I2075" r:id="rId1522" xr:uid="{A33C1A76-EF1D-46CA-86B8-7C3075551C75}"/>
    <hyperlink ref="S2075" r:id="rId1523" xr:uid="{870AB24A-90A2-4351-B769-C8249AB14C64}"/>
    <hyperlink ref="S2076" r:id="rId1524" xr:uid="{592644EF-1AD3-424E-A5B9-D8E2CCFF5575}"/>
    <hyperlink ref="I2077" r:id="rId1525" xr:uid="{F453D7E2-8EE4-4C77-8CC0-47B73B5C9170}"/>
    <hyperlink ref="I2078" r:id="rId1526" xr:uid="{EB8658AE-6746-4ADE-8C69-5927417689B3}"/>
    <hyperlink ref="S2078" r:id="rId1527" xr:uid="{55F077EC-775C-4ACD-9900-27BCA6A3992B}"/>
    <hyperlink ref="S2079" r:id="rId1528" xr:uid="{66AFC9EC-F3AA-49C3-8E70-B9CCEAC5D5B0}"/>
    <hyperlink ref="S2080" r:id="rId1529" xr:uid="{C48DE954-8DCB-45FD-8A8C-25B3146F6554}"/>
    <hyperlink ref="S2083" r:id="rId1530" xr:uid="{81E235A2-1EC7-457C-B3D4-1953AD75DD0B}"/>
    <hyperlink ref="I2084" r:id="rId1531" xr:uid="{B279F084-FB45-410E-8959-5BACF3EE72B2}"/>
    <hyperlink ref="I2085" r:id="rId1532" xr:uid="{CEBD940C-84C5-4E13-AE65-A2DB4862C7FE}"/>
    <hyperlink ref="S2086" r:id="rId1533" xr:uid="{734AD9FF-47EC-475D-A00A-7536FB2AE097}"/>
    <hyperlink ref="I2087" r:id="rId1534" xr:uid="{082EA39E-E48A-4777-8A1A-0A4FE05A62B3}"/>
    <hyperlink ref="S2087" r:id="rId1535" xr:uid="{DC961821-214E-426B-976D-CE671C46E466}"/>
    <hyperlink ref="S2088" r:id="rId1536" xr:uid="{A4734AAA-F2EC-47E2-ABF9-901CA4D0F4C1}"/>
    <hyperlink ref="S2089" r:id="rId1537" xr:uid="{A8D3E13D-08A8-4B28-A4ED-4845960E7346}"/>
    <hyperlink ref="I2091" r:id="rId1538" xr:uid="{21DF82A1-EA27-465A-8D98-CC2A3BDE6D49}"/>
    <hyperlink ref="S2097" r:id="rId1539" xr:uid="{C85F0B46-ECE0-4EB8-8F8F-21B5A650EE34}"/>
    <hyperlink ref="I2101" r:id="rId1540" xr:uid="{3366C1EC-3739-4CF4-BD69-7A3D5C3F4D20}"/>
    <hyperlink ref="I2102" r:id="rId1541" xr:uid="{F8D8235F-2582-4C5E-BB3E-0EB04ABEE53B}"/>
    <hyperlink ref="I2104" r:id="rId1542" xr:uid="{114EFD3F-7B8B-4760-A0B3-243373F4262A}"/>
    <hyperlink ref="S2105" r:id="rId1543" xr:uid="{C313B2E4-06F3-4A1F-AB6E-7DBD193ECD71}"/>
    <hyperlink ref="I2106" r:id="rId1544" xr:uid="{EF6EAE18-D1AA-4E23-B02B-F64D7CA17DDA}"/>
    <hyperlink ref="I2107" r:id="rId1545" xr:uid="{68E84710-C74F-4A6D-89E6-039CD96302A9}"/>
    <hyperlink ref="S2107" r:id="rId1546" xr:uid="{8CA4C657-188E-465C-9784-488611C76CBE}"/>
    <hyperlink ref="I2110" r:id="rId1547" xr:uid="{2585E329-7B37-4C2B-81FB-E406FD6DEE54}"/>
    <hyperlink ref="I2111" r:id="rId1548" xr:uid="{106CF459-31CF-4947-9681-CCDB57348BBA}"/>
    <hyperlink ref="I2114" r:id="rId1549" xr:uid="{65D740B8-DD08-4EAB-B631-CD4C150AB1A1}"/>
    <hyperlink ref="S2114" r:id="rId1550" xr:uid="{85765894-F81D-4372-B4BA-F3B17B5F1388}"/>
    <hyperlink ref="S2115" r:id="rId1551" xr:uid="{856005C9-D24D-40AD-88E8-ADF0A5988425}"/>
    <hyperlink ref="S2118" r:id="rId1552" xr:uid="{26DDB2D2-4714-4F1E-85A1-FADEBFB54E85}"/>
    <hyperlink ref="I2122" r:id="rId1553" xr:uid="{B55B84B6-5A49-439D-9A7F-709A0DB268BC}"/>
    <hyperlink ref="S2122" r:id="rId1554" xr:uid="{B66B211E-22F5-4A20-A12C-600DF7BCFF69}"/>
    <hyperlink ref="I2123" r:id="rId1555" xr:uid="{DE598D9A-704D-49BA-AF03-29F05C156F75}"/>
    <hyperlink ref="S2125" r:id="rId1556" xr:uid="{9BC8BCE0-72F4-4372-A681-8281DFA304F6}"/>
    <hyperlink ref="I2126" r:id="rId1557" xr:uid="{258593AC-A4EB-4561-B45D-183A4315CE85}"/>
    <hyperlink ref="I2127" r:id="rId1558" xr:uid="{08063076-3187-4929-A63C-287ECF9DC392}"/>
    <hyperlink ref="S2127" r:id="rId1559" xr:uid="{E9D77832-6D93-40CA-BABA-7AEE46B5B74E}"/>
    <hyperlink ref="I2129" r:id="rId1560" xr:uid="{0B32EFF6-1480-4BE7-99CB-4FC6B30AFF4D}"/>
    <hyperlink ref="S2129" r:id="rId1561" xr:uid="{8AC783BB-3DF6-4032-926D-388FFB0C510A}"/>
    <hyperlink ref="I2131" r:id="rId1562" xr:uid="{BCBB3F23-F037-4621-B798-61B8A24405F6}"/>
    <hyperlink ref="S2131" r:id="rId1563" xr:uid="{5B4DF7D5-DF48-4280-A7F9-CCFA286037FE}"/>
    <hyperlink ref="I2132" r:id="rId1564" xr:uid="{D4CCF156-F34D-4FF3-AE65-29A982C801A7}"/>
    <hyperlink ref="S2132" r:id="rId1565" xr:uid="{EAABC05F-2111-4F3D-AEAC-4250FB98352C}"/>
    <hyperlink ref="I2135" r:id="rId1566" xr:uid="{E1A62C79-CD33-48EE-9F89-2E66A1F6443D}"/>
    <hyperlink ref="S2137" r:id="rId1567" xr:uid="{1D362AA8-F4E4-4F34-9349-309223D209EC}"/>
    <hyperlink ref="I2138" r:id="rId1568" xr:uid="{6D6933B6-3BD5-4D1D-B844-F56620AF1134}"/>
    <hyperlink ref="I2139" r:id="rId1569" xr:uid="{172CC475-BA94-421C-9A82-A1AE153F34BF}"/>
    <hyperlink ref="I2140" r:id="rId1570" xr:uid="{34F08CC9-F12E-456A-B906-EC0C22FC7C96}"/>
    <hyperlink ref="S2140" r:id="rId1571" xr:uid="{E8DBFDB7-CCA9-4AD1-8C7F-31313FEFB8CA}"/>
    <hyperlink ref="I2141" r:id="rId1572" xr:uid="{E9F693FD-E164-4A93-98F8-1FC0609A4FB7}"/>
    <hyperlink ref="I2143" r:id="rId1573" xr:uid="{30CE8590-5544-4F09-AE89-C8EF9AA7D951}"/>
    <hyperlink ref="I2144" r:id="rId1574" xr:uid="{CA369D33-7C86-486B-8CB3-44327E80A5D5}"/>
    <hyperlink ref="I2145" r:id="rId1575" xr:uid="{3132CE4F-9426-454A-AEDE-F20D5BDFAF08}"/>
    <hyperlink ref="S2145" r:id="rId1576" xr:uid="{2656608C-3F76-4A3A-9595-B1A9E6C3AB2B}"/>
    <hyperlink ref="I2146" r:id="rId1577" xr:uid="{329EE34F-9576-4C14-8121-5003F060DF7F}"/>
    <hyperlink ref="S2146" r:id="rId1578" xr:uid="{C52483DD-5632-4FC1-A799-75B5F324F8DC}"/>
    <hyperlink ref="I2147" r:id="rId1579" xr:uid="{3BF2B685-F13F-4460-A295-3DBFE1148104}"/>
    <hyperlink ref="I2148" r:id="rId1580" xr:uid="{392641D3-B342-4BC9-A9E1-3A60D8BCE07B}"/>
    <hyperlink ref="S2151" r:id="rId1581" xr:uid="{673CFFA7-1A4F-4660-B8B1-0EC05CA1CB01}"/>
    <hyperlink ref="S2153" r:id="rId1582" xr:uid="{6C0A4F9A-8040-43A8-ADB0-4EB458C28C7C}"/>
    <hyperlink ref="S2154" r:id="rId1583" xr:uid="{BB98D44A-153C-4ECE-B510-7DE9F20A787C}"/>
    <hyperlink ref="I2155" r:id="rId1584" xr:uid="{05EB05EE-8E0E-488B-8AB9-0CF9AC1E48C9}"/>
    <hyperlink ref="S2155" r:id="rId1585" xr:uid="{971BA646-60D7-4155-8CA6-EED37B3FFD30}"/>
    <hyperlink ref="I2156" r:id="rId1586" xr:uid="{889E8326-9743-4BF1-A196-2E54E08AEF47}"/>
    <hyperlink ref="S2157" r:id="rId1587" xr:uid="{E69A1C3F-369E-4C1A-8226-B6E43BC82576}"/>
    <hyperlink ref="S2159" r:id="rId1588" xr:uid="{6992F4B2-A76B-42BE-95D2-BB54F9722048}"/>
    <hyperlink ref="S2161" r:id="rId1589" xr:uid="{CA55C753-3E4C-4854-969A-C1EA7028ACA4}"/>
    <hyperlink ref="S2164" r:id="rId1590" xr:uid="{7CB10952-4315-41EB-BA19-079EACCA8643}"/>
    <hyperlink ref="I2165" r:id="rId1591" xr:uid="{BC47A06F-0BE1-49A7-8405-EC7FCC8F577C}"/>
    <hyperlink ref="S2170" r:id="rId1592" xr:uid="{B9CA3573-1A5F-4FCC-BE9D-416D6617569F}"/>
    <hyperlink ref="I2171" r:id="rId1593" xr:uid="{DE7CB8B4-C719-44C1-B2EC-F290BE30AC9C}"/>
    <hyperlink ref="S2171" r:id="rId1594" xr:uid="{4C6AA235-BC98-482E-8101-15C57BC4D839}"/>
    <hyperlink ref="S2192" r:id="rId1595" xr:uid="{2C279AA8-DB67-427E-BD19-BD82F2BE237F}"/>
    <hyperlink ref="I2193" r:id="rId1596" xr:uid="{01A39B70-5A6B-4E77-8B11-9A0DF25A0EDE}"/>
    <hyperlink ref="S2193" r:id="rId1597" xr:uid="{83BFD63D-8C29-4BC4-ADC9-36EAAE1319FE}"/>
    <hyperlink ref="I2194" r:id="rId1598" xr:uid="{D9D93DB8-2E07-4150-9C22-837E1D3FC589}"/>
    <hyperlink ref="I2196" r:id="rId1599" xr:uid="{4F950E1E-1FBE-4A30-AADE-85537E078C42}"/>
    <hyperlink ref="I2197" r:id="rId1600" xr:uid="{15EB9511-F9E7-49BD-8842-02DB1FF14E62}"/>
    <hyperlink ref="I2198" r:id="rId1601" xr:uid="{6F8F707B-9B19-4E58-A58B-184AEA67C76D}"/>
    <hyperlink ref="I2199" r:id="rId1602" xr:uid="{1E56955E-685F-4039-8BA1-F431FF2F9E58}"/>
    <hyperlink ref="I2200" r:id="rId1603" xr:uid="{42DECD75-A5DF-406D-9B64-45680ACC635B}"/>
    <hyperlink ref="S2200" r:id="rId1604" xr:uid="{92E4AB40-56C6-4DDA-924F-A9BC0FAC9EF4}"/>
    <hyperlink ref="I2201" r:id="rId1605" xr:uid="{B041837A-5DCD-4B3B-BAB9-3056DA514446}"/>
    <hyperlink ref="I2202" r:id="rId1606" xr:uid="{194E687A-9339-4DD0-AF11-492FEB317E27}"/>
    <hyperlink ref="I2203" r:id="rId1607" xr:uid="{29119074-D5D3-4F45-A3ED-6368205975F9}"/>
    <hyperlink ref="I2204" r:id="rId1608" xr:uid="{C2093B19-4C6D-496A-8689-D1E1F99B1F69}"/>
    <hyperlink ref="I2205" r:id="rId1609" xr:uid="{F5E858F1-3A5F-4920-AFE9-6F17ED07E381}"/>
    <hyperlink ref="S2205" r:id="rId1610" xr:uid="{147C3C62-A413-48EE-B972-EC3321847325}"/>
    <hyperlink ref="S2207" r:id="rId1611" xr:uid="{773F79A3-4B44-47E2-82AC-C79D259098B5}"/>
    <hyperlink ref="I2208" r:id="rId1612" xr:uid="{CF79A6DC-6CC9-42D3-8FE2-D2B44B8E5A00}"/>
    <hyperlink ref="S2209" r:id="rId1613" xr:uid="{1FAE5B23-D0DA-4567-9450-F041D84C07A2}"/>
    <hyperlink ref="I2210" r:id="rId1614" xr:uid="{5AC81D2D-B7A1-46DC-A872-29E561EC5286}"/>
    <hyperlink ref="S2210" r:id="rId1615" xr:uid="{C5DED248-85BC-466A-A054-1AD2D1D033FC}"/>
    <hyperlink ref="I2211" r:id="rId1616" xr:uid="{EBEFB9AB-C26B-4BC6-A2F8-19405998FDB0}"/>
    <hyperlink ref="S2213" r:id="rId1617" xr:uid="{AEC0EC51-1C1E-4DB9-89AD-8CC77DA139C2}"/>
    <hyperlink ref="I2214" r:id="rId1618" xr:uid="{38D1F2F6-0846-4134-9BE1-3B31DC51901C}"/>
    <hyperlink ref="I2215" r:id="rId1619" xr:uid="{F8F9A4CB-BF32-45DC-93FD-AF793A731003}"/>
    <hyperlink ref="I2218" r:id="rId1620" xr:uid="{D88EB837-9885-4A3C-B39F-B12D42E1CD10}"/>
    <hyperlink ref="I2220" r:id="rId1621" xr:uid="{2989E000-BA70-405F-B75C-760D99801579}"/>
    <hyperlink ref="I2222" r:id="rId1622" xr:uid="{F65624A0-F2BA-4626-AD4D-FC35955E1866}"/>
    <hyperlink ref="S2222" r:id="rId1623" xr:uid="{8CC5BF15-3F0B-4DEB-B2DA-8098A73131C0}"/>
    <hyperlink ref="I2223" r:id="rId1624" xr:uid="{CADEEBD2-77DD-4CCF-A900-2D7D691A0DAC}"/>
    <hyperlink ref="I2224" r:id="rId1625" xr:uid="{F36DF467-4BDC-4169-BF04-E5BAB6ADDC73}"/>
    <hyperlink ref="S2224" r:id="rId1626" xr:uid="{3070A934-0B05-46F1-9C03-0FDAC169982D}"/>
    <hyperlink ref="I2226" r:id="rId1627" xr:uid="{9B56B517-82B9-4BAF-825B-E8F26F5521D9}"/>
    <hyperlink ref="I2227" r:id="rId1628" xr:uid="{FB480DA8-5BAA-450B-9561-5D92712D973F}"/>
    <hyperlink ref="I2228" r:id="rId1629" xr:uid="{5A4BC4BF-C926-40A3-B7B9-BE27F2B0685D}"/>
    <hyperlink ref="S2228" r:id="rId1630" xr:uid="{36A02A39-30F0-4026-AA2D-7FE2E9919E3E}"/>
    <hyperlink ref="I2231" r:id="rId1631" xr:uid="{518F3577-833B-4B12-B5DE-E62283078B69}"/>
    <hyperlink ref="I2232" r:id="rId1632" xr:uid="{AE551C1D-7BA5-4F94-8E77-107E31ADEBD1}"/>
    <hyperlink ref="I2234" r:id="rId1633" xr:uid="{D63C4016-79B4-429C-BE06-3E4ED97161B2}"/>
    <hyperlink ref="I2235" r:id="rId1634" xr:uid="{DF815FE1-1D06-4137-A8E2-5E6F8F7D50A1}"/>
    <hyperlink ref="I2236" r:id="rId1635" xr:uid="{CE7F9A5A-E566-42EF-8A46-48DF92337B91}"/>
    <hyperlink ref="I2237" r:id="rId1636" xr:uid="{E53F6955-9D04-4DFC-A576-7D5AA23C7FE6}"/>
    <hyperlink ref="I2238" r:id="rId1637" xr:uid="{0BC8EBC5-6E01-43FA-B8CD-DF017F6A5097}"/>
    <hyperlink ref="I2239" r:id="rId1638" xr:uid="{00D3CD3A-9ECB-4268-8CE9-27BF1C998A4E}"/>
    <hyperlink ref="I2240" r:id="rId1639" xr:uid="{06EA3575-21A7-4DA4-B478-7652ED85D43D}"/>
    <hyperlink ref="S2240" r:id="rId1640" xr:uid="{33831E28-5011-4FF3-9C17-427DBD29EDAC}"/>
    <hyperlink ref="I2242" r:id="rId1641" xr:uid="{2EE30AD1-9AD2-453A-AA8B-D999DC8EA723}"/>
    <hyperlink ref="I2243" r:id="rId1642" xr:uid="{8DE76111-E6C6-4AFF-B0FD-824F6F3A9759}"/>
    <hyperlink ref="S2244" r:id="rId1643" xr:uid="{05E232EA-C584-4FE2-8D80-392FB022EE1C}"/>
    <hyperlink ref="I2245" r:id="rId1644" xr:uid="{27B2248A-CA6F-4CB4-8AA9-3486F5C55345}"/>
    <hyperlink ref="I2246" r:id="rId1645" xr:uid="{BAEBB540-27FE-4E17-8C43-F4410B11C91A}"/>
    <hyperlink ref="S2246" r:id="rId1646" xr:uid="{60449CB4-F2B0-4E45-8E19-D88D985BB683}"/>
    <hyperlink ref="I2247" r:id="rId1647" xr:uid="{021A764C-6A4F-46ED-B46C-80C26612DC66}"/>
    <hyperlink ref="S2247" r:id="rId1648" xr:uid="{DD1DBA2C-662B-48D7-BD6C-AB9800729989}"/>
    <hyperlink ref="S2248" r:id="rId1649" xr:uid="{9987DE68-7F8A-4C4D-A4EF-BA86CC1BC01F}"/>
    <hyperlink ref="I2250" r:id="rId1650" xr:uid="{1A6D6677-0FFF-4CDC-8BF9-B0B5D3FED0DB}"/>
    <hyperlink ref="S2250" r:id="rId1651" xr:uid="{A1F0A5EE-F03C-424A-B2AC-C73C4687A84E}"/>
    <hyperlink ref="I2251" r:id="rId1652" xr:uid="{1EB7DB32-C014-49BF-915E-D6D5156F8EBF}"/>
    <hyperlink ref="I2252" r:id="rId1653" xr:uid="{69D1729E-4056-4E32-9C3D-3FFB5EE6FB29}"/>
    <hyperlink ref="S2252" r:id="rId1654" xr:uid="{0454B36C-7A19-41FF-801F-1D3839F2A094}"/>
    <hyperlink ref="I2253" r:id="rId1655" xr:uid="{A201B933-9DEA-4F34-A42A-AC4E71C9747A}"/>
    <hyperlink ref="S2256" r:id="rId1656" xr:uid="{D7BBF180-A0E0-4837-BF73-48EA7D0F9921}"/>
    <hyperlink ref="I2258" r:id="rId1657" xr:uid="{0AB41379-AE2E-4D87-9D57-5A0A84087CE1}"/>
    <hyperlink ref="S2258" r:id="rId1658" xr:uid="{C7F5F79C-19A1-4544-9C44-78363AAC7A5E}"/>
    <hyperlink ref="I2259" r:id="rId1659" xr:uid="{622382E4-90DA-4A15-AD32-C6E3A413D1FC}"/>
    <hyperlink ref="S2259" r:id="rId1660" xr:uid="{95C74881-72F1-40FB-8E0D-F15E3DEA00FA}"/>
    <hyperlink ref="I2262" r:id="rId1661" xr:uid="{FC0AF2BC-54E0-405E-8AD1-275525150484}"/>
    <hyperlink ref="I2265" r:id="rId1662" xr:uid="{AEA95893-77FA-46A0-A055-62D99BAC3857}"/>
    <hyperlink ref="S2266" r:id="rId1663" xr:uid="{C7AF4D25-ED84-4BA5-8762-803BC40E55F4}"/>
    <hyperlink ref="I2267" r:id="rId1664" xr:uid="{14ED6420-7976-4CC0-89DD-2033EB3FA91F}"/>
    <hyperlink ref="S2267" r:id="rId1665" xr:uid="{83991D8F-29F1-400F-807C-EB49BF6D4E22}"/>
    <hyperlink ref="I2269" r:id="rId1666" xr:uid="{918E0690-218B-4F5B-8E62-398D63E1A506}"/>
    <hyperlink ref="I2271" r:id="rId1667" xr:uid="{7FEF2E18-F895-44F5-803E-C67B89C8DE35}"/>
    <hyperlink ref="S2272" r:id="rId1668" xr:uid="{8115ABCD-5A17-40A7-9EBF-B731C83D51B1}"/>
    <hyperlink ref="S2274" r:id="rId1669" xr:uid="{46A36A09-2154-4D70-90D6-72C326AA5413}"/>
    <hyperlink ref="I2275" r:id="rId1670" xr:uid="{6FEB2D08-2FF8-455B-8056-D5A1EE908588}"/>
    <hyperlink ref="I2277" r:id="rId1671" xr:uid="{45480C2B-4BEC-4BB1-8C09-663B5AF9A21D}"/>
    <hyperlink ref="S2278" r:id="rId1672" xr:uid="{2A05A6AB-BFC9-46B2-8C99-4603EEB3D725}"/>
    <hyperlink ref="I2279" r:id="rId1673" xr:uid="{781883A6-1397-41D0-B373-116C7BEF34FA}"/>
    <hyperlink ref="I2281" r:id="rId1674" xr:uid="{E26DD2FD-CBFF-4C19-81B7-E43C108E1392}"/>
    <hyperlink ref="S2281" r:id="rId1675" xr:uid="{70380E25-231C-4324-BF0C-B7F533D5DFCB}"/>
    <hyperlink ref="I2283" r:id="rId1676" xr:uid="{D24E4C0C-A4A0-4496-879E-46828FE5F593}"/>
    <hyperlink ref="I2284" r:id="rId1677" xr:uid="{8E5AB04C-FE50-4D88-BA04-8930B6311F52}"/>
    <hyperlink ref="S2284" r:id="rId1678" xr:uid="{E4774D86-A47C-478C-BD49-624D0CDCE9DF}"/>
    <hyperlink ref="S2285" r:id="rId1679" xr:uid="{CCB49385-3093-4B20-B395-C6744561055E}"/>
    <hyperlink ref="I2286" r:id="rId1680" xr:uid="{75056FD6-3AB7-425A-BFAD-4AD5369295D5}"/>
    <hyperlink ref="I2291" r:id="rId1681" xr:uid="{AD7787E9-EF21-43CD-A1A3-4669A6B08259}"/>
    <hyperlink ref="S2291" r:id="rId1682" xr:uid="{BDABED6D-5F56-49D1-A7C7-CEFD3828D0FD}"/>
    <hyperlink ref="I2292" r:id="rId1683" xr:uid="{09B1FEFB-7394-40EA-8945-562193A65416}"/>
    <hyperlink ref="S2292" r:id="rId1684" xr:uid="{DD098235-AF7B-4E9E-8C45-43F190F2052E}"/>
    <hyperlink ref="I2294" r:id="rId1685" xr:uid="{141170F5-F4EE-4800-84FB-44694DCAB2B9}"/>
    <hyperlink ref="S2294" r:id="rId1686" xr:uid="{E0C75D62-6C71-4DC4-891A-CA65A52D2145}"/>
    <hyperlink ref="S2297" r:id="rId1687" xr:uid="{B6FFDEF9-5507-4D4F-8025-11EDF01E661F}"/>
    <hyperlink ref="S2298" r:id="rId1688" xr:uid="{71AC7F95-7F9F-4891-899F-2D33E01BF8C6}"/>
    <hyperlink ref="I2300" r:id="rId1689" xr:uid="{72DB81B0-9688-46B0-8F5E-A85B92C35795}"/>
    <hyperlink ref="S2300" r:id="rId1690" xr:uid="{1E1BCCD5-723E-4F76-93FC-9530F4EF70D7}"/>
    <hyperlink ref="I2301" r:id="rId1691" xr:uid="{BEB81AA1-9A1E-47B3-B830-FD78ABE03D2E}"/>
    <hyperlink ref="S2301" r:id="rId1692" xr:uid="{2B915760-B803-416A-96F6-FAB9534011C2}"/>
    <hyperlink ref="I2302" r:id="rId1693" xr:uid="{FC358282-CF94-4828-A757-84DA856B9998}"/>
    <hyperlink ref="I2304" r:id="rId1694" xr:uid="{15539F47-3C52-469C-8A7D-FF2DB5A8DC88}"/>
    <hyperlink ref="S2304" r:id="rId1695" xr:uid="{8534B1A9-9300-48DE-87C7-F1CCEBBA4625}"/>
    <hyperlink ref="I2305" r:id="rId1696" xr:uid="{08F36EEB-B545-4231-82F3-EF49DD4BD3C9}"/>
    <hyperlink ref="S2305" r:id="rId1697" xr:uid="{A94225E1-5BEF-49B0-BA40-08E8FB9F2E60}"/>
    <hyperlink ref="I2306" r:id="rId1698" xr:uid="{BD91C448-BB12-48B2-9ADA-0C755FB2093C}"/>
    <hyperlink ref="S2306" r:id="rId1699" xr:uid="{1D0039A1-FBCC-4180-9F59-85B96D06DEED}"/>
    <hyperlink ref="I2307" r:id="rId1700" xr:uid="{1724DD39-F01F-486E-812F-B6465E94FC25}"/>
    <hyperlink ref="S2307" r:id="rId1701" xr:uid="{99EBE68D-1E46-45BB-9BC9-37812BB79D49}"/>
    <hyperlink ref="I2308" r:id="rId1702" xr:uid="{A9B0711D-9501-4206-B8D3-F65BF8D7AFE9}"/>
    <hyperlink ref="S2308" r:id="rId1703" xr:uid="{D9567654-20AB-443F-86C6-F097F6AB8972}"/>
    <hyperlink ref="S2310" r:id="rId1704" xr:uid="{914A74C8-5F65-4160-A3AE-36163A0C3182}"/>
    <hyperlink ref="I2311" r:id="rId1705" xr:uid="{DF170CD1-DF3F-4057-86EC-5C85DB309CC5}"/>
    <hyperlink ref="S2311" r:id="rId1706" xr:uid="{CAA89C96-8844-46C1-985D-2989046DC9F1}"/>
    <hyperlink ref="I2312" r:id="rId1707" xr:uid="{5903A4DD-ABF5-4B1D-AACF-04BC95ED7E96}"/>
    <hyperlink ref="S2312" r:id="rId1708" xr:uid="{51954505-2BB5-4722-9E93-C21AC53232AC}"/>
    <hyperlink ref="I2313" r:id="rId1709" xr:uid="{AE2C2641-6682-4991-8099-D30AE9BC281E}"/>
    <hyperlink ref="S2313" r:id="rId1710" xr:uid="{BF09E722-C998-41C3-8DBC-974A1154B123}"/>
    <hyperlink ref="I2314" r:id="rId1711" xr:uid="{0CAA09C6-10E0-433B-B5B1-2F680709A34C}"/>
    <hyperlink ref="S2314" r:id="rId1712" xr:uid="{9A973C6A-D60A-4AF2-82E4-8235C83476B8}"/>
    <hyperlink ref="I2315" r:id="rId1713" xr:uid="{83783C65-8F3A-48B7-80F1-DB3BEF67BFA6}"/>
    <hyperlink ref="S2315" r:id="rId1714" xr:uid="{B5B9B9D4-7FC7-408C-BBD4-0F1846424E0C}"/>
    <hyperlink ref="I2316" r:id="rId1715" xr:uid="{EC8A476E-851C-412A-AD54-6E5E6820B732}"/>
    <hyperlink ref="S2321" r:id="rId1716" xr:uid="{5E362850-2BED-40D1-8C9B-7B88FB71C4DB}"/>
    <hyperlink ref="I2322" r:id="rId1717" xr:uid="{814B78A7-CB0E-48C1-96FE-EDDCA6076B7E}"/>
    <hyperlink ref="S2322" r:id="rId1718" xr:uid="{72045DE9-C996-4EFA-9F55-443EE458E81D}"/>
    <hyperlink ref="I2323" r:id="rId1719" xr:uid="{6FB07015-F1EF-4B55-9EE0-73AD98638352}"/>
    <hyperlink ref="S2323" r:id="rId1720" xr:uid="{4929953E-4009-4283-9951-13A5ADDC3A00}"/>
    <hyperlink ref="S2324" r:id="rId1721" xr:uid="{0CF776FC-BCD3-4C1C-B814-E77E0985C824}"/>
    <hyperlink ref="I2325" r:id="rId1722" xr:uid="{E4EAAC85-9DA6-44DA-B1D7-CBE96877688C}"/>
    <hyperlink ref="I2326" r:id="rId1723" xr:uid="{8DEBCD1B-3D64-4979-B244-66FB83514A6E}"/>
    <hyperlink ref="I2327" r:id="rId1724" xr:uid="{32AAB4DF-0FBE-42D2-BEFD-3D8CD6AA2076}"/>
    <hyperlink ref="I2328" r:id="rId1725" xr:uid="{C1B41999-8F31-426E-A56C-803F70FE57B0}"/>
    <hyperlink ref="I2329" r:id="rId1726" xr:uid="{481E4A60-454E-4F2C-96B7-33FA3BDC4D8F}"/>
    <hyperlink ref="I2331" r:id="rId1727" xr:uid="{86E6B772-707B-4D38-A6B3-43224CA80079}"/>
    <hyperlink ref="I2332" r:id="rId1728" xr:uid="{542BF157-C522-424F-B7C6-786FC8FD1CD0}"/>
    <hyperlink ref="I2333" r:id="rId1729" xr:uid="{325C8CD6-F61A-4119-9E19-B98E22E6599C}"/>
    <hyperlink ref="I2335" r:id="rId1730" xr:uid="{98E3604A-C47E-4505-8AEE-C0A45969D967}"/>
    <hyperlink ref="I2340" r:id="rId1731" xr:uid="{BA56B53C-E6B6-43D6-A5B6-49856D5E3D3B}"/>
    <hyperlink ref="I2343" r:id="rId1732" xr:uid="{3D002268-E486-4BA8-A553-3088AC05E531}"/>
    <hyperlink ref="I2344" r:id="rId1733" xr:uid="{952A2481-8254-435B-9E93-588327C918D3}"/>
    <hyperlink ref="I2346" r:id="rId1734" xr:uid="{727C2B93-D316-4F2D-93BB-9B3C9040B637}"/>
    <hyperlink ref="I2347" r:id="rId1735" xr:uid="{CDD8B773-CE6C-41FE-AD95-6D033FFF4689}"/>
    <hyperlink ref="I2349" r:id="rId1736" xr:uid="{F3D0DE81-6828-49B2-94E7-971616C811D5}"/>
    <hyperlink ref="S2349" r:id="rId1737" xr:uid="{A4B445D8-B3AD-4DC5-96C9-32F155C79EFD}"/>
    <hyperlink ref="I2351" r:id="rId1738" xr:uid="{FECB580E-67EB-4CBE-8A84-C196A1C44289}"/>
    <hyperlink ref="S2351" r:id="rId1739" xr:uid="{79238861-B424-4CC9-8200-9EBBE0C740F5}"/>
    <hyperlink ref="I2352" r:id="rId1740" xr:uid="{B856CF78-8E50-4DD8-904D-35C34290366F}"/>
    <hyperlink ref="I2354" r:id="rId1741" xr:uid="{58068E83-6302-473A-BF29-DB59C5EF1082}"/>
    <hyperlink ref="S2354" r:id="rId1742" xr:uid="{8CADDF4D-6C38-466F-A788-4ECFF11146F8}"/>
    <hyperlink ref="I2355" r:id="rId1743" xr:uid="{E1331A00-F606-4DFE-A764-DD173D08D0EA}"/>
    <hyperlink ref="S2355" r:id="rId1744" xr:uid="{BF4BA72E-7C88-45F4-85F8-B4105088EA03}"/>
    <hyperlink ref="I2356" r:id="rId1745" xr:uid="{26B7C3E9-EE70-4E21-9FC4-910E154F94D8}"/>
    <hyperlink ref="S2356" r:id="rId1746" xr:uid="{770DA649-74B4-4608-8F34-12A2117087CB}"/>
    <hyperlink ref="I2357" r:id="rId1747" xr:uid="{20651C80-C585-491A-AD25-9AB3424AF2B0}"/>
    <hyperlink ref="S2357" r:id="rId1748" xr:uid="{23238BC1-5113-426D-A089-B6F7856B5F2E}"/>
    <hyperlink ref="I2359" r:id="rId1749" xr:uid="{F2497221-F4E9-4F58-BAB6-8A5A0C695204}"/>
    <hyperlink ref="S2359" r:id="rId1750" xr:uid="{9A87256A-6813-42F4-9504-897CE92BECA8}"/>
    <hyperlink ref="S2360" r:id="rId1751" xr:uid="{26DC856A-7FFE-4D13-892A-76DFFB161F35}"/>
    <hyperlink ref="S2361" r:id="rId1752" xr:uid="{4AF24175-3103-4A09-BDEA-350DE0EB6713}"/>
    <hyperlink ref="I2363" r:id="rId1753" xr:uid="{B13D0996-53EF-4584-B1B4-9CA778B9FED3}"/>
    <hyperlink ref="S2363" r:id="rId1754" xr:uid="{45891FF1-6DAD-41D4-8270-F84A0D4A3697}"/>
    <hyperlink ref="I2364" r:id="rId1755" xr:uid="{D760EB45-315D-4A7F-995F-E859CFAC2862}"/>
    <hyperlink ref="S2364" r:id="rId1756" xr:uid="{A7255AA8-F43C-4A69-870E-1CA7A58EA263}"/>
    <hyperlink ref="I2365" r:id="rId1757" xr:uid="{4AEDB70B-EF32-4C69-B096-FF4372C0AA1B}"/>
    <hyperlink ref="S2365" r:id="rId1758" xr:uid="{7C2FA681-32B0-45FD-AFFF-FD7F0B1E8B4D}"/>
    <hyperlink ref="I2366" r:id="rId1759" xr:uid="{47D15303-2054-418D-B8A6-D801277541BC}"/>
    <hyperlink ref="I2367" r:id="rId1760" xr:uid="{146F1E49-EB50-4542-9B49-A38D8EA8381C}"/>
    <hyperlink ref="S2367" r:id="rId1761" xr:uid="{520DDFA1-EB05-4B13-9C34-93581C66C00A}"/>
    <hyperlink ref="S2369" r:id="rId1762" xr:uid="{EF8380BF-1AF2-4AA1-BED9-4B4F89D90574}"/>
    <hyperlink ref="I2371" r:id="rId1763" xr:uid="{0F7AE6BF-CEED-4A54-9B88-0A2680ABBDD8}"/>
    <hyperlink ref="I2372" r:id="rId1764" xr:uid="{3199E8A3-26E0-4F21-9FC7-061030570A87}"/>
    <hyperlink ref="I2373" r:id="rId1765" xr:uid="{830AB8A5-610E-4333-8543-54F3E33937A4}"/>
    <hyperlink ref="I2374" r:id="rId1766" xr:uid="{5268120F-6055-4509-966D-96A18CD2D208}"/>
    <hyperlink ref="I2375" r:id="rId1767" xr:uid="{66E0ED3F-8F3E-42A7-964B-C6010F2F7D4A}"/>
    <hyperlink ref="I2376" r:id="rId1768" xr:uid="{1DACB925-DFEA-4345-AFFC-41790E36E61F}"/>
    <hyperlink ref="I2377" r:id="rId1769" xr:uid="{2F61DB4C-462E-47A5-9BCC-4FBE8B89368C}"/>
    <hyperlink ref="I2378" r:id="rId1770" xr:uid="{6A9E3D27-9C6B-449B-8CA9-99FE824F21C3}"/>
    <hyperlink ref="S2378" r:id="rId1771" xr:uid="{A5D7C3F1-6E09-4F11-AAD6-26133E5B2175}"/>
    <hyperlink ref="I2379" r:id="rId1772" xr:uid="{37433A8E-6FE4-454F-ABC6-B02707B0BB2D}"/>
    <hyperlink ref="I2382" r:id="rId1773" xr:uid="{24863262-30EC-48F8-9784-716FDFC0EC29}"/>
    <hyperlink ref="I2383" r:id="rId1774" xr:uid="{974F82FC-2897-4B07-9E37-092A665155C8}"/>
    <hyperlink ref="I2385" r:id="rId1775" xr:uid="{B542816A-1F30-43CB-BEE5-580435AD6868}"/>
    <hyperlink ref="I2386" r:id="rId1776" xr:uid="{0D5B721D-16FA-41DB-BD22-6C607088288E}"/>
    <hyperlink ref="I2388" r:id="rId1777" xr:uid="{CC4D522D-5BF7-4DD1-AC64-6E16200E6C6A}"/>
    <hyperlink ref="I2389" r:id="rId1778" xr:uid="{81F52F00-6F1B-4C19-8640-2D4B0AEC7E6A}"/>
    <hyperlink ref="S2390" r:id="rId1779" xr:uid="{05AAB8CC-D698-4322-B332-0D7888EA6593}"/>
    <hyperlink ref="I2391" r:id="rId1780" xr:uid="{A06C0DE8-F108-4654-BC1C-D01ACF57F7FB}"/>
    <hyperlink ref="I2392" r:id="rId1781" xr:uid="{06849B3C-4FD0-434D-BB81-4DD88E677AAE}"/>
    <hyperlink ref="I2393" r:id="rId1782" xr:uid="{D3A5CE05-C6D8-44A0-A724-1AE8B263B400}"/>
    <hyperlink ref="I2396" r:id="rId1783" xr:uid="{7E29FC16-0B4D-40D6-AB1E-E34928B03F13}"/>
    <hyperlink ref="I2398" r:id="rId1784" xr:uid="{100BBB4F-0EF0-415B-82B6-AA1879EAF0B4}"/>
    <hyperlink ref="I2400" r:id="rId1785" xr:uid="{C8744006-0E06-4041-8100-C5310230D718}"/>
    <hyperlink ref="I2401" r:id="rId1786" xr:uid="{1FEA6CA0-0CA2-46CC-8B30-33530C175958}"/>
    <hyperlink ref="I2402" r:id="rId1787" xr:uid="{2B48AFBA-EDBA-416A-ACC5-AE885A2FEAD4}"/>
    <hyperlink ref="I2403" r:id="rId1788" xr:uid="{AE26352C-D0DE-4EE5-80AA-4FAC22580910}"/>
    <hyperlink ref="I2404" r:id="rId1789" xr:uid="{6775B508-CA38-48FD-AD79-7132AC5281FB}"/>
    <hyperlink ref="S2405" r:id="rId1790" xr:uid="{864D6999-8025-44E1-84AD-09CD43A24C45}"/>
    <hyperlink ref="I2406" r:id="rId1791" xr:uid="{2ED2FDBB-DDE3-437C-93AB-D4CEFC387A01}"/>
    <hyperlink ref="I2410" r:id="rId1792" xr:uid="{75897E59-DD90-42E2-8773-7CB3213063B0}"/>
    <hyperlink ref="I2412" r:id="rId1793" xr:uid="{F458AE3D-BF0B-47C2-8E90-B59C970EFDA0}"/>
    <hyperlink ref="S2412" r:id="rId1794" xr:uid="{B7B0B813-260E-4803-8B6C-D40594E3A886}"/>
    <hyperlink ref="S2413" r:id="rId1795" xr:uid="{B3080E32-B191-4540-9FBB-592FCB122A61}"/>
    <hyperlink ref="I2414" r:id="rId1796" xr:uid="{A9BBE5D9-E9EC-43F3-8486-740AC4B3B480}"/>
    <hyperlink ref="S2417" r:id="rId1797" xr:uid="{E44CDD03-967A-41B1-8473-0BFE1E7E8BC6}"/>
    <hyperlink ref="I2423" r:id="rId1798" xr:uid="{39B3F120-DB0E-4C86-BCBF-B93517398793}"/>
    <hyperlink ref="I2426" r:id="rId1799" xr:uid="{4A4563F2-9B65-4863-987D-082E00F66116}"/>
    <hyperlink ref="I2430" r:id="rId1800" xr:uid="{44479610-F145-4D08-B69F-EABF87733C96}"/>
    <hyperlink ref="I2433" r:id="rId1801" xr:uid="{CF8F7BBD-A562-4340-8534-4222A010F1A9}"/>
    <hyperlink ref="I2435" r:id="rId1802" xr:uid="{3A9E7A28-32FF-4030-AF35-23AFF818C910}"/>
    <hyperlink ref="S2435" r:id="rId1803" xr:uid="{13433E81-14DF-442E-95F0-559702DAC74B}"/>
    <hyperlink ref="I2437" r:id="rId1804" xr:uid="{D3201E94-9CAE-4B48-83E6-356F25C188CB}"/>
    <hyperlink ref="S2439" r:id="rId1805" xr:uid="{A59CA9BF-4AC2-47D6-88B0-6A46A9B50C2A}"/>
    <hyperlink ref="S2440" r:id="rId1806" xr:uid="{E7E34654-BB13-4C7E-ACC0-2C530A860EBF}"/>
    <hyperlink ref="I2442" r:id="rId1807" xr:uid="{E44560A8-B398-40D9-B063-8B00402F41C5}"/>
    <hyperlink ref="I2443" r:id="rId1808" xr:uid="{9768E061-ECD5-42C9-921C-08D0A6386629}"/>
    <hyperlink ref="I2445" r:id="rId1809" xr:uid="{B93AE7A0-ECAC-4F83-AFDB-EC17E4745B70}"/>
    <hyperlink ref="S2446" r:id="rId1810" xr:uid="{B6A1D18D-7CE3-4AD4-AA65-49866530B185}"/>
    <hyperlink ref="I2448" r:id="rId1811" xr:uid="{7CF0C963-87E0-4E54-AE1E-C69466E67C9E}"/>
    <hyperlink ref="S2448" r:id="rId1812" xr:uid="{D4B47CF0-2221-44A1-BAF2-81BD95B2C87A}"/>
    <hyperlink ref="I2449" r:id="rId1813" xr:uid="{8D2FE746-C5AB-4048-A083-B529BF495761}"/>
    <hyperlink ref="S2451" r:id="rId1814" xr:uid="{67B2A861-BE5B-4F7A-BCBD-5831E69EA1CE}"/>
    <hyperlink ref="I2460" r:id="rId1815" xr:uid="{DF587AB9-E6C5-4B29-B4F4-AD8340C038EB}"/>
    <hyperlink ref="I2469" r:id="rId1816" xr:uid="{EED8FF3A-F7D4-4A2F-82E7-575C931939BB}"/>
    <hyperlink ref="I2470" r:id="rId1817" xr:uid="{402EB705-7538-47DB-B466-91F5A67FC6FE}"/>
    <hyperlink ref="I2474" r:id="rId1818" xr:uid="{3239C0D1-3D25-49A7-BFF5-2A2DC063920A}"/>
    <hyperlink ref="I2475" r:id="rId1819" xr:uid="{9DF0A9E5-8D99-475D-BB40-3AD2B010C528}"/>
    <hyperlink ref="S2475" r:id="rId1820" xr:uid="{EFD0C3DD-6A95-4622-97C0-116448183D1C}"/>
    <hyperlink ref="I2477" r:id="rId1821" xr:uid="{6A9E7B6A-62AD-4F80-B4A3-C8D1D281BD3B}"/>
    <hyperlink ref="I2478" r:id="rId1822" xr:uid="{B7EE5C3C-0441-40D0-81F0-A64F5495DC52}"/>
    <hyperlink ref="I2479" r:id="rId1823" xr:uid="{D31BF82C-066C-4DF9-9FB4-5C3CEE871824}"/>
    <hyperlink ref="S2479" r:id="rId1824" xr:uid="{4AEA233F-9353-4D2F-B319-F9841E09462E}"/>
    <hyperlink ref="I2480" r:id="rId1825" xr:uid="{199E3145-DA91-4FFA-AC84-CF4BBA1323C1}"/>
    <hyperlink ref="S2480" r:id="rId1826" xr:uid="{1B5FC968-99D7-414B-B5A7-DC1B460539B2}"/>
    <hyperlink ref="I2482" r:id="rId1827" xr:uid="{0DC19535-EBCF-4E58-8172-B1DEEAD28DBE}"/>
    <hyperlink ref="S2482" r:id="rId1828" xr:uid="{1EC46C70-1C85-4AD2-8CA8-66C05517DC38}"/>
    <hyperlink ref="I2484" r:id="rId1829" xr:uid="{F568D75C-5D8B-430B-B648-3F2022DE849D}"/>
    <hyperlink ref="I2485" r:id="rId1830" xr:uid="{24F9203D-3ACA-4A99-BF57-3186A7277CB9}"/>
    <hyperlink ref="I2486" r:id="rId1831" xr:uid="{12DA1E7D-A02C-406E-A99A-C44FAB0BB440}"/>
    <hyperlink ref="I2488" r:id="rId1832" xr:uid="{654D2B29-DB52-4F39-8DEE-E8A049B7753E}"/>
    <hyperlink ref="I2493" r:id="rId1833" xr:uid="{10339CBD-060A-4A38-8097-8BF42849AD5C}"/>
    <hyperlink ref="I2495" r:id="rId1834" xr:uid="{D7F72BF6-9AF6-4C22-A817-907DFD015EE1}"/>
    <hyperlink ref="S2497" r:id="rId1835" xr:uid="{E4F84064-2DC7-444D-834A-28F02729C9C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
  <sheetViews>
    <sheetView workbookViewId="0">
      <pane ySplit="2" topLeftCell="A3" activePane="bottomLeft" state="frozen"/>
      <selection pane="bottomLeft" sqref="A1:J1"/>
    </sheetView>
  </sheetViews>
  <sheetFormatPr defaultRowHeight="15" x14ac:dyDescent="0.3"/>
  <cols>
    <col min="1" max="1" width="8" customWidth="1"/>
    <col min="2" max="3" width="15" customWidth="1"/>
    <col min="4" max="4" width="7" customWidth="1"/>
    <col min="5" max="6" width="15" customWidth="1"/>
    <col min="7" max="7" width="7" customWidth="1"/>
    <col min="8" max="9" width="15" customWidth="1"/>
    <col min="10" max="10" width="7" customWidth="1"/>
  </cols>
  <sheetData>
    <row r="1" spans="1:10" ht="25.95" customHeight="1" x14ac:dyDescent="0.3">
      <c r="A1" s="25" t="s">
        <v>0</v>
      </c>
      <c r="B1" s="26"/>
      <c r="C1" s="26"/>
      <c r="D1" s="26"/>
      <c r="E1" s="26"/>
      <c r="F1" s="26"/>
      <c r="G1" s="26"/>
      <c r="H1" s="26"/>
      <c r="I1" s="26"/>
      <c r="J1" s="26"/>
    </row>
    <row r="2" spans="1:10" ht="19.95" customHeight="1" x14ac:dyDescent="0.3">
      <c r="A2" s="1" t="s">
        <v>1</v>
      </c>
      <c r="B2" s="1" t="s">
        <v>2</v>
      </c>
      <c r="C2" s="1" t="s">
        <v>3</v>
      </c>
      <c r="D2" s="1" t="s">
        <v>4</v>
      </c>
      <c r="E2" s="1" t="s">
        <v>5</v>
      </c>
      <c r="F2" s="1" t="s">
        <v>6</v>
      </c>
      <c r="G2" s="1" t="s">
        <v>4</v>
      </c>
      <c r="H2" s="1" t="s">
        <v>7</v>
      </c>
      <c r="I2" s="1" t="s">
        <v>8</v>
      </c>
      <c r="J2" s="1" t="s">
        <v>4</v>
      </c>
    </row>
    <row r="3" spans="1:10" x14ac:dyDescent="0.3">
      <c r="A3" s="2" t="s">
        <v>9</v>
      </c>
      <c r="B3" s="3">
        <f>'1月明細'!B243</f>
        <v>240</v>
      </c>
      <c r="C3" s="3">
        <v>240</v>
      </c>
      <c r="D3" s="4" t="str">
        <f>IF(ABS(B3-C3)&lt;=0.5,"✓","✗")</f>
        <v>✓</v>
      </c>
      <c r="E3" s="5">
        <f>'1月明細'!D243</f>
        <v>365.97999999999968</v>
      </c>
      <c r="F3" s="5">
        <v>366</v>
      </c>
      <c r="G3" s="4" t="str">
        <f>IF(ABS(E3-F3)&lt;=0.1,"✓","✗")</f>
        <v>✓</v>
      </c>
      <c r="H3" s="6">
        <f>'1月明細'!F243</f>
        <v>1.5249166666666654</v>
      </c>
      <c r="I3" s="6">
        <v>1.52</v>
      </c>
      <c r="J3" s="4" t="str">
        <f>IF(ABS(H3-I3)&lt;=0.02,"✓","✗")</f>
        <v>✓</v>
      </c>
    </row>
    <row r="4" spans="1:10" x14ac:dyDescent="0.3">
      <c r="A4" s="7" t="s">
        <v>10</v>
      </c>
      <c r="B4" s="8">
        <f>'2月明細'!B233</f>
        <v>230</v>
      </c>
      <c r="C4" s="8">
        <v>230</v>
      </c>
      <c r="D4" s="4" t="str">
        <f>IF(ABS(B4-C4)&lt;=0.5,"✓","✗")</f>
        <v>✓</v>
      </c>
      <c r="E4" s="9">
        <f>'2月明細'!D233</f>
        <v>710.88999999999965</v>
      </c>
      <c r="F4" s="9">
        <v>710.9</v>
      </c>
      <c r="G4" s="4" t="str">
        <f>IF(ABS(E4-F4)&lt;=0.1,"✓","✗")</f>
        <v>✓</v>
      </c>
      <c r="H4" s="10">
        <f>'2月明細'!F233</f>
        <v>3.0908260869565201</v>
      </c>
      <c r="I4" s="10">
        <v>3.09</v>
      </c>
      <c r="J4" s="4" t="str">
        <f>IF(ABS(H4-I4)&lt;=0.02,"✓","✗")</f>
        <v>✓</v>
      </c>
    </row>
    <row r="5" spans="1:10" x14ac:dyDescent="0.3">
      <c r="A5" s="2" t="s">
        <v>11</v>
      </c>
      <c r="B5" s="3">
        <f>'3月明細'!B212</f>
        <v>209</v>
      </c>
      <c r="C5" s="3">
        <v>209</v>
      </c>
      <c r="D5" s="4" t="str">
        <f>IF(ABS(B5-C5)&lt;=0.5,"✓","✗")</f>
        <v>✓</v>
      </c>
      <c r="E5" s="5">
        <f>'3月明細'!D212</f>
        <v>483.06999999999988</v>
      </c>
      <c r="F5" s="5">
        <v>483.1</v>
      </c>
      <c r="G5" s="4" t="str">
        <f>IF(ABS(E5-F5)&lt;=0.1,"✓","✗")</f>
        <v>✓</v>
      </c>
      <c r="H5" s="6">
        <f>'3月明細'!F212</f>
        <v>2.3113397129186599</v>
      </c>
      <c r="I5" s="6">
        <v>2.31</v>
      </c>
      <c r="J5" s="4" t="str">
        <f>IF(ABS(H5-I5)&lt;=0.02,"✓","✗")</f>
        <v>✓</v>
      </c>
    </row>
    <row r="6" spans="1:10" x14ac:dyDescent="0.3">
      <c r="A6" s="7" t="s">
        <v>12</v>
      </c>
      <c r="B6" s="8">
        <f>'4月明細'!B124</f>
        <v>121</v>
      </c>
      <c r="C6" s="8">
        <v>121</v>
      </c>
      <c r="D6" s="4" t="str">
        <f>IF(ABS(B6-C6)&lt;=0.5,"✓","✗")</f>
        <v>✓</v>
      </c>
      <c r="E6" s="9">
        <f>'4月明細'!D124</f>
        <v>233.15000000000009</v>
      </c>
      <c r="F6" s="9">
        <v>233.2</v>
      </c>
      <c r="G6" s="4" t="str">
        <f>IF(ABS(E6-F6)&lt;=0.1,"✓","✗")</f>
        <v>✓</v>
      </c>
      <c r="H6" s="10">
        <f>'4月明細'!F124</f>
        <v>1.9268595041322321</v>
      </c>
      <c r="I6" s="10">
        <v>1.93</v>
      </c>
      <c r="J6" s="4" t="str">
        <f>IF(ABS(H6-I6)&lt;=0.02,"✓","✗")</f>
        <v>✓</v>
      </c>
    </row>
    <row r="7" spans="1:10" x14ac:dyDescent="0.3">
      <c r="A7" s="2" t="s">
        <v>13</v>
      </c>
      <c r="B7" s="3">
        <f>'5月明細'!B55</f>
        <v>52</v>
      </c>
      <c r="C7" s="3">
        <v>52</v>
      </c>
      <c r="D7" s="4" t="str">
        <f>IF(ABS(B7-C7)&lt;=0.5,"✓","✗")</f>
        <v>✓</v>
      </c>
      <c r="E7" s="5">
        <f>'5月明細'!D55</f>
        <v>194.37000000000006</v>
      </c>
      <c r="F7" s="5">
        <v>194.4</v>
      </c>
      <c r="G7" s="4" t="str">
        <f>IF(ABS(E7-F7)&lt;=0.1,"✓","✗")</f>
        <v>✓</v>
      </c>
      <c r="H7" s="6">
        <f>'5月明細'!F55</f>
        <v>3.7378846153846164</v>
      </c>
      <c r="I7" s="6">
        <v>3.74</v>
      </c>
      <c r="J7" s="4" t="str">
        <f>IF(ABS(H7-I7)&lt;=0.02,"✓","✗")</f>
        <v>✓</v>
      </c>
    </row>
  </sheetData>
  <mergeCells count="1">
    <mergeCell ref="A1:J1"/>
  </mergeCells>
  <phoneticPr fontId="7"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43"/>
  <sheetViews>
    <sheetView workbookViewId="0">
      <pane ySplit="1" topLeftCell="A2" activePane="bottomLeft" state="frozen"/>
      <selection pane="bottomLeft"/>
    </sheetView>
  </sheetViews>
  <sheetFormatPr defaultRowHeight="15" x14ac:dyDescent="0.3"/>
  <cols>
    <col min="1" max="1" width="6" customWidth="1"/>
    <col min="2" max="2" width="20" customWidth="1"/>
    <col min="3" max="4" width="13" customWidth="1"/>
    <col min="5" max="5" width="10" customWidth="1"/>
    <col min="6" max="9" width="11" customWidth="1"/>
    <col min="10" max="10" width="16" customWidth="1"/>
  </cols>
  <sheetData>
    <row r="1" spans="1:10" ht="19.95" customHeight="1" x14ac:dyDescent="0.3">
      <c r="A1" s="1" t="s">
        <v>14</v>
      </c>
      <c r="B1" s="1" t="s">
        <v>15</v>
      </c>
      <c r="C1" s="1" t="s">
        <v>16</v>
      </c>
      <c r="D1" s="1" t="s">
        <v>17</v>
      </c>
      <c r="E1" s="1" t="s">
        <v>18</v>
      </c>
      <c r="F1" s="1" t="s">
        <v>19</v>
      </c>
      <c r="G1" s="1" t="s">
        <v>20</v>
      </c>
      <c r="H1" s="1" t="s">
        <v>21</v>
      </c>
      <c r="I1" s="1" t="s">
        <v>22</v>
      </c>
      <c r="J1" s="1" t="s">
        <v>23</v>
      </c>
    </row>
    <row r="2" spans="1:10" x14ac:dyDescent="0.3">
      <c r="A2" s="11">
        <v>1</v>
      </c>
      <c r="B2" s="12" t="s">
        <v>24</v>
      </c>
      <c r="C2" s="13">
        <v>46023</v>
      </c>
      <c r="D2" s="13">
        <v>46024</v>
      </c>
      <c r="E2" s="11" t="s">
        <v>25</v>
      </c>
      <c r="F2" s="14">
        <v>0</v>
      </c>
      <c r="G2" s="14">
        <v>0</v>
      </c>
      <c r="H2" s="14">
        <f t="shared" ref="H2:H65" si="0">F2+G2</f>
        <v>0</v>
      </c>
      <c r="I2" s="6">
        <v>1.17</v>
      </c>
      <c r="J2" s="12"/>
    </row>
    <row r="3" spans="1:10" x14ac:dyDescent="0.3">
      <c r="A3" s="15">
        <v>2</v>
      </c>
      <c r="B3" s="16" t="s">
        <v>26</v>
      </c>
      <c r="C3" s="17">
        <v>46023</v>
      </c>
      <c r="D3" s="17">
        <v>46024</v>
      </c>
      <c r="E3" s="15" t="s">
        <v>25</v>
      </c>
      <c r="F3" s="18">
        <v>0</v>
      </c>
      <c r="G3" s="18">
        <v>0</v>
      </c>
      <c r="H3" s="18">
        <f t="shared" si="0"/>
        <v>0</v>
      </c>
      <c r="I3" s="10">
        <v>1.1100000000000001</v>
      </c>
      <c r="J3" s="16"/>
    </row>
    <row r="4" spans="1:10" x14ac:dyDescent="0.3">
      <c r="A4" s="11">
        <v>3</v>
      </c>
      <c r="B4" s="12" t="s">
        <v>27</v>
      </c>
      <c r="C4" s="13">
        <v>46023</v>
      </c>
      <c r="D4" s="13">
        <v>46024</v>
      </c>
      <c r="E4" s="11" t="s">
        <v>25</v>
      </c>
      <c r="F4" s="14">
        <v>0</v>
      </c>
      <c r="G4" s="14">
        <v>0</v>
      </c>
      <c r="H4" s="14">
        <f t="shared" si="0"/>
        <v>0</v>
      </c>
      <c r="I4" s="6">
        <v>1.1000000000000001</v>
      </c>
      <c r="J4" s="12"/>
    </row>
    <row r="5" spans="1:10" x14ac:dyDescent="0.3">
      <c r="A5" s="15">
        <v>4</v>
      </c>
      <c r="B5" s="16" t="s">
        <v>28</v>
      </c>
      <c r="C5" s="17">
        <v>46023</v>
      </c>
      <c r="D5" s="17">
        <v>46024</v>
      </c>
      <c r="E5" s="15" t="s">
        <v>25</v>
      </c>
      <c r="F5" s="18">
        <v>0</v>
      </c>
      <c r="G5" s="18">
        <v>0</v>
      </c>
      <c r="H5" s="18">
        <f t="shared" si="0"/>
        <v>0</v>
      </c>
      <c r="I5" s="10">
        <v>1.0900000000000001</v>
      </c>
      <c r="J5" s="16"/>
    </row>
    <row r="6" spans="1:10" x14ac:dyDescent="0.3">
      <c r="A6" s="11">
        <v>5</v>
      </c>
      <c r="B6" s="12" t="s">
        <v>29</v>
      </c>
      <c r="C6" s="13">
        <v>46023</v>
      </c>
      <c r="D6" s="13">
        <v>46024</v>
      </c>
      <c r="E6" s="11" t="s">
        <v>25</v>
      </c>
      <c r="F6" s="14">
        <v>0</v>
      </c>
      <c r="G6" s="14">
        <v>0</v>
      </c>
      <c r="H6" s="14">
        <f t="shared" si="0"/>
        <v>0</v>
      </c>
      <c r="I6" s="6">
        <v>1.06</v>
      </c>
      <c r="J6" s="12"/>
    </row>
    <row r="7" spans="1:10" x14ac:dyDescent="0.3">
      <c r="A7" s="15">
        <v>6</v>
      </c>
      <c r="B7" s="16" t="s">
        <v>30</v>
      </c>
      <c r="C7" s="17">
        <v>46023</v>
      </c>
      <c r="D7" s="17">
        <v>46024</v>
      </c>
      <c r="E7" s="15" t="s">
        <v>25</v>
      </c>
      <c r="F7" s="18">
        <v>0</v>
      </c>
      <c r="G7" s="18">
        <v>0</v>
      </c>
      <c r="H7" s="18">
        <f t="shared" si="0"/>
        <v>0</v>
      </c>
      <c r="I7" s="10">
        <v>1.01</v>
      </c>
      <c r="J7" s="16"/>
    </row>
    <row r="8" spans="1:10" x14ac:dyDescent="0.3">
      <c r="A8" s="11">
        <v>7</v>
      </c>
      <c r="B8" s="12" t="s">
        <v>31</v>
      </c>
      <c r="C8" s="13">
        <v>46023</v>
      </c>
      <c r="D8" s="13">
        <v>46024</v>
      </c>
      <c r="E8" s="11" t="s">
        <v>25</v>
      </c>
      <c r="F8" s="14">
        <v>0</v>
      </c>
      <c r="G8" s="14">
        <v>0</v>
      </c>
      <c r="H8" s="14">
        <f t="shared" si="0"/>
        <v>0</v>
      </c>
      <c r="I8" s="6">
        <v>0.92</v>
      </c>
      <c r="J8" s="12"/>
    </row>
    <row r="9" spans="1:10" x14ac:dyDescent="0.3">
      <c r="A9" s="15">
        <v>8</v>
      </c>
      <c r="B9" s="16" t="s">
        <v>32</v>
      </c>
      <c r="C9" s="17">
        <v>46023</v>
      </c>
      <c r="D9" s="17">
        <v>46024</v>
      </c>
      <c r="E9" s="15" t="s">
        <v>25</v>
      </c>
      <c r="F9" s="18">
        <v>0</v>
      </c>
      <c r="G9" s="18">
        <v>0</v>
      </c>
      <c r="H9" s="18">
        <f t="shared" si="0"/>
        <v>0</v>
      </c>
      <c r="I9" s="10">
        <v>0.9</v>
      </c>
      <c r="J9" s="16"/>
    </row>
    <row r="10" spans="1:10" x14ac:dyDescent="0.3">
      <c r="A10" s="11">
        <v>9</v>
      </c>
      <c r="B10" s="12" t="s">
        <v>33</v>
      </c>
      <c r="C10" s="13">
        <v>46023</v>
      </c>
      <c r="D10" s="13">
        <v>46024</v>
      </c>
      <c r="E10" s="11" t="s">
        <v>25</v>
      </c>
      <c r="F10" s="14">
        <v>0</v>
      </c>
      <c r="G10" s="14">
        <v>0</v>
      </c>
      <c r="H10" s="14">
        <f t="shared" si="0"/>
        <v>0</v>
      </c>
      <c r="I10" s="6">
        <v>0.86</v>
      </c>
      <c r="J10" s="12"/>
    </row>
    <row r="11" spans="1:10" x14ac:dyDescent="0.3">
      <c r="A11" s="15">
        <v>10</v>
      </c>
      <c r="B11" s="16" t="s">
        <v>34</v>
      </c>
      <c r="C11" s="17">
        <v>46024</v>
      </c>
      <c r="D11" s="17">
        <v>46024</v>
      </c>
      <c r="E11" s="15" t="s">
        <v>25</v>
      </c>
      <c r="F11" s="18">
        <v>0</v>
      </c>
      <c r="G11" s="18">
        <v>0</v>
      </c>
      <c r="H11" s="18">
        <f t="shared" si="0"/>
        <v>0</v>
      </c>
      <c r="I11" s="10">
        <v>0.28000000000000003</v>
      </c>
      <c r="J11" s="16"/>
    </row>
    <row r="12" spans="1:10" x14ac:dyDescent="0.3">
      <c r="A12" s="11">
        <v>11</v>
      </c>
      <c r="B12" s="12" t="s">
        <v>35</v>
      </c>
      <c r="C12" s="13">
        <v>46024</v>
      </c>
      <c r="D12" s="13">
        <v>46024</v>
      </c>
      <c r="E12" s="11" t="s">
        <v>25</v>
      </c>
      <c r="F12" s="14">
        <v>0</v>
      </c>
      <c r="G12" s="14">
        <v>0</v>
      </c>
      <c r="H12" s="14">
        <f t="shared" si="0"/>
        <v>0</v>
      </c>
      <c r="I12" s="6">
        <v>0.16</v>
      </c>
      <c r="J12" s="12"/>
    </row>
    <row r="13" spans="1:10" x14ac:dyDescent="0.3">
      <c r="A13" s="15">
        <v>12</v>
      </c>
      <c r="B13" s="16" t="s">
        <v>36</v>
      </c>
      <c r="C13" s="17">
        <v>46024</v>
      </c>
      <c r="D13" s="17">
        <v>46024</v>
      </c>
      <c r="E13" s="15" t="s">
        <v>25</v>
      </c>
      <c r="F13" s="18">
        <v>0</v>
      </c>
      <c r="G13" s="18">
        <v>0</v>
      </c>
      <c r="H13" s="18">
        <f t="shared" si="0"/>
        <v>0</v>
      </c>
      <c r="I13" s="10">
        <v>0.13</v>
      </c>
      <c r="J13" s="16"/>
    </row>
    <row r="14" spans="1:10" x14ac:dyDescent="0.3">
      <c r="A14" s="11">
        <v>13</v>
      </c>
      <c r="B14" s="12" t="s">
        <v>37</v>
      </c>
      <c r="C14" s="13">
        <v>46024</v>
      </c>
      <c r="D14" s="13">
        <v>46024</v>
      </c>
      <c r="E14" s="11" t="s">
        <v>25</v>
      </c>
      <c r="F14" s="14">
        <v>0</v>
      </c>
      <c r="G14" s="14">
        <v>0</v>
      </c>
      <c r="H14" s="14">
        <f t="shared" si="0"/>
        <v>0</v>
      </c>
      <c r="I14" s="6">
        <v>0.05</v>
      </c>
      <c r="J14" s="12"/>
    </row>
    <row r="15" spans="1:10" x14ac:dyDescent="0.3">
      <c r="A15" s="15">
        <v>14</v>
      </c>
      <c r="B15" s="16" t="s">
        <v>38</v>
      </c>
      <c r="C15" s="17">
        <v>46024</v>
      </c>
      <c r="D15" s="17">
        <v>46024</v>
      </c>
      <c r="E15" s="15" t="s">
        <v>25</v>
      </c>
      <c r="F15" s="18">
        <v>0</v>
      </c>
      <c r="G15" s="18">
        <v>0</v>
      </c>
      <c r="H15" s="18">
        <f t="shared" si="0"/>
        <v>0</v>
      </c>
      <c r="I15" s="10">
        <v>0.02</v>
      </c>
      <c r="J15" s="16"/>
    </row>
    <row r="16" spans="1:10" x14ac:dyDescent="0.3">
      <c r="A16" s="11">
        <v>15</v>
      </c>
      <c r="B16" s="12" t="s">
        <v>39</v>
      </c>
      <c r="C16" s="13">
        <v>46024</v>
      </c>
      <c r="D16" s="13">
        <v>46027</v>
      </c>
      <c r="E16" s="11" t="s">
        <v>25</v>
      </c>
      <c r="F16" s="14">
        <v>0</v>
      </c>
      <c r="G16" s="14">
        <v>0</v>
      </c>
      <c r="H16" s="14">
        <f t="shared" si="0"/>
        <v>0</v>
      </c>
      <c r="I16" s="6">
        <v>2.86</v>
      </c>
      <c r="J16" s="12"/>
    </row>
    <row r="17" spans="1:10" x14ac:dyDescent="0.3">
      <c r="A17" s="15">
        <v>16</v>
      </c>
      <c r="B17" s="16" t="s">
        <v>40</v>
      </c>
      <c r="C17" s="17">
        <v>46024</v>
      </c>
      <c r="D17" s="17">
        <v>46028</v>
      </c>
      <c r="E17" s="15" t="s">
        <v>25</v>
      </c>
      <c r="F17" s="18">
        <v>0</v>
      </c>
      <c r="G17" s="18">
        <v>0</v>
      </c>
      <c r="H17" s="18">
        <f t="shared" si="0"/>
        <v>0</v>
      </c>
      <c r="I17" s="10">
        <v>3.61</v>
      </c>
      <c r="J17" s="16"/>
    </row>
    <row r="18" spans="1:10" x14ac:dyDescent="0.3">
      <c r="A18" s="11">
        <v>17</v>
      </c>
      <c r="B18" s="12" t="s">
        <v>41</v>
      </c>
      <c r="C18" s="13">
        <v>46024</v>
      </c>
      <c r="D18" s="13">
        <v>46027</v>
      </c>
      <c r="E18" s="11" t="s">
        <v>25</v>
      </c>
      <c r="F18" s="14">
        <v>0</v>
      </c>
      <c r="G18" s="14">
        <v>0</v>
      </c>
      <c r="H18" s="14">
        <f t="shared" si="0"/>
        <v>0</v>
      </c>
      <c r="I18" s="6">
        <v>2.61</v>
      </c>
      <c r="J18" s="12"/>
    </row>
    <row r="19" spans="1:10" x14ac:dyDescent="0.3">
      <c r="A19" s="15">
        <v>18</v>
      </c>
      <c r="B19" s="16" t="s">
        <v>42</v>
      </c>
      <c r="C19" s="17">
        <v>46024</v>
      </c>
      <c r="D19" s="17">
        <v>46027</v>
      </c>
      <c r="E19" s="15" t="s">
        <v>25</v>
      </c>
      <c r="F19" s="18">
        <v>0</v>
      </c>
      <c r="G19" s="18">
        <v>0</v>
      </c>
      <c r="H19" s="18">
        <f t="shared" si="0"/>
        <v>0</v>
      </c>
      <c r="I19" s="10">
        <v>2.57</v>
      </c>
      <c r="J19" s="16"/>
    </row>
    <row r="20" spans="1:10" x14ac:dyDescent="0.3">
      <c r="A20" s="11">
        <v>19</v>
      </c>
      <c r="B20" s="12" t="s">
        <v>43</v>
      </c>
      <c r="C20" s="13">
        <v>46024</v>
      </c>
      <c r="D20" s="13">
        <v>46027</v>
      </c>
      <c r="E20" s="11" t="s">
        <v>25</v>
      </c>
      <c r="F20" s="14">
        <v>0</v>
      </c>
      <c r="G20" s="14">
        <v>0</v>
      </c>
      <c r="H20" s="14">
        <f t="shared" si="0"/>
        <v>0</v>
      </c>
      <c r="I20" s="6">
        <v>2.5299999999999998</v>
      </c>
      <c r="J20" s="12"/>
    </row>
    <row r="21" spans="1:10" x14ac:dyDescent="0.3">
      <c r="A21" s="15">
        <v>20</v>
      </c>
      <c r="B21" s="16" t="s">
        <v>44</v>
      </c>
      <c r="C21" s="17">
        <v>46025</v>
      </c>
      <c r="D21" s="17">
        <v>46027</v>
      </c>
      <c r="E21" s="15" t="s">
        <v>25</v>
      </c>
      <c r="F21" s="18">
        <v>0</v>
      </c>
      <c r="G21" s="18">
        <v>0</v>
      </c>
      <c r="H21" s="18">
        <f t="shared" si="0"/>
        <v>0</v>
      </c>
      <c r="I21" s="10">
        <v>2.02</v>
      </c>
      <c r="J21" s="16"/>
    </row>
    <row r="22" spans="1:10" x14ac:dyDescent="0.3">
      <c r="A22" s="11">
        <v>21</v>
      </c>
      <c r="B22" s="12" t="s">
        <v>45</v>
      </c>
      <c r="C22" s="13">
        <v>46025</v>
      </c>
      <c r="D22" s="13">
        <v>46027</v>
      </c>
      <c r="E22" s="11" t="s">
        <v>25</v>
      </c>
      <c r="F22" s="14">
        <v>0</v>
      </c>
      <c r="G22" s="14">
        <v>0</v>
      </c>
      <c r="H22" s="14">
        <f t="shared" si="0"/>
        <v>0</v>
      </c>
      <c r="I22" s="6">
        <v>2.0299999999999998</v>
      </c>
      <c r="J22" s="12"/>
    </row>
    <row r="23" spans="1:10" x14ac:dyDescent="0.3">
      <c r="A23" s="15">
        <v>22</v>
      </c>
      <c r="B23" s="16" t="s">
        <v>46</v>
      </c>
      <c r="C23" s="17">
        <v>46025</v>
      </c>
      <c r="D23" s="17">
        <v>46027</v>
      </c>
      <c r="E23" s="15" t="s">
        <v>25</v>
      </c>
      <c r="F23" s="18">
        <v>0</v>
      </c>
      <c r="G23" s="18">
        <v>0</v>
      </c>
      <c r="H23" s="18">
        <f t="shared" si="0"/>
        <v>0</v>
      </c>
      <c r="I23" s="10">
        <v>2.0099999999999998</v>
      </c>
      <c r="J23" s="16"/>
    </row>
    <row r="24" spans="1:10" x14ac:dyDescent="0.3">
      <c r="A24" s="11">
        <v>23</v>
      </c>
      <c r="B24" s="12" t="s">
        <v>47</v>
      </c>
      <c r="C24" s="13">
        <v>46025</v>
      </c>
      <c r="D24" s="13">
        <v>46027</v>
      </c>
      <c r="E24" s="11" t="s">
        <v>25</v>
      </c>
      <c r="F24" s="14">
        <v>0</v>
      </c>
      <c r="G24" s="14">
        <v>0</v>
      </c>
      <c r="H24" s="14">
        <f t="shared" si="0"/>
        <v>0</v>
      </c>
      <c r="I24" s="6">
        <v>2.0299999999999998</v>
      </c>
      <c r="J24" s="12"/>
    </row>
    <row r="25" spans="1:10" x14ac:dyDescent="0.3">
      <c r="A25" s="15">
        <v>24</v>
      </c>
      <c r="B25" s="16" t="s">
        <v>48</v>
      </c>
      <c r="C25" s="17">
        <v>46025</v>
      </c>
      <c r="D25" s="17">
        <v>46035</v>
      </c>
      <c r="E25" s="15" t="s">
        <v>25</v>
      </c>
      <c r="F25" s="18">
        <v>0</v>
      </c>
      <c r="G25" s="18">
        <v>0</v>
      </c>
      <c r="H25" s="18">
        <f t="shared" si="0"/>
        <v>0</v>
      </c>
      <c r="I25" s="10">
        <v>10</v>
      </c>
      <c r="J25" s="16"/>
    </row>
    <row r="26" spans="1:10" x14ac:dyDescent="0.3">
      <c r="A26" s="11">
        <v>25</v>
      </c>
      <c r="B26" s="12" t="s">
        <v>49</v>
      </c>
      <c r="C26" s="13">
        <v>46025</v>
      </c>
      <c r="D26" s="13">
        <v>46027</v>
      </c>
      <c r="E26" s="11" t="s">
        <v>25</v>
      </c>
      <c r="F26" s="14">
        <v>0</v>
      </c>
      <c r="G26" s="14">
        <v>0</v>
      </c>
      <c r="H26" s="14">
        <f t="shared" si="0"/>
        <v>0</v>
      </c>
      <c r="I26" s="6">
        <v>1.93</v>
      </c>
      <c r="J26" s="12"/>
    </row>
    <row r="27" spans="1:10" x14ac:dyDescent="0.3">
      <c r="A27" s="15">
        <v>26</v>
      </c>
      <c r="B27" s="16" t="s">
        <v>50</v>
      </c>
      <c r="C27" s="17">
        <v>46025</v>
      </c>
      <c r="D27" s="17">
        <v>46027</v>
      </c>
      <c r="E27" s="15" t="s">
        <v>25</v>
      </c>
      <c r="F27" s="18">
        <v>0</v>
      </c>
      <c r="G27" s="18">
        <v>0</v>
      </c>
      <c r="H27" s="18">
        <f t="shared" si="0"/>
        <v>0</v>
      </c>
      <c r="I27" s="10">
        <v>1.94</v>
      </c>
      <c r="J27" s="16"/>
    </row>
    <row r="28" spans="1:10" x14ac:dyDescent="0.3">
      <c r="A28" s="11">
        <v>27</v>
      </c>
      <c r="B28" s="12" t="s">
        <v>51</v>
      </c>
      <c r="C28" s="13">
        <v>46025</v>
      </c>
      <c r="D28" s="13">
        <v>46027</v>
      </c>
      <c r="E28" s="11" t="s">
        <v>25</v>
      </c>
      <c r="F28" s="14">
        <v>0</v>
      </c>
      <c r="G28" s="14">
        <v>0</v>
      </c>
      <c r="H28" s="14">
        <f t="shared" si="0"/>
        <v>0</v>
      </c>
      <c r="I28" s="6">
        <v>1.94</v>
      </c>
      <c r="J28" s="12"/>
    </row>
    <row r="29" spans="1:10" x14ac:dyDescent="0.3">
      <c r="A29" s="15">
        <v>28</v>
      </c>
      <c r="B29" s="16" t="s">
        <v>52</v>
      </c>
      <c r="C29" s="17">
        <v>46025</v>
      </c>
      <c r="D29" s="17">
        <v>46027</v>
      </c>
      <c r="E29" s="15" t="s">
        <v>25</v>
      </c>
      <c r="F29" s="18">
        <v>0</v>
      </c>
      <c r="G29" s="18">
        <v>0</v>
      </c>
      <c r="H29" s="18">
        <f t="shared" si="0"/>
        <v>0</v>
      </c>
      <c r="I29" s="10">
        <v>1.92</v>
      </c>
      <c r="J29" s="16"/>
    </row>
    <row r="30" spans="1:10" x14ac:dyDescent="0.3">
      <c r="A30" s="11">
        <v>29</v>
      </c>
      <c r="B30" s="12" t="s">
        <v>53</v>
      </c>
      <c r="C30" s="13">
        <v>46025</v>
      </c>
      <c r="D30" s="13">
        <v>46027</v>
      </c>
      <c r="E30" s="11" t="s">
        <v>25</v>
      </c>
      <c r="F30" s="14">
        <v>0</v>
      </c>
      <c r="G30" s="14">
        <v>0</v>
      </c>
      <c r="H30" s="14">
        <f t="shared" si="0"/>
        <v>0</v>
      </c>
      <c r="I30" s="6">
        <v>1.88</v>
      </c>
      <c r="J30" s="12"/>
    </row>
    <row r="31" spans="1:10" x14ac:dyDescent="0.3">
      <c r="A31" s="15">
        <v>30</v>
      </c>
      <c r="B31" s="16" t="s">
        <v>54</v>
      </c>
      <c r="C31" s="17">
        <v>46025</v>
      </c>
      <c r="D31" s="17">
        <v>46027</v>
      </c>
      <c r="E31" s="15" t="s">
        <v>25</v>
      </c>
      <c r="F31" s="18">
        <v>0</v>
      </c>
      <c r="G31" s="18">
        <v>0</v>
      </c>
      <c r="H31" s="18">
        <f t="shared" si="0"/>
        <v>0</v>
      </c>
      <c r="I31" s="10">
        <v>1.86</v>
      </c>
      <c r="J31" s="16"/>
    </row>
    <row r="32" spans="1:10" x14ac:dyDescent="0.3">
      <c r="A32" s="11">
        <v>31</v>
      </c>
      <c r="B32" s="12" t="s">
        <v>55</v>
      </c>
      <c r="C32" s="13">
        <v>46025</v>
      </c>
      <c r="D32" s="13">
        <v>46027</v>
      </c>
      <c r="E32" s="11" t="s">
        <v>25</v>
      </c>
      <c r="F32" s="14">
        <v>0</v>
      </c>
      <c r="G32" s="14">
        <v>0</v>
      </c>
      <c r="H32" s="14">
        <f t="shared" si="0"/>
        <v>0</v>
      </c>
      <c r="I32" s="6">
        <v>1.84</v>
      </c>
      <c r="J32" s="12"/>
    </row>
    <row r="33" spans="1:10" x14ac:dyDescent="0.3">
      <c r="A33" s="15">
        <v>32</v>
      </c>
      <c r="B33" s="16" t="s">
        <v>56</v>
      </c>
      <c r="C33" s="17">
        <v>46025</v>
      </c>
      <c r="D33" s="17">
        <v>46027</v>
      </c>
      <c r="E33" s="15" t="s">
        <v>25</v>
      </c>
      <c r="F33" s="18">
        <v>0</v>
      </c>
      <c r="G33" s="18">
        <v>0</v>
      </c>
      <c r="H33" s="18">
        <f t="shared" si="0"/>
        <v>0</v>
      </c>
      <c r="I33" s="10">
        <v>1.8</v>
      </c>
      <c r="J33" s="16"/>
    </row>
    <row r="34" spans="1:10" x14ac:dyDescent="0.3">
      <c r="A34" s="11">
        <v>33</v>
      </c>
      <c r="B34" s="12" t="s">
        <v>57</v>
      </c>
      <c r="C34" s="13">
        <v>46025</v>
      </c>
      <c r="D34" s="13">
        <v>46027</v>
      </c>
      <c r="E34" s="11" t="s">
        <v>25</v>
      </c>
      <c r="F34" s="14">
        <v>0</v>
      </c>
      <c r="G34" s="14">
        <v>0</v>
      </c>
      <c r="H34" s="14">
        <f t="shared" si="0"/>
        <v>0</v>
      </c>
      <c r="I34" s="6">
        <v>1.82</v>
      </c>
      <c r="J34" s="12"/>
    </row>
    <row r="35" spans="1:10" x14ac:dyDescent="0.3">
      <c r="A35" s="15">
        <v>34</v>
      </c>
      <c r="B35" s="16" t="s">
        <v>58</v>
      </c>
      <c r="C35" s="17">
        <v>46025</v>
      </c>
      <c r="D35" s="17">
        <v>46027</v>
      </c>
      <c r="E35" s="15" t="s">
        <v>25</v>
      </c>
      <c r="F35" s="18">
        <v>0</v>
      </c>
      <c r="G35" s="18">
        <v>0</v>
      </c>
      <c r="H35" s="18">
        <f t="shared" si="0"/>
        <v>0</v>
      </c>
      <c r="I35" s="10">
        <v>1.81</v>
      </c>
      <c r="J35" s="16"/>
    </row>
    <row r="36" spans="1:10" x14ac:dyDescent="0.3">
      <c r="A36" s="11">
        <v>35</v>
      </c>
      <c r="B36" s="12" t="s">
        <v>59</v>
      </c>
      <c r="C36" s="13">
        <v>46025</v>
      </c>
      <c r="D36" s="13">
        <v>46027</v>
      </c>
      <c r="E36" s="11" t="s">
        <v>25</v>
      </c>
      <c r="F36" s="14">
        <v>0</v>
      </c>
      <c r="G36" s="14">
        <v>0</v>
      </c>
      <c r="H36" s="14">
        <f t="shared" si="0"/>
        <v>0</v>
      </c>
      <c r="I36" s="6">
        <v>1.81</v>
      </c>
      <c r="J36" s="12"/>
    </row>
    <row r="37" spans="1:10" x14ac:dyDescent="0.3">
      <c r="A37" s="15">
        <v>36</v>
      </c>
      <c r="B37" s="16" t="s">
        <v>60</v>
      </c>
      <c r="C37" s="17">
        <v>46026</v>
      </c>
      <c r="D37" s="17">
        <v>46027</v>
      </c>
      <c r="E37" s="15" t="s">
        <v>25</v>
      </c>
      <c r="F37" s="18">
        <v>0</v>
      </c>
      <c r="G37" s="18">
        <v>0</v>
      </c>
      <c r="H37" s="18">
        <f t="shared" si="0"/>
        <v>0</v>
      </c>
      <c r="I37" s="10">
        <v>0.95</v>
      </c>
      <c r="J37" s="16"/>
    </row>
    <row r="38" spans="1:10" x14ac:dyDescent="0.3">
      <c r="A38" s="11">
        <v>37</v>
      </c>
      <c r="B38" s="12" t="s">
        <v>61</v>
      </c>
      <c r="C38" s="13">
        <v>46026</v>
      </c>
      <c r="D38" s="13">
        <v>46027</v>
      </c>
      <c r="E38" s="11" t="s">
        <v>25</v>
      </c>
      <c r="F38" s="14">
        <v>0</v>
      </c>
      <c r="G38" s="14">
        <v>0</v>
      </c>
      <c r="H38" s="14">
        <f t="shared" si="0"/>
        <v>0</v>
      </c>
      <c r="I38" s="6">
        <v>0.98</v>
      </c>
      <c r="J38" s="12"/>
    </row>
    <row r="39" spans="1:10" x14ac:dyDescent="0.3">
      <c r="A39" s="15">
        <v>38</v>
      </c>
      <c r="B39" s="16" t="s">
        <v>62</v>
      </c>
      <c r="C39" s="17">
        <v>46026</v>
      </c>
      <c r="D39" s="17">
        <v>46027</v>
      </c>
      <c r="E39" s="15" t="s">
        <v>25</v>
      </c>
      <c r="F39" s="18">
        <v>0</v>
      </c>
      <c r="G39" s="18">
        <v>0</v>
      </c>
      <c r="H39" s="18">
        <f t="shared" si="0"/>
        <v>0</v>
      </c>
      <c r="I39" s="10">
        <v>1.05</v>
      </c>
      <c r="J39" s="16"/>
    </row>
    <row r="40" spans="1:10" x14ac:dyDescent="0.3">
      <c r="A40" s="11">
        <v>39</v>
      </c>
      <c r="B40" s="12" t="s">
        <v>63</v>
      </c>
      <c r="C40" s="13">
        <v>46026</v>
      </c>
      <c r="D40" s="13">
        <v>46027</v>
      </c>
      <c r="E40" s="11" t="s">
        <v>25</v>
      </c>
      <c r="F40" s="14">
        <v>0</v>
      </c>
      <c r="G40" s="14">
        <v>0</v>
      </c>
      <c r="H40" s="14">
        <f t="shared" si="0"/>
        <v>0</v>
      </c>
      <c r="I40" s="6">
        <v>0.57999999999999996</v>
      </c>
      <c r="J40" s="12"/>
    </row>
    <row r="41" spans="1:10" x14ac:dyDescent="0.3">
      <c r="A41" s="15">
        <v>40</v>
      </c>
      <c r="B41" s="16" t="s">
        <v>64</v>
      </c>
      <c r="C41" s="17">
        <v>46026</v>
      </c>
      <c r="D41" s="17">
        <v>46031</v>
      </c>
      <c r="E41" s="15" t="s">
        <v>25</v>
      </c>
      <c r="F41" s="18">
        <v>0</v>
      </c>
      <c r="G41" s="18">
        <v>0</v>
      </c>
      <c r="H41" s="18">
        <f t="shared" si="0"/>
        <v>0</v>
      </c>
      <c r="I41" s="10">
        <v>4.45</v>
      </c>
      <c r="J41" s="16"/>
    </row>
    <row r="42" spans="1:10" x14ac:dyDescent="0.3">
      <c r="A42" s="11">
        <v>41</v>
      </c>
      <c r="B42" s="12" t="s">
        <v>65</v>
      </c>
      <c r="C42" s="13">
        <v>46027</v>
      </c>
      <c r="D42" s="13">
        <v>46027</v>
      </c>
      <c r="E42" s="11" t="s">
        <v>25</v>
      </c>
      <c r="F42" s="14">
        <v>0</v>
      </c>
      <c r="G42" s="14">
        <v>0</v>
      </c>
      <c r="H42" s="14">
        <f t="shared" si="0"/>
        <v>0</v>
      </c>
      <c r="I42" s="6">
        <v>0.23</v>
      </c>
      <c r="J42" s="12"/>
    </row>
    <row r="43" spans="1:10" x14ac:dyDescent="0.3">
      <c r="A43" s="15">
        <v>42</v>
      </c>
      <c r="B43" s="16" t="s">
        <v>66</v>
      </c>
      <c r="C43" s="17">
        <v>46027</v>
      </c>
      <c r="D43" s="17">
        <v>46027</v>
      </c>
      <c r="E43" s="15" t="s">
        <v>25</v>
      </c>
      <c r="F43" s="18">
        <v>0</v>
      </c>
      <c r="G43" s="18">
        <v>0</v>
      </c>
      <c r="H43" s="18">
        <f t="shared" si="0"/>
        <v>0</v>
      </c>
      <c r="I43" s="10">
        <v>0.14000000000000001</v>
      </c>
      <c r="J43" s="16"/>
    </row>
    <row r="44" spans="1:10" x14ac:dyDescent="0.3">
      <c r="A44" s="11">
        <v>43</v>
      </c>
      <c r="B44" s="12" t="s">
        <v>67</v>
      </c>
      <c r="C44" s="13">
        <v>46027</v>
      </c>
      <c r="D44" s="13">
        <v>46027</v>
      </c>
      <c r="E44" s="11" t="s">
        <v>25</v>
      </c>
      <c r="F44" s="14">
        <v>0</v>
      </c>
      <c r="G44" s="14">
        <v>0</v>
      </c>
      <c r="H44" s="14">
        <f t="shared" si="0"/>
        <v>0</v>
      </c>
      <c r="I44" s="6">
        <v>0.15</v>
      </c>
      <c r="J44" s="12"/>
    </row>
    <row r="45" spans="1:10" x14ac:dyDescent="0.3">
      <c r="A45" s="15">
        <v>44</v>
      </c>
      <c r="B45" s="16" t="s">
        <v>68</v>
      </c>
      <c r="C45" s="17">
        <v>46027</v>
      </c>
      <c r="D45" s="17">
        <v>46031</v>
      </c>
      <c r="E45" s="15" t="s">
        <v>25</v>
      </c>
      <c r="F45" s="18">
        <v>0</v>
      </c>
      <c r="G45" s="18">
        <v>0</v>
      </c>
      <c r="H45" s="18">
        <f t="shared" si="0"/>
        <v>0</v>
      </c>
      <c r="I45" s="10">
        <v>3.82</v>
      </c>
      <c r="J45" s="16"/>
    </row>
    <row r="46" spans="1:10" x14ac:dyDescent="0.3">
      <c r="A46" s="11">
        <v>45</v>
      </c>
      <c r="B46" s="12" t="s">
        <v>69</v>
      </c>
      <c r="C46" s="13">
        <v>46027</v>
      </c>
      <c r="D46" s="13">
        <v>46035</v>
      </c>
      <c r="E46" s="11" t="s">
        <v>25</v>
      </c>
      <c r="F46" s="14">
        <v>0</v>
      </c>
      <c r="G46" s="14">
        <v>0</v>
      </c>
      <c r="H46" s="14">
        <f t="shared" si="0"/>
        <v>0</v>
      </c>
      <c r="I46" s="6">
        <v>8.1</v>
      </c>
      <c r="J46" s="12"/>
    </row>
    <row r="47" spans="1:10" x14ac:dyDescent="0.3">
      <c r="A47" s="15">
        <v>46</v>
      </c>
      <c r="B47" s="16" t="s">
        <v>70</v>
      </c>
      <c r="C47" s="17">
        <v>46027</v>
      </c>
      <c r="D47" s="17">
        <v>46030</v>
      </c>
      <c r="E47" s="15" t="s">
        <v>25</v>
      </c>
      <c r="F47" s="18">
        <v>0</v>
      </c>
      <c r="G47" s="18">
        <v>0</v>
      </c>
      <c r="H47" s="18">
        <f t="shared" si="0"/>
        <v>0</v>
      </c>
      <c r="I47" s="10">
        <v>2.82</v>
      </c>
      <c r="J47" s="16"/>
    </row>
    <row r="48" spans="1:10" x14ac:dyDescent="0.3">
      <c r="A48" s="11">
        <v>47</v>
      </c>
      <c r="B48" s="12" t="s">
        <v>71</v>
      </c>
      <c r="C48" s="13">
        <v>46027</v>
      </c>
      <c r="D48" s="13">
        <v>46030</v>
      </c>
      <c r="E48" s="11" t="s">
        <v>25</v>
      </c>
      <c r="F48" s="14">
        <v>0</v>
      </c>
      <c r="G48" s="14">
        <v>0</v>
      </c>
      <c r="H48" s="14">
        <f t="shared" si="0"/>
        <v>0</v>
      </c>
      <c r="I48" s="6">
        <v>2.82</v>
      </c>
      <c r="J48" s="12"/>
    </row>
    <row r="49" spans="1:10" x14ac:dyDescent="0.3">
      <c r="A49" s="15">
        <v>48</v>
      </c>
      <c r="B49" s="16" t="s">
        <v>72</v>
      </c>
      <c r="C49" s="17">
        <v>46027</v>
      </c>
      <c r="D49" s="17">
        <v>46035</v>
      </c>
      <c r="E49" s="15" t="s">
        <v>25</v>
      </c>
      <c r="F49" s="18">
        <v>0</v>
      </c>
      <c r="G49" s="18">
        <v>0</v>
      </c>
      <c r="H49" s="18">
        <f t="shared" si="0"/>
        <v>0</v>
      </c>
      <c r="I49" s="10">
        <v>8.1</v>
      </c>
      <c r="J49" s="16"/>
    </row>
    <row r="50" spans="1:10" x14ac:dyDescent="0.3">
      <c r="A50" s="11">
        <v>49</v>
      </c>
      <c r="B50" s="12" t="s">
        <v>73</v>
      </c>
      <c r="C50" s="13">
        <v>46027</v>
      </c>
      <c r="D50" s="13">
        <v>46030</v>
      </c>
      <c r="E50" s="11" t="s">
        <v>25</v>
      </c>
      <c r="F50" s="14">
        <v>0</v>
      </c>
      <c r="G50" s="14">
        <v>0</v>
      </c>
      <c r="H50" s="14">
        <f t="shared" si="0"/>
        <v>0</v>
      </c>
      <c r="I50" s="6">
        <v>2.82</v>
      </c>
      <c r="J50" s="12"/>
    </row>
    <row r="51" spans="1:10" x14ac:dyDescent="0.3">
      <c r="A51" s="15">
        <v>50</v>
      </c>
      <c r="B51" s="16" t="s">
        <v>74</v>
      </c>
      <c r="C51" s="17">
        <v>46027</v>
      </c>
      <c r="D51" s="17">
        <v>46027</v>
      </c>
      <c r="E51" s="15" t="s">
        <v>25</v>
      </c>
      <c r="F51" s="18">
        <v>0</v>
      </c>
      <c r="G51" s="18">
        <v>0</v>
      </c>
      <c r="H51" s="18">
        <f t="shared" si="0"/>
        <v>0</v>
      </c>
      <c r="I51" s="10">
        <v>7.0000000000000007E-2</v>
      </c>
      <c r="J51" s="16"/>
    </row>
    <row r="52" spans="1:10" x14ac:dyDescent="0.3">
      <c r="A52" s="11">
        <v>51</v>
      </c>
      <c r="B52" s="12" t="s">
        <v>75</v>
      </c>
      <c r="C52" s="13">
        <v>46027</v>
      </c>
      <c r="D52" s="13">
        <v>46029</v>
      </c>
      <c r="E52" s="11" t="s">
        <v>25</v>
      </c>
      <c r="F52" s="14">
        <v>0</v>
      </c>
      <c r="G52" s="14">
        <v>0</v>
      </c>
      <c r="H52" s="14">
        <f t="shared" si="0"/>
        <v>0</v>
      </c>
      <c r="I52" s="6">
        <v>2.16</v>
      </c>
      <c r="J52" s="12"/>
    </row>
    <row r="53" spans="1:10" x14ac:dyDescent="0.3">
      <c r="A53" s="15">
        <v>52</v>
      </c>
      <c r="B53" s="16" t="s">
        <v>76</v>
      </c>
      <c r="C53" s="17">
        <v>46027</v>
      </c>
      <c r="D53" s="17">
        <v>46027</v>
      </c>
      <c r="E53" s="15" t="s">
        <v>25</v>
      </c>
      <c r="F53" s="18">
        <v>0</v>
      </c>
      <c r="G53" s="18">
        <v>0</v>
      </c>
      <c r="H53" s="18">
        <f t="shared" si="0"/>
        <v>0</v>
      </c>
      <c r="I53" s="10">
        <v>0.09</v>
      </c>
      <c r="J53" s="16"/>
    </row>
    <row r="54" spans="1:10" x14ac:dyDescent="0.3">
      <c r="A54" s="11">
        <v>53</v>
      </c>
      <c r="B54" s="12" t="s">
        <v>77</v>
      </c>
      <c r="C54" s="13">
        <v>46027</v>
      </c>
      <c r="D54" s="13">
        <v>46031</v>
      </c>
      <c r="E54" s="11" t="s">
        <v>25</v>
      </c>
      <c r="F54" s="14">
        <v>0</v>
      </c>
      <c r="G54" s="14">
        <v>0</v>
      </c>
      <c r="H54" s="14">
        <f t="shared" si="0"/>
        <v>0</v>
      </c>
      <c r="I54" s="6">
        <v>3.69</v>
      </c>
      <c r="J54" s="12"/>
    </row>
    <row r="55" spans="1:10" x14ac:dyDescent="0.3">
      <c r="A55" s="15">
        <v>54</v>
      </c>
      <c r="B55" s="16" t="s">
        <v>78</v>
      </c>
      <c r="C55" s="17">
        <v>46027</v>
      </c>
      <c r="D55" s="17">
        <v>46028</v>
      </c>
      <c r="E55" s="15" t="s">
        <v>25</v>
      </c>
      <c r="F55" s="18">
        <v>0</v>
      </c>
      <c r="G55" s="18">
        <v>0</v>
      </c>
      <c r="H55" s="18">
        <f t="shared" si="0"/>
        <v>0</v>
      </c>
      <c r="I55" s="10">
        <v>0.68</v>
      </c>
      <c r="J55" s="16"/>
    </row>
    <row r="56" spans="1:10" x14ac:dyDescent="0.3">
      <c r="A56" s="11">
        <v>55</v>
      </c>
      <c r="B56" s="12" t="s">
        <v>79</v>
      </c>
      <c r="C56" s="13">
        <v>46027</v>
      </c>
      <c r="D56" s="13">
        <v>46028</v>
      </c>
      <c r="E56" s="11" t="s">
        <v>25</v>
      </c>
      <c r="F56" s="14">
        <v>0</v>
      </c>
      <c r="G56" s="14">
        <v>0</v>
      </c>
      <c r="H56" s="14">
        <f t="shared" si="0"/>
        <v>0</v>
      </c>
      <c r="I56" s="6">
        <v>0.68</v>
      </c>
      <c r="J56" s="12"/>
    </row>
    <row r="57" spans="1:10" x14ac:dyDescent="0.3">
      <c r="A57" s="15">
        <v>56</v>
      </c>
      <c r="B57" s="16" t="s">
        <v>80</v>
      </c>
      <c r="C57" s="17">
        <v>46027</v>
      </c>
      <c r="D57" s="17">
        <v>46027</v>
      </c>
      <c r="E57" s="15" t="s">
        <v>25</v>
      </c>
      <c r="F57" s="18">
        <v>0</v>
      </c>
      <c r="G57" s="18">
        <v>0</v>
      </c>
      <c r="H57" s="18">
        <f t="shared" si="0"/>
        <v>0</v>
      </c>
      <c r="I57" s="10">
        <v>0.04</v>
      </c>
      <c r="J57" s="16"/>
    </row>
    <row r="58" spans="1:10" x14ac:dyDescent="0.3">
      <c r="A58" s="11">
        <v>57</v>
      </c>
      <c r="B58" s="12" t="s">
        <v>81</v>
      </c>
      <c r="C58" s="13">
        <v>46028</v>
      </c>
      <c r="D58" s="13">
        <v>46029</v>
      </c>
      <c r="E58" s="11" t="s">
        <v>25</v>
      </c>
      <c r="F58" s="14">
        <v>0</v>
      </c>
      <c r="G58" s="14">
        <v>0</v>
      </c>
      <c r="H58" s="14">
        <f t="shared" si="0"/>
        <v>0</v>
      </c>
      <c r="I58" s="6">
        <v>1.4</v>
      </c>
      <c r="J58" s="12"/>
    </row>
    <row r="59" spans="1:10" x14ac:dyDescent="0.3">
      <c r="A59" s="15">
        <v>58</v>
      </c>
      <c r="B59" s="16" t="s">
        <v>82</v>
      </c>
      <c r="C59" s="17">
        <v>46028</v>
      </c>
      <c r="D59" s="17">
        <v>46029</v>
      </c>
      <c r="E59" s="15" t="s">
        <v>25</v>
      </c>
      <c r="F59" s="18">
        <v>0</v>
      </c>
      <c r="G59" s="18">
        <v>0</v>
      </c>
      <c r="H59" s="18">
        <f t="shared" si="0"/>
        <v>0</v>
      </c>
      <c r="I59" s="10">
        <v>1.29</v>
      </c>
      <c r="J59" s="16"/>
    </row>
    <row r="60" spans="1:10" x14ac:dyDescent="0.3">
      <c r="A60" s="11">
        <v>59</v>
      </c>
      <c r="B60" s="12" t="s">
        <v>83</v>
      </c>
      <c r="C60" s="13">
        <v>46028</v>
      </c>
      <c r="D60" s="13">
        <v>46031</v>
      </c>
      <c r="E60" s="11" t="s">
        <v>25</v>
      </c>
      <c r="F60" s="14">
        <v>0</v>
      </c>
      <c r="G60" s="14">
        <v>0</v>
      </c>
      <c r="H60" s="14">
        <f t="shared" si="0"/>
        <v>0</v>
      </c>
      <c r="I60" s="6">
        <v>2.61</v>
      </c>
      <c r="J60" s="12"/>
    </row>
    <row r="61" spans="1:10" x14ac:dyDescent="0.3">
      <c r="A61" s="15">
        <v>60</v>
      </c>
      <c r="B61" s="16" t="s">
        <v>84</v>
      </c>
      <c r="C61" s="17">
        <v>46028</v>
      </c>
      <c r="D61" s="17">
        <v>46029</v>
      </c>
      <c r="E61" s="15" t="s">
        <v>25</v>
      </c>
      <c r="F61" s="18">
        <v>0</v>
      </c>
      <c r="G61" s="18">
        <v>0</v>
      </c>
      <c r="H61" s="18">
        <f t="shared" si="0"/>
        <v>0</v>
      </c>
      <c r="I61" s="10">
        <v>0.92</v>
      </c>
      <c r="J61" s="16"/>
    </row>
    <row r="62" spans="1:10" x14ac:dyDescent="0.3">
      <c r="A62" s="11">
        <v>61</v>
      </c>
      <c r="B62" s="12" t="s">
        <v>85</v>
      </c>
      <c r="C62" s="13">
        <v>46029</v>
      </c>
      <c r="D62" s="13">
        <v>46029</v>
      </c>
      <c r="E62" s="11" t="s">
        <v>25</v>
      </c>
      <c r="F62" s="14">
        <v>0</v>
      </c>
      <c r="G62" s="14">
        <v>0</v>
      </c>
      <c r="H62" s="14">
        <f t="shared" si="0"/>
        <v>0</v>
      </c>
      <c r="I62" s="6">
        <v>0.44</v>
      </c>
      <c r="J62" s="12"/>
    </row>
    <row r="63" spans="1:10" x14ac:dyDescent="0.3">
      <c r="A63" s="15">
        <v>62</v>
      </c>
      <c r="B63" s="16" t="s">
        <v>86</v>
      </c>
      <c r="C63" s="17">
        <v>46029</v>
      </c>
      <c r="D63" s="17">
        <v>46029</v>
      </c>
      <c r="E63" s="15" t="s">
        <v>25</v>
      </c>
      <c r="F63" s="18">
        <v>0</v>
      </c>
      <c r="G63" s="18">
        <v>0</v>
      </c>
      <c r="H63" s="18">
        <f t="shared" si="0"/>
        <v>0</v>
      </c>
      <c r="I63" s="10">
        <v>0.33</v>
      </c>
      <c r="J63" s="16"/>
    </row>
    <row r="64" spans="1:10" x14ac:dyDescent="0.3">
      <c r="A64" s="11">
        <v>63</v>
      </c>
      <c r="B64" s="12" t="s">
        <v>87</v>
      </c>
      <c r="C64" s="13">
        <v>46029</v>
      </c>
      <c r="D64" s="13">
        <v>46031</v>
      </c>
      <c r="E64" s="11" t="s">
        <v>25</v>
      </c>
      <c r="F64" s="14">
        <v>0</v>
      </c>
      <c r="G64" s="14">
        <v>0</v>
      </c>
      <c r="H64" s="14">
        <f t="shared" si="0"/>
        <v>0</v>
      </c>
      <c r="I64" s="6">
        <v>1.94</v>
      </c>
      <c r="J64" s="12"/>
    </row>
    <row r="65" spans="1:10" x14ac:dyDescent="0.3">
      <c r="A65" s="15">
        <v>64</v>
      </c>
      <c r="B65" s="16" t="s">
        <v>88</v>
      </c>
      <c r="C65" s="17">
        <v>46029</v>
      </c>
      <c r="D65" s="17">
        <v>46029</v>
      </c>
      <c r="E65" s="15" t="s">
        <v>25</v>
      </c>
      <c r="F65" s="18">
        <v>0</v>
      </c>
      <c r="G65" s="18">
        <v>0</v>
      </c>
      <c r="H65" s="18">
        <f t="shared" si="0"/>
        <v>0</v>
      </c>
      <c r="I65" s="10">
        <v>0.3</v>
      </c>
      <c r="J65" s="16"/>
    </row>
    <row r="66" spans="1:10" x14ac:dyDescent="0.3">
      <c r="A66" s="11">
        <v>65</v>
      </c>
      <c r="B66" s="12" t="s">
        <v>89</v>
      </c>
      <c r="C66" s="13">
        <v>46029</v>
      </c>
      <c r="D66" s="13">
        <v>46029</v>
      </c>
      <c r="E66" s="11" t="s">
        <v>25</v>
      </c>
      <c r="F66" s="14">
        <v>0</v>
      </c>
      <c r="G66" s="14">
        <v>0</v>
      </c>
      <c r="H66" s="14">
        <f t="shared" ref="H66:H129" si="1">F66+G66</f>
        <v>0</v>
      </c>
      <c r="I66" s="6">
        <v>0.27</v>
      </c>
      <c r="J66" s="12"/>
    </row>
    <row r="67" spans="1:10" x14ac:dyDescent="0.3">
      <c r="A67" s="15">
        <v>66</v>
      </c>
      <c r="B67" s="16" t="s">
        <v>90</v>
      </c>
      <c r="C67" s="17">
        <v>46029</v>
      </c>
      <c r="D67" s="17">
        <v>46030</v>
      </c>
      <c r="E67" s="15" t="s">
        <v>25</v>
      </c>
      <c r="F67" s="18">
        <v>0</v>
      </c>
      <c r="G67" s="18">
        <v>0</v>
      </c>
      <c r="H67" s="18">
        <f t="shared" si="1"/>
        <v>0</v>
      </c>
      <c r="I67" s="10">
        <v>1.25</v>
      </c>
      <c r="J67" s="16"/>
    </row>
    <row r="68" spans="1:10" x14ac:dyDescent="0.3">
      <c r="A68" s="11">
        <v>67</v>
      </c>
      <c r="B68" s="12" t="s">
        <v>91</v>
      </c>
      <c r="C68" s="13">
        <v>46029</v>
      </c>
      <c r="D68" s="13">
        <v>46030</v>
      </c>
      <c r="E68" s="11" t="s">
        <v>25</v>
      </c>
      <c r="F68" s="14">
        <v>0</v>
      </c>
      <c r="G68" s="14">
        <v>0</v>
      </c>
      <c r="H68" s="14">
        <f t="shared" si="1"/>
        <v>0</v>
      </c>
      <c r="I68" s="6">
        <v>1.1399999999999999</v>
      </c>
      <c r="J68" s="12"/>
    </row>
    <row r="69" spans="1:10" x14ac:dyDescent="0.3">
      <c r="A69" s="15">
        <v>68</v>
      </c>
      <c r="B69" s="16" t="s">
        <v>92</v>
      </c>
      <c r="C69" s="17">
        <v>46029</v>
      </c>
      <c r="D69" s="17">
        <v>46029</v>
      </c>
      <c r="E69" s="15" t="s">
        <v>25</v>
      </c>
      <c r="F69" s="18">
        <v>0</v>
      </c>
      <c r="G69" s="18">
        <v>0</v>
      </c>
      <c r="H69" s="18">
        <f t="shared" si="1"/>
        <v>0</v>
      </c>
      <c r="I69" s="10">
        <v>0.22</v>
      </c>
      <c r="J69" s="16"/>
    </row>
    <row r="70" spans="1:10" x14ac:dyDescent="0.3">
      <c r="A70" s="11">
        <v>69</v>
      </c>
      <c r="B70" s="12" t="s">
        <v>93</v>
      </c>
      <c r="C70" s="13">
        <v>46029</v>
      </c>
      <c r="D70" s="13">
        <v>46029</v>
      </c>
      <c r="E70" s="11" t="s">
        <v>25</v>
      </c>
      <c r="F70" s="14">
        <v>0</v>
      </c>
      <c r="G70" s="14">
        <v>0</v>
      </c>
      <c r="H70" s="14">
        <f t="shared" si="1"/>
        <v>0</v>
      </c>
      <c r="I70" s="6">
        <v>0.21</v>
      </c>
      <c r="J70" s="12"/>
    </row>
    <row r="71" spans="1:10" x14ac:dyDescent="0.3">
      <c r="A71" s="15">
        <v>70</v>
      </c>
      <c r="B71" s="16" t="s">
        <v>94</v>
      </c>
      <c r="C71" s="17">
        <v>46029</v>
      </c>
      <c r="D71" s="17">
        <v>46029</v>
      </c>
      <c r="E71" s="15" t="s">
        <v>25</v>
      </c>
      <c r="F71" s="18">
        <v>0</v>
      </c>
      <c r="G71" s="18">
        <v>0</v>
      </c>
      <c r="H71" s="18">
        <f t="shared" si="1"/>
        <v>0</v>
      </c>
      <c r="I71" s="10">
        <v>0.2</v>
      </c>
      <c r="J71" s="16"/>
    </row>
    <row r="72" spans="1:10" x14ac:dyDescent="0.3">
      <c r="A72" s="11">
        <v>71</v>
      </c>
      <c r="B72" s="12" t="s">
        <v>95</v>
      </c>
      <c r="C72" s="13">
        <v>46029</v>
      </c>
      <c r="D72" s="13">
        <v>46029</v>
      </c>
      <c r="E72" s="11" t="s">
        <v>25</v>
      </c>
      <c r="F72" s="14">
        <v>0</v>
      </c>
      <c r="G72" s="14">
        <v>0</v>
      </c>
      <c r="H72" s="14">
        <f t="shared" si="1"/>
        <v>0</v>
      </c>
      <c r="I72" s="6">
        <v>0.14000000000000001</v>
      </c>
      <c r="J72" s="12"/>
    </row>
    <row r="73" spans="1:10" x14ac:dyDescent="0.3">
      <c r="A73" s="15">
        <v>72</v>
      </c>
      <c r="B73" s="16" t="s">
        <v>96</v>
      </c>
      <c r="C73" s="17">
        <v>46029</v>
      </c>
      <c r="D73" s="17">
        <v>46030</v>
      </c>
      <c r="E73" s="15" t="s">
        <v>25</v>
      </c>
      <c r="F73" s="18">
        <v>0</v>
      </c>
      <c r="G73" s="18">
        <v>0</v>
      </c>
      <c r="H73" s="18">
        <f t="shared" si="1"/>
        <v>0</v>
      </c>
      <c r="I73" s="10">
        <v>0.45</v>
      </c>
      <c r="J73" s="16"/>
    </row>
    <row r="74" spans="1:10" x14ac:dyDescent="0.3">
      <c r="A74" s="11">
        <v>73</v>
      </c>
      <c r="B74" s="12" t="s">
        <v>97</v>
      </c>
      <c r="C74" s="13">
        <v>46030</v>
      </c>
      <c r="D74" s="13">
        <v>46030</v>
      </c>
      <c r="E74" s="11" t="s">
        <v>25</v>
      </c>
      <c r="F74" s="14">
        <v>0</v>
      </c>
      <c r="G74" s="14">
        <v>0</v>
      </c>
      <c r="H74" s="14">
        <f t="shared" si="1"/>
        <v>0</v>
      </c>
      <c r="I74" s="6">
        <v>0.23</v>
      </c>
      <c r="J74" s="12"/>
    </row>
    <row r="75" spans="1:10" x14ac:dyDescent="0.3">
      <c r="A75" s="15">
        <v>74</v>
      </c>
      <c r="B75" s="16" t="s">
        <v>98</v>
      </c>
      <c r="C75" s="17">
        <v>46030</v>
      </c>
      <c r="D75" s="17">
        <v>46030</v>
      </c>
      <c r="E75" s="15" t="s">
        <v>25</v>
      </c>
      <c r="F75" s="18">
        <v>0</v>
      </c>
      <c r="G75" s="18">
        <v>0</v>
      </c>
      <c r="H75" s="18">
        <f t="shared" si="1"/>
        <v>0</v>
      </c>
      <c r="I75" s="10">
        <v>0.23</v>
      </c>
      <c r="J75" s="16"/>
    </row>
    <row r="76" spans="1:10" x14ac:dyDescent="0.3">
      <c r="A76" s="11">
        <v>75</v>
      </c>
      <c r="B76" s="12" t="s">
        <v>99</v>
      </c>
      <c r="C76" s="13">
        <v>46030</v>
      </c>
      <c r="D76" s="13">
        <v>46031</v>
      </c>
      <c r="E76" s="11" t="s">
        <v>25</v>
      </c>
      <c r="F76" s="14">
        <v>0</v>
      </c>
      <c r="G76" s="14">
        <v>0</v>
      </c>
      <c r="H76" s="14">
        <f t="shared" si="1"/>
        <v>0</v>
      </c>
      <c r="I76" s="6">
        <v>0.73</v>
      </c>
      <c r="J76" s="12"/>
    </row>
    <row r="77" spans="1:10" x14ac:dyDescent="0.3">
      <c r="A77" s="15">
        <v>76</v>
      </c>
      <c r="B77" s="16" t="s">
        <v>100</v>
      </c>
      <c r="C77" s="17">
        <v>46031</v>
      </c>
      <c r="D77" s="17">
        <v>46031</v>
      </c>
      <c r="E77" s="15" t="s">
        <v>25</v>
      </c>
      <c r="F77" s="18">
        <v>0</v>
      </c>
      <c r="G77" s="18">
        <v>0</v>
      </c>
      <c r="H77" s="18">
        <f t="shared" si="1"/>
        <v>0</v>
      </c>
      <c r="I77" s="10">
        <v>0.13</v>
      </c>
      <c r="J77" s="16"/>
    </row>
    <row r="78" spans="1:10" x14ac:dyDescent="0.3">
      <c r="A78" s="11">
        <v>77</v>
      </c>
      <c r="B78" s="12" t="s">
        <v>101</v>
      </c>
      <c r="C78" s="13">
        <v>46031</v>
      </c>
      <c r="D78" s="13">
        <v>46031</v>
      </c>
      <c r="E78" s="11" t="s">
        <v>25</v>
      </c>
      <c r="F78" s="14">
        <v>0</v>
      </c>
      <c r="G78" s="14">
        <v>0</v>
      </c>
      <c r="H78" s="14">
        <f t="shared" si="1"/>
        <v>0</v>
      </c>
      <c r="I78" s="6">
        <v>0.06</v>
      </c>
      <c r="J78" s="12"/>
    </row>
    <row r="79" spans="1:10" x14ac:dyDescent="0.3">
      <c r="A79" s="15">
        <v>78</v>
      </c>
      <c r="B79" s="16" t="s">
        <v>102</v>
      </c>
      <c r="C79" s="17">
        <v>46031</v>
      </c>
      <c r="D79" s="17">
        <v>46034</v>
      </c>
      <c r="E79" s="15" t="s">
        <v>25</v>
      </c>
      <c r="F79" s="18">
        <v>0</v>
      </c>
      <c r="G79" s="18">
        <v>0</v>
      </c>
      <c r="H79" s="18">
        <f t="shared" si="1"/>
        <v>0</v>
      </c>
      <c r="I79" s="10">
        <v>2.78</v>
      </c>
      <c r="J79" s="16"/>
    </row>
    <row r="80" spans="1:10" x14ac:dyDescent="0.3">
      <c r="A80" s="11">
        <v>79</v>
      </c>
      <c r="B80" s="12" t="s">
        <v>103</v>
      </c>
      <c r="C80" s="13">
        <v>46031</v>
      </c>
      <c r="D80" s="13">
        <v>46034</v>
      </c>
      <c r="E80" s="11" t="s">
        <v>25</v>
      </c>
      <c r="F80" s="14">
        <v>0</v>
      </c>
      <c r="G80" s="14">
        <v>0</v>
      </c>
      <c r="H80" s="14">
        <f t="shared" si="1"/>
        <v>0</v>
      </c>
      <c r="I80" s="6">
        <v>2.78</v>
      </c>
      <c r="J80" s="12"/>
    </row>
    <row r="81" spans="1:10" x14ac:dyDescent="0.3">
      <c r="A81" s="15">
        <v>80</v>
      </c>
      <c r="B81" s="16" t="s">
        <v>104</v>
      </c>
      <c r="C81" s="17">
        <v>46031</v>
      </c>
      <c r="D81" s="17">
        <v>46031</v>
      </c>
      <c r="E81" s="15" t="s">
        <v>25</v>
      </c>
      <c r="F81" s="18">
        <v>0</v>
      </c>
      <c r="G81" s="18">
        <v>0</v>
      </c>
      <c r="H81" s="18">
        <f t="shared" si="1"/>
        <v>0</v>
      </c>
      <c r="I81" s="10">
        <v>0.01</v>
      </c>
      <c r="J81" s="16"/>
    </row>
    <row r="82" spans="1:10" x14ac:dyDescent="0.3">
      <c r="A82" s="11">
        <v>81</v>
      </c>
      <c r="B82" s="12" t="s">
        <v>105</v>
      </c>
      <c r="C82" s="13">
        <v>46031</v>
      </c>
      <c r="D82" s="13">
        <v>46034</v>
      </c>
      <c r="E82" s="11" t="s">
        <v>25</v>
      </c>
      <c r="F82" s="14">
        <v>0</v>
      </c>
      <c r="G82" s="14">
        <v>0</v>
      </c>
      <c r="H82" s="14">
        <f t="shared" si="1"/>
        <v>0</v>
      </c>
      <c r="I82" s="6">
        <v>2.58</v>
      </c>
      <c r="J82" s="12"/>
    </row>
    <row r="83" spans="1:10" x14ac:dyDescent="0.3">
      <c r="A83" s="15">
        <v>82</v>
      </c>
      <c r="B83" s="16" t="s">
        <v>106</v>
      </c>
      <c r="C83" s="17">
        <v>46032</v>
      </c>
      <c r="D83" s="17">
        <v>46034</v>
      </c>
      <c r="E83" s="15" t="s">
        <v>25</v>
      </c>
      <c r="F83" s="18">
        <v>0</v>
      </c>
      <c r="G83" s="18">
        <v>0</v>
      </c>
      <c r="H83" s="18">
        <f t="shared" si="1"/>
        <v>0</v>
      </c>
      <c r="I83" s="10">
        <v>1.91</v>
      </c>
      <c r="J83" s="16"/>
    </row>
    <row r="84" spans="1:10" x14ac:dyDescent="0.3">
      <c r="A84" s="11">
        <v>83</v>
      </c>
      <c r="B84" s="12" t="s">
        <v>107</v>
      </c>
      <c r="C84" s="13">
        <v>46032</v>
      </c>
      <c r="D84" s="13">
        <v>46034</v>
      </c>
      <c r="E84" s="11" t="s">
        <v>25</v>
      </c>
      <c r="F84" s="14">
        <v>0</v>
      </c>
      <c r="G84" s="14">
        <v>0</v>
      </c>
      <c r="H84" s="14">
        <f t="shared" si="1"/>
        <v>0</v>
      </c>
      <c r="I84" s="6">
        <v>1.91</v>
      </c>
      <c r="J84" s="12"/>
    </row>
    <row r="85" spans="1:10" x14ac:dyDescent="0.3">
      <c r="A85" s="15">
        <v>84</v>
      </c>
      <c r="B85" s="16" t="s">
        <v>108</v>
      </c>
      <c r="C85" s="17">
        <v>46032</v>
      </c>
      <c r="D85" s="17">
        <v>46034</v>
      </c>
      <c r="E85" s="15" t="s">
        <v>25</v>
      </c>
      <c r="F85" s="18">
        <v>0</v>
      </c>
      <c r="G85" s="18">
        <v>0</v>
      </c>
      <c r="H85" s="18">
        <f t="shared" si="1"/>
        <v>0</v>
      </c>
      <c r="I85" s="10">
        <v>1.91</v>
      </c>
      <c r="J85" s="16"/>
    </row>
    <row r="86" spans="1:10" x14ac:dyDescent="0.3">
      <c r="A86" s="11">
        <v>85</v>
      </c>
      <c r="B86" s="12" t="s">
        <v>109</v>
      </c>
      <c r="C86" s="13">
        <v>46032</v>
      </c>
      <c r="D86" s="13">
        <v>46034</v>
      </c>
      <c r="E86" s="11" t="s">
        <v>25</v>
      </c>
      <c r="F86" s="14">
        <v>0</v>
      </c>
      <c r="G86" s="14">
        <v>0</v>
      </c>
      <c r="H86" s="14">
        <f t="shared" si="1"/>
        <v>0</v>
      </c>
      <c r="I86" s="6">
        <v>1.9</v>
      </c>
      <c r="J86" s="12"/>
    </row>
    <row r="87" spans="1:10" x14ac:dyDescent="0.3">
      <c r="A87" s="15">
        <v>86</v>
      </c>
      <c r="B87" s="16" t="s">
        <v>110</v>
      </c>
      <c r="C87" s="17">
        <v>46032</v>
      </c>
      <c r="D87" s="17">
        <v>46034</v>
      </c>
      <c r="E87" s="15" t="s">
        <v>25</v>
      </c>
      <c r="F87" s="18">
        <v>0</v>
      </c>
      <c r="G87" s="18">
        <v>0</v>
      </c>
      <c r="H87" s="18">
        <f t="shared" si="1"/>
        <v>0</v>
      </c>
      <c r="I87" s="10">
        <v>1.77</v>
      </c>
      <c r="J87" s="16"/>
    </row>
    <row r="88" spans="1:10" x14ac:dyDescent="0.3">
      <c r="A88" s="11">
        <v>87</v>
      </c>
      <c r="B88" s="12" t="s">
        <v>111</v>
      </c>
      <c r="C88" s="13">
        <v>46032</v>
      </c>
      <c r="D88" s="13">
        <v>46034</v>
      </c>
      <c r="E88" s="11" t="s">
        <v>25</v>
      </c>
      <c r="F88" s="14">
        <v>0</v>
      </c>
      <c r="G88" s="14">
        <v>0</v>
      </c>
      <c r="H88" s="14">
        <f t="shared" si="1"/>
        <v>0</v>
      </c>
      <c r="I88" s="6">
        <v>1.76</v>
      </c>
      <c r="J88" s="12"/>
    </row>
    <row r="89" spans="1:10" x14ac:dyDescent="0.3">
      <c r="A89" s="15">
        <v>88</v>
      </c>
      <c r="B89" s="16" t="s">
        <v>112</v>
      </c>
      <c r="C89" s="17">
        <v>46032</v>
      </c>
      <c r="D89" s="17">
        <v>46034</v>
      </c>
      <c r="E89" s="15" t="s">
        <v>25</v>
      </c>
      <c r="F89" s="18">
        <v>0</v>
      </c>
      <c r="G89" s="18">
        <v>0</v>
      </c>
      <c r="H89" s="18">
        <f t="shared" si="1"/>
        <v>0</v>
      </c>
      <c r="I89" s="10">
        <v>1.75</v>
      </c>
      <c r="J89" s="16"/>
    </row>
    <row r="90" spans="1:10" x14ac:dyDescent="0.3">
      <c r="A90" s="11">
        <v>89</v>
      </c>
      <c r="B90" s="12" t="s">
        <v>113</v>
      </c>
      <c r="C90" s="13">
        <v>46032</v>
      </c>
      <c r="D90" s="13">
        <v>46034</v>
      </c>
      <c r="E90" s="11" t="s">
        <v>25</v>
      </c>
      <c r="F90" s="14">
        <v>0</v>
      </c>
      <c r="G90" s="14">
        <v>0</v>
      </c>
      <c r="H90" s="14">
        <f t="shared" si="1"/>
        <v>0</v>
      </c>
      <c r="I90" s="6">
        <v>1.75</v>
      </c>
      <c r="J90" s="12"/>
    </row>
    <row r="91" spans="1:10" x14ac:dyDescent="0.3">
      <c r="A91" s="15">
        <v>90</v>
      </c>
      <c r="B91" s="16" t="s">
        <v>114</v>
      </c>
      <c r="C91" s="17">
        <v>46033</v>
      </c>
      <c r="D91" s="17">
        <v>46034</v>
      </c>
      <c r="E91" s="15" t="s">
        <v>25</v>
      </c>
      <c r="F91" s="18">
        <v>0</v>
      </c>
      <c r="G91" s="18">
        <v>0</v>
      </c>
      <c r="H91" s="18">
        <f t="shared" si="1"/>
        <v>0</v>
      </c>
      <c r="I91" s="10">
        <v>0.99</v>
      </c>
      <c r="J91" s="16"/>
    </row>
    <row r="92" spans="1:10" x14ac:dyDescent="0.3">
      <c r="A92" s="11">
        <v>91</v>
      </c>
      <c r="B92" s="12" t="s">
        <v>115</v>
      </c>
      <c r="C92" s="13">
        <v>46033</v>
      </c>
      <c r="D92" s="13">
        <v>46034</v>
      </c>
      <c r="E92" s="11" t="s">
        <v>25</v>
      </c>
      <c r="F92" s="14">
        <v>0</v>
      </c>
      <c r="G92" s="14">
        <v>0</v>
      </c>
      <c r="H92" s="14">
        <f t="shared" si="1"/>
        <v>0</v>
      </c>
      <c r="I92" s="6">
        <v>0.98</v>
      </c>
      <c r="J92" s="12"/>
    </row>
    <row r="93" spans="1:10" x14ac:dyDescent="0.3">
      <c r="A93" s="15">
        <v>92</v>
      </c>
      <c r="B93" s="16" t="s">
        <v>116</v>
      </c>
      <c r="C93" s="17">
        <v>46033</v>
      </c>
      <c r="D93" s="17">
        <v>46034</v>
      </c>
      <c r="E93" s="15" t="s">
        <v>25</v>
      </c>
      <c r="F93" s="18">
        <v>0</v>
      </c>
      <c r="G93" s="18">
        <v>0</v>
      </c>
      <c r="H93" s="18">
        <f t="shared" si="1"/>
        <v>0</v>
      </c>
      <c r="I93" s="10">
        <v>0.98</v>
      </c>
      <c r="J93" s="16"/>
    </row>
    <row r="94" spans="1:10" x14ac:dyDescent="0.3">
      <c r="A94" s="11">
        <v>93</v>
      </c>
      <c r="B94" s="12" t="s">
        <v>117</v>
      </c>
      <c r="C94" s="13">
        <v>46033</v>
      </c>
      <c r="D94" s="13">
        <v>46034</v>
      </c>
      <c r="E94" s="11" t="s">
        <v>25</v>
      </c>
      <c r="F94" s="14">
        <v>0</v>
      </c>
      <c r="G94" s="14">
        <v>0</v>
      </c>
      <c r="H94" s="14">
        <f t="shared" si="1"/>
        <v>0</v>
      </c>
      <c r="I94" s="6">
        <v>0.84</v>
      </c>
      <c r="J94" s="12"/>
    </row>
    <row r="95" spans="1:10" x14ac:dyDescent="0.3">
      <c r="A95" s="15">
        <v>94</v>
      </c>
      <c r="B95" s="16" t="s">
        <v>118</v>
      </c>
      <c r="C95" s="17">
        <v>46033</v>
      </c>
      <c r="D95" s="17">
        <v>46034</v>
      </c>
      <c r="E95" s="15" t="s">
        <v>25</v>
      </c>
      <c r="F95" s="18">
        <v>0</v>
      </c>
      <c r="G95" s="18">
        <v>0</v>
      </c>
      <c r="H95" s="18">
        <f t="shared" si="1"/>
        <v>0</v>
      </c>
      <c r="I95" s="10">
        <v>0.82</v>
      </c>
      <c r="J95" s="16"/>
    </row>
    <row r="96" spans="1:10" x14ac:dyDescent="0.3">
      <c r="A96" s="11">
        <v>95</v>
      </c>
      <c r="B96" s="12" t="s">
        <v>119</v>
      </c>
      <c r="C96" s="13">
        <v>46033</v>
      </c>
      <c r="D96" s="13">
        <v>46034</v>
      </c>
      <c r="E96" s="11" t="s">
        <v>25</v>
      </c>
      <c r="F96" s="14">
        <v>0</v>
      </c>
      <c r="G96" s="14">
        <v>0</v>
      </c>
      <c r="H96" s="14">
        <f t="shared" si="1"/>
        <v>0</v>
      </c>
      <c r="I96" s="6">
        <v>0.74</v>
      </c>
      <c r="J96" s="12"/>
    </row>
    <row r="97" spans="1:10" x14ac:dyDescent="0.3">
      <c r="A97" s="15">
        <v>96</v>
      </c>
      <c r="B97" s="16" t="s">
        <v>120</v>
      </c>
      <c r="C97" s="17">
        <v>46034</v>
      </c>
      <c r="D97" s="17">
        <v>46034</v>
      </c>
      <c r="E97" s="15" t="s">
        <v>25</v>
      </c>
      <c r="F97" s="18">
        <v>0</v>
      </c>
      <c r="G97" s="18">
        <v>0</v>
      </c>
      <c r="H97" s="18">
        <f t="shared" si="1"/>
        <v>0</v>
      </c>
      <c r="I97" s="10">
        <v>0.26</v>
      </c>
      <c r="J97" s="16"/>
    </row>
    <row r="98" spans="1:10" x14ac:dyDescent="0.3">
      <c r="A98" s="11">
        <v>97</v>
      </c>
      <c r="B98" s="12" t="s">
        <v>121</v>
      </c>
      <c r="C98" s="13">
        <v>46034</v>
      </c>
      <c r="D98" s="13">
        <v>46052</v>
      </c>
      <c r="E98" s="11" t="s">
        <v>25</v>
      </c>
      <c r="F98" s="14">
        <v>0</v>
      </c>
      <c r="G98" s="14">
        <v>0</v>
      </c>
      <c r="H98" s="14">
        <f t="shared" si="1"/>
        <v>0</v>
      </c>
      <c r="I98" s="6">
        <v>18.21</v>
      </c>
      <c r="J98" s="12"/>
    </row>
    <row r="99" spans="1:10" x14ac:dyDescent="0.3">
      <c r="A99" s="15">
        <v>98</v>
      </c>
      <c r="B99" s="16" t="s">
        <v>122</v>
      </c>
      <c r="C99" s="17">
        <v>46034</v>
      </c>
      <c r="D99" s="17">
        <v>46048</v>
      </c>
      <c r="E99" s="15" t="s">
        <v>25</v>
      </c>
      <c r="F99" s="18">
        <v>0</v>
      </c>
      <c r="G99" s="18">
        <v>0</v>
      </c>
      <c r="H99" s="18">
        <f t="shared" si="1"/>
        <v>0</v>
      </c>
      <c r="I99" s="10">
        <v>14.11</v>
      </c>
      <c r="J99" s="16"/>
    </row>
    <row r="100" spans="1:10" x14ac:dyDescent="0.3">
      <c r="A100" s="11">
        <v>99</v>
      </c>
      <c r="B100" s="12" t="s">
        <v>123</v>
      </c>
      <c r="C100" s="13">
        <v>46034</v>
      </c>
      <c r="D100" s="13">
        <v>46037</v>
      </c>
      <c r="E100" s="11" t="s">
        <v>25</v>
      </c>
      <c r="F100" s="14">
        <v>0</v>
      </c>
      <c r="G100" s="14">
        <v>0</v>
      </c>
      <c r="H100" s="14">
        <f t="shared" si="1"/>
        <v>0</v>
      </c>
      <c r="I100" s="6">
        <v>3.53</v>
      </c>
      <c r="J100" s="12"/>
    </row>
    <row r="101" spans="1:10" x14ac:dyDescent="0.3">
      <c r="A101" s="15">
        <v>100</v>
      </c>
      <c r="B101" s="16" t="s">
        <v>124</v>
      </c>
      <c r="C101" s="17">
        <v>46034</v>
      </c>
      <c r="D101" s="17">
        <v>46037</v>
      </c>
      <c r="E101" s="15" t="s">
        <v>25</v>
      </c>
      <c r="F101" s="18">
        <v>0</v>
      </c>
      <c r="G101" s="18">
        <v>0</v>
      </c>
      <c r="H101" s="18">
        <f t="shared" si="1"/>
        <v>0</v>
      </c>
      <c r="I101" s="10">
        <v>3.53</v>
      </c>
      <c r="J101" s="16"/>
    </row>
    <row r="102" spans="1:10" x14ac:dyDescent="0.3">
      <c r="A102" s="11">
        <v>101</v>
      </c>
      <c r="B102" s="12" t="s">
        <v>125</v>
      </c>
      <c r="C102" s="13">
        <v>46034</v>
      </c>
      <c r="D102" s="13">
        <v>46037</v>
      </c>
      <c r="E102" s="11" t="s">
        <v>25</v>
      </c>
      <c r="F102" s="14">
        <v>0</v>
      </c>
      <c r="G102" s="14">
        <v>0</v>
      </c>
      <c r="H102" s="14">
        <f t="shared" si="1"/>
        <v>0</v>
      </c>
      <c r="I102" s="6">
        <v>3.52</v>
      </c>
      <c r="J102" s="12"/>
    </row>
    <row r="103" spans="1:10" x14ac:dyDescent="0.3">
      <c r="A103" s="15">
        <v>102</v>
      </c>
      <c r="B103" s="16" t="s">
        <v>126</v>
      </c>
      <c r="C103" s="17">
        <v>46034</v>
      </c>
      <c r="D103" s="17">
        <v>46034</v>
      </c>
      <c r="E103" s="15" t="s">
        <v>25</v>
      </c>
      <c r="F103" s="18">
        <v>0</v>
      </c>
      <c r="G103" s="18">
        <v>0</v>
      </c>
      <c r="H103" s="18">
        <f t="shared" si="1"/>
        <v>0</v>
      </c>
      <c r="I103" s="10">
        <v>0.12</v>
      </c>
      <c r="J103" s="16"/>
    </row>
    <row r="104" spans="1:10" x14ac:dyDescent="0.3">
      <c r="A104" s="11">
        <v>103</v>
      </c>
      <c r="B104" s="12" t="s">
        <v>127</v>
      </c>
      <c r="C104" s="13">
        <v>46034</v>
      </c>
      <c r="D104" s="13">
        <v>46034</v>
      </c>
      <c r="E104" s="11" t="s">
        <v>25</v>
      </c>
      <c r="F104" s="14">
        <v>0</v>
      </c>
      <c r="G104" s="14">
        <v>0</v>
      </c>
      <c r="H104" s="14">
        <f t="shared" si="1"/>
        <v>0</v>
      </c>
      <c r="I104" s="6">
        <v>0.08</v>
      </c>
      <c r="J104" s="12"/>
    </row>
    <row r="105" spans="1:10" x14ac:dyDescent="0.3">
      <c r="A105" s="15">
        <v>104</v>
      </c>
      <c r="B105" s="16" t="s">
        <v>128</v>
      </c>
      <c r="C105" s="17">
        <v>46034</v>
      </c>
      <c r="D105" s="17">
        <v>46034</v>
      </c>
      <c r="E105" s="15" t="s">
        <v>25</v>
      </c>
      <c r="F105" s="18">
        <v>0</v>
      </c>
      <c r="G105" s="18">
        <v>0</v>
      </c>
      <c r="H105" s="18">
        <f t="shared" si="1"/>
        <v>0</v>
      </c>
      <c r="I105" s="10">
        <v>0.05</v>
      </c>
      <c r="J105" s="16"/>
    </row>
    <row r="106" spans="1:10" x14ac:dyDescent="0.3">
      <c r="A106" s="11">
        <v>105</v>
      </c>
      <c r="B106" s="12" t="s">
        <v>129</v>
      </c>
      <c r="C106" s="13">
        <v>46034</v>
      </c>
      <c r="D106" s="13">
        <v>46035</v>
      </c>
      <c r="E106" s="11" t="s">
        <v>25</v>
      </c>
      <c r="F106" s="14">
        <v>0</v>
      </c>
      <c r="G106" s="14">
        <v>0</v>
      </c>
      <c r="H106" s="14">
        <f t="shared" si="1"/>
        <v>0</v>
      </c>
      <c r="I106" s="6">
        <v>0.8</v>
      </c>
      <c r="J106" s="12"/>
    </row>
    <row r="107" spans="1:10" x14ac:dyDescent="0.3">
      <c r="A107" s="15">
        <v>106</v>
      </c>
      <c r="B107" s="16" t="s">
        <v>130</v>
      </c>
      <c r="C107" s="17">
        <v>46035</v>
      </c>
      <c r="D107" s="17">
        <v>46035</v>
      </c>
      <c r="E107" s="15" t="s">
        <v>25</v>
      </c>
      <c r="F107" s="18">
        <v>0</v>
      </c>
      <c r="G107" s="18">
        <v>0</v>
      </c>
      <c r="H107" s="18">
        <f t="shared" si="1"/>
        <v>0</v>
      </c>
      <c r="I107" s="10">
        <v>0.13</v>
      </c>
      <c r="J107" s="16"/>
    </row>
    <row r="108" spans="1:10" x14ac:dyDescent="0.3">
      <c r="A108" s="11">
        <v>107</v>
      </c>
      <c r="B108" s="12" t="s">
        <v>131</v>
      </c>
      <c r="C108" s="13">
        <v>46035</v>
      </c>
      <c r="D108" s="13">
        <v>46035</v>
      </c>
      <c r="E108" s="11" t="s">
        <v>25</v>
      </c>
      <c r="F108" s="14">
        <v>0</v>
      </c>
      <c r="G108" s="14">
        <v>0</v>
      </c>
      <c r="H108" s="14">
        <f t="shared" si="1"/>
        <v>0</v>
      </c>
      <c r="I108" s="6">
        <v>0.15</v>
      </c>
      <c r="J108" s="12"/>
    </row>
    <row r="109" spans="1:10" x14ac:dyDescent="0.3">
      <c r="A109" s="15">
        <v>108</v>
      </c>
      <c r="B109" s="16" t="s">
        <v>132</v>
      </c>
      <c r="C109" s="17">
        <v>46036</v>
      </c>
      <c r="D109" s="17">
        <v>46044</v>
      </c>
      <c r="E109" s="15" t="s">
        <v>25</v>
      </c>
      <c r="F109" s="18">
        <v>0</v>
      </c>
      <c r="G109" s="18">
        <v>0</v>
      </c>
      <c r="H109" s="18">
        <f t="shared" si="1"/>
        <v>0</v>
      </c>
      <c r="I109" s="10">
        <v>8.18</v>
      </c>
      <c r="J109" s="16"/>
    </row>
    <row r="110" spans="1:10" x14ac:dyDescent="0.3">
      <c r="A110" s="11">
        <v>109</v>
      </c>
      <c r="B110" s="12" t="s">
        <v>133</v>
      </c>
      <c r="C110" s="13">
        <v>46036</v>
      </c>
      <c r="D110" s="13">
        <v>46037</v>
      </c>
      <c r="E110" s="11" t="s">
        <v>25</v>
      </c>
      <c r="F110" s="14">
        <v>0</v>
      </c>
      <c r="G110" s="14">
        <v>0</v>
      </c>
      <c r="H110" s="14">
        <f t="shared" si="1"/>
        <v>0</v>
      </c>
      <c r="I110" s="6">
        <v>1.4</v>
      </c>
      <c r="J110" s="12"/>
    </row>
    <row r="111" spans="1:10" x14ac:dyDescent="0.3">
      <c r="A111" s="15">
        <v>110</v>
      </c>
      <c r="B111" s="16" t="s">
        <v>134</v>
      </c>
      <c r="C111" s="17">
        <v>46037</v>
      </c>
      <c r="D111" s="17">
        <v>46037</v>
      </c>
      <c r="E111" s="15" t="s">
        <v>25</v>
      </c>
      <c r="F111" s="18">
        <v>0</v>
      </c>
      <c r="G111" s="18">
        <v>0</v>
      </c>
      <c r="H111" s="18">
        <f t="shared" si="1"/>
        <v>0</v>
      </c>
      <c r="I111" s="10">
        <v>0.44</v>
      </c>
      <c r="J111" s="16"/>
    </row>
    <row r="112" spans="1:10" x14ac:dyDescent="0.3">
      <c r="A112" s="11">
        <v>111</v>
      </c>
      <c r="B112" s="12" t="s">
        <v>135</v>
      </c>
      <c r="C112" s="13">
        <v>46037</v>
      </c>
      <c r="D112" s="13">
        <v>46037</v>
      </c>
      <c r="E112" s="11" t="s">
        <v>25</v>
      </c>
      <c r="F112" s="14">
        <v>0</v>
      </c>
      <c r="G112" s="14">
        <v>0</v>
      </c>
      <c r="H112" s="14">
        <f t="shared" si="1"/>
        <v>0</v>
      </c>
      <c r="I112" s="6">
        <v>0.4</v>
      </c>
      <c r="J112" s="12"/>
    </row>
    <row r="113" spans="1:10" x14ac:dyDescent="0.3">
      <c r="A113" s="15">
        <v>112</v>
      </c>
      <c r="B113" s="16" t="s">
        <v>136</v>
      </c>
      <c r="C113" s="17">
        <v>46037</v>
      </c>
      <c r="D113" s="17">
        <v>46037</v>
      </c>
      <c r="E113" s="15" t="s">
        <v>25</v>
      </c>
      <c r="F113" s="18">
        <v>0</v>
      </c>
      <c r="G113" s="18">
        <v>0</v>
      </c>
      <c r="H113" s="18">
        <f t="shared" si="1"/>
        <v>0</v>
      </c>
      <c r="I113" s="10">
        <v>0.4</v>
      </c>
      <c r="J113" s="16"/>
    </row>
    <row r="114" spans="1:10" x14ac:dyDescent="0.3">
      <c r="A114" s="11">
        <v>113</v>
      </c>
      <c r="B114" s="12" t="s">
        <v>137</v>
      </c>
      <c r="C114" s="13">
        <v>46037</v>
      </c>
      <c r="D114" s="13">
        <v>46037</v>
      </c>
      <c r="E114" s="11" t="s">
        <v>25</v>
      </c>
      <c r="F114" s="14">
        <v>0</v>
      </c>
      <c r="G114" s="14">
        <v>0</v>
      </c>
      <c r="H114" s="14">
        <f t="shared" si="1"/>
        <v>0</v>
      </c>
      <c r="I114" s="6">
        <v>0.4</v>
      </c>
      <c r="J114" s="12"/>
    </row>
    <row r="115" spans="1:10" x14ac:dyDescent="0.3">
      <c r="A115" s="15">
        <v>114</v>
      </c>
      <c r="B115" s="16" t="s">
        <v>138</v>
      </c>
      <c r="C115" s="17">
        <v>46037</v>
      </c>
      <c r="D115" s="17">
        <v>46038</v>
      </c>
      <c r="E115" s="15" t="s">
        <v>25</v>
      </c>
      <c r="F115" s="18">
        <v>0</v>
      </c>
      <c r="G115" s="18">
        <v>0</v>
      </c>
      <c r="H115" s="18">
        <f t="shared" si="1"/>
        <v>0</v>
      </c>
      <c r="I115" s="10">
        <v>0.86</v>
      </c>
      <c r="J115" s="16"/>
    </row>
    <row r="116" spans="1:10" x14ac:dyDescent="0.3">
      <c r="A116" s="11">
        <v>115</v>
      </c>
      <c r="B116" s="12" t="s">
        <v>139</v>
      </c>
      <c r="C116" s="13">
        <v>46037</v>
      </c>
      <c r="D116" s="13">
        <v>46042</v>
      </c>
      <c r="E116" s="11" t="s">
        <v>25</v>
      </c>
      <c r="F116" s="14">
        <v>0</v>
      </c>
      <c r="G116" s="14">
        <v>0</v>
      </c>
      <c r="H116" s="14">
        <f t="shared" si="1"/>
        <v>0</v>
      </c>
      <c r="I116" s="6">
        <v>5.08</v>
      </c>
      <c r="J116" s="12"/>
    </row>
    <row r="117" spans="1:10" x14ac:dyDescent="0.3">
      <c r="A117" s="15">
        <v>116</v>
      </c>
      <c r="B117" s="16" t="s">
        <v>140</v>
      </c>
      <c r="C117" s="17">
        <v>46037</v>
      </c>
      <c r="D117" s="17">
        <v>46037</v>
      </c>
      <c r="E117" s="15" t="s">
        <v>25</v>
      </c>
      <c r="F117" s="18">
        <v>0</v>
      </c>
      <c r="G117" s="18">
        <v>0</v>
      </c>
      <c r="H117" s="18">
        <f t="shared" si="1"/>
        <v>0</v>
      </c>
      <c r="I117" s="10">
        <v>0.28999999999999998</v>
      </c>
      <c r="J117" s="16"/>
    </row>
    <row r="118" spans="1:10" x14ac:dyDescent="0.3">
      <c r="A118" s="11">
        <v>117</v>
      </c>
      <c r="B118" s="12" t="s">
        <v>141</v>
      </c>
      <c r="C118" s="13">
        <v>46037</v>
      </c>
      <c r="D118" s="13">
        <v>46037</v>
      </c>
      <c r="E118" s="11" t="s">
        <v>25</v>
      </c>
      <c r="F118" s="14">
        <v>0</v>
      </c>
      <c r="G118" s="14">
        <v>0</v>
      </c>
      <c r="H118" s="14">
        <f t="shared" si="1"/>
        <v>0</v>
      </c>
      <c r="I118" s="6">
        <v>0.28999999999999998</v>
      </c>
      <c r="J118" s="12"/>
    </row>
    <row r="119" spans="1:10" x14ac:dyDescent="0.3">
      <c r="A119" s="15">
        <v>118</v>
      </c>
      <c r="B119" s="16" t="s">
        <v>142</v>
      </c>
      <c r="C119" s="17">
        <v>46038</v>
      </c>
      <c r="D119" s="17">
        <v>46038</v>
      </c>
      <c r="E119" s="15" t="s">
        <v>25</v>
      </c>
      <c r="F119" s="18">
        <v>0</v>
      </c>
      <c r="G119" s="18">
        <v>0</v>
      </c>
      <c r="H119" s="18">
        <f t="shared" si="1"/>
        <v>0</v>
      </c>
      <c r="I119" s="10">
        <v>0.49</v>
      </c>
      <c r="J119" s="16"/>
    </row>
    <row r="120" spans="1:10" x14ac:dyDescent="0.3">
      <c r="A120" s="11">
        <v>119</v>
      </c>
      <c r="B120" s="12" t="s">
        <v>143</v>
      </c>
      <c r="C120" s="13">
        <v>46038</v>
      </c>
      <c r="D120" s="13">
        <v>46038</v>
      </c>
      <c r="E120" s="11" t="s">
        <v>25</v>
      </c>
      <c r="F120" s="14">
        <v>0</v>
      </c>
      <c r="G120" s="14">
        <v>0</v>
      </c>
      <c r="H120" s="14">
        <f t="shared" si="1"/>
        <v>0</v>
      </c>
      <c r="I120" s="6">
        <v>0.47</v>
      </c>
      <c r="J120" s="12"/>
    </row>
    <row r="121" spans="1:10" x14ac:dyDescent="0.3">
      <c r="A121" s="15">
        <v>120</v>
      </c>
      <c r="B121" s="16" t="s">
        <v>144</v>
      </c>
      <c r="C121" s="17">
        <v>46038</v>
      </c>
      <c r="D121" s="17">
        <v>46038</v>
      </c>
      <c r="E121" s="15" t="s">
        <v>25</v>
      </c>
      <c r="F121" s="18">
        <v>0</v>
      </c>
      <c r="G121" s="18">
        <v>0</v>
      </c>
      <c r="H121" s="18">
        <f t="shared" si="1"/>
        <v>0</v>
      </c>
      <c r="I121" s="10">
        <v>0.46</v>
      </c>
      <c r="J121" s="16"/>
    </row>
    <row r="122" spans="1:10" x14ac:dyDescent="0.3">
      <c r="A122" s="11">
        <v>121</v>
      </c>
      <c r="B122" s="12" t="s">
        <v>145</v>
      </c>
      <c r="C122" s="13">
        <v>46038</v>
      </c>
      <c r="D122" s="13">
        <v>46038</v>
      </c>
      <c r="E122" s="11" t="s">
        <v>25</v>
      </c>
      <c r="F122" s="14">
        <v>0</v>
      </c>
      <c r="G122" s="14">
        <v>0</v>
      </c>
      <c r="H122" s="14">
        <f t="shared" si="1"/>
        <v>0</v>
      </c>
      <c r="I122" s="6">
        <v>0.44</v>
      </c>
      <c r="J122" s="12"/>
    </row>
    <row r="123" spans="1:10" x14ac:dyDescent="0.3">
      <c r="A123" s="15">
        <v>122</v>
      </c>
      <c r="B123" s="16" t="s">
        <v>146</v>
      </c>
      <c r="C123" s="17">
        <v>46038</v>
      </c>
      <c r="D123" s="17">
        <v>46038</v>
      </c>
      <c r="E123" s="15" t="s">
        <v>25</v>
      </c>
      <c r="F123" s="18">
        <v>0</v>
      </c>
      <c r="G123" s="18">
        <v>0</v>
      </c>
      <c r="H123" s="18">
        <f t="shared" si="1"/>
        <v>0</v>
      </c>
      <c r="I123" s="10">
        <v>0.35</v>
      </c>
      <c r="J123" s="16"/>
    </row>
    <row r="124" spans="1:10" x14ac:dyDescent="0.3">
      <c r="A124" s="11">
        <v>123</v>
      </c>
      <c r="B124" s="12" t="s">
        <v>147</v>
      </c>
      <c r="C124" s="13">
        <v>46038</v>
      </c>
      <c r="D124" s="13">
        <v>46038</v>
      </c>
      <c r="E124" s="11" t="s">
        <v>25</v>
      </c>
      <c r="F124" s="14">
        <v>0</v>
      </c>
      <c r="G124" s="14">
        <v>0</v>
      </c>
      <c r="H124" s="14">
        <f t="shared" si="1"/>
        <v>0</v>
      </c>
      <c r="I124" s="6">
        <v>0.28000000000000003</v>
      </c>
      <c r="J124" s="12"/>
    </row>
    <row r="125" spans="1:10" x14ac:dyDescent="0.3">
      <c r="A125" s="15">
        <v>124</v>
      </c>
      <c r="B125" s="16" t="s">
        <v>148</v>
      </c>
      <c r="C125" s="17">
        <v>46039</v>
      </c>
      <c r="D125" s="17">
        <v>46044</v>
      </c>
      <c r="E125" s="15" t="s">
        <v>25</v>
      </c>
      <c r="F125" s="18">
        <v>0</v>
      </c>
      <c r="G125" s="18">
        <v>0</v>
      </c>
      <c r="H125" s="18">
        <f t="shared" si="1"/>
        <v>0</v>
      </c>
      <c r="I125" s="10">
        <v>5.14</v>
      </c>
      <c r="J125" s="16"/>
    </row>
    <row r="126" spans="1:10" x14ac:dyDescent="0.3">
      <c r="A126" s="11">
        <v>125</v>
      </c>
      <c r="B126" s="12" t="s">
        <v>149</v>
      </c>
      <c r="C126" s="13">
        <v>46039</v>
      </c>
      <c r="D126" s="13">
        <v>46041</v>
      </c>
      <c r="E126" s="11" t="s">
        <v>25</v>
      </c>
      <c r="F126" s="14">
        <v>0</v>
      </c>
      <c r="G126" s="14">
        <v>0</v>
      </c>
      <c r="H126" s="14">
        <f t="shared" si="1"/>
        <v>0</v>
      </c>
      <c r="I126" s="6">
        <v>2.12</v>
      </c>
      <c r="J126" s="12"/>
    </row>
    <row r="127" spans="1:10" x14ac:dyDescent="0.3">
      <c r="A127" s="15">
        <v>126</v>
      </c>
      <c r="B127" s="16" t="s">
        <v>150</v>
      </c>
      <c r="C127" s="17">
        <v>46039</v>
      </c>
      <c r="D127" s="17">
        <v>46041</v>
      </c>
      <c r="E127" s="15" t="s">
        <v>25</v>
      </c>
      <c r="F127" s="18">
        <v>0</v>
      </c>
      <c r="G127" s="18">
        <v>0</v>
      </c>
      <c r="H127" s="18">
        <f t="shared" si="1"/>
        <v>0</v>
      </c>
      <c r="I127" s="10">
        <v>2.0699999999999998</v>
      </c>
      <c r="J127" s="16"/>
    </row>
    <row r="128" spans="1:10" x14ac:dyDescent="0.3">
      <c r="A128" s="11">
        <v>127</v>
      </c>
      <c r="B128" s="12" t="s">
        <v>151</v>
      </c>
      <c r="C128" s="13">
        <v>46039</v>
      </c>
      <c r="D128" s="13">
        <v>46041</v>
      </c>
      <c r="E128" s="11" t="s">
        <v>25</v>
      </c>
      <c r="F128" s="14">
        <v>0</v>
      </c>
      <c r="G128" s="14">
        <v>0</v>
      </c>
      <c r="H128" s="14">
        <f t="shared" si="1"/>
        <v>0</v>
      </c>
      <c r="I128" s="6">
        <v>2.0499999999999998</v>
      </c>
      <c r="J128" s="12"/>
    </row>
    <row r="129" spans="1:10" x14ac:dyDescent="0.3">
      <c r="A129" s="15">
        <v>128</v>
      </c>
      <c r="B129" s="16" t="s">
        <v>152</v>
      </c>
      <c r="C129" s="17">
        <v>46039</v>
      </c>
      <c r="D129" s="17">
        <v>46044</v>
      </c>
      <c r="E129" s="15" t="s">
        <v>25</v>
      </c>
      <c r="F129" s="18">
        <v>0</v>
      </c>
      <c r="G129" s="18">
        <v>0</v>
      </c>
      <c r="H129" s="18">
        <f t="shared" si="1"/>
        <v>0</v>
      </c>
      <c r="I129" s="10">
        <v>4.83</v>
      </c>
      <c r="J129" s="16"/>
    </row>
    <row r="130" spans="1:10" x14ac:dyDescent="0.3">
      <c r="A130" s="11">
        <v>129</v>
      </c>
      <c r="B130" s="12" t="s">
        <v>153</v>
      </c>
      <c r="C130" s="13">
        <v>46039</v>
      </c>
      <c r="D130" s="13">
        <v>46041</v>
      </c>
      <c r="E130" s="11" t="s">
        <v>25</v>
      </c>
      <c r="F130" s="14">
        <v>0</v>
      </c>
      <c r="G130" s="14">
        <v>0</v>
      </c>
      <c r="H130" s="14">
        <f t="shared" ref="H130:H193" si="2">F130+G130</f>
        <v>0</v>
      </c>
      <c r="I130" s="6">
        <v>2.0299999999999998</v>
      </c>
      <c r="J130" s="12"/>
    </row>
    <row r="131" spans="1:10" x14ac:dyDescent="0.3">
      <c r="A131" s="15">
        <v>130</v>
      </c>
      <c r="B131" s="16" t="s">
        <v>154</v>
      </c>
      <c r="C131" s="17">
        <v>46039</v>
      </c>
      <c r="D131" s="17">
        <v>46041</v>
      </c>
      <c r="E131" s="15" t="s">
        <v>25</v>
      </c>
      <c r="F131" s="18">
        <v>0</v>
      </c>
      <c r="G131" s="18">
        <v>0</v>
      </c>
      <c r="H131" s="18">
        <f t="shared" si="2"/>
        <v>0</v>
      </c>
      <c r="I131" s="10">
        <v>2</v>
      </c>
      <c r="J131" s="16"/>
    </row>
    <row r="132" spans="1:10" x14ac:dyDescent="0.3">
      <c r="A132" s="11">
        <v>131</v>
      </c>
      <c r="B132" s="12" t="s">
        <v>155</v>
      </c>
      <c r="C132" s="13">
        <v>46039</v>
      </c>
      <c r="D132" s="13">
        <v>46041</v>
      </c>
      <c r="E132" s="11" t="s">
        <v>25</v>
      </c>
      <c r="F132" s="14">
        <v>0</v>
      </c>
      <c r="G132" s="14">
        <v>0</v>
      </c>
      <c r="H132" s="14">
        <f t="shared" si="2"/>
        <v>0</v>
      </c>
      <c r="I132" s="6">
        <v>2</v>
      </c>
      <c r="J132" s="12"/>
    </row>
    <row r="133" spans="1:10" x14ac:dyDescent="0.3">
      <c r="A133" s="15">
        <v>132</v>
      </c>
      <c r="B133" s="16" t="s">
        <v>156</v>
      </c>
      <c r="C133" s="17">
        <v>46039</v>
      </c>
      <c r="D133" s="17">
        <v>46041</v>
      </c>
      <c r="E133" s="15" t="s">
        <v>25</v>
      </c>
      <c r="F133" s="18">
        <v>0</v>
      </c>
      <c r="G133" s="18">
        <v>0</v>
      </c>
      <c r="H133" s="18">
        <f t="shared" si="2"/>
        <v>0</v>
      </c>
      <c r="I133" s="10">
        <v>1.87</v>
      </c>
      <c r="J133" s="16"/>
    </row>
    <row r="134" spans="1:10" x14ac:dyDescent="0.3">
      <c r="A134" s="11">
        <v>133</v>
      </c>
      <c r="B134" s="12" t="s">
        <v>157</v>
      </c>
      <c r="C134" s="13">
        <v>46040</v>
      </c>
      <c r="D134" s="13">
        <v>46042</v>
      </c>
      <c r="E134" s="11" t="s">
        <v>25</v>
      </c>
      <c r="F134" s="14">
        <v>0</v>
      </c>
      <c r="G134" s="14">
        <v>0</v>
      </c>
      <c r="H134" s="14">
        <f t="shared" si="2"/>
        <v>0</v>
      </c>
      <c r="I134" s="6">
        <v>2.15</v>
      </c>
      <c r="J134" s="12"/>
    </row>
    <row r="135" spans="1:10" x14ac:dyDescent="0.3">
      <c r="A135" s="15">
        <v>134</v>
      </c>
      <c r="B135" s="16" t="s">
        <v>158</v>
      </c>
      <c r="C135" s="17">
        <v>46040</v>
      </c>
      <c r="D135" s="17">
        <v>46041</v>
      </c>
      <c r="E135" s="15" t="s">
        <v>25</v>
      </c>
      <c r="F135" s="18">
        <v>0</v>
      </c>
      <c r="G135" s="18">
        <v>0</v>
      </c>
      <c r="H135" s="18">
        <f t="shared" si="2"/>
        <v>0</v>
      </c>
      <c r="I135" s="10">
        <v>1.1599999999999999</v>
      </c>
      <c r="J135" s="16"/>
    </row>
    <row r="136" spans="1:10" x14ac:dyDescent="0.3">
      <c r="A136" s="11">
        <v>135</v>
      </c>
      <c r="B136" s="12" t="s">
        <v>159</v>
      </c>
      <c r="C136" s="13">
        <v>46040</v>
      </c>
      <c r="D136" s="13">
        <v>46041</v>
      </c>
      <c r="E136" s="11" t="s">
        <v>25</v>
      </c>
      <c r="F136" s="14">
        <v>0</v>
      </c>
      <c r="G136" s="14">
        <v>0</v>
      </c>
      <c r="H136" s="14">
        <f t="shared" si="2"/>
        <v>0</v>
      </c>
      <c r="I136" s="6">
        <v>1.1399999999999999</v>
      </c>
      <c r="J136" s="12"/>
    </row>
    <row r="137" spans="1:10" x14ac:dyDescent="0.3">
      <c r="A137" s="15">
        <v>136</v>
      </c>
      <c r="B137" s="16" t="s">
        <v>160</v>
      </c>
      <c r="C137" s="17">
        <v>46041</v>
      </c>
      <c r="D137" s="17">
        <v>46050</v>
      </c>
      <c r="E137" s="15" t="s">
        <v>25</v>
      </c>
      <c r="F137" s="18">
        <v>0</v>
      </c>
      <c r="G137" s="18">
        <v>0</v>
      </c>
      <c r="H137" s="18">
        <f t="shared" si="2"/>
        <v>0</v>
      </c>
      <c r="I137" s="10">
        <v>9.2899999999999991</v>
      </c>
      <c r="J137" s="16"/>
    </row>
    <row r="138" spans="1:10" x14ac:dyDescent="0.3">
      <c r="A138" s="11">
        <v>137</v>
      </c>
      <c r="B138" s="12" t="s">
        <v>161</v>
      </c>
      <c r="C138" s="13">
        <v>46041</v>
      </c>
      <c r="D138" s="13">
        <v>46050</v>
      </c>
      <c r="E138" s="11" t="s">
        <v>25</v>
      </c>
      <c r="F138" s="14">
        <v>0</v>
      </c>
      <c r="G138" s="14">
        <v>0</v>
      </c>
      <c r="H138" s="14">
        <f t="shared" si="2"/>
        <v>0</v>
      </c>
      <c r="I138" s="6">
        <v>9.2899999999999991</v>
      </c>
      <c r="J138" s="12"/>
    </row>
    <row r="139" spans="1:10" x14ac:dyDescent="0.3">
      <c r="A139" s="15">
        <v>138</v>
      </c>
      <c r="B139" s="16" t="s">
        <v>162</v>
      </c>
      <c r="C139" s="17">
        <v>46041</v>
      </c>
      <c r="D139" s="17">
        <v>46044</v>
      </c>
      <c r="E139" s="15" t="s">
        <v>25</v>
      </c>
      <c r="F139" s="18">
        <v>0</v>
      </c>
      <c r="G139" s="18">
        <v>0</v>
      </c>
      <c r="H139" s="18">
        <f t="shared" si="2"/>
        <v>0</v>
      </c>
      <c r="I139" s="10">
        <v>3.2</v>
      </c>
      <c r="J139" s="16"/>
    </row>
    <row r="140" spans="1:10" x14ac:dyDescent="0.3">
      <c r="A140" s="11">
        <v>139</v>
      </c>
      <c r="B140" s="12" t="s">
        <v>163</v>
      </c>
      <c r="C140" s="13">
        <v>46041</v>
      </c>
      <c r="D140" s="13">
        <v>46044</v>
      </c>
      <c r="E140" s="11" t="s">
        <v>25</v>
      </c>
      <c r="F140" s="14">
        <v>0</v>
      </c>
      <c r="G140" s="14">
        <v>0</v>
      </c>
      <c r="H140" s="14">
        <f t="shared" si="2"/>
        <v>0</v>
      </c>
      <c r="I140" s="6">
        <v>3.19</v>
      </c>
      <c r="J140" s="12"/>
    </row>
    <row r="141" spans="1:10" x14ac:dyDescent="0.3">
      <c r="A141" s="15">
        <v>140</v>
      </c>
      <c r="B141" s="16" t="s">
        <v>164</v>
      </c>
      <c r="C141" s="17">
        <v>46041</v>
      </c>
      <c r="D141" s="17">
        <v>46044</v>
      </c>
      <c r="E141" s="15" t="s">
        <v>25</v>
      </c>
      <c r="F141" s="18">
        <v>0</v>
      </c>
      <c r="G141" s="18">
        <v>0</v>
      </c>
      <c r="H141" s="18">
        <f t="shared" si="2"/>
        <v>0</v>
      </c>
      <c r="I141" s="10">
        <v>3.19</v>
      </c>
      <c r="J141" s="16"/>
    </row>
    <row r="142" spans="1:10" x14ac:dyDescent="0.3">
      <c r="A142" s="11">
        <v>141</v>
      </c>
      <c r="B142" s="12" t="s">
        <v>165</v>
      </c>
      <c r="C142" s="13">
        <v>46041</v>
      </c>
      <c r="D142" s="13">
        <v>46044</v>
      </c>
      <c r="E142" s="11" t="s">
        <v>25</v>
      </c>
      <c r="F142" s="14">
        <v>0</v>
      </c>
      <c r="G142" s="14">
        <v>0</v>
      </c>
      <c r="H142" s="14">
        <f t="shared" si="2"/>
        <v>0</v>
      </c>
      <c r="I142" s="6">
        <v>3.19</v>
      </c>
      <c r="J142" s="12"/>
    </row>
    <row r="143" spans="1:10" x14ac:dyDescent="0.3">
      <c r="A143" s="15">
        <v>142</v>
      </c>
      <c r="B143" s="16" t="s">
        <v>166</v>
      </c>
      <c r="C143" s="17">
        <v>46041</v>
      </c>
      <c r="D143" s="17">
        <v>46041</v>
      </c>
      <c r="E143" s="15" t="s">
        <v>25</v>
      </c>
      <c r="F143" s="18">
        <v>0</v>
      </c>
      <c r="G143" s="18">
        <v>0</v>
      </c>
      <c r="H143" s="18">
        <f t="shared" si="2"/>
        <v>0</v>
      </c>
      <c r="I143" s="10">
        <v>0.33</v>
      </c>
      <c r="J143" s="16"/>
    </row>
    <row r="144" spans="1:10" x14ac:dyDescent="0.3">
      <c r="A144" s="11">
        <v>143</v>
      </c>
      <c r="B144" s="12" t="s">
        <v>167</v>
      </c>
      <c r="C144" s="13">
        <v>46041</v>
      </c>
      <c r="D144" s="13">
        <v>46041</v>
      </c>
      <c r="E144" s="11" t="s">
        <v>25</v>
      </c>
      <c r="F144" s="14">
        <v>0</v>
      </c>
      <c r="G144" s="14">
        <v>0</v>
      </c>
      <c r="H144" s="14">
        <f t="shared" si="2"/>
        <v>0</v>
      </c>
      <c r="I144" s="6">
        <v>0.32</v>
      </c>
      <c r="J144" s="12"/>
    </row>
    <row r="145" spans="1:10" x14ac:dyDescent="0.3">
      <c r="A145" s="15">
        <v>144</v>
      </c>
      <c r="B145" s="16" t="s">
        <v>168</v>
      </c>
      <c r="C145" s="17">
        <v>46041</v>
      </c>
      <c r="D145" s="17">
        <v>46041</v>
      </c>
      <c r="E145" s="15" t="s">
        <v>25</v>
      </c>
      <c r="F145" s="18">
        <v>0</v>
      </c>
      <c r="G145" s="18">
        <v>0</v>
      </c>
      <c r="H145" s="18">
        <f t="shared" si="2"/>
        <v>0</v>
      </c>
      <c r="I145" s="10">
        <v>0.32</v>
      </c>
      <c r="J145" s="16"/>
    </row>
    <row r="146" spans="1:10" x14ac:dyDescent="0.3">
      <c r="A146" s="11">
        <v>145</v>
      </c>
      <c r="B146" s="12" t="s">
        <v>169</v>
      </c>
      <c r="C146" s="13">
        <v>46041</v>
      </c>
      <c r="D146" s="13">
        <v>46042</v>
      </c>
      <c r="E146" s="11" t="s">
        <v>25</v>
      </c>
      <c r="F146" s="14">
        <v>0</v>
      </c>
      <c r="G146" s="14">
        <v>0</v>
      </c>
      <c r="H146" s="14">
        <f t="shared" si="2"/>
        <v>0</v>
      </c>
      <c r="I146" s="6">
        <v>1</v>
      </c>
      <c r="J146" s="12"/>
    </row>
    <row r="147" spans="1:10" x14ac:dyDescent="0.3">
      <c r="A147" s="15">
        <v>146</v>
      </c>
      <c r="B147" s="16" t="s">
        <v>170</v>
      </c>
      <c r="C147" s="17">
        <v>46041</v>
      </c>
      <c r="D147" s="17">
        <v>46044</v>
      </c>
      <c r="E147" s="15" t="s">
        <v>25</v>
      </c>
      <c r="F147" s="18">
        <v>0</v>
      </c>
      <c r="G147" s="18">
        <v>0</v>
      </c>
      <c r="H147" s="18">
        <f t="shared" si="2"/>
        <v>0</v>
      </c>
      <c r="I147" s="10">
        <v>3.16</v>
      </c>
      <c r="J147" s="16"/>
    </row>
    <row r="148" spans="1:10" x14ac:dyDescent="0.3">
      <c r="A148" s="11">
        <v>147</v>
      </c>
      <c r="B148" s="12" t="s">
        <v>171</v>
      </c>
      <c r="C148" s="13">
        <v>46041</v>
      </c>
      <c r="D148" s="13">
        <v>46048</v>
      </c>
      <c r="E148" s="11" t="s">
        <v>25</v>
      </c>
      <c r="F148" s="14">
        <v>0</v>
      </c>
      <c r="G148" s="14">
        <v>0</v>
      </c>
      <c r="H148" s="14">
        <f t="shared" si="2"/>
        <v>0</v>
      </c>
      <c r="I148" s="6">
        <v>7.08</v>
      </c>
      <c r="J148" s="12"/>
    </row>
    <row r="149" spans="1:10" x14ac:dyDescent="0.3">
      <c r="A149" s="15">
        <v>148</v>
      </c>
      <c r="B149" s="16" t="s">
        <v>172</v>
      </c>
      <c r="C149" s="17">
        <v>46041</v>
      </c>
      <c r="D149" s="17">
        <v>46044</v>
      </c>
      <c r="E149" s="15" t="s">
        <v>25</v>
      </c>
      <c r="F149" s="18">
        <v>0</v>
      </c>
      <c r="G149" s="18">
        <v>0</v>
      </c>
      <c r="H149" s="18">
        <f t="shared" si="2"/>
        <v>0</v>
      </c>
      <c r="I149" s="10">
        <v>3.02</v>
      </c>
      <c r="J149" s="16"/>
    </row>
    <row r="150" spans="1:10" x14ac:dyDescent="0.3">
      <c r="A150" s="11">
        <v>149</v>
      </c>
      <c r="B150" s="12" t="s">
        <v>173</v>
      </c>
      <c r="C150" s="13">
        <v>46041</v>
      </c>
      <c r="D150" s="13">
        <v>46044</v>
      </c>
      <c r="E150" s="11" t="s">
        <v>25</v>
      </c>
      <c r="F150" s="14">
        <v>0</v>
      </c>
      <c r="G150" s="14">
        <v>0</v>
      </c>
      <c r="H150" s="14">
        <f t="shared" si="2"/>
        <v>0</v>
      </c>
      <c r="I150" s="6">
        <v>3.02</v>
      </c>
      <c r="J150" s="12"/>
    </row>
    <row r="151" spans="1:10" x14ac:dyDescent="0.3">
      <c r="A151" s="15">
        <v>150</v>
      </c>
      <c r="B151" s="16" t="s">
        <v>174</v>
      </c>
      <c r="C151" s="17">
        <v>46041</v>
      </c>
      <c r="D151" s="17">
        <v>46045</v>
      </c>
      <c r="E151" s="15" t="s">
        <v>25</v>
      </c>
      <c r="F151" s="18">
        <v>0</v>
      </c>
      <c r="G151" s="18">
        <v>0</v>
      </c>
      <c r="H151" s="18">
        <f t="shared" si="2"/>
        <v>0</v>
      </c>
      <c r="I151" s="10">
        <v>4.2</v>
      </c>
      <c r="J151" s="16"/>
    </row>
    <row r="152" spans="1:10" x14ac:dyDescent="0.3">
      <c r="A152" s="11">
        <v>151</v>
      </c>
      <c r="B152" s="12" t="s">
        <v>175</v>
      </c>
      <c r="C152" s="13">
        <v>46041</v>
      </c>
      <c r="D152" s="13">
        <v>46041</v>
      </c>
      <c r="E152" s="11" t="s">
        <v>25</v>
      </c>
      <c r="F152" s="14">
        <v>0</v>
      </c>
      <c r="G152" s="14">
        <v>0</v>
      </c>
      <c r="H152" s="14">
        <f t="shared" si="2"/>
        <v>0</v>
      </c>
      <c r="I152" s="6">
        <v>0.21</v>
      </c>
      <c r="J152" s="12"/>
    </row>
    <row r="153" spans="1:10" x14ac:dyDescent="0.3">
      <c r="A153" s="15">
        <v>152</v>
      </c>
      <c r="B153" s="16" t="s">
        <v>176</v>
      </c>
      <c r="C153" s="17">
        <v>46041</v>
      </c>
      <c r="D153" s="17">
        <v>46041</v>
      </c>
      <c r="E153" s="15" t="s">
        <v>25</v>
      </c>
      <c r="F153" s="18">
        <v>0</v>
      </c>
      <c r="G153" s="18">
        <v>0</v>
      </c>
      <c r="H153" s="18">
        <f t="shared" si="2"/>
        <v>0</v>
      </c>
      <c r="I153" s="10">
        <v>0.14000000000000001</v>
      </c>
      <c r="J153" s="16"/>
    </row>
    <row r="154" spans="1:10" x14ac:dyDescent="0.3">
      <c r="A154" s="11">
        <v>153</v>
      </c>
      <c r="B154" s="12" t="s">
        <v>177</v>
      </c>
      <c r="C154" s="13">
        <v>46041</v>
      </c>
      <c r="D154" s="13">
        <v>46041</v>
      </c>
      <c r="E154" s="11" t="s">
        <v>25</v>
      </c>
      <c r="F154" s="14">
        <v>0</v>
      </c>
      <c r="G154" s="14">
        <v>0</v>
      </c>
      <c r="H154" s="14">
        <f t="shared" si="2"/>
        <v>0</v>
      </c>
      <c r="I154" s="6">
        <v>0.1</v>
      </c>
      <c r="J154" s="12"/>
    </row>
    <row r="155" spans="1:10" x14ac:dyDescent="0.3">
      <c r="A155" s="15">
        <v>154</v>
      </c>
      <c r="B155" s="16" t="s">
        <v>178</v>
      </c>
      <c r="C155" s="17">
        <v>46041</v>
      </c>
      <c r="D155" s="17">
        <v>46041</v>
      </c>
      <c r="E155" s="15" t="s">
        <v>25</v>
      </c>
      <c r="F155" s="18">
        <v>0</v>
      </c>
      <c r="G155" s="18">
        <v>0</v>
      </c>
      <c r="H155" s="18">
        <f t="shared" si="2"/>
        <v>0</v>
      </c>
      <c r="I155" s="10">
        <v>0.09</v>
      </c>
      <c r="J155" s="16"/>
    </row>
    <row r="156" spans="1:10" x14ac:dyDescent="0.3">
      <c r="A156" s="11">
        <v>155</v>
      </c>
      <c r="B156" s="12" t="s">
        <v>179</v>
      </c>
      <c r="C156" s="13">
        <v>46041</v>
      </c>
      <c r="D156" s="13">
        <v>46041</v>
      </c>
      <c r="E156" s="11" t="s">
        <v>25</v>
      </c>
      <c r="F156" s="14">
        <v>0</v>
      </c>
      <c r="G156" s="14">
        <v>0</v>
      </c>
      <c r="H156" s="14">
        <f t="shared" si="2"/>
        <v>0</v>
      </c>
      <c r="I156" s="6">
        <v>0.02</v>
      </c>
      <c r="J156" s="12"/>
    </row>
    <row r="157" spans="1:10" x14ac:dyDescent="0.3">
      <c r="A157" s="15">
        <v>156</v>
      </c>
      <c r="B157" s="16" t="s">
        <v>180</v>
      </c>
      <c r="C157" s="17">
        <v>46041</v>
      </c>
      <c r="D157" s="17">
        <v>46041</v>
      </c>
      <c r="E157" s="15" t="s">
        <v>25</v>
      </c>
      <c r="F157" s="18">
        <v>0</v>
      </c>
      <c r="G157" s="18">
        <v>0</v>
      </c>
      <c r="H157" s="18">
        <f t="shared" si="2"/>
        <v>0</v>
      </c>
      <c r="I157" s="10">
        <v>0.04</v>
      </c>
      <c r="J157" s="16"/>
    </row>
    <row r="158" spans="1:10" x14ac:dyDescent="0.3">
      <c r="A158" s="11">
        <v>157</v>
      </c>
      <c r="B158" s="12" t="s">
        <v>181</v>
      </c>
      <c r="C158" s="13">
        <v>46041</v>
      </c>
      <c r="D158" s="13">
        <v>46041</v>
      </c>
      <c r="E158" s="11" t="s">
        <v>25</v>
      </c>
      <c r="F158" s="14">
        <v>0</v>
      </c>
      <c r="G158" s="14">
        <v>0</v>
      </c>
      <c r="H158" s="14">
        <f t="shared" si="2"/>
        <v>0</v>
      </c>
      <c r="I158" s="6">
        <v>0.04</v>
      </c>
      <c r="J158" s="12"/>
    </row>
    <row r="159" spans="1:10" x14ac:dyDescent="0.3">
      <c r="A159" s="15">
        <v>158</v>
      </c>
      <c r="B159" s="16" t="s">
        <v>182</v>
      </c>
      <c r="C159" s="17">
        <v>46041</v>
      </c>
      <c r="D159" s="17">
        <v>46041</v>
      </c>
      <c r="E159" s="15" t="s">
        <v>25</v>
      </c>
      <c r="F159" s="18">
        <v>0</v>
      </c>
      <c r="G159" s="18">
        <v>0</v>
      </c>
      <c r="H159" s="18">
        <f t="shared" si="2"/>
        <v>0</v>
      </c>
      <c r="I159" s="10">
        <v>0.03</v>
      </c>
      <c r="J159" s="16"/>
    </row>
    <row r="160" spans="1:10" x14ac:dyDescent="0.3">
      <c r="A160" s="11">
        <v>159</v>
      </c>
      <c r="B160" s="12" t="s">
        <v>183</v>
      </c>
      <c r="C160" s="13">
        <v>46041</v>
      </c>
      <c r="D160" s="13">
        <v>46042</v>
      </c>
      <c r="E160" s="11" t="s">
        <v>25</v>
      </c>
      <c r="F160" s="14">
        <v>0</v>
      </c>
      <c r="G160" s="14">
        <v>0</v>
      </c>
      <c r="H160" s="14">
        <f t="shared" si="2"/>
        <v>0</v>
      </c>
      <c r="I160" s="6">
        <v>1.1499999999999999</v>
      </c>
      <c r="J160" s="12"/>
    </row>
    <row r="161" spans="1:10" x14ac:dyDescent="0.3">
      <c r="A161" s="15">
        <v>160</v>
      </c>
      <c r="B161" s="16" t="s">
        <v>184</v>
      </c>
      <c r="C161" s="17">
        <v>46042</v>
      </c>
      <c r="D161" s="17">
        <v>46042</v>
      </c>
      <c r="E161" s="15" t="s">
        <v>25</v>
      </c>
      <c r="F161" s="18">
        <v>0</v>
      </c>
      <c r="G161" s="18">
        <v>0</v>
      </c>
      <c r="H161" s="18">
        <f t="shared" si="2"/>
        <v>0</v>
      </c>
      <c r="I161" s="10">
        <v>0.37</v>
      </c>
      <c r="J161" s="16"/>
    </row>
    <row r="162" spans="1:10" x14ac:dyDescent="0.3">
      <c r="A162" s="11">
        <v>161</v>
      </c>
      <c r="B162" s="12" t="s">
        <v>185</v>
      </c>
      <c r="C162" s="13">
        <v>46042</v>
      </c>
      <c r="D162" s="13">
        <v>46042</v>
      </c>
      <c r="E162" s="11" t="s">
        <v>25</v>
      </c>
      <c r="F162" s="14">
        <v>0</v>
      </c>
      <c r="G162" s="14">
        <v>0</v>
      </c>
      <c r="H162" s="14">
        <f t="shared" si="2"/>
        <v>0</v>
      </c>
      <c r="I162" s="6">
        <v>0.09</v>
      </c>
      <c r="J162" s="12"/>
    </row>
    <row r="163" spans="1:10" x14ac:dyDescent="0.3">
      <c r="A163" s="15">
        <v>162</v>
      </c>
      <c r="B163" s="16" t="s">
        <v>186</v>
      </c>
      <c r="C163" s="17">
        <v>46042</v>
      </c>
      <c r="D163" s="17">
        <v>46042</v>
      </c>
      <c r="E163" s="15" t="s">
        <v>25</v>
      </c>
      <c r="F163" s="18">
        <v>0</v>
      </c>
      <c r="G163" s="18">
        <v>0</v>
      </c>
      <c r="H163" s="18">
        <f t="shared" si="2"/>
        <v>0</v>
      </c>
      <c r="I163" s="10">
        <v>0.3</v>
      </c>
      <c r="J163" s="16"/>
    </row>
    <row r="164" spans="1:10" x14ac:dyDescent="0.3">
      <c r="A164" s="11">
        <v>163</v>
      </c>
      <c r="B164" s="12" t="s">
        <v>187</v>
      </c>
      <c r="C164" s="13">
        <v>46042</v>
      </c>
      <c r="D164" s="13">
        <v>46042</v>
      </c>
      <c r="E164" s="11" t="s">
        <v>25</v>
      </c>
      <c r="F164" s="14">
        <v>0</v>
      </c>
      <c r="G164" s="14">
        <v>0</v>
      </c>
      <c r="H164" s="14">
        <f t="shared" si="2"/>
        <v>0</v>
      </c>
      <c r="I164" s="6">
        <v>0.28999999999999998</v>
      </c>
      <c r="J164" s="12"/>
    </row>
    <row r="165" spans="1:10" x14ac:dyDescent="0.3">
      <c r="A165" s="15">
        <v>164</v>
      </c>
      <c r="B165" s="16" t="s">
        <v>188</v>
      </c>
      <c r="C165" s="17">
        <v>46042</v>
      </c>
      <c r="D165" s="17">
        <v>46044</v>
      </c>
      <c r="E165" s="15" t="s">
        <v>25</v>
      </c>
      <c r="F165" s="18">
        <v>0</v>
      </c>
      <c r="G165" s="18">
        <v>0</v>
      </c>
      <c r="H165" s="18">
        <f t="shared" si="2"/>
        <v>0</v>
      </c>
      <c r="I165" s="10">
        <v>1.82</v>
      </c>
      <c r="J165" s="16"/>
    </row>
    <row r="166" spans="1:10" x14ac:dyDescent="0.3">
      <c r="A166" s="11">
        <v>165</v>
      </c>
      <c r="B166" s="12" t="s">
        <v>189</v>
      </c>
      <c r="C166" s="13">
        <v>46042</v>
      </c>
      <c r="D166" s="13">
        <v>46044</v>
      </c>
      <c r="E166" s="11" t="s">
        <v>25</v>
      </c>
      <c r="F166" s="14">
        <v>0</v>
      </c>
      <c r="G166" s="14">
        <v>0</v>
      </c>
      <c r="H166" s="14">
        <f t="shared" si="2"/>
        <v>0</v>
      </c>
      <c r="I166" s="6">
        <v>1.85</v>
      </c>
      <c r="J166" s="12"/>
    </row>
    <row r="167" spans="1:10" x14ac:dyDescent="0.3">
      <c r="A167" s="15">
        <v>166</v>
      </c>
      <c r="B167" s="16" t="s">
        <v>190</v>
      </c>
      <c r="C167" s="17">
        <v>46042</v>
      </c>
      <c r="D167" s="17">
        <v>46044</v>
      </c>
      <c r="E167" s="15" t="s">
        <v>25</v>
      </c>
      <c r="F167" s="18">
        <v>0</v>
      </c>
      <c r="G167" s="18">
        <v>0</v>
      </c>
      <c r="H167" s="18">
        <f t="shared" si="2"/>
        <v>0</v>
      </c>
      <c r="I167" s="10">
        <v>1.85</v>
      </c>
      <c r="J167" s="16"/>
    </row>
    <row r="168" spans="1:10" x14ac:dyDescent="0.3">
      <c r="A168" s="11">
        <v>167</v>
      </c>
      <c r="B168" s="12" t="s">
        <v>191</v>
      </c>
      <c r="C168" s="13">
        <v>46042</v>
      </c>
      <c r="D168" s="13">
        <v>46044</v>
      </c>
      <c r="E168" s="11" t="s">
        <v>25</v>
      </c>
      <c r="F168" s="14">
        <v>0</v>
      </c>
      <c r="G168" s="14">
        <v>0</v>
      </c>
      <c r="H168" s="14">
        <f t="shared" si="2"/>
        <v>0</v>
      </c>
      <c r="I168" s="6">
        <v>1.82</v>
      </c>
      <c r="J168" s="12"/>
    </row>
    <row r="169" spans="1:10" x14ac:dyDescent="0.3">
      <c r="A169" s="15">
        <v>168</v>
      </c>
      <c r="B169" s="16" t="s">
        <v>192</v>
      </c>
      <c r="C169" s="17">
        <v>46042</v>
      </c>
      <c r="D169" s="17">
        <v>46042</v>
      </c>
      <c r="E169" s="15" t="s">
        <v>25</v>
      </c>
      <c r="F169" s="18">
        <v>0</v>
      </c>
      <c r="G169" s="18">
        <v>0</v>
      </c>
      <c r="H169" s="18">
        <f t="shared" si="2"/>
        <v>0</v>
      </c>
      <c r="I169" s="10">
        <v>0.18</v>
      </c>
      <c r="J169" s="16"/>
    </row>
    <row r="170" spans="1:10" x14ac:dyDescent="0.3">
      <c r="A170" s="11">
        <v>169</v>
      </c>
      <c r="B170" s="12" t="s">
        <v>193</v>
      </c>
      <c r="C170" s="13">
        <v>46042</v>
      </c>
      <c r="D170" s="13">
        <v>46042</v>
      </c>
      <c r="E170" s="11" t="s">
        <v>25</v>
      </c>
      <c r="F170" s="14">
        <v>0</v>
      </c>
      <c r="G170" s="14">
        <v>0</v>
      </c>
      <c r="H170" s="14">
        <f t="shared" si="2"/>
        <v>0</v>
      </c>
      <c r="I170" s="6">
        <v>0.14000000000000001</v>
      </c>
      <c r="J170" s="12"/>
    </row>
    <row r="171" spans="1:10" x14ac:dyDescent="0.3">
      <c r="A171" s="15">
        <v>170</v>
      </c>
      <c r="B171" s="16" t="s">
        <v>194</v>
      </c>
      <c r="C171" s="17">
        <v>46042</v>
      </c>
      <c r="D171" s="17">
        <v>46043</v>
      </c>
      <c r="E171" s="15" t="s">
        <v>25</v>
      </c>
      <c r="F171" s="18">
        <v>0</v>
      </c>
      <c r="G171" s="18">
        <v>0</v>
      </c>
      <c r="H171" s="18">
        <f t="shared" si="2"/>
        <v>0</v>
      </c>
      <c r="I171" s="10">
        <v>0.78</v>
      </c>
      <c r="J171" s="16"/>
    </row>
    <row r="172" spans="1:10" x14ac:dyDescent="0.3">
      <c r="A172" s="11">
        <v>171</v>
      </c>
      <c r="B172" s="12" t="s">
        <v>195</v>
      </c>
      <c r="C172" s="13">
        <v>46043</v>
      </c>
      <c r="D172" s="13">
        <v>46044</v>
      </c>
      <c r="E172" s="11" t="s">
        <v>25</v>
      </c>
      <c r="F172" s="14">
        <v>0</v>
      </c>
      <c r="G172" s="14">
        <v>0</v>
      </c>
      <c r="H172" s="14">
        <f t="shared" si="2"/>
        <v>0</v>
      </c>
      <c r="I172" s="6">
        <v>1.02</v>
      </c>
      <c r="J172" s="12"/>
    </row>
    <row r="173" spans="1:10" x14ac:dyDescent="0.3">
      <c r="A173" s="15">
        <v>172</v>
      </c>
      <c r="B173" s="16" t="s">
        <v>196</v>
      </c>
      <c r="C173" s="17">
        <v>46043</v>
      </c>
      <c r="D173" s="17">
        <v>46044</v>
      </c>
      <c r="E173" s="15" t="s">
        <v>25</v>
      </c>
      <c r="F173" s="18">
        <v>0</v>
      </c>
      <c r="G173" s="18">
        <v>0</v>
      </c>
      <c r="H173" s="18">
        <f t="shared" si="2"/>
        <v>0</v>
      </c>
      <c r="I173" s="10">
        <v>0.97</v>
      </c>
      <c r="J173" s="16"/>
    </row>
    <row r="174" spans="1:10" x14ac:dyDescent="0.3">
      <c r="A174" s="11">
        <v>173</v>
      </c>
      <c r="B174" s="12" t="s">
        <v>197</v>
      </c>
      <c r="C174" s="13">
        <v>46043</v>
      </c>
      <c r="D174" s="13">
        <v>46044</v>
      </c>
      <c r="E174" s="11" t="s">
        <v>25</v>
      </c>
      <c r="F174" s="14">
        <v>0</v>
      </c>
      <c r="G174" s="14">
        <v>0</v>
      </c>
      <c r="H174" s="14">
        <f t="shared" si="2"/>
        <v>0</v>
      </c>
      <c r="I174" s="6">
        <v>0.85</v>
      </c>
      <c r="J174" s="12"/>
    </row>
    <row r="175" spans="1:10" x14ac:dyDescent="0.3">
      <c r="A175" s="15">
        <v>174</v>
      </c>
      <c r="B175" s="16" t="s">
        <v>198</v>
      </c>
      <c r="C175" s="17">
        <v>46043</v>
      </c>
      <c r="D175" s="17">
        <v>46044</v>
      </c>
      <c r="E175" s="15" t="s">
        <v>25</v>
      </c>
      <c r="F175" s="18">
        <v>0</v>
      </c>
      <c r="G175" s="18">
        <v>0</v>
      </c>
      <c r="H175" s="18">
        <f t="shared" si="2"/>
        <v>0</v>
      </c>
      <c r="I175" s="10">
        <v>0.84</v>
      </c>
      <c r="J175" s="16"/>
    </row>
    <row r="176" spans="1:10" x14ac:dyDescent="0.3">
      <c r="A176" s="11">
        <v>175</v>
      </c>
      <c r="B176" s="12" t="s">
        <v>199</v>
      </c>
      <c r="C176" s="13">
        <v>46043</v>
      </c>
      <c r="D176" s="13">
        <v>46044</v>
      </c>
      <c r="E176" s="11" t="s">
        <v>25</v>
      </c>
      <c r="F176" s="14">
        <v>0</v>
      </c>
      <c r="G176" s="14">
        <v>0</v>
      </c>
      <c r="H176" s="14">
        <f t="shared" si="2"/>
        <v>0</v>
      </c>
      <c r="I176" s="6">
        <v>0.81</v>
      </c>
      <c r="J176" s="12"/>
    </row>
    <row r="177" spans="1:10" x14ac:dyDescent="0.3">
      <c r="A177" s="15">
        <v>176</v>
      </c>
      <c r="B177" s="16" t="s">
        <v>200</v>
      </c>
      <c r="C177" s="17">
        <v>46043</v>
      </c>
      <c r="D177" s="17">
        <v>46044</v>
      </c>
      <c r="E177" s="15" t="s">
        <v>25</v>
      </c>
      <c r="F177" s="18">
        <v>0</v>
      </c>
      <c r="G177" s="18">
        <v>0</v>
      </c>
      <c r="H177" s="18">
        <f t="shared" si="2"/>
        <v>0</v>
      </c>
      <c r="I177" s="10">
        <v>0.73</v>
      </c>
      <c r="J177" s="16"/>
    </row>
    <row r="178" spans="1:10" x14ac:dyDescent="0.3">
      <c r="A178" s="11">
        <v>177</v>
      </c>
      <c r="B178" s="12" t="s">
        <v>201</v>
      </c>
      <c r="C178" s="13">
        <v>46043</v>
      </c>
      <c r="D178" s="13">
        <v>46044</v>
      </c>
      <c r="E178" s="11" t="s">
        <v>25</v>
      </c>
      <c r="F178" s="14">
        <v>0</v>
      </c>
      <c r="G178" s="14">
        <v>0</v>
      </c>
      <c r="H178" s="14">
        <f t="shared" si="2"/>
        <v>0</v>
      </c>
      <c r="I178" s="6">
        <v>0.65</v>
      </c>
      <c r="J178" s="12"/>
    </row>
    <row r="179" spans="1:10" x14ac:dyDescent="0.3">
      <c r="A179" s="15">
        <v>178</v>
      </c>
      <c r="B179" s="16" t="s">
        <v>202</v>
      </c>
      <c r="C179" s="17">
        <v>46044</v>
      </c>
      <c r="D179" s="17">
        <v>46045</v>
      </c>
      <c r="E179" s="15" t="s">
        <v>25</v>
      </c>
      <c r="F179" s="18">
        <v>0</v>
      </c>
      <c r="G179" s="18">
        <v>0</v>
      </c>
      <c r="H179" s="18">
        <f t="shared" si="2"/>
        <v>0</v>
      </c>
      <c r="I179" s="10">
        <v>1.3</v>
      </c>
      <c r="J179" s="16"/>
    </row>
    <row r="180" spans="1:10" x14ac:dyDescent="0.3">
      <c r="A180" s="11">
        <v>179</v>
      </c>
      <c r="B180" s="12" t="s">
        <v>203</v>
      </c>
      <c r="C180" s="13">
        <v>46044</v>
      </c>
      <c r="D180" s="13">
        <v>46044</v>
      </c>
      <c r="E180" s="11" t="s">
        <v>25</v>
      </c>
      <c r="F180" s="14">
        <v>0</v>
      </c>
      <c r="G180" s="14">
        <v>0</v>
      </c>
      <c r="H180" s="14">
        <f t="shared" si="2"/>
        <v>0</v>
      </c>
      <c r="I180" s="6">
        <v>0.14000000000000001</v>
      </c>
      <c r="J180" s="12"/>
    </row>
    <row r="181" spans="1:10" x14ac:dyDescent="0.3">
      <c r="A181" s="15">
        <v>180</v>
      </c>
      <c r="B181" s="16" t="s">
        <v>204</v>
      </c>
      <c r="C181" s="17">
        <v>46044</v>
      </c>
      <c r="D181" s="17">
        <v>46044</v>
      </c>
      <c r="E181" s="15" t="s">
        <v>25</v>
      </c>
      <c r="F181" s="18">
        <v>0</v>
      </c>
      <c r="G181" s="18">
        <v>0</v>
      </c>
      <c r="H181" s="18">
        <f t="shared" si="2"/>
        <v>0</v>
      </c>
      <c r="I181" s="10">
        <v>0.14000000000000001</v>
      </c>
      <c r="J181" s="16"/>
    </row>
    <row r="182" spans="1:10" x14ac:dyDescent="0.3">
      <c r="A182" s="11">
        <v>181</v>
      </c>
      <c r="B182" s="12" t="s">
        <v>205</v>
      </c>
      <c r="C182" s="13">
        <v>46044</v>
      </c>
      <c r="D182" s="13">
        <v>46044</v>
      </c>
      <c r="E182" s="11" t="s">
        <v>25</v>
      </c>
      <c r="F182" s="14">
        <v>0</v>
      </c>
      <c r="G182" s="14">
        <v>0</v>
      </c>
      <c r="H182" s="14">
        <f t="shared" si="2"/>
        <v>0</v>
      </c>
      <c r="I182" s="6">
        <v>0.11</v>
      </c>
      <c r="J182" s="12"/>
    </row>
    <row r="183" spans="1:10" x14ac:dyDescent="0.3">
      <c r="A183" s="15">
        <v>182</v>
      </c>
      <c r="B183" s="16" t="s">
        <v>206</v>
      </c>
      <c r="C183" s="17">
        <v>46044</v>
      </c>
      <c r="D183" s="17">
        <v>46045</v>
      </c>
      <c r="E183" s="15" t="s">
        <v>25</v>
      </c>
      <c r="F183" s="18">
        <v>0</v>
      </c>
      <c r="G183" s="18">
        <v>0</v>
      </c>
      <c r="H183" s="18">
        <f t="shared" si="2"/>
        <v>0</v>
      </c>
      <c r="I183" s="10">
        <v>0.71</v>
      </c>
      <c r="J183" s="16"/>
    </row>
    <row r="184" spans="1:10" x14ac:dyDescent="0.3">
      <c r="A184" s="11">
        <v>183</v>
      </c>
      <c r="B184" s="12" t="s">
        <v>207</v>
      </c>
      <c r="C184" s="13">
        <v>46044</v>
      </c>
      <c r="D184" s="13">
        <v>46045</v>
      </c>
      <c r="E184" s="11" t="s">
        <v>25</v>
      </c>
      <c r="F184" s="14">
        <v>0</v>
      </c>
      <c r="G184" s="14">
        <v>0</v>
      </c>
      <c r="H184" s="14">
        <f t="shared" si="2"/>
        <v>0</v>
      </c>
      <c r="I184" s="6">
        <v>0.71</v>
      </c>
      <c r="J184" s="12"/>
    </row>
    <row r="185" spans="1:10" x14ac:dyDescent="0.3">
      <c r="A185" s="15">
        <v>184</v>
      </c>
      <c r="B185" s="16" t="s">
        <v>208</v>
      </c>
      <c r="C185" s="17">
        <v>46045</v>
      </c>
      <c r="D185" s="17">
        <v>46045</v>
      </c>
      <c r="E185" s="15" t="s">
        <v>25</v>
      </c>
      <c r="F185" s="18">
        <v>0</v>
      </c>
      <c r="G185" s="18">
        <v>0</v>
      </c>
      <c r="H185" s="18">
        <f t="shared" si="2"/>
        <v>0</v>
      </c>
      <c r="I185" s="10">
        <v>0.25</v>
      </c>
      <c r="J185" s="16"/>
    </row>
    <row r="186" spans="1:10" x14ac:dyDescent="0.3">
      <c r="A186" s="11">
        <v>185</v>
      </c>
      <c r="B186" s="12" t="s">
        <v>209</v>
      </c>
      <c r="C186" s="13">
        <v>46045</v>
      </c>
      <c r="D186" s="13">
        <v>46045</v>
      </c>
      <c r="E186" s="11" t="s">
        <v>25</v>
      </c>
      <c r="F186" s="14">
        <v>0</v>
      </c>
      <c r="G186" s="14">
        <v>0</v>
      </c>
      <c r="H186" s="14">
        <f t="shared" si="2"/>
        <v>0</v>
      </c>
      <c r="I186" s="6">
        <v>0.08</v>
      </c>
      <c r="J186" s="12"/>
    </row>
    <row r="187" spans="1:10" x14ac:dyDescent="0.3">
      <c r="A187" s="15">
        <v>186</v>
      </c>
      <c r="B187" s="16" t="s">
        <v>210</v>
      </c>
      <c r="C187" s="17">
        <v>46045</v>
      </c>
      <c r="D187" s="17">
        <v>46045</v>
      </c>
      <c r="E187" s="15" t="s">
        <v>25</v>
      </c>
      <c r="F187" s="18">
        <v>0</v>
      </c>
      <c r="G187" s="18">
        <v>0</v>
      </c>
      <c r="H187" s="18">
        <f t="shared" si="2"/>
        <v>0</v>
      </c>
      <c r="I187" s="10">
        <v>0.09</v>
      </c>
      <c r="J187" s="16"/>
    </row>
    <row r="188" spans="1:10" x14ac:dyDescent="0.3">
      <c r="A188" s="11">
        <v>187</v>
      </c>
      <c r="B188" s="12" t="s">
        <v>211</v>
      </c>
      <c r="C188" s="13">
        <v>46045</v>
      </c>
      <c r="D188" s="13">
        <v>46048</v>
      </c>
      <c r="E188" s="11" t="s">
        <v>25</v>
      </c>
      <c r="F188" s="14">
        <v>0</v>
      </c>
      <c r="G188" s="14">
        <v>0</v>
      </c>
      <c r="H188" s="14">
        <f t="shared" si="2"/>
        <v>0</v>
      </c>
      <c r="I188" s="6">
        <v>2.8</v>
      </c>
      <c r="J188" s="12"/>
    </row>
    <row r="189" spans="1:10" x14ac:dyDescent="0.3">
      <c r="A189" s="15">
        <v>188</v>
      </c>
      <c r="B189" s="16" t="s">
        <v>212</v>
      </c>
      <c r="C189" s="17">
        <v>46046</v>
      </c>
      <c r="D189" s="17">
        <v>46048</v>
      </c>
      <c r="E189" s="15" t="s">
        <v>25</v>
      </c>
      <c r="F189" s="18">
        <v>0</v>
      </c>
      <c r="G189" s="18">
        <v>0</v>
      </c>
      <c r="H189" s="18">
        <f t="shared" si="2"/>
        <v>0</v>
      </c>
      <c r="I189" s="10">
        <v>2.02</v>
      </c>
      <c r="J189" s="16"/>
    </row>
    <row r="190" spans="1:10" x14ac:dyDescent="0.3">
      <c r="A190" s="11">
        <v>189</v>
      </c>
      <c r="B190" s="12" t="s">
        <v>213</v>
      </c>
      <c r="C190" s="13">
        <v>46046</v>
      </c>
      <c r="D190" s="13">
        <v>46049</v>
      </c>
      <c r="E190" s="11" t="s">
        <v>25</v>
      </c>
      <c r="F190" s="14">
        <v>0</v>
      </c>
      <c r="G190" s="14">
        <v>0</v>
      </c>
      <c r="H190" s="14">
        <f t="shared" si="2"/>
        <v>0</v>
      </c>
      <c r="I190" s="6">
        <v>3.27</v>
      </c>
      <c r="J190" s="12"/>
    </row>
    <row r="191" spans="1:10" x14ac:dyDescent="0.3">
      <c r="A191" s="15">
        <v>190</v>
      </c>
      <c r="B191" s="16" t="s">
        <v>214</v>
      </c>
      <c r="C191" s="17">
        <v>46046</v>
      </c>
      <c r="D191" s="17">
        <v>46048</v>
      </c>
      <c r="E191" s="15" t="s">
        <v>25</v>
      </c>
      <c r="F191" s="18">
        <v>0</v>
      </c>
      <c r="G191" s="18">
        <v>0</v>
      </c>
      <c r="H191" s="18">
        <f t="shared" si="2"/>
        <v>0</v>
      </c>
      <c r="I191" s="10">
        <v>2</v>
      </c>
      <c r="J191" s="16"/>
    </row>
    <row r="192" spans="1:10" x14ac:dyDescent="0.3">
      <c r="A192" s="11">
        <v>191</v>
      </c>
      <c r="B192" s="12" t="s">
        <v>215</v>
      </c>
      <c r="C192" s="13">
        <v>46046</v>
      </c>
      <c r="D192" s="13">
        <v>46048</v>
      </c>
      <c r="E192" s="11" t="s">
        <v>25</v>
      </c>
      <c r="F192" s="14">
        <v>0</v>
      </c>
      <c r="G192" s="14">
        <v>0</v>
      </c>
      <c r="H192" s="14">
        <f t="shared" si="2"/>
        <v>0</v>
      </c>
      <c r="I192" s="6">
        <v>2</v>
      </c>
      <c r="J192" s="12"/>
    </row>
    <row r="193" spans="1:10" x14ac:dyDescent="0.3">
      <c r="A193" s="15">
        <v>192</v>
      </c>
      <c r="B193" s="16" t="s">
        <v>216</v>
      </c>
      <c r="C193" s="17">
        <v>46046</v>
      </c>
      <c r="D193" s="17">
        <v>46048</v>
      </c>
      <c r="E193" s="15" t="s">
        <v>25</v>
      </c>
      <c r="F193" s="18">
        <v>0</v>
      </c>
      <c r="G193" s="18">
        <v>0</v>
      </c>
      <c r="H193" s="18">
        <f t="shared" si="2"/>
        <v>0</v>
      </c>
      <c r="I193" s="10">
        <v>2</v>
      </c>
      <c r="J193" s="16"/>
    </row>
    <row r="194" spans="1:10" x14ac:dyDescent="0.3">
      <c r="A194" s="11">
        <v>193</v>
      </c>
      <c r="B194" s="12" t="s">
        <v>217</v>
      </c>
      <c r="C194" s="13">
        <v>46046</v>
      </c>
      <c r="D194" s="13">
        <v>46048</v>
      </c>
      <c r="E194" s="11" t="s">
        <v>25</v>
      </c>
      <c r="F194" s="14">
        <v>0</v>
      </c>
      <c r="G194" s="14">
        <v>0</v>
      </c>
      <c r="H194" s="14">
        <f t="shared" ref="H194:H257" si="3">F194+G194</f>
        <v>0</v>
      </c>
      <c r="I194" s="6">
        <v>1.96</v>
      </c>
      <c r="J194" s="12"/>
    </row>
    <row r="195" spans="1:10" x14ac:dyDescent="0.3">
      <c r="A195" s="15">
        <v>194</v>
      </c>
      <c r="B195" s="16" t="s">
        <v>218</v>
      </c>
      <c r="C195" s="17">
        <v>46046</v>
      </c>
      <c r="D195" s="17">
        <v>46048</v>
      </c>
      <c r="E195" s="15" t="s">
        <v>25</v>
      </c>
      <c r="F195" s="18">
        <v>0</v>
      </c>
      <c r="G195" s="18">
        <v>0</v>
      </c>
      <c r="H195" s="18">
        <f t="shared" si="3"/>
        <v>0</v>
      </c>
      <c r="I195" s="10">
        <v>1.96</v>
      </c>
      <c r="J195" s="16"/>
    </row>
    <row r="196" spans="1:10" x14ac:dyDescent="0.3">
      <c r="A196" s="11">
        <v>195</v>
      </c>
      <c r="B196" s="12" t="s">
        <v>219</v>
      </c>
      <c r="C196" s="13">
        <v>46046</v>
      </c>
      <c r="D196" s="13">
        <v>46048</v>
      </c>
      <c r="E196" s="11" t="s">
        <v>25</v>
      </c>
      <c r="F196" s="14">
        <v>0</v>
      </c>
      <c r="G196" s="14">
        <v>0</v>
      </c>
      <c r="H196" s="14">
        <f t="shared" si="3"/>
        <v>0</v>
      </c>
      <c r="I196" s="6">
        <v>1.92</v>
      </c>
      <c r="J196" s="12"/>
    </row>
    <row r="197" spans="1:10" x14ac:dyDescent="0.3">
      <c r="A197" s="15">
        <v>196</v>
      </c>
      <c r="B197" s="16" t="s">
        <v>220</v>
      </c>
      <c r="C197" s="17">
        <v>46046</v>
      </c>
      <c r="D197" s="17">
        <v>46048</v>
      </c>
      <c r="E197" s="15" t="s">
        <v>25</v>
      </c>
      <c r="F197" s="18">
        <v>0</v>
      </c>
      <c r="G197" s="18">
        <v>0</v>
      </c>
      <c r="H197" s="18">
        <f t="shared" si="3"/>
        <v>0</v>
      </c>
      <c r="I197" s="10">
        <v>1.88</v>
      </c>
      <c r="J197" s="16"/>
    </row>
    <row r="198" spans="1:10" x14ac:dyDescent="0.3">
      <c r="A198" s="11">
        <v>197</v>
      </c>
      <c r="B198" s="12" t="s">
        <v>221</v>
      </c>
      <c r="C198" s="13">
        <v>46046</v>
      </c>
      <c r="D198" s="13">
        <v>46048</v>
      </c>
      <c r="E198" s="11" t="s">
        <v>25</v>
      </c>
      <c r="F198" s="14">
        <v>0</v>
      </c>
      <c r="G198" s="14">
        <v>0</v>
      </c>
      <c r="H198" s="14">
        <f t="shared" si="3"/>
        <v>0</v>
      </c>
      <c r="I198" s="6">
        <v>1.87</v>
      </c>
      <c r="J198" s="12"/>
    </row>
    <row r="199" spans="1:10" x14ac:dyDescent="0.3">
      <c r="A199" s="15">
        <v>198</v>
      </c>
      <c r="B199" s="16" t="s">
        <v>222</v>
      </c>
      <c r="C199" s="17">
        <v>46046</v>
      </c>
      <c r="D199" s="17">
        <v>46050</v>
      </c>
      <c r="E199" s="15" t="s">
        <v>25</v>
      </c>
      <c r="F199" s="18">
        <v>0</v>
      </c>
      <c r="G199" s="18">
        <v>0</v>
      </c>
      <c r="H199" s="18">
        <f t="shared" si="3"/>
        <v>0</v>
      </c>
      <c r="I199" s="10">
        <v>3.76</v>
      </c>
      <c r="J199" s="16"/>
    </row>
    <row r="200" spans="1:10" x14ac:dyDescent="0.3">
      <c r="A200" s="11">
        <v>199</v>
      </c>
      <c r="B200" s="12" t="s">
        <v>223</v>
      </c>
      <c r="C200" s="13">
        <v>46047</v>
      </c>
      <c r="D200" s="13">
        <v>46048</v>
      </c>
      <c r="E200" s="11" t="s">
        <v>25</v>
      </c>
      <c r="F200" s="14">
        <v>0</v>
      </c>
      <c r="G200" s="14">
        <v>0</v>
      </c>
      <c r="H200" s="14">
        <f t="shared" si="3"/>
        <v>0</v>
      </c>
      <c r="I200" s="6">
        <v>1</v>
      </c>
      <c r="J200" s="12"/>
    </row>
    <row r="201" spans="1:10" x14ac:dyDescent="0.3">
      <c r="A201" s="15">
        <v>200</v>
      </c>
      <c r="B201" s="16" t="s">
        <v>224</v>
      </c>
      <c r="C201" s="17">
        <v>46047</v>
      </c>
      <c r="D201" s="17">
        <v>46048</v>
      </c>
      <c r="E201" s="15" t="s">
        <v>25</v>
      </c>
      <c r="F201" s="18">
        <v>0</v>
      </c>
      <c r="G201" s="18">
        <v>0</v>
      </c>
      <c r="H201" s="18">
        <f t="shared" si="3"/>
        <v>0</v>
      </c>
      <c r="I201" s="10">
        <v>0.99</v>
      </c>
      <c r="J201" s="16"/>
    </row>
    <row r="202" spans="1:10" x14ac:dyDescent="0.3">
      <c r="A202" s="11">
        <v>201</v>
      </c>
      <c r="B202" s="12" t="s">
        <v>225</v>
      </c>
      <c r="C202" s="13">
        <v>46047</v>
      </c>
      <c r="D202" s="13">
        <v>46048</v>
      </c>
      <c r="E202" s="11" t="s">
        <v>25</v>
      </c>
      <c r="F202" s="14">
        <v>0</v>
      </c>
      <c r="G202" s="14">
        <v>0</v>
      </c>
      <c r="H202" s="14">
        <f t="shared" si="3"/>
        <v>0</v>
      </c>
      <c r="I202" s="6">
        <v>0.97</v>
      </c>
      <c r="J202" s="12"/>
    </row>
    <row r="203" spans="1:10" x14ac:dyDescent="0.3">
      <c r="A203" s="15">
        <v>202</v>
      </c>
      <c r="B203" s="16" t="s">
        <v>226</v>
      </c>
      <c r="C203" s="17">
        <v>46047</v>
      </c>
      <c r="D203" s="17">
        <v>46048</v>
      </c>
      <c r="E203" s="15" t="s">
        <v>25</v>
      </c>
      <c r="F203" s="18">
        <v>0</v>
      </c>
      <c r="G203" s="18">
        <v>0</v>
      </c>
      <c r="H203" s="18">
        <f t="shared" si="3"/>
        <v>0</v>
      </c>
      <c r="I203" s="10">
        <v>0.83</v>
      </c>
      <c r="J203" s="16"/>
    </row>
    <row r="204" spans="1:10" x14ac:dyDescent="0.3">
      <c r="A204" s="11">
        <v>203</v>
      </c>
      <c r="B204" s="12" t="s">
        <v>227</v>
      </c>
      <c r="C204" s="13">
        <v>46047</v>
      </c>
      <c r="D204" s="13">
        <v>46048</v>
      </c>
      <c r="E204" s="11" t="s">
        <v>25</v>
      </c>
      <c r="F204" s="14">
        <v>0</v>
      </c>
      <c r="G204" s="14">
        <v>0</v>
      </c>
      <c r="H204" s="14">
        <f t="shared" si="3"/>
        <v>0</v>
      </c>
      <c r="I204" s="6">
        <v>0.77</v>
      </c>
      <c r="J204" s="12"/>
    </row>
    <row r="205" spans="1:10" x14ac:dyDescent="0.3">
      <c r="A205" s="15">
        <v>204</v>
      </c>
      <c r="B205" s="16" t="s">
        <v>228</v>
      </c>
      <c r="C205" s="17">
        <v>46048</v>
      </c>
      <c r="D205" s="17">
        <v>46052</v>
      </c>
      <c r="E205" s="15" t="s">
        <v>25</v>
      </c>
      <c r="F205" s="18">
        <v>0</v>
      </c>
      <c r="G205" s="18">
        <v>0</v>
      </c>
      <c r="H205" s="18">
        <f t="shared" si="3"/>
        <v>0</v>
      </c>
      <c r="I205" s="10">
        <v>4.09</v>
      </c>
      <c r="J205" s="16"/>
    </row>
    <row r="206" spans="1:10" x14ac:dyDescent="0.3">
      <c r="A206" s="11">
        <v>205</v>
      </c>
      <c r="B206" s="12" t="s">
        <v>229</v>
      </c>
      <c r="C206" s="13">
        <v>46048</v>
      </c>
      <c r="D206" s="13">
        <v>46049</v>
      </c>
      <c r="E206" s="11" t="s">
        <v>25</v>
      </c>
      <c r="F206" s="14">
        <v>0</v>
      </c>
      <c r="G206" s="14">
        <v>0</v>
      </c>
      <c r="H206" s="14">
        <f t="shared" si="3"/>
        <v>0</v>
      </c>
      <c r="I206" s="6">
        <v>0.92</v>
      </c>
      <c r="J206" s="12"/>
    </row>
    <row r="207" spans="1:10" x14ac:dyDescent="0.3">
      <c r="A207" s="15">
        <v>206</v>
      </c>
      <c r="B207" s="16" t="s">
        <v>230</v>
      </c>
      <c r="C207" s="17">
        <v>46048</v>
      </c>
      <c r="D207" s="17">
        <v>46049</v>
      </c>
      <c r="E207" s="15" t="s">
        <v>25</v>
      </c>
      <c r="F207" s="18">
        <v>0</v>
      </c>
      <c r="G207" s="18">
        <v>0</v>
      </c>
      <c r="H207" s="18">
        <f t="shared" si="3"/>
        <v>0</v>
      </c>
      <c r="I207" s="10">
        <v>0.77</v>
      </c>
      <c r="J207" s="16"/>
    </row>
    <row r="208" spans="1:10" x14ac:dyDescent="0.3">
      <c r="A208" s="11">
        <v>207</v>
      </c>
      <c r="B208" s="12" t="s">
        <v>231</v>
      </c>
      <c r="C208" s="13">
        <v>46049</v>
      </c>
      <c r="D208" s="13">
        <v>46049</v>
      </c>
      <c r="E208" s="11" t="s">
        <v>25</v>
      </c>
      <c r="F208" s="14">
        <v>0</v>
      </c>
      <c r="G208" s="14">
        <v>0</v>
      </c>
      <c r="H208" s="14">
        <f t="shared" si="3"/>
        <v>0</v>
      </c>
      <c r="I208" s="6">
        <v>0.2</v>
      </c>
      <c r="J208" s="12"/>
    </row>
    <row r="209" spans="1:10" x14ac:dyDescent="0.3">
      <c r="A209" s="15">
        <v>208</v>
      </c>
      <c r="B209" s="16" t="s">
        <v>232</v>
      </c>
      <c r="C209" s="17">
        <v>46049</v>
      </c>
      <c r="D209" s="17">
        <v>46049</v>
      </c>
      <c r="E209" s="15" t="s">
        <v>25</v>
      </c>
      <c r="F209" s="18">
        <v>0</v>
      </c>
      <c r="G209" s="18">
        <v>0</v>
      </c>
      <c r="H209" s="18">
        <f t="shared" si="3"/>
        <v>0</v>
      </c>
      <c r="I209" s="10">
        <v>0.08</v>
      </c>
      <c r="J209" s="16"/>
    </row>
    <row r="210" spans="1:10" x14ac:dyDescent="0.3">
      <c r="A210" s="11">
        <v>209</v>
      </c>
      <c r="B210" s="12" t="s">
        <v>233</v>
      </c>
      <c r="C210" s="13">
        <v>46049</v>
      </c>
      <c r="D210" s="13">
        <v>46049</v>
      </c>
      <c r="E210" s="11" t="s">
        <v>25</v>
      </c>
      <c r="F210" s="14">
        <v>0</v>
      </c>
      <c r="G210" s="14">
        <v>0</v>
      </c>
      <c r="H210" s="14">
        <f t="shared" si="3"/>
        <v>0</v>
      </c>
      <c r="I210" s="6">
        <v>0.04</v>
      </c>
      <c r="J210" s="12"/>
    </row>
    <row r="211" spans="1:10" x14ac:dyDescent="0.3">
      <c r="A211" s="15">
        <v>210</v>
      </c>
      <c r="B211" s="16" t="s">
        <v>234</v>
      </c>
      <c r="C211" s="17">
        <v>46049</v>
      </c>
      <c r="D211" s="17">
        <v>46049</v>
      </c>
      <c r="E211" s="15" t="s">
        <v>25</v>
      </c>
      <c r="F211" s="18">
        <v>0</v>
      </c>
      <c r="G211" s="18">
        <v>0</v>
      </c>
      <c r="H211" s="18">
        <f t="shared" si="3"/>
        <v>0</v>
      </c>
      <c r="I211" s="10">
        <v>0.1</v>
      </c>
      <c r="J211" s="16"/>
    </row>
    <row r="212" spans="1:10" x14ac:dyDescent="0.3">
      <c r="A212" s="11">
        <v>211</v>
      </c>
      <c r="B212" s="12" t="s">
        <v>235</v>
      </c>
      <c r="C212" s="13">
        <v>46049</v>
      </c>
      <c r="D212" s="13">
        <v>46049</v>
      </c>
      <c r="E212" s="11" t="s">
        <v>25</v>
      </c>
      <c r="F212" s="14">
        <v>0</v>
      </c>
      <c r="G212" s="14">
        <v>0</v>
      </c>
      <c r="H212" s="14">
        <f t="shared" si="3"/>
        <v>0</v>
      </c>
      <c r="I212" s="6">
        <v>0.02</v>
      </c>
      <c r="J212" s="12"/>
    </row>
    <row r="213" spans="1:10" x14ac:dyDescent="0.3">
      <c r="A213" s="15">
        <v>212</v>
      </c>
      <c r="B213" s="16" t="s">
        <v>236</v>
      </c>
      <c r="C213" s="17">
        <v>46050</v>
      </c>
      <c r="D213" s="17">
        <v>46050</v>
      </c>
      <c r="E213" s="15" t="s">
        <v>25</v>
      </c>
      <c r="F213" s="18">
        <v>0</v>
      </c>
      <c r="G213" s="18">
        <v>0</v>
      </c>
      <c r="H213" s="18">
        <f t="shared" si="3"/>
        <v>0</v>
      </c>
      <c r="I213" s="10">
        <v>0.24</v>
      </c>
      <c r="J213" s="16"/>
    </row>
    <row r="214" spans="1:10" x14ac:dyDescent="0.3">
      <c r="A214" s="11">
        <v>213</v>
      </c>
      <c r="B214" s="12" t="s">
        <v>237</v>
      </c>
      <c r="C214" s="13">
        <v>46050</v>
      </c>
      <c r="D214" s="13">
        <v>46050</v>
      </c>
      <c r="E214" s="11" t="s">
        <v>25</v>
      </c>
      <c r="F214" s="14">
        <v>0</v>
      </c>
      <c r="G214" s="14">
        <v>0</v>
      </c>
      <c r="H214" s="14">
        <f t="shared" si="3"/>
        <v>0</v>
      </c>
      <c r="I214" s="6">
        <v>0.24</v>
      </c>
      <c r="J214" s="12"/>
    </row>
    <row r="215" spans="1:10" x14ac:dyDescent="0.3">
      <c r="A215" s="15">
        <v>214</v>
      </c>
      <c r="B215" s="16" t="s">
        <v>238</v>
      </c>
      <c r="C215" s="17">
        <v>46050</v>
      </c>
      <c r="D215" s="17">
        <v>46050</v>
      </c>
      <c r="E215" s="15" t="s">
        <v>25</v>
      </c>
      <c r="F215" s="18">
        <v>0</v>
      </c>
      <c r="G215" s="18">
        <v>0</v>
      </c>
      <c r="H215" s="18">
        <f t="shared" si="3"/>
        <v>0</v>
      </c>
      <c r="I215" s="10">
        <v>0.21</v>
      </c>
      <c r="J215" s="16"/>
    </row>
    <row r="216" spans="1:10" x14ac:dyDescent="0.3">
      <c r="A216" s="11">
        <v>215</v>
      </c>
      <c r="B216" s="12" t="s">
        <v>239</v>
      </c>
      <c r="C216" s="13">
        <v>46050</v>
      </c>
      <c r="D216" s="13">
        <v>46050</v>
      </c>
      <c r="E216" s="11" t="s">
        <v>25</v>
      </c>
      <c r="F216" s="14">
        <v>0</v>
      </c>
      <c r="G216" s="14">
        <v>0</v>
      </c>
      <c r="H216" s="14">
        <f t="shared" si="3"/>
        <v>0</v>
      </c>
      <c r="I216" s="6">
        <v>0.2</v>
      </c>
      <c r="J216" s="12"/>
    </row>
    <row r="217" spans="1:10" x14ac:dyDescent="0.3">
      <c r="A217" s="15">
        <v>216</v>
      </c>
      <c r="B217" s="16" t="s">
        <v>240</v>
      </c>
      <c r="C217" s="17">
        <v>46050</v>
      </c>
      <c r="D217" s="17">
        <v>46050</v>
      </c>
      <c r="E217" s="15" t="s">
        <v>25</v>
      </c>
      <c r="F217" s="18">
        <v>0</v>
      </c>
      <c r="G217" s="18">
        <v>0</v>
      </c>
      <c r="H217" s="18">
        <f t="shared" si="3"/>
        <v>0</v>
      </c>
      <c r="I217" s="10">
        <v>0.14000000000000001</v>
      </c>
      <c r="J217" s="16"/>
    </row>
    <row r="218" spans="1:10" x14ac:dyDescent="0.3">
      <c r="A218" s="11">
        <v>217</v>
      </c>
      <c r="B218" s="12" t="s">
        <v>241</v>
      </c>
      <c r="C218" s="13">
        <v>46050</v>
      </c>
      <c r="D218" s="13">
        <v>46050</v>
      </c>
      <c r="E218" s="11" t="s">
        <v>25</v>
      </c>
      <c r="F218" s="14">
        <v>0</v>
      </c>
      <c r="G218" s="14">
        <v>0</v>
      </c>
      <c r="H218" s="14">
        <f t="shared" si="3"/>
        <v>0</v>
      </c>
      <c r="I218" s="6">
        <v>0.06</v>
      </c>
      <c r="J218" s="12"/>
    </row>
    <row r="219" spans="1:10" x14ac:dyDescent="0.3">
      <c r="A219" s="15">
        <v>218</v>
      </c>
      <c r="B219" s="16" t="s">
        <v>242</v>
      </c>
      <c r="C219" s="17">
        <v>46050</v>
      </c>
      <c r="D219" s="17">
        <v>46050</v>
      </c>
      <c r="E219" s="15" t="s">
        <v>25</v>
      </c>
      <c r="F219" s="18">
        <v>0</v>
      </c>
      <c r="G219" s="18">
        <v>0</v>
      </c>
      <c r="H219" s="18">
        <f t="shared" si="3"/>
        <v>0</v>
      </c>
      <c r="I219" s="10">
        <v>0.03</v>
      </c>
      <c r="J219" s="16"/>
    </row>
    <row r="220" spans="1:10" x14ac:dyDescent="0.3">
      <c r="A220" s="11">
        <v>219</v>
      </c>
      <c r="B220" s="12" t="s">
        <v>243</v>
      </c>
      <c r="C220" s="13">
        <v>46050</v>
      </c>
      <c r="D220" s="13">
        <v>46050</v>
      </c>
      <c r="E220" s="11" t="s">
        <v>25</v>
      </c>
      <c r="F220" s="14">
        <v>0</v>
      </c>
      <c r="G220" s="14">
        <v>0</v>
      </c>
      <c r="H220" s="14">
        <f t="shared" si="3"/>
        <v>0</v>
      </c>
      <c r="I220" s="6">
        <v>0.02</v>
      </c>
      <c r="J220" s="12"/>
    </row>
    <row r="221" spans="1:10" x14ac:dyDescent="0.3">
      <c r="A221" s="15">
        <v>220</v>
      </c>
      <c r="B221" s="16" t="s">
        <v>244</v>
      </c>
      <c r="C221" s="17">
        <v>46050</v>
      </c>
      <c r="D221" s="17">
        <v>46051</v>
      </c>
      <c r="E221" s="15" t="s">
        <v>25</v>
      </c>
      <c r="F221" s="18">
        <v>0</v>
      </c>
      <c r="G221" s="18">
        <v>0</v>
      </c>
      <c r="H221" s="18">
        <f t="shared" si="3"/>
        <v>0</v>
      </c>
      <c r="I221" s="10">
        <v>1.01</v>
      </c>
      <c r="J221" s="16"/>
    </row>
    <row r="222" spans="1:10" x14ac:dyDescent="0.3">
      <c r="A222" s="11">
        <v>221</v>
      </c>
      <c r="B222" s="12" t="s">
        <v>245</v>
      </c>
      <c r="C222" s="13">
        <v>46050</v>
      </c>
      <c r="D222" s="13">
        <v>46051</v>
      </c>
      <c r="E222" s="11" t="s">
        <v>25</v>
      </c>
      <c r="F222" s="14">
        <v>0</v>
      </c>
      <c r="G222" s="14">
        <v>0</v>
      </c>
      <c r="H222" s="14">
        <f t="shared" si="3"/>
        <v>0</v>
      </c>
      <c r="I222" s="6">
        <v>0.48</v>
      </c>
      <c r="J222" s="12"/>
    </row>
    <row r="223" spans="1:10" x14ac:dyDescent="0.3">
      <c r="A223" s="15">
        <v>222</v>
      </c>
      <c r="B223" s="16" t="s">
        <v>246</v>
      </c>
      <c r="C223" s="17">
        <v>46050</v>
      </c>
      <c r="D223" s="17">
        <v>46052</v>
      </c>
      <c r="E223" s="15" t="s">
        <v>25</v>
      </c>
      <c r="F223" s="18">
        <v>0</v>
      </c>
      <c r="G223" s="18">
        <v>0</v>
      </c>
      <c r="H223" s="18">
        <f t="shared" si="3"/>
        <v>0</v>
      </c>
      <c r="I223" s="10">
        <v>1.54</v>
      </c>
      <c r="J223" s="16"/>
    </row>
    <row r="224" spans="1:10" x14ac:dyDescent="0.3">
      <c r="A224" s="11">
        <v>223</v>
      </c>
      <c r="B224" s="12" t="s">
        <v>247</v>
      </c>
      <c r="C224" s="13">
        <v>46050</v>
      </c>
      <c r="D224" s="13">
        <v>46052</v>
      </c>
      <c r="E224" s="11" t="s">
        <v>25</v>
      </c>
      <c r="F224" s="14">
        <v>0</v>
      </c>
      <c r="G224" s="14">
        <v>0</v>
      </c>
      <c r="H224" s="14">
        <f t="shared" si="3"/>
        <v>0</v>
      </c>
      <c r="I224" s="6">
        <v>1.53</v>
      </c>
      <c r="J224" s="12"/>
    </row>
    <row r="225" spans="1:10" x14ac:dyDescent="0.3">
      <c r="A225" s="15">
        <v>224</v>
      </c>
      <c r="B225" s="16" t="s">
        <v>248</v>
      </c>
      <c r="C225" s="17">
        <v>46051</v>
      </c>
      <c r="D225" s="17">
        <v>46052</v>
      </c>
      <c r="E225" s="15" t="s">
        <v>25</v>
      </c>
      <c r="F225" s="18">
        <v>0</v>
      </c>
      <c r="G225" s="18">
        <v>0</v>
      </c>
      <c r="H225" s="18">
        <f t="shared" si="3"/>
        <v>0</v>
      </c>
      <c r="I225" s="10">
        <v>1.18</v>
      </c>
      <c r="J225" s="16"/>
    </row>
    <row r="226" spans="1:10" x14ac:dyDescent="0.3">
      <c r="A226" s="11">
        <v>225</v>
      </c>
      <c r="B226" s="12" t="s">
        <v>249</v>
      </c>
      <c r="C226" s="13">
        <v>46051</v>
      </c>
      <c r="D226" s="13">
        <v>46051</v>
      </c>
      <c r="E226" s="11" t="s">
        <v>25</v>
      </c>
      <c r="F226" s="14">
        <v>0</v>
      </c>
      <c r="G226" s="14">
        <v>0</v>
      </c>
      <c r="H226" s="14">
        <f t="shared" si="3"/>
        <v>0</v>
      </c>
      <c r="I226" s="6">
        <v>0.09</v>
      </c>
      <c r="J226" s="12"/>
    </row>
    <row r="227" spans="1:10" x14ac:dyDescent="0.3">
      <c r="A227" s="15">
        <v>226</v>
      </c>
      <c r="B227" s="16" t="s">
        <v>250</v>
      </c>
      <c r="C227" s="17">
        <v>46051</v>
      </c>
      <c r="D227" s="17">
        <v>46051</v>
      </c>
      <c r="E227" s="15" t="s">
        <v>25</v>
      </c>
      <c r="F227" s="18">
        <v>0</v>
      </c>
      <c r="G227" s="18">
        <v>0</v>
      </c>
      <c r="H227" s="18">
        <f t="shared" si="3"/>
        <v>0</v>
      </c>
      <c r="I227" s="10">
        <v>0.22</v>
      </c>
      <c r="J227" s="16"/>
    </row>
    <row r="228" spans="1:10" x14ac:dyDescent="0.3">
      <c r="A228" s="11">
        <v>227</v>
      </c>
      <c r="B228" s="12" t="s">
        <v>251</v>
      </c>
      <c r="C228" s="13">
        <v>46051</v>
      </c>
      <c r="D228" s="13">
        <v>46051</v>
      </c>
      <c r="E228" s="11" t="s">
        <v>25</v>
      </c>
      <c r="F228" s="14">
        <v>0</v>
      </c>
      <c r="G228" s="14">
        <v>0</v>
      </c>
      <c r="H228" s="14">
        <f t="shared" si="3"/>
        <v>0</v>
      </c>
      <c r="I228" s="6">
        <v>0.1</v>
      </c>
      <c r="J228" s="12"/>
    </row>
    <row r="229" spans="1:10" x14ac:dyDescent="0.3">
      <c r="A229" s="15">
        <v>228</v>
      </c>
      <c r="B229" s="16" t="s">
        <v>252</v>
      </c>
      <c r="C229" s="17">
        <v>46051</v>
      </c>
      <c r="D229" s="17">
        <v>46051</v>
      </c>
      <c r="E229" s="15" t="s">
        <v>25</v>
      </c>
      <c r="F229" s="18">
        <v>0</v>
      </c>
      <c r="G229" s="18">
        <v>0</v>
      </c>
      <c r="H229" s="18">
        <f t="shared" si="3"/>
        <v>0</v>
      </c>
      <c r="I229" s="10">
        <v>0.2</v>
      </c>
      <c r="J229" s="16"/>
    </row>
    <row r="230" spans="1:10" x14ac:dyDescent="0.3">
      <c r="A230" s="11">
        <v>229</v>
      </c>
      <c r="B230" s="12" t="s">
        <v>253</v>
      </c>
      <c r="C230" s="13">
        <v>46051</v>
      </c>
      <c r="D230" s="13">
        <v>46051</v>
      </c>
      <c r="E230" s="11" t="s">
        <v>25</v>
      </c>
      <c r="F230" s="14">
        <v>0</v>
      </c>
      <c r="G230" s="14">
        <v>0</v>
      </c>
      <c r="H230" s="14">
        <f t="shared" si="3"/>
        <v>0</v>
      </c>
      <c r="I230" s="6">
        <v>7.0000000000000007E-2</v>
      </c>
      <c r="J230" s="12"/>
    </row>
    <row r="231" spans="1:10" x14ac:dyDescent="0.3">
      <c r="A231" s="15">
        <v>230</v>
      </c>
      <c r="B231" s="16" t="s">
        <v>254</v>
      </c>
      <c r="C231" s="17">
        <v>46051</v>
      </c>
      <c r="D231" s="17">
        <v>46051</v>
      </c>
      <c r="E231" s="15" t="s">
        <v>25</v>
      </c>
      <c r="F231" s="18">
        <v>0</v>
      </c>
      <c r="G231" s="18">
        <v>0</v>
      </c>
      <c r="H231" s="18">
        <f t="shared" si="3"/>
        <v>0</v>
      </c>
      <c r="I231" s="10">
        <v>0.05</v>
      </c>
      <c r="J231" s="16"/>
    </row>
    <row r="232" spans="1:10" x14ac:dyDescent="0.3">
      <c r="A232" s="11">
        <v>231</v>
      </c>
      <c r="B232" s="12" t="s">
        <v>255</v>
      </c>
      <c r="C232" s="13">
        <v>46051</v>
      </c>
      <c r="D232" s="13">
        <v>46052</v>
      </c>
      <c r="E232" s="11" t="s">
        <v>25</v>
      </c>
      <c r="F232" s="14">
        <v>0</v>
      </c>
      <c r="G232" s="14">
        <v>0</v>
      </c>
      <c r="H232" s="14">
        <f t="shared" si="3"/>
        <v>0</v>
      </c>
      <c r="I232" s="6">
        <v>0.66</v>
      </c>
      <c r="J232" s="12"/>
    </row>
    <row r="233" spans="1:10" x14ac:dyDescent="0.3">
      <c r="A233" s="15">
        <v>232</v>
      </c>
      <c r="B233" s="16" t="s">
        <v>256</v>
      </c>
      <c r="C233" s="17">
        <v>46052</v>
      </c>
      <c r="D233" s="17">
        <v>46052</v>
      </c>
      <c r="E233" s="15" t="s">
        <v>25</v>
      </c>
      <c r="F233" s="18">
        <v>0</v>
      </c>
      <c r="G233" s="18">
        <v>0</v>
      </c>
      <c r="H233" s="18">
        <f t="shared" si="3"/>
        <v>0</v>
      </c>
      <c r="I233" s="10">
        <v>0.33</v>
      </c>
      <c r="J233" s="16"/>
    </row>
    <row r="234" spans="1:10" x14ac:dyDescent="0.3">
      <c r="A234" s="11">
        <v>233</v>
      </c>
      <c r="B234" s="12" t="s">
        <v>257</v>
      </c>
      <c r="C234" s="13">
        <v>46052</v>
      </c>
      <c r="D234" s="13">
        <v>46052</v>
      </c>
      <c r="E234" s="11" t="s">
        <v>25</v>
      </c>
      <c r="F234" s="14">
        <v>0</v>
      </c>
      <c r="G234" s="14">
        <v>0</v>
      </c>
      <c r="H234" s="14">
        <f t="shared" si="3"/>
        <v>0</v>
      </c>
      <c r="I234" s="6">
        <v>0.02</v>
      </c>
      <c r="J234" s="12"/>
    </row>
    <row r="235" spans="1:10" x14ac:dyDescent="0.3">
      <c r="A235" s="15">
        <v>234</v>
      </c>
      <c r="B235" s="16" t="s">
        <v>258</v>
      </c>
      <c r="C235" s="17">
        <v>46052</v>
      </c>
      <c r="D235" s="17">
        <v>46052</v>
      </c>
      <c r="E235" s="15" t="s">
        <v>25</v>
      </c>
      <c r="F235" s="18">
        <v>0</v>
      </c>
      <c r="G235" s="18">
        <v>0</v>
      </c>
      <c r="H235" s="18">
        <f t="shared" si="3"/>
        <v>0</v>
      </c>
      <c r="I235" s="10">
        <v>0.28000000000000003</v>
      </c>
      <c r="J235" s="16"/>
    </row>
    <row r="236" spans="1:10" x14ac:dyDescent="0.3">
      <c r="A236" s="11">
        <v>235</v>
      </c>
      <c r="B236" s="12" t="s">
        <v>259</v>
      </c>
      <c r="C236" s="13">
        <v>46052</v>
      </c>
      <c r="D236" s="13">
        <v>46052</v>
      </c>
      <c r="E236" s="11" t="s">
        <v>25</v>
      </c>
      <c r="F236" s="14">
        <v>0</v>
      </c>
      <c r="G236" s="14">
        <v>0</v>
      </c>
      <c r="H236" s="14">
        <f t="shared" si="3"/>
        <v>0</v>
      </c>
      <c r="I236" s="6">
        <v>0.28000000000000003</v>
      </c>
      <c r="J236" s="12"/>
    </row>
    <row r="237" spans="1:10" x14ac:dyDescent="0.3">
      <c r="A237" s="15">
        <v>236</v>
      </c>
      <c r="B237" s="16" t="s">
        <v>260</v>
      </c>
      <c r="C237" s="17">
        <v>46052</v>
      </c>
      <c r="D237" s="17">
        <v>46052</v>
      </c>
      <c r="E237" s="15" t="s">
        <v>25</v>
      </c>
      <c r="F237" s="18">
        <v>0</v>
      </c>
      <c r="G237" s="18">
        <v>0</v>
      </c>
      <c r="H237" s="18">
        <f t="shared" si="3"/>
        <v>0</v>
      </c>
      <c r="I237" s="10">
        <v>0.3</v>
      </c>
      <c r="J237" s="16"/>
    </row>
    <row r="238" spans="1:10" x14ac:dyDescent="0.3">
      <c r="A238" s="11">
        <v>237</v>
      </c>
      <c r="B238" s="12" t="s">
        <v>261</v>
      </c>
      <c r="C238" s="13">
        <v>46052</v>
      </c>
      <c r="D238" s="13">
        <v>46052</v>
      </c>
      <c r="E238" s="11" t="s">
        <v>25</v>
      </c>
      <c r="F238" s="14">
        <v>0</v>
      </c>
      <c r="G238" s="14">
        <v>0</v>
      </c>
      <c r="H238" s="14">
        <f t="shared" si="3"/>
        <v>0</v>
      </c>
      <c r="I238" s="6">
        <v>0.3</v>
      </c>
      <c r="J238" s="12"/>
    </row>
    <row r="239" spans="1:10" x14ac:dyDescent="0.3">
      <c r="A239" s="15">
        <v>238</v>
      </c>
      <c r="B239" s="16" t="s">
        <v>262</v>
      </c>
      <c r="C239" s="17">
        <v>46052</v>
      </c>
      <c r="D239" s="17">
        <v>46052</v>
      </c>
      <c r="E239" s="15" t="s">
        <v>25</v>
      </c>
      <c r="F239" s="18">
        <v>0</v>
      </c>
      <c r="G239" s="18">
        <v>0</v>
      </c>
      <c r="H239" s="18">
        <f t="shared" si="3"/>
        <v>0</v>
      </c>
      <c r="I239" s="10">
        <v>0.17</v>
      </c>
      <c r="J239" s="16"/>
    </row>
    <row r="240" spans="1:10" x14ac:dyDescent="0.3">
      <c r="A240" s="11">
        <v>239</v>
      </c>
      <c r="B240" s="12" t="s">
        <v>263</v>
      </c>
      <c r="C240" s="13">
        <v>46052</v>
      </c>
      <c r="D240" s="13">
        <v>46052</v>
      </c>
      <c r="E240" s="11" t="s">
        <v>25</v>
      </c>
      <c r="F240" s="14">
        <v>0</v>
      </c>
      <c r="G240" s="14">
        <v>0</v>
      </c>
      <c r="H240" s="14">
        <f t="shared" si="3"/>
        <v>0</v>
      </c>
      <c r="I240" s="6">
        <v>0.13</v>
      </c>
      <c r="J240" s="12"/>
    </row>
    <row r="241" spans="1:10" x14ac:dyDescent="0.3">
      <c r="A241" s="15">
        <v>240</v>
      </c>
      <c r="B241" s="16" t="s">
        <v>264</v>
      </c>
      <c r="C241" s="17">
        <v>46052</v>
      </c>
      <c r="D241" s="17">
        <v>46052</v>
      </c>
      <c r="E241" s="15" t="s">
        <v>25</v>
      </c>
      <c r="F241" s="18">
        <v>0</v>
      </c>
      <c r="G241" s="18">
        <v>0</v>
      </c>
      <c r="H241" s="18">
        <f t="shared" si="3"/>
        <v>0</v>
      </c>
      <c r="I241" s="10">
        <v>0.14000000000000001</v>
      </c>
      <c r="J241" s="16"/>
    </row>
    <row r="242" spans="1:10" x14ac:dyDescent="0.3">
      <c r="A242" s="19" t="s">
        <v>265</v>
      </c>
      <c r="B242" s="20"/>
      <c r="C242" s="20"/>
      <c r="D242" s="20"/>
      <c r="E242" s="20"/>
      <c r="F242" s="21">
        <f>SUM(F2:F241)</f>
        <v>0</v>
      </c>
      <c r="G242" s="21">
        <f>SUM(G2:G241)</f>
        <v>0</v>
      </c>
      <c r="H242" s="21">
        <f>SUM(H2:H241)</f>
        <v>0</v>
      </c>
      <c r="I242" s="22">
        <f>SUM(I2:I241)</f>
        <v>365.97999999999968</v>
      </c>
      <c r="J242" s="20"/>
    </row>
    <row r="243" spans="1:10" x14ac:dyDescent="0.3">
      <c r="A243" s="19" t="s">
        <v>266</v>
      </c>
      <c r="B243" s="23">
        <f>COUNTA(B2:B241)</f>
        <v>240</v>
      </c>
      <c r="C243" s="19" t="s">
        <v>267</v>
      </c>
      <c r="D243" s="24">
        <f>SUM(I2:I241)</f>
        <v>365.97999999999968</v>
      </c>
      <c r="E243" s="19" t="s">
        <v>268</v>
      </c>
      <c r="F243" s="22">
        <f>AVERAGE(I2:I241)</f>
        <v>1.5249166666666654</v>
      </c>
      <c r="G243" s="20"/>
      <c r="H243" s="20"/>
      <c r="I243" s="20"/>
      <c r="J243" s="20"/>
    </row>
  </sheetData>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33"/>
  <sheetViews>
    <sheetView workbookViewId="0">
      <pane ySplit="1" topLeftCell="A2" activePane="bottomLeft" state="frozen"/>
      <selection pane="bottomLeft"/>
    </sheetView>
  </sheetViews>
  <sheetFormatPr defaultRowHeight="15" x14ac:dyDescent="0.3"/>
  <cols>
    <col min="1" max="1" width="6" customWidth="1"/>
    <col min="2" max="2" width="20" customWidth="1"/>
    <col min="3" max="4" width="13" customWidth="1"/>
    <col min="5" max="5" width="10" customWidth="1"/>
    <col min="6" max="9" width="11" customWidth="1"/>
    <col min="10" max="10" width="16" customWidth="1"/>
  </cols>
  <sheetData>
    <row r="1" spans="1:10" ht="19.95" customHeight="1" x14ac:dyDescent="0.3">
      <c r="A1" s="1" t="s">
        <v>14</v>
      </c>
      <c r="B1" s="1" t="s">
        <v>15</v>
      </c>
      <c r="C1" s="1" t="s">
        <v>16</v>
      </c>
      <c r="D1" s="1" t="s">
        <v>17</v>
      </c>
      <c r="E1" s="1" t="s">
        <v>18</v>
      </c>
      <c r="F1" s="1" t="s">
        <v>19</v>
      </c>
      <c r="G1" s="1" t="s">
        <v>20</v>
      </c>
      <c r="H1" s="1" t="s">
        <v>21</v>
      </c>
      <c r="I1" s="1" t="s">
        <v>22</v>
      </c>
      <c r="J1" s="1" t="s">
        <v>23</v>
      </c>
    </row>
    <row r="2" spans="1:10" x14ac:dyDescent="0.3">
      <c r="A2" s="11">
        <v>1</v>
      </c>
      <c r="B2" s="12" t="s">
        <v>269</v>
      </c>
      <c r="C2" s="13">
        <v>46023</v>
      </c>
      <c r="D2" s="13">
        <v>46055</v>
      </c>
      <c r="E2" s="11" t="s">
        <v>25</v>
      </c>
      <c r="F2" s="14">
        <v>0</v>
      </c>
      <c r="G2" s="14">
        <v>0</v>
      </c>
      <c r="H2" s="14">
        <f t="shared" ref="H2:H65" si="0">F2+G2</f>
        <v>0</v>
      </c>
      <c r="I2" s="6">
        <v>31.63</v>
      </c>
      <c r="J2" s="12"/>
    </row>
    <row r="3" spans="1:10" x14ac:dyDescent="0.3">
      <c r="A3" s="15">
        <v>2</v>
      </c>
      <c r="B3" s="16" t="s">
        <v>270</v>
      </c>
      <c r="C3" s="17">
        <v>46027</v>
      </c>
      <c r="D3" s="17">
        <v>46076</v>
      </c>
      <c r="E3" s="15" t="s">
        <v>25</v>
      </c>
      <c r="F3" s="18">
        <v>0</v>
      </c>
      <c r="G3" s="18">
        <v>0</v>
      </c>
      <c r="H3" s="18">
        <f t="shared" si="0"/>
        <v>0</v>
      </c>
      <c r="I3" s="10">
        <v>49.11</v>
      </c>
      <c r="J3" s="16"/>
    </row>
    <row r="4" spans="1:10" x14ac:dyDescent="0.3">
      <c r="A4" s="11">
        <v>3</v>
      </c>
      <c r="B4" s="12" t="s">
        <v>271</v>
      </c>
      <c r="C4" s="13">
        <v>46032</v>
      </c>
      <c r="D4" s="13">
        <v>46062</v>
      </c>
      <c r="E4" s="11" t="s">
        <v>25</v>
      </c>
      <c r="F4" s="14">
        <v>0</v>
      </c>
      <c r="G4" s="14">
        <v>0</v>
      </c>
      <c r="H4" s="14">
        <f t="shared" si="0"/>
        <v>0</v>
      </c>
      <c r="I4" s="6">
        <v>29.98</v>
      </c>
      <c r="J4" s="12"/>
    </row>
    <row r="5" spans="1:10" x14ac:dyDescent="0.3">
      <c r="A5" s="15">
        <v>4</v>
      </c>
      <c r="B5" s="16" t="s">
        <v>272</v>
      </c>
      <c r="C5" s="17">
        <v>46034</v>
      </c>
      <c r="D5" s="17">
        <v>46076</v>
      </c>
      <c r="E5" s="15" t="s">
        <v>25</v>
      </c>
      <c r="F5" s="18">
        <v>0</v>
      </c>
      <c r="G5" s="18">
        <v>0</v>
      </c>
      <c r="H5" s="18">
        <f t="shared" si="0"/>
        <v>0</v>
      </c>
      <c r="I5" s="10">
        <v>42.33</v>
      </c>
      <c r="J5" s="16"/>
    </row>
    <row r="6" spans="1:10" x14ac:dyDescent="0.3">
      <c r="A6" s="11">
        <v>5</v>
      </c>
      <c r="B6" s="12" t="s">
        <v>273</v>
      </c>
      <c r="C6" s="13">
        <v>46034</v>
      </c>
      <c r="D6" s="13">
        <v>46076</v>
      </c>
      <c r="E6" s="11" t="s">
        <v>25</v>
      </c>
      <c r="F6" s="14">
        <v>0</v>
      </c>
      <c r="G6" s="14">
        <v>0</v>
      </c>
      <c r="H6" s="14">
        <f t="shared" si="0"/>
        <v>0</v>
      </c>
      <c r="I6" s="6">
        <v>42.33</v>
      </c>
      <c r="J6" s="12"/>
    </row>
    <row r="7" spans="1:10" x14ac:dyDescent="0.3">
      <c r="A7" s="15">
        <v>6</v>
      </c>
      <c r="B7" s="16" t="s">
        <v>274</v>
      </c>
      <c r="C7" s="17">
        <v>46034</v>
      </c>
      <c r="D7" s="17">
        <v>46063</v>
      </c>
      <c r="E7" s="15" t="s">
        <v>25</v>
      </c>
      <c r="F7" s="18">
        <v>0</v>
      </c>
      <c r="G7" s="18">
        <v>0</v>
      </c>
      <c r="H7" s="18">
        <f t="shared" si="0"/>
        <v>0</v>
      </c>
      <c r="I7" s="10">
        <v>29.16</v>
      </c>
      <c r="J7" s="16"/>
    </row>
    <row r="8" spans="1:10" x14ac:dyDescent="0.3">
      <c r="A8" s="11">
        <v>7</v>
      </c>
      <c r="B8" s="12" t="s">
        <v>275</v>
      </c>
      <c r="C8" s="13">
        <v>46034</v>
      </c>
      <c r="D8" s="13">
        <v>46063</v>
      </c>
      <c r="E8" s="11" t="s">
        <v>25</v>
      </c>
      <c r="F8" s="14">
        <v>0</v>
      </c>
      <c r="G8" s="14">
        <v>0</v>
      </c>
      <c r="H8" s="14">
        <f t="shared" si="0"/>
        <v>0</v>
      </c>
      <c r="I8" s="6">
        <v>29.16</v>
      </c>
      <c r="J8" s="12"/>
    </row>
    <row r="9" spans="1:10" x14ac:dyDescent="0.3">
      <c r="A9" s="15">
        <v>8</v>
      </c>
      <c r="B9" s="16" t="s">
        <v>276</v>
      </c>
      <c r="C9" s="17">
        <v>46041</v>
      </c>
      <c r="D9" s="17">
        <v>46062</v>
      </c>
      <c r="E9" s="15" t="s">
        <v>25</v>
      </c>
      <c r="F9" s="18">
        <v>0</v>
      </c>
      <c r="G9" s="18">
        <v>0</v>
      </c>
      <c r="H9" s="18">
        <f t="shared" si="0"/>
        <v>0</v>
      </c>
      <c r="I9" s="10">
        <v>21.3</v>
      </c>
      <c r="J9" s="16"/>
    </row>
    <row r="10" spans="1:10" x14ac:dyDescent="0.3">
      <c r="A10" s="11">
        <v>9</v>
      </c>
      <c r="B10" s="12" t="s">
        <v>277</v>
      </c>
      <c r="C10" s="13">
        <v>46044</v>
      </c>
      <c r="D10" s="13">
        <v>46057</v>
      </c>
      <c r="E10" s="11" t="s">
        <v>25</v>
      </c>
      <c r="F10" s="14">
        <v>0</v>
      </c>
      <c r="G10" s="14">
        <v>0</v>
      </c>
      <c r="H10" s="14">
        <f t="shared" si="0"/>
        <v>0</v>
      </c>
      <c r="I10" s="6">
        <v>12.97</v>
      </c>
      <c r="J10" s="12"/>
    </row>
    <row r="11" spans="1:10" x14ac:dyDescent="0.3">
      <c r="A11" s="15">
        <v>10</v>
      </c>
      <c r="B11" s="16" t="s">
        <v>278</v>
      </c>
      <c r="C11" s="17">
        <v>46052</v>
      </c>
      <c r="D11" s="17">
        <v>46055</v>
      </c>
      <c r="E11" s="15" t="s">
        <v>25</v>
      </c>
      <c r="F11" s="18">
        <v>0</v>
      </c>
      <c r="G11" s="18">
        <v>0</v>
      </c>
      <c r="H11" s="18">
        <f t="shared" si="0"/>
        <v>0</v>
      </c>
      <c r="I11" s="10">
        <v>3.12</v>
      </c>
      <c r="J11" s="16"/>
    </row>
    <row r="12" spans="1:10" x14ac:dyDescent="0.3">
      <c r="A12" s="11">
        <v>11</v>
      </c>
      <c r="B12" s="12" t="s">
        <v>279</v>
      </c>
      <c r="C12" s="13">
        <v>46052</v>
      </c>
      <c r="D12" s="13">
        <v>46055</v>
      </c>
      <c r="E12" s="11" t="s">
        <v>25</v>
      </c>
      <c r="F12" s="14">
        <v>0</v>
      </c>
      <c r="G12" s="14">
        <v>0</v>
      </c>
      <c r="H12" s="14">
        <f t="shared" si="0"/>
        <v>0</v>
      </c>
      <c r="I12" s="6">
        <v>3.1</v>
      </c>
      <c r="J12" s="12"/>
    </row>
    <row r="13" spans="1:10" x14ac:dyDescent="0.3">
      <c r="A13" s="15">
        <v>12</v>
      </c>
      <c r="B13" s="16" t="s">
        <v>280</v>
      </c>
      <c r="C13" s="17">
        <v>46052</v>
      </c>
      <c r="D13" s="17">
        <v>46055</v>
      </c>
      <c r="E13" s="15" t="s">
        <v>25</v>
      </c>
      <c r="F13" s="18">
        <v>0</v>
      </c>
      <c r="G13" s="18">
        <v>0</v>
      </c>
      <c r="H13" s="18">
        <f t="shared" si="0"/>
        <v>0</v>
      </c>
      <c r="I13" s="10">
        <v>2.86</v>
      </c>
      <c r="J13" s="16"/>
    </row>
    <row r="14" spans="1:10" x14ac:dyDescent="0.3">
      <c r="A14" s="11">
        <v>13</v>
      </c>
      <c r="B14" s="12" t="s">
        <v>281</v>
      </c>
      <c r="C14" s="13">
        <v>46052</v>
      </c>
      <c r="D14" s="13">
        <v>46055</v>
      </c>
      <c r="E14" s="11" t="s">
        <v>25</v>
      </c>
      <c r="F14" s="14">
        <v>0</v>
      </c>
      <c r="G14" s="14">
        <v>0</v>
      </c>
      <c r="H14" s="14">
        <f t="shared" si="0"/>
        <v>0</v>
      </c>
      <c r="I14" s="6">
        <v>2.7</v>
      </c>
      <c r="J14" s="12"/>
    </row>
    <row r="15" spans="1:10" x14ac:dyDescent="0.3">
      <c r="A15" s="15">
        <v>14</v>
      </c>
      <c r="B15" s="16" t="s">
        <v>282</v>
      </c>
      <c r="C15" s="17">
        <v>46052</v>
      </c>
      <c r="D15" s="17">
        <v>46055</v>
      </c>
      <c r="E15" s="15" t="s">
        <v>25</v>
      </c>
      <c r="F15" s="18">
        <v>0</v>
      </c>
      <c r="G15" s="18">
        <v>0</v>
      </c>
      <c r="H15" s="18">
        <f t="shared" si="0"/>
        <v>0</v>
      </c>
      <c r="I15" s="10">
        <v>2.7</v>
      </c>
      <c r="J15" s="16"/>
    </row>
    <row r="16" spans="1:10" x14ac:dyDescent="0.3">
      <c r="A16" s="11">
        <v>15</v>
      </c>
      <c r="B16" s="12" t="s">
        <v>283</v>
      </c>
      <c r="C16" s="13">
        <v>46052</v>
      </c>
      <c r="D16" s="13">
        <v>46055</v>
      </c>
      <c r="E16" s="11" t="s">
        <v>25</v>
      </c>
      <c r="F16" s="14">
        <v>0</v>
      </c>
      <c r="G16" s="14">
        <v>0</v>
      </c>
      <c r="H16" s="14">
        <f t="shared" si="0"/>
        <v>0</v>
      </c>
      <c r="I16" s="6">
        <v>2.7</v>
      </c>
      <c r="J16" s="12"/>
    </row>
    <row r="17" spans="1:10" x14ac:dyDescent="0.3">
      <c r="A17" s="15">
        <v>16</v>
      </c>
      <c r="B17" s="16" t="s">
        <v>284</v>
      </c>
      <c r="C17" s="17">
        <v>46052</v>
      </c>
      <c r="D17" s="17">
        <v>46055</v>
      </c>
      <c r="E17" s="15" t="s">
        <v>25</v>
      </c>
      <c r="F17" s="18">
        <v>0</v>
      </c>
      <c r="G17" s="18">
        <v>0</v>
      </c>
      <c r="H17" s="18">
        <f t="shared" si="0"/>
        <v>0</v>
      </c>
      <c r="I17" s="10">
        <v>2.6</v>
      </c>
      <c r="J17" s="16"/>
    </row>
    <row r="18" spans="1:10" x14ac:dyDescent="0.3">
      <c r="A18" s="11">
        <v>17</v>
      </c>
      <c r="B18" s="12" t="s">
        <v>285</v>
      </c>
      <c r="C18" s="13">
        <v>46052</v>
      </c>
      <c r="D18" s="13">
        <v>46057</v>
      </c>
      <c r="E18" s="11" t="s">
        <v>25</v>
      </c>
      <c r="F18" s="14">
        <v>0</v>
      </c>
      <c r="G18" s="14">
        <v>0</v>
      </c>
      <c r="H18" s="14">
        <f t="shared" si="0"/>
        <v>0</v>
      </c>
      <c r="I18" s="6">
        <v>4.68</v>
      </c>
      <c r="J18" s="12"/>
    </row>
    <row r="19" spans="1:10" x14ac:dyDescent="0.3">
      <c r="A19" s="15">
        <v>18</v>
      </c>
      <c r="B19" s="16" t="s">
        <v>286</v>
      </c>
      <c r="C19" s="17">
        <v>46053</v>
      </c>
      <c r="D19" s="17">
        <v>46055</v>
      </c>
      <c r="E19" s="15" t="s">
        <v>25</v>
      </c>
      <c r="F19" s="18">
        <v>0</v>
      </c>
      <c r="G19" s="18">
        <v>0</v>
      </c>
      <c r="H19" s="18">
        <f t="shared" si="0"/>
        <v>0</v>
      </c>
      <c r="I19" s="10">
        <v>2.02</v>
      </c>
      <c r="J19" s="16"/>
    </row>
    <row r="20" spans="1:10" x14ac:dyDescent="0.3">
      <c r="A20" s="11">
        <v>19</v>
      </c>
      <c r="B20" s="12" t="s">
        <v>287</v>
      </c>
      <c r="C20" s="13">
        <v>46053</v>
      </c>
      <c r="D20" s="13">
        <v>46055</v>
      </c>
      <c r="E20" s="11" t="s">
        <v>25</v>
      </c>
      <c r="F20" s="14">
        <v>0</v>
      </c>
      <c r="G20" s="14">
        <v>0</v>
      </c>
      <c r="H20" s="14">
        <f t="shared" si="0"/>
        <v>0</v>
      </c>
      <c r="I20" s="6">
        <v>2</v>
      </c>
      <c r="J20" s="12"/>
    </row>
    <row r="21" spans="1:10" x14ac:dyDescent="0.3">
      <c r="A21" s="15">
        <v>20</v>
      </c>
      <c r="B21" s="16" t="s">
        <v>288</v>
      </c>
      <c r="C21" s="17">
        <v>46053</v>
      </c>
      <c r="D21" s="17">
        <v>46055</v>
      </c>
      <c r="E21" s="15" t="s">
        <v>25</v>
      </c>
      <c r="F21" s="18">
        <v>0</v>
      </c>
      <c r="G21" s="18">
        <v>0</v>
      </c>
      <c r="H21" s="18">
        <f t="shared" si="0"/>
        <v>0</v>
      </c>
      <c r="I21" s="10">
        <v>1.98</v>
      </c>
      <c r="J21" s="16"/>
    </row>
    <row r="22" spans="1:10" x14ac:dyDescent="0.3">
      <c r="A22" s="11">
        <v>21</v>
      </c>
      <c r="B22" s="12" t="s">
        <v>289</v>
      </c>
      <c r="C22" s="13">
        <v>46053</v>
      </c>
      <c r="D22" s="13">
        <v>46055</v>
      </c>
      <c r="E22" s="11" t="s">
        <v>25</v>
      </c>
      <c r="F22" s="14">
        <v>0</v>
      </c>
      <c r="G22" s="14">
        <v>0</v>
      </c>
      <c r="H22" s="14">
        <f t="shared" si="0"/>
        <v>0</v>
      </c>
      <c r="I22" s="6">
        <v>1.94</v>
      </c>
      <c r="J22" s="12"/>
    </row>
    <row r="23" spans="1:10" x14ac:dyDescent="0.3">
      <c r="A23" s="15">
        <v>22</v>
      </c>
      <c r="B23" s="16" t="s">
        <v>290</v>
      </c>
      <c r="C23" s="17">
        <v>46053</v>
      </c>
      <c r="D23" s="17">
        <v>46055</v>
      </c>
      <c r="E23" s="15" t="s">
        <v>25</v>
      </c>
      <c r="F23" s="18">
        <v>0</v>
      </c>
      <c r="G23" s="18">
        <v>0</v>
      </c>
      <c r="H23" s="18">
        <f t="shared" si="0"/>
        <v>0</v>
      </c>
      <c r="I23" s="10">
        <v>1.9</v>
      </c>
      <c r="J23" s="16"/>
    </row>
    <row r="24" spans="1:10" x14ac:dyDescent="0.3">
      <c r="A24" s="11">
        <v>23</v>
      </c>
      <c r="B24" s="12" t="s">
        <v>291</v>
      </c>
      <c r="C24" s="13">
        <v>46053</v>
      </c>
      <c r="D24" s="13">
        <v>46055</v>
      </c>
      <c r="E24" s="11" t="s">
        <v>25</v>
      </c>
      <c r="F24" s="14">
        <v>0</v>
      </c>
      <c r="G24" s="14">
        <v>0</v>
      </c>
      <c r="H24" s="14">
        <f t="shared" si="0"/>
        <v>0</v>
      </c>
      <c r="I24" s="6">
        <v>1.89</v>
      </c>
      <c r="J24" s="12"/>
    </row>
    <row r="25" spans="1:10" x14ac:dyDescent="0.3">
      <c r="A25" s="15">
        <v>24</v>
      </c>
      <c r="B25" s="16" t="s">
        <v>292</v>
      </c>
      <c r="C25" s="17">
        <v>46053</v>
      </c>
      <c r="D25" s="17">
        <v>46055</v>
      </c>
      <c r="E25" s="15" t="s">
        <v>25</v>
      </c>
      <c r="F25" s="18">
        <v>0</v>
      </c>
      <c r="G25" s="18">
        <v>0</v>
      </c>
      <c r="H25" s="18">
        <f t="shared" si="0"/>
        <v>0</v>
      </c>
      <c r="I25" s="10">
        <v>1.89</v>
      </c>
      <c r="J25" s="16"/>
    </row>
    <row r="26" spans="1:10" x14ac:dyDescent="0.3">
      <c r="A26" s="11">
        <v>25</v>
      </c>
      <c r="B26" s="12" t="s">
        <v>293</v>
      </c>
      <c r="C26" s="13">
        <v>46053</v>
      </c>
      <c r="D26" s="13">
        <v>46055</v>
      </c>
      <c r="E26" s="11" t="s">
        <v>25</v>
      </c>
      <c r="F26" s="14">
        <v>0</v>
      </c>
      <c r="G26" s="14">
        <v>0</v>
      </c>
      <c r="H26" s="14">
        <f t="shared" si="0"/>
        <v>0</v>
      </c>
      <c r="I26" s="6">
        <v>1.85</v>
      </c>
      <c r="J26" s="12"/>
    </row>
    <row r="27" spans="1:10" x14ac:dyDescent="0.3">
      <c r="A27" s="15">
        <v>26</v>
      </c>
      <c r="B27" s="16" t="s">
        <v>294</v>
      </c>
      <c r="C27" s="17">
        <v>46053</v>
      </c>
      <c r="D27" s="17">
        <v>46055</v>
      </c>
      <c r="E27" s="15" t="s">
        <v>25</v>
      </c>
      <c r="F27" s="18">
        <v>0</v>
      </c>
      <c r="G27" s="18">
        <v>0</v>
      </c>
      <c r="H27" s="18">
        <f t="shared" si="0"/>
        <v>0</v>
      </c>
      <c r="I27" s="10">
        <v>1.82</v>
      </c>
      <c r="J27" s="16"/>
    </row>
    <row r="28" spans="1:10" x14ac:dyDescent="0.3">
      <c r="A28" s="11">
        <v>27</v>
      </c>
      <c r="B28" s="12" t="s">
        <v>295</v>
      </c>
      <c r="C28" s="13">
        <v>46053</v>
      </c>
      <c r="D28" s="13">
        <v>46055</v>
      </c>
      <c r="E28" s="11" t="s">
        <v>25</v>
      </c>
      <c r="F28" s="14">
        <v>0</v>
      </c>
      <c r="G28" s="14">
        <v>0</v>
      </c>
      <c r="H28" s="14">
        <f t="shared" si="0"/>
        <v>0</v>
      </c>
      <c r="I28" s="6">
        <v>1.76</v>
      </c>
      <c r="J28" s="12"/>
    </row>
    <row r="29" spans="1:10" x14ac:dyDescent="0.3">
      <c r="A29" s="15">
        <v>28</v>
      </c>
      <c r="B29" s="16" t="s">
        <v>296</v>
      </c>
      <c r="C29" s="17">
        <v>46054</v>
      </c>
      <c r="D29" s="17">
        <v>46059</v>
      </c>
      <c r="E29" s="15" t="s">
        <v>25</v>
      </c>
      <c r="F29" s="18">
        <v>0</v>
      </c>
      <c r="G29" s="18">
        <v>0</v>
      </c>
      <c r="H29" s="18">
        <f t="shared" si="0"/>
        <v>0</v>
      </c>
      <c r="I29" s="10">
        <v>5.01</v>
      </c>
      <c r="J29" s="16"/>
    </row>
    <row r="30" spans="1:10" x14ac:dyDescent="0.3">
      <c r="A30" s="11">
        <v>29</v>
      </c>
      <c r="B30" s="12" t="s">
        <v>297</v>
      </c>
      <c r="C30" s="13">
        <v>46054</v>
      </c>
      <c r="D30" s="13">
        <v>46055</v>
      </c>
      <c r="E30" s="11" t="s">
        <v>25</v>
      </c>
      <c r="F30" s="14">
        <v>0</v>
      </c>
      <c r="G30" s="14">
        <v>0</v>
      </c>
      <c r="H30" s="14">
        <f t="shared" si="0"/>
        <v>0</v>
      </c>
      <c r="I30" s="6">
        <v>1.01</v>
      </c>
      <c r="J30" s="12"/>
    </row>
    <row r="31" spans="1:10" x14ac:dyDescent="0.3">
      <c r="A31" s="15">
        <v>30</v>
      </c>
      <c r="B31" s="16" t="s">
        <v>298</v>
      </c>
      <c r="C31" s="17">
        <v>46054</v>
      </c>
      <c r="D31" s="17">
        <v>46055</v>
      </c>
      <c r="E31" s="15" t="s">
        <v>25</v>
      </c>
      <c r="F31" s="18">
        <v>0</v>
      </c>
      <c r="G31" s="18">
        <v>0</v>
      </c>
      <c r="H31" s="18">
        <f t="shared" si="0"/>
        <v>0</v>
      </c>
      <c r="I31" s="10">
        <v>0.9</v>
      </c>
      <c r="J31" s="16"/>
    </row>
    <row r="32" spans="1:10" x14ac:dyDescent="0.3">
      <c r="A32" s="11">
        <v>31</v>
      </c>
      <c r="B32" s="12" t="s">
        <v>299</v>
      </c>
      <c r="C32" s="13">
        <v>46054</v>
      </c>
      <c r="D32" s="13">
        <v>46055</v>
      </c>
      <c r="E32" s="11" t="s">
        <v>25</v>
      </c>
      <c r="F32" s="14">
        <v>0</v>
      </c>
      <c r="G32" s="14">
        <v>0</v>
      </c>
      <c r="H32" s="14">
        <f t="shared" si="0"/>
        <v>0</v>
      </c>
      <c r="I32" s="6">
        <v>0.88</v>
      </c>
      <c r="J32" s="12"/>
    </row>
    <row r="33" spans="1:10" x14ac:dyDescent="0.3">
      <c r="A33" s="15">
        <v>32</v>
      </c>
      <c r="B33" s="16" t="s">
        <v>300</v>
      </c>
      <c r="C33" s="17">
        <v>46054</v>
      </c>
      <c r="D33" s="17">
        <v>46055</v>
      </c>
      <c r="E33" s="15" t="s">
        <v>25</v>
      </c>
      <c r="F33" s="18">
        <v>0</v>
      </c>
      <c r="G33" s="18">
        <v>0</v>
      </c>
      <c r="H33" s="18">
        <f t="shared" si="0"/>
        <v>0</v>
      </c>
      <c r="I33" s="10">
        <v>0.86</v>
      </c>
      <c r="J33" s="16"/>
    </row>
    <row r="34" spans="1:10" x14ac:dyDescent="0.3">
      <c r="A34" s="11">
        <v>33</v>
      </c>
      <c r="B34" s="12" t="s">
        <v>301</v>
      </c>
      <c r="C34" s="13">
        <v>46054</v>
      </c>
      <c r="D34" s="13">
        <v>46055</v>
      </c>
      <c r="E34" s="11" t="s">
        <v>25</v>
      </c>
      <c r="F34" s="14">
        <v>0</v>
      </c>
      <c r="G34" s="14">
        <v>0</v>
      </c>
      <c r="H34" s="14">
        <f t="shared" si="0"/>
        <v>0</v>
      </c>
      <c r="I34" s="6">
        <v>0.85</v>
      </c>
      <c r="J34" s="12"/>
    </row>
    <row r="35" spans="1:10" x14ac:dyDescent="0.3">
      <c r="A35" s="15">
        <v>34</v>
      </c>
      <c r="B35" s="16" t="s">
        <v>302</v>
      </c>
      <c r="C35" s="17">
        <v>46054</v>
      </c>
      <c r="D35" s="17">
        <v>46055</v>
      </c>
      <c r="E35" s="15" t="s">
        <v>25</v>
      </c>
      <c r="F35" s="18">
        <v>0</v>
      </c>
      <c r="G35" s="18">
        <v>0</v>
      </c>
      <c r="H35" s="18">
        <f t="shared" si="0"/>
        <v>0</v>
      </c>
      <c r="I35" s="10">
        <v>0.82</v>
      </c>
      <c r="J35" s="16"/>
    </row>
    <row r="36" spans="1:10" x14ac:dyDescent="0.3">
      <c r="A36" s="11">
        <v>35</v>
      </c>
      <c r="B36" s="12" t="s">
        <v>303</v>
      </c>
      <c r="C36" s="13">
        <v>46054</v>
      </c>
      <c r="D36" s="13">
        <v>46055</v>
      </c>
      <c r="E36" s="11" t="s">
        <v>25</v>
      </c>
      <c r="F36" s="14">
        <v>0</v>
      </c>
      <c r="G36" s="14">
        <v>0</v>
      </c>
      <c r="H36" s="14">
        <f t="shared" si="0"/>
        <v>0</v>
      </c>
      <c r="I36" s="6">
        <v>0.77</v>
      </c>
      <c r="J36" s="12"/>
    </row>
    <row r="37" spans="1:10" x14ac:dyDescent="0.3">
      <c r="A37" s="15">
        <v>36</v>
      </c>
      <c r="B37" s="16" t="s">
        <v>304</v>
      </c>
      <c r="C37" s="17">
        <v>46054</v>
      </c>
      <c r="D37" s="17">
        <v>46055</v>
      </c>
      <c r="E37" s="15" t="s">
        <v>25</v>
      </c>
      <c r="F37" s="18">
        <v>0</v>
      </c>
      <c r="G37" s="18">
        <v>0</v>
      </c>
      <c r="H37" s="18">
        <f t="shared" si="0"/>
        <v>0</v>
      </c>
      <c r="I37" s="10">
        <v>0.98</v>
      </c>
      <c r="J37" s="16"/>
    </row>
    <row r="38" spans="1:10" x14ac:dyDescent="0.3">
      <c r="A38" s="11">
        <v>37</v>
      </c>
      <c r="B38" s="12" t="s">
        <v>305</v>
      </c>
      <c r="C38" s="13">
        <v>46055</v>
      </c>
      <c r="D38" s="13">
        <v>46063</v>
      </c>
      <c r="E38" s="11" t="s">
        <v>25</v>
      </c>
      <c r="F38" s="14">
        <v>0</v>
      </c>
      <c r="G38" s="14">
        <v>0</v>
      </c>
      <c r="H38" s="14">
        <f t="shared" si="0"/>
        <v>0</v>
      </c>
      <c r="I38" s="6">
        <v>8.1300000000000008</v>
      </c>
      <c r="J38" s="12"/>
    </row>
    <row r="39" spans="1:10" x14ac:dyDescent="0.3">
      <c r="A39" s="15">
        <v>38</v>
      </c>
      <c r="B39" s="16" t="s">
        <v>306</v>
      </c>
      <c r="C39" s="17">
        <v>46055</v>
      </c>
      <c r="D39" s="17">
        <v>46056</v>
      </c>
      <c r="E39" s="15" t="s">
        <v>25</v>
      </c>
      <c r="F39" s="18">
        <v>0</v>
      </c>
      <c r="G39" s="18">
        <v>0</v>
      </c>
      <c r="H39" s="18">
        <f t="shared" si="0"/>
        <v>0</v>
      </c>
      <c r="I39" s="10">
        <v>1.04</v>
      </c>
      <c r="J39" s="16"/>
    </row>
    <row r="40" spans="1:10" x14ac:dyDescent="0.3">
      <c r="A40" s="11">
        <v>39</v>
      </c>
      <c r="B40" s="12" t="s">
        <v>307</v>
      </c>
      <c r="C40" s="13">
        <v>46055</v>
      </c>
      <c r="D40" s="13">
        <v>46056</v>
      </c>
      <c r="E40" s="11" t="s">
        <v>25</v>
      </c>
      <c r="F40" s="14">
        <v>0</v>
      </c>
      <c r="G40" s="14">
        <v>0</v>
      </c>
      <c r="H40" s="14">
        <f t="shared" si="0"/>
        <v>0</v>
      </c>
      <c r="I40" s="6">
        <v>1.04</v>
      </c>
      <c r="J40" s="12"/>
    </row>
    <row r="41" spans="1:10" x14ac:dyDescent="0.3">
      <c r="A41" s="15">
        <v>40</v>
      </c>
      <c r="B41" s="16" t="s">
        <v>308</v>
      </c>
      <c r="C41" s="17">
        <v>46055</v>
      </c>
      <c r="D41" s="17">
        <v>46063</v>
      </c>
      <c r="E41" s="15" t="s">
        <v>25</v>
      </c>
      <c r="F41" s="18">
        <v>0</v>
      </c>
      <c r="G41" s="18">
        <v>0</v>
      </c>
      <c r="H41" s="18">
        <f t="shared" si="0"/>
        <v>0</v>
      </c>
      <c r="I41" s="10">
        <v>8.1199999999999992</v>
      </c>
      <c r="J41" s="16"/>
    </row>
    <row r="42" spans="1:10" x14ac:dyDescent="0.3">
      <c r="A42" s="11">
        <v>41</v>
      </c>
      <c r="B42" s="12" t="s">
        <v>309</v>
      </c>
      <c r="C42" s="13">
        <v>46055</v>
      </c>
      <c r="D42" s="13">
        <v>46077</v>
      </c>
      <c r="E42" s="11" t="s">
        <v>25</v>
      </c>
      <c r="F42" s="14">
        <v>0</v>
      </c>
      <c r="G42" s="14">
        <v>0</v>
      </c>
      <c r="H42" s="14">
        <f t="shared" si="0"/>
        <v>0</v>
      </c>
      <c r="I42" s="6">
        <v>21.99</v>
      </c>
      <c r="J42" s="12"/>
    </row>
    <row r="43" spans="1:10" x14ac:dyDescent="0.3">
      <c r="A43" s="15">
        <v>42</v>
      </c>
      <c r="B43" s="16" t="s">
        <v>310</v>
      </c>
      <c r="C43" s="17">
        <v>46055</v>
      </c>
      <c r="D43" s="17">
        <v>46056</v>
      </c>
      <c r="E43" s="15" t="s">
        <v>25</v>
      </c>
      <c r="F43" s="18">
        <v>0</v>
      </c>
      <c r="G43" s="18">
        <v>0</v>
      </c>
      <c r="H43" s="18">
        <f t="shared" si="0"/>
        <v>0</v>
      </c>
      <c r="I43" s="10">
        <v>1.04</v>
      </c>
      <c r="J43" s="16"/>
    </row>
    <row r="44" spans="1:10" x14ac:dyDescent="0.3">
      <c r="A44" s="11">
        <v>43</v>
      </c>
      <c r="B44" s="12" t="s">
        <v>311</v>
      </c>
      <c r="C44" s="13">
        <v>46055</v>
      </c>
      <c r="D44" s="13">
        <v>46056</v>
      </c>
      <c r="E44" s="11" t="s">
        <v>25</v>
      </c>
      <c r="F44" s="14">
        <v>0</v>
      </c>
      <c r="G44" s="14">
        <v>0</v>
      </c>
      <c r="H44" s="14">
        <f t="shared" si="0"/>
        <v>0</v>
      </c>
      <c r="I44" s="6">
        <v>1.04</v>
      </c>
      <c r="J44" s="12"/>
    </row>
    <row r="45" spans="1:10" x14ac:dyDescent="0.3">
      <c r="A45" s="15">
        <v>44</v>
      </c>
      <c r="B45" s="16" t="s">
        <v>312</v>
      </c>
      <c r="C45" s="17">
        <v>46055</v>
      </c>
      <c r="D45" s="17">
        <v>46056</v>
      </c>
      <c r="E45" s="15" t="s">
        <v>25</v>
      </c>
      <c r="F45" s="18">
        <v>0</v>
      </c>
      <c r="G45" s="18">
        <v>0</v>
      </c>
      <c r="H45" s="18">
        <f t="shared" si="0"/>
        <v>0</v>
      </c>
      <c r="I45" s="10">
        <v>1.33</v>
      </c>
      <c r="J45" s="16"/>
    </row>
    <row r="46" spans="1:10" x14ac:dyDescent="0.3">
      <c r="A46" s="11">
        <v>45</v>
      </c>
      <c r="B46" s="12" t="s">
        <v>313</v>
      </c>
      <c r="C46" s="13">
        <v>46055</v>
      </c>
      <c r="D46" s="13">
        <v>46057</v>
      </c>
      <c r="E46" s="11" t="s">
        <v>25</v>
      </c>
      <c r="F46" s="14">
        <v>0</v>
      </c>
      <c r="G46" s="14">
        <v>0</v>
      </c>
      <c r="H46" s="14">
        <f t="shared" si="0"/>
        <v>0</v>
      </c>
      <c r="I46" s="6">
        <v>1.97</v>
      </c>
      <c r="J46" s="12"/>
    </row>
    <row r="47" spans="1:10" x14ac:dyDescent="0.3">
      <c r="A47" s="15">
        <v>46</v>
      </c>
      <c r="B47" s="16" t="s">
        <v>314</v>
      </c>
      <c r="C47" s="17">
        <v>46055</v>
      </c>
      <c r="D47" s="17">
        <v>46055</v>
      </c>
      <c r="E47" s="15" t="s">
        <v>25</v>
      </c>
      <c r="F47" s="18">
        <v>0</v>
      </c>
      <c r="G47" s="18">
        <v>0</v>
      </c>
      <c r="H47" s="18">
        <f t="shared" si="0"/>
        <v>0</v>
      </c>
      <c r="I47" s="10">
        <v>0.03</v>
      </c>
      <c r="J47" s="16"/>
    </row>
    <row r="48" spans="1:10" x14ac:dyDescent="0.3">
      <c r="A48" s="11">
        <v>47</v>
      </c>
      <c r="B48" s="12" t="s">
        <v>315</v>
      </c>
      <c r="C48" s="13">
        <v>46055</v>
      </c>
      <c r="D48" s="13">
        <v>46056</v>
      </c>
      <c r="E48" s="11" t="s">
        <v>25</v>
      </c>
      <c r="F48" s="14">
        <v>0</v>
      </c>
      <c r="G48" s="14">
        <v>0</v>
      </c>
      <c r="H48" s="14">
        <f t="shared" si="0"/>
        <v>0</v>
      </c>
      <c r="I48" s="6">
        <v>1.1599999999999999</v>
      </c>
      <c r="J48" s="12"/>
    </row>
    <row r="49" spans="1:10" x14ac:dyDescent="0.3">
      <c r="A49" s="15">
        <v>48</v>
      </c>
      <c r="B49" s="16" t="s">
        <v>316</v>
      </c>
      <c r="C49" s="17">
        <v>46055</v>
      </c>
      <c r="D49" s="17">
        <v>46055</v>
      </c>
      <c r="E49" s="15" t="s">
        <v>25</v>
      </c>
      <c r="F49" s="18">
        <v>0</v>
      </c>
      <c r="G49" s="18">
        <v>0</v>
      </c>
      <c r="H49" s="18">
        <f t="shared" si="0"/>
        <v>0</v>
      </c>
      <c r="I49" s="10">
        <v>0.17</v>
      </c>
      <c r="J49" s="16"/>
    </row>
    <row r="50" spans="1:10" x14ac:dyDescent="0.3">
      <c r="A50" s="11">
        <v>49</v>
      </c>
      <c r="B50" s="12" t="s">
        <v>317</v>
      </c>
      <c r="C50" s="13">
        <v>46055</v>
      </c>
      <c r="D50" s="13">
        <v>46056</v>
      </c>
      <c r="E50" s="11" t="s">
        <v>25</v>
      </c>
      <c r="F50" s="14">
        <v>0</v>
      </c>
      <c r="G50" s="14">
        <v>0</v>
      </c>
      <c r="H50" s="14">
        <f t="shared" si="0"/>
        <v>0</v>
      </c>
      <c r="I50" s="6">
        <v>1.1200000000000001</v>
      </c>
      <c r="J50" s="12"/>
    </row>
    <row r="51" spans="1:10" x14ac:dyDescent="0.3">
      <c r="A51" s="15">
        <v>50</v>
      </c>
      <c r="B51" s="16" t="s">
        <v>318</v>
      </c>
      <c r="C51" s="17">
        <v>46055</v>
      </c>
      <c r="D51" s="17">
        <v>46055</v>
      </c>
      <c r="E51" s="15" t="s">
        <v>25</v>
      </c>
      <c r="F51" s="18">
        <v>0</v>
      </c>
      <c r="G51" s="18">
        <v>0</v>
      </c>
      <c r="H51" s="18">
        <f t="shared" si="0"/>
        <v>0</v>
      </c>
      <c r="I51" s="10">
        <v>0.04</v>
      </c>
      <c r="J51" s="16"/>
    </row>
    <row r="52" spans="1:10" x14ac:dyDescent="0.3">
      <c r="A52" s="11">
        <v>51</v>
      </c>
      <c r="B52" s="12" t="s">
        <v>319</v>
      </c>
      <c r="C52" s="13">
        <v>46055</v>
      </c>
      <c r="D52" s="13">
        <v>46056</v>
      </c>
      <c r="E52" s="11" t="s">
        <v>25</v>
      </c>
      <c r="F52" s="14">
        <v>0</v>
      </c>
      <c r="G52" s="14">
        <v>0</v>
      </c>
      <c r="H52" s="14">
        <f t="shared" si="0"/>
        <v>0</v>
      </c>
      <c r="I52" s="6">
        <v>0.88</v>
      </c>
      <c r="J52" s="12"/>
    </row>
    <row r="53" spans="1:10" x14ac:dyDescent="0.3">
      <c r="A53" s="15">
        <v>52</v>
      </c>
      <c r="B53" s="16" t="s">
        <v>320</v>
      </c>
      <c r="C53" s="17">
        <v>46055</v>
      </c>
      <c r="D53" s="17">
        <v>46057</v>
      </c>
      <c r="E53" s="15" t="s">
        <v>25</v>
      </c>
      <c r="F53" s="18">
        <v>0</v>
      </c>
      <c r="G53" s="18">
        <v>0</v>
      </c>
      <c r="H53" s="18">
        <f t="shared" si="0"/>
        <v>0</v>
      </c>
      <c r="I53" s="10">
        <v>1.96</v>
      </c>
      <c r="J53" s="16"/>
    </row>
    <row r="54" spans="1:10" x14ac:dyDescent="0.3">
      <c r="A54" s="11">
        <v>53</v>
      </c>
      <c r="B54" s="12" t="s">
        <v>321</v>
      </c>
      <c r="C54" s="13">
        <v>46055</v>
      </c>
      <c r="D54" s="13">
        <v>46056</v>
      </c>
      <c r="E54" s="11" t="s">
        <v>25</v>
      </c>
      <c r="F54" s="14">
        <v>0</v>
      </c>
      <c r="G54" s="14">
        <v>0</v>
      </c>
      <c r="H54" s="14">
        <f t="shared" si="0"/>
        <v>0</v>
      </c>
      <c r="I54" s="6">
        <v>1.02</v>
      </c>
      <c r="J54" s="12"/>
    </row>
    <row r="55" spans="1:10" x14ac:dyDescent="0.3">
      <c r="A55" s="15">
        <v>54</v>
      </c>
      <c r="B55" s="16" t="s">
        <v>322</v>
      </c>
      <c r="C55" s="17">
        <v>46055</v>
      </c>
      <c r="D55" s="17">
        <v>46056</v>
      </c>
      <c r="E55" s="15" t="s">
        <v>25</v>
      </c>
      <c r="F55" s="18">
        <v>0</v>
      </c>
      <c r="G55" s="18">
        <v>0</v>
      </c>
      <c r="H55" s="18">
        <f t="shared" si="0"/>
        <v>0</v>
      </c>
      <c r="I55" s="10">
        <v>0.79</v>
      </c>
      <c r="J55" s="16"/>
    </row>
    <row r="56" spans="1:10" x14ac:dyDescent="0.3">
      <c r="A56" s="11">
        <v>55</v>
      </c>
      <c r="B56" s="12" t="s">
        <v>323</v>
      </c>
      <c r="C56" s="13">
        <v>46056</v>
      </c>
      <c r="D56" s="13">
        <v>46056</v>
      </c>
      <c r="E56" s="11" t="s">
        <v>25</v>
      </c>
      <c r="F56" s="14">
        <v>0</v>
      </c>
      <c r="G56" s="14">
        <v>0</v>
      </c>
      <c r="H56" s="14">
        <f t="shared" si="0"/>
        <v>0</v>
      </c>
      <c r="I56" s="6">
        <v>0.05</v>
      </c>
      <c r="J56" s="12"/>
    </row>
    <row r="57" spans="1:10" x14ac:dyDescent="0.3">
      <c r="A57" s="15">
        <v>56</v>
      </c>
      <c r="B57" s="16" t="s">
        <v>324</v>
      </c>
      <c r="C57" s="17">
        <v>46057</v>
      </c>
      <c r="D57" s="17">
        <v>46065</v>
      </c>
      <c r="E57" s="15" t="s">
        <v>25</v>
      </c>
      <c r="F57" s="18">
        <v>0</v>
      </c>
      <c r="G57" s="18">
        <v>0</v>
      </c>
      <c r="H57" s="18">
        <f t="shared" si="0"/>
        <v>0</v>
      </c>
      <c r="I57" s="10">
        <v>7.95</v>
      </c>
      <c r="J57" s="16"/>
    </row>
    <row r="58" spans="1:10" x14ac:dyDescent="0.3">
      <c r="A58" s="11">
        <v>57</v>
      </c>
      <c r="B58" s="12" t="s">
        <v>325</v>
      </c>
      <c r="C58" s="13">
        <v>46057</v>
      </c>
      <c r="D58" s="13">
        <v>46065</v>
      </c>
      <c r="E58" s="11" t="s">
        <v>25</v>
      </c>
      <c r="F58" s="14">
        <v>0</v>
      </c>
      <c r="G58" s="14">
        <v>0</v>
      </c>
      <c r="H58" s="14">
        <f t="shared" si="0"/>
        <v>0</v>
      </c>
      <c r="I58" s="6">
        <v>7.93</v>
      </c>
      <c r="J58" s="12"/>
    </row>
    <row r="59" spans="1:10" x14ac:dyDescent="0.3">
      <c r="A59" s="15">
        <v>58</v>
      </c>
      <c r="B59" s="16" t="s">
        <v>326</v>
      </c>
      <c r="C59" s="17">
        <v>46057</v>
      </c>
      <c r="D59" s="17">
        <v>46057</v>
      </c>
      <c r="E59" s="15" t="s">
        <v>25</v>
      </c>
      <c r="F59" s="18">
        <v>0</v>
      </c>
      <c r="G59" s="18">
        <v>0</v>
      </c>
      <c r="H59" s="18">
        <f t="shared" si="0"/>
        <v>0</v>
      </c>
      <c r="I59" s="10">
        <v>0.34</v>
      </c>
      <c r="J59" s="16"/>
    </row>
    <row r="60" spans="1:10" x14ac:dyDescent="0.3">
      <c r="A60" s="11">
        <v>59</v>
      </c>
      <c r="B60" s="12" t="s">
        <v>327</v>
      </c>
      <c r="C60" s="13">
        <v>46057</v>
      </c>
      <c r="D60" s="13">
        <v>46059</v>
      </c>
      <c r="E60" s="11" t="s">
        <v>25</v>
      </c>
      <c r="F60" s="14">
        <v>0</v>
      </c>
      <c r="G60" s="14">
        <v>0</v>
      </c>
      <c r="H60" s="14">
        <f t="shared" si="0"/>
        <v>0</v>
      </c>
      <c r="I60" s="6">
        <v>1.89</v>
      </c>
      <c r="J60" s="12"/>
    </row>
    <row r="61" spans="1:10" x14ac:dyDescent="0.3">
      <c r="A61" s="15">
        <v>60</v>
      </c>
      <c r="B61" s="16" t="s">
        <v>328</v>
      </c>
      <c r="C61" s="17">
        <v>46057</v>
      </c>
      <c r="D61" s="17">
        <v>46059</v>
      </c>
      <c r="E61" s="15" t="s">
        <v>25</v>
      </c>
      <c r="F61" s="18">
        <v>0</v>
      </c>
      <c r="G61" s="18">
        <v>0</v>
      </c>
      <c r="H61" s="18">
        <f t="shared" si="0"/>
        <v>0</v>
      </c>
      <c r="I61" s="10">
        <v>1.87</v>
      </c>
      <c r="J61" s="16"/>
    </row>
    <row r="62" spans="1:10" x14ac:dyDescent="0.3">
      <c r="A62" s="11">
        <v>61</v>
      </c>
      <c r="B62" s="12" t="s">
        <v>329</v>
      </c>
      <c r="C62" s="13">
        <v>46057</v>
      </c>
      <c r="D62" s="13">
        <v>46059</v>
      </c>
      <c r="E62" s="11" t="s">
        <v>25</v>
      </c>
      <c r="F62" s="14">
        <v>0</v>
      </c>
      <c r="G62" s="14">
        <v>0</v>
      </c>
      <c r="H62" s="14">
        <f t="shared" si="0"/>
        <v>0</v>
      </c>
      <c r="I62" s="6">
        <v>1.86</v>
      </c>
      <c r="J62" s="12"/>
    </row>
    <row r="63" spans="1:10" x14ac:dyDescent="0.3">
      <c r="A63" s="15">
        <v>62</v>
      </c>
      <c r="B63" s="16" t="s">
        <v>330</v>
      </c>
      <c r="C63" s="17">
        <v>46057</v>
      </c>
      <c r="D63" s="17">
        <v>46059</v>
      </c>
      <c r="E63" s="15" t="s">
        <v>25</v>
      </c>
      <c r="F63" s="18">
        <v>0</v>
      </c>
      <c r="G63" s="18">
        <v>0</v>
      </c>
      <c r="H63" s="18">
        <f t="shared" si="0"/>
        <v>0</v>
      </c>
      <c r="I63" s="10">
        <v>1.78</v>
      </c>
      <c r="J63" s="16"/>
    </row>
    <row r="64" spans="1:10" x14ac:dyDescent="0.3">
      <c r="A64" s="11">
        <v>63</v>
      </c>
      <c r="B64" s="12" t="s">
        <v>331</v>
      </c>
      <c r="C64" s="13">
        <v>46057</v>
      </c>
      <c r="D64" s="13">
        <v>46059</v>
      </c>
      <c r="E64" s="11" t="s">
        <v>25</v>
      </c>
      <c r="F64" s="14">
        <v>0</v>
      </c>
      <c r="G64" s="14">
        <v>0</v>
      </c>
      <c r="H64" s="14">
        <f t="shared" si="0"/>
        <v>0</v>
      </c>
      <c r="I64" s="6">
        <v>1.78</v>
      </c>
      <c r="J64" s="12"/>
    </row>
    <row r="65" spans="1:10" x14ac:dyDescent="0.3">
      <c r="A65" s="15">
        <v>64</v>
      </c>
      <c r="B65" s="16" t="s">
        <v>332</v>
      </c>
      <c r="C65" s="17">
        <v>46057</v>
      </c>
      <c r="D65" s="17">
        <v>46059</v>
      </c>
      <c r="E65" s="15" t="s">
        <v>25</v>
      </c>
      <c r="F65" s="18">
        <v>0</v>
      </c>
      <c r="G65" s="18">
        <v>0</v>
      </c>
      <c r="H65" s="18">
        <f t="shared" si="0"/>
        <v>0</v>
      </c>
      <c r="I65" s="10">
        <v>1.78</v>
      </c>
      <c r="J65" s="16"/>
    </row>
    <row r="66" spans="1:10" x14ac:dyDescent="0.3">
      <c r="A66" s="11">
        <v>65</v>
      </c>
      <c r="B66" s="12" t="s">
        <v>333</v>
      </c>
      <c r="C66" s="13">
        <v>46057</v>
      </c>
      <c r="D66" s="13">
        <v>46059</v>
      </c>
      <c r="E66" s="11" t="s">
        <v>25</v>
      </c>
      <c r="F66" s="14">
        <v>0</v>
      </c>
      <c r="G66" s="14">
        <v>0</v>
      </c>
      <c r="H66" s="14">
        <f t="shared" ref="H66:H129" si="1">F66+G66</f>
        <v>0</v>
      </c>
      <c r="I66" s="6">
        <v>1.78</v>
      </c>
      <c r="J66" s="12"/>
    </row>
    <row r="67" spans="1:10" x14ac:dyDescent="0.3">
      <c r="A67" s="15">
        <v>66</v>
      </c>
      <c r="B67" s="16" t="s">
        <v>334</v>
      </c>
      <c r="C67" s="17">
        <v>46057</v>
      </c>
      <c r="D67" s="17">
        <v>46057</v>
      </c>
      <c r="E67" s="15" t="s">
        <v>25</v>
      </c>
      <c r="F67" s="18">
        <v>0</v>
      </c>
      <c r="G67" s="18">
        <v>0</v>
      </c>
      <c r="H67" s="18">
        <f t="shared" si="1"/>
        <v>0</v>
      </c>
      <c r="I67" s="10">
        <v>0.21</v>
      </c>
      <c r="J67" s="16"/>
    </row>
    <row r="68" spans="1:10" x14ac:dyDescent="0.3">
      <c r="A68" s="11">
        <v>67</v>
      </c>
      <c r="B68" s="12" t="s">
        <v>335</v>
      </c>
      <c r="C68" s="13">
        <v>46057</v>
      </c>
      <c r="D68" s="13">
        <v>46059</v>
      </c>
      <c r="E68" s="11" t="s">
        <v>25</v>
      </c>
      <c r="F68" s="14">
        <v>0</v>
      </c>
      <c r="G68" s="14">
        <v>0</v>
      </c>
      <c r="H68" s="14">
        <f t="shared" si="1"/>
        <v>0</v>
      </c>
      <c r="I68" s="6">
        <v>1.76</v>
      </c>
      <c r="J68" s="12"/>
    </row>
    <row r="69" spans="1:10" x14ac:dyDescent="0.3">
      <c r="A69" s="15">
        <v>68</v>
      </c>
      <c r="B69" s="16" t="s">
        <v>336</v>
      </c>
      <c r="C69" s="17">
        <v>46057</v>
      </c>
      <c r="D69" s="17">
        <v>46058</v>
      </c>
      <c r="E69" s="15" t="s">
        <v>25</v>
      </c>
      <c r="F69" s="18">
        <v>0</v>
      </c>
      <c r="G69" s="18">
        <v>0</v>
      </c>
      <c r="H69" s="18">
        <f t="shared" si="1"/>
        <v>0</v>
      </c>
      <c r="I69" s="10">
        <v>0.74</v>
      </c>
      <c r="J69" s="16"/>
    </row>
    <row r="70" spans="1:10" x14ac:dyDescent="0.3">
      <c r="A70" s="11">
        <v>69</v>
      </c>
      <c r="B70" s="12" t="s">
        <v>337</v>
      </c>
      <c r="C70" s="13">
        <v>46057</v>
      </c>
      <c r="D70" s="13">
        <v>46058</v>
      </c>
      <c r="E70" s="11" t="s">
        <v>25</v>
      </c>
      <c r="F70" s="14">
        <v>0</v>
      </c>
      <c r="G70" s="14">
        <v>0</v>
      </c>
      <c r="H70" s="14">
        <f t="shared" si="1"/>
        <v>0</v>
      </c>
      <c r="I70" s="6">
        <v>0.74</v>
      </c>
      <c r="J70" s="12"/>
    </row>
    <row r="71" spans="1:10" x14ac:dyDescent="0.3">
      <c r="A71" s="15">
        <v>70</v>
      </c>
      <c r="B71" s="16" t="s">
        <v>338</v>
      </c>
      <c r="C71" s="17">
        <v>46057</v>
      </c>
      <c r="D71" s="17">
        <v>46058</v>
      </c>
      <c r="E71" s="15" t="s">
        <v>25</v>
      </c>
      <c r="F71" s="18">
        <v>0</v>
      </c>
      <c r="G71" s="18">
        <v>0</v>
      </c>
      <c r="H71" s="18">
        <f t="shared" si="1"/>
        <v>0</v>
      </c>
      <c r="I71" s="10">
        <v>0.73</v>
      </c>
      <c r="J71" s="16"/>
    </row>
    <row r="72" spans="1:10" x14ac:dyDescent="0.3">
      <c r="A72" s="11">
        <v>71</v>
      </c>
      <c r="B72" s="12" t="s">
        <v>339</v>
      </c>
      <c r="C72" s="13">
        <v>46057</v>
      </c>
      <c r="D72" s="13">
        <v>46059</v>
      </c>
      <c r="E72" s="11" t="s">
        <v>25</v>
      </c>
      <c r="F72" s="14">
        <v>0</v>
      </c>
      <c r="G72" s="14">
        <v>0</v>
      </c>
      <c r="H72" s="14">
        <f t="shared" si="1"/>
        <v>0</v>
      </c>
      <c r="I72" s="6">
        <v>1.69</v>
      </c>
      <c r="J72" s="12"/>
    </row>
    <row r="73" spans="1:10" x14ac:dyDescent="0.3">
      <c r="A73" s="15">
        <v>72</v>
      </c>
      <c r="B73" s="16" t="s">
        <v>340</v>
      </c>
      <c r="C73" s="17">
        <v>46057</v>
      </c>
      <c r="D73" s="17">
        <v>46059</v>
      </c>
      <c r="E73" s="15" t="s">
        <v>25</v>
      </c>
      <c r="F73" s="18">
        <v>0</v>
      </c>
      <c r="G73" s="18">
        <v>0</v>
      </c>
      <c r="H73" s="18">
        <f t="shared" si="1"/>
        <v>0</v>
      </c>
      <c r="I73" s="10">
        <v>1.69</v>
      </c>
      <c r="J73" s="16"/>
    </row>
    <row r="74" spans="1:10" x14ac:dyDescent="0.3">
      <c r="A74" s="11">
        <v>73</v>
      </c>
      <c r="B74" s="12" t="s">
        <v>341</v>
      </c>
      <c r="C74" s="13">
        <v>46057</v>
      </c>
      <c r="D74" s="13">
        <v>46059</v>
      </c>
      <c r="E74" s="11" t="s">
        <v>25</v>
      </c>
      <c r="F74" s="14">
        <v>0</v>
      </c>
      <c r="G74" s="14">
        <v>0</v>
      </c>
      <c r="H74" s="14">
        <f t="shared" si="1"/>
        <v>0</v>
      </c>
      <c r="I74" s="6">
        <v>1.69</v>
      </c>
      <c r="J74" s="12"/>
    </row>
    <row r="75" spans="1:10" x14ac:dyDescent="0.3">
      <c r="A75" s="15">
        <v>74</v>
      </c>
      <c r="B75" s="16" t="s">
        <v>342</v>
      </c>
      <c r="C75" s="17">
        <v>46057</v>
      </c>
      <c r="D75" s="17">
        <v>46059</v>
      </c>
      <c r="E75" s="15" t="s">
        <v>25</v>
      </c>
      <c r="F75" s="18">
        <v>0</v>
      </c>
      <c r="G75" s="18">
        <v>0</v>
      </c>
      <c r="H75" s="18">
        <f t="shared" si="1"/>
        <v>0</v>
      </c>
      <c r="I75" s="10">
        <v>1.68</v>
      </c>
      <c r="J75" s="16"/>
    </row>
    <row r="76" spans="1:10" x14ac:dyDescent="0.3">
      <c r="A76" s="11">
        <v>75</v>
      </c>
      <c r="B76" s="12" t="s">
        <v>343</v>
      </c>
      <c r="C76" s="13">
        <v>46057</v>
      </c>
      <c r="D76" s="13">
        <v>46059</v>
      </c>
      <c r="E76" s="11" t="s">
        <v>25</v>
      </c>
      <c r="F76" s="14">
        <v>0</v>
      </c>
      <c r="G76" s="14">
        <v>0</v>
      </c>
      <c r="H76" s="14">
        <f t="shared" si="1"/>
        <v>0</v>
      </c>
      <c r="I76" s="6">
        <v>1.68</v>
      </c>
      <c r="J76" s="12"/>
    </row>
    <row r="77" spans="1:10" x14ac:dyDescent="0.3">
      <c r="A77" s="15">
        <v>76</v>
      </c>
      <c r="B77" s="16" t="s">
        <v>344</v>
      </c>
      <c r="C77" s="17">
        <v>46057</v>
      </c>
      <c r="D77" s="17">
        <v>46059</v>
      </c>
      <c r="E77" s="15" t="s">
        <v>25</v>
      </c>
      <c r="F77" s="18">
        <v>0</v>
      </c>
      <c r="G77" s="18">
        <v>0</v>
      </c>
      <c r="H77" s="18">
        <f t="shared" si="1"/>
        <v>0</v>
      </c>
      <c r="I77" s="10">
        <v>1.68</v>
      </c>
      <c r="J77" s="16"/>
    </row>
    <row r="78" spans="1:10" x14ac:dyDescent="0.3">
      <c r="A78" s="11">
        <v>77</v>
      </c>
      <c r="B78" s="12" t="s">
        <v>345</v>
      </c>
      <c r="C78" s="13">
        <v>46057</v>
      </c>
      <c r="D78" s="13">
        <v>46058</v>
      </c>
      <c r="E78" s="11" t="s">
        <v>25</v>
      </c>
      <c r="F78" s="14">
        <v>0</v>
      </c>
      <c r="G78" s="14">
        <v>0</v>
      </c>
      <c r="H78" s="14">
        <f t="shared" si="1"/>
        <v>0</v>
      </c>
      <c r="I78" s="6">
        <v>1.02</v>
      </c>
      <c r="J78" s="12"/>
    </row>
    <row r="79" spans="1:10" x14ac:dyDescent="0.3">
      <c r="A79" s="15">
        <v>78</v>
      </c>
      <c r="B79" s="16" t="s">
        <v>346</v>
      </c>
      <c r="C79" s="17">
        <v>46057</v>
      </c>
      <c r="D79" s="17">
        <v>46063</v>
      </c>
      <c r="E79" s="15" t="s">
        <v>25</v>
      </c>
      <c r="F79" s="18">
        <v>0</v>
      </c>
      <c r="G79" s="18">
        <v>0</v>
      </c>
      <c r="H79" s="18">
        <f t="shared" si="1"/>
        <v>0</v>
      </c>
      <c r="I79" s="10">
        <v>5.55</v>
      </c>
      <c r="J79" s="16"/>
    </row>
    <row r="80" spans="1:10" x14ac:dyDescent="0.3">
      <c r="A80" s="11">
        <v>79</v>
      </c>
      <c r="B80" s="12" t="s">
        <v>347</v>
      </c>
      <c r="C80" s="13">
        <v>46058</v>
      </c>
      <c r="D80" s="13">
        <v>46059</v>
      </c>
      <c r="E80" s="11" t="s">
        <v>25</v>
      </c>
      <c r="F80" s="14">
        <v>0</v>
      </c>
      <c r="G80" s="14">
        <v>0</v>
      </c>
      <c r="H80" s="14">
        <f t="shared" si="1"/>
        <v>0</v>
      </c>
      <c r="I80" s="6">
        <v>0.85</v>
      </c>
      <c r="J80" s="12"/>
    </row>
    <row r="81" spans="1:10" x14ac:dyDescent="0.3">
      <c r="A81" s="15">
        <v>80</v>
      </c>
      <c r="B81" s="16" t="s">
        <v>348</v>
      </c>
      <c r="C81" s="17">
        <v>46058</v>
      </c>
      <c r="D81" s="17">
        <v>46059</v>
      </c>
      <c r="E81" s="15" t="s">
        <v>25</v>
      </c>
      <c r="F81" s="18">
        <v>0</v>
      </c>
      <c r="G81" s="18">
        <v>0</v>
      </c>
      <c r="H81" s="18">
        <f t="shared" si="1"/>
        <v>0</v>
      </c>
      <c r="I81" s="10">
        <v>0.83</v>
      </c>
      <c r="J81" s="16"/>
    </row>
    <row r="82" spans="1:10" x14ac:dyDescent="0.3">
      <c r="A82" s="11">
        <v>81</v>
      </c>
      <c r="B82" s="12" t="s">
        <v>349</v>
      </c>
      <c r="C82" s="13">
        <v>46058</v>
      </c>
      <c r="D82" s="13">
        <v>46065</v>
      </c>
      <c r="E82" s="11" t="s">
        <v>25</v>
      </c>
      <c r="F82" s="14">
        <v>0</v>
      </c>
      <c r="G82" s="14">
        <v>0</v>
      </c>
      <c r="H82" s="14">
        <f t="shared" si="1"/>
        <v>0</v>
      </c>
      <c r="I82" s="6">
        <v>7.05</v>
      </c>
      <c r="J82" s="12"/>
    </row>
    <row r="83" spans="1:10" x14ac:dyDescent="0.3">
      <c r="A83" s="15">
        <v>82</v>
      </c>
      <c r="B83" s="16" t="s">
        <v>350</v>
      </c>
      <c r="C83" s="17">
        <v>46058</v>
      </c>
      <c r="D83" s="17">
        <v>46059</v>
      </c>
      <c r="E83" s="15" t="s">
        <v>25</v>
      </c>
      <c r="F83" s="18">
        <v>0</v>
      </c>
      <c r="G83" s="18">
        <v>0</v>
      </c>
      <c r="H83" s="18">
        <f t="shared" si="1"/>
        <v>0</v>
      </c>
      <c r="I83" s="10">
        <v>0.8</v>
      </c>
      <c r="J83" s="16"/>
    </row>
    <row r="84" spans="1:10" x14ac:dyDescent="0.3">
      <c r="A84" s="11">
        <v>83</v>
      </c>
      <c r="B84" s="12" t="s">
        <v>351</v>
      </c>
      <c r="C84" s="13">
        <v>46058</v>
      </c>
      <c r="D84" s="13">
        <v>46059</v>
      </c>
      <c r="E84" s="11" t="s">
        <v>25</v>
      </c>
      <c r="F84" s="14">
        <v>0</v>
      </c>
      <c r="G84" s="14">
        <v>0</v>
      </c>
      <c r="H84" s="14">
        <f t="shared" si="1"/>
        <v>0</v>
      </c>
      <c r="I84" s="6">
        <v>0.78</v>
      </c>
      <c r="J84" s="12"/>
    </row>
    <row r="85" spans="1:10" x14ac:dyDescent="0.3">
      <c r="A85" s="15">
        <v>84</v>
      </c>
      <c r="B85" s="16" t="s">
        <v>352</v>
      </c>
      <c r="C85" s="17">
        <v>46058</v>
      </c>
      <c r="D85" s="17">
        <v>46062</v>
      </c>
      <c r="E85" s="15" t="s">
        <v>25</v>
      </c>
      <c r="F85" s="18">
        <v>0</v>
      </c>
      <c r="G85" s="18">
        <v>0</v>
      </c>
      <c r="H85" s="18">
        <f t="shared" si="1"/>
        <v>0</v>
      </c>
      <c r="I85" s="10">
        <v>3.69</v>
      </c>
      <c r="J85" s="16"/>
    </row>
    <row r="86" spans="1:10" x14ac:dyDescent="0.3">
      <c r="A86" s="11">
        <v>85</v>
      </c>
      <c r="B86" s="12" t="s">
        <v>353</v>
      </c>
      <c r="C86" s="13">
        <v>46058</v>
      </c>
      <c r="D86" s="13">
        <v>46062</v>
      </c>
      <c r="E86" s="11" t="s">
        <v>25</v>
      </c>
      <c r="F86" s="14">
        <v>0</v>
      </c>
      <c r="G86" s="14">
        <v>0</v>
      </c>
      <c r="H86" s="14">
        <f t="shared" si="1"/>
        <v>0</v>
      </c>
      <c r="I86" s="6">
        <v>3.81</v>
      </c>
      <c r="J86" s="12"/>
    </row>
    <row r="87" spans="1:10" x14ac:dyDescent="0.3">
      <c r="A87" s="15">
        <v>86</v>
      </c>
      <c r="B87" s="16" t="s">
        <v>354</v>
      </c>
      <c r="C87" s="17">
        <v>46059</v>
      </c>
      <c r="D87" s="17">
        <v>46062</v>
      </c>
      <c r="E87" s="15" t="s">
        <v>25</v>
      </c>
      <c r="F87" s="18">
        <v>0</v>
      </c>
      <c r="G87" s="18">
        <v>0</v>
      </c>
      <c r="H87" s="18">
        <f t="shared" si="1"/>
        <v>0</v>
      </c>
      <c r="I87" s="10">
        <v>2.77</v>
      </c>
      <c r="J87" s="16"/>
    </row>
    <row r="88" spans="1:10" x14ac:dyDescent="0.3">
      <c r="A88" s="11">
        <v>87</v>
      </c>
      <c r="B88" s="12" t="s">
        <v>355</v>
      </c>
      <c r="C88" s="13">
        <v>46059</v>
      </c>
      <c r="D88" s="13">
        <v>46062</v>
      </c>
      <c r="E88" s="11" t="s">
        <v>25</v>
      </c>
      <c r="F88" s="14">
        <v>0</v>
      </c>
      <c r="G88" s="14">
        <v>0</v>
      </c>
      <c r="H88" s="14">
        <f t="shared" si="1"/>
        <v>0</v>
      </c>
      <c r="I88" s="6">
        <v>3.02</v>
      </c>
      <c r="J88" s="12"/>
    </row>
    <row r="89" spans="1:10" x14ac:dyDescent="0.3">
      <c r="A89" s="15">
        <v>88</v>
      </c>
      <c r="B89" s="16" t="s">
        <v>356</v>
      </c>
      <c r="C89" s="17">
        <v>46059</v>
      </c>
      <c r="D89" s="17">
        <v>46063</v>
      </c>
      <c r="E89" s="15" t="s">
        <v>25</v>
      </c>
      <c r="F89" s="18">
        <v>0</v>
      </c>
      <c r="G89" s="18">
        <v>0</v>
      </c>
      <c r="H89" s="18">
        <f t="shared" si="1"/>
        <v>0</v>
      </c>
      <c r="I89" s="10">
        <v>3.79</v>
      </c>
      <c r="J89" s="16"/>
    </row>
    <row r="90" spans="1:10" x14ac:dyDescent="0.3">
      <c r="A90" s="11">
        <v>89</v>
      </c>
      <c r="B90" s="12" t="s">
        <v>357</v>
      </c>
      <c r="C90" s="13">
        <v>46060</v>
      </c>
      <c r="D90" s="13">
        <v>46061</v>
      </c>
      <c r="E90" s="11" t="s">
        <v>25</v>
      </c>
      <c r="F90" s="14">
        <v>0</v>
      </c>
      <c r="G90" s="14">
        <v>0</v>
      </c>
      <c r="H90" s="14">
        <f t="shared" si="1"/>
        <v>0</v>
      </c>
      <c r="I90" s="6">
        <v>1.31</v>
      </c>
      <c r="J90" s="12"/>
    </row>
    <row r="91" spans="1:10" x14ac:dyDescent="0.3">
      <c r="A91" s="15">
        <v>90</v>
      </c>
      <c r="B91" s="16" t="s">
        <v>358</v>
      </c>
      <c r="C91" s="17">
        <v>46060</v>
      </c>
      <c r="D91" s="17">
        <v>46061</v>
      </c>
      <c r="E91" s="15" t="s">
        <v>25</v>
      </c>
      <c r="F91" s="18">
        <v>0</v>
      </c>
      <c r="G91" s="18">
        <v>0</v>
      </c>
      <c r="H91" s="18">
        <f t="shared" si="1"/>
        <v>0</v>
      </c>
      <c r="I91" s="10">
        <v>1.24</v>
      </c>
      <c r="J91" s="16"/>
    </row>
    <row r="92" spans="1:10" x14ac:dyDescent="0.3">
      <c r="A92" s="11">
        <v>91</v>
      </c>
      <c r="B92" s="12" t="s">
        <v>359</v>
      </c>
      <c r="C92" s="13">
        <v>46060</v>
      </c>
      <c r="D92" s="13">
        <v>46061</v>
      </c>
      <c r="E92" s="11" t="s">
        <v>25</v>
      </c>
      <c r="F92" s="14">
        <v>0</v>
      </c>
      <c r="G92" s="14">
        <v>0</v>
      </c>
      <c r="H92" s="14">
        <f t="shared" si="1"/>
        <v>0</v>
      </c>
      <c r="I92" s="6">
        <v>1.21</v>
      </c>
      <c r="J92" s="12"/>
    </row>
    <row r="93" spans="1:10" x14ac:dyDescent="0.3">
      <c r="A93" s="15">
        <v>92</v>
      </c>
      <c r="B93" s="16" t="s">
        <v>360</v>
      </c>
      <c r="C93" s="17">
        <v>46060</v>
      </c>
      <c r="D93" s="17">
        <v>46062</v>
      </c>
      <c r="E93" s="15" t="s">
        <v>25</v>
      </c>
      <c r="F93" s="18">
        <v>0</v>
      </c>
      <c r="G93" s="18">
        <v>0</v>
      </c>
      <c r="H93" s="18">
        <f t="shared" si="1"/>
        <v>0</v>
      </c>
      <c r="I93" s="10">
        <v>1.87</v>
      </c>
      <c r="J93" s="16"/>
    </row>
    <row r="94" spans="1:10" x14ac:dyDescent="0.3">
      <c r="A94" s="11">
        <v>93</v>
      </c>
      <c r="B94" s="12" t="s">
        <v>361</v>
      </c>
      <c r="C94" s="13">
        <v>46060</v>
      </c>
      <c r="D94" s="13">
        <v>46062</v>
      </c>
      <c r="E94" s="11" t="s">
        <v>25</v>
      </c>
      <c r="F94" s="14">
        <v>0</v>
      </c>
      <c r="G94" s="14">
        <v>0</v>
      </c>
      <c r="H94" s="14">
        <f t="shared" si="1"/>
        <v>0</v>
      </c>
      <c r="I94" s="6">
        <v>2.09</v>
      </c>
      <c r="J94" s="12"/>
    </row>
    <row r="95" spans="1:10" x14ac:dyDescent="0.3">
      <c r="A95" s="15">
        <v>94</v>
      </c>
      <c r="B95" s="16" t="s">
        <v>362</v>
      </c>
      <c r="C95" s="17">
        <v>46060</v>
      </c>
      <c r="D95" s="17">
        <v>46061</v>
      </c>
      <c r="E95" s="15" t="s">
        <v>25</v>
      </c>
      <c r="F95" s="18">
        <v>0</v>
      </c>
      <c r="G95" s="18">
        <v>0</v>
      </c>
      <c r="H95" s="18">
        <f t="shared" si="1"/>
        <v>0</v>
      </c>
      <c r="I95" s="10">
        <v>1.1399999999999999</v>
      </c>
      <c r="J95" s="16"/>
    </row>
    <row r="96" spans="1:10" x14ac:dyDescent="0.3">
      <c r="A96" s="11">
        <v>95</v>
      </c>
      <c r="B96" s="12" t="s">
        <v>363</v>
      </c>
      <c r="C96" s="13">
        <v>46060</v>
      </c>
      <c r="D96" s="13">
        <v>46062</v>
      </c>
      <c r="E96" s="11" t="s">
        <v>25</v>
      </c>
      <c r="F96" s="14">
        <v>0</v>
      </c>
      <c r="G96" s="14">
        <v>0</v>
      </c>
      <c r="H96" s="14">
        <f t="shared" si="1"/>
        <v>0</v>
      </c>
      <c r="I96" s="6">
        <v>1.78</v>
      </c>
      <c r="J96" s="12"/>
    </row>
    <row r="97" spans="1:10" x14ac:dyDescent="0.3">
      <c r="A97" s="15">
        <v>96</v>
      </c>
      <c r="B97" s="16" t="s">
        <v>364</v>
      </c>
      <c r="C97" s="17">
        <v>46060</v>
      </c>
      <c r="D97" s="17">
        <v>46062</v>
      </c>
      <c r="E97" s="15" t="s">
        <v>25</v>
      </c>
      <c r="F97" s="18">
        <v>0</v>
      </c>
      <c r="G97" s="18">
        <v>0</v>
      </c>
      <c r="H97" s="18">
        <f t="shared" si="1"/>
        <v>0</v>
      </c>
      <c r="I97" s="10">
        <v>1.78</v>
      </c>
      <c r="J97" s="16"/>
    </row>
    <row r="98" spans="1:10" x14ac:dyDescent="0.3">
      <c r="A98" s="11">
        <v>97</v>
      </c>
      <c r="B98" s="12" t="s">
        <v>365</v>
      </c>
      <c r="C98" s="13">
        <v>46061</v>
      </c>
      <c r="D98" s="13">
        <v>46062</v>
      </c>
      <c r="E98" s="11" t="s">
        <v>25</v>
      </c>
      <c r="F98" s="14">
        <v>0</v>
      </c>
      <c r="G98" s="14">
        <v>0</v>
      </c>
      <c r="H98" s="14">
        <f t="shared" si="1"/>
        <v>0</v>
      </c>
      <c r="I98" s="6">
        <v>0.99</v>
      </c>
      <c r="J98" s="12"/>
    </row>
    <row r="99" spans="1:10" x14ac:dyDescent="0.3">
      <c r="A99" s="15">
        <v>98</v>
      </c>
      <c r="B99" s="16" t="s">
        <v>366</v>
      </c>
      <c r="C99" s="17">
        <v>46061</v>
      </c>
      <c r="D99" s="17">
        <v>46062</v>
      </c>
      <c r="E99" s="15" t="s">
        <v>25</v>
      </c>
      <c r="F99" s="18">
        <v>0</v>
      </c>
      <c r="G99" s="18">
        <v>0</v>
      </c>
      <c r="H99" s="18">
        <f t="shared" si="1"/>
        <v>0</v>
      </c>
      <c r="I99" s="10">
        <v>0.96</v>
      </c>
      <c r="J99" s="16"/>
    </row>
    <row r="100" spans="1:10" x14ac:dyDescent="0.3">
      <c r="A100" s="11">
        <v>99</v>
      </c>
      <c r="B100" s="12" t="s">
        <v>367</v>
      </c>
      <c r="C100" s="13">
        <v>46061</v>
      </c>
      <c r="D100" s="13">
        <v>46062</v>
      </c>
      <c r="E100" s="11" t="s">
        <v>25</v>
      </c>
      <c r="F100" s="14">
        <v>0</v>
      </c>
      <c r="G100" s="14">
        <v>0</v>
      </c>
      <c r="H100" s="14">
        <f t="shared" si="1"/>
        <v>0</v>
      </c>
      <c r="I100" s="6">
        <v>1.22</v>
      </c>
      <c r="J100" s="12"/>
    </row>
    <row r="101" spans="1:10" x14ac:dyDescent="0.3">
      <c r="A101" s="15">
        <v>100</v>
      </c>
      <c r="B101" s="16" t="s">
        <v>368</v>
      </c>
      <c r="C101" s="17">
        <v>46061</v>
      </c>
      <c r="D101" s="17">
        <v>46062</v>
      </c>
      <c r="E101" s="15" t="s">
        <v>25</v>
      </c>
      <c r="F101" s="18">
        <v>0</v>
      </c>
      <c r="G101" s="18">
        <v>0</v>
      </c>
      <c r="H101" s="18">
        <f t="shared" si="1"/>
        <v>0</v>
      </c>
      <c r="I101" s="10">
        <v>0.9</v>
      </c>
      <c r="J101" s="16"/>
    </row>
    <row r="102" spans="1:10" x14ac:dyDescent="0.3">
      <c r="A102" s="11">
        <v>101</v>
      </c>
      <c r="B102" s="12" t="s">
        <v>369</v>
      </c>
      <c r="C102" s="13">
        <v>46061</v>
      </c>
      <c r="D102" s="13">
        <v>46061</v>
      </c>
      <c r="E102" s="11" t="s">
        <v>25</v>
      </c>
      <c r="F102" s="14">
        <v>0</v>
      </c>
      <c r="G102" s="14">
        <v>0</v>
      </c>
      <c r="H102" s="14">
        <f t="shared" si="1"/>
        <v>0</v>
      </c>
      <c r="I102" s="6">
        <v>0.18</v>
      </c>
      <c r="J102" s="12"/>
    </row>
    <row r="103" spans="1:10" x14ac:dyDescent="0.3">
      <c r="A103" s="15">
        <v>102</v>
      </c>
      <c r="B103" s="16" t="s">
        <v>370</v>
      </c>
      <c r="C103" s="17">
        <v>46061</v>
      </c>
      <c r="D103" s="17">
        <v>46062</v>
      </c>
      <c r="E103" s="15" t="s">
        <v>25</v>
      </c>
      <c r="F103" s="18">
        <v>0</v>
      </c>
      <c r="G103" s="18">
        <v>0</v>
      </c>
      <c r="H103" s="18">
        <f t="shared" si="1"/>
        <v>0</v>
      </c>
      <c r="I103" s="10">
        <v>0.57999999999999996</v>
      </c>
      <c r="J103" s="16"/>
    </row>
    <row r="104" spans="1:10" x14ac:dyDescent="0.3">
      <c r="A104" s="11">
        <v>103</v>
      </c>
      <c r="B104" s="12" t="s">
        <v>371</v>
      </c>
      <c r="C104" s="13">
        <v>46062</v>
      </c>
      <c r="D104" s="13">
        <v>46062</v>
      </c>
      <c r="E104" s="11" t="s">
        <v>25</v>
      </c>
      <c r="F104" s="14">
        <v>0</v>
      </c>
      <c r="G104" s="14">
        <v>0</v>
      </c>
      <c r="H104" s="14">
        <f t="shared" si="1"/>
        <v>0</v>
      </c>
      <c r="I104" s="6">
        <v>0.02</v>
      </c>
      <c r="J104" s="12"/>
    </row>
    <row r="105" spans="1:10" x14ac:dyDescent="0.3">
      <c r="A105" s="15">
        <v>104</v>
      </c>
      <c r="B105" s="16" t="s">
        <v>372</v>
      </c>
      <c r="C105" s="17">
        <v>46062</v>
      </c>
      <c r="D105" s="17">
        <v>46065</v>
      </c>
      <c r="E105" s="15" t="s">
        <v>25</v>
      </c>
      <c r="F105" s="18">
        <v>0</v>
      </c>
      <c r="G105" s="18">
        <v>0</v>
      </c>
      <c r="H105" s="18">
        <f t="shared" si="1"/>
        <v>0</v>
      </c>
      <c r="I105" s="10">
        <v>3.1</v>
      </c>
      <c r="J105" s="16"/>
    </row>
    <row r="106" spans="1:10" x14ac:dyDescent="0.3">
      <c r="A106" s="11">
        <v>105</v>
      </c>
      <c r="B106" s="12" t="s">
        <v>373</v>
      </c>
      <c r="C106" s="13">
        <v>46062</v>
      </c>
      <c r="D106" s="13">
        <v>46076</v>
      </c>
      <c r="E106" s="11" t="s">
        <v>25</v>
      </c>
      <c r="F106" s="14">
        <v>0</v>
      </c>
      <c r="G106" s="14">
        <v>0</v>
      </c>
      <c r="H106" s="14">
        <f t="shared" si="1"/>
        <v>0</v>
      </c>
      <c r="I106" s="6">
        <v>14.32</v>
      </c>
      <c r="J106" s="12"/>
    </row>
    <row r="107" spans="1:10" x14ac:dyDescent="0.3">
      <c r="A107" s="15">
        <v>106</v>
      </c>
      <c r="B107" s="16" t="s">
        <v>374</v>
      </c>
      <c r="C107" s="17">
        <v>46062</v>
      </c>
      <c r="D107" s="17">
        <v>46065</v>
      </c>
      <c r="E107" s="15" t="s">
        <v>25</v>
      </c>
      <c r="F107" s="18">
        <v>0</v>
      </c>
      <c r="G107" s="18">
        <v>0</v>
      </c>
      <c r="H107" s="18">
        <f t="shared" si="1"/>
        <v>0</v>
      </c>
      <c r="I107" s="10">
        <v>3.25</v>
      </c>
      <c r="J107" s="16"/>
    </row>
    <row r="108" spans="1:10" x14ac:dyDescent="0.3">
      <c r="A108" s="11">
        <v>107</v>
      </c>
      <c r="B108" s="12" t="s">
        <v>375</v>
      </c>
      <c r="C108" s="13">
        <v>46062</v>
      </c>
      <c r="D108" s="13">
        <v>46065</v>
      </c>
      <c r="E108" s="11" t="s">
        <v>25</v>
      </c>
      <c r="F108" s="14">
        <v>0</v>
      </c>
      <c r="G108" s="14">
        <v>0</v>
      </c>
      <c r="H108" s="14">
        <f t="shared" si="1"/>
        <v>0</v>
      </c>
      <c r="I108" s="6">
        <v>3.19</v>
      </c>
      <c r="J108" s="12"/>
    </row>
    <row r="109" spans="1:10" x14ac:dyDescent="0.3">
      <c r="A109" s="15">
        <v>108</v>
      </c>
      <c r="B109" s="16" t="s">
        <v>376</v>
      </c>
      <c r="C109" s="17">
        <v>46062</v>
      </c>
      <c r="D109" s="17">
        <v>46062</v>
      </c>
      <c r="E109" s="15" t="s">
        <v>25</v>
      </c>
      <c r="F109" s="18">
        <v>0</v>
      </c>
      <c r="G109" s="18">
        <v>0</v>
      </c>
      <c r="H109" s="18">
        <f t="shared" si="1"/>
        <v>0</v>
      </c>
      <c r="I109" s="10">
        <v>0.02</v>
      </c>
      <c r="J109" s="16"/>
    </row>
    <row r="110" spans="1:10" x14ac:dyDescent="0.3">
      <c r="A110" s="11">
        <v>109</v>
      </c>
      <c r="B110" s="12" t="s">
        <v>377</v>
      </c>
      <c r="C110" s="13">
        <v>46062</v>
      </c>
      <c r="D110" s="13">
        <v>46068</v>
      </c>
      <c r="E110" s="11" t="s">
        <v>25</v>
      </c>
      <c r="F110" s="14">
        <v>0</v>
      </c>
      <c r="G110" s="14">
        <v>0</v>
      </c>
      <c r="H110" s="14">
        <f t="shared" si="1"/>
        <v>0</v>
      </c>
      <c r="I110" s="6">
        <v>5.88</v>
      </c>
      <c r="J110" s="12"/>
    </row>
    <row r="111" spans="1:10" x14ac:dyDescent="0.3">
      <c r="A111" s="15">
        <v>110</v>
      </c>
      <c r="B111" s="16" t="s">
        <v>378</v>
      </c>
      <c r="C111" s="17">
        <v>46062</v>
      </c>
      <c r="D111" s="17">
        <v>46068</v>
      </c>
      <c r="E111" s="15" t="s">
        <v>25</v>
      </c>
      <c r="F111" s="18">
        <v>0</v>
      </c>
      <c r="G111" s="18">
        <v>0</v>
      </c>
      <c r="H111" s="18">
        <f t="shared" si="1"/>
        <v>0</v>
      </c>
      <c r="I111" s="10">
        <v>5.93</v>
      </c>
      <c r="J111" s="16"/>
    </row>
    <row r="112" spans="1:10" x14ac:dyDescent="0.3">
      <c r="A112" s="11">
        <v>111</v>
      </c>
      <c r="B112" s="12" t="s">
        <v>379</v>
      </c>
      <c r="C112" s="13">
        <v>46062</v>
      </c>
      <c r="D112" s="13">
        <v>46065</v>
      </c>
      <c r="E112" s="11" t="s">
        <v>25</v>
      </c>
      <c r="F112" s="14">
        <v>0</v>
      </c>
      <c r="G112" s="14">
        <v>0</v>
      </c>
      <c r="H112" s="14">
        <f t="shared" si="1"/>
        <v>0</v>
      </c>
      <c r="I112" s="6">
        <v>2.8</v>
      </c>
      <c r="J112" s="12"/>
    </row>
    <row r="113" spans="1:10" x14ac:dyDescent="0.3">
      <c r="A113" s="15">
        <v>112</v>
      </c>
      <c r="B113" s="16" t="s">
        <v>380</v>
      </c>
      <c r="C113" s="17">
        <v>46063</v>
      </c>
      <c r="D113" s="17">
        <v>46068</v>
      </c>
      <c r="E113" s="15" t="s">
        <v>25</v>
      </c>
      <c r="F113" s="18">
        <v>0</v>
      </c>
      <c r="G113" s="18">
        <v>0</v>
      </c>
      <c r="H113" s="18">
        <f t="shared" si="1"/>
        <v>0</v>
      </c>
      <c r="I113" s="10">
        <v>4.92</v>
      </c>
      <c r="J113" s="16"/>
    </row>
    <row r="114" spans="1:10" x14ac:dyDescent="0.3">
      <c r="A114" s="11">
        <v>113</v>
      </c>
      <c r="B114" s="12" t="s">
        <v>381</v>
      </c>
      <c r="C114" s="13">
        <v>46064</v>
      </c>
      <c r="D114" s="13">
        <v>46065</v>
      </c>
      <c r="E114" s="11" t="s">
        <v>25</v>
      </c>
      <c r="F114" s="14">
        <v>0</v>
      </c>
      <c r="G114" s="14">
        <v>0</v>
      </c>
      <c r="H114" s="14">
        <f t="shared" si="1"/>
        <v>0</v>
      </c>
      <c r="I114" s="6">
        <v>1.29</v>
      </c>
      <c r="J114" s="12"/>
    </row>
    <row r="115" spans="1:10" x14ac:dyDescent="0.3">
      <c r="A115" s="15">
        <v>114</v>
      </c>
      <c r="B115" s="16" t="s">
        <v>382</v>
      </c>
      <c r="C115" s="17">
        <v>46064</v>
      </c>
      <c r="D115" s="17">
        <v>46065</v>
      </c>
      <c r="E115" s="15" t="s">
        <v>25</v>
      </c>
      <c r="F115" s="18">
        <v>0</v>
      </c>
      <c r="G115" s="18">
        <v>0</v>
      </c>
      <c r="H115" s="18">
        <f t="shared" si="1"/>
        <v>0</v>
      </c>
      <c r="I115" s="10">
        <v>0.99</v>
      </c>
      <c r="J115" s="16"/>
    </row>
    <row r="116" spans="1:10" x14ac:dyDescent="0.3">
      <c r="A116" s="11">
        <v>115</v>
      </c>
      <c r="B116" s="12" t="s">
        <v>383</v>
      </c>
      <c r="C116" s="13">
        <v>46064</v>
      </c>
      <c r="D116" s="13">
        <v>46065</v>
      </c>
      <c r="E116" s="11" t="s">
        <v>25</v>
      </c>
      <c r="F116" s="14">
        <v>0</v>
      </c>
      <c r="G116" s="14">
        <v>0</v>
      </c>
      <c r="H116" s="14">
        <f t="shared" si="1"/>
        <v>0</v>
      </c>
      <c r="I116" s="6">
        <v>1</v>
      </c>
      <c r="J116" s="12"/>
    </row>
    <row r="117" spans="1:10" x14ac:dyDescent="0.3">
      <c r="A117" s="15">
        <v>116</v>
      </c>
      <c r="B117" s="16" t="s">
        <v>384</v>
      </c>
      <c r="C117" s="17">
        <v>46064</v>
      </c>
      <c r="D117" s="17">
        <v>46065</v>
      </c>
      <c r="E117" s="15" t="s">
        <v>25</v>
      </c>
      <c r="F117" s="18">
        <v>0</v>
      </c>
      <c r="G117" s="18">
        <v>0</v>
      </c>
      <c r="H117" s="18">
        <f t="shared" si="1"/>
        <v>0</v>
      </c>
      <c r="I117" s="10">
        <v>0.98</v>
      </c>
      <c r="J117" s="16"/>
    </row>
    <row r="118" spans="1:10" x14ac:dyDescent="0.3">
      <c r="A118" s="11">
        <v>117</v>
      </c>
      <c r="B118" s="12" t="s">
        <v>385</v>
      </c>
      <c r="C118" s="13">
        <v>46064</v>
      </c>
      <c r="D118" s="13">
        <v>46065</v>
      </c>
      <c r="E118" s="11" t="s">
        <v>25</v>
      </c>
      <c r="F118" s="14">
        <v>0</v>
      </c>
      <c r="G118" s="14">
        <v>0</v>
      </c>
      <c r="H118" s="14">
        <f t="shared" si="1"/>
        <v>0</v>
      </c>
      <c r="I118" s="6">
        <v>0.9</v>
      </c>
      <c r="J118" s="12"/>
    </row>
    <row r="119" spans="1:10" x14ac:dyDescent="0.3">
      <c r="A119" s="15">
        <v>118</v>
      </c>
      <c r="B119" s="16" t="s">
        <v>386</v>
      </c>
      <c r="C119" s="17">
        <v>46064</v>
      </c>
      <c r="D119" s="17">
        <v>46065</v>
      </c>
      <c r="E119" s="15" t="s">
        <v>25</v>
      </c>
      <c r="F119" s="18">
        <v>0</v>
      </c>
      <c r="G119" s="18">
        <v>0</v>
      </c>
      <c r="H119" s="18">
        <f t="shared" si="1"/>
        <v>0</v>
      </c>
      <c r="I119" s="10">
        <v>0.81</v>
      </c>
      <c r="J119" s="16"/>
    </row>
    <row r="120" spans="1:10" x14ac:dyDescent="0.3">
      <c r="A120" s="11">
        <v>119</v>
      </c>
      <c r="B120" s="12" t="s">
        <v>387</v>
      </c>
      <c r="C120" s="13">
        <v>46064</v>
      </c>
      <c r="D120" s="13">
        <v>46065</v>
      </c>
      <c r="E120" s="11" t="s">
        <v>25</v>
      </c>
      <c r="F120" s="14">
        <v>0</v>
      </c>
      <c r="G120" s="14">
        <v>0</v>
      </c>
      <c r="H120" s="14">
        <f t="shared" si="1"/>
        <v>0</v>
      </c>
      <c r="I120" s="6">
        <v>0.73</v>
      </c>
      <c r="J120" s="12"/>
    </row>
    <row r="121" spans="1:10" x14ac:dyDescent="0.3">
      <c r="A121" s="15">
        <v>120</v>
      </c>
      <c r="B121" s="16" t="s">
        <v>388</v>
      </c>
      <c r="C121" s="17">
        <v>46065</v>
      </c>
      <c r="D121" s="17">
        <v>46065</v>
      </c>
      <c r="E121" s="15" t="s">
        <v>25</v>
      </c>
      <c r="F121" s="18">
        <v>0</v>
      </c>
      <c r="G121" s="18">
        <v>0</v>
      </c>
      <c r="H121" s="18">
        <f t="shared" si="1"/>
        <v>0</v>
      </c>
      <c r="I121" s="10">
        <v>0.03</v>
      </c>
      <c r="J121" s="16"/>
    </row>
    <row r="122" spans="1:10" x14ac:dyDescent="0.3">
      <c r="A122" s="11">
        <v>121</v>
      </c>
      <c r="B122" s="12" t="s">
        <v>389</v>
      </c>
      <c r="C122" s="13">
        <v>46065</v>
      </c>
      <c r="D122" s="13">
        <v>46065</v>
      </c>
      <c r="E122" s="11" t="s">
        <v>25</v>
      </c>
      <c r="F122" s="14">
        <v>0</v>
      </c>
      <c r="G122" s="14">
        <v>0</v>
      </c>
      <c r="H122" s="14">
        <f t="shared" si="1"/>
        <v>0</v>
      </c>
      <c r="I122" s="6">
        <v>0.02</v>
      </c>
      <c r="J122" s="12"/>
    </row>
    <row r="123" spans="1:10" x14ac:dyDescent="0.3">
      <c r="A123" s="15">
        <v>122</v>
      </c>
      <c r="B123" s="16" t="s">
        <v>390</v>
      </c>
      <c r="C123" s="17">
        <v>46065</v>
      </c>
      <c r="D123" s="17">
        <v>46068</v>
      </c>
      <c r="E123" s="15" t="s">
        <v>25</v>
      </c>
      <c r="F123" s="18">
        <v>0</v>
      </c>
      <c r="G123" s="18">
        <v>0</v>
      </c>
      <c r="H123" s="18">
        <f t="shared" si="1"/>
        <v>0</v>
      </c>
      <c r="I123" s="10">
        <v>3</v>
      </c>
      <c r="J123" s="16"/>
    </row>
    <row r="124" spans="1:10" x14ac:dyDescent="0.3">
      <c r="A124" s="11">
        <v>123</v>
      </c>
      <c r="B124" s="12" t="s">
        <v>391</v>
      </c>
      <c r="C124" s="13">
        <v>46065</v>
      </c>
      <c r="D124" s="13">
        <v>46065</v>
      </c>
      <c r="E124" s="11" t="s">
        <v>25</v>
      </c>
      <c r="F124" s="14">
        <v>0</v>
      </c>
      <c r="G124" s="14">
        <v>0</v>
      </c>
      <c r="H124" s="14">
        <f t="shared" si="1"/>
        <v>0</v>
      </c>
      <c r="I124" s="6">
        <v>0.13</v>
      </c>
      <c r="J124" s="12"/>
    </row>
    <row r="125" spans="1:10" x14ac:dyDescent="0.3">
      <c r="A125" s="15">
        <v>124</v>
      </c>
      <c r="B125" s="16" t="s">
        <v>392</v>
      </c>
      <c r="C125" s="17">
        <v>46065</v>
      </c>
      <c r="D125" s="17">
        <v>46065</v>
      </c>
      <c r="E125" s="15" t="s">
        <v>25</v>
      </c>
      <c r="F125" s="18">
        <v>0</v>
      </c>
      <c r="G125" s="18">
        <v>0</v>
      </c>
      <c r="H125" s="18">
        <f t="shared" si="1"/>
        <v>0</v>
      </c>
      <c r="I125" s="10">
        <v>0.09</v>
      </c>
      <c r="J125" s="16"/>
    </row>
    <row r="126" spans="1:10" x14ac:dyDescent="0.3">
      <c r="A126" s="11">
        <v>125</v>
      </c>
      <c r="B126" s="12" t="s">
        <v>393</v>
      </c>
      <c r="C126" s="13">
        <v>46065</v>
      </c>
      <c r="D126" s="13">
        <v>46065</v>
      </c>
      <c r="E126" s="11" t="s">
        <v>25</v>
      </c>
      <c r="F126" s="14">
        <v>0</v>
      </c>
      <c r="G126" s="14">
        <v>0</v>
      </c>
      <c r="H126" s="14">
        <f t="shared" si="1"/>
        <v>0</v>
      </c>
      <c r="I126" s="6">
        <v>0.05</v>
      </c>
      <c r="J126" s="12"/>
    </row>
    <row r="127" spans="1:10" x14ac:dyDescent="0.3">
      <c r="A127" s="15">
        <v>126</v>
      </c>
      <c r="B127" s="16" t="s">
        <v>394</v>
      </c>
      <c r="C127" s="17">
        <v>46065</v>
      </c>
      <c r="D127" s="17">
        <v>46068</v>
      </c>
      <c r="E127" s="15" t="s">
        <v>25</v>
      </c>
      <c r="F127" s="18">
        <v>0</v>
      </c>
      <c r="G127" s="18">
        <v>0</v>
      </c>
      <c r="H127" s="18">
        <f t="shared" si="1"/>
        <v>0</v>
      </c>
      <c r="I127" s="10">
        <v>2.84</v>
      </c>
      <c r="J127" s="16"/>
    </row>
    <row r="128" spans="1:10" x14ac:dyDescent="0.3">
      <c r="A128" s="11">
        <v>127</v>
      </c>
      <c r="B128" s="12" t="s">
        <v>395</v>
      </c>
      <c r="C128" s="13">
        <v>46065</v>
      </c>
      <c r="D128" s="13">
        <v>46068</v>
      </c>
      <c r="E128" s="11" t="s">
        <v>25</v>
      </c>
      <c r="F128" s="14">
        <v>0</v>
      </c>
      <c r="G128" s="14">
        <v>0</v>
      </c>
      <c r="H128" s="14">
        <f t="shared" si="1"/>
        <v>0</v>
      </c>
      <c r="I128" s="6">
        <v>2.83</v>
      </c>
      <c r="J128" s="12"/>
    </row>
    <row r="129" spans="1:10" x14ac:dyDescent="0.3">
      <c r="A129" s="15">
        <v>128</v>
      </c>
      <c r="B129" s="16" t="s">
        <v>396</v>
      </c>
      <c r="C129" s="17">
        <v>46065</v>
      </c>
      <c r="D129" s="17">
        <v>46068</v>
      </c>
      <c r="E129" s="15" t="s">
        <v>25</v>
      </c>
      <c r="F129" s="18">
        <v>0</v>
      </c>
      <c r="G129" s="18">
        <v>0</v>
      </c>
      <c r="H129" s="18">
        <f t="shared" si="1"/>
        <v>0</v>
      </c>
      <c r="I129" s="10">
        <v>2.84</v>
      </c>
      <c r="J129" s="16"/>
    </row>
    <row r="130" spans="1:10" x14ac:dyDescent="0.3">
      <c r="A130" s="11">
        <v>129</v>
      </c>
      <c r="B130" s="12" t="s">
        <v>397</v>
      </c>
      <c r="C130" s="13">
        <v>46065</v>
      </c>
      <c r="D130" s="13">
        <v>46068</v>
      </c>
      <c r="E130" s="11" t="s">
        <v>25</v>
      </c>
      <c r="F130" s="14">
        <v>0</v>
      </c>
      <c r="G130" s="14">
        <v>0</v>
      </c>
      <c r="H130" s="14">
        <f t="shared" ref="H130:H193" si="2">F130+G130</f>
        <v>0</v>
      </c>
      <c r="I130" s="6">
        <v>2.84</v>
      </c>
      <c r="J130" s="12"/>
    </row>
    <row r="131" spans="1:10" x14ac:dyDescent="0.3">
      <c r="A131" s="15">
        <v>130</v>
      </c>
      <c r="B131" s="16" t="s">
        <v>398</v>
      </c>
      <c r="C131" s="17">
        <v>46065</v>
      </c>
      <c r="D131" s="17">
        <v>46068</v>
      </c>
      <c r="E131" s="15" t="s">
        <v>25</v>
      </c>
      <c r="F131" s="18">
        <v>0</v>
      </c>
      <c r="G131" s="18">
        <v>0</v>
      </c>
      <c r="H131" s="18">
        <f t="shared" si="2"/>
        <v>0</v>
      </c>
      <c r="I131" s="10">
        <v>2.75</v>
      </c>
      <c r="J131" s="16"/>
    </row>
    <row r="132" spans="1:10" x14ac:dyDescent="0.3">
      <c r="A132" s="11">
        <v>131</v>
      </c>
      <c r="B132" s="12" t="s">
        <v>399</v>
      </c>
      <c r="C132" s="13">
        <v>46065</v>
      </c>
      <c r="D132" s="13">
        <v>46068</v>
      </c>
      <c r="E132" s="11" t="s">
        <v>25</v>
      </c>
      <c r="F132" s="14">
        <v>0</v>
      </c>
      <c r="G132" s="14">
        <v>0</v>
      </c>
      <c r="H132" s="14">
        <f t="shared" si="2"/>
        <v>0</v>
      </c>
      <c r="I132" s="6">
        <v>2.5499999999999998</v>
      </c>
      <c r="J132" s="12"/>
    </row>
    <row r="133" spans="1:10" x14ac:dyDescent="0.3">
      <c r="A133" s="15">
        <v>132</v>
      </c>
      <c r="B133" s="16" t="s">
        <v>400</v>
      </c>
      <c r="C133" s="17">
        <v>46066</v>
      </c>
      <c r="D133" s="17">
        <v>46068</v>
      </c>
      <c r="E133" s="15" t="s">
        <v>25</v>
      </c>
      <c r="F133" s="18">
        <v>0</v>
      </c>
      <c r="G133" s="18">
        <v>0</v>
      </c>
      <c r="H133" s="18">
        <f t="shared" si="2"/>
        <v>0</v>
      </c>
      <c r="I133" s="10">
        <v>2.0699999999999998</v>
      </c>
      <c r="J133" s="16"/>
    </row>
    <row r="134" spans="1:10" x14ac:dyDescent="0.3">
      <c r="A134" s="11">
        <v>133</v>
      </c>
      <c r="B134" s="12" t="s">
        <v>401</v>
      </c>
      <c r="C134" s="13">
        <v>46066</v>
      </c>
      <c r="D134" s="13">
        <v>46068</v>
      </c>
      <c r="E134" s="11" t="s">
        <v>25</v>
      </c>
      <c r="F134" s="14">
        <v>0</v>
      </c>
      <c r="G134" s="14">
        <v>0</v>
      </c>
      <c r="H134" s="14">
        <f t="shared" si="2"/>
        <v>0</v>
      </c>
      <c r="I134" s="6">
        <v>2.08</v>
      </c>
      <c r="J134" s="12"/>
    </row>
    <row r="135" spans="1:10" x14ac:dyDescent="0.3">
      <c r="A135" s="15">
        <v>134</v>
      </c>
      <c r="B135" s="16" t="s">
        <v>402</v>
      </c>
      <c r="C135" s="17">
        <v>46067</v>
      </c>
      <c r="D135" s="17">
        <v>46068</v>
      </c>
      <c r="E135" s="15" t="s">
        <v>25</v>
      </c>
      <c r="F135" s="18">
        <v>0</v>
      </c>
      <c r="G135" s="18">
        <v>0</v>
      </c>
      <c r="H135" s="18">
        <f t="shared" si="2"/>
        <v>0</v>
      </c>
      <c r="I135" s="10">
        <v>0.86</v>
      </c>
      <c r="J135" s="16"/>
    </row>
    <row r="136" spans="1:10" x14ac:dyDescent="0.3">
      <c r="A136" s="11">
        <v>135</v>
      </c>
      <c r="B136" s="12" t="s">
        <v>403</v>
      </c>
      <c r="C136" s="13">
        <v>46067</v>
      </c>
      <c r="D136" s="13">
        <v>46068</v>
      </c>
      <c r="E136" s="11" t="s">
        <v>25</v>
      </c>
      <c r="F136" s="14">
        <v>0</v>
      </c>
      <c r="G136" s="14">
        <v>0</v>
      </c>
      <c r="H136" s="14">
        <f t="shared" si="2"/>
        <v>0</v>
      </c>
      <c r="I136" s="6">
        <v>0.8</v>
      </c>
      <c r="J136" s="12"/>
    </row>
    <row r="137" spans="1:10" x14ac:dyDescent="0.3">
      <c r="A137" s="15">
        <v>136</v>
      </c>
      <c r="B137" s="16" t="s">
        <v>404</v>
      </c>
      <c r="C137" s="17">
        <v>46067</v>
      </c>
      <c r="D137" s="17">
        <v>46068</v>
      </c>
      <c r="E137" s="15" t="s">
        <v>25</v>
      </c>
      <c r="F137" s="18">
        <v>0</v>
      </c>
      <c r="G137" s="18">
        <v>0</v>
      </c>
      <c r="H137" s="18">
        <f t="shared" si="2"/>
        <v>0</v>
      </c>
      <c r="I137" s="10">
        <v>0.79</v>
      </c>
      <c r="J137" s="16"/>
    </row>
    <row r="138" spans="1:10" x14ac:dyDescent="0.3">
      <c r="A138" s="11">
        <v>137</v>
      </c>
      <c r="B138" s="12" t="s">
        <v>405</v>
      </c>
      <c r="C138" s="13">
        <v>46067</v>
      </c>
      <c r="D138" s="13">
        <v>46068</v>
      </c>
      <c r="E138" s="11" t="s">
        <v>25</v>
      </c>
      <c r="F138" s="14">
        <v>0</v>
      </c>
      <c r="G138" s="14">
        <v>0</v>
      </c>
      <c r="H138" s="14">
        <f t="shared" si="2"/>
        <v>0</v>
      </c>
      <c r="I138" s="6">
        <v>0.71</v>
      </c>
      <c r="J138" s="12"/>
    </row>
    <row r="139" spans="1:10" x14ac:dyDescent="0.3">
      <c r="A139" s="15">
        <v>138</v>
      </c>
      <c r="B139" s="16" t="s">
        <v>406</v>
      </c>
      <c r="C139" s="17">
        <v>46067</v>
      </c>
      <c r="D139" s="17">
        <v>46068</v>
      </c>
      <c r="E139" s="15" t="s">
        <v>25</v>
      </c>
      <c r="F139" s="18">
        <v>0</v>
      </c>
      <c r="G139" s="18">
        <v>0</v>
      </c>
      <c r="H139" s="18">
        <f t="shared" si="2"/>
        <v>0</v>
      </c>
      <c r="I139" s="10">
        <v>0.66</v>
      </c>
      <c r="J139" s="16"/>
    </row>
    <row r="140" spans="1:10" x14ac:dyDescent="0.3">
      <c r="A140" s="11">
        <v>139</v>
      </c>
      <c r="B140" s="12" t="s">
        <v>407</v>
      </c>
      <c r="C140" s="13">
        <v>46067</v>
      </c>
      <c r="D140" s="13">
        <v>46068</v>
      </c>
      <c r="E140" s="11" t="s">
        <v>25</v>
      </c>
      <c r="F140" s="14">
        <v>0</v>
      </c>
      <c r="G140" s="14">
        <v>0</v>
      </c>
      <c r="H140" s="14">
        <f t="shared" si="2"/>
        <v>0</v>
      </c>
      <c r="I140" s="6">
        <v>0.54</v>
      </c>
      <c r="J140" s="12"/>
    </row>
    <row r="141" spans="1:10" x14ac:dyDescent="0.3">
      <c r="A141" s="15">
        <v>140</v>
      </c>
      <c r="B141" s="16" t="s">
        <v>408</v>
      </c>
      <c r="C141" s="17">
        <v>46068</v>
      </c>
      <c r="D141" s="17">
        <v>46068</v>
      </c>
      <c r="E141" s="15" t="s">
        <v>25</v>
      </c>
      <c r="F141" s="18">
        <v>0</v>
      </c>
      <c r="G141" s="18">
        <v>0</v>
      </c>
      <c r="H141" s="18">
        <f t="shared" si="2"/>
        <v>0</v>
      </c>
      <c r="I141" s="10">
        <v>0.05</v>
      </c>
      <c r="J141" s="16"/>
    </row>
    <row r="142" spans="1:10" x14ac:dyDescent="0.3">
      <c r="A142" s="11">
        <v>141</v>
      </c>
      <c r="B142" s="12" t="s">
        <v>409</v>
      </c>
      <c r="C142" s="13">
        <v>46068</v>
      </c>
      <c r="D142" s="13">
        <v>46068</v>
      </c>
      <c r="E142" s="11" t="s">
        <v>25</v>
      </c>
      <c r="F142" s="14">
        <v>0</v>
      </c>
      <c r="G142" s="14">
        <v>0</v>
      </c>
      <c r="H142" s="14">
        <f t="shared" si="2"/>
        <v>0</v>
      </c>
      <c r="I142" s="6">
        <v>0.02</v>
      </c>
      <c r="J142" s="12"/>
    </row>
    <row r="143" spans="1:10" x14ac:dyDescent="0.3">
      <c r="A143" s="15">
        <v>142</v>
      </c>
      <c r="B143" s="16" t="s">
        <v>410</v>
      </c>
      <c r="C143" s="17">
        <v>46068</v>
      </c>
      <c r="D143" s="17">
        <v>46070</v>
      </c>
      <c r="E143" s="15" t="s">
        <v>25</v>
      </c>
      <c r="F143" s="18">
        <v>0</v>
      </c>
      <c r="G143" s="18">
        <v>0</v>
      </c>
      <c r="H143" s="18">
        <f t="shared" si="2"/>
        <v>0</v>
      </c>
      <c r="I143" s="10">
        <v>1.92</v>
      </c>
      <c r="J143" s="16"/>
    </row>
    <row r="144" spans="1:10" x14ac:dyDescent="0.3">
      <c r="A144" s="11">
        <v>143</v>
      </c>
      <c r="B144" s="12" t="s">
        <v>411</v>
      </c>
      <c r="C144" s="13">
        <v>46068</v>
      </c>
      <c r="D144" s="13">
        <v>46070</v>
      </c>
      <c r="E144" s="11" t="s">
        <v>25</v>
      </c>
      <c r="F144" s="14">
        <v>0</v>
      </c>
      <c r="G144" s="14">
        <v>0</v>
      </c>
      <c r="H144" s="14">
        <f t="shared" si="2"/>
        <v>0</v>
      </c>
      <c r="I144" s="6">
        <v>1.89</v>
      </c>
      <c r="J144" s="12"/>
    </row>
    <row r="145" spans="1:10" x14ac:dyDescent="0.3">
      <c r="A145" s="15">
        <v>144</v>
      </c>
      <c r="B145" s="16" t="s">
        <v>412</v>
      </c>
      <c r="C145" s="17">
        <v>46068</v>
      </c>
      <c r="D145" s="17">
        <v>46070</v>
      </c>
      <c r="E145" s="15" t="s">
        <v>25</v>
      </c>
      <c r="F145" s="18">
        <v>0</v>
      </c>
      <c r="G145" s="18">
        <v>0</v>
      </c>
      <c r="H145" s="18">
        <f t="shared" si="2"/>
        <v>0</v>
      </c>
      <c r="I145" s="10">
        <v>1.65</v>
      </c>
      <c r="J145" s="16"/>
    </row>
    <row r="146" spans="1:10" x14ac:dyDescent="0.3">
      <c r="A146" s="11">
        <v>145</v>
      </c>
      <c r="B146" s="12" t="s">
        <v>413</v>
      </c>
      <c r="C146" s="13">
        <v>46068</v>
      </c>
      <c r="D146" s="13">
        <v>46070</v>
      </c>
      <c r="E146" s="11" t="s">
        <v>25</v>
      </c>
      <c r="F146" s="14">
        <v>0</v>
      </c>
      <c r="G146" s="14">
        <v>0</v>
      </c>
      <c r="H146" s="14">
        <f t="shared" si="2"/>
        <v>0</v>
      </c>
      <c r="I146" s="6">
        <v>1.64</v>
      </c>
      <c r="J146" s="12"/>
    </row>
    <row r="147" spans="1:10" x14ac:dyDescent="0.3">
      <c r="A147" s="15">
        <v>146</v>
      </c>
      <c r="B147" s="16" t="s">
        <v>414</v>
      </c>
      <c r="C147" s="17">
        <v>46069</v>
      </c>
      <c r="D147" s="17">
        <v>46070</v>
      </c>
      <c r="E147" s="15" t="s">
        <v>25</v>
      </c>
      <c r="F147" s="18">
        <v>0</v>
      </c>
      <c r="G147" s="18">
        <v>0</v>
      </c>
      <c r="H147" s="18">
        <f t="shared" si="2"/>
        <v>0</v>
      </c>
      <c r="I147" s="10">
        <v>1.1499999999999999</v>
      </c>
      <c r="J147" s="16"/>
    </row>
    <row r="148" spans="1:10" x14ac:dyDescent="0.3">
      <c r="A148" s="11">
        <v>147</v>
      </c>
      <c r="B148" s="12" t="s">
        <v>415</v>
      </c>
      <c r="C148" s="13">
        <v>46069</v>
      </c>
      <c r="D148" s="13">
        <v>46070</v>
      </c>
      <c r="E148" s="11" t="s">
        <v>25</v>
      </c>
      <c r="F148" s="14">
        <v>0</v>
      </c>
      <c r="G148" s="14">
        <v>0</v>
      </c>
      <c r="H148" s="14">
        <f t="shared" si="2"/>
        <v>0</v>
      </c>
      <c r="I148" s="6">
        <v>1.1399999999999999</v>
      </c>
      <c r="J148" s="12"/>
    </row>
    <row r="149" spans="1:10" x14ac:dyDescent="0.3">
      <c r="A149" s="15">
        <v>148</v>
      </c>
      <c r="B149" s="16" t="s">
        <v>416</v>
      </c>
      <c r="C149" s="17">
        <v>46069</v>
      </c>
      <c r="D149" s="17">
        <v>46070</v>
      </c>
      <c r="E149" s="15" t="s">
        <v>25</v>
      </c>
      <c r="F149" s="18">
        <v>0</v>
      </c>
      <c r="G149" s="18">
        <v>0</v>
      </c>
      <c r="H149" s="18">
        <f t="shared" si="2"/>
        <v>0</v>
      </c>
      <c r="I149" s="10">
        <v>1.1200000000000001</v>
      </c>
      <c r="J149" s="16"/>
    </row>
    <row r="150" spans="1:10" x14ac:dyDescent="0.3">
      <c r="A150" s="11">
        <v>149</v>
      </c>
      <c r="B150" s="12" t="s">
        <v>417</v>
      </c>
      <c r="C150" s="13">
        <v>46069</v>
      </c>
      <c r="D150" s="13">
        <v>46070</v>
      </c>
      <c r="E150" s="11" t="s">
        <v>25</v>
      </c>
      <c r="F150" s="14">
        <v>0</v>
      </c>
      <c r="G150" s="14">
        <v>0</v>
      </c>
      <c r="H150" s="14">
        <f t="shared" si="2"/>
        <v>0</v>
      </c>
      <c r="I150" s="6">
        <v>0.95</v>
      </c>
      <c r="J150" s="12"/>
    </row>
    <row r="151" spans="1:10" x14ac:dyDescent="0.3">
      <c r="A151" s="15">
        <v>150</v>
      </c>
      <c r="B151" s="16" t="s">
        <v>418</v>
      </c>
      <c r="C151" s="17">
        <v>46069</v>
      </c>
      <c r="D151" s="17">
        <v>46076</v>
      </c>
      <c r="E151" s="15" t="s">
        <v>25</v>
      </c>
      <c r="F151" s="18">
        <v>0</v>
      </c>
      <c r="G151" s="18">
        <v>0</v>
      </c>
      <c r="H151" s="18">
        <f t="shared" si="2"/>
        <v>0</v>
      </c>
      <c r="I151" s="10">
        <v>6.96</v>
      </c>
      <c r="J151" s="16"/>
    </row>
    <row r="152" spans="1:10" x14ac:dyDescent="0.3">
      <c r="A152" s="11">
        <v>151</v>
      </c>
      <c r="B152" s="12" t="s">
        <v>419</v>
      </c>
      <c r="C152" s="13">
        <v>46069</v>
      </c>
      <c r="D152" s="13">
        <v>46074</v>
      </c>
      <c r="E152" s="11" t="s">
        <v>25</v>
      </c>
      <c r="F152" s="14">
        <v>0</v>
      </c>
      <c r="G152" s="14">
        <v>0</v>
      </c>
      <c r="H152" s="14">
        <f t="shared" si="2"/>
        <v>0</v>
      </c>
      <c r="I152" s="6">
        <v>4.8499999999999996</v>
      </c>
      <c r="J152" s="12"/>
    </row>
    <row r="153" spans="1:10" x14ac:dyDescent="0.3">
      <c r="A153" s="15">
        <v>152</v>
      </c>
      <c r="B153" s="16" t="s">
        <v>420</v>
      </c>
      <c r="C153" s="17">
        <v>46069</v>
      </c>
      <c r="D153" s="17">
        <v>46070</v>
      </c>
      <c r="E153" s="15" t="s">
        <v>25</v>
      </c>
      <c r="F153" s="18">
        <v>0</v>
      </c>
      <c r="G153" s="18">
        <v>0</v>
      </c>
      <c r="H153" s="18">
        <f t="shared" si="2"/>
        <v>0</v>
      </c>
      <c r="I153" s="10">
        <v>0.88</v>
      </c>
      <c r="J153" s="16"/>
    </row>
    <row r="154" spans="1:10" x14ac:dyDescent="0.3">
      <c r="A154" s="11">
        <v>153</v>
      </c>
      <c r="B154" s="12" t="s">
        <v>421</v>
      </c>
      <c r="C154" s="13">
        <v>46069</v>
      </c>
      <c r="D154" s="13">
        <v>46070</v>
      </c>
      <c r="E154" s="11" t="s">
        <v>25</v>
      </c>
      <c r="F154" s="14">
        <v>0</v>
      </c>
      <c r="G154" s="14">
        <v>0</v>
      </c>
      <c r="H154" s="14">
        <f t="shared" si="2"/>
        <v>0</v>
      </c>
      <c r="I154" s="6">
        <v>0.87</v>
      </c>
      <c r="J154" s="12"/>
    </row>
    <row r="155" spans="1:10" x14ac:dyDescent="0.3">
      <c r="A155" s="15">
        <v>154</v>
      </c>
      <c r="B155" s="16" t="s">
        <v>422</v>
      </c>
      <c r="C155" s="17">
        <v>46069</v>
      </c>
      <c r="D155" s="17">
        <v>46074</v>
      </c>
      <c r="E155" s="15" t="s">
        <v>25</v>
      </c>
      <c r="F155" s="18">
        <v>0</v>
      </c>
      <c r="G155" s="18">
        <v>0</v>
      </c>
      <c r="H155" s="18">
        <f t="shared" si="2"/>
        <v>0</v>
      </c>
      <c r="I155" s="10">
        <v>4.8</v>
      </c>
      <c r="J155" s="16"/>
    </row>
    <row r="156" spans="1:10" x14ac:dyDescent="0.3">
      <c r="A156" s="11">
        <v>155</v>
      </c>
      <c r="B156" s="12" t="s">
        <v>423</v>
      </c>
      <c r="C156" s="13">
        <v>46069</v>
      </c>
      <c r="D156" s="13">
        <v>46074</v>
      </c>
      <c r="E156" s="11" t="s">
        <v>25</v>
      </c>
      <c r="F156" s="14">
        <v>0</v>
      </c>
      <c r="G156" s="14">
        <v>0</v>
      </c>
      <c r="H156" s="14">
        <f t="shared" si="2"/>
        <v>0</v>
      </c>
      <c r="I156" s="6">
        <v>4.8</v>
      </c>
      <c r="J156" s="12"/>
    </row>
    <row r="157" spans="1:10" x14ac:dyDescent="0.3">
      <c r="A157" s="15">
        <v>156</v>
      </c>
      <c r="B157" s="16" t="s">
        <v>424</v>
      </c>
      <c r="C157" s="17">
        <v>46069</v>
      </c>
      <c r="D157" s="17">
        <v>46070</v>
      </c>
      <c r="E157" s="15" t="s">
        <v>25</v>
      </c>
      <c r="F157" s="18">
        <v>0</v>
      </c>
      <c r="G157" s="18">
        <v>0</v>
      </c>
      <c r="H157" s="18">
        <f t="shared" si="2"/>
        <v>0</v>
      </c>
      <c r="I157" s="10">
        <v>0.84</v>
      </c>
      <c r="J157" s="16"/>
    </row>
    <row r="158" spans="1:10" x14ac:dyDescent="0.3">
      <c r="A158" s="11">
        <v>157</v>
      </c>
      <c r="B158" s="12" t="s">
        <v>425</v>
      </c>
      <c r="C158" s="13">
        <v>46069</v>
      </c>
      <c r="D158" s="13">
        <v>46070</v>
      </c>
      <c r="E158" s="11" t="s">
        <v>25</v>
      </c>
      <c r="F158" s="14">
        <v>0</v>
      </c>
      <c r="G158" s="14">
        <v>0</v>
      </c>
      <c r="H158" s="14">
        <f t="shared" si="2"/>
        <v>0</v>
      </c>
      <c r="I158" s="6">
        <v>0.7</v>
      </c>
      <c r="J158" s="12"/>
    </row>
    <row r="159" spans="1:10" x14ac:dyDescent="0.3">
      <c r="A159" s="15">
        <v>158</v>
      </c>
      <c r="B159" s="16" t="s">
        <v>426</v>
      </c>
      <c r="C159" s="17">
        <v>46069</v>
      </c>
      <c r="D159" s="17">
        <v>46070</v>
      </c>
      <c r="E159" s="15" t="s">
        <v>25</v>
      </c>
      <c r="F159" s="18">
        <v>0</v>
      </c>
      <c r="G159" s="18">
        <v>0</v>
      </c>
      <c r="H159" s="18">
        <f t="shared" si="2"/>
        <v>0</v>
      </c>
      <c r="I159" s="10">
        <v>0.66</v>
      </c>
      <c r="J159" s="16"/>
    </row>
    <row r="160" spans="1:10" x14ac:dyDescent="0.3">
      <c r="A160" s="11">
        <v>159</v>
      </c>
      <c r="B160" s="12" t="s">
        <v>427</v>
      </c>
      <c r="C160" s="13">
        <v>46070</v>
      </c>
      <c r="D160" s="13">
        <v>46070</v>
      </c>
      <c r="E160" s="11" t="s">
        <v>25</v>
      </c>
      <c r="F160" s="14">
        <v>0</v>
      </c>
      <c r="G160" s="14">
        <v>0</v>
      </c>
      <c r="H160" s="14">
        <f t="shared" si="2"/>
        <v>0</v>
      </c>
      <c r="I160" s="6">
        <v>0.12</v>
      </c>
      <c r="J160" s="12"/>
    </row>
    <row r="161" spans="1:10" x14ac:dyDescent="0.3">
      <c r="A161" s="15">
        <v>160</v>
      </c>
      <c r="B161" s="16" t="s">
        <v>428</v>
      </c>
      <c r="C161" s="17">
        <v>46070</v>
      </c>
      <c r="D161" s="17">
        <v>46070</v>
      </c>
      <c r="E161" s="15" t="s">
        <v>25</v>
      </c>
      <c r="F161" s="18">
        <v>0</v>
      </c>
      <c r="G161" s="18">
        <v>0</v>
      </c>
      <c r="H161" s="18">
        <f t="shared" si="2"/>
        <v>0</v>
      </c>
      <c r="I161" s="10">
        <v>0.06</v>
      </c>
      <c r="J161" s="16"/>
    </row>
    <row r="162" spans="1:10" x14ac:dyDescent="0.3">
      <c r="A162" s="11">
        <v>161</v>
      </c>
      <c r="B162" s="12" t="s">
        <v>429</v>
      </c>
      <c r="C162" s="13">
        <v>46070</v>
      </c>
      <c r="D162" s="13">
        <v>46074</v>
      </c>
      <c r="E162" s="11" t="s">
        <v>25</v>
      </c>
      <c r="F162" s="14">
        <v>0</v>
      </c>
      <c r="G162" s="14">
        <v>0</v>
      </c>
      <c r="H162" s="14">
        <f t="shared" si="2"/>
        <v>0</v>
      </c>
      <c r="I162" s="6">
        <v>3.91</v>
      </c>
      <c r="J162" s="12"/>
    </row>
    <row r="163" spans="1:10" x14ac:dyDescent="0.3">
      <c r="A163" s="15">
        <v>162</v>
      </c>
      <c r="B163" s="16" t="s">
        <v>430</v>
      </c>
      <c r="C163" s="17">
        <v>46070</v>
      </c>
      <c r="D163" s="17">
        <v>46074</v>
      </c>
      <c r="E163" s="15" t="s">
        <v>25</v>
      </c>
      <c r="F163" s="18">
        <v>0</v>
      </c>
      <c r="G163" s="18">
        <v>0</v>
      </c>
      <c r="H163" s="18">
        <f t="shared" si="2"/>
        <v>0</v>
      </c>
      <c r="I163" s="10">
        <v>3.8</v>
      </c>
      <c r="J163" s="16"/>
    </row>
    <row r="164" spans="1:10" x14ac:dyDescent="0.3">
      <c r="A164" s="11">
        <v>163</v>
      </c>
      <c r="B164" s="12" t="s">
        <v>431</v>
      </c>
      <c r="C164" s="13">
        <v>46070</v>
      </c>
      <c r="D164" s="13">
        <v>46074</v>
      </c>
      <c r="E164" s="11" t="s">
        <v>25</v>
      </c>
      <c r="F164" s="14">
        <v>0</v>
      </c>
      <c r="G164" s="14">
        <v>0</v>
      </c>
      <c r="H164" s="14">
        <f t="shared" si="2"/>
        <v>0</v>
      </c>
      <c r="I164" s="6">
        <v>3.75</v>
      </c>
      <c r="J164" s="12"/>
    </row>
    <row r="165" spans="1:10" x14ac:dyDescent="0.3">
      <c r="A165" s="15">
        <v>164</v>
      </c>
      <c r="B165" s="16" t="s">
        <v>432</v>
      </c>
      <c r="C165" s="17">
        <v>46071</v>
      </c>
      <c r="D165" s="17">
        <v>46076</v>
      </c>
      <c r="E165" s="15" t="s">
        <v>25</v>
      </c>
      <c r="F165" s="18">
        <v>0</v>
      </c>
      <c r="G165" s="18">
        <v>0</v>
      </c>
      <c r="H165" s="18">
        <f t="shared" si="2"/>
        <v>0</v>
      </c>
      <c r="I165" s="10">
        <v>5.0599999999999996</v>
      </c>
      <c r="J165" s="16"/>
    </row>
    <row r="166" spans="1:10" x14ac:dyDescent="0.3">
      <c r="A166" s="11">
        <v>165</v>
      </c>
      <c r="B166" s="12" t="s">
        <v>433</v>
      </c>
      <c r="C166" s="13">
        <v>46071</v>
      </c>
      <c r="D166" s="13">
        <v>46074</v>
      </c>
      <c r="E166" s="11" t="s">
        <v>25</v>
      </c>
      <c r="F166" s="14">
        <v>0</v>
      </c>
      <c r="G166" s="14">
        <v>0</v>
      </c>
      <c r="H166" s="14">
        <f t="shared" si="2"/>
        <v>0</v>
      </c>
      <c r="I166" s="6">
        <v>2.9</v>
      </c>
      <c r="J166" s="12"/>
    </row>
    <row r="167" spans="1:10" x14ac:dyDescent="0.3">
      <c r="A167" s="15">
        <v>166</v>
      </c>
      <c r="B167" s="16" t="s">
        <v>434</v>
      </c>
      <c r="C167" s="17">
        <v>46071</v>
      </c>
      <c r="D167" s="17">
        <v>46078</v>
      </c>
      <c r="E167" s="15" t="s">
        <v>25</v>
      </c>
      <c r="F167" s="18">
        <v>0</v>
      </c>
      <c r="G167" s="18">
        <v>0</v>
      </c>
      <c r="H167" s="18">
        <f t="shared" si="2"/>
        <v>0</v>
      </c>
      <c r="I167" s="10">
        <v>6.92</v>
      </c>
      <c r="J167" s="16"/>
    </row>
    <row r="168" spans="1:10" x14ac:dyDescent="0.3">
      <c r="A168" s="11">
        <v>167</v>
      </c>
      <c r="B168" s="12" t="s">
        <v>435</v>
      </c>
      <c r="C168" s="13">
        <v>46071</v>
      </c>
      <c r="D168" s="13">
        <v>46074</v>
      </c>
      <c r="E168" s="11" t="s">
        <v>25</v>
      </c>
      <c r="F168" s="14">
        <v>0</v>
      </c>
      <c r="G168" s="14">
        <v>0</v>
      </c>
      <c r="H168" s="14">
        <f t="shared" si="2"/>
        <v>0</v>
      </c>
      <c r="I168" s="6">
        <v>2.77</v>
      </c>
      <c r="J168" s="12"/>
    </row>
    <row r="169" spans="1:10" x14ac:dyDescent="0.3">
      <c r="A169" s="15">
        <v>168</v>
      </c>
      <c r="B169" s="16" t="s">
        <v>436</v>
      </c>
      <c r="C169" s="17">
        <v>46071</v>
      </c>
      <c r="D169" s="17">
        <v>46076</v>
      </c>
      <c r="E169" s="15" t="s">
        <v>25</v>
      </c>
      <c r="F169" s="18">
        <v>0</v>
      </c>
      <c r="G169" s="18">
        <v>0</v>
      </c>
      <c r="H169" s="18">
        <f t="shared" si="2"/>
        <v>0</v>
      </c>
      <c r="I169" s="10">
        <v>4.8499999999999996</v>
      </c>
      <c r="J169" s="16"/>
    </row>
    <row r="170" spans="1:10" x14ac:dyDescent="0.3">
      <c r="A170" s="11">
        <v>169</v>
      </c>
      <c r="B170" s="12" t="s">
        <v>437</v>
      </c>
      <c r="C170" s="13">
        <v>46071</v>
      </c>
      <c r="D170" s="13">
        <v>46074</v>
      </c>
      <c r="E170" s="11" t="s">
        <v>25</v>
      </c>
      <c r="F170" s="14">
        <v>0</v>
      </c>
      <c r="G170" s="14">
        <v>0</v>
      </c>
      <c r="H170" s="14">
        <f t="shared" si="2"/>
        <v>0</v>
      </c>
      <c r="I170" s="6">
        <v>2.58</v>
      </c>
      <c r="J170" s="12"/>
    </row>
    <row r="171" spans="1:10" x14ac:dyDescent="0.3">
      <c r="A171" s="15">
        <v>170</v>
      </c>
      <c r="B171" s="16" t="s">
        <v>438</v>
      </c>
      <c r="C171" s="17">
        <v>46072</v>
      </c>
      <c r="D171" s="17">
        <v>46076</v>
      </c>
      <c r="E171" s="15" t="s">
        <v>25</v>
      </c>
      <c r="F171" s="18">
        <v>0</v>
      </c>
      <c r="G171" s="18">
        <v>0</v>
      </c>
      <c r="H171" s="18">
        <f t="shared" si="2"/>
        <v>0</v>
      </c>
      <c r="I171" s="10">
        <v>3.72</v>
      </c>
      <c r="J171" s="16"/>
    </row>
    <row r="172" spans="1:10" x14ac:dyDescent="0.3">
      <c r="A172" s="11">
        <v>171</v>
      </c>
      <c r="B172" s="12" t="s">
        <v>439</v>
      </c>
      <c r="C172" s="13">
        <v>46072</v>
      </c>
      <c r="D172" s="13">
        <v>46076</v>
      </c>
      <c r="E172" s="11" t="s">
        <v>25</v>
      </c>
      <c r="F172" s="14">
        <v>0</v>
      </c>
      <c r="G172" s="14">
        <v>0</v>
      </c>
      <c r="H172" s="14">
        <f t="shared" si="2"/>
        <v>0</v>
      </c>
      <c r="I172" s="6">
        <v>3.67</v>
      </c>
      <c r="J172" s="12"/>
    </row>
    <row r="173" spans="1:10" x14ac:dyDescent="0.3">
      <c r="A173" s="15">
        <v>172</v>
      </c>
      <c r="B173" s="16" t="s">
        <v>440</v>
      </c>
      <c r="C173" s="17">
        <v>46073</v>
      </c>
      <c r="D173" s="17">
        <v>46078</v>
      </c>
      <c r="E173" s="15" t="s">
        <v>25</v>
      </c>
      <c r="F173" s="18">
        <v>0</v>
      </c>
      <c r="G173" s="18">
        <v>0</v>
      </c>
      <c r="H173" s="18">
        <f t="shared" si="2"/>
        <v>0</v>
      </c>
      <c r="I173" s="10">
        <v>5.45</v>
      </c>
      <c r="J173" s="16"/>
    </row>
    <row r="174" spans="1:10" x14ac:dyDescent="0.3">
      <c r="A174" s="11">
        <v>173</v>
      </c>
      <c r="B174" s="12" t="s">
        <v>441</v>
      </c>
      <c r="C174" s="13">
        <v>46073</v>
      </c>
      <c r="D174" s="13">
        <v>46074</v>
      </c>
      <c r="E174" s="11" t="s">
        <v>25</v>
      </c>
      <c r="F174" s="14">
        <v>0</v>
      </c>
      <c r="G174" s="14">
        <v>0</v>
      </c>
      <c r="H174" s="14">
        <f t="shared" si="2"/>
        <v>0</v>
      </c>
      <c r="I174" s="6">
        <v>0.7</v>
      </c>
      <c r="J174" s="12"/>
    </row>
    <row r="175" spans="1:10" x14ac:dyDescent="0.3">
      <c r="A175" s="15">
        <v>174</v>
      </c>
      <c r="B175" s="16" t="s">
        <v>442</v>
      </c>
      <c r="C175" s="17">
        <v>46074</v>
      </c>
      <c r="D175" s="17">
        <v>46074</v>
      </c>
      <c r="E175" s="15" t="s">
        <v>25</v>
      </c>
      <c r="F175" s="18">
        <v>0</v>
      </c>
      <c r="G175" s="18">
        <v>0</v>
      </c>
      <c r="H175" s="18">
        <f t="shared" si="2"/>
        <v>0</v>
      </c>
      <c r="I175" s="10">
        <v>0.01</v>
      </c>
      <c r="J175" s="16"/>
    </row>
    <row r="176" spans="1:10" x14ac:dyDescent="0.3">
      <c r="A176" s="11">
        <v>175</v>
      </c>
      <c r="B176" s="12" t="s">
        <v>443</v>
      </c>
      <c r="C176" s="13">
        <v>46074</v>
      </c>
      <c r="D176" s="13">
        <v>46074</v>
      </c>
      <c r="E176" s="11" t="s">
        <v>25</v>
      </c>
      <c r="F176" s="14">
        <v>0</v>
      </c>
      <c r="G176" s="14">
        <v>0</v>
      </c>
      <c r="H176" s="14">
        <f t="shared" si="2"/>
        <v>0</v>
      </c>
      <c r="I176" s="6">
        <v>0.03</v>
      </c>
      <c r="J176" s="12"/>
    </row>
    <row r="177" spans="1:10" x14ac:dyDescent="0.3">
      <c r="A177" s="15">
        <v>176</v>
      </c>
      <c r="B177" s="16" t="s">
        <v>444</v>
      </c>
      <c r="C177" s="17">
        <v>46074</v>
      </c>
      <c r="D177" s="17">
        <v>46075</v>
      </c>
      <c r="E177" s="15" t="s">
        <v>25</v>
      </c>
      <c r="F177" s="18">
        <v>0</v>
      </c>
      <c r="G177" s="18">
        <v>0</v>
      </c>
      <c r="H177" s="18">
        <f t="shared" si="2"/>
        <v>0</v>
      </c>
      <c r="I177" s="10">
        <v>0.82</v>
      </c>
      <c r="J177" s="16"/>
    </row>
    <row r="178" spans="1:10" x14ac:dyDescent="0.3">
      <c r="A178" s="11">
        <v>177</v>
      </c>
      <c r="B178" s="12" t="s">
        <v>445</v>
      </c>
      <c r="C178" s="13">
        <v>46074</v>
      </c>
      <c r="D178" s="13">
        <v>46075</v>
      </c>
      <c r="E178" s="11" t="s">
        <v>25</v>
      </c>
      <c r="F178" s="14">
        <v>0</v>
      </c>
      <c r="G178" s="14">
        <v>0</v>
      </c>
      <c r="H178" s="14">
        <f t="shared" si="2"/>
        <v>0</v>
      </c>
      <c r="I178" s="6">
        <v>0.82</v>
      </c>
      <c r="J178" s="12"/>
    </row>
    <row r="179" spans="1:10" x14ac:dyDescent="0.3">
      <c r="A179" s="15">
        <v>178</v>
      </c>
      <c r="B179" s="16" t="s">
        <v>446</v>
      </c>
      <c r="C179" s="17">
        <v>46074</v>
      </c>
      <c r="D179" s="17">
        <v>46075</v>
      </c>
      <c r="E179" s="15" t="s">
        <v>25</v>
      </c>
      <c r="F179" s="18">
        <v>0</v>
      </c>
      <c r="G179" s="18">
        <v>0</v>
      </c>
      <c r="H179" s="18">
        <f t="shared" si="2"/>
        <v>0</v>
      </c>
      <c r="I179" s="10">
        <v>0.82</v>
      </c>
      <c r="J179" s="16"/>
    </row>
    <row r="180" spans="1:10" x14ac:dyDescent="0.3">
      <c r="A180" s="11">
        <v>179</v>
      </c>
      <c r="B180" s="12" t="s">
        <v>447</v>
      </c>
      <c r="C180" s="13">
        <v>46074</v>
      </c>
      <c r="D180" s="13">
        <v>46075</v>
      </c>
      <c r="E180" s="11" t="s">
        <v>25</v>
      </c>
      <c r="F180" s="14">
        <v>0</v>
      </c>
      <c r="G180" s="14">
        <v>0</v>
      </c>
      <c r="H180" s="14">
        <f t="shared" si="2"/>
        <v>0</v>
      </c>
      <c r="I180" s="6">
        <v>0.79</v>
      </c>
      <c r="J180" s="12"/>
    </row>
    <row r="181" spans="1:10" x14ac:dyDescent="0.3">
      <c r="A181" s="15">
        <v>180</v>
      </c>
      <c r="B181" s="16" t="s">
        <v>448</v>
      </c>
      <c r="C181" s="17">
        <v>46074</v>
      </c>
      <c r="D181" s="17">
        <v>46075</v>
      </c>
      <c r="E181" s="15" t="s">
        <v>25</v>
      </c>
      <c r="F181" s="18">
        <v>0</v>
      </c>
      <c r="G181" s="18">
        <v>0</v>
      </c>
      <c r="H181" s="18">
        <f t="shared" si="2"/>
        <v>0</v>
      </c>
      <c r="I181" s="10">
        <v>0.78</v>
      </c>
      <c r="J181" s="16"/>
    </row>
    <row r="182" spans="1:10" x14ac:dyDescent="0.3">
      <c r="A182" s="11">
        <v>181</v>
      </c>
      <c r="B182" s="12" t="s">
        <v>449</v>
      </c>
      <c r="C182" s="13">
        <v>46074</v>
      </c>
      <c r="D182" s="13">
        <v>46075</v>
      </c>
      <c r="E182" s="11" t="s">
        <v>25</v>
      </c>
      <c r="F182" s="14">
        <v>0</v>
      </c>
      <c r="G182" s="14">
        <v>0</v>
      </c>
      <c r="H182" s="14">
        <f t="shared" si="2"/>
        <v>0</v>
      </c>
      <c r="I182" s="6">
        <v>0.68</v>
      </c>
      <c r="J182" s="12"/>
    </row>
    <row r="183" spans="1:10" x14ac:dyDescent="0.3">
      <c r="A183" s="15">
        <v>182</v>
      </c>
      <c r="B183" s="16" t="s">
        <v>450</v>
      </c>
      <c r="C183" s="17">
        <v>46074</v>
      </c>
      <c r="D183" s="17">
        <v>46075</v>
      </c>
      <c r="E183" s="15" t="s">
        <v>25</v>
      </c>
      <c r="F183" s="18">
        <v>0</v>
      </c>
      <c r="G183" s="18">
        <v>0</v>
      </c>
      <c r="H183" s="18">
        <f t="shared" si="2"/>
        <v>0</v>
      </c>
      <c r="I183" s="10">
        <v>0.46</v>
      </c>
      <c r="J183" s="16"/>
    </row>
    <row r="184" spans="1:10" x14ac:dyDescent="0.3">
      <c r="A184" s="11">
        <v>183</v>
      </c>
      <c r="B184" s="12" t="s">
        <v>451</v>
      </c>
      <c r="C184" s="13">
        <v>46075</v>
      </c>
      <c r="D184" s="13">
        <v>46076</v>
      </c>
      <c r="E184" s="11" t="s">
        <v>25</v>
      </c>
      <c r="F184" s="14">
        <v>0</v>
      </c>
      <c r="G184" s="14">
        <v>0</v>
      </c>
      <c r="H184" s="14">
        <f t="shared" si="2"/>
        <v>0</v>
      </c>
      <c r="I184" s="6">
        <v>1.1499999999999999</v>
      </c>
      <c r="J184" s="12"/>
    </row>
    <row r="185" spans="1:10" x14ac:dyDescent="0.3">
      <c r="A185" s="15">
        <v>184</v>
      </c>
      <c r="B185" s="16" t="s">
        <v>452</v>
      </c>
      <c r="C185" s="17">
        <v>46075</v>
      </c>
      <c r="D185" s="17">
        <v>46076</v>
      </c>
      <c r="E185" s="15" t="s">
        <v>25</v>
      </c>
      <c r="F185" s="18">
        <v>0</v>
      </c>
      <c r="G185" s="18">
        <v>0</v>
      </c>
      <c r="H185" s="18">
        <f t="shared" si="2"/>
        <v>0</v>
      </c>
      <c r="I185" s="10">
        <v>1.1100000000000001</v>
      </c>
      <c r="J185" s="16"/>
    </row>
    <row r="186" spans="1:10" x14ac:dyDescent="0.3">
      <c r="A186" s="11">
        <v>185</v>
      </c>
      <c r="B186" s="12" t="s">
        <v>453</v>
      </c>
      <c r="C186" s="13">
        <v>46075</v>
      </c>
      <c r="D186" s="13">
        <v>46076</v>
      </c>
      <c r="E186" s="11" t="s">
        <v>25</v>
      </c>
      <c r="F186" s="14">
        <v>0</v>
      </c>
      <c r="G186" s="14">
        <v>0</v>
      </c>
      <c r="H186" s="14">
        <f t="shared" si="2"/>
        <v>0</v>
      </c>
      <c r="I186" s="6">
        <v>1.0900000000000001</v>
      </c>
      <c r="J186" s="12"/>
    </row>
    <row r="187" spans="1:10" x14ac:dyDescent="0.3">
      <c r="A187" s="15">
        <v>186</v>
      </c>
      <c r="B187" s="16" t="s">
        <v>454</v>
      </c>
      <c r="C187" s="17">
        <v>46075</v>
      </c>
      <c r="D187" s="17">
        <v>46076</v>
      </c>
      <c r="E187" s="15" t="s">
        <v>25</v>
      </c>
      <c r="F187" s="18">
        <v>0</v>
      </c>
      <c r="G187" s="18">
        <v>0</v>
      </c>
      <c r="H187" s="18">
        <f t="shared" si="2"/>
        <v>0</v>
      </c>
      <c r="I187" s="10">
        <v>1.04</v>
      </c>
      <c r="J187" s="16"/>
    </row>
    <row r="188" spans="1:10" x14ac:dyDescent="0.3">
      <c r="A188" s="11">
        <v>187</v>
      </c>
      <c r="B188" s="12" t="s">
        <v>455</v>
      </c>
      <c r="C188" s="13">
        <v>46075</v>
      </c>
      <c r="D188" s="13">
        <v>46076</v>
      </c>
      <c r="E188" s="11" t="s">
        <v>25</v>
      </c>
      <c r="F188" s="14">
        <v>0</v>
      </c>
      <c r="G188" s="14">
        <v>0</v>
      </c>
      <c r="H188" s="14">
        <f t="shared" si="2"/>
        <v>0</v>
      </c>
      <c r="I188" s="6">
        <v>1.03</v>
      </c>
      <c r="J188" s="12"/>
    </row>
    <row r="189" spans="1:10" x14ac:dyDescent="0.3">
      <c r="A189" s="15">
        <v>188</v>
      </c>
      <c r="B189" s="16" t="s">
        <v>456</v>
      </c>
      <c r="C189" s="17">
        <v>46075</v>
      </c>
      <c r="D189" s="17">
        <v>46076</v>
      </c>
      <c r="E189" s="15" t="s">
        <v>25</v>
      </c>
      <c r="F189" s="18">
        <v>0</v>
      </c>
      <c r="G189" s="18">
        <v>0</v>
      </c>
      <c r="H189" s="18">
        <f t="shared" si="2"/>
        <v>0</v>
      </c>
      <c r="I189" s="10">
        <v>1.01</v>
      </c>
      <c r="J189" s="16"/>
    </row>
    <row r="190" spans="1:10" x14ac:dyDescent="0.3">
      <c r="A190" s="11">
        <v>189</v>
      </c>
      <c r="B190" s="12" t="s">
        <v>457</v>
      </c>
      <c r="C190" s="13">
        <v>46075</v>
      </c>
      <c r="D190" s="13">
        <v>46076</v>
      </c>
      <c r="E190" s="11" t="s">
        <v>25</v>
      </c>
      <c r="F190" s="14">
        <v>0</v>
      </c>
      <c r="G190" s="14">
        <v>0</v>
      </c>
      <c r="H190" s="14">
        <f t="shared" si="2"/>
        <v>0</v>
      </c>
      <c r="I190" s="6">
        <v>0.99</v>
      </c>
      <c r="J190" s="12"/>
    </row>
    <row r="191" spans="1:10" x14ac:dyDescent="0.3">
      <c r="A191" s="15">
        <v>190</v>
      </c>
      <c r="B191" s="16" t="s">
        <v>458</v>
      </c>
      <c r="C191" s="17">
        <v>46075</v>
      </c>
      <c r="D191" s="17">
        <v>46076</v>
      </c>
      <c r="E191" s="15" t="s">
        <v>25</v>
      </c>
      <c r="F191" s="18">
        <v>0</v>
      </c>
      <c r="G191" s="18">
        <v>0</v>
      </c>
      <c r="H191" s="18">
        <f t="shared" si="2"/>
        <v>0</v>
      </c>
      <c r="I191" s="10">
        <v>0.97</v>
      </c>
      <c r="J191" s="16"/>
    </row>
    <row r="192" spans="1:10" x14ac:dyDescent="0.3">
      <c r="A192" s="11">
        <v>191</v>
      </c>
      <c r="B192" s="12" t="s">
        <v>459</v>
      </c>
      <c r="C192" s="13">
        <v>46075</v>
      </c>
      <c r="D192" s="13">
        <v>46076</v>
      </c>
      <c r="E192" s="11" t="s">
        <v>25</v>
      </c>
      <c r="F192" s="14">
        <v>0</v>
      </c>
      <c r="G192" s="14">
        <v>0</v>
      </c>
      <c r="H192" s="14">
        <f t="shared" si="2"/>
        <v>0</v>
      </c>
      <c r="I192" s="6">
        <v>0.97</v>
      </c>
      <c r="J192" s="12"/>
    </row>
    <row r="193" spans="1:10" x14ac:dyDescent="0.3">
      <c r="A193" s="15">
        <v>192</v>
      </c>
      <c r="B193" s="16" t="s">
        <v>460</v>
      </c>
      <c r="C193" s="17">
        <v>46075</v>
      </c>
      <c r="D193" s="17">
        <v>46076</v>
      </c>
      <c r="E193" s="15" t="s">
        <v>25</v>
      </c>
      <c r="F193" s="18">
        <v>0</v>
      </c>
      <c r="G193" s="18">
        <v>0</v>
      </c>
      <c r="H193" s="18">
        <f t="shared" si="2"/>
        <v>0</v>
      </c>
      <c r="I193" s="10">
        <v>0.92</v>
      </c>
      <c r="J193" s="16"/>
    </row>
    <row r="194" spans="1:10" x14ac:dyDescent="0.3">
      <c r="A194" s="11">
        <v>193</v>
      </c>
      <c r="B194" s="12" t="s">
        <v>461</v>
      </c>
      <c r="C194" s="13">
        <v>46076</v>
      </c>
      <c r="D194" s="13">
        <v>46076</v>
      </c>
      <c r="E194" s="11" t="s">
        <v>25</v>
      </c>
      <c r="F194" s="14">
        <v>0</v>
      </c>
      <c r="G194" s="14">
        <v>0</v>
      </c>
      <c r="H194" s="14">
        <f t="shared" ref="H194:H257" si="3">F194+G194</f>
        <v>0</v>
      </c>
      <c r="I194" s="6">
        <v>0.55000000000000004</v>
      </c>
      <c r="J194" s="12"/>
    </row>
    <row r="195" spans="1:10" x14ac:dyDescent="0.3">
      <c r="A195" s="15">
        <v>194</v>
      </c>
      <c r="B195" s="16" t="s">
        <v>462</v>
      </c>
      <c r="C195" s="17">
        <v>46076</v>
      </c>
      <c r="D195" s="17">
        <v>46076</v>
      </c>
      <c r="E195" s="15" t="s">
        <v>25</v>
      </c>
      <c r="F195" s="18">
        <v>0</v>
      </c>
      <c r="G195" s="18">
        <v>0</v>
      </c>
      <c r="H195" s="18">
        <f t="shared" si="3"/>
        <v>0</v>
      </c>
      <c r="I195" s="10">
        <v>0.13</v>
      </c>
      <c r="J195" s="16"/>
    </row>
    <row r="196" spans="1:10" x14ac:dyDescent="0.3">
      <c r="A196" s="11">
        <v>195</v>
      </c>
      <c r="B196" s="12" t="s">
        <v>463</v>
      </c>
      <c r="C196" s="13">
        <v>46076</v>
      </c>
      <c r="D196" s="13">
        <v>46076</v>
      </c>
      <c r="E196" s="11" t="s">
        <v>25</v>
      </c>
      <c r="F196" s="14">
        <v>0</v>
      </c>
      <c r="G196" s="14">
        <v>0</v>
      </c>
      <c r="H196" s="14">
        <f t="shared" si="3"/>
        <v>0</v>
      </c>
      <c r="I196" s="6">
        <v>0.08</v>
      </c>
      <c r="J196" s="12"/>
    </row>
    <row r="197" spans="1:10" x14ac:dyDescent="0.3">
      <c r="A197" s="15">
        <v>196</v>
      </c>
      <c r="B197" s="16" t="s">
        <v>464</v>
      </c>
      <c r="C197" s="17">
        <v>46076</v>
      </c>
      <c r="D197" s="17">
        <v>46077</v>
      </c>
      <c r="E197" s="15" t="s">
        <v>25</v>
      </c>
      <c r="F197" s="18">
        <v>0</v>
      </c>
      <c r="G197" s="18">
        <v>0</v>
      </c>
      <c r="H197" s="18">
        <f t="shared" si="3"/>
        <v>0</v>
      </c>
      <c r="I197" s="10">
        <v>0.92</v>
      </c>
      <c r="J197" s="16"/>
    </row>
    <row r="198" spans="1:10" x14ac:dyDescent="0.3">
      <c r="A198" s="11">
        <v>197</v>
      </c>
      <c r="B198" s="12" t="s">
        <v>465</v>
      </c>
      <c r="C198" s="13">
        <v>46076</v>
      </c>
      <c r="D198" s="13">
        <v>46078</v>
      </c>
      <c r="E198" s="11" t="s">
        <v>25</v>
      </c>
      <c r="F198" s="14">
        <v>0</v>
      </c>
      <c r="G198" s="14">
        <v>0</v>
      </c>
      <c r="H198" s="14">
        <f t="shared" si="3"/>
        <v>0</v>
      </c>
      <c r="I198" s="6">
        <v>1.89</v>
      </c>
      <c r="J198" s="12"/>
    </row>
    <row r="199" spans="1:10" x14ac:dyDescent="0.3">
      <c r="A199" s="15">
        <v>198</v>
      </c>
      <c r="B199" s="16" t="s">
        <v>466</v>
      </c>
      <c r="C199" s="17">
        <v>46076</v>
      </c>
      <c r="D199" s="17">
        <v>46077</v>
      </c>
      <c r="E199" s="15" t="s">
        <v>25</v>
      </c>
      <c r="F199" s="18">
        <v>0</v>
      </c>
      <c r="G199" s="18">
        <v>0</v>
      </c>
      <c r="H199" s="18">
        <f t="shared" si="3"/>
        <v>0</v>
      </c>
      <c r="I199" s="10">
        <v>0.84</v>
      </c>
      <c r="J199" s="16"/>
    </row>
    <row r="200" spans="1:10" x14ac:dyDescent="0.3">
      <c r="A200" s="11">
        <v>199</v>
      </c>
      <c r="B200" s="12" t="s">
        <v>467</v>
      </c>
      <c r="C200" s="13">
        <v>46076</v>
      </c>
      <c r="D200" s="13">
        <v>46077</v>
      </c>
      <c r="E200" s="11" t="s">
        <v>25</v>
      </c>
      <c r="F200" s="14">
        <v>0</v>
      </c>
      <c r="G200" s="14">
        <v>0</v>
      </c>
      <c r="H200" s="14">
        <f t="shared" si="3"/>
        <v>0</v>
      </c>
      <c r="I200" s="6">
        <v>0.82</v>
      </c>
      <c r="J200" s="12"/>
    </row>
    <row r="201" spans="1:10" x14ac:dyDescent="0.3">
      <c r="A201" s="15">
        <v>200</v>
      </c>
      <c r="B201" s="16" t="s">
        <v>468</v>
      </c>
      <c r="C201" s="17">
        <v>46076</v>
      </c>
      <c r="D201" s="17">
        <v>46078</v>
      </c>
      <c r="E201" s="15" t="s">
        <v>25</v>
      </c>
      <c r="F201" s="18">
        <v>0</v>
      </c>
      <c r="G201" s="18">
        <v>0</v>
      </c>
      <c r="H201" s="18">
        <f t="shared" si="3"/>
        <v>0</v>
      </c>
      <c r="I201" s="10">
        <v>1.85</v>
      </c>
      <c r="J201" s="16"/>
    </row>
    <row r="202" spans="1:10" x14ac:dyDescent="0.3">
      <c r="A202" s="11">
        <v>201</v>
      </c>
      <c r="B202" s="12" t="s">
        <v>469</v>
      </c>
      <c r="C202" s="13">
        <v>46076</v>
      </c>
      <c r="D202" s="13">
        <v>46078</v>
      </c>
      <c r="E202" s="11" t="s">
        <v>25</v>
      </c>
      <c r="F202" s="14">
        <v>0</v>
      </c>
      <c r="G202" s="14">
        <v>0</v>
      </c>
      <c r="H202" s="14">
        <f t="shared" si="3"/>
        <v>0</v>
      </c>
      <c r="I202" s="6">
        <v>1.86</v>
      </c>
      <c r="J202" s="12"/>
    </row>
    <row r="203" spans="1:10" x14ac:dyDescent="0.3">
      <c r="A203" s="15">
        <v>202</v>
      </c>
      <c r="B203" s="16" t="s">
        <v>470</v>
      </c>
      <c r="C203" s="17">
        <v>46076</v>
      </c>
      <c r="D203" s="17">
        <v>46078</v>
      </c>
      <c r="E203" s="15" t="s">
        <v>25</v>
      </c>
      <c r="F203" s="18">
        <v>0</v>
      </c>
      <c r="G203" s="18">
        <v>0</v>
      </c>
      <c r="H203" s="18">
        <f t="shared" si="3"/>
        <v>0</v>
      </c>
      <c r="I203" s="10">
        <v>1.86</v>
      </c>
      <c r="J203" s="16"/>
    </row>
    <row r="204" spans="1:10" x14ac:dyDescent="0.3">
      <c r="A204" s="11">
        <v>203</v>
      </c>
      <c r="B204" s="12" t="s">
        <v>471</v>
      </c>
      <c r="C204" s="13">
        <v>46076</v>
      </c>
      <c r="D204" s="13">
        <v>46077</v>
      </c>
      <c r="E204" s="11" t="s">
        <v>25</v>
      </c>
      <c r="F204" s="14">
        <v>0</v>
      </c>
      <c r="G204" s="14">
        <v>0</v>
      </c>
      <c r="H204" s="14">
        <f t="shared" si="3"/>
        <v>0</v>
      </c>
      <c r="I204" s="6">
        <v>0.82</v>
      </c>
      <c r="J204" s="12"/>
    </row>
    <row r="205" spans="1:10" x14ac:dyDescent="0.3">
      <c r="A205" s="15">
        <v>204</v>
      </c>
      <c r="B205" s="16" t="s">
        <v>472</v>
      </c>
      <c r="C205" s="17">
        <v>46076</v>
      </c>
      <c r="D205" s="17">
        <v>46077</v>
      </c>
      <c r="E205" s="15" t="s">
        <v>25</v>
      </c>
      <c r="F205" s="18">
        <v>0</v>
      </c>
      <c r="G205" s="18">
        <v>0</v>
      </c>
      <c r="H205" s="18">
        <f t="shared" si="3"/>
        <v>0</v>
      </c>
      <c r="I205" s="10">
        <v>0.8</v>
      </c>
      <c r="J205" s="16"/>
    </row>
    <row r="206" spans="1:10" x14ac:dyDescent="0.3">
      <c r="A206" s="11">
        <v>205</v>
      </c>
      <c r="B206" s="12" t="s">
        <v>473</v>
      </c>
      <c r="C206" s="13">
        <v>46076</v>
      </c>
      <c r="D206" s="13">
        <v>46077</v>
      </c>
      <c r="E206" s="11" t="s">
        <v>25</v>
      </c>
      <c r="F206" s="14">
        <v>0</v>
      </c>
      <c r="G206" s="14">
        <v>0</v>
      </c>
      <c r="H206" s="14">
        <f t="shared" si="3"/>
        <v>0</v>
      </c>
      <c r="I206" s="6">
        <v>0.8</v>
      </c>
      <c r="J206" s="12"/>
    </row>
    <row r="207" spans="1:10" x14ac:dyDescent="0.3">
      <c r="A207" s="15">
        <v>206</v>
      </c>
      <c r="B207" s="16" t="s">
        <v>474</v>
      </c>
      <c r="C207" s="17">
        <v>46076</v>
      </c>
      <c r="D207" s="17">
        <v>46078</v>
      </c>
      <c r="E207" s="15" t="s">
        <v>25</v>
      </c>
      <c r="F207" s="18">
        <v>0</v>
      </c>
      <c r="G207" s="18">
        <v>0</v>
      </c>
      <c r="H207" s="18">
        <f t="shared" si="3"/>
        <v>0</v>
      </c>
      <c r="I207" s="10">
        <v>1.84</v>
      </c>
      <c r="J207" s="16"/>
    </row>
    <row r="208" spans="1:10" x14ac:dyDescent="0.3">
      <c r="A208" s="11">
        <v>207</v>
      </c>
      <c r="B208" s="12" t="s">
        <v>475</v>
      </c>
      <c r="C208" s="13">
        <v>46076</v>
      </c>
      <c r="D208" s="13">
        <v>46077</v>
      </c>
      <c r="E208" s="11" t="s">
        <v>25</v>
      </c>
      <c r="F208" s="14">
        <v>0</v>
      </c>
      <c r="G208" s="14">
        <v>0</v>
      </c>
      <c r="H208" s="14">
        <f t="shared" si="3"/>
        <v>0</v>
      </c>
      <c r="I208" s="6">
        <v>0.78</v>
      </c>
      <c r="J208" s="12"/>
    </row>
    <row r="209" spans="1:10" x14ac:dyDescent="0.3">
      <c r="A209" s="15">
        <v>208</v>
      </c>
      <c r="B209" s="16" t="s">
        <v>476</v>
      </c>
      <c r="C209" s="17">
        <v>46076</v>
      </c>
      <c r="D209" s="17">
        <v>46077</v>
      </c>
      <c r="E209" s="15" t="s">
        <v>25</v>
      </c>
      <c r="F209" s="18">
        <v>0</v>
      </c>
      <c r="G209" s="18">
        <v>0</v>
      </c>
      <c r="H209" s="18">
        <f t="shared" si="3"/>
        <v>0</v>
      </c>
      <c r="I209" s="10">
        <v>0.77</v>
      </c>
      <c r="J209" s="16"/>
    </row>
    <row r="210" spans="1:10" x14ac:dyDescent="0.3">
      <c r="A210" s="11">
        <v>209</v>
      </c>
      <c r="B210" s="12" t="s">
        <v>477</v>
      </c>
      <c r="C210" s="13">
        <v>46076</v>
      </c>
      <c r="D210" s="13">
        <v>46077</v>
      </c>
      <c r="E210" s="11" t="s">
        <v>25</v>
      </c>
      <c r="F210" s="14">
        <v>0</v>
      </c>
      <c r="G210" s="14">
        <v>0</v>
      </c>
      <c r="H210" s="14">
        <f t="shared" si="3"/>
        <v>0</v>
      </c>
      <c r="I210" s="6">
        <v>0.75</v>
      </c>
      <c r="J210" s="12"/>
    </row>
    <row r="211" spans="1:10" x14ac:dyDescent="0.3">
      <c r="A211" s="15">
        <v>210</v>
      </c>
      <c r="B211" s="16" t="s">
        <v>478</v>
      </c>
      <c r="C211" s="17">
        <v>46076</v>
      </c>
      <c r="D211" s="17">
        <v>46077</v>
      </c>
      <c r="E211" s="15" t="s">
        <v>25</v>
      </c>
      <c r="F211" s="18">
        <v>0</v>
      </c>
      <c r="G211" s="18">
        <v>0</v>
      </c>
      <c r="H211" s="18">
        <f t="shared" si="3"/>
        <v>0</v>
      </c>
      <c r="I211" s="10">
        <v>0.76</v>
      </c>
      <c r="J211" s="16"/>
    </row>
    <row r="212" spans="1:10" x14ac:dyDescent="0.3">
      <c r="A212" s="11">
        <v>211</v>
      </c>
      <c r="B212" s="12" t="s">
        <v>479</v>
      </c>
      <c r="C212" s="13">
        <v>46076</v>
      </c>
      <c r="D212" s="13">
        <v>46077</v>
      </c>
      <c r="E212" s="11" t="s">
        <v>25</v>
      </c>
      <c r="F212" s="14">
        <v>0</v>
      </c>
      <c r="G212" s="14">
        <v>0</v>
      </c>
      <c r="H212" s="14">
        <f t="shared" si="3"/>
        <v>0</v>
      </c>
      <c r="I212" s="6">
        <v>0.76</v>
      </c>
      <c r="J212" s="12"/>
    </row>
    <row r="213" spans="1:10" x14ac:dyDescent="0.3">
      <c r="A213" s="15">
        <v>212</v>
      </c>
      <c r="B213" s="16" t="s">
        <v>480</v>
      </c>
      <c r="C213" s="17">
        <v>46076</v>
      </c>
      <c r="D213" s="17">
        <v>46077</v>
      </c>
      <c r="E213" s="15" t="s">
        <v>25</v>
      </c>
      <c r="F213" s="18">
        <v>0</v>
      </c>
      <c r="G213" s="18">
        <v>0</v>
      </c>
      <c r="H213" s="18">
        <f t="shared" si="3"/>
        <v>0</v>
      </c>
      <c r="I213" s="10">
        <v>0.74</v>
      </c>
      <c r="J213" s="16"/>
    </row>
    <row r="214" spans="1:10" x14ac:dyDescent="0.3">
      <c r="A214" s="11">
        <v>213</v>
      </c>
      <c r="B214" s="12" t="s">
        <v>481</v>
      </c>
      <c r="C214" s="13">
        <v>46076</v>
      </c>
      <c r="D214" s="13">
        <v>46077</v>
      </c>
      <c r="E214" s="11" t="s">
        <v>25</v>
      </c>
      <c r="F214" s="14">
        <v>0</v>
      </c>
      <c r="G214" s="14">
        <v>0</v>
      </c>
      <c r="H214" s="14">
        <f t="shared" si="3"/>
        <v>0</v>
      </c>
      <c r="I214" s="6">
        <v>0.73</v>
      </c>
      <c r="J214" s="12"/>
    </row>
    <row r="215" spans="1:10" x14ac:dyDescent="0.3">
      <c r="A215" s="15">
        <v>214</v>
      </c>
      <c r="B215" s="16" t="s">
        <v>482</v>
      </c>
      <c r="C215" s="17">
        <v>46076</v>
      </c>
      <c r="D215" s="17">
        <v>46077</v>
      </c>
      <c r="E215" s="15" t="s">
        <v>25</v>
      </c>
      <c r="F215" s="18">
        <v>0</v>
      </c>
      <c r="G215" s="18">
        <v>0</v>
      </c>
      <c r="H215" s="18">
        <f t="shared" si="3"/>
        <v>0</v>
      </c>
      <c r="I215" s="10">
        <v>0.75</v>
      </c>
      <c r="J215" s="16"/>
    </row>
    <row r="216" spans="1:10" x14ac:dyDescent="0.3">
      <c r="A216" s="11">
        <v>215</v>
      </c>
      <c r="B216" s="12" t="s">
        <v>483</v>
      </c>
      <c r="C216" s="13">
        <v>46076</v>
      </c>
      <c r="D216" s="13">
        <v>46077</v>
      </c>
      <c r="E216" s="11" t="s">
        <v>25</v>
      </c>
      <c r="F216" s="14">
        <v>0</v>
      </c>
      <c r="G216" s="14">
        <v>0</v>
      </c>
      <c r="H216" s="14">
        <f t="shared" si="3"/>
        <v>0</v>
      </c>
      <c r="I216" s="6">
        <v>0.74</v>
      </c>
      <c r="J216" s="12"/>
    </row>
    <row r="217" spans="1:10" x14ac:dyDescent="0.3">
      <c r="A217" s="15">
        <v>216</v>
      </c>
      <c r="B217" s="16" t="s">
        <v>484</v>
      </c>
      <c r="C217" s="17">
        <v>46076</v>
      </c>
      <c r="D217" s="17">
        <v>46077</v>
      </c>
      <c r="E217" s="15" t="s">
        <v>25</v>
      </c>
      <c r="F217" s="18">
        <v>0</v>
      </c>
      <c r="G217" s="18">
        <v>0</v>
      </c>
      <c r="H217" s="18">
        <f t="shared" si="3"/>
        <v>0</v>
      </c>
      <c r="I217" s="10">
        <v>0.72</v>
      </c>
      <c r="J217" s="16"/>
    </row>
    <row r="218" spans="1:10" x14ac:dyDescent="0.3">
      <c r="A218" s="11">
        <v>217</v>
      </c>
      <c r="B218" s="12" t="s">
        <v>485</v>
      </c>
      <c r="C218" s="13">
        <v>46076</v>
      </c>
      <c r="D218" s="13">
        <v>46077</v>
      </c>
      <c r="E218" s="11" t="s">
        <v>25</v>
      </c>
      <c r="F218" s="14">
        <v>0</v>
      </c>
      <c r="G218" s="14">
        <v>0</v>
      </c>
      <c r="H218" s="14">
        <f t="shared" si="3"/>
        <v>0</v>
      </c>
      <c r="I218" s="6">
        <v>0.73</v>
      </c>
      <c r="J218" s="12"/>
    </row>
    <row r="219" spans="1:10" x14ac:dyDescent="0.3">
      <c r="A219" s="15">
        <v>218</v>
      </c>
      <c r="B219" s="16" t="s">
        <v>486</v>
      </c>
      <c r="C219" s="17">
        <v>46076</v>
      </c>
      <c r="D219" s="17">
        <v>46077</v>
      </c>
      <c r="E219" s="15" t="s">
        <v>25</v>
      </c>
      <c r="F219" s="18">
        <v>0</v>
      </c>
      <c r="G219" s="18">
        <v>0</v>
      </c>
      <c r="H219" s="18">
        <f t="shared" si="3"/>
        <v>0</v>
      </c>
      <c r="I219" s="10">
        <v>0.73</v>
      </c>
      <c r="J219" s="16"/>
    </row>
    <row r="220" spans="1:10" x14ac:dyDescent="0.3">
      <c r="A220" s="11">
        <v>219</v>
      </c>
      <c r="B220" s="12" t="s">
        <v>487</v>
      </c>
      <c r="C220" s="13">
        <v>46076</v>
      </c>
      <c r="D220" s="13">
        <v>46077</v>
      </c>
      <c r="E220" s="11" t="s">
        <v>25</v>
      </c>
      <c r="F220" s="14">
        <v>0</v>
      </c>
      <c r="G220" s="14">
        <v>0</v>
      </c>
      <c r="H220" s="14">
        <f t="shared" si="3"/>
        <v>0</v>
      </c>
      <c r="I220" s="6">
        <v>0.73</v>
      </c>
      <c r="J220" s="12"/>
    </row>
    <row r="221" spans="1:10" x14ac:dyDescent="0.3">
      <c r="A221" s="15">
        <v>220</v>
      </c>
      <c r="B221" s="16" t="s">
        <v>488</v>
      </c>
      <c r="C221" s="17">
        <v>46076</v>
      </c>
      <c r="D221" s="17">
        <v>46077</v>
      </c>
      <c r="E221" s="15" t="s">
        <v>25</v>
      </c>
      <c r="F221" s="18">
        <v>0</v>
      </c>
      <c r="G221" s="18">
        <v>0</v>
      </c>
      <c r="H221" s="18">
        <f t="shared" si="3"/>
        <v>0</v>
      </c>
      <c r="I221" s="10">
        <v>0.51</v>
      </c>
      <c r="J221" s="16"/>
    </row>
    <row r="222" spans="1:10" x14ac:dyDescent="0.3">
      <c r="A222" s="11">
        <v>221</v>
      </c>
      <c r="B222" s="12" t="s">
        <v>489</v>
      </c>
      <c r="C222" s="13">
        <v>46077</v>
      </c>
      <c r="D222" s="13">
        <v>46077</v>
      </c>
      <c r="E222" s="11" t="s">
        <v>25</v>
      </c>
      <c r="F222" s="14">
        <v>0</v>
      </c>
      <c r="G222" s="14">
        <v>0</v>
      </c>
      <c r="H222" s="14">
        <f t="shared" si="3"/>
        <v>0</v>
      </c>
      <c r="I222" s="6">
        <v>0</v>
      </c>
      <c r="J222" s="12"/>
    </row>
    <row r="223" spans="1:10" x14ac:dyDescent="0.3">
      <c r="A223" s="15">
        <v>222</v>
      </c>
      <c r="B223" s="16" t="s">
        <v>490</v>
      </c>
      <c r="C223" s="17">
        <v>46077</v>
      </c>
      <c r="D223" s="17">
        <v>46078</v>
      </c>
      <c r="E223" s="15" t="s">
        <v>25</v>
      </c>
      <c r="F223" s="18">
        <v>0</v>
      </c>
      <c r="G223" s="18">
        <v>0</v>
      </c>
      <c r="H223" s="18">
        <f t="shared" si="3"/>
        <v>0</v>
      </c>
      <c r="I223" s="10">
        <v>0.78</v>
      </c>
      <c r="J223" s="16"/>
    </row>
    <row r="224" spans="1:10" x14ac:dyDescent="0.3">
      <c r="A224" s="11">
        <v>223</v>
      </c>
      <c r="B224" s="12" t="s">
        <v>491</v>
      </c>
      <c r="C224" s="13">
        <v>46078</v>
      </c>
      <c r="D224" s="13">
        <v>46080</v>
      </c>
      <c r="E224" s="11" t="s">
        <v>25</v>
      </c>
      <c r="F224" s="14">
        <v>0</v>
      </c>
      <c r="G224" s="14">
        <v>0</v>
      </c>
      <c r="H224" s="14">
        <f t="shared" si="3"/>
        <v>0</v>
      </c>
      <c r="I224" s="6">
        <v>2.0699999999999998</v>
      </c>
      <c r="J224" s="12"/>
    </row>
    <row r="225" spans="1:10" x14ac:dyDescent="0.3">
      <c r="A225" s="15">
        <v>224</v>
      </c>
      <c r="B225" s="16" t="s">
        <v>492</v>
      </c>
      <c r="C225" s="17">
        <v>46078</v>
      </c>
      <c r="D225" s="17">
        <v>46080</v>
      </c>
      <c r="E225" s="15" t="s">
        <v>25</v>
      </c>
      <c r="F225" s="18">
        <v>0</v>
      </c>
      <c r="G225" s="18">
        <v>0</v>
      </c>
      <c r="H225" s="18">
        <f t="shared" si="3"/>
        <v>0</v>
      </c>
      <c r="I225" s="10">
        <v>1.94</v>
      </c>
      <c r="J225" s="16"/>
    </row>
    <row r="226" spans="1:10" x14ac:dyDescent="0.3">
      <c r="A226" s="11">
        <v>225</v>
      </c>
      <c r="B226" s="12" t="s">
        <v>493</v>
      </c>
      <c r="C226" s="13">
        <v>46078</v>
      </c>
      <c r="D226" s="13">
        <v>46080</v>
      </c>
      <c r="E226" s="11" t="s">
        <v>25</v>
      </c>
      <c r="F226" s="14">
        <v>0</v>
      </c>
      <c r="G226" s="14">
        <v>0</v>
      </c>
      <c r="H226" s="14">
        <f t="shared" si="3"/>
        <v>0</v>
      </c>
      <c r="I226" s="6">
        <v>1.93</v>
      </c>
      <c r="J226" s="12"/>
    </row>
    <row r="227" spans="1:10" x14ac:dyDescent="0.3">
      <c r="A227" s="15">
        <v>226</v>
      </c>
      <c r="B227" s="16" t="s">
        <v>494</v>
      </c>
      <c r="C227" s="17">
        <v>46078</v>
      </c>
      <c r="D227" s="17">
        <v>46080</v>
      </c>
      <c r="E227" s="15" t="s">
        <v>25</v>
      </c>
      <c r="F227" s="18">
        <v>0</v>
      </c>
      <c r="G227" s="18">
        <v>0</v>
      </c>
      <c r="H227" s="18">
        <f t="shared" si="3"/>
        <v>0</v>
      </c>
      <c r="I227" s="10">
        <v>1.85</v>
      </c>
      <c r="J227" s="16"/>
    </row>
    <row r="228" spans="1:10" x14ac:dyDescent="0.3">
      <c r="A228" s="11">
        <v>227</v>
      </c>
      <c r="B228" s="12" t="s">
        <v>495</v>
      </c>
      <c r="C228" s="13">
        <v>46078</v>
      </c>
      <c r="D228" s="13">
        <v>46080</v>
      </c>
      <c r="E228" s="11" t="s">
        <v>25</v>
      </c>
      <c r="F228" s="14">
        <v>0</v>
      </c>
      <c r="G228" s="14">
        <v>0</v>
      </c>
      <c r="H228" s="14">
        <f t="shared" si="3"/>
        <v>0</v>
      </c>
      <c r="I228" s="6">
        <v>1.85</v>
      </c>
      <c r="J228" s="12"/>
    </row>
    <row r="229" spans="1:10" x14ac:dyDescent="0.3">
      <c r="A229" s="15">
        <v>228</v>
      </c>
      <c r="B229" s="16" t="s">
        <v>496</v>
      </c>
      <c r="C229" s="17">
        <v>46079</v>
      </c>
      <c r="D229" s="17">
        <v>46080</v>
      </c>
      <c r="E229" s="15" t="s">
        <v>25</v>
      </c>
      <c r="F229" s="18">
        <v>0</v>
      </c>
      <c r="G229" s="18">
        <v>0</v>
      </c>
      <c r="H229" s="18">
        <f t="shared" si="3"/>
        <v>0</v>
      </c>
      <c r="I229" s="10">
        <v>1.1000000000000001</v>
      </c>
      <c r="J229" s="16"/>
    </row>
    <row r="230" spans="1:10" x14ac:dyDescent="0.3">
      <c r="A230" s="11">
        <v>229</v>
      </c>
      <c r="B230" s="12" t="s">
        <v>497</v>
      </c>
      <c r="C230" s="13">
        <v>46079</v>
      </c>
      <c r="D230" s="13">
        <v>46080</v>
      </c>
      <c r="E230" s="11" t="s">
        <v>25</v>
      </c>
      <c r="F230" s="14">
        <v>0</v>
      </c>
      <c r="G230" s="14">
        <v>0</v>
      </c>
      <c r="H230" s="14">
        <f t="shared" si="3"/>
        <v>0</v>
      </c>
      <c r="I230" s="6">
        <v>0.99</v>
      </c>
      <c r="J230" s="12"/>
    </row>
    <row r="231" spans="1:10" x14ac:dyDescent="0.3">
      <c r="A231" s="15">
        <v>230</v>
      </c>
      <c r="B231" s="16" t="s">
        <v>498</v>
      </c>
      <c r="C231" s="17">
        <v>46079</v>
      </c>
      <c r="D231" s="17">
        <v>46080</v>
      </c>
      <c r="E231" s="15" t="s">
        <v>25</v>
      </c>
      <c r="F231" s="18">
        <v>0</v>
      </c>
      <c r="G231" s="18">
        <v>0</v>
      </c>
      <c r="H231" s="18">
        <f t="shared" si="3"/>
        <v>0</v>
      </c>
      <c r="I231" s="10">
        <v>0.93</v>
      </c>
      <c r="J231" s="16"/>
    </row>
    <row r="232" spans="1:10" x14ac:dyDescent="0.3">
      <c r="A232" s="19" t="s">
        <v>265</v>
      </c>
      <c r="B232" s="20"/>
      <c r="C232" s="20"/>
      <c r="D232" s="20"/>
      <c r="E232" s="20"/>
      <c r="F232" s="21">
        <f>SUM(F2:F231)</f>
        <v>0</v>
      </c>
      <c r="G232" s="21">
        <f>SUM(G2:G231)</f>
        <v>0</v>
      </c>
      <c r="H232" s="21">
        <f>SUM(H2:H231)</f>
        <v>0</v>
      </c>
      <c r="I232" s="22">
        <f>SUM(I2:I231)</f>
        <v>710.88999999999965</v>
      </c>
      <c r="J232" s="20"/>
    </row>
    <row r="233" spans="1:10" x14ac:dyDescent="0.3">
      <c r="A233" s="19" t="s">
        <v>266</v>
      </c>
      <c r="B233" s="23">
        <f>COUNTA(B2:B231)</f>
        <v>230</v>
      </c>
      <c r="C233" s="19" t="s">
        <v>267</v>
      </c>
      <c r="D233" s="24">
        <f>SUM(I2:I231)</f>
        <v>710.88999999999965</v>
      </c>
      <c r="E233" s="19" t="s">
        <v>268</v>
      </c>
      <c r="F233" s="22">
        <f>AVERAGE(I2:I231)</f>
        <v>3.0908260869565201</v>
      </c>
      <c r="G233" s="20"/>
      <c r="H233" s="20"/>
      <c r="I233" s="20"/>
      <c r="J233" s="20"/>
    </row>
  </sheetData>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12"/>
  <sheetViews>
    <sheetView workbookViewId="0">
      <pane ySplit="1" topLeftCell="A2" activePane="bottomLeft" state="frozen"/>
      <selection pane="bottomLeft"/>
    </sheetView>
  </sheetViews>
  <sheetFormatPr defaultRowHeight="15" x14ac:dyDescent="0.3"/>
  <cols>
    <col min="1" max="1" width="6" customWidth="1"/>
    <col min="2" max="2" width="20" customWidth="1"/>
    <col min="3" max="4" width="13" customWidth="1"/>
    <col min="5" max="5" width="10" customWidth="1"/>
    <col min="6" max="9" width="11" customWidth="1"/>
    <col min="10" max="10" width="16" customWidth="1"/>
  </cols>
  <sheetData>
    <row r="1" spans="1:10" ht="19.95" customHeight="1" x14ac:dyDescent="0.3">
      <c r="A1" s="1" t="s">
        <v>14</v>
      </c>
      <c r="B1" s="1" t="s">
        <v>15</v>
      </c>
      <c r="C1" s="1" t="s">
        <v>16</v>
      </c>
      <c r="D1" s="1" t="s">
        <v>17</v>
      </c>
      <c r="E1" s="1" t="s">
        <v>18</v>
      </c>
      <c r="F1" s="1" t="s">
        <v>19</v>
      </c>
      <c r="G1" s="1" t="s">
        <v>20</v>
      </c>
      <c r="H1" s="1" t="s">
        <v>21</v>
      </c>
      <c r="I1" s="1" t="s">
        <v>22</v>
      </c>
      <c r="J1" s="1" t="s">
        <v>23</v>
      </c>
    </row>
    <row r="2" spans="1:10" x14ac:dyDescent="0.3">
      <c r="A2" s="11">
        <v>1</v>
      </c>
      <c r="B2" s="12" t="s">
        <v>499</v>
      </c>
      <c r="C2" s="13">
        <v>46052</v>
      </c>
      <c r="D2" s="13">
        <v>46098</v>
      </c>
      <c r="E2" s="11" t="s">
        <v>25</v>
      </c>
      <c r="F2" s="14">
        <v>0</v>
      </c>
      <c r="G2" s="14">
        <v>0</v>
      </c>
      <c r="H2" s="14">
        <f t="shared" ref="H2:H65" si="0">F2+G2</f>
        <v>0</v>
      </c>
      <c r="I2" s="6">
        <v>45.91</v>
      </c>
      <c r="J2" s="12"/>
    </row>
    <row r="3" spans="1:10" x14ac:dyDescent="0.3">
      <c r="A3" s="15">
        <v>2</v>
      </c>
      <c r="B3" s="16" t="s">
        <v>500</v>
      </c>
      <c r="C3" s="17">
        <v>46058</v>
      </c>
      <c r="D3" s="17">
        <v>46083</v>
      </c>
      <c r="E3" s="15" t="s">
        <v>25</v>
      </c>
      <c r="F3" s="18">
        <v>0</v>
      </c>
      <c r="G3" s="18">
        <v>0</v>
      </c>
      <c r="H3" s="18">
        <f t="shared" si="0"/>
        <v>0</v>
      </c>
      <c r="I3" s="10">
        <v>25.11</v>
      </c>
      <c r="J3" s="16"/>
    </row>
    <row r="4" spans="1:10" x14ac:dyDescent="0.3">
      <c r="A4" s="11">
        <v>3</v>
      </c>
      <c r="B4" s="12" t="s">
        <v>501</v>
      </c>
      <c r="C4" s="13">
        <v>46061</v>
      </c>
      <c r="D4" s="13">
        <v>46098</v>
      </c>
      <c r="E4" s="11" t="s">
        <v>25</v>
      </c>
      <c r="F4" s="14">
        <v>0</v>
      </c>
      <c r="G4" s="14">
        <v>0</v>
      </c>
      <c r="H4" s="14">
        <f t="shared" si="0"/>
        <v>0</v>
      </c>
      <c r="I4" s="6">
        <v>37.01</v>
      </c>
      <c r="J4" s="12"/>
    </row>
    <row r="5" spans="1:10" x14ac:dyDescent="0.3">
      <c r="A5" s="15">
        <v>4</v>
      </c>
      <c r="B5" s="16" t="s">
        <v>502</v>
      </c>
      <c r="C5" s="17">
        <v>46068</v>
      </c>
      <c r="D5" s="17">
        <v>46083</v>
      </c>
      <c r="E5" s="15" t="s">
        <v>25</v>
      </c>
      <c r="F5" s="18">
        <v>0</v>
      </c>
      <c r="G5" s="18">
        <v>0</v>
      </c>
      <c r="H5" s="18">
        <f t="shared" si="0"/>
        <v>0</v>
      </c>
      <c r="I5" s="10">
        <v>15.01</v>
      </c>
      <c r="J5" s="16"/>
    </row>
    <row r="6" spans="1:10" x14ac:dyDescent="0.3">
      <c r="A6" s="11">
        <v>5</v>
      </c>
      <c r="B6" s="12" t="s">
        <v>503</v>
      </c>
      <c r="C6" s="13">
        <v>46068</v>
      </c>
      <c r="D6" s="13">
        <v>46083</v>
      </c>
      <c r="E6" s="11" t="s">
        <v>25</v>
      </c>
      <c r="F6" s="14">
        <v>0</v>
      </c>
      <c r="G6" s="14">
        <v>0</v>
      </c>
      <c r="H6" s="14">
        <f t="shared" si="0"/>
        <v>0</v>
      </c>
      <c r="I6" s="6">
        <v>14.72</v>
      </c>
      <c r="J6" s="12"/>
    </row>
    <row r="7" spans="1:10" x14ac:dyDescent="0.3">
      <c r="A7" s="15">
        <v>6</v>
      </c>
      <c r="B7" s="16" t="s">
        <v>504</v>
      </c>
      <c r="C7" s="17">
        <v>46071</v>
      </c>
      <c r="D7" s="17">
        <v>46083</v>
      </c>
      <c r="E7" s="15" t="s">
        <v>25</v>
      </c>
      <c r="F7" s="18">
        <v>0</v>
      </c>
      <c r="G7" s="18">
        <v>0</v>
      </c>
      <c r="H7" s="18">
        <f t="shared" si="0"/>
        <v>0</v>
      </c>
      <c r="I7" s="10">
        <v>12.18</v>
      </c>
      <c r="J7" s="16"/>
    </row>
    <row r="8" spans="1:10" x14ac:dyDescent="0.3">
      <c r="A8" s="11">
        <v>7</v>
      </c>
      <c r="B8" s="12" t="s">
        <v>505</v>
      </c>
      <c r="C8" s="13">
        <v>46071</v>
      </c>
      <c r="D8" s="13">
        <v>46083</v>
      </c>
      <c r="E8" s="11" t="s">
        <v>25</v>
      </c>
      <c r="F8" s="14">
        <v>0</v>
      </c>
      <c r="G8" s="14">
        <v>0</v>
      </c>
      <c r="H8" s="14">
        <f t="shared" si="0"/>
        <v>0</v>
      </c>
      <c r="I8" s="6">
        <v>11.88</v>
      </c>
      <c r="J8" s="12"/>
    </row>
    <row r="9" spans="1:10" x14ac:dyDescent="0.3">
      <c r="A9" s="15">
        <v>8</v>
      </c>
      <c r="B9" s="16" t="s">
        <v>506</v>
      </c>
      <c r="C9" s="17">
        <v>46072</v>
      </c>
      <c r="D9" s="17">
        <v>46083</v>
      </c>
      <c r="E9" s="15" t="s">
        <v>25</v>
      </c>
      <c r="F9" s="18">
        <v>0</v>
      </c>
      <c r="G9" s="18">
        <v>0</v>
      </c>
      <c r="H9" s="18">
        <f t="shared" si="0"/>
        <v>0</v>
      </c>
      <c r="I9" s="10">
        <v>10.74</v>
      </c>
      <c r="J9" s="16"/>
    </row>
    <row r="10" spans="1:10" x14ac:dyDescent="0.3">
      <c r="A10" s="11">
        <v>9</v>
      </c>
      <c r="B10" s="12" t="s">
        <v>507</v>
      </c>
      <c r="C10" s="13">
        <v>46073</v>
      </c>
      <c r="D10" s="13">
        <v>46083</v>
      </c>
      <c r="E10" s="11" t="s">
        <v>25</v>
      </c>
      <c r="F10" s="14">
        <v>0</v>
      </c>
      <c r="G10" s="14">
        <v>0</v>
      </c>
      <c r="H10" s="14">
        <f t="shared" si="0"/>
        <v>0</v>
      </c>
      <c r="I10" s="6">
        <v>10.57</v>
      </c>
      <c r="J10" s="12"/>
    </row>
    <row r="11" spans="1:10" x14ac:dyDescent="0.3">
      <c r="A11" s="15">
        <v>10</v>
      </c>
      <c r="B11" s="16" t="s">
        <v>508</v>
      </c>
      <c r="C11" s="17">
        <v>46076</v>
      </c>
      <c r="D11" s="17">
        <v>46083</v>
      </c>
      <c r="E11" s="15" t="s">
        <v>25</v>
      </c>
      <c r="F11" s="18">
        <v>0</v>
      </c>
      <c r="G11" s="18">
        <v>0</v>
      </c>
      <c r="H11" s="18">
        <f t="shared" si="0"/>
        <v>0</v>
      </c>
      <c r="I11" s="10">
        <v>7.08</v>
      </c>
      <c r="J11" s="16"/>
    </row>
    <row r="12" spans="1:10" x14ac:dyDescent="0.3">
      <c r="A12" s="11">
        <v>11</v>
      </c>
      <c r="B12" s="12" t="s">
        <v>509</v>
      </c>
      <c r="C12" s="13">
        <v>46076</v>
      </c>
      <c r="D12" s="13">
        <v>46083</v>
      </c>
      <c r="E12" s="11" t="s">
        <v>25</v>
      </c>
      <c r="F12" s="14">
        <v>0</v>
      </c>
      <c r="G12" s="14">
        <v>0</v>
      </c>
      <c r="H12" s="14">
        <f t="shared" si="0"/>
        <v>0</v>
      </c>
      <c r="I12" s="6">
        <v>7.06</v>
      </c>
      <c r="J12" s="12"/>
    </row>
    <row r="13" spans="1:10" x14ac:dyDescent="0.3">
      <c r="A13" s="15">
        <v>12</v>
      </c>
      <c r="B13" s="16" t="s">
        <v>510</v>
      </c>
      <c r="C13" s="17">
        <v>46076</v>
      </c>
      <c r="D13" s="17">
        <v>46083</v>
      </c>
      <c r="E13" s="15" t="s">
        <v>25</v>
      </c>
      <c r="F13" s="18">
        <v>0</v>
      </c>
      <c r="G13" s="18">
        <v>0</v>
      </c>
      <c r="H13" s="18">
        <f t="shared" si="0"/>
        <v>0</v>
      </c>
      <c r="I13" s="10">
        <v>7.06</v>
      </c>
      <c r="J13" s="16"/>
    </row>
    <row r="14" spans="1:10" x14ac:dyDescent="0.3">
      <c r="A14" s="11">
        <v>13</v>
      </c>
      <c r="B14" s="12" t="s">
        <v>511</v>
      </c>
      <c r="C14" s="13">
        <v>46076</v>
      </c>
      <c r="D14" s="13">
        <v>46083</v>
      </c>
      <c r="E14" s="11" t="s">
        <v>25</v>
      </c>
      <c r="F14" s="14">
        <v>0</v>
      </c>
      <c r="G14" s="14">
        <v>0</v>
      </c>
      <c r="H14" s="14">
        <f t="shared" si="0"/>
        <v>0</v>
      </c>
      <c r="I14" s="6">
        <v>7.05</v>
      </c>
      <c r="J14" s="12"/>
    </row>
    <row r="15" spans="1:10" x14ac:dyDescent="0.3">
      <c r="A15" s="15">
        <v>14</v>
      </c>
      <c r="B15" s="16" t="s">
        <v>512</v>
      </c>
      <c r="C15" s="17">
        <v>46076</v>
      </c>
      <c r="D15" s="17">
        <v>46083</v>
      </c>
      <c r="E15" s="15" t="s">
        <v>25</v>
      </c>
      <c r="F15" s="18">
        <v>0</v>
      </c>
      <c r="G15" s="18">
        <v>0</v>
      </c>
      <c r="H15" s="18">
        <f t="shared" si="0"/>
        <v>0</v>
      </c>
      <c r="I15" s="10">
        <v>7.04</v>
      </c>
      <c r="J15" s="16"/>
    </row>
    <row r="16" spans="1:10" x14ac:dyDescent="0.3">
      <c r="A16" s="11">
        <v>15</v>
      </c>
      <c r="B16" s="12" t="s">
        <v>513</v>
      </c>
      <c r="C16" s="13">
        <v>46076</v>
      </c>
      <c r="D16" s="13">
        <v>46083</v>
      </c>
      <c r="E16" s="11" t="s">
        <v>25</v>
      </c>
      <c r="F16" s="14">
        <v>0</v>
      </c>
      <c r="G16" s="14">
        <v>0</v>
      </c>
      <c r="H16" s="14">
        <f t="shared" si="0"/>
        <v>0</v>
      </c>
      <c r="I16" s="6">
        <v>7.05</v>
      </c>
      <c r="J16" s="12"/>
    </row>
    <row r="17" spans="1:10" x14ac:dyDescent="0.3">
      <c r="A17" s="15">
        <v>16</v>
      </c>
      <c r="B17" s="16" t="s">
        <v>514</v>
      </c>
      <c r="C17" s="17">
        <v>46076</v>
      </c>
      <c r="D17" s="17">
        <v>46090</v>
      </c>
      <c r="E17" s="15" t="s">
        <v>25</v>
      </c>
      <c r="F17" s="18">
        <v>0</v>
      </c>
      <c r="G17" s="18">
        <v>0</v>
      </c>
      <c r="H17" s="18">
        <f t="shared" si="0"/>
        <v>0</v>
      </c>
      <c r="I17" s="10">
        <v>13.97</v>
      </c>
      <c r="J17" s="16"/>
    </row>
    <row r="18" spans="1:10" x14ac:dyDescent="0.3">
      <c r="A18" s="11">
        <v>17</v>
      </c>
      <c r="B18" s="12" t="s">
        <v>515</v>
      </c>
      <c r="C18" s="13">
        <v>46076</v>
      </c>
      <c r="D18" s="13">
        <v>46093</v>
      </c>
      <c r="E18" s="11" t="s">
        <v>25</v>
      </c>
      <c r="F18" s="14">
        <v>0</v>
      </c>
      <c r="G18" s="14">
        <v>0</v>
      </c>
      <c r="H18" s="14">
        <f t="shared" si="0"/>
        <v>0</v>
      </c>
      <c r="I18" s="6">
        <v>16.79</v>
      </c>
      <c r="J18" s="12"/>
    </row>
    <row r="19" spans="1:10" x14ac:dyDescent="0.3">
      <c r="A19" s="15">
        <v>18</v>
      </c>
      <c r="B19" s="16" t="s">
        <v>516</v>
      </c>
      <c r="C19" s="17">
        <v>46076</v>
      </c>
      <c r="D19" s="17">
        <v>46083</v>
      </c>
      <c r="E19" s="15" t="s">
        <v>25</v>
      </c>
      <c r="F19" s="18">
        <v>0</v>
      </c>
      <c r="G19" s="18">
        <v>0</v>
      </c>
      <c r="H19" s="18">
        <f t="shared" si="0"/>
        <v>0</v>
      </c>
      <c r="I19" s="10">
        <v>7.02</v>
      </c>
      <c r="J19" s="16"/>
    </row>
    <row r="20" spans="1:10" x14ac:dyDescent="0.3">
      <c r="A20" s="11">
        <v>19</v>
      </c>
      <c r="B20" s="12" t="s">
        <v>517</v>
      </c>
      <c r="C20" s="13">
        <v>46076</v>
      </c>
      <c r="D20" s="13">
        <v>46083</v>
      </c>
      <c r="E20" s="11" t="s">
        <v>25</v>
      </c>
      <c r="F20" s="14">
        <v>0</v>
      </c>
      <c r="G20" s="14">
        <v>0</v>
      </c>
      <c r="H20" s="14">
        <f t="shared" si="0"/>
        <v>0</v>
      </c>
      <c r="I20" s="6">
        <v>7.01</v>
      </c>
      <c r="J20" s="12"/>
    </row>
    <row r="21" spans="1:10" x14ac:dyDescent="0.3">
      <c r="A21" s="15">
        <v>20</v>
      </c>
      <c r="B21" s="16" t="s">
        <v>518</v>
      </c>
      <c r="C21" s="17">
        <v>46076</v>
      </c>
      <c r="D21" s="17">
        <v>46083</v>
      </c>
      <c r="E21" s="15" t="s">
        <v>25</v>
      </c>
      <c r="F21" s="18">
        <v>0</v>
      </c>
      <c r="G21" s="18">
        <v>0</v>
      </c>
      <c r="H21" s="18">
        <f t="shared" si="0"/>
        <v>0</v>
      </c>
      <c r="I21" s="10">
        <v>6.94</v>
      </c>
      <c r="J21" s="16"/>
    </row>
    <row r="22" spans="1:10" x14ac:dyDescent="0.3">
      <c r="A22" s="11">
        <v>21</v>
      </c>
      <c r="B22" s="12" t="s">
        <v>519</v>
      </c>
      <c r="C22" s="13">
        <v>46077</v>
      </c>
      <c r="D22" s="13">
        <v>46083</v>
      </c>
      <c r="E22" s="11" t="s">
        <v>25</v>
      </c>
      <c r="F22" s="14">
        <v>0</v>
      </c>
      <c r="G22" s="14">
        <v>0</v>
      </c>
      <c r="H22" s="14">
        <f t="shared" si="0"/>
        <v>0</v>
      </c>
      <c r="I22" s="6">
        <v>6.2</v>
      </c>
      <c r="J22" s="12"/>
    </row>
    <row r="23" spans="1:10" x14ac:dyDescent="0.3">
      <c r="A23" s="15">
        <v>22</v>
      </c>
      <c r="B23" s="16" t="s">
        <v>520</v>
      </c>
      <c r="C23" s="17">
        <v>46077</v>
      </c>
      <c r="D23" s="17">
        <v>46085</v>
      </c>
      <c r="E23" s="15" t="s">
        <v>25</v>
      </c>
      <c r="F23" s="18">
        <v>0</v>
      </c>
      <c r="G23" s="18">
        <v>0</v>
      </c>
      <c r="H23" s="18">
        <f t="shared" si="0"/>
        <v>0</v>
      </c>
      <c r="I23" s="10">
        <v>8.44</v>
      </c>
      <c r="J23" s="16"/>
    </row>
    <row r="24" spans="1:10" x14ac:dyDescent="0.3">
      <c r="A24" s="11">
        <v>23</v>
      </c>
      <c r="B24" s="12" t="s">
        <v>521</v>
      </c>
      <c r="C24" s="13">
        <v>46077</v>
      </c>
      <c r="D24" s="13">
        <v>46085</v>
      </c>
      <c r="E24" s="11" t="s">
        <v>25</v>
      </c>
      <c r="F24" s="14">
        <v>0</v>
      </c>
      <c r="G24" s="14">
        <v>0</v>
      </c>
      <c r="H24" s="14">
        <f t="shared" si="0"/>
        <v>0</v>
      </c>
      <c r="I24" s="6">
        <v>8.44</v>
      </c>
      <c r="J24" s="12"/>
    </row>
    <row r="25" spans="1:10" x14ac:dyDescent="0.3">
      <c r="A25" s="15">
        <v>24</v>
      </c>
      <c r="B25" s="16" t="s">
        <v>522</v>
      </c>
      <c r="C25" s="17">
        <v>46078</v>
      </c>
      <c r="D25" s="17">
        <v>46083</v>
      </c>
      <c r="E25" s="15" t="s">
        <v>25</v>
      </c>
      <c r="F25" s="18">
        <v>0</v>
      </c>
      <c r="G25" s="18">
        <v>0</v>
      </c>
      <c r="H25" s="18">
        <f t="shared" si="0"/>
        <v>0</v>
      </c>
      <c r="I25" s="10">
        <v>4.9400000000000004</v>
      </c>
      <c r="J25" s="16"/>
    </row>
    <row r="26" spans="1:10" x14ac:dyDescent="0.3">
      <c r="A26" s="11">
        <v>25</v>
      </c>
      <c r="B26" s="12" t="s">
        <v>523</v>
      </c>
      <c r="C26" s="13">
        <v>46079</v>
      </c>
      <c r="D26" s="13">
        <v>46083</v>
      </c>
      <c r="E26" s="11" t="s">
        <v>25</v>
      </c>
      <c r="F26" s="14">
        <v>0</v>
      </c>
      <c r="G26" s="14">
        <v>0</v>
      </c>
      <c r="H26" s="14">
        <f t="shared" si="0"/>
        <v>0</v>
      </c>
      <c r="I26" s="6">
        <v>4.22</v>
      </c>
      <c r="J26" s="12"/>
    </row>
    <row r="27" spans="1:10" x14ac:dyDescent="0.3">
      <c r="A27" s="15">
        <v>26</v>
      </c>
      <c r="B27" s="16" t="s">
        <v>524</v>
      </c>
      <c r="C27" s="17">
        <v>46079</v>
      </c>
      <c r="D27" s="17">
        <v>46083</v>
      </c>
      <c r="E27" s="15" t="s">
        <v>25</v>
      </c>
      <c r="F27" s="18">
        <v>0</v>
      </c>
      <c r="G27" s="18">
        <v>0</v>
      </c>
      <c r="H27" s="18">
        <f t="shared" si="0"/>
        <v>0</v>
      </c>
      <c r="I27" s="10">
        <v>4.2</v>
      </c>
      <c r="J27" s="16"/>
    </row>
    <row r="28" spans="1:10" x14ac:dyDescent="0.3">
      <c r="A28" s="11">
        <v>27</v>
      </c>
      <c r="B28" s="12" t="s">
        <v>525</v>
      </c>
      <c r="C28" s="13">
        <v>46080</v>
      </c>
      <c r="D28" s="13">
        <v>46083</v>
      </c>
      <c r="E28" s="11" t="s">
        <v>25</v>
      </c>
      <c r="F28" s="14">
        <v>0</v>
      </c>
      <c r="G28" s="14">
        <v>0</v>
      </c>
      <c r="H28" s="14">
        <f t="shared" si="0"/>
        <v>0</v>
      </c>
      <c r="I28" s="6">
        <v>3.17</v>
      </c>
      <c r="J28" s="12"/>
    </row>
    <row r="29" spans="1:10" x14ac:dyDescent="0.3">
      <c r="A29" s="15">
        <v>28</v>
      </c>
      <c r="B29" s="16" t="s">
        <v>526</v>
      </c>
      <c r="C29" s="17">
        <v>46080</v>
      </c>
      <c r="D29" s="17">
        <v>46083</v>
      </c>
      <c r="E29" s="15" t="s">
        <v>25</v>
      </c>
      <c r="F29" s="18">
        <v>0</v>
      </c>
      <c r="G29" s="18">
        <v>0</v>
      </c>
      <c r="H29" s="18">
        <f t="shared" si="0"/>
        <v>0</v>
      </c>
      <c r="I29" s="10">
        <v>2.75</v>
      </c>
      <c r="J29" s="16"/>
    </row>
    <row r="30" spans="1:10" x14ac:dyDescent="0.3">
      <c r="A30" s="11">
        <v>29</v>
      </c>
      <c r="B30" s="12" t="s">
        <v>527</v>
      </c>
      <c r="C30" s="13">
        <v>46081</v>
      </c>
      <c r="D30" s="13">
        <v>46083</v>
      </c>
      <c r="E30" s="11" t="s">
        <v>25</v>
      </c>
      <c r="F30" s="14">
        <v>0</v>
      </c>
      <c r="G30" s="14">
        <v>0</v>
      </c>
      <c r="H30" s="14">
        <f t="shared" si="0"/>
        <v>0</v>
      </c>
      <c r="I30" s="6">
        <v>2.2200000000000002</v>
      </c>
      <c r="J30" s="12"/>
    </row>
    <row r="31" spans="1:10" x14ac:dyDescent="0.3">
      <c r="A31" s="15">
        <v>30</v>
      </c>
      <c r="B31" s="16" t="s">
        <v>528</v>
      </c>
      <c r="C31" s="17">
        <v>46082</v>
      </c>
      <c r="D31" s="17">
        <v>46083</v>
      </c>
      <c r="E31" s="15" t="s">
        <v>25</v>
      </c>
      <c r="F31" s="18">
        <v>0</v>
      </c>
      <c r="G31" s="18">
        <v>0</v>
      </c>
      <c r="H31" s="18">
        <f t="shared" si="0"/>
        <v>0</v>
      </c>
      <c r="I31" s="10">
        <v>1.1200000000000001</v>
      </c>
      <c r="J31" s="16"/>
    </row>
    <row r="32" spans="1:10" x14ac:dyDescent="0.3">
      <c r="A32" s="11">
        <v>31</v>
      </c>
      <c r="B32" s="12" t="s">
        <v>529</v>
      </c>
      <c r="C32" s="13">
        <v>46082</v>
      </c>
      <c r="D32" s="13">
        <v>46084</v>
      </c>
      <c r="E32" s="11" t="s">
        <v>25</v>
      </c>
      <c r="F32" s="14">
        <v>0</v>
      </c>
      <c r="G32" s="14">
        <v>0</v>
      </c>
      <c r="H32" s="14">
        <f t="shared" si="0"/>
        <v>0</v>
      </c>
      <c r="I32" s="6">
        <v>2.29</v>
      </c>
      <c r="J32" s="12"/>
    </row>
    <row r="33" spans="1:10" x14ac:dyDescent="0.3">
      <c r="A33" s="15">
        <v>32</v>
      </c>
      <c r="B33" s="16" t="s">
        <v>530</v>
      </c>
      <c r="C33" s="17">
        <v>46082</v>
      </c>
      <c r="D33" s="17">
        <v>46083</v>
      </c>
      <c r="E33" s="15" t="s">
        <v>25</v>
      </c>
      <c r="F33" s="18">
        <v>0</v>
      </c>
      <c r="G33" s="18">
        <v>0</v>
      </c>
      <c r="H33" s="18">
        <f t="shared" si="0"/>
        <v>0</v>
      </c>
      <c r="I33" s="10">
        <v>1.05</v>
      </c>
      <c r="J33" s="16"/>
    </row>
    <row r="34" spans="1:10" x14ac:dyDescent="0.3">
      <c r="A34" s="11">
        <v>33</v>
      </c>
      <c r="B34" s="12" t="s">
        <v>531</v>
      </c>
      <c r="C34" s="13">
        <v>46082</v>
      </c>
      <c r="D34" s="13">
        <v>46083</v>
      </c>
      <c r="E34" s="11" t="s">
        <v>25</v>
      </c>
      <c r="F34" s="14">
        <v>0</v>
      </c>
      <c r="G34" s="14">
        <v>0</v>
      </c>
      <c r="H34" s="14">
        <f t="shared" si="0"/>
        <v>0</v>
      </c>
      <c r="I34" s="6">
        <v>0.98</v>
      </c>
      <c r="J34" s="12"/>
    </row>
    <row r="35" spans="1:10" x14ac:dyDescent="0.3">
      <c r="A35" s="15">
        <v>34</v>
      </c>
      <c r="B35" s="16" t="s">
        <v>532</v>
      </c>
      <c r="C35" s="17">
        <v>46082</v>
      </c>
      <c r="D35" s="17">
        <v>46083</v>
      </c>
      <c r="E35" s="15" t="s">
        <v>25</v>
      </c>
      <c r="F35" s="18">
        <v>0</v>
      </c>
      <c r="G35" s="18">
        <v>0</v>
      </c>
      <c r="H35" s="18">
        <f t="shared" si="0"/>
        <v>0</v>
      </c>
      <c r="I35" s="10">
        <v>0.74</v>
      </c>
      <c r="J35" s="16"/>
    </row>
    <row r="36" spans="1:10" x14ac:dyDescent="0.3">
      <c r="A36" s="11">
        <v>35</v>
      </c>
      <c r="B36" s="12" t="s">
        <v>533</v>
      </c>
      <c r="C36" s="13">
        <v>46083</v>
      </c>
      <c r="D36" s="13">
        <v>46083</v>
      </c>
      <c r="E36" s="11" t="s">
        <v>25</v>
      </c>
      <c r="F36" s="14">
        <v>0</v>
      </c>
      <c r="G36" s="14">
        <v>0</v>
      </c>
      <c r="H36" s="14">
        <f t="shared" si="0"/>
        <v>0</v>
      </c>
      <c r="I36" s="6">
        <v>0.17</v>
      </c>
      <c r="J36" s="12"/>
    </row>
    <row r="37" spans="1:10" x14ac:dyDescent="0.3">
      <c r="A37" s="15">
        <v>36</v>
      </c>
      <c r="B37" s="16" t="s">
        <v>534</v>
      </c>
      <c r="C37" s="17">
        <v>46084</v>
      </c>
      <c r="D37" s="17">
        <v>46084</v>
      </c>
      <c r="E37" s="15" t="s">
        <v>25</v>
      </c>
      <c r="F37" s="18">
        <v>0</v>
      </c>
      <c r="G37" s="18">
        <v>0</v>
      </c>
      <c r="H37" s="18">
        <f t="shared" si="0"/>
        <v>0</v>
      </c>
      <c r="I37" s="10">
        <v>0.13</v>
      </c>
      <c r="J37" s="16"/>
    </row>
    <row r="38" spans="1:10" x14ac:dyDescent="0.3">
      <c r="A38" s="11">
        <v>37</v>
      </c>
      <c r="B38" s="12" t="s">
        <v>535</v>
      </c>
      <c r="C38" s="13">
        <v>46084</v>
      </c>
      <c r="D38" s="13">
        <v>46084</v>
      </c>
      <c r="E38" s="11" t="s">
        <v>25</v>
      </c>
      <c r="F38" s="14">
        <v>0</v>
      </c>
      <c r="G38" s="14">
        <v>0</v>
      </c>
      <c r="H38" s="14">
        <f t="shared" si="0"/>
        <v>0</v>
      </c>
      <c r="I38" s="6">
        <v>0.11</v>
      </c>
      <c r="J38" s="12"/>
    </row>
    <row r="39" spans="1:10" x14ac:dyDescent="0.3">
      <c r="A39" s="15">
        <v>38</v>
      </c>
      <c r="B39" s="16" t="s">
        <v>536</v>
      </c>
      <c r="C39" s="17">
        <v>46084</v>
      </c>
      <c r="D39" s="17">
        <v>46084</v>
      </c>
      <c r="E39" s="15" t="s">
        <v>25</v>
      </c>
      <c r="F39" s="18">
        <v>0</v>
      </c>
      <c r="G39" s="18">
        <v>0</v>
      </c>
      <c r="H39" s="18">
        <f t="shared" si="0"/>
        <v>0</v>
      </c>
      <c r="I39" s="10">
        <v>0.34</v>
      </c>
      <c r="J39" s="16"/>
    </row>
    <row r="40" spans="1:10" x14ac:dyDescent="0.3">
      <c r="A40" s="11">
        <v>39</v>
      </c>
      <c r="B40" s="12" t="s">
        <v>537</v>
      </c>
      <c r="C40" s="13">
        <v>46084</v>
      </c>
      <c r="D40" s="13">
        <v>46084</v>
      </c>
      <c r="E40" s="11" t="s">
        <v>25</v>
      </c>
      <c r="F40" s="14">
        <v>0</v>
      </c>
      <c r="G40" s="14">
        <v>0</v>
      </c>
      <c r="H40" s="14">
        <f t="shared" si="0"/>
        <v>0</v>
      </c>
      <c r="I40" s="6">
        <v>0.26</v>
      </c>
      <c r="J40" s="12"/>
    </row>
    <row r="41" spans="1:10" x14ac:dyDescent="0.3">
      <c r="A41" s="15">
        <v>40</v>
      </c>
      <c r="B41" s="16" t="s">
        <v>538</v>
      </c>
      <c r="C41" s="17">
        <v>46084</v>
      </c>
      <c r="D41" s="17">
        <v>46084</v>
      </c>
      <c r="E41" s="15" t="s">
        <v>25</v>
      </c>
      <c r="F41" s="18">
        <v>0</v>
      </c>
      <c r="G41" s="18">
        <v>0</v>
      </c>
      <c r="H41" s="18">
        <f t="shared" si="0"/>
        <v>0</v>
      </c>
      <c r="I41" s="10">
        <v>0</v>
      </c>
      <c r="J41" s="16"/>
    </row>
    <row r="42" spans="1:10" x14ac:dyDescent="0.3">
      <c r="A42" s="11">
        <v>41</v>
      </c>
      <c r="B42" s="12" t="s">
        <v>539</v>
      </c>
      <c r="C42" s="13">
        <v>46084</v>
      </c>
      <c r="D42" s="13">
        <v>46084</v>
      </c>
      <c r="E42" s="11" t="s">
        <v>25</v>
      </c>
      <c r="F42" s="14">
        <v>0</v>
      </c>
      <c r="G42" s="14">
        <v>0</v>
      </c>
      <c r="H42" s="14">
        <f t="shared" si="0"/>
        <v>0</v>
      </c>
      <c r="I42" s="6">
        <v>0.22</v>
      </c>
      <c r="J42" s="12"/>
    </row>
    <row r="43" spans="1:10" x14ac:dyDescent="0.3">
      <c r="A43" s="15">
        <v>42</v>
      </c>
      <c r="B43" s="16" t="s">
        <v>540</v>
      </c>
      <c r="C43" s="17">
        <v>46085</v>
      </c>
      <c r="D43" s="17">
        <v>46085</v>
      </c>
      <c r="E43" s="15" t="s">
        <v>25</v>
      </c>
      <c r="F43" s="18">
        <v>0</v>
      </c>
      <c r="G43" s="18">
        <v>0</v>
      </c>
      <c r="H43" s="18">
        <f t="shared" si="0"/>
        <v>0</v>
      </c>
      <c r="I43" s="10">
        <v>0.79</v>
      </c>
      <c r="J43" s="16"/>
    </row>
    <row r="44" spans="1:10" x14ac:dyDescent="0.3">
      <c r="A44" s="11">
        <v>43</v>
      </c>
      <c r="B44" s="12" t="s">
        <v>541</v>
      </c>
      <c r="C44" s="13">
        <v>46085</v>
      </c>
      <c r="D44" s="13">
        <v>46085</v>
      </c>
      <c r="E44" s="11" t="s">
        <v>25</v>
      </c>
      <c r="F44" s="14">
        <v>0</v>
      </c>
      <c r="G44" s="14">
        <v>0</v>
      </c>
      <c r="H44" s="14">
        <f t="shared" si="0"/>
        <v>0</v>
      </c>
      <c r="I44" s="6">
        <v>0.46</v>
      </c>
      <c r="J44" s="12"/>
    </row>
    <row r="45" spans="1:10" x14ac:dyDescent="0.3">
      <c r="A45" s="15">
        <v>44</v>
      </c>
      <c r="B45" s="16" t="s">
        <v>542</v>
      </c>
      <c r="C45" s="17">
        <v>46085</v>
      </c>
      <c r="D45" s="17">
        <v>46085</v>
      </c>
      <c r="E45" s="15" t="s">
        <v>25</v>
      </c>
      <c r="F45" s="18">
        <v>0</v>
      </c>
      <c r="G45" s="18">
        <v>0</v>
      </c>
      <c r="H45" s="18">
        <f t="shared" si="0"/>
        <v>0</v>
      </c>
      <c r="I45" s="10">
        <v>0.45</v>
      </c>
      <c r="J45" s="16"/>
    </row>
    <row r="46" spans="1:10" x14ac:dyDescent="0.3">
      <c r="A46" s="11">
        <v>45</v>
      </c>
      <c r="B46" s="12" t="s">
        <v>543</v>
      </c>
      <c r="C46" s="13">
        <v>46085</v>
      </c>
      <c r="D46" s="13">
        <v>46090</v>
      </c>
      <c r="E46" s="11" t="s">
        <v>25</v>
      </c>
      <c r="F46" s="14">
        <v>0</v>
      </c>
      <c r="G46" s="14">
        <v>0</v>
      </c>
      <c r="H46" s="14">
        <f t="shared" si="0"/>
        <v>0</v>
      </c>
      <c r="I46" s="6">
        <v>4.95</v>
      </c>
      <c r="J46" s="12"/>
    </row>
    <row r="47" spans="1:10" x14ac:dyDescent="0.3">
      <c r="A47" s="15">
        <v>46</v>
      </c>
      <c r="B47" s="16" t="s">
        <v>544</v>
      </c>
      <c r="C47" s="17">
        <v>46085</v>
      </c>
      <c r="D47" s="17">
        <v>46085</v>
      </c>
      <c r="E47" s="15" t="s">
        <v>25</v>
      </c>
      <c r="F47" s="18">
        <v>0</v>
      </c>
      <c r="G47" s="18">
        <v>0</v>
      </c>
      <c r="H47" s="18">
        <f t="shared" si="0"/>
        <v>0</v>
      </c>
      <c r="I47" s="10">
        <v>0.4</v>
      </c>
      <c r="J47" s="16"/>
    </row>
    <row r="48" spans="1:10" x14ac:dyDescent="0.3">
      <c r="A48" s="11">
        <v>47</v>
      </c>
      <c r="B48" s="12" t="s">
        <v>545</v>
      </c>
      <c r="C48" s="13">
        <v>46085</v>
      </c>
      <c r="D48" s="13">
        <v>46085</v>
      </c>
      <c r="E48" s="11" t="s">
        <v>25</v>
      </c>
      <c r="F48" s="14">
        <v>0</v>
      </c>
      <c r="G48" s="14">
        <v>0</v>
      </c>
      <c r="H48" s="14">
        <f t="shared" si="0"/>
        <v>0</v>
      </c>
      <c r="I48" s="6">
        <v>0.34</v>
      </c>
      <c r="J48" s="12"/>
    </row>
    <row r="49" spans="1:10" x14ac:dyDescent="0.3">
      <c r="A49" s="15">
        <v>48</v>
      </c>
      <c r="B49" s="16" t="s">
        <v>546</v>
      </c>
      <c r="C49" s="17">
        <v>46085</v>
      </c>
      <c r="D49" s="17">
        <v>46085</v>
      </c>
      <c r="E49" s="15" t="s">
        <v>25</v>
      </c>
      <c r="F49" s="18">
        <v>0</v>
      </c>
      <c r="G49" s="18">
        <v>0</v>
      </c>
      <c r="H49" s="18">
        <f t="shared" si="0"/>
        <v>0</v>
      </c>
      <c r="I49" s="10">
        <v>0.32</v>
      </c>
      <c r="J49" s="16"/>
    </row>
    <row r="50" spans="1:10" x14ac:dyDescent="0.3">
      <c r="A50" s="11">
        <v>49</v>
      </c>
      <c r="B50" s="12" t="s">
        <v>547</v>
      </c>
      <c r="C50" s="13">
        <v>46085</v>
      </c>
      <c r="D50" s="13">
        <v>46085</v>
      </c>
      <c r="E50" s="11" t="s">
        <v>25</v>
      </c>
      <c r="F50" s="14">
        <v>0</v>
      </c>
      <c r="G50" s="14">
        <v>0</v>
      </c>
      <c r="H50" s="14">
        <f t="shared" si="0"/>
        <v>0</v>
      </c>
      <c r="I50" s="6">
        <v>0.28000000000000003</v>
      </c>
      <c r="J50" s="12"/>
    </row>
    <row r="51" spans="1:10" x14ac:dyDescent="0.3">
      <c r="A51" s="15">
        <v>50</v>
      </c>
      <c r="B51" s="16" t="s">
        <v>548</v>
      </c>
      <c r="C51" s="17">
        <v>46085</v>
      </c>
      <c r="D51" s="17">
        <v>46085</v>
      </c>
      <c r="E51" s="15" t="s">
        <v>25</v>
      </c>
      <c r="F51" s="18">
        <v>0</v>
      </c>
      <c r="G51" s="18">
        <v>0</v>
      </c>
      <c r="H51" s="18">
        <f t="shared" si="0"/>
        <v>0</v>
      </c>
      <c r="I51" s="10">
        <v>0.24</v>
      </c>
      <c r="J51" s="16"/>
    </row>
    <row r="52" spans="1:10" x14ac:dyDescent="0.3">
      <c r="A52" s="11">
        <v>51</v>
      </c>
      <c r="B52" s="12" t="s">
        <v>549</v>
      </c>
      <c r="C52" s="13">
        <v>46085</v>
      </c>
      <c r="D52" s="13">
        <v>46087</v>
      </c>
      <c r="E52" s="11" t="s">
        <v>25</v>
      </c>
      <c r="F52" s="14">
        <v>0</v>
      </c>
      <c r="G52" s="14">
        <v>0</v>
      </c>
      <c r="H52" s="14">
        <f t="shared" si="0"/>
        <v>0</v>
      </c>
      <c r="I52" s="6">
        <v>2.0299999999999998</v>
      </c>
      <c r="J52" s="12"/>
    </row>
    <row r="53" spans="1:10" x14ac:dyDescent="0.3">
      <c r="A53" s="15">
        <v>52</v>
      </c>
      <c r="B53" s="16" t="s">
        <v>550</v>
      </c>
      <c r="C53" s="17">
        <v>46085</v>
      </c>
      <c r="D53" s="17">
        <v>46085</v>
      </c>
      <c r="E53" s="15" t="s">
        <v>25</v>
      </c>
      <c r="F53" s="18">
        <v>0</v>
      </c>
      <c r="G53" s="18">
        <v>0</v>
      </c>
      <c r="H53" s="18">
        <f t="shared" si="0"/>
        <v>0</v>
      </c>
      <c r="I53" s="10">
        <v>0.17</v>
      </c>
      <c r="J53" s="16"/>
    </row>
    <row r="54" spans="1:10" x14ac:dyDescent="0.3">
      <c r="A54" s="11">
        <v>53</v>
      </c>
      <c r="B54" s="12" t="s">
        <v>551</v>
      </c>
      <c r="C54" s="13">
        <v>46086</v>
      </c>
      <c r="D54" s="13">
        <v>46090</v>
      </c>
      <c r="E54" s="11" t="s">
        <v>25</v>
      </c>
      <c r="F54" s="14">
        <v>0</v>
      </c>
      <c r="G54" s="14">
        <v>0</v>
      </c>
      <c r="H54" s="14">
        <f t="shared" si="0"/>
        <v>0</v>
      </c>
      <c r="I54" s="6">
        <v>3.99</v>
      </c>
      <c r="J54" s="12"/>
    </row>
    <row r="55" spans="1:10" x14ac:dyDescent="0.3">
      <c r="A55" s="15">
        <v>54</v>
      </c>
      <c r="B55" s="16" t="s">
        <v>552</v>
      </c>
      <c r="C55" s="17">
        <v>46086</v>
      </c>
      <c r="D55" s="17">
        <v>46093</v>
      </c>
      <c r="E55" s="15" t="s">
        <v>25</v>
      </c>
      <c r="F55" s="18">
        <v>0</v>
      </c>
      <c r="G55" s="18">
        <v>0</v>
      </c>
      <c r="H55" s="18">
        <f t="shared" si="0"/>
        <v>0</v>
      </c>
      <c r="I55" s="10">
        <v>6.92</v>
      </c>
      <c r="J55" s="16"/>
    </row>
    <row r="56" spans="1:10" x14ac:dyDescent="0.3">
      <c r="A56" s="11">
        <v>55</v>
      </c>
      <c r="B56" s="12" t="s">
        <v>553</v>
      </c>
      <c r="C56" s="13">
        <v>46086</v>
      </c>
      <c r="D56" s="13">
        <v>46087</v>
      </c>
      <c r="E56" s="11" t="s">
        <v>25</v>
      </c>
      <c r="F56" s="14">
        <v>0</v>
      </c>
      <c r="G56" s="14">
        <v>0</v>
      </c>
      <c r="H56" s="14">
        <f t="shared" si="0"/>
        <v>0</v>
      </c>
      <c r="I56" s="6">
        <v>1.24</v>
      </c>
      <c r="J56" s="12"/>
    </row>
    <row r="57" spans="1:10" x14ac:dyDescent="0.3">
      <c r="A57" s="15">
        <v>56</v>
      </c>
      <c r="B57" s="16" t="s">
        <v>554</v>
      </c>
      <c r="C57" s="17">
        <v>46086</v>
      </c>
      <c r="D57" s="17">
        <v>46087</v>
      </c>
      <c r="E57" s="15" t="s">
        <v>25</v>
      </c>
      <c r="F57" s="18">
        <v>0</v>
      </c>
      <c r="G57" s="18">
        <v>0</v>
      </c>
      <c r="H57" s="18">
        <f t="shared" si="0"/>
        <v>0</v>
      </c>
      <c r="I57" s="10">
        <v>1.24</v>
      </c>
      <c r="J57" s="16"/>
    </row>
    <row r="58" spans="1:10" x14ac:dyDescent="0.3">
      <c r="A58" s="11">
        <v>57</v>
      </c>
      <c r="B58" s="12" t="s">
        <v>555</v>
      </c>
      <c r="C58" s="13">
        <v>46086</v>
      </c>
      <c r="D58" s="13">
        <v>46087</v>
      </c>
      <c r="E58" s="11" t="s">
        <v>25</v>
      </c>
      <c r="F58" s="14">
        <v>0</v>
      </c>
      <c r="G58" s="14">
        <v>0</v>
      </c>
      <c r="H58" s="14">
        <f t="shared" si="0"/>
        <v>0</v>
      </c>
      <c r="I58" s="6">
        <v>1.23</v>
      </c>
      <c r="J58" s="12"/>
    </row>
    <row r="59" spans="1:10" x14ac:dyDescent="0.3">
      <c r="A59" s="15">
        <v>58</v>
      </c>
      <c r="B59" s="16" t="s">
        <v>556</v>
      </c>
      <c r="C59" s="17">
        <v>46087</v>
      </c>
      <c r="D59" s="17">
        <v>46087</v>
      </c>
      <c r="E59" s="15" t="s">
        <v>25</v>
      </c>
      <c r="F59" s="18">
        <v>0</v>
      </c>
      <c r="G59" s="18">
        <v>0</v>
      </c>
      <c r="H59" s="18">
        <f t="shared" si="0"/>
        <v>0</v>
      </c>
      <c r="I59" s="10">
        <v>0.23</v>
      </c>
      <c r="J59" s="16"/>
    </row>
    <row r="60" spans="1:10" x14ac:dyDescent="0.3">
      <c r="A60" s="11">
        <v>59</v>
      </c>
      <c r="B60" s="12" t="s">
        <v>557</v>
      </c>
      <c r="C60" s="13">
        <v>46088</v>
      </c>
      <c r="D60" s="13">
        <v>46090</v>
      </c>
      <c r="E60" s="11" t="s">
        <v>25</v>
      </c>
      <c r="F60" s="14">
        <v>0</v>
      </c>
      <c r="G60" s="14">
        <v>0</v>
      </c>
      <c r="H60" s="14">
        <f t="shared" si="0"/>
        <v>0</v>
      </c>
      <c r="I60" s="6">
        <v>1.98</v>
      </c>
      <c r="J60" s="12"/>
    </row>
    <row r="61" spans="1:10" x14ac:dyDescent="0.3">
      <c r="A61" s="15">
        <v>60</v>
      </c>
      <c r="B61" s="16" t="s">
        <v>558</v>
      </c>
      <c r="C61" s="17">
        <v>46088</v>
      </c>
      <c r="D61" s="17">
        <v>46090</v>
      </c>
      <c r="E61" s="15" t="s">
        <v>25</v>
      </c>
      <c r="F61" s="18">
        <v>0</v>
      </c>
      <c r="G61" s="18">
        <v>0</v>
      </c>
      <c r="H61" s="18">
        <f t="shared" si="0"/>
        <v>0</v>
      </c>
      <c r="I61" s="10">
        <v>1.67</v>
      </c>
      <c r="J61" s="16"/>
    </row>
    <row r="62" spans="1:10" x14ac:dyDescent="0.3">
      <c r="A62" s="11">
        <v>61</v>
      </c>
      <c r="B62" s="12" t="s">
        <v>559</v>
      </c>
      <c r="C62" s="13">
        <v>46088</v>
      </c>
      <c r="D62" s="13">
        <v>46090</v>
      </c>
      <c r="E62" s="11" t="s">
        <v>25</v>
      </c>
      <c r="F62" s="14">
        <v>0</v>
      </c>
      <c r="G62" s="14">
        <v>0</v>
      </c>
      <c r="H62" s="14">
        <f t="shared" si="0"/>
        <v>0</v>
      </c>
      <c r="I62" s="6">
        <v>1.67</v>
      </c>
      <c r="J62" s="12"/>
    </row>
    <row r="63" spans="1:10" x14ac:dyDescent="0.3">
      <c r="A63" s="15">
        <v>62</v>
      </c>
      <c r="B63" s="16" t="s">
        <v>560</v>
      </c>
      <c r="C63" s="17">
        <v>46088</v>
      </c>
      <c r="D63" s="17">
        <v>46090</v>
      </c>
      <c r="E63" s="15" t="s">
        <v>25</v>
      </c>
      <c r="F63" s="18">
        <v>0</v>
      </c>
      <c r="G63" s="18">
        <v>0</v>
      </c>
      <c r="H63" s="18">
        <f t="shared" si="0"/>
        <v>0</v>
      </c>
      <c r="I63" s="10">
        <v>1.67</v>
      </c>
      <c r="J63" s="16"/>
    </row>
    <row r="64" spans="1:10" x14ac:dyDescent="0.3">
      <c r="A64" s="11">
        <v>63</v>
      </c>
      <c r="B64" s="12" t="s">
        <v>561</v>
      </c>
      <c r="C64" s="13">
        <v>46089</v>
      </c>
      <c r="D64" s="13">
        <v>46090</v>
      </c>
      <c r="E64" s="11" t="s">
        <v>25</v>
      </c>
      <c r="F64" s="14">
        <v>0</v>
      </c>
      <c r="G64" s="14">
        <v>0</v>
      </c>
      <c r="H64" s="14">
        <f t="shared" si="0"/>
        <v>0</v>
      </c>
      <c r="I64" s="6">
        <v>0.89</v>
      </c>
      <c r="J64" s="12"/>
    </row>
    <row r="65" spans="1:10" x14ac:dyDescent="0.3">
      <c r="A65" s="15">
        <v>64</v>
      </c>
      <c r="B65" s="16" t="s">
        <v>562</v>
      </c>
      <c r="C65" s="17">
        <v>46090</v>
      </c>
      <c r="D65" s="17">
        <v>46090</v>
      </c>
      <c r="E65" s="15" t="s">
        <v>25</v>
      </c>
      <c r="F65" s="18">
        <v>0</v>
      </c>
      <c r="G65" s="18">
        <v>0</v>
      </c>
      <c r="H65" s="18">
        <f t="shared" si="0"/>
        <v>0</v>
      </c>
      <c r="I65" s="10">
        <v>0.2</v>
      </c>
      <c r="J65" s="16"/>
    </row>
    <row r="66" spans="1:10" x14ac:dyDescent="0.3">
      <c r="A66" s="11">
        <v>65</v>
      </c>
      <c r="B66" s="12" t="s">
        <v>563</v>
      </c>
      <c r="C66" s="13">
        <v>46090</v>
      </c>
      <c r="D66" s="13">
        <v>46090</v>
      </c>
      <c r="E66" s="11" t="s">
        <v>25</v>
      </c>
      <c r="F66" s="14">
        <v>0</v>
      </c>
      <c r="G66" s="14">
        <v>0</v>
      </c>
      <c r="H66" s="14">
        <f t="shared" ref="H66:H129" si="1">F66+G66</f>
        <v>0</v>
      </c>
      <c r="I66" s="6">
        <v>0.06</v>
      </c>
      <c r="J66" s="12"/>
    </row>
    <row r="67" spans="1:10" x14ac:dyDescent="0.3">
      <c r="A67" s="15">
        <v>66</v>
      </c>
      <c r="B67" s="16" t="s">
        <v>564</v>
      </c>
      <c r="C67" s="17">
        <v>46090</v>
      </c>
      <c r="D67" s="17">
        <v>46090</v>
      </c>
      <c r="E67" s="15" t="s">
        <v>25</v>
      </c>
      <c r="F67" s="18">
        <v>0</v>
      </c>
      <c r="G67" s="18">
        <v>0</v>
      </c>
      <c r="H67" s="18">
        <f t="shared" si="1"/>
        <v>0</v>
      </c>
      <c r="I67" s="10">
        <v>0.06</v>
      </c>
      <c r="J67" s="16"/>
    </row>
    <row r="68" spans="1:10" x14ac:dyDescent="0.3">
      <c r="A68" s="11">
        <v>67</v>
      </c>
      <c r="B68" s="12" t="s">
        <v>565</v>
      </c>
      <c r="C68" s="13">
        <v>46090</v>
      </c>
      <c r="D68" s="13">
        <v>46091</v>
      </c>
      <c r="E68" s="11" t="s">
        <v>25</v>
      </c>
      <c r="F68" s="14">
        <v>0</v>
      </c>
      <c r="G68" s="14">
        <v>0</v>
      </c>
      <c r="H68" s="14">
        <f t="shared" si="1"/>
        <v>0</v>
      </c>
      <c r="I68" s="6">
        <v>1.06</v>
      </c>
      <c r="J68" s="12"/>
    </row>
    <row r="69" spans="1:10" x14ac:dyDescent="0.3">
      <c r="A69" s="15">
        <v>68</v>
      </c>
      <c r="B69" s="16" t="s">
        <v>566</v>
      </c>
      <c r="C69" s="17">
        <v>46091</v>
      </c>
      <c r="D69" s="17">
        <v>46091</v>
      </c>
      <c r="E69" s="15" t="s">
        <v>25</v>
      </c>
      <c r="F69" s="18">
        <v>0</v>
      </c>
      <c r="G69" s="18">
        <v>0</v>
      </c>
      <c r="H69" s="18">
        <f t="shared" si="1"/>
        <v>0</v>
      </c>
      <c r="I69" s="10">
        <v>0.13</v>
      </c>
      <c r="J69" s="16"/>
    </row>
    <row r="70" spans="1:10" x14ac:dyDescent="0.3">
      <c r="A70" s="11">
        <v>69</v>
      </c>
      <c r="B70" s="12" t="s">
        <v>567</v>
      </c>
      <c r="C70" s="13">
        <v>46091</v>
      </c>
      <c r="D70" s="13">
        <v>46093</v>
      </c>
      <c r="E70" s="11" t="s">
        <v>25</v>
      </c>
      <c r="F70" s="14">
        <v>0</v>
      </c>
      <c r="G70" s="14">
        <v>0</v>
      </c>
      <c r="H70" s="14">
        <f t="shared" si="1"/>
        <v>0</v>
      </c>
      <c r="I70" s="6">
        <v>1.91</v>
      </c>
      <c r="J70" s="12"/>
    </row>
    <row r="71" spans="1:10" x14ac:dyDescent="0.3">
      <c r="A71" s="15">
        <v>70</v>
      </c>
      <c r="B71" s="16" t="s">
        <v>568</v>
      </c>
      <c r="C71" s="17">
        <v>46091</v>
      </c>
      <c r="D71" s="17">
        <v>46093</v>
      </c>
      <c r="E71" s="15" t="s">
        <v>25</v>
      </c>
      <c r="F71" s="18">
        <v>0</v>
      </c>
      <c r="G71" s="18">
        <v>0</v>
      </c>
      <c r="H71" s="18">
        <f t="shared" si="1"/>
        <v>0</v>
      </c>
      <c r="I71" s="10">
        <v>1.87</v>
      </c>
      <c r="J71" s="16"/>
    </row>
    <row r="72" spans="1:10" x14ac:dyDescent="0.3">
      <c r="A72" s="11">
        <v>71</v>
      </c>
      <c r="B72" s="12" t="s">
        <v>569</v>
      </c>
      <c r="C72" s="13">
        <v>46092</v>
      </c>
      <c r="D72" s="13">
        <v>46093</v>
      </c>
      <c r="E72" s="11" t="s">
        <v>25</v>
      </c>
      <c r="F72" s="14">
        <v>0</v>
      </c>
      <c r="G72" s="14">
        <v>0</v>
      </c>
      <c r="H72" s="14">
        <f t="shared" si="1"/>
        <v>0</v>
      </c>
      <c r="I72" s="6">
        <v>0.92</v>
      </c>
      <c r="J72" s="12"/>
    </row>
    <row r="73" spans="1:10" x14ac:dyDescent="0.3">
      <c r="A73" s="15">
        <v>72</v>
      </c>
      <c r="B73" s="16" t="s">
        <v>570</v>
      </c>
      <c r="C73" s="17">
        <v>46092</v>
      </c>
      <c r="D73" s="17">
        <v>46093</v>
      </c>
      <c r="E73" s="15" t="s">
        <v>25</v>
      </c>
      <c r="F73" s="18">
        <v>0</v>
      </c>
      <c r="G73" s="18">
        <v>0</v>
      </c>
      <c r="H73" s="18">
        <f t="shared" si="1"/>
        <v>0</v>
      </c>
      <c r="I73" s="10">
        <v>0.91</v>
      </c>
      <c r="J73" s="16"/>
    </row>
    <row r="74" spans="1:10" x14ac:dyDescent="0.3">
      <c r="A74" s="11">
        <v>73</v>
      </c>
      <c r="B74" s="12" t="s">
        <v>571</v>
      </c>
      <c r="C74" s="13">
        <v>46092</v>
      </c>
      <c r="D74" s="13">
        <v>46093</v>
      </c>
      <c r="E74" s="11" t="s">
        <v>25</v>
      </c>
      <c r="F74" s="14">
        <v>0</v>
      </c>
      <c r="G74" s="14">
        <v>0</v>
      </c>
      <c r="H74" s="14">
        <f t="shared" si="1"/>
        <v>0</v>
      </c>
      <c r="I74" s="6">
        <v>0.9</v>
      </c>
      <c r="J74" s="12"/>
    </row>
    <row r="75" spans="1:10" x14ac:dyDescent="0.3">
      <c r="A75" s="15">
        <v>74</v>
      </c>
      <c r="B75" s="16" t="s">
        <v>572</v>
      </c>
      <c r="C75" s="17">
        <v>46092</v>
      </c>
      <c r="D75" s="17">
        <v>46093</v>
      </c>
      <c r="E75" s="15" t="s">
        <v>25</v>
      </c>
      <c r="F75" s="18">
        <v>0</v>
      </c>
      <c r="G75" s="18">
        <v>0</v>
      </c>
      <c r="H75" s="18">
        <f t="shared" si="1"/>
        <v>0</v>
      </c>
      <c r="I75" s="10">
        <v>0.9</v>
      </c>
      <c r="J75" s="16"/>
    </row>
    <row r="76" spans="1:10" x14ac:dyDescent="0.3">
      <c r="A76" s="11">
        <v>75</v>
      </c>
      <c r="B76" s="12" t="s">
        <v>573</v>
      </c>
      <c r="C76" s="13">
        <v>46092</v>
      </c>
      <c r="D76" s="13">
        <v>46093</v>
      </c>
      <c r="E76" s="11" t="s">
        <v>25</v>
      </c>
      <c r="F76" s="14">
        <v>0</v>
      </c>
      <c r="G76" s="14">
        <v>0</v>
      </c>
      <c r="H76" s="14">
        <f t="shared" si="1"/>
        <v>0</v>
      </c>
      <c r="I76" s="6">
        <v>0.79</v>
      </c>
      <c r="J76" s="12"/>
    </row>
    <row r="77" spans="1:10" x14ac:dyDescent="0.3">
      <c r="A77" s="15">
        <v>76</v>
      </c>
      <c r="B77" s="16" t="s">
        <v>574</v>
      </c>
      <c r="C77" s="17">
        <v>46092</v>
      </c>
      <c r="D77" s="17">
        <v>46093</v>
      </c>
      <c r="E77" s="15" t="s">
        <v>25</v>
      </c>
      <c r="F77" s="18">
        <v>0</v>
      </c>
      <c r="G77" s="18">
        <v>0</v>
      </c>
      <c r="H77" s="18">
        <f t="shared" si="1"/>
        <v>0</v>
      </c>
      <c r="I77" s="10">
        <v>0.76</v>
      </c>
      <c r="J77" s="16"/>
    </row>
    <row r="78" spans="1:10" x14ac:dyDescent="0.3">
      <c r="A78" s="11">
        <v>77</v>
      </c>
      <c r="B78" s="12" t="s">
        <v>575</v>
      </c>
      <c r="C78" s="13">
        <v>46092</v>
      </c>
      <c r="D78" s="13">
        <v>46093</v>
      </c>
      <c r="E78" s="11" t="s">
        <v>25</v>
      </c>
      <c r="F78" s="14">
        <v>0</v>
      </c>
      <c r="G78" s="14">
        <v>0</v>
      </c>
      <c r="H78" s="14">
        <f t="shared" si="1"/>
        <v>0</v>
      </c>
      <c r="I78" s="6">
        <v>0.48</v>
      </c>
      <c r="J78" s="12"/>
    </row>
    <row r="79" spans="1:10" x14ac:dyDescent="0.3">
      <c r="A79" s="15">
        <v>78</v>
      </c>
      <c r="B79" s="16" t="s">
        <v>576</v>
      </c>
      <c r="C79" s="17">
        <v>46093</v>
      </c>
      <c r="D79" s="17">
        <v>46098</v>
      </c>
      <c r="E79" s="15" t="s">
        <v>25</v>
      </c>
      <c r="F79" s="18">
        <v>0</v>
      </c>
      <c r="G79" s="18">
        <v>0</v>
      </c>
      <c r="H79" s="18">
        <f t="shared" si="1"/>
        <v>0</v>
      </c>
      <c r="I79" s="10">
        <v>5.05</v>
      </c>
      <c r="J79" s="16"/>
    </row>
    <row r="80" spans="1:10" x14ac:dyDescent="0.3">
      <c r="A80" s="11">
        <v>79</v>
      </c>
      <c r="B80" s="12" t="s">
        <v>577</v>
      </c>
      <c r="C80" s="13">
        <v>46093</v>
      </c>
      <c r="D80" s="13">
        <v>46098</v>
      </c>
      <c r="E80" s="11" t="s">
        <v>25</v>
      </c>
      <c r="F80" s="14">
        <v>0</v>
      </c>
      <c r="G80" s="14">
        <v>0</v>
      </c>
      <c r="H80" s="14">
        <f t="shared" si="1"/>
        <v>0</v>
      </c>
      <c r="I80" s="6">
        <v>5.21</v>
      </c>
      <c r="J80" s="12"/>
    </row>
    <row r="81" spans="1:10" x14ac:dyDescent="0.3">
      <c r="A81" s="15">
        <v>80</v>
      </c>
      <c r="B81" s="16" t="s">
        <v>578</v>
      </c>
      <c r="C81" s="17">
        <v>46093</v>
      </c>
      <c r="D81" s="17">
        <v>46093</v>
      </c>
      <c r="E81" s="15" t="s">
        <v>25</v>
      </c>
      <c r="F81" s="18">
        <v>0</v>
      </c>
      <c r="G81" s="18">
        <v>0</v>
      </c>
      <c r="H81" s="18">
        <f t="shared" si="1"/>
        <v>0</v>
      </c>
      <c r="I81" s="10">
        <v>0.19</v>
      </c>
      <c r="J81" s="16"/>
    </row>
    <row r="82" spans="1:10" x14ac:dyDescent="0.3">
      <c r="A82" s="11">
        <v>81</v>
      </c>
      <c r="B82" s="12" t="s">
        <v>579</v>
      </c>
      <c r="C82" s="13">
        <v>46093</v>
      </c>
      <c r="D82" s="13">
        <v>46093</v>
      </c>
      <c r="E82" s="11" t="s">
        <v>25</v>
      </c>
      <c r="F82" s="14">
        <v>0</v>
      </c>
      <c r="G82" s="14">
        <v>0</v>
      </c>
      <c r="H82" s="14">
        <f t="shared" si="1"/>
        <v>0</v>
      </c>
      <c r="I82" s="6">
        <v>0.14000000000000001</v>
      </c>
      <c r="J82" s="12"/>
    </row>
    <row r="83" spans="1:10" x14ac:dyDescent="0.3">
      <c r="A83" s="15">
        <v>82</v>
      </c>
      <c r="B83" s="16" t="s">
        <v>580</v>
      </c>
      <c r="C83" s="17">
        <v>46093</v>
      </c>
      <c r="D83" s="17">
        <v>46093</v>
      </c>
      <c r="E83" s="15" t="s">
        <v>25</v>
      </c>
      <c r="F83" s="18">
        <v>0</v>
      </c>
      <c r="G83" s="18">
        <v>0</v>
      </c>
      <c r="H83" s="18">
        <f t="shared" si="1"/>
        <v>0</v>
      </c>
      <c r="I83" s="10">
        <v>0.14000000000000001</v>
      </c>
      <c r="J83" s="16"/>
    </row>
    <row r="84" spans="1:10" x14ac:dyDescent="0.3">
      <c r="A84" s="11">
        <v>83</v>
      </c>
      <c r="B84" s="12" t="s">
        <v>581</v>
      </c>
      <c r="C84" s="13">
        <v>46093</v>
      </c>
      <c r="D84" s="13">
        <v>46093</v>
      </c>
      <c r="E84" s="11" t="s">
        <v>25</v>
      </c>
      <c r="F84" s="14">
        <v>0</v>
      </c>
      <c r="G84" s="14">
        <v>0</v>
      </c>
      <c r="H84" s="14">
        <f t="shared" si="1"/>
        <v>0</v>
      </c>
      <c r="I84" s="6">
        <v>0.08</v>
      </c>
      <c r="J84" s="12"/>
    </row>
    <row r="85" spans="1:10" x14ac:dyDescent="0.3">
      <c r="A85" s="15">
        <v>84</v>
      </c>
      <c r="B85" s="16" t="s">
        <v>582</v>
      </c>
      <c r="C85" s="17">
        <v>46093</v>
      </c>
      <c r="D85" s="17">
        <v>46098</v>
      </c>
      <c r="E85" s="15" t="s">
        <v>25</v>
      </c>
      <c r="F85" s="18">
        <v>0</v>
      </c>
      <c r="G85" s="18">
        <v>0</v>
      </c>
      <c r="H85" s="18">
        <f t="shared" si="1"/>
        <v>0</v>
      </c>
      <c r="I85" s="10">
        <v>4.93</v>
      </c>
      <c r="J85" s="16"/>
    </row>
    <row r="86" spans="1:10" x14ac:dyDescent="0.3">
      <c r="A86" s="11">
        <v>85</v>
      </c>
      <c r="B86" s="12" t="s">
        <v>583</v>
      </c>
      <c r="C86" s="13">
        <v>46093</v>
      </c>
      <c r="D86" s="13">
        <v>46093</v>
      </c>
      <c r="E86" s="11" t="s">
        <v>25</v>
      </c>
      <c r="F86" s="14">
        <v>0</v>
      </c>
      <c r="G86" s="14">
        <v>0</v>
      </c>
      <c r="H86" s="14">
        <f t="shared" si="1"/>
        <v>0</v>
      </c>
      <c r="I86" s="6">
        <v>0.12</v>
      </c>
      <c r="J86" s="12"/>
    </row>
    <row r="87" spans="1:10" x14ac:dyDescent="0.3">
      <c r="A87" s="15">
        <v>86</v>
      </c>
      <c r="B87" s="16" t="s">
        <v>584</v>
      </c>
      <c r="C87" s="17">
        <v>46093</v>
      </c>
      <c r="D87" s="17">
        <v>46093</v>
      </c>
      <c r="E87" s="15" t="s">
        <v>25</v>
      </c>
      <c r="F87" s="18">
        <v>0</v>
      </c>
      <c r="G87" s="18">
        <v>0</v>
      </c>
      <c r="H87" s="18">
        <f t="shared" si="1"/>
        <v>0</v>
      </c>
      <c r="I87" s="10">
        <v>0.13</v>
      </c>
      <c r="J87" s="16"/>
    </row>
    <row r="88" spans="1:10" x14ac:dyDescent="0.3">
      <c r="A88" s="11">
        <v>87</v>
      </c>
      <c r="B88" s="12" t="s">
        <v>585</v>
      </c>
      <c r="C88" s="13">
        <v>46093</v>
      </c>
      <c r="D88" s="13">
        <v>46093</v>
      </c>
      <c r="E88" s="11" t="s">
        <v>25</v>
      </c>
      <c r="F88" s="14">
        <v>0</v>
      </c>
      <c r="G88" s="14">
        <v>0</v>
      </c>
      <c r="H88" s="14">
        <f t="shared" si="1"/>
        <v>0</v>
      </c>
      <c r="I88" s="6">
        <v>0.04</v>
      </c>
      <c r="J88" s="12"/>
    </row>
    <row r="89" spans="1:10" x14ac:dyDescent="0.3">
      <c r="A89" s="15">
        <v>88</v>
      </c>
      <c r="B89" s="16" t="s">
        <v>586</v>
      </c>
      <c r="C89" s="17">
        <v>46093</v>
      </c>
      <c r="D89" s="17">
        <v>46094</v>
      </c>
      <c r="E89" s="15" t="s">
        <v>25</v>
      </c>
      <c r="F89" s="18">
        <v>0</v>
      </c>
      <c r="G89" s="18">
        <v>0</v>
      </c>
      <c r="H89" s="18">
        <f t="shared" si="1"/>
        <v>0</v>
      </c>
      <c r="I89" s="10">
        <v>0.84</v>
      </c>
      <c r="J89" s="16"/>
    </row>
    <row r="90" spans="1:10" x14ac:dyDescent="0.3">
      <c r="A90" s="11">
        <v>89</v>
      </c>
      <c r="B90" s="12" t="s">
        <v>587</v>
      </c>
      <c r="C90" s="13">
        <v>46093</v>
      </c>
      <c r="D90" s="13">
        <v>46094</v>
      </c>
      <c r="E90" s="11" t="s">
        <v>25</v>
      </c>
      <c r="F90" s="14">
        <v>0</v>
      </c>
      <c r="G90" s="14">
        <v>0</v>
      </c>
      <c r="H90" s="14">
        <f t="shared" si="1"/>
        <v>0</v>
      </c>
      <c r="I90" s="6">
        <v>0.83</v>
      </c>
      <c r="J90" s="12"/>
    </row>
    <row r="91" spans="1:10" x14ac:dyDescent="0.3">
      <c r="A91" s="15">
        <v>90</v>
      </c>
      <c r="B91" s="16" t="s">
        <v>588</v>
      </c>
      <c r="C91" s="17">
        <v>46094</v>
      </c>
      <c r="D91" s="17">
        <v>46094</v>
      </c>
      <c r="E91" s="15" t="s">
        <v>25</v>
      </c>
      <c r="F91" s="18">
        <v>0</v>
      </c>
      <c r="G91" s="18">
        <v>0</v>
      </c>
      <c r="H91" s="18">
        <f t="shared" si="1"/>
        <v>0</v>
      </c>
      <c r="I91" s="10">
        <v>0.28999999999999998</v>
      </c>
      <c r="J91" s="16"/>
    </row>
    <row r="92" spans="1:10" x14ac:dyDescent="0.3">
      <c r="A92" s="11">
        <v>91</v>
      </c>
      <c r="B92" s="12" t="s">
        <v>589</v>
      </c>
      <c r="C92" s="13">
        <v>46094</v>
      </c>
      <c r="D92" s="13">
        <v>46094</v>
      </c>
      <c r="E92" s="11" t="s">
        <v>25</v>
      </c>
      <c r="F92" s="14">
        <v>0</v>
      </c>
      <c r="G92" s="14">
        <v>0</v>
      </c>
      <c r="H92" s="14">
        <f t="shared" si="1"/>
        <v>0</v>
      </c>
      <c r="I92" s="6">
        <v>7.0000000000000007E-2</v>
      </c>
      <c r="J92" s="12"/>
    </row>
    <row r="93" spans="1:10" x14ac:dyDescent="0.3">
      <c r="A93" s="15">
        <v>92</v>
      </c>
      <c r="B93" s="16" t="s">
        <v>590</v>
      </c>
      <c r="C93" s="17">
        <v>46094</v>
      </c>
      <c r="D93" s="17">
        <v>46094</v>
      </c>
      <c r="E93" s="15" t="s">
        <v>25</v>
      </c>
      <c r="F93" s="18">
        <v>0</v>
      </c>
      <c r="G93" s="18">
        <v>0</v>
      </c>
      <c r="H93" s="18">
        <f t="shared" si="1"/>
        <v>0</v>
      </c>
      <c r="I93" s="10">
        <v>0.27</v>
      </c>
      <c r="J93" s="16"/>
    </row>
    <row r="94" spans="1:10" x14ac:dyDescent="0.3">
      <c r="A94" s="11">
        <v>93</v>
      </c>
      <c r="B94" s="12" t="s">
        <v>591</v>
      </c>
      <c r="C94" s="13">
        <v>46094</v>
      </c>
      <c r="D94" s="13">
        <v>46098</v>
      </c>
      <c r="E94" s="11" t="s">
        <v>25</v>
      </c>
      <c r="F94" s="14">
        <v>0</v>
      </c>
      <c r="G94" s="14">
        <v>0</v>
      </c>
      <c r="H94" s="14">
        <f t="shared" si="1"/>
        <v>0</v>
      </c>
      <c r="I94" s="6">
        <v>4</v>
      </c>
      <c r="J94" s="12"/>
    </row>
    <row r="95" spans="1:10" x14ac:dyDescent="0.3">
      <c r="A95" s="15">
        <v>94</v>
      </c>
      <c r="B95" s="16" t="s">
        <v>592</v>
      </c>
      <c r="C95" s="17">
        <v>46094</v>
      </c>
      <c r="D95" s="17">
        <v>46094</v>
      </c>
      <c r="E95" s="15" t="s">
        <v>25</v>
      </c>
      <c r="F95" s="18">
        <v>0</v>
      </c>
      <c r="G95" s="18">
        <v>0</v>
      </c>
      <c r="H95" s="18">
        <f t="shared" si="1"/>
        <v>0</v>
      </c>
      <c r="I95" s="10">
        <v>7.0000000000000007E-2</v>
      </c>
      <c r="J95" s="16"/>
    </row>
    <row r="96" spans="1:10" x14ac:dyDescent="0.3">
      <c r="A96" s="11">
        <v>95</v>
      </c>
      <c r="B96" s="12" t="s">
        <v>593</v>
      </c>
      <c r="C96" s="13">
        <v>46094</v>
      </c>
      <c r="D96" s="13">
        <v>46094</v>
      </c>
      <c r="E96" s="11" t="s">
        <v>25</v>
      </c>
      <c r="F96" s="14">
        <v>0</v>
      </c>
      <c r="G96" s="14">
        <v>0</v>
      </c>
      <c r="H96" s="14">
        <f t="shared" si="1"/>
        <v>0</v>
      </c>
      <c r="I96" s="6">
        <v>0.24</v>
      </c>
      <c r="J96" s="12"/>
    </row>
    <row r="97" spans="1:10" x14ac:dyDescent="0.3">
      <c r="A97" s="15">
        <v>96</v>
      </c>
      <c r="B97" s="16" t="s">
        <v>594</v>
      </c>
      <c r="C97" s="17">
        <v>46094</v>
      </c>
      <c r="D97" s="17">
        <v>46105</v>
      </c>
      <c r="E97" s="15" t="s">
        <v>25</v>
      </c>
      <c r="F97" s="18">
        <v>0</v>
      </c>
      <c r="G97" s="18">
        <v>0</v>
      </c>
      <c r="H97" s="18">
        <f t="shared" si="1"/>
        <v>0</v>
      </c>
      <c r="I97" s="10">
        <v>11.21</v>
      </c>
      <c r="J97" s="16"/>
    </row>
    <row r="98" spans="1:10" x14ac:dyDescent="0.3">
      <c r="A98" s="11">
        <v>97</v>
      </c>
      <c r="B98" s="12" t="s">
        <v>595</v>
      </c>
      <c r="C98" s="13">
        <v>46094</v>
      </c>
      <c r="D98" s="13">
        <v>46094</v>
      </c>
      <c r="E98" s="11" t="s">
        <v>25</v>
      </c>
      <c r="F98" s="14">
        <v>0</v>
      </c>
      <c r="G98" s="14">
        <v>0</v>
      </c>
      <c r="H98" s="14">
        <f t="shared" si="1"/>
        <v>0</v>
      </c>
      <c r="I98" s="6">
        <v>0.21</v>
      </c>
      <c r="J98" s="12"/>
    </row>
    <row r="99" spans="1:10" x14ac:dyDescent="0.3">
      <c r="A99" s="15">
        <v>98</v>
      </c>
      <c r="B99" s="16" t="s">
        <v>596</v>
      </c>
      <c r="C99" s="17">
        <v>46094</v>
      </c>
      <c r="D99" s="17">
        <v>46095</v>
      </c>
      <c r="E99" s="15" t="s">
        <v>25</v>
      </c>
      <c r="F99" s="18">
        <v>0</v>
      </c>
      <c r="G99" s="18">
        <v>0</v>
      </c>
      <c r="H99" s="18">
        <f t="shared" si="1"/>
        <v>0</v>
      </c>
      <c r="I99" s="10">
        <v>1.32</v>
      </c>
      <c r="J99" s="16"/>
    </row>
    <row r="100" spans="1:10" x14ac:dyDescent="0.3">
      <c r="A100" s="11">
        <v>99</v>
      </c>
      <c r="B100" s="12" t="s">
        <v>597</v>
      </c>
      <c r="C100" s="13">
        <v>46094</v>
      </c>
      <c r="D100" s="13">
        <v>46098</v>
      </c>
      <c r="E100" s="11" t="s">
        <v>25</v>
      </c>
      <c r="F100" s="14">
        <v>0</v>
      </c>
      <c r="G100" s="14">
        <v>0</v>
      </c>
      <c r="H100" s="14">
        <f t="shared" si="1"/>
        <v>0</v>
      </c>
      <c r="I100" s="6">
        <v>4.04</v>
      </c>
      <c r="J100" s="12"/>
    </row>
    <row r="101" spans="1:10" x14ac:dyDescent="0.3">
      <c r="A101" s="15">
        <v>100</v>
      </c>
      <c r="B101" s="16" t="s">
        <v>598</v>
      </c>
      <c r="C101" s="17">
        <v>46094</v>
      </c>
      <c r="D101" s="17">
        <v>46094</v>
      </c>
      <c r="E101" s="15" t="s">
        <v>25</v>
      </c>
      <c r="F101" s="18">
        <v>0</v>
      </c>
      <c r="G101" s="18">
        <v>0</v>
      </c>
      <c r="H101" s="18">
        <f t="shared" si="1"/>
        <v>0</v>
      </c>
      <c r="I101" s="10">
        <v>0.08</v>
      </c>
      <c r="J101" s="16"/>
    </row>
    <row r="102" spans="1:10" x14ac:dyDescent="0.3">
      <c r="A102" s="11">
        <v>101</v>
      </c>
      <c r="B102" s="12" t="s">
        <v>599</v>
      </c>
      <c r="C102" s="13">
        <v>46094</v>
      </c>
      <c r="D102" s="13">
        <v>46098</v>
      </c>
      <c r="E102" s="11" t="s">
        <v>25</v>
      </c>
      <c r="F102" s="14">
        <v>0</v>
      </c>
      <c r="G102" s="14">
        <v>0</v>
      </c>
      <c r="H102" s="14">
        <f t="shared" si="1"/>
        <v>0</v>
      </c>
      <c r="I102" s="6">
        <v>3.95</v>
      </c>
      <c r="J102" s="12"/>
    </row>
    <row r="103" spans="1:10" x14ac:dyDescent="0.3">
      <c r="A103" s="15">
        <v>102</v>
      </c>
      <c r="B103" s="16" t="s">
        <v>600</v>
      </c>
      <c r="C103" s="17">
        <v>46094</v>
      </c>
      <c r="D103" s="17">
        <v>46095</v>
      </c>
      <c r="E103" s="15" t="s">
        <v>25</v>
      </c>
      <c r="F103" s="18">
        <v>0</v>
      </c>
      <c r="G103" s="18">
        <v>0</v>
      </c>
      <c r="H103" s="18">
        <f t="shared" si="1"/>
        <v>0</v>
      </c>
      <c r="I103" s="10">
        <v>0.98</v>
      </c>
      <c r="J103" s="16"/>
    </row>
    <row r="104" spans="1:10" x14ac:dyDescent="0.3">
      <c r="A104" s="11">
        <v>103</v>
      </c>
      <c r="B104" s="12" t="s">
        <v>601</v>
      </c>
      <c r="C104" s="13">
        <v>46095</v>
      </c>
      <c r="D104" s="13">
        <v>46095</v>
      </c>
      <c r="E104" s="11" t="s">
        <v>25</v>
      </c>
      <c r="F104" s="14">
        <v>0</v>
      </c>
      <c r="G104" s="14">
        <v>0</v>
      </c>
      <c r="H104" s="14">
        <f t="shared" si="1"/>
        <v>0</v>
      </c>
      <c r="I104" s="6">
        <v>0.27</v>
      </c>
      <c r="J104" s="12"/>
    </row>
    <row r="105" spans="1:10" x14ac:dyDescent="0.3">
      <c r="A105" s="15">
        <v>104</v>
      </c>
      <c r="B105" s="16" t="s">
        <v>602</v>
      </c>
      <c r="C105" s="17">
        <v>46095</v>
      </c>
      <c r="D105" s="17">
        <v>46095</v>
      </c>
      <c r="E105" s="15" t="s">
        <v>25</v>
      </c>
      <c r="F105" s="18">
        <v>0</v>
      </c>
      <c r="G105" s="18">
        <v>0</v>
      </c>
      <c r="H105" s="18">
        <f t="shared" si="1"/>
        <v>0</v>
      </c>
      <c r="I105" s="10">
        <v>0.23</v>
      </c>
      <c r="J105" s="16"/>
    </row>
    <row r="106" spans="1:10" x14ac:dyDescent="0.3">
      <c r="A106" s="11">
        <v>105</v>
      </c>
      <c r="B106" s="12" t="s">
        <v>603</v>
      </c>
      <c r="C106" s="13">
        <v>46095</v>
      </c>
      <c r="D106" s="13">
        <v>46095</v>
      </c>
      <c r="E106" s="11" t="s">
        <v>25</v>
      </c>
      <c r="F106" s="14">
        <v>0</v>
      </c>
      <c r="G106" s="14">
        <v>0</v>
      </c>
      <c r="H106" s="14">
        <f t="shared" si="1"/>
        <v>0</v>
      </c>
      <c r="I106" s="6">
        <v>0.21</v>
      </c>
      <c r="J106" s="12"/>
    </row>
    <row r="107" spans="1:10" x14ac:dyDescent="0.3">
      <c r="A107" s="15">
        <v>106</v>
      </c>
      <c r="B107" s="16" t="s">
        <v>604</v>
      </c>
      <c r="C107" s="17">
        <v>46095</v>
      </c>
      <c r="D107" s="17">
        <v>46095</v>
      </c>
      <c r="E107" s="15" t="s">
        <v>25</v>
      </c>
      <c r="F107" s="18">
        <v>0</v>
      </c>
      <c r="G107" s="18">
        <v>0</v>
      </c>
      <c r="H107" s="18">
        <f t="shared" si="1"/>
        <v>0</v>
      </c>
      <c r="I107" s="10">
        <v>0.2</v>
      </c>
      <c r="J107" s="16"/>
    </row>
    <row r="108" spans="1:10" x14ac:dyDescent="0.3">
      <c r="A108" s="11">
        <v>107</v>
      </c>
      <c r="B108" s="12" t="s">
        <v>605</v>
      </c>
      <c r="C108" s="13">
        <v>46095</v>
      </c>
      <c r="D108" s="13">
        <v>46095</v>
      </c>
      <c r="E108" s="11" t="s">
        <v>25</v>
      </c>
      <c r="F108" s="14">
        <v>0</v>
      </c>
      <c r="G108" s="14">
        <v>0</v>
      </c>
      <c r="H108" s="14">
        <f t="shared" si="1"/>
        <v>0</v>
      </c>
      <c r="I108" s="6">
        <v>0.17</v>
      </c>
      <c r="J108" s="12"/>
    </row>
    <row r="109" spans="1:10" x14ac:dyDescent="0.3">
      <c r="A109" s="15">
        <v>108</v>
      </c>
      <c r="B109" s="16" t="s">
        <v>606</v>
      </c>
      <c r="C109" s="17">
        <v>46096</v>
      </c>
      <c r="D109" s="17">
        <v>46097</v>
      </c>
      <c r="E109" s="15" t="s">
        <v>25</v>
      </c>
      <c r="F109" s="18">
        <v>0</v>
      </c>
      <c r="G109" s="18">
        <v>0</v>
      </c>
      <c r="H109" s="18">
        <f t="shared" si="1"/>
        <v>0</v>
      </c>
      <c r="I109" s="10">
        <v>1.01</v>
      </c>
      <c r="J109" s="16"/>
    </row>
    <row r="110" spans="1:10" x14ac:dyDescent="0.3">
      <c r="A110" s="11">
        <v>109</v>
      </c>
      <c r="B110" s="12" t="s">
        <v>607</v>
      </c>
      <c r="C110" s="13">
        <v>46096</v>
      </c>
      <c r="D110" s="13">
        <v>46097</v>
      </c>
      <c r="E110" s="11" t="s">
        <v>25</v>
      </c>
      <c r="F110" s="14">
        <v>0</v>
      </c>
      <c r="G110" s="14">
        <v>0</v>
      </c>
      <c r="H110" s="14">
        <f t="shared" si="1"/>
        <v>0</v>
      </c>
      <c r="I110" s="6">
        <v>0.97</v>
      </c>
      <c r="J110" s="12"/>
    </row>
    <row r="111" spans="1:10" x14ac:dyDescent="0.3">
      <c r="A111" s="15">
        <v>110</v>
      </c>
      <c r="B111" s="16" t="s">
        <v>608</v>
      </c>
      <c r="C111" s="17">
        <v>46096</v>
      </c>
      <c r="D111" s="17">
        <v>46097</v>
      </c>
      <c r="E111" s="15" t="s">
        <v>25</v>
      </c>
      <c r="F111" s="18">
        <v>0</v>
      </c>
      <c r="G111" s="18">
        <v>0</v>
      </c>
      <c r="H111" s="18">
        <f t="shared" si="1"/>
        <v>0</v>
      </c>
      <c r="I111" s="10">
        <v>0.95</v>
      </c>
      <c r="J111" s="16"/>
    </row>
    <row r="112" spans="1:10" x14ac:dyDescent="0.3">
      <c r="A112" s="11">
        <v>111</v>
      </c>
      <c r="B112" s="12" t="s">
        <v>609</v>
      </c>
      <c r="C112" s="13">
        <v>46096</v>
      </c>
      <c r="D112" s="13">
        <v>46097</v>
      </c>
      <c r="E112" s="11" t="s">
        <v>25</v>
      </c>
      <c r="F112" s="14">
        <v>0</v>
      </c>
      <c r="G112" s="14">
        <v>0</v>
      </c>
      <c r="H112" s="14">
        <f t="shared" si="1"/>
        <v>0</v>
      </c>
      <c r="I112" s="6">
        <v>0.9</v>
      </c>
      <c r="J112" s="12"/>
    </row>
    <row r="113" spans="1:10" x14ac:dyDescent="0.3">
      <c r="A113" s="15">
        <v>112</v>
      </c>
      <c r="B113" s="16" t="s">
        <v>610</v>
      </c>
      <c r="C113" s="17">
        <v>46096</v>
      </c>
      <c r="D113" s="17">
        <v>46097</v>
      </c>
      <c r="E113" s="15" t="s">
        <v>25</v>
      </c>
      <c r="F113" s="18">
        <v>0</v>
      </c>
      <c r="G113" s="18">
        <v>0</v>
      </c>
      <c r="H113" s="18">
        <f t="shared" si="1"/>
        <v>0</v>
      </c>
      <c r="I113" s="10">
        <v>0.89</v>
      </c>
      <c r="J113" s="16"/>
    </row>
    <row r="114" spans="1:10" x14ac:dyDescent="0.3">
      <c r="A114" s="11">
        <v>113</v>
      </c>
      <c r="B114" s="12" t="s">
        <v>611</v>
      </c>
      <c r="C114" s="13">
        <v>46096</v>
      </c>
      <c r="D114" s="13">
        <v>46097</v>
      </c>
      <c r="E114" s="11" t="s">
        <v>25</v>
      </c>
      <c r="F114" s="14">
        <v>0</v>
      </c>
      <c r="G114" s="14">
        <v>0</v>
      </c>
      <c r="H114" s="14">
        <f t="shared" si="1"/>
        <v>0</v>
      </c>
      <c r="I114" s="6">
        <v>0.89</v>
      </c>
      <c r="J114" s="12"/>
    </row>
    <row r="115" spans="1:10" x14ac:dyDescent="0.3">
      <c r="A115" s="15">
        <v>114</v>
      </c>
      <c r="B115" s="16" t="s">
        <v>612</v>
      </c>
      <c r="C115" s="17">
        <v>46096</v>
      </c>
      <c r="D115" s="17">
        <v>46097</v>
      </c>
      <c r="E115" s="15" t="s">
        <v>25</v>
      </c>
      <c r="F115" s="18">
        <v>0</v>
      </c>
      <c r="G115" s="18">
        <v>0</v>
      </c>
      <c r="H115" s="18">
        <f t="shared" si="1"/>
        <v>0</v>
      </c>
      <c r="I115" s="10">
        <v>0.83</v>
      </c>
      <c r="J115" s="16"/>
    </row>
    <row r="116" spans="1:10" x14ac:dyDescent="0.3">
      <c r="A116" s="11">
        <v>115</v>
      </c>
      <c r="B116" s="12" t="s">
        <v>613</v>
      </c>
      <c r="C116" s="13">
        <v>46096</v>
      </c>
      <c r="D116" s="13">
        <v>46097</v>
      </c>
      <c r="E116" s="11" t="s">
        <v>25</v>
      </c>
      <c r="F116" s="14">
        <v>0</v>
      </c>
      <c r="G116" s="14">
        <v>0</v>
      </c>
      <c r="H116" s="14">
        <f t="shared" si="1"/>
        <v>0</v>
      </c>
      <c r="I116" s="6">
        <v>0.76</v>
      </c>
      <c r="J116" s="12"/>
    </row>
    <row r="117" spans="1:10" x14ac:dyDescent="0.3">
      <c r="A117" s="15">
        <v>116</v>
      </c>
      <c r="B117" s="16" t="s">
        <v>614</v>
      </c>
      <c r="C117" s="17">
        <v>46096</v>
      </c>
      <c r="D117" s="17">
        <v>46097</v>
      </c>
      <c r="E117" s="15" t="s">
        <v>25</v>
      </c>
      <c r="F117" s="18">
        <v>0</v>
      </c>
      <c r="G117" s="18">
        <v>0</v>
      </c>
      <c r="H117" s="18">
        <f t="shared" si="1"/>
        <v>0</v>
      </c>
      <c r="I117" s="10">
        <v>0.87</v>
      </c>
      <c r="J117" s="16"/>
    </row>
    <row r="118" spans="1:10" x14ac:dyDescent="0.3">
      <c r="A118" s="11">
        <v>117</v>
      </c>
      <c r="B118" s="12" t="s">
        <v>615</v>
      </c>
      <c r="C118" s="13">
        <v>46097</v>
      </c>
      <c r="D118" s="13">
        <v>46097</v>
      </c>
      <c r="E118" s="11" t="s">
        <v>25</v>
      </c>
      <c r="F118" s="14">
        <v>0</v>
      </c>
      <c r="G118" s="14">
        <v>0</v>
      </c>
      <c r="H118" s="14">
        <f t="shared" si="1"/>
        <v>0</v>
      </c>
      <c r="I118" s="6">
        <v>0.1</v>
      </c>
      <c r="J118" s="12"/>
    </row>
    <row r="119" spans="1:10" x14ac:dyDescent="0.3">
      <c r="A119" s="15">
        <v>118</v>
      </c>
      <c r="B119" s="16" t="s">
        <v>616</v>
      </c>
      <c r="C119" s="17">
        <v>46097</v>
      </c>
      <c r="D119" s="17">
        <v>46097</v>
      </c>
      <c r="E119" s="15" t="s">
        <v>25</v>
      </c>
      <c r="F119" s="18">
        <v>0</v>
      </c>
      <c r="G119" s="18">
        <v>0</v>
      </c>
      <c r="H119" s="18">
        <f t="shared" si="1"/>
        <v>0</v>
      </c>
      <c r="I119" s="10">
        <v>0.05</v>
      </c>
      <c r="J119" s="16"/>
    </row>
    <row r="120" spans="1:10" x14ac:dyDescent="0.3">
      <c r="A120" s="11">
        <v>119</v>
      </c>
      <c r="B120" s="12" t="s">
        <v>617</v>
      </c>
      <c r="C120" s="13">
        <v>46097</v>
      </c>
      <c r="D120" s="13">
        <v>46097</v>
      </c>
      <c r="E120" s="11" t="s">
        <v>25</v>
      </c>
      <c r="F120" s="14">
        <v>0</v>
      </c>
      <c r="G120" s="14">
        <v>0</v>
      </c>
      <c r="H120" s="14">
        <f t="shared" si="1"/>
        <v>0</v>
      </c>
      <c r="I120" s="6">
        <v>0.13</v>
      </c>
      <c r="J120" s="12"/>
    </row>
    <row r="121" spans="1:10" x14ac:dyDescent="0.3">
      <c r="A121" s="15">
        <v>120</v>
      </c>
      <c r="B121" s="16" t="s">
        <v>618</v>
      </c>
      <c r="C121" s="17">
        <v>46097</v>
      </c>
      <c r="D121" s="17">
        <v>46097</v>
      </c>
      <c r="E121" s="15" t="s">
        <v>25</v>
      </c>
      <c r="F121" s="18">
        <v>0</v>
      </c>
      <c r="G121" s="18">
        <v>0</v>
      </c>
      <c r="H121" s="18">
        <f t="shared" si="1"/>
        <v>0</v>
      </c>
      <c r="I121" s="10">
        <v>0.12</v>
      </c>
      <c r="J121" s="16"/>
    </row>
    <row r="122" spans="1:10" x14ac:dyDescent="0.3">
      <c r="A122" s="11">
        <v>121</v>
      </c>
      <c r="B122" s="12" t="s">
        <v>619</v>
      </c>
      <c r="C122" s="13">
        <v>46097</v>
      </c>
      <c r="D122" s="13">
        <v>46098</v>
      </c>
      <c r="E122" s="11" t="s">
        <v>25</v>
      </c>
      <c r="F122" s="14">
        <v>0</v>
      </c>
      <c r="G122" s="14">
        <v>0</v>
      </c>
      <c r="H122" s="14">
        <f t="shared" si="1"/>
        <v>0</v>
      </c>
      <c r="I122" s="6">
        <v>0.83</v>
      </c>
      <c r="J122" s="12"/>
    </row>
    <row r="123" spans="1:10" x14ac:dyDescent="0.3">
      <c r="A123" s="15">
        <v>122</v>
      </c>
      <c r="B123" s="16" t="s">
        <v>620</v>
      </c>
      <c r="C123" s="17">
        <v>46097</v>
      </c>
      <c r="D123" s="17">
        <v>46098</v>
      </c>
      <c r="E123" s="15" t="s">
        <v>25</v>
      </c>
      <c r="F123" s="18">
        <v>0</v>
      </c>
      <c r="G123" s="18">
        <v>0</v>
      </c>
      <c r="H123" s="18">
        <f t="shared" si="1"/>
        <v>0</v>
      </c>
      <c r="I123" s="10">
        <v>0.8</v>
      </c>
      <c r="J123" s="16"/>
    </row>
    <row r="124" spans="1:10" x14ac:dyDescent="0.3">
      <c r="A124" s="11">
        <v>123</v>
      </c>
      <c r="B124" s="12" t="s">
        <v>621</v>
      </c>
      <c r="C124" s="13">
        <v>46097</v>
      </c>
      <c r="D124" s="13">
        <v>46098</v>
      </c>
      <c r="E124" s="11" t="s">
        <v>25</v>
      </c>
      <c r="F124" s="14">
        <v>0</v>
      </c>
      <c r="G124" s="14">
        <v>0</v>
      </c>
      <c r="H124" s="14">
        <f t="shared" si="1"/>
        <v>0</v>
      </c>
      <c r="I124" s="6">
        <v>0.78</v>
      </c>
      <c r="J124" s="12"/>
    </row>
    <row r="125" spans="1:10" x14ac:dyDescent="0.3">
      <c r="A125" s="15">
        <v>124</v>
      </c>
      <c r="B125" s="16" t="s">
        <v>622</v>
      </c>
      <c r="C125" s="17">
        <v>46098</v>
      </c>
      <c r="D125" s="17">
        <v>46098</v>
      </c>
      <c r="E125" s="15" t="s">
        <v>25</v>
      </c>
      <c r="F125" s="18">
        <v>0</v>
      </c>
      <c r="G125" s="18">
        <v>0</v>
      </c>
      <c r="H125" s="18">
        <f t="shared" si="1"/>
        <v>0</v>
      </c>
      <c r="I125" s="10">
        <v>0.22</v>
      </c>
      <c r="J125" s="16"/>
    </row>
    <row r="126" spans="1:10" x14ac:dyDescent="0.3">
      <c r="A126" s="11">
        <v>125</v>
      </c>
      <c r="B126" s="12" t="s">
        <v>623</v>
      </c>
      <c r="C126" s="13">
        <v>46098</v>
      </c>
      <c r="D126" s="13">
        <v>46098</v>
      </c>
      <c r="E126" s="11" t="s">
        <v>25</v>
      </c>
      <c r="F126" s="14">
        <v>0</v>
      </c>
      <c r="G126" s="14">
        <v>0</v>
      </c>
      <c r="H126" s="14">
        <f t="shared" si="1"/>
        <v>0</v>
      </c>
      <c r="I126" s="6">
        <v>0.15</v>
      </c>
      <c r="J126" s="12"/>
    </row>
    <row r="127" spans="1:10" x14ac:dyDescent="0.3">
      <c r="A127" s="15">
        <v>126</v>
      </c>
      <c r="B127" s="16" t="s">
        <v>624</v>
      </c>
      <c r="C127" s="17">
        <v>46098</v>
      </c>
      <c r="D127" s="17">
        <v>46098</v>
      </c>
      <c r="E127" s="15" t="s">
        <v>25</v>
      </c>
      <c r="F127" s="18">
        <v>0</v>
      </c>
      <c r="G127" s="18">
        <v>0</v>
      </c>
      <c r="H127" s="18">
        <f t="shared" si="1"/>
        <v>0</v>
      </c>
      <c r="I127" s="10">
        <v>0.01</v>
      </c>
      <c r="J127" s="16"/>
    </row>
    <row r="128" spans="1:10" x14ac:dyDescent="0.3">
      <c r="A128" s="11">
        <v>127</v>
      </c>
      <c r="B128" s="12" t="s">
        <v>625</v>
      </c>
      <c r="C128" s="13">
        <v>46099</v>
      </c>
      <c r="D128" s="13">
        <v>46099</v>
      </c>
      <c r="E128" s="11" t="s">
        <v>25</v>
      </c>
      <c r="F128" s="14">
        <v>0</v>
      </c>
      <c r="G128" s="14">
        <v>0</v>
      </c>
      <c r="H128" s="14">
        <f t="shared" si="1"/>
        <v>0</v>
      </c>
      <c r="I128" s="6">
        <v>0.42</v>
      </c>
      <c r="J128" s="12"/>
    </row>
    <row r="129" spans="1:10" x14ac:dyDescent="0.3">
      <c r="A129" s="15">
        <v>128</v>
      </c>
      <c r="B129" s="16" t="s">
        <v>626</v>
      </c>
      <c r="C129" s="17">
        <v>46099</v>
      </c>
      <c r="D129" s="17">
        <v>46099</v>
      </c>
      <c r="E129" s="15" t="s">
        <v>25</v>
      </c>
      <c r="F129" s="18">
        <v>0</v>
      </c>
      <c r="G129" s="18">
        <v>0</v>
      </c>
      <c r="H129" s="18">
        <f t="shared" si="1"/>
        <v>0</v>
      </c>
      <c r="I129" s="10">
        <v>0.4</v>
      </c>
      <c r="J129" s="16"/>
    </row>
    <row r="130" spans="1:10" x14ac:dyDescent="0.3">
      <c r="A130" s="11">
        <v>129</v>
      </c>
      <c r="B130" s="12" t="s">
        <v>627</v>
      </c>
      <c r="C130" s="13">
        <v>46099</v>
      </c>
      <c r="D130" s="13">
        <v>46099</v>
      </c>
      <c r="E130" s="11" t="s">
        <v>25</v>
      </c>
      <c r="F130" s="14">
        <v>0</v>
      </c>
      <c r="G130" s="14">
        <v>0</v>
      </c>
      <c r="H130" s="14">
        <f t="shared" ref="H130:H193" si="2">F130+G130</f>
        <v>0</v>
      </c>
      <c r="I130" s="6">
        <v>0.13</v>
      </c>
      <c r="J130" s="12"/>
    </row>
    <row r="131" spans="1:10" x14ac:dyDescent="0.3">
      <c r="A131" s="15">
        <v>130</v>
      </c>
      <c r="B131" s="16" t="s">
        <v>628</v>
      </c>
      <c r="C131" s="17">
        <v>46100</v>
      </c>
      <c r="D131" s="17">
        <v>46101</v>
      </c>
      <c r="E131" s="15" t="s">
        <v>25</v>
      </c>
      <c r="F131" s="18">
        <v>0</v>
      </c>
      <c r="G131" s="18">
        <v>0</v>
      </c>
      <c r="H131" s="18">
        <f t="shared" si="2"/>
        <v>0</v>
      </c>
      <c r="I131" s="10">
        <v>1.55</v>
      </c>
      <c r="J131" s="16"/>
    </row>
    <row r="132" spans="1:10" x14ac:dyDescent="0.3">
      <c r="A132" s="11">
        <v>131</v>
      </c>
      <c r="B132" s="12" t="s">
        <v>629</v>
      </c>
      <c r="C132" s="13">
        <v>46100</v>
      </c>
      <c r="D132" s="13">
        <v>46101</v>
      </c>
      <c r="E132" s="11" t="s">
        <v>25</v>
      </c>
      <c r="F132" s="14">
        <v>0</v>
      </c>
      <c r="G132" s="14">
        <v>0</v>
      </c>
      <c r="H132" s="14">
        <f t="shared" si="2"/>
        <v>0</v>
      </c>
      <c r="I132" s="6">
        <v>1.18</v>
      </c>
      <c r="J132" s="12"/>
    </row>
    <row r="133" spans="1:10" x14ac:dyDescent="0.3">
      <c r="A133" s="15">
        <v>132</v>
      </c>
      <c r="B133" s="16" t="s">
        <v>630</v>
      </c>
      <c r="C133" s="17">
        <v>46100</v>
      </c>
      <c r="D133" s="17">
        <v>46101</v>
      </c>
      <c r="E133" s="15" t="s">
        <v>25</v>
      </c>
      <c r="F133" s="18">
        <v>0</v>
      </c>
      <c r="G133" s="18">
        <v>0</v>
      </c>
      <c r="H133" s="18">
        <f t="shared" si="2"/>
        <v>0</v>
      </c>
      <c r="I133" s="10">
        <v>1.17</v>
      </c>
      <c r="J133" s="16"/>
    </row>
    <row r="134" spans="1:10" x14ac:dyDescent="0.3">
      <c r="A134" s="11">
        <v>133</v>
      </c>
      <c r="B134" s="12" t="s">
        <v>631</v>
      </c>
      <c r="C134" s="13">
        <v>46100</v>
      </c>
      <c r="D134" s="13">
        <v>46101</v>
      </c>
      <c r="E134" s="11" t="s">
        <v>25</v>
      </c>
      <c r="F134" s="14">
        <v>0</v>
      </c>
      <c r="G134" s="14">
        <v>0</v>
      </c>
      <c r="H134" s="14">
        <f t="shared" si="2"/>
        <v>0</v>
      </c>
      <c r="I134" s="6">
        <v>0.99</v>
      </c>
      <c r="J134" s="12"/>
    </row>
    <row r="135" spans="1:10" x14ac:dyDescent="0.3">
      <c r="A135" s="15">
        <v>134</v>
      </c>
      <c r="B135" s="16" t="s">
        <v>632</v>
      </c>
      <c r="C135" s="17">
        <v>46100</v>
      </c>
      <c r="D135" s="17">
        <v>46100</v>
      </c>
      <c r="E135" s="15" t="s">
        <v>25</v>
      </c>
      <c r="F135" s="18">
        <v>0</v>
      </c>
      <c r="G135" s="18">
        <v>0</v>
      </c>
      <c r="H135" s="18">
        <f t="shared" si="2"/>
        <v>0</v>
      </c>
      <c r="I135" s="10">
        <v>0.02</v>
      </c>
      <c r="J135" s="16"/>
    </row>
    <row r="136" spans="1:10" x14ac:dyDescent="0.3">
      <c r="A136" s="11">
        <v>135</v>
      </c>
      <c r="B136" s="12" t="s">
        <v>633</v>
      </c>
      <c r="C136" s="13">
        <v>46101</v>
      </c>
      <c r="D136" s="13">
        <v>46101</v>
      </c>
      <c r="E136" s="11" t="s">
        <v>25</v>
      </c>
      <c r="F136" s="14">
        <v>0</v>
      </c>
      <c r="G136" s="14">
        <v>0</v>
      </c>
      <c r="H136" s="14">
        <f t="shared" si="2"/>
        <v>0</v>
      </c>
      <c r="I136" s="6">
        <v>0.14000000000000001</v>
      </c>
      <c r="J136" s="12"/>
    </row>
    <row r="137" spans="1:10" x14ac:dyDescent="0.3">
      <c r="A137" s="15">
        <v>136</v>
      </c>
      <c r="B137" s="16" t="s">
        <v>634</v>
      </c>
      <c r="C137" s="17">
        <v>46101</v>
      </c>
      <c r="D137" s="17">
        <v>46101</v>
      </c>
      <c r="E137" s="15" t="s">
        <v>25</v>
      </c>
      <c r="F137" s="18">
        <v>0</v>
      </c>
      <c r="G137" s="18">
        <v>0</v>
      </c>
      <c r="H137" s="18">
        <f t="shared" si="2"/>
        <v>0</v>
      </c>
      <c r="I137" s="10">
        <v>0.14000000000000001</v>
      </c>
      <c r="J137" s="16"/>
    </row>
    <row r="138" spans="1:10" x14ac:dyDescent="0.3">
      <c r="A138" s="11">
        <v>137</v>
      </c>
      <c r="B138" s="12" t="s">
        <v>635</v>
      </c>
      <c r="C138" s="13">
        <v>46101</v>
      </c>
      <c r="D138" s="13">
        <v>46101</v>
      </c>
      <c r="E138" s="11" t="s">
        <v>25</v>
      </c>
      <c r="F138" s="14">
        <v>0</v>
      </c>
      <c r="G138" s="14">
        <v>0</v>
      </c>
      <c r="H138" s="14">
        <f t="shared" si="2"/>
        <v>0</v>
      </c>
      <c r="I138" s="6">
        <v>0.09</v>
      </c>
      <c r="J138" s="12"/>
    </row>
    <row r="139" spans="1:10" x14ac:dyDescent="0.3">
      <c r="A139" s="15">
        <v>138</v>
      </c>
      <c r="B139" s="16" t="s">
        <v>636</v>
      </c>
      <c r="C139" s="17">
        <v>46101</v>
      </c>
      <c r="D139" s="17">
        <v>46101</v>
      </c>
      <c r="E139" s="15" t="s">
        <v>25</v>
      </c>
      <c r="F139" s="18">
        <v>0</v>
      </c>
      <c r="G139" s="18">
        <v>0</v>
      </c>
      <c r="H139" s="18">
        <f t="shared" si="2"/>
        <v>0</v>
      </c>
      <c r="I139" s="10">
        <v>0.01</v>
      </c>
      <c r="J139" s="16"/>
    </row>
    <row r="140" spans="1:10" x14ac:dyDescent="0.3">
      <c r="A140" s="11">
        <v>139</v>
      </c>
      <c r="B140" s="12" t="s">
        <v>637</v>
      </c>
      <c r="C140" s="13">
        <v>46101</v>
      </c>
      <c r="D140" s="13">
        <v>46102</v>
      </c>
      <c r="E140" s="11" t="s">
        <v>25</v>
      </c>
      <c r="F140" s="14">
        <v>0</v>
      </c>
      <c r="G140" s="14">
        <v>0</v>
      </c>
      <c r="H140" s="14">
        <f t="shared" si="2"/>
        <v>0</v>
      </c>
      <c r="I140" s="6">
        <v>1.28</v>
      </c>
      <c r="J140" s="12"/>
    </row>
    <row r="141" spans="1:10" x14ac:dyDescent="0.3">
      <c r="A141" s="15">
        <v>140</v>
      </c>
      <c r="B141" s="16" t="s">
        <v>638</v>
      </c>
      <c r="C141" s="17">
        <v>46101</v>
      </c>
      <c r="D141" s="17">
        <v>46102</v>
      </c>
      <c r="E141" s="15" t="s">
        <v>25</v>
      </c>
      <c r="F141" s="18">
        <v>0</v>
      </c>
      <c r="G141" s="18">
        <v>0</v>
      </c>
      <c r="H141" s="18">
        <f t="shared" si="2"/>
        <v>0</v>
      </c>
      <c r="I141" s="10">
        <v>1.27</v>
      </c>
      <c r="J141" s="16"/>
    </row>
    <row r="142" spans="1:10" x14ac:dyDescent="0.3">
      <c r="A142" s="11">
        <v>141</v>
      </c>
      <c r="B142" s="12" t="s">
        <v>639</v>
      </c>
      <c r="C142" s="13">
        <v>46101</v>
      </c>
      <c r="D142" s="13">
        <v>46102</v>
      </c>
      <c r="E142" s="11" t="s">
        <v>25</v>
      </c>
      <c r="F142" s="14">
        <v>0</v>
      </c>
      <c r="G142" s="14">
        <v>0</v>
      </c>
      <c r="H142" s="14">
        <f t="shared" si="2"/>
        <v>0</v>
      </c>
      <c r="I142" s="6">
        <v>1.23</v>
      </c>
      <c r="J142" s="12"/>
    </row>
    <row r="143" spans="1:10" x14ac:dyDescent="0.3">
      <c r="A143" s="15">
        <v>142</v>
      </c>
      <c r="B143" s="16" t="s">
        <v>640</v>
      </c>
      <c r="C143" s="17">
        <v>46101</v>
      </c>
      <c r="D143" s="17">
        <v>46102</v>
      </c>
      <c r="E143" s="15" t="s">
        <v>25</v>
      </c>
      <c r="F143" s="18">
        <v>0</v>
      </c>
      <c r="G143" s="18">
        <v>0</v>
      </c>
      <c r="H143" s="18">
        <f t="shared" si="2"/>
        <v>0</v>
      </c>
      <c r="I143" s="10">
        <v>1.22</v>
      </c>
      <c r="J143" s="16"/>
    </row>
    <row r="144" spans="1:10" x14ac:dyDescent="0.3">
      <c r="A144" s="11">
        <v>143</v>
      </c>
      <c r="B144" s="12" t="s">
        <v>641</v>
      </c>
      <c r="C144" s="13">
        <v>46102</v>
      </c>
      <c r="D144" s="13">
        <v>46102</v>
      </c>
      <c r="E144" s="11" t="s">
        <v>25</v>
      </c>
      <c r="F144" s="14">
        <v>0</v>
      </c>
      <c r="G144" s="14">
        <v>0</v>
      </c>
      <c r="H144" s="14">
        <f t="shared" si="2"/>
        <v>0</v>
      </c>
      <c r="I144" s="6">
        <v>0.51</v>
      </c>
      <c r="J144" s="12"/>
    </row>
    <row r="145" spans="1:10" x14ac:dyDescent="0.3">
      <c r="A145" s="15">
        <v>144</v>
      </c>
      <c r="B145" s="16" t="s">
        <v>642</v>
      </c>
      <c r="C145" s="17">
        <v>46102</v>
      </c>
      <c r="D145" s="17">
        <v>46102</v>
      </c>
      <c r="E145" s="15" t="s">
        <v>25</v>
      </c>
      <c r="F145" s="18">
        <v>0</v>
      </c>
      <c r="G145" s="18">
        <v>0</v>
      </c>
      <c r="H145" s="18">
        <f t="shared" si="2"/>
        <v>0</v>
      </c>
      <c r="I145" s="10">
        <v>0.22</v>
      </c>
      <c r="J145" s="16"/>
    </row>
    <row r="146" spans="1:10" x14ac:dyDescent="0.3">
      <c r="A146" s="11">
        <v>145</v>
      </c>
      <c r="B146" s="12" t="s">
        <v>643</v>
      </c>
      <c r="C146" s="13">
        <v>46102</v>
      </c>
      <c r="D146" s="13">
        <v>46102</v>
      </c>
      <c r="E146" s="11" t="s">
        <v>25</v>
      </c>
      <c r="F146" s="14">
        <v>0</v>
      </c>
      <c r="G146" s="14">
        <v>0</v>
      </c>
      <c r="H146" s="14">
        <f t="shared" si="2"/>
        <v>0</v>
      </c>
      <c r="I146" s="6">
        <v>0.01</v>
      </c>
      <c r="J146" s="12"/>
    </row>
    <row r="147" spans="1:10" x14ac:dyDescent="0.3">
      <c r="A147" s="15">
        <v>146</v>
      </c>
      <c r="B147" s="16" t="s">
        <v>644</v>
      </c>
      <c r="C147" s="17">
        <v>46103</v>
      </c>
      <c r="D147" s="17">
        <v>46105</v>
      </c>
      <c r="E147" s="15" t="s">
        <v>25</v>
      </c>
      <c r="F147" s="18">
        <v>0</v>
      </c>
      <c r="G147" s="18">
        <v>0</v>
      </c>
      <c r="H147" s="18">
        <f t="shared" si="2"/>
        <v>0</v>
      </c>
      <c r="I147" s="10">
        <v>2.64</v>
      </c>
      <c r="J147" s="16"/>
    </row>
    <row r="148" spans="1:10" x14ac:dyDescent="0.3">
      <c r="A148" s="11">
        <v>147</v>
      </c>
      <c r="B148" s="12" t="s">
        <v>645</v>
      </c>
      <c r="C148" s="13">
        <v>46103</v>
      </c>
      <c r="D148" s="13">
        <v>46104</v>
      </c>
      <c r="E148" s="11" t="s">
        <v>25</v>
      </c>
      <c r="F148" s="14">
        <v>0</v>
      </c>
      <c r="G148" s="14">
        <v>0</v>
      </c>
      <c r="H148" s="14">
        <f t="shared" si="2"/>
        <v>0</v>
      </c>
      <c r="I148" s="6">
        <v>0.99</v>
      </c>
      <c r="J148" s="12"/>
    </row>
    <row r="149" spans="1:10" x14ac:dyDescent="0.3">
      <c r="A149" s="15">
        <v>148</v>
      </c>
      <c r="B149" s="16" t="s">
        <v>646</v>
      </c>
      <c r="C149" s="17">
        <v>46103</v>
      </c>
      <c r="D149" s="17">
        <v>46103</v>
      </c>
      <c r="E149" s="15" t="s">
        <v>25</v>
      </c>
      <c r="F149" s="18">
        <v>0</v>
      </c>
      <c r="G149" s="18">
        <v>0</v>
      </c>
      <c r="H149" s="18">
        <f t="shared" si="2"/>
        <v>0</v>
      </c>
      <c r="I149" s="10">
        <v>0.39</v>
      </c>
      <c r="J149" s="16"/>
    </row>
    <row r="150" spans="1:10" x14ac:dyDescent="0.3">
      <c r="A150" s="11">
        <v>149</v>
      </c>
      <c r="B150" s="12" t="s">
        <v>647</v>
      </c>
      <c r="C150" s="13">
        <v>46103</v>
      </c>
      <c r="D150" s="13">
        <v>46103</v>
      </c>
      <c r="E150" s="11" t="s">
        <v>25</v>
      </c>
      <c r="F150" s="14">
        <v>0</v>
      </c>
      <c r="G150" s="14">
        <v>0</v>
      </c>
      <c r="H150" s="14">
        <f t="shared" si="2"/>
        <v>0</v>
      </c>
      <c r="I150" s="6">
        <v>0.11</v>
      </c>
      <c r="J150" s="12"/>
    </row>
    <row r="151" spans="1:10" x14ac:dyDescent="0.3">
      <c r="A151" s="15">
        <v>150</v>
      </c>
      <c r="B151" s="16" t="s">
        <v>648</v>
      </c>
      <c r="C151" s="17">
        <v>46103</v>
      </c>
      <c r="D151" s="17">
        <v>46103</v>
      </c>
      <c r="E151" s="15" t="s">
        <v>25</v>
      </c>
      <c r="F151" s="18">
        <v>0</v>
      </c>
      <c r="G151" s="18">
        <v>0</v>
      </c>
      <c r="H151" s="18">
        <f t="shared" si="2"/>
        <v>0</v>
      </c>
      <c r="I151" s="10">
        <v>0.09</v>
      </c>
      <c r="J151" s="16"/>
    </row>
    <row r="152" spans="1:10" x14ac:dyDescent="0.3">
      <c r="A152" s="11">
        <v>151</v>
      </c>
      <c r="B152" s="12" t="s">
        <v>649</v>
      </c>
      <c r="C152" s="13">
        <v>46103</v>
      </c>
      <c r="D152" s="13">
        <v>46103</v>
      </c>
      <c r="E152" s="11" t="s">
        <v>25</v>
      </c>
      <c r="F152" s="14">
        <v>0</v>
      </c>
      <c r="G152" s="14">
        <v>0</v>
      </c>
      <c r="H152" s="14">
        <f t="shared" si="2"/>
        <v>0</v>
      </c>
      <c r="I152" s="6">
        <v>0.09</v>
      </c>
      <c r="J152" s="12"/>
    </row>
    <row r="153" spans="1:10" x14ac:dyDescent="0.3">
      <c r="A153" s="15">
        <v>152</v>
      </c>
      <c r="B153" s="16" t="s">
        <v>650</v>
      </c>
      <c r="C153" s="17">
        <v>46103</v>
      </c>
      <c r="D153" s="17">
        <v>46103</v>
      </c>
      <c r="E153" s="15" t="s">
        <v>25</v>
      </c>
      <c r="F153" s="18">
        <v>0</v>
      </c>
      <c r="G153" s="18">
        <v>0</v>
      </c>
      <c r="H153" s="18">
        <f t="shared" si="2"/>
        <v>0</v>
      </c>
      <c r="I153" s="10">
        <v>0.08</v>
      </c>
      <c r="J153" s="16"/>
    </row>
    <row r="154" spans="1:10" x14ac:dyDescent="0.3">
      <c r="A154" s="11">
        <v>153</v>
      </c>
      <c r="B154" s="12" t="s">
        <v>651</v>
      </c>
      <c r="C154" s="13">
        <v>46103</v>
      </c>
      <c r="D154" s="13">
        <v>46103</v>
      </c>
      <c r="E154" s="11" t="s">
        <v>25</v>
      </c>
      <c r="F154" s="14">
        <v>0</v>
      </c>
      <c r="G154" s="14">
        <v>0</v>
      </c>
      <c r="H154" s="14">
        <f t="shared" si="2"/>
        <v>0</v>
      </c>
      <c r="I154" s="6">
        <v>0.06</v>
      </c>
      <c r="J154" s="12"/>
    </row>
    <row r="155" spans="1:10" x14ac:dyDescent="0.3">
      <c r="A155" s="15">
        <v>154</v>
      </c>
      <c r="B155" s="16" t="s">
        <v>652</v>
      </c>
      <c r="C155" s="17">
        <v>46103</v>
      </c>
      <c r="D155" s="17">
        <v>46103</v>
      </c>
      <c r="E155" s="15" t="s">
        <v>25</v>
      </c>
      <c r="F155" s="18">
        <v>0</v>
      </c>
      <c r="G155" s="18">
        <v>0</v>
      </c>
      <c r="H155" s="18">
        <f t="shared" si="2"/>
        <v>0</v>
      </c>
      <c r="I155" s="10">
        <v>0.04</v>
      </c>
      <c r="J155" s="16"/>
    </row>
    <row r="156" spans="1:10" x14ac:dyDescent="0.3">
      <c r="A156" s="11">
        <v>155</v>
      </c>
      <c r="B156" s="12" t="s">
        <v>653</v>
      </c>
      <c r="C156" s="13">
        <v>46103</v>
      </c>
      <c r="D156" s="13">
        <v>46103</v>
      </c>
      <c r="E156" s="11" t="s">
        <v>25</v>
      </c>
      <c r="F156" s="14">
        <v>0</v>
      </c>
      <c r="G156" s="14">
        <v>0</v>
      </c>
      <c r="H156" s="14">
        <f t="shared" si="2"/>
        <v>0</v>
      </c>
      <c r="I156" s="6">
        <v>0.02</v>
      </c>
      <c r="J156" s="12"/>
    </row>
    <row r="157" spans="1:10" x14ac:dyDescent="0.3">
      <c r="A157" s="15">
        <v>156</v>
      </c>
      <c r="B157" s="16" t="s">
        <v>654</v>
      </c>
      <c r="C157" s="17">
        <v>46103</v>
      </c>
      <c r="D157" s="17">
        <v>46103</v>
      </c>
      <c r="E157" s="15" t="s">
        <v>25</v>
      </c>
      <c r="F157" s="18">
        <v>0</v>
      </c>
      <c r="G157" s="18">
        <v>0</v>
      </c>
      <c r="H157" s="18">
        <f t="shared" si="2"/>
        <v>0</v>
      </c>
      <c r="I157" s="10">
        <v>0.02</v>
      </c>
      <c r="J157" s="16"/>
    </row>
    <row r="158" spans="1:10" x14ac:dyDescent="0.3">
      <c r="A158" s="11">
        <v>157</v>
      </c>
      <c r="B158" s="12" t="s">
        <v>655</v>
      </c>
      <c r="C158" s="13">
        <v>46103</v>
      </c>
      <c r="D158" s="13">
        <v>46103</v>
      </c>
      <c r="E158" s="11" t="s">
        <v>25</v>
      </c>
      <c r="F158" s="14">
        <v>0</v>
      </c>
      <c r="G158" s="14">
        <v>0</v>
      </c>
      <c r="H158" s="14">
        <f t="shared" si="2"/>
        <v>0</v>
      </c>
      <c r="I158" s="6">
        <v>0.2</v>
      </c>
      <c r="J158" s="12"/>
    </row>
    <row r="159" spans="1:10" x14ac:dyDescent="0.3">
      <c r="A159" s="15">
        <v>158</v>
      </c>
      <c r="B159" s="16" t="s">
        <v>656</v>
      </c>
      <c r="C159" s="17">
        <v>46103</v>
      </c>
      <c r="D159" s="17">
        <v>46103</v>
      </c>
      <c r="E159" s="15" t="s">
        <v>25</v>
      </c>
      <c r="F159" s="18">
        <v>0</v>
      </c>
      <c r="G159" s="18">
        <v>0</v>
      </c>
      <c r="H159" s="18">
        <f t="shared" si="2"/>
        <v>0</v>
      </c>
      <c r="I159" s="10">
        <v>0.1</v>
      </c>
      <c r="J159" s="16"/>
    </row>
    <row r="160" spans="1:10" x14ac:dyDescent="0.3">
      <c r="A160" s="11">
        <v>159</v>
      </c>
      <c r="B160" s="12" t="s">
        <v>657</v>
      </c>
      <c r="C160" s="13">
        <v>46104</v>
      </c>
      <c r="D160" s="13">
        <v>46104</v>
      </c>
      <c r="E160" s="11" t="s">
        <v>25</v>
      </c>
      <c r="F160" s="14">
        <v>0</v>
      </c>
      <c r="G160" s="14">
        <v>0</v>
      </c>
      <c r="H160" s="14">
        <f t="shared" si="2"/>
        <v>0</v>
      </c>
      <c r="I160" s="6">
        <v>0.21</v>
      </c>
      <c r="J160" s="12"/>
    </row>
    <row r="161" spans="1:10" x14ac:dyDescent="0.3">
      <c r="A161" s="15">
        <v>160</v>
      </c>
      <c r="B161" s="16" t="s">
        <v>658</v>
      </c>
      <c r="C161" s="17">
        <v>46104</v>
      </c>
      <c r="D161" s="17">
        <v>46104</v>
      </c>
      <c r="E161" s="15" t="s">
        <v>25</v>
      </c>
      <c r="F161" s="18">
        <v>0</v>
      </c>
      <c r="G161" s="18">
        <v>0</v>
      </c>
      <c r="H161" s="18">
        <f t="shared" si="2"/>
        <v>0</v>
      </c>
      <c r="I161" s="10">
        <v>0.21</v>
      </c>
      <c r="J161" s="16"/>
    </row>
    <row r="162" spans="1:10" x14ac:dyDescent="0.3">
      <c r="A162" s="11">
        <v>161</v>
      </c>
      <c r="B162" s="12" t="s">
        <v>659</v>
      </c>
      <c r="C162" s="13">
        <v>46104</v>
      </c>
      <c r="D162" s="13">
        <v>46104</v>
      </c>
      <c r="E162" s="11" t="s">
        <v>25</v>
      </c>
      <c r="F162" s="14">
        <v>0</v>
      </c>
      <c r="G162" s="14">
        <v>0</v>
      </c>
      <c r="H162" s="14">
        <f t="shared" si="2"/>
        <v>0</v>
      </c>
      <c r="I162" s="6">
        <v>0.18</v>
      </c>
      <c r="J162" s="12"/>
    </row>
    <row r="163" spans="1:10" x14ac:dyDescent="0.3">
      <c r="A163" s="15">
        <v>162</v>
      </c>
      <c r="B163" s="16" t="s">
        <v>660</v>
      </c>
      <c r="C163" s="17">
        <v>46104</v>
      </c>
      <c r="D163" s="17">
        <v>46104</v>
      </c>
      <c r="E163" s="15" t="s">
        <v>25</v>
      </c>
      <c r="F163" s="18">
        <v>0</v>
      </c>
      <c r="G163" s="18">
        <v>0</v>
      </c>
      <c r="H163" s="18">
        <f t="shared" si="2"/>
        <v>0</v>
      </c>
      <c r="I163" s="10">
        <v>0.17</v>
      </c>
      <c r="J163" s="16"/>
    </row>
    <row r="164" spans="1:10" x14ac:dyDescent="0.3">
      <c r="A164" s="11">
        <v>163</v>
      </c>
      <c r="B164" s="12" t="s">
        <v>661</v>
      </c>
      <c r="C164" s="13">
        <v>46104</v>
      </c>
      <c r="D164" s="13">
        <v>46105</v>
      </c>
      <c r="E164" s="11" t="s">
        <v>25</v>
      </c>
      <c r="F164" s="14">
        <v>0</v>
      </c>
      <c r="G164" s="14">
        <v>0</v>
      </c>
      <c r="H164" s="14">
        <f t="shared" si="2"/>
        <v>0</v>
      </c>
      <c r="I164" s="6">
        <v>1.23</v>
      </c>
      <c r="J164" s="12"/>
    </row>
    <row r="165" spans="1:10" x14ac:dyDescent="0.3">
      <c r="A165" s="15">
        <v>164</v>
      </c>
      <c r="B165" s="16" t="s">
        <v>662</v>
      </c>
      <c r="C165" s="17">
        <v>46104</v>
      </c>
      <c r="D165" s="17">
        <v>46104</v>
      </c>
      <c r="E165" s="15" t="s">
        <v>25</v>
      </c>
      <c r="F165" s="18">
        <v>0</v>
      </c>
      <c r="G165" s="18">
        <v>0</v>
      </c>
      <c r="H165" s="18">
        <f t="shared" si="2"/>
        <v>0</v>
      </c>
      <c r="I165" s="10">
        <v>0.09</v>
      </c>
      <c r="J165" s="16"/>
    </row>
    <row r="166" spans="1:10" x14ac:dyDescent="0.3">
      <c r="A166" s="11">
        <v>165</v>
      </c>
      <c r="B166" s="12" t="s">
        <v>663</v>
      </c>
      <c r="C166" s="13">
        <v>46104</v>
      </c>
      <c r="D166" s="13">
        <v>46104</v>
      </c>
      <c r="E166" s="11" t="s">
        <v>25</v>
      </c>
      <c r="F166" s="14">
        <v>0</v>
      </c>
      <c r="G166" s="14">
        <v>0</v>
      </c>
      <c r="H166" s="14">
        <f t="shared" si="2"/>
        <v>0</v>
      </c>
      <c r="I166" s="6">
        <v>0.09</v>
      </c>
      <c r="J166" s="12"/>
    </row>
    <row r="167" spans="1:10" x14ac:dyDescent="0.3">
      <c r="A167" s="15">
        <v>166</v>
      </c>
      <c r="B167" s="16" t="s">
        <v>664</v>
      </c>
      <c r="C167" s="17">
        <v>46104</v>
      </c>
      <c r="D167" s="17">
        <v>46105</v>
      </c>
      <c r="E167" s="15" t="s">
        <v>25</v>
      </c>
      <c r="F167" s="18">
        <v>0</v>
      </c>
      <c r="G167" s="18">
        <v>0</v>
      </c>
      <c r="H167" s="18">
        <f t="shared" si="2"/>
        <v>0</v>
      </c>
      <c r="I167" s="10">
        <v>1.05</v>
      </c>
      <c r="J167" s="16"/>
    </row>
    <row r="168" spans="1:10" x14ac:dyDescent="0.3">
      <c r="A168" s="11">
        <v>167</v>
      </c>
      <c r="B168" s="12" t="s">
        <v>665</v>
      </c>
      <c r="C168" s="13">
        <v>46104</v>
      </c>
      <c r="D168" s="13">
        <v>46105</v>
      </c>
      <c r="E168" s="11" t="s">
        <v>25</v>
      </c>
      <c r="F168" s="14">
        <v>0</v>
      </c>
      <c r="G168" s="14">
        <v>0</v>
      </c>
      <c r="H168" s="14">
        <f t="shared" si="2"/>
        <v>0</v>
      </c>
      <c r="I168" s="6">
        <v>1.05</v>
      </c>
      <c r="J168" s="12"/>
    </row>
    <row r="169" spans="1:10" x14ac:dyDescent="0.3">
      <c r="A169" s="15">
        <v>168</v>
      </c>
      <c r="B169" s="16" t="s">
        <v>666</v>
      </c>
      <c r="C169" s="17">
        <v>46104</v>
      </c>
      <c r="D169" s="17">
        <v>46105</v>
      </c>
      <c r="E169" s="15" t="s">
        <v>25</v>
      </c>
      <c r="F169" s="18">
        <v>0</v>
      </c>
      <c r="G169" s="18">
        <v>0</v>
      </c>
      <c r="H169" s="18">
        <f t="shared" si="2"/>
        <v>0</v>
      </c>
      <c r="I169" s="10">
        <v>0.86</v>
      </c>
      <c r="J169" s="16"/>
    </row>
    <row r="170" spans="1:10" x14ac:dyDescent="0.3">
      <c r="A170" s="11">
        <v>169</v>
      </c>
      <c r="B170" s="12" t="s">
        <v>667</v>
      </c>
      <c r="C170" s="13">
        <v>46105</v>
      </c>
      <c r="D170" s="13">
        <v>46105</v>
      </c>
      <c r="E170" s="11" t="s">
        <v>25</v>
      </c>
      <c r="F170" s="14">
        <v>0</v>
      </c>
      <c r="G170" s="14">
        <v>0</v>
      </c>
      <c r="H170" s="14">
        <f t="shared" si="2"/>
        <v>0</v>
      </c>
      <c r="I170" s="6">
        <v>0.27</v>
      </c>
      <c r="J170" s="12"/>
    </row>
    <row r="171" spans="1:10" x14ac:dyDescent="0.3">
      <c r="A171" s="15">
        <v>170</v>
      </c>
      <c r="B171" s="16" t="s">
        <v>668</v>
      </c>
      <c r="C171" s="17">
        <v>46105</v>
      </c>
      <c r="D171" s="17">
        <v>46105</v>
      </c>
      <c r="E171" s="15" t="s">
        <v>25</v>
      </c>
      <c r="F171" s="18">
        <v>0</v>
      </c>
      <c r="G171" s="18">
        <v>0</v>
      </c>
      <c r="H171" s="18">
        <f t="shared" si="2"/>
        <v>0</v>
      </c>
      <c r="I171" s="10">
        <v>0.16</v>
      </c>
      <c r="J171" s="16"/>
    </row>
    <row r="172" spans="1:10" x14ac:dyDescent="0.3">
      <c r="A172" s="11">
        <v>171</v>
      </c>
      <c r="B172" s="12" t="s">
        <v>669</v>
      </c>
      <c r="C172" s="13">
        <v>46105</v>
      </c>
      <c r="D172" s="13">
        <v>46105</v>
      </c>
      <c r="E172" s="11" t="s">
        <v>25</v>
      </c>
      <c r="F172" s="14">
        <v>0</v>
      </c>
      <c r="G172" s="14">
        <v>0</v>
      </c>
      <c r="H172" s="14">
        <f t="shared" si="2"/>
        <v>0</v>
      </c>
      <c r="I172" s="6">
        <v>0.15</v>
      </c>
      <c r="J172" s="12"/>
    </row>
    <row r="173" spans="1:10" x14ac:dyDescent="0.3">
      <c r="A173" s="15">
        <v>172</v>
      </c>
      <c r="B173" s="16" t="s">
        <v>670</v>
      </c>
      <c r="C173" s="17">
        <v>46105</v>
      </c>
      <c r="D173" s="17">
        <v>46105</v>
      </c>
      <c r="E173" s="15" t="s">
        <v>25</v>
      </c>
      <c r="F173" s="18">
        <v>0</v>
      </c>
      <c r="G173" s="18">
        <v>0</v>
      </c>
      <c r="H173" s="18">
        <f t="shared" si="2"/>
        <v>0</v>
      </c>
      <c r="I173" s="10">
        <v>0.14000000000000001</v>
      </c>
      <c r="J173" s="16"/>
    </row>
    <row r="174" spans="1:10" x14ac:dyDescent="0.3">
      <c r="A174" s="11">
        <v>173</v>
      </c>
      <c r="B174" s="12" t="s">
        <v>671</v>
      </c>
      <c r="C174" s="13">
        <v>46105</v>
      </c>
      <c r="D174" s="13">
        <v>46105</v>
      </c>
      <c r="E174" s="11" t="s">
        <v>25</v>
      </c>
      <c r="F174" s="14">
        <v>0</v>
      </c>
      <c r="G174" s="14">
        <v>0</v>
      </c>
      <c r="H174" s="14">
        <f t="shared" si="2"/>
        <v>0</v>
      </c>
      <c r="I174" s="6">
        <v>0.14000000000000001</v>
      </c>
      <c r="J174" s="12"/>
    </row>
    <row r="175" spans="1:10" x14ac:dyDescent="0.3">
      <c r="A175" s="15">
        <v>174</v>
      </c>
      <c r="B175" s="16" t="s">
        <v>672</v>
      </c>
      <c r="C175" s="17">
        <v>46105</v>
      </c>
      <c r="D175" s="17">
        <v>46105</v>
      </c>
      <c r="E175" s="15" t="s">
        <v>25</v>
      </c>
      <c r="F175" s="18">
        <v>0</v>
      </c>
      <c r="G175" s="18">
        <v>0</v>
      </c>
      <c r="H175" s="18">
        <f t="shared" si="2"/>
        <v>0</v>
      </c>
      <c r="I175" s="10">
        <v>0.06</v>
      </c>
      <c r="J175" s="16"/>
    </row>
    <row r="176" spans="1:10" x14ac:dyDescent="0.3">
      <c r="A176" s="11">
        <v>175</v>
      </c>
      <c r="B176" s="12" t="s">
        <v>673</v>
      </c>
      <c r="C176" s="13">
        <v>46105</v>
      </c>
      <c r="D176" s="13">
        <v>46105</v>
      </c>
      <c r="E176" s="11" t="s">
        <v>25</v>
      </c>
      <c r="F176" s="14">
        <v>0</v>
      </c>
      <c r="G176" s="14">
        <v>0</v>
      </c>
      <c r="H176" s="14">
        <f t="shared" si="2"/>
        <v>0</v>
      </c>
      <c r="I176" s="6">
        <v>0.04</v>
      </c>
      <c r="J176" s="12"/>
    </row>
    <row r="177" spans="1:10" x14ac:dyDescent="0.3">
      <c r="A177" s="15">
        <v>176</v>
      </c>
      <c r="B177" s="16" t="s">
        <v>674</v>
      </c>
      <c r="C177" s="17">
        <v>46106</v>
      </c>
      <c r="D177" s="17">
        <v>46111</v>
      </c>
      <c r="E177" s="15" t="s">
        <v>25</v>
      </c>
      <c r="F177" s="18">
        <v>0</v>
      </c>
      <c r="G177" s="18">
        <v>0</v>
      </c>
      <c r="H177" s="18">
        <f t="shared" si="2"/>
        <v>0</v>
      </c>
      <c r="I177" s="10">
        <v>5.15</v>
      </c>
      <c r="J177" s="16"/>
    </row>
    <row r="178" spans="1:10" x14ac:dyDescent="0.3">
      <c r="A178" s="11">
        <v>177</v>
      </c>
      <c r="B178" s="12" t="s">
        <v>675</v>
      </c>
      <c r="C178" s="13">
        <v>46107</v>
      </c>
      <c r="D178" s="13">
        <v>46111</v>
      </c>
      <c r="E178" s="11" t="s">
        <v>25</v>
      </c>
      <c r="F178" s="14">
        <v>0</v>
      </c>
      <c r="G178" s="14">
        <v>0</v>
      </c>
      <c r="H178" s="14">
        <f t="shared" si="2"/>
        <v>0</v>
      </c>
      <c r="I178" s="6">
        <v>4.1100000000000003</v>
      </c>
      <c r="J178" s="12"/>
    </row>
    <row r="179" spans="1:10" x14ac:dyDescent="0.3">
      <c r="A179" s="15">
        <v>178</v>
      </c>
      <c r="B179" s="16" t="s">
        <v>676</v>
      </c>
      <c r="C179" s="17">
        <v>46107</v>
      </c>
      <c r="D179" s="17">
        <v>46111</v>
      </c>
      <c r="E179" s="15" t="s">
        <v>25</v>
      </c>
      <c r="F179" s="18">
        <v>0</v>
      </c>
      <c r="G179" s="18">
        <v>0</v>
      </c>
      <c r="H179" s="18">
        <f t="shared" si="2"/>
        <v>0</v>
      </c>
      <c r="I179" s="10">
        <v>3.89</v>
      </c>
      <c r="J179" s="16"/>
    </row>
    <row r="180" spans="1:10" x14ac:dyDescent="0.3">
      <c r="A180" s="11">
        <v>179</v>
      </c>
      <c r="B180" s="12" t="s">
        <v>677</v>
      </c>
      <c r="C180" s="13">
        <v>46107</v>
      </c>
      <c r="D180" s="13">
        <v>46108</v>
      </c>
      <c r="E180" s="11" t="s">
        <v>25</v>
      </c>
      <c r="F180" s="14">
        <v>0</v>
      </c>
      <c r="G180" s="14">
        <v>0</v>
      </c>
      <c r="H180" s="14">
        <f t="shared" si="2"/>
        <v>0</v>
      </c>
      <c r="I180" s="6">
        <v>0.89</v>
      </c>
      <c r="J180" s="12"/>
    </row>
    <row r="181" spans="1:10" x14ac:dyDescent="0.3">
      <c r="A181" s="15">
        <v>180</v>
      </c>
      <c r="B181" s="16" t="s">
        <v>678</v>
      </c>
      <c r="C181" s="17">
        <v>46107</v>
      </c>
      <c r="D181" s="17">
        <v>46108</v>
      </c>
      <c r="E181" s="15" t="s">
        <v>25</v>
      </c>
      <c r="F181" s="18">
        <v>0</v>
      </c>
      <c r="G181" s="18">
        <v>0</v>
      </c>
      <c r="H181" s="18">
        <f t="shared" si="2"/>
        <v>0</v>
      </c>
      <c r="I181" s="10">
        <v>0.75</v>
      </c>
      <c r="J181" s="16"/>
    </row>
    <row r="182" spans="1:10" x14ac:dyDescent="0.3">
      <c r="A182" s="11">
        <v>181</v>
      </c>
      <c r="B182" s="12" t="s">
        <v>679</v>
      </c>
      <c r="C182" s="13">
        <v>46107</v>
      </c>
      <c r="D182" s="13">
        <v>46108</v>
      </c>
      <c r="E182" s="11" t="s">
        <v>25</v>
      </c>
      <c r="F182" s="14">
        <v>0</v>
      </c>
      <c r="G182" s="14">
        <v>0</v>
      </c>
      <c r="H182" s="14">
        <f t="shared" si="2"/>
        <v>0</v>
      </c>
      <c r="I182" s="6">
        <v>0.62</v>
      </c>
      <c r="J182" s="12"/>
    </row>
    <row r="183" spans="1:10" x14ac:dyDescent="0.3">
      <c r="A183" s="15">
        <v>182</v>
      </c>
      <c r="B183" s="16" t="s">
        <v>680</v>
      </c>
      <c r="C183" s="17">
        <v>46108</v>
      </c>
      <c r="D183" s="17">
        <v>46108</v>
      </c>
      <c r="E183" s="15" t="s">
        <v>25</v>
      </c>
      <c r="F183" s="18">
        <v>0</v>
      </c>
      <c r="G183" s="18">
        <v>0</v>
      </c>
      <c r="H183" s="18">
        <f t="shared" si="2"/>
        <v>0</v>
      </c>
      <c r="I183" s="10">
        <v>0.43</v>
      </c>
      <c r="J183" s="16"/>
    </row>
    <row r="184" spans="1:10" x14ac:dyDescent="0.3">
      <c r="A184" s="11">
        <v>183</v>
      </c>
      <c r="B184" s="12" t="s">
        <v>681</v>
      </c>
      <c r="C184" s="13">
        <v>46108</v>
      </c>
      <c r="D184" s="13">
        <v>46108</v>
      </c>
      <c r="E184" s="11" t="s">
        <v>25</v>
      </c>
      <c r="F184" s="14">
        <v>0</v>
      </c>
      <c r="G184" s="14">
        <v>0</v>
      </c>
      <c r="H184" s="14">
        <f t="shared" si="2"/>
        <v>0</v>
      </c>
      <c r="I184" s="6">
        <v>0.27</v>
      </c>
      <c r="J184" s="12"/>
    </row>
    <row r="185" spans="1:10" x14ac:dyDescent="0.3">
      <c r="A185" s="15">
        <v>184</v>
      </c>
      <c r="B185" s="16" t="s">
        <v>682</v>
      </c>
      <c r="C185" s="17">
        <v>46108</v>
      </c>
      <c r="D185" s="17">
        <v>46108</v>
      </c>
      <c r="E185" s="15" t="s">
        <v>25</v>
      </c>
      <c r="F185" s="18">
        <v>0</v>
      </c>
      <c r="G185" s="18">
        <v>0</v>
      </c>
      <c r="H185" s="18">
        <f t="shared" si="2"/>
        <v>0</v>
      </c>
      <c r="I185" s="10">
        <v>0.16</v>
      </c>
      <c r="J185" s="16"/>
    </row>
    <row r="186" spans="1:10" x14ac:dyDescent="0.3">
      <c r="A186" s="11">
        <v>185</v>
      </c>
      <c r="B186" s="12" t="s">
        <v>683</v>
      </c>
      <c r="C186" s="13">
        <v>46108</v>
      </c>
      <c r="D186" s="13">
        <v>46108</v>
      </c>
      <c r="E186" s="11" t="s">
        <v>25</v>
      </c>
      <c r="F186" s="14">
        <v>0</v>
      </c>
      <c r="G186" s="14">
        <v>0</v>
      </c>
      <c r="H186" s="14">
        <f t="shared" si="2"/>
        <v>0</v>
      </c>
      <c r="I186" s="6">
        <v>0.13</v>
      </c>
      <c r="J186" s="12"/>
    </row>
    <row r="187" spans="1:10" x14ac:dyDescent="0.3">
      <c r="A187" s="15">
        <v>186</v>
      </c>
      <c r="B187" s="16" t="s">
        <v>684</v>
      </c>
      <c r="C187" s="17">
        <v>46109</v>
      </c>
      <c r="D187" s="17">
        <v>46109</v>
      </c>
      <c r="E187" s="15" t="s">
        <v>25</v>
      </c>
      <c r="F187" s="18">
        <v>0</v>
      </c>
      <c r="G187" s="18">
        <v>0</v>
      </c>
      <c r="H187" s="18">
        <f t="shared" si="2"/>
        <v>0</v>
      </c>
      <c r="I187" s="10">
        <v>0.16</v>
      </c>
      <c r="J187" s="16"/>
    </row>
    <row r="188" spans="1:10" x14ac:dyDescent="0.3">
      <c r="A188" s="11">
        <v>187</v>
      </c>
      <c r="B188" s="12" t="s">
        <v>685</v>
      </c>
      <c r="C188" s="13">
        <v>46109</v>
      </c>
      <c r="D188" s="13">
        <v>46109</v>
      </c>
      <c r="E188" s="11" t="s">
        <v>25</v>
      </c>
      <c r="F188" s="14">
        <v>0</v>
      </c>
      <c r="G188" s="14">
        <v>0</v>
      </c>
      <c r="H188" s="14">
        <f t="shared" si="2"/>
        <v>0</v>
      </c>
      <c r="I188" s="6">
        <v>0.14000000000000001</v>
      </c>
      <c r="J188" s="12"/>
    </row>
    <row r="189" spans="1:10" x14ac:dyDescent="0.3">
      <c r="A189" s="15">
        <v>188</v>
      </c>
      <c r="B189" s="16" t="s">
        <v>686</v>
      </c>
      <c r="C189" s="17">
        <v>46109</v>
      </c>
      <c r="D189" s="17">
        <v>46109</v>
      </c>
      <c r="E189" s="15" t="s">
        <v>25</v>
      </c>
      <c r="F189" s="18">
        <v>0</v>
      </c>
      <c r="G189" s="18">
        <v>0</v>
      </c>
      <c r="H189" s="18">
        <f t="shared" si="2"/>
        <v>0</v>
      </c>
      <c r="I189" s="10">
        <v>7.0000000000000007E-2</v>
      </c>
      <c r="J189" s="16"/>
    </row>
    <row r="190" spans="1:10" x14ac:dyDescent="0.3">
      <c r="A190" s="11">
        <v>189</v>
      </c>
      <c r="B190" s="12" t="s">
        <v>687</v>
      </c>
      <c r="C190" s="13">
        <v>46109</v>
      </c>
      <c r="D190" s="13">
        <v>46109</v>
      </c>
      <c r="E190" s="11" t="s">
        <v>25</v>
      </c>
      <c r="F190" s="14">
        <v>0</v>
      </c>
      <c r="G190" s="14">
        <v>0</v>
      </c>
      <c r="H190" s="14">
        <f t="shared" si="2"/>
        <v>0</v>
      </c>
      <c r="I190" s="6">
        <v>0.01</v>
      </c>
      <c r="J190" s="12"/>
    </row>
    <row r="191" spans="1:10" x14ac:dyDescent="0.3">
      <c r="A191" s="15">
        <v>190</v>
      </c>
      <c r="B191" s="16" t="s">
        <v>688</v>
      </c>
      <c r="C191" s="17">
        <v>46109</v>
      </c>
      <c r="D191" s="17">
        <v>46110</v>
      </c>
      <c r="E191" s="15" t="s">
        <v>25</v>
      </c>
      <c r="F191" s="18">
        <v>0</v>
      </c>
      <c r="G191" s="18">
        <v>0</v>
      </c>
      <c r="H191" s="18">
        <f t="shared" si="2"/>
        <v>0</v>
      </c>
      <c r="I191" s="10">
        <v>0.94</v>
      </c>
      <c r="J191" s="16"/>
    </row>
    <row r="192" spans="1:10" x14ac:dyDescent="0.3">
      <c r="A192" s="11">
        <v>191</v>
      </c>
      <c r="B192" s="12" t="s">
        <v>689</v>
      </c>
      <c r="C192" s="13">
        <v>46110</v>
      </c>
      <c r="D192" s="13">
        <v>46111</v>
      </c>
      <c r="E192" s="11" t="s">
        <v>25</v>
      </c>
      <c r="F192" s="14">
        <v>0</v>
      </c>
      <c r="G192" s="14">
        <v>0</v>
      </c>
      <c r="H192" s="14">
        <f t="shared" si="2"/>
        <v>0</v>
      </c>
      <c r="I192" s="6">
        <v>0.96</v>
      </c>
      <c r="J192" s="12"/>
    </row>
    <row r="193" spans="1:10" x14ac:dyDescent="0.3">
      <c r="A193" s="15">
        <v>192</v>
      </c>
      <c r="B193" s="16" t="s">
        <v>690</v>
      </c>
      <c r="C193" s="17">
        <v>46110</v>
      </c>
      <c r="D193" s="17">
        <v>46110</v>
      </c>
      <c r="E193" s="15" t="s">
        <v>25</v>
      </c>
      <c r="F193" s="18">
        <v>0</v>
      </c>
      <c r="G193" s="18">
        <v>0</v>
      </c>
      <c r="H193" s="18">
        <f t="shared" si="2"/>
        <v>0</v>
      </c>
      <c r="I193" s="10">
        <v>0.25</v>
      </c>
      <c r="J193" s="16"/>
    </row>
    <row r="194" spans="1:10" x14ac:dyDescent="0.3">
      <c r="A194" s="11">
        <v>193</v>
      </c>
      <c r="B194" s="12" t="s">
        <v>691</v>
      </c>
      <c r="C194" s="13">
        <v>46110</v>
      </c>
      <c r="D194" s="13">
        <v>46110</v>
      </c>
      <c r="E194" s="11" t="s">
        <v>25</v>
      </c>
      <c r="F194" s="14">
        <v>0</v>
      </c>
      <c r="G194" s="14">
        <v>0</v>
      </c>
      <c r="H194" s="14">
        <f t="shared" ref="H194:H257" si="3">F194+G194</f>
        <v>0</v>
      </c>
      <c r="I194" s="6">
        <v>0.22</v>
      </c>
      <c r="J194" s="12"/>
    </row>
    <row r="195" spans="1:10" x14ac:dyDescent="0.3">
      <c r="A195" s="15">
        <v>194</v>
      </c>
      <c r="B195" s="16" t="s">
        <v>692</v>
      </c>
      <c r="C195" s="17">
        <v>46110</v>
      </c>
      <c r="D195" s="17">
        <v>46110</v>
      </c>
      <c r="E195" s="15" t="s">
        <v>25</v>
      </c>
      <c r="F195" s="18">
        <v>0</v>
      </c>
      <c r="G195" s="18">
        <v>0</v>
      </c>
      <c r="H195" s="18">
        <f t="shared" si="3"/>
        <v>0</v>
      </c>
      <c r="I195" s="10">
        <v>0.21</v>
      </c>
      <c r="J195" s="16"/>
    </row>
    <row r="196" spans="1:10" x14ac:dyDescent="0.3">
      <c r="A196" s="11">
        <v>195</v>
      </c>
      <c r="B196" s="12" t="s">
        <v>693</v>
      </c>
      <c r="C196" s="13">
        <v>46110</v>
      </c>
      <c r="D196" s="13">
        <v>46110</v>
      </c>
      <c r="E196" s="11" t="s">
        <v>25</v>
      </c>
      <c r="F196" s="14">
        <v>0</v>
      </c>
      <c r="G196" s="14">
        <v>0</v>
      </c>
      <c r="H196" s="14">
        <f t="shared" si="3"/>
        <v>0</v>
      </c>
      <c r="I196" s="6">
        <v>0.18</v>
      </c>
      <c r="J196" s="12"/>
    </row>
    <row r="197" spans="1:10" x14ac:dyDescent="0.3">
      <c r="A197" s="15">
        <v>196</v>
      </c>
      <c r="B197" s="16" t="s">
        <v>694</v>
      </c>
      <c r="C197" s="17">
        <v>46110</v>
      </c>
      <c r="D197" s="17">
        <v>46110</v>
      </c>
      <c r="E197" s="15" t="s">
        <v>25</v>
      </c>
      <c r="F197" s="18">
        <v>0</v>
      </c>
      <c r="G197" s="18">
        <v>0</v>
      </c>
      <c r="H197" s="18">
        <f t="shared" si="3"/>
        <v>0</v>
      </c>
      <c r="I197" s="10">
        <v>0.16</v>
      </c>
      <c r="J197" s="16"/>
    </row>
    <row r="198" spans="1:10" x14ac:dyDescent="0.3">
      <c r="A198" s="11">
        <v>197</v>
      </c>
      <c r="B198" s="12" t="s">
        <v>695</v>
      </c>
      <c r="C198" s="13">
        <v>46110</v>
      </c>
      <c r="D198" s="13">
        <v>46110</v>
      </c>
      <c r="E198" s="11" t="s">
        <v>25</v>
      </c>
      <c r="F198" s="14">
        <v>0</v>
      </c>
      <c r="G198" s="14">
        <v>0</v>
      </c>
      <c r="H198" s="14">
        <f t="shared" si="3"/>
        <v>0</v>
      </c>
      <c r="I198" s="6">
        <v>0.11</v>
      </c>
      <c r="J198" s="12"/>
    </row>
    <row r="199" spans="1:10" x14ac:dyDescent="0.3">
      <c r="A199" s="15">
        <v>198</v>
      </c>
      <c r="B199" s="16" t="s">
        <v>696</v>
      </c>
      <c r="C199" s="17">
        <v>46110</v>
      </c>
      <c r="D199" s="17">
        <v>46110</v>
      </c>
      <c r="E199" s="15" t="s">
        <v>25</v>
      </c>
      <c r="F199" s="18">
        <v>0</v>
      </c>
      <c r="G199" s="18">
        <v>0</v>
      </c>
      <c r="H199" s="18">
        <f t="shared" si="3"/>
        <v>0</v>
      </c>
      <c r="I199" s="10">
        <v>0.14000000000000001</v>
      </c>
      <c r="J199" s="16"/>
    </row>
    <row r="200" spans="1:10" x14ac:dyDescent="0.3">
      <c r="A200" s="11">
        <v>199</v>
      </c>
      <c r="B200" s="12" t="s">
        <v>697</v>
      </c>
      <c r="C200" s="13">
        <v>46110</v>
      </c>
      <c r="D200" s="13">
        <v>46110</v>
      </c>
      <c r="E200" s="11" t="s">
        <v>25</v>
      </c>
      <c r="F200" s="14">
        <v>0</v>
      </c>
      <c r="G200" s="14">
        <v>0</v>
      </c>
      <c r="H200" s="14">
        <f t="shared" si="3"/>
        <v>0</v>
      </c>
      <c r="I200" s="6">
        <v>0.05</v>
      </c>
      <c r="J200" s="12"/>
    </row>
    <row r="201" spans="1:10" x14ac:dyDescent="0.3">
      <c r="A201" s="15">
        <v>200</v>
      </c>
      <c r="B201" s="16" t="s">
        <v>698</v>
      </c>
      <c r="C201" s="17">
        <v>46111</v>
      </c>
      <c r="D201" s="17">
        <v>46112</v>
      </c>
      <c r="E201" s="15" t="s">
        <v>25</v>
      </c>
      <c r="F201" s="18">
        <v>0</v>
      </c>
      <c r="G201" s="18">
        <v>0</v>
      </c>
      <c r="H201" s="18">
        <f t="shared" si="3"/>
        <v>0</v>
      </c>
      <c r="I201" s="10">
        <v>1.41</v>
      </c>
      <c r="J201" s="16"/>
    </row>
    <row r="202" spans="1:10" x14ac:dyDescent="0.3">
      <c r="A202" s="11">
        <v>201</v>
      </c>
      <c r="B202" s="12" t="s">
        <v>699</v>
      </c>
      <c r="C202" s="13">
        <v>46111</v>
      </c>
      <c r="D202" s="13">
        <v>46112</v>
      </c>
      <c r="E202" s="11" t="s">
        <v>25</v>
      </c>
      <c r="F202" s="14">
        <v>0</v>
      </c>
      <c r="G202" s="14">
        <v>0</v>
      </c>
      <c r="H202" s="14">
        <f t="shared" si="3"/>
        <v>0</v>
      </c>
      <c r="I202" s="6">
        <v>1.36</v>
      </c>
      <c r="J202" s="12"/>
    </row>
    <row r="203" spans="1:10" x14ac:dyDescent="0.3">
      <c r="A203" s="15">
        <v>202</v>
      </c>
      <c r="B203" s="16" t="s">
        <v>700</v>
      </c>
      <c r="C203" s="17">
        <v>46111</v>
      </c>
      <c r="D203" s="17">
        <v>46112</v>
      </c>
      <c r="E203" s="15" t="s">
        <v>25</v>
      </c>
      <c r="F203" s="18">
        <v>0</v>
      </c>
      <c r="G203" s="18">
        <v>0</v>
      </c>
      <c r="H203" s="18">
        <f t="shared" si="3"/>
        <v>0</v>
      </c>
      <c r="I203" s="10">
        <v>1.35</v>
      </c>
      <c r="J203" s="16"/>
    </row>
    <row r="204" spans="1:10" x14ac:dyDescent="0.3">
      <c r="A204" s="11">
        <v>203</v>
      </c>
      <c r="B204" s="12" t="s">
        <v>701</v>
      </c>
      <c r="C204" s="13">
        <v>46111</v>
      </c>
      <c r="D204" s="13">
        <v>46112</v>
      </c>
      <c r="E204" s="11" t="s">
        <v>25</v>
      </c>
      <c r="F204" s="14">
        <v>0</v>
      </c>
      <c r="G204" s="14">
        <v>0</v>
      </c>
      <c r="H204" s="14">
        <f t="shared" si="3"/>
        <v>0</v>
      </c>
      <c r="I204" s="6">
        <v>1.34</v>
      </c>
      <c r="J204" s="12"/>
    </row>
    <row r="205" spans="1:10" x14ac:dyDescent="0.3">
      <c r="A205" s="15">
        <v>204</v>
      </c>
      <c r="B205" s="16" t="s">
        <v>702</v>
      </c>
      <c r="C205" s="17">
        <v>46111</v>
      </c>
      <c r="D205" s="17">
        <v>46112</v>
      </c>
      <c r="E205" s="15" t="s">
        <v>25</v>
      </c>
      <c r="F205" s="18">
        <v>0</v>
      </c>
      <c r="G205" s="18">
        <v>0</v>
      </c>
      <c r="H205" s="18">
        <f t="shared" si="3"/>
        <v>0</v>
      </c>
      <c r="I205" s="10">
        <v>1.33</v>
      </c>
      <c r="J205" s="16"/>
    </row>
    <row r="206" spans="1:10" x14ac:dyDescent="0.3">
      <c r="A206" s="11">
        <v>205</v>
      </c>
      <c r="B206" s="12" t="s">
        <v>703</v>
      </c>
      <c r="C206" s="13">
        <v>46111</v>
      </c>
      <c r="D206" s="13">
        <v>46112</v>
      </c>
      <c r="E206" s="11" t="s">
        <v>25</v>
      </c>
      <c r="F206" s="14">
        <v>0</v>
      </c>
      <c r="G206" s="14">
        <v>0</v>
      </c>
      <c r="H206" s="14">
        <f t="shared" si="3"/>
        <v>0</v>
      </c>
      <c r="I206" s="6">
        <v>1.31</v>
      </c>
      <c r="J206" s="12"/>
    </row>
    <row r="207" spans="1:10" x14ac:dyDescent="0.3">
      <c r="A207" s="15">
        <v>206</v>
      </c>
      <c r="B207" s="16" t="s">
        <v>704</v>
      </c>
      <c r="C207" s="17">
        <v>46111</v>
      </c>
      <c r="D207" s="17">
        <v>46112</v>
      </c>
      <c r="E207" s="15" t="s">
        <v>25</v>
      </c>
      <c r="F207" s="18">
        <v>0</v>
      </c>
      <c r="G207" s="18">
        <v>0</v>
      </c>
      <c r="H207" s="18">
        <f t="shared" si="3"/>
        <v>0</v>
      </c>
      <c r="I207" s="10">
        <v>1</v>
      </c>
      <c r="J207" s="16"/>
    </row>
    <row r="208" spans="1:10" x14ac:dyDescent="0.3">
      <c r="A208" s="11">
        <v>207</v>
      </c>
      <c r="B208" s="12" t="s">
        <v>705</v>
      </c>
      <c r="C208" s="13">
        <v>46111</v>
      </c>
      <c r="D208" s="13">
        <v>46112</v>
      </c>
      <c r="E208" s="11" t="s">
        <v>25</v>
      </c>
      <c r="F208" s="14">
        <v>0</v>
      </c>
      <c r="G208" s="14">
        <v>0</v>
      </c>
      <c r="H208" s="14">
        <f t="shared" si="3"/>
        <v>0</v>
      </c>
      <c r="I208" s="6">
        <v>0.78</v>
      </c>
      <c r="J208" s="12"/>
    </row>
    <row r="209" spans="1:10" x14ac:dyDescent="0.3">
      <c r="A209" s="15">
        <v>208</v>
      </c>
      <c r="B209" s="16" t="s">
        <v>706</v>
      </c>
      <c r="C209" s="17">
        <v>46112</v>
      </c>
      <c r="D209" s="17">
        <v>46112</v>
      </c>
      <c r="E209" s="15" t="s">
        <v>25</v>
      </c>
      <c r="F209" s="18">
        <v>0</v>
      </c>
      <c r="G209" s="18">
        <v>0</v>
      </c>
      <c r="H209" s="18">
        <f t="shared" si="3"/>
        <v>0</v>
      </c>
      <c r="I209" s="10">
        <v>0.18</v>
      </c>
      <c r="J209" s="16"/>
    </row>
    <row r="210" spans="1:10" x14ac:dyDescent="0.3">
      <c r="A210" s="11">
        <v>209</v>
      </c>
      <c r="B210" s="12" t="s">
        <v>707</v>
      </c>
      <c r="C210" s="13">
        <v>46112</v>
      </c>
      <c r="D210" s="13">
        <v>46112</v>
      </c>
      <c r="E210" s="11" t="s">
        <v>25</v>
      </c>
      <c r="F210" s="14">
        <v>0</v>
      </c>
      <c r="G210" s="14">
        <v>0</v>
      </c>
      <c r="H210" s="14">
        <f t="shared" si="3"/>
        <v>0</v>
      </c>
      <c r="I210" s="6">
        <v>0.03</v>
      </c>
      <c r="J210" s="12"/>
    </row>
    <row r="211" spans="1:10" x14ac:dyDescent="0.3">
      <c r="A211" s="19" t="s">
        <v>265</v>
      </c>
      <c r="B211" s="20"/>
      <c r="C211" s="20"/>
      <c r="D211" s="20"/>
      <c r="E211" s="20"/>
      <c r="F211" s="21">
        <f>SUM(F2:F210)</f>
        <v>0</v>
      </c>
      <c r="G211" s="21">
        <f>SUM(G2:G210)</f>
        <v>0</v>
      </c>
      <c r="H211" s="21">
        <f>SUM(H2:H210)</f>
        <v>0</v>
      </c>
      <c r="I211" s="22">
        <f>SUM(I2:I210)</f>
        <v>483.06999999999988</v>
      </c>
      <c r="J211" s="20"/>
    </row>
    <row r="212" spans="1:10" x14ac:dyDescent="0.3">
      <c r="A212" s="19" t="s">
        <v>266</v>
      </c>
      <c r="B212" s="23">
        <f>COUNTA(B2:B210)</f>
        <v>209</v>
      </c>
      <c r="C212" s="19" t="s">
        <v>267</v>
      </c>
      <c r="D212" s="24">
        <f>SUM(I2:I210)</f>
        <v>483.06999999999988</v>
      </c>
      <c r="E212" s="19" t="s">
        <v>268</v>
      </c>
      <c r="F212" s="22">
        <f>AVERAGE(I2:I210)</f>
        <v>2.3113397129186599</v>
      </c>
      <c r="G212" s="20"/>
      <c r="H212" s="20"/>
      <c r="I212" s="20"/>
      <c r="J212" s="20"/>
    </row>
  </sheetData>
  <phoneticPr fontId="7"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24"/>
  <sheetViews>
    <sheetView workbookViewId="0">
      <pane ySplit="1" topLeftCell="A2" activePane="bottomLeft" state="frozen"/>
      <selection pane="bottomLeft"/>
    </sheetView>
  </sheetViews>
  <sheetFormatPr defaultRowHeight="15" x14ac:dyDescent="0.3"/>
  <cols>
    <col min="1" max="1" width="6" customWidth="1"/>
    <col min="2" max="2" width="20" customWidth="1"/>
    <col min="3" max="4" width="13" customWidth="1"/>
    <col min="5" max="5" width="10" customWidth="1"/>
    <col min="6" max="9" width="11" customWidth="1"/>
    <col min="10" max="10" width="16" customWidth="1"/>
  </cols>
  <sheetData>
    <row r="1" spans="1:10" ht="19.95" customHeight="1" x14ac:dyDescent="0.3">
      <c r="A1" s="1" t="s">
        <v>14</v>
      </c>
      <c r="B1" s="1" t="s">
        <v>15</v>
      </c>
      <c r="C1" s="1" t="s">
        <v>16</v>
      </c>
      <c r="D1" s="1" t="s">
        <v>17</v>
      </c>
      <c r="E1" s="1" t="s">
        <v>18</v>
      </c>
      <c r="F1" s="1" t="s">
        <v>19</v>
      </c>
      <c r="G1" s="1" t="s">
        <v>20</v>
      </c>
      <c r="H1" s="1" t="s">
        <v>21</v>
      </c>
      <c r="I1" s="1" t="s">
        <v>22</v>
      </c>
      <c r="J1" s="1" t="s">
        <v>23</v>
      </c>
    </row>
    <row r="2" spans="1:10" x14ac:dyDescent="0.3">
      <c r="A2" s="11">
        <v>1</v>
      </c>
      <c r="B2" s="12" t="s">
        <v>708</v>
      </c>
      <c r="C2" s="13">
        <v>46090</v>
      </c>
      <c r="D2" s="13">
        <v>46125</v>
      </c>
      <c r="E2" s="11" t="s">
        <v>25</v>
      </c>
      <c r="F2" s="14">
        <v>0</v>
      </c>
      <c r="G2" s="14">
        <v>0</v>
      </c>
      <c r="H2" s="14">
        <f t="shared" ref="H2:H33" si="0">F2+G2</f>
        <v>0</v>
      </c>
      <c r="I2" s="6">
        <v>35.18</v>
      </c>
      <c r="J2" s="12"/>
    </row>
    <row r="3" spans="1:10" x14ac:dyDescent="0.3">
      <c r="A3" s="15">
        <v>2</v>
      </c>
      <c r="B3" s="16" t="s">
        <v>709</v>
      </c>
      <c r="C3" s="17">
        <v>46103</v>
      </c>
      <c r="D3" s="17">
        <v>46122</v>
      </c>
      <c r="E3" s="15" t="s">
        <v>25</v>
      </c>
      <c r="F3" s="18">
        <v>0</v>
      </c>
      <c r="G3" s="18">
        <v>0</v>
      </c>
      <c r="H3" s="18">
        <f t="shared" si="0"/>
        <v>0</v>
      </c>
      <c r="I3" s="10">
        <v>19.04</v>
      </c>
      <c r="J3" s="16"/>
    </row>
    <row r="4" spans="1:10" x14ac:dyDescent="0.3">
      <c r="A4" s="11">
        <v>3</v>
      </c>
      <c r="B4" s="12" t="s">
        <v>710</v>
      </c>
      <c r="C4" s="13">
        <v>46106</v>
      </c>
      <c r="D4" s="13">
        <v>46122</v>
      </c>
      <c r="E4" s="11" t="s">
        <v>25</v>
      </c>
      <c r="F4" s="14">
        <v>0</v>
      </c>
      <c r="G4" s="14">
        <v>0</v>
      </c>
      <c r="H4" s="14">
        <f t="shared" si="0"/>
        <v>0</v>
      </c>
      <c r="I4" s="6">
        <v>15.62</v>
      </c>
      <c r="J4" s="12"/>
    </row>
    <row r="5" spans="1:10" x14ac:dyDescent="0.3">
      <c r="A5" s="15">
        <v>4</v>
      </c>
      <c r="B5" s="16" t="s">
        <v>711</v>
      </c>
      <c r="C5" s="17">
        <v>46110</v>
      </c>
      <c r="D5" s="17">
        <v>46125</v>
      </c>
      <c r="E5" s="15" t="s">
        <v>25</v>
      </c>
      <c r="F5" s="18">
        <v>0</v>
      </c>
      <c r="G5" s="18">
        <v>0</v>
      </c>
      <c r="H5" s="18">
        <f t="shared" si="0"/>
        <v>0</v>
      </c>
      <c r="I5" s="10">
        <v>14.92</v>
      </c>
      <c r="J5" s="16"/>
    </row>
    <row r="6" spans="1:10" x14ac:dyDescent="0.3">
      <c r="A6" s="11">
        <v>5</v>
      </c>
      <c r="B6" s="12" t="s">
        <v>712</v>
      </c>
      <c r="C6" s="13">
        <v>46113</v>
      </c>
      <c r="D6" s="13">
        <v>46113</v>
      </c>
      <c r="E6" s="11" t="s">
        <v>25</v>
      </c>
      <c r="F6" s="14">
        <v>0</v>
      </c>
      <c r="G6" s="14">
        <v>0</v>
      </c>
      <c r="H6" s="14">
        <f t="shared" si="0"/>
        <v>0</v>
      </c>
      <c r="I6" s="6">
        <v>0.33</v>
      </c>
      <c r="J6" s="12"/>
    </row>
    <row r="7" spans="1:10" x14ac:dyDescent="0.3">
      <c r="A7" s="15">
        <v>6</v>
      </c>
      <c r="B7" s="16" t="s">
        <v>713</v>
      </c>
      <c r="C7" s="17">
        <v>46113</v>
      </c>
      <c r="D7" s="17">
        <v>46113</v>
      </c>
      <c r="E7" s="15" t="s">
        <v>25</v>
      </c>
      <c r="F7" s="18">
        <v>0</v>
      </c>
      <c r="G7" s="18">
        <v>0</v>
      </c>
      <c r="H7" s="18">
        <f t="shared" si="0"/>
        <v>0</v>
      </c>
      <c r="I7" s="10">
        <v>0.26</v>
      </c>
      <c r="J7" s="16"/>
    </row>
    <row r="8" spans="1:10" x14ac:dyDescent="0.3">
      <c r="A8" s="11">
        <v>7</v>
      </c>
      <c r="B8" s="12" t="s">
        <v>714</v>
      </c>
      <c r="C8" s="13">
        <v>46113</v>
      </c>
      <c r="D8" s="13">
        <v>46113</v>
      </c>
      <c r="E8" s="11" t="s">
        <v>25</v>
      </c>
      <c r="F8" s="14">
        <v>0</v>
      </c>
      <c r="G8" s="14">
        <v>0</v>
      </c>
      <c r="H8" s="14">
        <f t="shared" si="0"/>
        <v>0</v>
      </c>
      <c r="I8" s="6">
        <v>0.21</v>
      </c>
      <c r="J8" s="12"/>
    </row>
    <row r="9" spans="1:10" x14ac:dyDescent="0.3">
      <c r="A9" s="15">
        <v>8</v>
      </c>
      <c r="B9" s="16" t="s">
        <v>715</v>
      </c>
      <c r="C9" s="17">
        <v>46113</v>
      </c>
      <c r="D9" s="17">
        <v>46122</v>
      </c>
      <c r="E9" s="15" t="s">
        <v>25</v>
      </c>
      <c r="F9" s="18">
        <v>0</v>
      </c>
      <c r="G9" s="18">
        <v>0</v>
      </c>
      <c r="H9" s="18">
        <f t="shared" si="0"/>
        <v>0</v>
      </c>
      <c r="I9" s="10">
        <v>8.9600000000000009</v>
      </c>
      <c r="J9" s="16"/>
    </row>
    <row r="10" spans="1:10" x14ac:dyDescent="0.3">
      <c r="A10" s="11">
        <v>9</v>
      </c>
      <c r="B10" s="12" t="s">
        <v>716</v>
      </c>
      <c r="C10" s="13">
        <v>46113</v>
      </c>
      <c r="D10" s="13">
        <v>46113</v>
      </c>
      <c r="E10" s="11" t="s">
        <v>25</v>
      </c>
      <c r="F10" s="14">
        <v>0</v>
      </c>
      <c r="G10" s="14">
        <v>0</v>
      </c>
      <c r="H10" s="14">
        <f t="shared" si="0"/>
        <v>0</v>
      </c>
      <c r="I10" s="6">
        <v>0.18</v>
      </c>
      <c r="J10" s="12"/>
    </row>
    <row r="11" spans="1:10" x14ac:dyDescent="0.3">
      <c r="A11" s="15">
        <v>10</v>
      </c>
      <c r="B11" s="16" t="s">
        <v>717</v>
      </c>
      <c r="C11" s="17">
        <v>46113</v>
      </c>
      <c r="D11" s="17">
        <v>46113</v>
      </c>
      <c r="E11" s="15" t="s">
        <v>25</v>
      </c>
      <c r="F11" s="18">
        <v>0</v>
      </c>
      <c r="G11" s="18">
        <v>0</v>
      </c>
      <c r="H11" s="18">
        <f t="shared" si="0"/>
        <v>0</v>
      </c>
      <c r="I11" s="10">
        <v>0.18</v>
      </c>
      <c r="J11" s="16"/>
    </row>
    <row r="12" spans="1:10" x14ac:dyDescent="0.3">
      <c r="A12" s="11">
        <v>11</v>
      </c>
      <c r="B12" s="12" t="s">
        <v>718</v>
      </c>
      <c r="C12" s="13">
        <v>46113</v>
      </c>
      <c r="D12" s="13">
        <v>46125</v>
      </c>
      <c r="E12" s="11" t="s">
        <v>25</v>
      </c>
      <c r="F12" s="14">
        <v>0</v>
      </c>
      <c r="G12" s="14">
        <v>0</v>
      </c>
      <c r="H12" s="14">
        <f t="shared" si="0"/>
        <v>0</v>
      </c>
      <c r="I12" s="6">
        <v>11.7</v>
      </c>
      <c r="J12" s="12"/>
    </row>
    <row r="13" spans="1:10" x14ac:dyDescent="0.3">
      <c r="A13" s="15">
        <v>12</v>
      </c>
      <c r="B13" s="16" t="s">
        <v>719</v>
      </c>
      <c r="C13" s="17">
        <v>46114</v>
      </c>
      <c r="D13" s="17">
        <v>46114</v>
      </c>
      <c r="E13" s="15" t="s">
        <v>25</v>
      </c>
      <c r="F13" s="18">
        <v>0</v>
      </c>
      <c r="G13" s="18">
        <v>0</v>
      </c>
      <c r="H13" s="18">
        <f t="shared" si="0"/>
        <v>0</v>
      </c>
      <c r="I13" s="10">
        <v>0.28000000000000003</v>
      </c>
      <c r="J13" s="16"/>
    </row>
    <row r="14" spans="1:10" x14ac:dyDescent="0.3">
      <c r="A14" s="11">
        <v>13</v>
      </c>
      <c r="B14" s="12" t="s">
        <v>720</v>
      </c>
      <c r="C14" s="13">
        <v>46114</v>
      </c>
      <c r="D14" s="13">
        <v>46114</v>
      </c>
      <c r="E14" s="11" t="s">
        <v>25</v>
      </c>
      <c r="F14" s="14">
        <v>0</v>
      </c>
      <c r="G14" s="14">
        <v>0</v>
      </c>
      <c r="H14" s="14">
        <f t="shared" si="0"/>
        <v>0</v>
      </c>
      <c r="I14" s="6">
        <v>0.25</v>
      </c>
      <c r="J14" s="12"/>
    </row>
    <row r="15" spans="1:10" x14ac:dyDescent="0.3">
      <c r="A15" s="15">
        <v>14</v>
      </c>
      <c r="B15" s="16" t="s">
        <v>721</v>
      </c>
      <c r="C15" s="17">
        <v>46114</v>
      </c>
      <c r="D15" s="17">
        <v>46114</v>
      </c>
      <c r="E15" s="15" t="s">
        <v>25</v>
      </c>
      <c r="F15" s="18">
        <v>0</v>
      </c>
      <c r="G15" s="18">
        <v>0</v>
      </c>
      <c r="H15" s="18">
        <f t="shared" si="0"/>
        <v>0</v>
      </c>
      <c r="I15" s="10">
        <v>0.22</v>
      </c>
      <c r="J15" s="16"/>
    </row>
    <row r="16" spans="1:10" x14ac:dyDescent="0.3">
      <c r="A16" s="11">
        <v>15</v>
      </c>
      <c r="B16" s="12" t="s">
        <v>722</v>
      </c>
      <c r="C16" s="13">
        <v>46114</v>
      </c>
      <c r="D16" s="13">
        <v>46114</v>
      </c>
      <c r="E16" s="11" t="s">
        <v>25</v>
      </c>
      <c r="F16" s="14">
        <v>0</v>
      </c>
      <c r="G16" s="14">
        <v>0</v>
      </c>
      <c r="H16" s="14">
        <f t="shared" si="0"/>
        <v>0</v>
      </c>
      <c r="I16" s="6">
        <v>0.16</v>
      </c>
      <c r="J16" s="12"/>
    </row>
    <row r="17" spans="1:10" x14ac:dyDescent="0.3">
      <c r="A17" s="15">
        <v>16</v>
      </c>
      <c r="B17" s="16" t="s">
        <v>723</v>
      </c>
      <c r="C17" s="17">
        <v>46114</v>
      </c>
      <c r="D17" s="17">
        <v>46114</v>
      </c>
      <c r="E17" s="15" t="s">
        <v>25</v>
      </c>
      <c r="F17" s="18">
        <v>0</v>
      </c>
      <c r="G17" s="18">
        <v>0</v>
      </c>
      <c r="H17" s="18">
        <f t="shared" si="0"/>
        <v>0</v>
      </c>
      <c r="I17" s="10">
        <v>0.05</v>
      </c>
      <c r="J17" s="16"/>
    </row>
    <row r="18" spans="1:10" x14ac:dyDescent="0.3">
      <c r="A18" s="11">
        <v>17</v>
      </c>
      <c r="B18" s="12" t="s">
        <v>724</v>
      </c>
      <c r="C18" s="13">
        <v>46115</v>
      </c>
      <c r="D18" s="13">
        <v>46115</v>
      </c>
      <c r="E18" s="11" t="s">
        <v>25</v>
      </c>
      <c r="F18" s="14">
        <v>0</v>
      </c>
      <c r="G18" s="14">
        <v>0</v>
      </c>
      <c r="H18" s="14">
        <f t="shared" si="0"/>
        <v>0</v>
      </c>
      <c r="I18" s="6">
        <v>0.19</v>
      </c>
      <c r="J18" s="12"/>
    </row>
    <row r="19" spans="1:10" x14ac:dyDescent="0.3">
      <c r="A19" s="15">
        <v>18</v>
      </c>
      <c r="B19" s="16" t="s">
        <v>725</v>
      </c>
      <c r="C19" s="17">
        <v>46115</v>
      </c>
      <c r="D19" s="17">
        <v>46116</v>
      </c>
      <c r="E19" s="15" t="s">
        <v>25</v>
      </c>
      <c r="F19" s="18">
        <v>0</v>
      </c>
      <c r="G19" s="18">
        <v>0</v>
      </c>
      <c r="H19" s="18">
        <f t="shared" si="0"/>
        <v>0</v>
      </c>
      <c r="I19" s="10">
        <v>0.94</v>
      </c>
      <c r="J19" s="16"/>
    </row>
    <row r="20" spans="1:10" x14ac:dyDescent="0.3">
      <c r="A20" s="11">
        <v>19</v>
      </c>
      <c r="B20" s="12" t="s">
        <v>726</v>
      </c>
      <c r="C20" s="13">
        <v>46116</v>
      </c>
      <c r="D20" s="13">
        <v>46116</v>
      </c>
      <c r="E20" s="11" t="s">
        <v>25</v>
      </c>
      <c r="F20" s="14">
        <v>0</v>
      </c>
      <c r="G20" s="14">
        <v>0</v>
      </c>
      <c r="H20" s="14">
        <f t="shared" si="0"/>
        <v>0</v>
      </c>
      <c r="I20" s="6">
        <v>0.36</v>
      </c>
      <c r="J20" s="12"/>
    </row>
    <row r="21" spans="1:10" x14ac:dyDescent="0.3">
      <c r="A21" s="15">
        <v>20</v>
      </c>
      <c r="B21" s="16" t="s">
        <v>727</v>
      </c>
      <c r="C21" s="17">
        <v>46116</v>
      </c>
      <c r="D21" s="17">
        <v>46116</v>
      </c>
      <c r="E21" s="15" t="s">
        <v>25</v>
      </c>
      <c r="F21" s="18">
        <v>0</v>
      </c>
      <c r="G21" s="18">
        <v>0</v>
      </c>
      <c r="H21" s="18">
        <f t="shared" si="0"/>
        <v>0</v>
      </c>
      <c r="I21" s="10">
        <v>0.15</v>
      </c>
      <c r="J21" s="16"/>
    </row>
    <row r="22" spans="1:10" x14ac:dyDescent="0.3">
      <c r="A22" s="11">
        <v>21</v>
      </c>
      <c r="B22" s="12" t="s">
        <v>728</v>
      </c>
      <c r="C22" s="13">
        <v>46116</v>
      </c>
      <c r="D22" s="13">
        <v>46116</v>
      </c>
      <c r="E22" s="11" t="s">
        <v>25</v>
      </c>
      <c r="F22" s="14">
        <v>0</v>
      </c>
      <c r="G22" s="14">
        <v>0</v>
      </c>
      <c r="H22" s="14">
        <f t="shared" si="0"/>
        <v>0</v>
      </c>
      <c r="I22" s="6">
        <v>0.1</v>
      </c>
      <c r="J22" s="12"/>
    </row>
    <row r="23" spans="1:10" x14ac:dyDescent="0.3">
      <c r="A23" s="15">
        <v>22</v>
      </c>
      <c r="B23" s="16" t="s">
        <v>729</v>
      </c>
      <c r="C23" s="17">
        <v>46116</v>
      </c>
      <c r="D23" s="17">
        <v>46116</v>
      </c>
      <c r="E23" s="15" t="s">
        <v>25</v>
      </c>
      <c r="F23" s="18">
        <v>0</v>
      </c>
      <c r="G23" s="18">
        <v>0</v>
      </c>
      <c r="H23" s="18">
        <f t="shared" si="0"/>
        <v>0</v>
      </c>
      <c r="I23" s="10">
        <v>0.15</v>
      </c>
      <c r="J23" s="16"/>
    </row>
    <row r="24" spans="1:10" x14ac:dyDescent="0.3">
      <c r="A24" s="11">
        <v>23</v>
      </c>
      <c r="B24" s="12" t="s">
        <v>730</v>
      </c>
      <c r="C24" s="13">
        <v>46116</v>
      </c>
      <c r="D24" s="13">
        <v>46116</v>
      </c>
      <c r="E24" s="11" t="s">
        <v>25</v>
      </c>
      <c r="F24" s="14">
        <v>0</v>
      </c>
      <c r="G24" s="14">
        <v>0</v>
      </c>
      <c r="H24" s="14">
        <f t="shared" si="0"/>
        <v>0</v>
      </c>
      <c r="I24" s="6">
        <v>0.14000000000000001</v>
      </c>
      <c r="J24" s="12"/>
    </row>
    <row r="25" spans="1:10" x14ac:dyDescent="0.3">
      <c r="A25" s="15">
        <v>24</v>
      </c>
      <c r="B25" s="16" t="s">
        <v>731</v>
      </c>
      <c r="C25" s="17">
        <v>46117</v>
      </c>
      <c r="D25" s="17">
        <v>46117</v>
      </c>
      <c r="E25" s="15" t="s">
        <v>25</v>
      </c>
      <c r="F25" s="18">
        <v>0</v>
      </c>
      <c r="G25" s="18">
        <v>0</v>
      </c>
      <c r="H25" s="18">
        <f t="shared" si="0"/>
        <v>0</v>
      </c>
      <c r="I25" s="10">
        <v>0.31</v>
      </c>
      <c r="J25" s="16"/>
    </row>
    <row r="26" spans="1:10" x14ac:dyDescent="0.3">
      <c r="A26" s="11">
        <v>25</v>
      </c>
      <c r="B26" s="12" t="s">
        <v>732</v>
      </c>
      <c r="C26" s="13">
        <v>46117</v>
      </c>
      <c r="D26" s="13">
        <v>46117</v>
      </c>
      <c r="E26" s="11" t="s">
        <v>25</v>
      </c>
      <c r="F26" s="14">
        <v>0</v>
      </c>
      <c r="G26" s="14">
        <v>0</v>
      </c>
      <c r="H26" s="14">
        <f t="shared" si="0"/>
        <v>0</v>
      </c>
      <c r="I26" s="6">
        <v>0.27</v>
      </c>
      <c r="J26" s="12"/>
    </row>
    <row r="27" spans="1:10" x14ac:dyDescent="0.3">
      <c r="A27" s="15">
        <v>26</v>
      </c>
      <c r="B27" s="16" t="s">
        <v>733</v>
      </c>
      <c r="C27" s="17">
        <v>46117</v>
      </c>
      <c r="D27" s="17">
        <v>46117</v>
      </c>
      <c r="E27" s="15" t="s">
        <v>25</v>
      </c>
      <c r="F27" s="18">
        <v>0</v>
      </c>
      <c r="G27" s="18">
        <v>0</v>
      </c>
      <c r="H27" s="18">
        <f t="shared" si="0"/>
        <v>0</v>
      </c>
      <c r="I27" s="10">
        <v>0.21</v>
      </c>
      <c r="J27" s="16"/>
    </row>
    <row r="28" spans="1:10" x14ac:dyDescent="0.3">
      <c r="A28" s="11">
        <v>27</v>
      </c>
      <c r="B28" s="12" t="s">
        <v>734</v>
      </c>
      <c r="C28" s="13">
        <v>46117</v>
      </c>
      <c r="D28" s="13">
        <v>46117</v>
      </c>
      <c r="E28" s="11" t="s">
        <v>25</v>
      </c>
      <c r="F28" s="14">
        <v>0</v>
      </c>
      <c r="G28" s="14">
        <v>0</v>
      </c>
      <c r="H28" s="14">
        <f t="shared" si="0"/>
        <v>0</v>
      </c>
      <c r="I28" s="6">
        <v>0.18</v>
      </c>
      <c r="J28" s="12"/>
    </row>
    <row r="29" spans="1:10" x14ac:dyDescent="0.3">
      <c r="A29" s="15">
        <v>28</v>
      </c>
      <c r="B29" s="16" t="s">
        <v>735</v>
      </c>
      <c r="C29" s="17">
        <v>46117</v>
      </c>
      <c r="D29" s="17">
        <v>46117</v>
      </c>
      <c r="E29" s="15" t="s">
        <v>25</v>
      </c>
      <c r="F29" s="18">
        <v>0</v>
      </c>
      <c r="G29" s="18">
        <v>0</v>
      </c>
      <c r="H29" s="18">
        <f t="shared" si="0"/>
        <v>0</v>
      </c>
      <c r="I29" s="10">
        <v>0.13</v>
      </c>
      <c r="J29" s="16"/>
    </row>
    <row r="30" spans="1:10" x14ac:dyDescent="0.3">
      <c r="A30" s="11">
        <v>29</v>
      </c>
      <c r="B30" s="12" t="s">
        <v>736</v>
      </c>
      <c r="C30" s="13">
        <v>46118</v>
      </c>
      <c r="D30" s="13">
        <v>46121</v>
      </c>
      <c r="E30" s="11" t="s">
        <v>25</v>
      </c>
      <c r="F30" s="14">
        <v>0</v>
      </c>
      <c r="G30" s="14">
        <v>0</v>
      </c>
      <c r="H30" s="14">
        <f t="shared" si="0"/>
        <v>0</v>
      </c>
      <c r="I30" s="6">
        <v>3.76</v>
      </c>
      <c r="J30" s="12"/>
    </row>
    <row r="31" spans="1:10" x14ac:dyDescent="0.3">
      <c r="A31" s="15">
        <v>30</v>
      </c>
      <c r="B31" s="16" t="s">
        <v>737</v>
      </c>
      <c r="C31" s="17">
        <v>46119</v>
      </c>
      <c r="D31" s="17">
        <v>46121</v>
      </c>
      <c r="E31" s="15" t="s">
        <v>25</v>
      </c>
      <c r="F31" s="18">
        <v>0</v>
      </c>
      <c r="G31" s="18">
        <v>0</v>
      </c>
      <c r="H31" s="18">
        <f t="shared" si="0"/>
        <v>0</v>
      </c>
      <c r="I31" s="10">
        <v>2.2000000000000002</v>
      </c>
      <c r="J31" s="16"/>
    </row>
    <row r="32" spans="1:10" x14ac:dyDescent="0.3">
      <c r="A32" s="11">
        <v>31</v>
      </c>
      <c r="B32" s="12" t="s">
        <v>738</v>
      </c>
      <c r="C32" s="13">
        <v>46119</v>
      </c>
      <c r="D32" s="13">
        <v>46121</v>
      </c>
      <c r="E32" s="11" t="s">
        <v>25</v>
      </c>
      <c r="F32" s="14">
        <v>0</v>
      </c>
      <c r="G32" s="14">
        <v>0</v>
      </c>
      <c r="H32" s="14">
        <f t="shared" si="0"/>
        <v>0</v>
      </c>
      <c r="I32" s="6">
        <v>2.2000000000000002</v>
      </c>
      <c r="J32" s="12"/>
    </row>
    <row r="33" spans="1:10" x14ac:dyDescent="0.3">
      <c r="A33" s="15">
        <v>32</v>
      </c>
      <c r="B33" s="16" t="s">
        <v>739</v>
      </c>
      <c r="C33" s="17">
        <v>46120</v>
      </c>
      <c r="D33" s="17">
        <v>46121</v>
      </c>
      <c r="E33" s="15" t="s">
        <v>25</v>
      </c>
      <c r="F33" s="18">
        <v>0</v>
      </c>
      <c r="G33" s="18">
        <v>0</v>
      </c>
      <c r="H33" s="18">
        <f t="shared" si="0"/>
        <v>0</v>
      </c>
      <c r="I33" s="10">
        <v>1.39</v>
      </c>
      <c r="J33" s="16"/>
    </row>
    <row r="34" spans="1:10" x14ac:dyDescent="0.3">
      <c r="A34" s="11">
        <v>33</v>
      </c>
      <c r="B34" s="12" t="s">
        <v>740</v>
      </c>
      <c r="C34" s="13">
        <v>46120</v>
      </c>
      <c r="D34" s="13">
        <v>46121</v>
      </c>
      <c r="E34" s="11" t="s">
        <v>25</v>
      </c>
      <c r="F34" s="14">
        <v>0</v>
      </c>
      <c r="G34" s="14">
        <v>0</v>
      </c>
      <c r="H34" s="14">
        <f t="shared" ref="H34:H65" si="1">F34+G34</f>
        <v>0</v>
      </c>
      <c r="I34" s="6">
        <v>1.41</v>
      </c>
      <c r="J34" s="12"/>
    </row>
    <row r="35" spans="1:10" x14ac:dyDescent="0.3">
      <c r="A35" s="15">
        <v>34</v>
      </c>
      <c r="B35" s="16" t="s">
        <v>741</v>
      </c>
      <c r="C35" s="17">
        <v>46120</v>
      </c>
      <c r="D35" s="17">
        <v>46121</v>
      </c>
      <c r="E35" s="15" t="s">
        <v>25</v>
      </c>
      <c r="F35" s="18">
        <v>0</v>
      </c>
      <c r="G35" s="18">
        <v>0</v>
      </c>
      <c r="H35" s="18">
        <f t="shared" si="1"/>
        <v>0</v>
      </c>
      <c r="I35" s="10">
        <v>1.42</v>
      </c>
      <c r="J35" s="16"/>
    </row>
    <row r="36" spans="1:10" x14ac:dyDescent="0.3">
      <c r="A36" s="11">
        <v>35</v>
      </c>
      <c r="B36" s="12" t="s">
        <v>742</v>
      </c>
      <c r="C36" s="13">
        <v>46120</v>
      </c>
      <c r="D36" s="13">
        <v>46121</v>
      </c>
      <c r="E36" s="11" t="s">
        <v>25</v>
      </c>
      <c r="F36" s="14">
        <v>0</v>
      </c>
      <c r="G36" s="14">
        <v>0</v>
      </c>
      <c r="H36" s="14">
        <f t="shared" si="1"/>
        <v>0</v>
      </c>
      <c r="I36" s="6">
        <v>1.32</v>
      </c>
      <c r="J36" s="12"/>
    </row>
    <row r="37" spans="1:10" x14ac:dyDescent="0.3">
      <c r="A37" s="15">
        <v>36</v>
      </c>
      <c r="B37" s="16" t="s">
        <v>743</v>
      </c>
      <c r="C37" s="17">
        <v>46120</v>
      </c>
      <c r="D37" s="17">
        <v>46121</v>
      </c>
      <c r="E37" s="15" t="s">
        <v>25</v>
      </c>
      <c r="F37" s="18">
        <v>0</v>
      </c>
      <c r="G37" s="18">
        <v>0</v>
      </c>
      <c r="H37" s="18">
        <f t="shared" si="1"/>
        <v>0</v>
      </c>
      <c r="I37" s="10">
        <v>1.31</v>
      </c>
      <c r="J37" s="16"/>
    </row>
    <row r="38" spans="1:10" x14ac:dyDescent="0.3">
      <c r="A38" s="11">
        <v>37</v>
      </c>
      <c r="B38" s="12" t="s">
        <v>744</v>
      </c>
      <c r="C38" s="13">
        <v>46120</v>
      </c>
      <c r="D38" s="13">
        <v>46121</v>
      </c>
      <c r="E38" s="11" t="s">
        <v>25</v>
      </c>
      <c r="F38" s="14">
        <v>0</v>
      </c>
      <c r="G38" s="14">
        <v>0</v>
      </c>
      <c r="H38" s="14">
        <f t="shared" si="1"/>
        <v>0</v>
      </c>
      <c r="I38" s="6">
        <v>1.3</v>
      </c>
      <c r="J38" s="12"/>
    </row>
    <row r="39" spans="1:10" x14ac:dyDescent="0.3">
      <c r="A39" s="15">
        <v>38</v>
      </c>
      <c r="B39" s="16" t="s">
        <v>745</v>
      </c>
      <c r="C39" s="17">
        <v>46120</v>
      </c>
      <c r="D39" s="17">
        <v>46121</v>
      </c>
      <c r="E39" s="15" t="s">
        <v>25</v>
      </c>
      <c r="F39" s="18">
        <v>0</v>
      </c>
      <c r="G39" s="18">
        <v>0</v>
      </c>
      <c r="H39" s="18">
        <f t="shared" si="1"/>
        <v>0</v>
      </c>
      <c r="I39" s="10">
        <v>1.32</v>
      </c>
      <c r="J39" s="16"/>
    </row>
    <row r="40" spans="1:10" x14ac:dyDescent="0.3">
      <c r="A40" s="11">
        <v>39</v>
      </c>
      <c r="B40" s="12" t="s">
        <v>746</v>
      </c>
      <c r="C40" s="13">
        <v>46120</v>
      </c>
      <c r="D40" s="13">
        <v>46122</v>
      </c>
      <c r="E40" s="11" t="s">
        <v>25</v>
      </c>
      <c r="F40" s="14">
        <v>0</v>
      </c>
      <c r="G40" s="14">
        <v>0</v>
      </c>
      <c r="H40" s="14">
        <f t="shared" si="1"/>
        <v>0</v>
      </c>
      <c r="I40" s="6">
        <v>2.1800000000000002</v>
      </c>
      <c r="J40" s="12"/>
    </row>
    <row r="41" spans="1:10" x14ac:dyDescent="0.3">
      <c r="A41" s="15">
        <v>40</v>
      </c>
      <c r="B41" s="16" t="s">
        <v>747</v>
      </c>
      <c r="C41" s="17">
        <v>46120</v>
      </c>
      <c r="D41" s="17">
        <v>46121</v>
      </c>
      <c r="E41" s="15" t="s">
        <v>25</v>
      </c>
      <c r="F41" s="18">
        <v>0</v>
      </c>
      <c r="G41" s="18">
        <v>0</v>
      </c>
      <c r="H41" s="18">
        <f t="shared" si="1"/>
        <v>0</v>
      </c>
      <c r="I41" s="10">
        <v>1.31</v>
      </c>
      <c r="J41" s="16"/>
    </row>
    <row r="42" spans="1:10" x14ac:dyDescent="0.3">
      <c r="A42" s="11">
        <v>41</v>
      </c>
      <c r="B42" s="12" t="s">
        <v>748</v>
      </c>
      <c r="C42" s="13">
        <v>46120</v>
      </c>
      <c r="D42" s="13">
        <v>46121</v>
      </c>
      <c r="E42" s="11" t="s">
        <v>25</v>
      </c>
      <c r="F42" s="14">
        <v>0</v>
      </c>
      <c r="G42" s="14">
        <v>0</v>
      </c>
      <c r="H42" s="14">
        <f t="shared" si="1"/>
        <v>0</v>
      </c>
      <c r="I42" s="6">
        <v>1.22</v>
      </c>
      <c r="J42" s="12"/>
    </row>
    <row r="43" spans="1:10" x14ac:dyDescent="0.3">
      <c r="A43" s="15">
        <v>42</v>
      </c>
      <c r="B43" s="16" t="s">
        <v>749</v>
      </c>
      <c r="C43" s="17">
        <v>46120</v>
      </c>
      <c r="D43" s="17">
        <v>46121</v>
      </c>
      <c r="E43" s="15" t="s">
        <v>25</v>
      </c>
      <c r="F43" s="18">
        <v>0</v>
      </c>
      <c r="G43" s="18">
        <v>0</v>
      </c>
      <c r="H43" s="18">
        <f t="shared" si="1"/>
        <v>0</v>
      </c>
      <c r="I43" s="10">
        <v>1.25</v>
      </c>
      <c r="J43" s="16"/>
    </row>
    <row r="44" spans="1:10" x14ac:dyDescent="0.3">
      <c r="A44" s="11">
        <v>43</v>
      </c>
      <c r="B44" s="12" t="s">
        <v>750</v>
      </c>
      <c r="C44" s="13">
        <v>46121</v>
      </c>
      <c r="D44" s="13">
        <v>46121</v>
      </c>
      <c r="E44" s="11" t="s">
        <v>25</v>
      </c>
      <c r="F44" s="14">
        <v>0</v>
      </c>
      <c r="G44" s="14">
        <v>0</v>
      </c>
      <c r="H44" s="14">
        <f t="shared" si="1"/>
        <v>0</v>
      </c>
      <c r="I44" s="6">
        <v>0.32</v>
      </c>
      <c r="J44" s="12"/>
    </row>
    <row r="45" spans="1:10" x14ac:dyDescent="0.3">
      <c r="A45" s="15">
        <v>44</v>
      </c>
      <c r="B45" s="16" t="s">
        <v>751</v>
      </c>
      <c r="C45" s="17">
        <v>46121</v>
      </c>
      <c r="D45" s="17">
        <v>46121</v>
      </c>
      <c r="E45" s="15" t="s">
        <v>25</v>
      </c>
      <c r="F45" s="18">
        <v>0</v>
      </c>
      <c r="G45" s="18">
        <v>0</v>
      </c>
      <c r="H45" s="18">
        <f t="shared" si="1"/>
        <v>0</v>
      </c>
      <c r="I45" s="10">
        <v>0.28000000000000003</v>
      </c>
      <c r="J45" s="16"/>
    </row>
    <row r="46" spans="1:10" x14ac:dyDescent="0.3">
      <c r="A46" s="11">
        <v>45</v>
      </c>
      <c r="B46" s="12" t="s">
        <v>752</v>
      </c>
      <c r="C46" s="13">
        <v>46121</v>
      </c>
      <c r="D46" s="13">
        <v>46121</v>
      </c>
      <c r="E46" s="11" t="s">
        <v>25</v>
      </c>
      <c r="F46" s="14">
        <v>0</v>
      </c>
      <c r="G46" s="14">
        <v>0</v>
      </c>
      <c r="H46" s="14">
        <f t="shared" si="1"/>
        <v>0</v>
      </c>
      <c r="I46" s="6">
        <v>0.18</v>
      </c>
      <c r="J46" s="12"/>
    </row>
    <row r="47" spans="1:10" x14ac:dyDescent="0.3">
      <c r="A47" s="15">
        <v>46</v>
      </c>
      <c r="B47" s="16" t="s">
        <v>753</v>
      </c>
      <c r="C47" s="17">
        <v>46121</v>
      </c>
      <c r="D47" s="17">
        <v>46121</v>
      </c>
      <c r="E47" s="15" t="s">
        <v>25</v>
      </c>
      <c r="F47" s="18">
        <v>0</v>
      </c>
      <c r="G47" s="18">
        <v>0</v>
      </c>
      <c r="H47" s="18">
        <f t="shared" si="1"/>
        <v>0</v>
      </c>
      <c r="I47" s="10">
        <v>0.08</v>
      </c>
      <c r="J47" s="16"/>
    </row>
    <row r="48" spans="1:10" x14ac:dyDescent="0.3">
      <c r="A48" s="11">
        <v>47</v>
      </c>
      <c r="B48" s="12" t="s">
        <v>754</v>
      </c>
      <c r="C48" s="13">
        <v>46121</v>
      </c>
      <c r="D48" s="13">
        <v>46121</v>
      </c>
      <c r="E48" s="11" t="s">
        <v>25</v>
      </c>
      <c r="F48" s="14">
        <v>0</v>
      </c>
      <c r="G48" s="14">
        <v>0</v>
      </c>
      <c r="H48" s="14">
        <f t="shared" si="1"/>
        <v>0</v>
      </c>
      <c r="I48" s="6">
        <v>7.0000000000000007E-2</v>
      </c>
      <c r="J48" s="12"/>
    </row>
    <row r="49" spans="1:10" x14ac:dyDescent="0.3">
      <c r="A49" s="15">
        <v>48</v>
      </c>
      <c r="B49" s="16" t="s">
        <v>755</v>
      </c>
      <c r="C49" s="17">
        <v>46123</v>
      </c>
      <c r="D49" s="17">
        <v>46123</v>
      </c>
      <c r="E49" s="15" t="s">
        <v>25</v>
      </c>
      <c r="F49" s="18">
        <v>0</v>
      </c>
      <c r="G49" s="18">
        <v>0</v>
      </c>
      <c r="H49" s="18">
        <f t="shared" si="1"/>
        <v>0</v>
      </c>
      <c r="I49" s="10">
        <v>0.33</v>
      </c>
      <c r="J49" s="16"/>
    </row>
    <row r="50" spans="1:10" x14ac:dyDescent="0.3">
      <c r="A50" s="11">
        <v>49</v>
      </c>
      <c r="B50" s="12" t="s">
        <v>756</v>
      </c>
      <c r="C50" s="13">
        <v>46123</v>
      </c>
      <c r="D50" s="13">
        <v>46123</v>
      </c>
      <c r="E50" s="11" t="s">
        <v>25</v>
      </c>
      <c r="F50" s="14">
        <v>0</v>
      </c>
      <c r="G50" s="14">
        <v>0</v>
      </c>
      <c r="H50" s="14">
        <f t="shared" si="1"/>
        <v>0</v>
      </c>
      <c r="I50" s="6">
        <v>0.3</v>
      </c>
      <c r="J50" s="12"/>
    </row>
    <row r="51" spans="1:10" x14ac:dyDescent="0.3">
      <c r="A51" s="15">
        <v>50</v>
      </c>
      <c r="B51" s="16" t="s">
        <v>757</v>
      </c>
      <c r="C51" s="17">
        <v>46123</v>
      </c>
      <c r="D51" s="17">
        <v>46123</v>
      </c>
      <c r="E51" s="15" t="s">
        <v>25</v>
      </c>
      <c r="F51" s="18">
        <v>0</v>
      </c>
      <c r="G51" s="18">
        <v>0</v>
      </c>
      <c r="H51" s="18">
        <f t="shared" si="1"/>
        <v>0</v>
      </c>
      <c r="I51" s="10">
        <v>0.09</v>
      </c>
      <c r="J51" s="16"/>
    </row>
    <row r="52" spans="1:10" x14ac:dyDescent="0.3">
      <c r="A52" s="11">
        <v>51</v>
      </c>
      <c r="B52" s="12" t="s">
        <v>758</v>
      </c>
      <c r="C52" s="13">
        <v>46124</v>
      </c>
      <c r="D52" s="13">
        <v>46125</v>
      </c>
      <c r="E52" s="11" t="s">
        <v>25</v>
      </c>
      <c r="F52" s="14">
        <v>0</v>
      </c>
      <c r="G52" s="14">
        <v>0</v>
      </c>
      <c r="H52" s="14">
        <f t="shared" si="1"/>
        <v>0</v>
      </c>
      <c r="I52" s="6">
        <v>0.84</v>
      </c>
      <c r="J52" s="12"/>
    </row>
    <row r="53" spans="1:10" x14ac:dyDescent="0.3">
      <c r="A53" s="15">
        <v>52</v>
      </c>
      <c r="B53" s="16" t="s">
        <v>759</v>
      </c>
      <c r="C53" s="17">
        <v>46124</v>
      </c>
      <c r="D53" s="17">
        <v>46124</v>
      </c>
      <c r="E53" s="15" t="s">
        <v>25</v>
      </c>
      <c r="F53" s="18">
        <v>0</v>
      </c>
      <c r="G53" s="18">
        <v>0</v>
      </c>
      <c r="H53" s="18">
        <f t="shared" si="1"/>
        <v>0</v>
      </c>
      <c r="I53" s="10">
        <v>0.31</v>
      </c>
      <c r="J53" s="16"/>
    </row>
    <row r="54" spans="1:10" x14ac:dyDescent="0.3">
      <c r="A54" s="11">
        <v>53</v>
      </c>
      <c r="B54" s="12" t="s">
        <v>760</v>
      </c>
      <c r="C54" s="13">
        <v>46124</v>
      </c>
      <c r="D54" s="13">
        <v>46124</v>
      </c>
      <c r="E54" s="11" t="s">
        <v>25</v>
      </c>
      <c r="F54" s="14">
        <v>0</v>
      </c>
      <c r="G54" s="14">
        <v>0</v>
      </c>
      <c r="H54" s="14">
        <f t="shared" si="1"/>
        <v>0</v>
      </c>
      <c r="I54" s="6">
        <v>0.19</v>
      </c>
      <c r="J54" s="12"/>
    </row>
    <row r="55" spans="1:10" x14ac:dyDescent="0.3">
      <c r="A55" s="15">
        <v>54</v>
      </c>
      <c r="B55" s="16" t="s">
        <v>761</v>
      </c>
      <c r="C55" s="17">
        <v>46125</v>
      </c>
      <c r="D55" s="17">
        <v>46128</v>
      </c>
      <c r="E55" s="15" t="s">
        <v>25</v>
      </c>
      <c r="F55" s="18">
        <v>0</v>
      </c>
      <c r="G55" s="18">
        <v>0</v>
      </c>
      <c r="H55" s="18">
        <f t="shared" si="1"/>
        <v>0</v>
      </c>
      <c r="I55" s="10">
        <v>3.45</v>
      </c>
      <c r="J55" s="16"/>
    </row>
    <row r="56" spans="1:10" x14ac:dyDescent="0.3">
      <c r="A56" s="11">
        <v>55</v>
      </c>
      <c r="B56" s="12" t="s">
        <v>762</v>
      </c>
      <c r="C56" s="13">
        <v>46125</v>
      </c>
      <c r="D56" s="13">
        <v>46126</v>
      </c>
      <c r="E56" s="11" t="s">
        <v>25</v>
      </c>
      <c r="F56" s="14">
        <v>0</v>
      </c>
      <c r="G56" s="14">
        <v>0</v>
      </c>
      <c r="H56" s="14">
        <f t="shared" si="1"/>
        <v>0</v>
      </c>
      <c r="I56" s="6">
        <v>1.32</v>
      </c>
      <c r="J56" s="12"/>
    </row>
    <row r="57" spans="1:10" x14ac:dyDescent="0.3">
      <c r="A57" s="15">
        <v>56</v>
      </c>
      <c r="B57" s="16" t="s">
        <v>763</v>
      </c>
      <c r="C57" s="17">
        <v>46125</v>
      </c>
      <c r="D57" s="17">
        <v>46128</v>
      </c>
      <c r="E57" s="15" t="s">
        <v>25</v>
      </c>
      <c r="F57" s="18">
        <v>0</v>
      </c>
      <c r="G57" s="18">
        <v>0</v>
      </c>
      <c r="H57" s="18">
        <f t="shared" si="1"/>
        <v>0</v>
      </c>
      <c r="I57" s="10">
        <v>3.31</v>
      </c>
      <c r="J57" s="16"/>
    </row>
    <row r="58" spans="1:10" x14ac:dyDescent="0.3">
      <c r="A58" s="11">
        <v>57</v>
      </c>
      <c r="B58" s="12" t="s">
        <v>764</v>
      </c>
      <c r="C58" s="13">
        <v>46125</v>
      </c>
      <c r="D58" s="13">
        <v>46128</v>
      </c>
      <c r="E58" s="11" t="s">
        <v>25</v>
      </c>
      <c r="F58" s="14">
        <v>0</v>
      </c>
      <c r="G58" s="14">
        <v>0</v>
      </c>
      <c r="H58" s="14">
        <f t="shared" si="1"/>
        <v>0</v>
      </c>
      <c r="I58" s="6">
        <v>3.24</v>
      </c>
      <c r="J58" s="12"/>
    </row>
    <row r="59" spans="1:10" x14ac:dyDescent="0.3">
      <c r="A59" s="15">
        <v>58</v>
      </c>
      <c r="B59" s="16" t="s">
        <v>765</v>
      </c>
      <c r="C59" s="17">
        <v>46125</v>
      </c>
      <c r="D59" s="17">
        <v>46126</v>
      </c>
      <c r="E59" s="15" t="s">
        <v>25</v>
      </c>
      <c r="F59" s="18">
        <v>0</v>
      </c>
      <c r="G59" s="18">
        <v>0</v>
      </c>
      <c r="H59" s="18">
        <f t="shared" si="1"/>
        <v>0</v>
      </c>
      <c r="I59" s="10">
        <v>0.65</v>
      </c>
      <c r="J59" s="16"/>
    </row>
    <row r="60" spans="1:10" x14ac:dyDescent="0.3">
      <c r="A60" s="11">
        <v>59</v>
      </c>
      <c r="B60" s="12" t="s">
        <v>766</v>
      </c>
      <c r="C60" s="13">
        <v>46126</v>
      </c>
      <c r="D60" s="13">
        <v>46126</v>
      </c>
      <c r="E60" s="11" t="s">
        <v>25</v>
      </c>
      <c r="F60" s="14">
        <v>0</v>
      </c>
      <c r="G60" s="14">
        <v>0</v>
      </c>
      <c r="H60" s="14">
        <f t="shared" si="1"/>
        <v>0</v>
      </c>
      <c r="I60" s="6">
        <v>0.44</v>
      </c>
      <c r="J60" s="12"/>
    </row>
    <row r="61" spans="1:10" x14ac:dyDescent="0.3">
      <c r="A61" s="15">
        <v>60</v>
      </c>
      <c r="B61" s="16" t="s">
        <v>767</v>
      </c>
      <c r="C61" s="17">
        <v>46126</v>
      </c>
      <c r="D61" s="17">
        <v>46126</v>
      </c>
      <c r="E61" s="15" t="s">
        <v>25</v>
      </c>
      <c r="F61" s="18">
        <v>0</v>
      </c>
      <c r="G61" s="18">
        <v>0</v>
      </c>
      <c r="H61" s="18">
        <f t="shared" si="1"/>
        <v>0</v>
      </c>
      <c r="I61" s="10">
        <v>0.33</v>
      </c>
      <c r="J61" s="16"/>
    </row>
    <row r="62" spans="1:10" x14ac:dyDescent="0.3">
      <c r="A62" s="11">
        <v>61</v>
      </c>
      <c r="B62" s="12" t="s">
        <v>768</v>
      </c>
      <c r="C62" s="13">
        <v>46126</v>
      </c>
      <c r="D62" s="13">
        <v>46126</v>
      </c>
      <c r="E62" s="11" t="s">
        <v>25</v>
      </c>
      <c r="F62" s="14">
        <v>0</v>
      </c>
      <c r="G62" s="14">
        <v>0</v>
      </c>
      <c r="H62" s="14">
        <f t="shared" si="1"/>
        <v>0</v>
      </c>
      <c r="I62" s="6">
        <v>0.2</v>
      </c>
      <c r="J62" s="12"/>
    </row>
    <row r="63" spans="1:10" x14ac:dyDescent="0.3">
      <c r="A63" s="15">
        <v>62</v>
      </c>
      <c r="B63" s="16" t="s">
        <v>769</v>
      </c>
      <c r="C63" s="17">
        <v>46126</v>
      </c>
      <c r="D63" s="17">
        <v>46126</v>
      </c>
      <c r="E63" s="15" t="s">
        <v>25</v>
      </c>
      <c r="F63" s="18">
        <v>0</v>
      </c>
      <c r="G63" s="18">
        <v>0</v>
      </c>
      <c r="H63" s="18">
        <f t="shared" si="1"/>
        <v>0</v>
      </c>
      <c r="I63" s="10">
        <v>0.14000000000000001</v>
      </c>
      <c r="J63" s="16"/>
    </row>
    <row r="64" spans="1:10" x14ac:dyDescent="0.3">
      <c r="A64" s="11">
        <v>63</v>
      </c>
      <c r="B64" s="12" t="s">
        <v>770</v>
      </c>
      <c r="C64" s="13">
        <v>46127</v>
      </c>
      <c r="D64" s="13">
        <v>46127</v>
      </c>
      <c r="E64" s="11" t="s">
        <v>25</v>
      </c>
      <c r="F64" s="14">
        <v>0</v>
      </c>
      <c r="G64" s="14">
        <v>0</v>
      </c>
      <c r="H64" s="14">
        <f t="shared" si="1"/>
        <v>0</v>
      </c>
      <c r="I64" s="6">
        <v>0.46</v>
      </c>
      <c r="J64" s="12"/>
    </row>
    <row r="65" spans="1:10" x14ac:dyDescent="0.3">
      <c r="A65" s="15">
        <v>64</v>
      </c>
      <c r="B65" s="16" t="s">
        <v>771</v>
      </c>
      <c r="C65" s="17">
        <v>46127</v>
      </c>
      <c r="D65" s="17">
        <v>46127</v>
      </c>
      <c r="E65" s="15" t="s">
        <v>25</v>
      </c>
      <c r="F65" s="18">
        <v>0</v>
      </c>
      <c r="G65" s="18">
        <v>0</v>
      </c>
      <c r="H65" s="18">
        <f t="shared" si="1"/>
        <v>0</v>
      </c>
      <c r="I65" s="10">
        <v>0.44</v>
      </c>
      <c r="J65" s="16"/>
    </row>
    <row r="66" spans="1:10" x14ac:dyDescent="0.3">
      <c r="A66" s="11">
        <v>65</v>
      </c>
      <c r="B66" s="12" t="s">
        <v>772</v>
      </c>
      <c r="C66" s="13">
        <v>46127</v>
      </c>
      <c r="D66" s="13">
        <v>46127</v>
      </c>
      <c r="E66" s="11" t="s">
        <v>25</v>
      </c>
      <c r="F66" s="14">
        <v>0</v>
      </c>
      <c r="G66" s="14">
        <v>0</v>
      </c>
      <c r="H66" s="14">
        <f t="shared" ref="H66:H97" si="2">F66+G66</f>
        <v>0</v>
      </c>
      <c r="I66" s="6">
        <v>0.36</v>
      </c>
      <c r="J66" s="12"/>
    </row>
    <row r="67" spans="1:10" x14ac:dyDescent="0.3">
      <c r="A67" s="15">
        <v>66</v>
      </c>
      <c r="B67" s="16" t="s">
        <v>773</v>
      </c>
      <c r="C67" s="17">
        <v>46127</v>
      </c>
      <c r="D67" s="17">
        <v>46128</v>
      </c>
      <c r="E67" s="15" t="s">
        <v>25</v>
      </c>
      <c r="F67" s="18">
        <v>0</v>
      </c>
      <c r="G67" s="18">
        <v>0</v>
      </c>
      <c r="H67" s="18">
        <f t="shared" si="2"/>
        <v>0</v>
      </c>
      <c r="I67" s="10">
        <v>1.36</v>
      </c>
      <c r="J67" s="16"/>
    </row>
    <row r="68" spans="1:10" x14ac:dyDescent="0.3">
      <c r="A68" s="11">
        <v>67</v>
      </c>
      <c r="B68" s="12" t="s">
        <v>774</v>
      </c>
      <c r="C68" s="13">
        <v>46127</v>
      </c>
      <c r="D68" s="13">
        <v>46128</v>
      </c>
      <c r="E68" s="11" t="s">
        <v>25</v>
      </c>
      <c r="F68" s="14">
        <v>0</v>
      </c>
      <c r="G68" s="14">
        <v>0</v>
      </c>
      <c r="H68" s="14">
        <f t="shared" si="2"/>
        <v>0</v>
      </c>
      <c r="I68" s="6">
        <v>1.34</v>
      </c>
      <c r="J68" s="12"/>
    </row>
    <row r="69" spans="1:10" x14ac:dyDescent="0.3">
      <c r="A69" s="15">
        <v>68</v>
      </c>
      <c r="B69" s="16" t="s">
        <v>775</v>
      </c>
      <c r="C69" s="17">
        <v>46127</v>
      </c>
      <c r="D69" s="17">
        <v>46128</v>
      </c>
      <c r="E69" s="15" t="s">
        <v>25</v>
      </c>
      <c r="F69" s="18">
        <v>0</v>
      </c>
      <c r="G69" s="18">
        <v>0</v>
      </c>
      <c r="H69" s="18">
        <f t="shared" si="2"/>
        <v>0</v>
      </c>
      <c r="I69" s="10">
        <v>1.34</v>
      </c>
      <c r="J69" s="16"/>
    </row>
    <row r="70" spans="1:10" x14ac:dyDescent="0.3">
      <c r="A70" s="11">
        <v>69</v>
      </c>
      <c r="B70" s="12" t="s">
        <v>776</v>
      </c>
      <c r="C70" s="13">
        <v>46127</v>
      </c>
      <c r="D70" s="13">
        <v>46128</v>
      </c>
      <c r="E70" s="11" t="s">
        <v>25</v>
      </c>
      <c r="F70" s="14">
        <v>0</v>
      </c>
      <c r="G70" s="14">
        <v>0</v>
      </c>
      <c r="H70" s="14">
        <f t="shared" si="2"/>
        <v>0</v>
      </c>
      <c r="I70" s="6">
        <v>1.29</v>
      </c>
      <c r="J70" s="12"/>
    </row>
    <row r="71" spans="1:10" x14ac:dyDescent="0.3">
      <c r="A71" s="15">
        <v>70</v>
      </c>
      <c r="B71" s="16" t="s">
        <v>777</v>
      </c>
      <c r="C71" s="17">
        <v>46127</v>
      </c>
      <c r="D71" s="17">
        <v>46127</v>
      </c>
      <c r="E71" s="15" t="s">
        <v>25</v>
      </c>
      <c r="F71" s="18">
        <v>0</v>
      </c>
      <c r="G71" s="18">
        <v>0</v>
      </c>
      <c r="H71" s="18">
        <f t="shared" si="2"/>
        <v>0</v>
      </c>
      <c r="I71" s="10">
        <v>0.28000000000000003</v>
      </c>
      <c r="J71" s="16"/>
    </row>
    <row r="72" spans="1:10" x14ac:dyDescent="0.3">
      <c r="A72" s="11">
        <v>71</v>
      </c>
      <c r="B72" s="12" t="s">
        <v>778</v>
      </c>
      <c r="C72" s="13">
        <v>46128</v>
      </c>
      <c r="D72" s="13">
        <v>46128</v>
      </c>
      <c r="E72" s="11" t="s">
        <v>25</v>
      </c>
      <c r="F72" s="14">
        <v>0</v>
      </c>
      <c r="G72" s="14">
        <v>0</v>
      </c>
      <c r="H72" s="14">
        <f t="shared" si="2"/>
        <v>0</v>
      </c>
      <c r="I72" s="6">
        <v>0.36</v>
      </c>
      <c r="J72" s="12"/>
    </row>
    <row r="73" spans="1:10" x14ac:dyDescent="0.3">
      <c r="A73" s="15">
        <v>72</v>
      </c>
      <c r="B73" s="16" t="s">
        <v>779</v>
      </c>
      <c r="C73" s="17">
        <v>46129</v>
      </c>
      <c r="D73" s="17">
        <v>46129</v>
      </c>
      <c r="E73" s="15" t="s">
        <v>25</v>
      </c>
      <c r="F73" s="18">
        <v>0</v>
      </c>
      <c r="G73" s="18">
        <v>0</v>
      </c>
      <c r="H73" s="18">
        <f t="shared" si="2"/>
        <v>0</v>
      </c>
      <c r="I73" s="10">
        <v>0.47</v>
      </c>
      <c r="J73" s="16"/>
    </row>
    <row r="74" spans="1:10" x14ac:dyDescent="0.3">
      <c r="A74" s="11">
        <v>73</v>
      </c>
      <c r="B74" s="12" t="s">
        <v>780</v>
      </c>
      <c r="C74" s="13">
        <v>46129</v>
      </c>
      <c r="D74" s="13">
        <v>46129</v>
      </c>
      <c r="E74" s="11" t="s">
        <v>25</v>
      </c>
      <c r="F74" s="14">
        <v>0</v>
      </c>
      <c r="G74" s="14">
        <v>0</v>
      </c>
      <c r="H74" s="14">
        <f t="shared" si="2"/>
        <v>0</v>
      </c>
      <c r="I74" s="6">
        <v>0.36</v>
      </c>
      <c r="J74" s="12"/>
    </row>
    <row r="75" spans="1:10" x14ac:dyDescent="0.3">
      <c r="A75" s="15">
        <v>74</v>
      </c>
      <c r="B75" s="16" t="s">
        <v>781</v>
      </c>
      <c r="C75" s="17">
        <v>46129</v>
      </c>
      <c r="D75" s="17">
        <v>46129</v>
      </c>
      <c r="E75" s="15" t="s">
        <v>25</v>
      </c>
      <c r="F75" s="18">
        <v>0</v>
      </c>
      <c r="G75" s="18">
        <v>0</v>
      </c>
      <c r="H75" s="18">
        <f t="shared" si="2"/>
        <v>0</v>
      </c>
      <c r="I75" s="10">
        <v>0.34</v>
      </c>
      <c r="J75" s="16"/>
    </row>
    <row r="76" spans="1:10" x14ac:dyDescent="0.3">
      <c r="A76" s="11">
        <v>75</v>
      </c>
      <c r="B76" s="12" t="s">
        <v>782</v>
      </c>
      <c r="C76" s="13">
        <v>46129</v>
      </c>
      <c r="D76" s="13">
        <v>46129</v>
      </c>
      <c r="E76" s="11" t="s">
        <v>25</v>
      </c>
      <c r="F76" s="14">
        <v>0</v>
      </c>
      <c r="G76" s="14">
        <v>0</v>
      </c>
      <c r="H76" s="14">
        <f t="shared" si="2"/>
        <v>0</v>
      </c>
      <c r="I76" s="6">
        <v>0.34</v>
      </c>
      <c r="J76" s="12"/>
    </row>
    <row r="77" spans="1:10" x14ac:dyDescent="0.3">
      <c r="A77" s="15">
        <v>76</v>
      </c>
      <c r="B77" s="16" t="s">
        <v>783</v>
      </c>
      <c r="C77" s="17">
        <v>46129</v>
      </c>
      <c r="D77" s="17">
        <v>46129</v>
      </c>
      <c r="E77" s="15" t="s">
        <v>25</v>
      </c>
      <c r="F77" s="18">
        <v>0</v>
      </c>
      <c r="G77" s="18">
        <v>0</v>
      </c>
      <c r="H77" s="18">
        <f t="shared" si="2"/>
        <v>0</v>
      </c>
      <c r="I77" s="10">
        <v>0.34</v>
      </c>
      <c r="J77" s="16"/>
    </row>
    <row r="78" spans="1:10" x14ac:dyDescent="0.3">
      <c r="A78" s="11">
        <v>77</v>
      </c>
      <c r="B78" s="12" t="s">
        <v>784</v>
      </c>
      <c r="C78" s="13">
        <v>46129</v>
      </c>
      <c r="D78" s="13">
        <v>46129</v>
      </c>
      <c r="E78" s="11" t="s">
        <v>25</v>
      </c>
      <c r="F78" s="14">
        <v>0</v>
      </c>
      <c r="G78" s="14">
        <v>0</v>
      </c>
      <c r="H78" s="14">
        <f t="shared" si="2"/>
        <v>0</v>
      </c>
      <c r="I78" s="6">
        <v>0.33</v>
      </c>
      <c r="J78" s="12"/>
    </row>
    <row r="79" spans="1:10" x14ac:dyDescent="0.3">
      <c r="A79" s="15">
        <v>78</v>
      </c>
      <c r="B79" s="16" t="s">
        <v>785</v>
      </c>
      <c r="C79" s="17">
        <v>46129</v>
      </c>
      <c r="D79" s="17">
        <v>46129</v>
      </c>
      <c r="E79" s="15" t="s">
        <v>25</v>
      </c>
      <c r="F79" s="18">
        <v>0</v>
      </c>
      <c r="G79" s="18">
        <v>0</v>
      </c>
      <c r="H79" s="18">
        <f t="shared" si="2"/>
        <v>0</v>
      </c>
      <c r="I79" s="10">
        <v>0.31</v>
      </c>
      <c r="J79" s="16"/>
    </row>
    <row r="80" spans="1:10" x14ac:dyDescent="0.3">
      <c r="A80" s="11">
        <v>79</v>
      </c>
      <c r="B80" s="12" t="s">
        <v>786</v>
      </c>
      <c r="C80" s="13">
        <v>46129</v>
      </c>
      <c r="D80" s="13">
        <v>46129</v>
      </c>
      <c r="E80" s="11" t="s">
        <v>25</v>
      </c>
      <c r="F80" s="14">
        <v>0</v>
      </c>
      <c r="G80" s="14">
        <v>0</v>
      </c>
      <c r="H80" s="14">
        <f t="shared" si="2"/>
        <v>0</v>
      </c>
      <c r="I80" s="6">
        <v>0.27</v>
      </c>
      <c r="J80" s="12"/>
    </row>
    <row r="81" spans="1:10" x14ac:dyDescent="0.3">
      <c r="A81" s="15">
        <v>80</v>
      </c>
      <c r="B81" s="16" t="s">
        <v>787</v>
      </c>
      <c r="C81" s="17">
        <v>46129</v>
      </c>
      <c r="D81" s="17">
        <v>46129</v>
      </c>
      <c r="E81" s="15" t="s">
        <v>25</v>
      </c>
      <c r="F81" s="18">
        <v>0</v>
      </c>
      <c r="G81" s="18">
        <v>0</v>
      </c>
      <c r="H81" s="18">
        <f t="shared" si="2"/>
        <v>0</v>
      </c>
      <c r="I81" s="10">
        <v>0.21</v>
      </c>
      <c r="J81" s="16"/>
    </row>
    <row r="82" spans="1:10" x14ac:dyDescent="0.3">
      <c r="A82" s="11">
        <v>81</v>
      </c>
      <c r="B82" s="12" t="s">
        <v>788</v>
      </c>
      <c r="C82" s="13">
        <v>46129</v>
      </c>
      <c r="D82" s="13">
        <v>46129</v>
      </c>
      <c r="E82" s="11" t="s">
        <v>25</v>
      </c>
      <c r="F82" s="14">
        <v>0</v>
      </c>
      <c r="G82" s="14">
        <v>0</v>
      </c>
      <c r="H82" s="14">
        <f t="shared" si="2"/>
        <v>0</v>
      </c>
      <c r="I82" s="6">
        <v>0.19</v>
      </c>
      <c r="J82" s="12"/>
    </row>
    <row r="83" spans="1:10" x14ac:dyDescent="0.3">
      <c r="A83" s="15">
        <v>82</v>
      </c>
      <c r="B83" s="16" t="s">
        <v>789</v>
      </c>
      <c r="C83" s="17">
        <v>46131</v>
      </c>
      <c r="D83" s="17">
        <v>46131</v>
      </c>
      <c r="E83" s="15" t="s">
        <v>25</v>
      </c>
      <c r="F83" s="18">
        <v>0</v>
      </c>
      <c r="G83" s="18">
        <v>0</v>
      </c>
      <c r="H83" s="18">
        <f t="shared" si="2"/>
        <v>0</v>
      </c>
      <c r="I83" s="10">
        <v>0.28000000000000003</v>
      </c>
      <c r="J83" s="16"/>
    </row>
    <row r="84" spans="1:10" x14ac:dyDescent="0.3">
      <c r="A84" s="11">
        <v>83</v>
      </c>
      <c r="B84" s="12" t="s">
        <v>790</v>
      </c>
      <c r="C84" s="13">
        <v>46131</v>
      </c>
      <c r="D84" s="13">
        <v>46131</v>
      </c>
      <c r="E84" s="11" t="s">
        <v>25</v>
      </c>
      <c r="F84" s="14">
        <v>0</v>
      </c>
      <c r="G84" s="14">
        <v>0</v>
      </c>
      <c r="H84" s="14">
        <f t="shared" si="2"/>
        <v>0</v>
      </c>
      <c r="I84" s="6">
        <v>0.18</v>
      </c>
      <c r="J84" s="12"/>
    </row>
    <row r="85" spans="1:10" x14ac:dyDescent="0.3">
      <c r="A85" s="15">
        <v>84</v>
      </c>
      <c r="B85" s="16" t="s">
        <v>791</v>
      </c>
      <c r="C85" s="17">
        <v>46134</v>
      </c>
      <c r="D85" s="17">
        <v>46137</v>
      </c>
      <c r="E85" s="15" t="s">
        <v>25</v>
      </c>
      <c r="F85" s="18">
        <v>0</v>
      </c>
      <c r="G85" s="18">
        <v>0</v>
      </c>
      <c r="H85" s="18">
        <f t="shared" si="2"/>
        <v>0</v>
      </c>
      <c r="I85" s="10">
        <v>3.47</v>
      </c>
      <c r="J85" s="16"/>
    </row>
    <row r="86" spans="1:10" x14ac:dyDescent="0.3">
      <c r="A86" s="11">
        <v>85</v>
      </c>
      <c r="B86" s="12" t="s">
        <v>792</v>
      </c>
      <c r="C86" s="13">
        <v>46134</v>
      </c>
      <c r="D86" s="13">
        <v>46137</v>
      </c>
      <c r="E86" s="11" t="s">
        <v>25</v>
      </c>
      <c r="F86" s="14">
        <v>0</v>
      </c>
      <c r="G86" s="14">
        <v>0</v>
      </c>
      <c r="H86" s="14">
        <f t="shared" si="2"/>
        <v>0</v>
      </c>
      <c r="I86" s="6">
        <v>3.13</v>
      </c>
      <c r="J86" s="12"/>
    </row>
    <row r="87" spans="1:10" x14ac:dyDescent="0.3">
      <c r="A87" s="15">
        <v>86</v>
      </c>
      <c r="B87" s="16" t="s">
        <v>793</v>
      </c>
      <c r="C87" s="17">
        <v>46134</v>
      </c>
      <c r="D87" s="17">
        <v>46134</v>
      </c>
      <c r="E87" s="15" t="s">
        <v>25</v>
      </c>
      <c r="F87" s="18">
        <v>0</v>
      </c>
      <c r="G87" s="18">
        <v>0</v>
      </c>
      <c r="H87" s="18">
        <f t="shared" si="2"/>
        <v>0</v>
      </c>
      <c r="I87" s="10">
        <v>0.28999999999999998</v>
      </c>
      <c r="J87" s="16"/>
    </row>
    <row r="88" spans="1:10" x14ac:dyDescent="0.3">
      <c r="A88" s="11">
        <v>87</v>
      </c>
      <c r="B88" s="12" t="s">
        <v>794</v>
      </c>
      <c r="C88" s="13">
        <v>46134</v>
      </c>
      <c r="D88" s="13">
        <v>46134</v>
      </c>
      <c r="E88" s="11" t="s">
        <v>25</v>
      </c>
      <c r="F88" s="14">
        <v>0</v>
      </c>
      <c r="G88" s="14">
        <v>0</v>
      </c>
      <c r="H88" s="14">
        <f t="shared" si="2"/>
        <v>0</v>
      </c>
      <c r="I88" s="6">
        <v>0.25</v>
      </c>
      <c r="J88" s="12"/>
    </row>
    <row r="89" spans="1:10" x14ac:dyDescent="0.3">
      <c r="A89" s="15">
        <v>88</v>
      </c>
      <c r="B89" s="16" t="s">
        <v>795</v>
      </c>
      <c r="C89" s="17">
        <v>46134</v>
      </c>
      <c r="D89" s="17">
        <v>46134</v>
      </c>
      <c r="E89" s="15" t="s">
        <v>25</v>
      </c>
      <c r="F89" s="18">
        <v>0</v>
      </c>
      <c r="G89" s="18">
        <v>0</v>
      </c>
      <c r="H89" s="18">
        <f t="shared" si="2"/>
        <v>0</v>
      </c>
      <c r="I89" s="10">
        <v>0.21</v>
      </c>
      <c r="J89" s="16"/>
    </row>
    <row r="90" spans="1:10" x14ac:dyDescent="0.3">
      <c r="A90" s="11">
        <v>89</v>
      </c>
      <c r="B90" s="12" t="s">
        <v>796</v>
      </c>
      <c r="C90" s="13">
        <v>46134</v>
      </c>
      <c r="D90" s="13">
        <v>46134</v>
      </c>
      <c r="E90" s="11" t="s">
        <v>25</v>
      </c>
      <c r="F90" s="14">
        <v>0</v>
      </c>
      <c r="G90" s="14">
        <v>0</v>
      </c>
      <c r="H90" s="14">
        <f t="shared" si="2"/>
        <v>0</v>
      </c>
      <c r="I90" s="6">
        <v>0.23</v>
      </c>
      <c r="J90" s="12"/>
    </row>
    <row r="91" spans="1:10" x14ac:dyDescent="0.3">
      <c r="A91" s="15">
        <v>90</v>
      </c>
      <c r="B91" s="16" t="s">
        <v>797</v>
      </c>
      <c r="C91" s="17">
        <v>46134</v>
      </c>
      <c r="D91" s="17">
        <v>46134</v>
      </c>
      <c r="E91" s="15" t="s">
        <v>25</v>
      </c>
      <c r="F91" s="18">
        <v>0</v>
      </c>
      <c r="G91" s="18">
        <v>0</v>
      </c>
      <c r="H91" s="18">
        <f t="shared" si="2"/>
        <v>0</v>
      </c>
      <c r="I91" s="10">
        <v>0.18</v>
      </c>
      <c r="J91" s="16"/>
    </row>
    <row r="92" spans="1:10" x14ac:dyDescent="0.3">
      <c r="A92" s="11">
        <v>91</v>
      </c>
      <c r="B92" s="12" t="s">
        <v>798</v>
      </c>
      <c r="C92" s="13">
        <v>46134</v>
      </c>
      <c r="D92" s="13">
        <v>46134</v>
      </c>
      <c r="E92" s="11" t="s">
        <v>25</v>
      </c>
      <c r="F92" s="14">
        <v>0</v>
      </c>
      <c r="G92" s="14">
        <v>0</v>
      </c>
      <c r="H92" s="14">
        <f t="shared" si="2"/>
        <v>0</v>
      </c>
      <c r="I92" s="6">
        <v>0.17</v>
      </c>
      <c r="J92" s="12"/>
    </row>
    <row r="93" spans="1:10" x14ac:dyDescent="0.3">
      <c r="A93" s="15">
        <v>92</v>
      </c>
      <c r="B93" s="16" t="s">
        <v>799</v>
      </c>
      <c r="C93" s="17">
        <v>46134</v>
      </c>
      <c r="D93" s="17">
        <v>46134</v>
      </c>
      <c r="E93" s="15" t="s">
        <v>25</v>
      </c>
      <c r="F93" s="18">
        <v>0</v>
      </c>
      <c r="G93" s="18">
        <v>0</v>
      </c>
      <c r="H93" s="18">
        <f t="shared" si="2"/>
        <v>0</v>
      </c>
      <c r="I93" s="10">
        <v>0.14000000000000001</v>
      </c>
      <c r="J93" s="16"/>
    </row>
    <row r="94" spans="1:10" x14ac:dyDescent="0.3">
      <c r="A94" s="11">
        <v>93</v>
      </c>
      <c r="B94" s="12" t="s">
        <v>800</v>
      </c>
      <c r="C94" s="13">
        <v>46134</v>
      </c>
      <c r="D94" s="13">
        <v>46137</v>
      </c>
      <c r="E94" s="11" t="s">
        <v>25</v>
      </c>
      <c r="F94" s="14">
        <v>0</v>
      </c>
      <c r="G94" s="14">
        <v>0</v>
      </c>
      <c r="H94" s="14">
        <f t="shared" si="2"/>
        <v>0</v>
      </c>
      <c r="I94" s="6">
        <v>2.89</v>
      </c>
      <c r="J94" s="12"/>
    </row>
    <row r="95" spans="1:10" x14ac:dyDescent="0.3">
      <c r="A95" s="15">
        <v>94</v>
      </c>
      <c r="B95" s="16" t="s">
        <v>801</v>
      </c>
      <c r="C95" s="17">
        <v>46135</v>
      </c>
      <c r="D95" s="17">
        <v>46137</v>
      </c>
      <c r="E95" s="15" t="s">
        <v>25</v>
      </c>
      <c r="F95" s="18">
        <v>0</v>
      </c>
      <c r="G95" s="18">
        <v>0</v>
      </c>
      <c r="H95" s="18">
        <f t="shared" si="2"/>
        <v>0</v>
      </c>
      <c r="I95" s="10">
        <v>2.08</v>
      </c>
      <c r="J95" s="16"/>
    </row>
    <row r="96" spans="1:10" x14ac:dyDescent="0.3">
      <c r="A96" s="11">
        <v>95</v>
      </c>
      <c r="B96" s="12" t="s">
        <v>802</v>
      </c>
      <c r="C96" s="13">
        <v>46137</v>
      </c>
      <c r="D96" s="13">
        <v>46140</v>
      </c>
      <c r="E96" s="11" t="s">
        <v>25</v>
      </c>
      <c r="F96" s="14">
        <v>0</v>
      </c>
      <c r="G96" s="14">
        <v>0</v>
      </c>
      <c r="H96" s="14">
        <f t="shared" si="2"/>
        <v>0</v>
      </c>
      <c r="I96" s="6">
        <v>2.95</v>
      </c>
      <c r="J96" s="12"/>
    </row>
    <row r="97" spans="1:10" x14ac:dyDescent="0.3">
      <c r="A97" s="15">
        <v>96</v>
      </c>
      <c r="B97" s="16" t="s">
        <v>803</v>
      </c>
      <c r="C97" s="17">
        <v>46137</v>
      </c>
      <c r="D97" s="17">
        <v>46140</v>
      </c>
      <c r="E97" s="15" t="s">
        <v>25</v>
      </c>
      <c r="F97" s="18">
        <v>0</v>
      </c>
      <c r="G97" s="18">
        <v>0</v>
      </c>
      <c r="H97" s="18">
        <f t="shared" si="2"/>
        <v>0</v>
      </c>
      <c r="I97" s="10">
        <v>2.92</v>
      </c>
      <c r="J97" s="16"/>
    </row>
    <row r="98" spans="1:10" x14ac:dyDescent="0.3">
      <c r="A98" s="11">
        <v>97</v>
      </c>
      <c r="B98" s="12" t="s">
        <v>804</v>
      </c>
      <c r="C98" s="13">
        <v>46137</v>
      </c>
      <c r="D98" s="13">
        <v>46140</v>
      </c>
      <c r="E98" s="11" t="s">
        <v>25</v>
      </c>
      <c r="F98" s="14">
        <v>0</v>
      </c>
      <c r="G98" s="14">
        <v>0</v>
      </c>
      <c r="H98" s="14">
        <f t="shared" ref="H98:H129" si="3">F98+G98</f>
        <v>0</v>
      </c>
      <c r="I98" s="6">
        <v>2.89</v>
      </c>
      <c r="J98" s="12"/>
    </row>
    <row r="99" spans="1:10" x14ac:dyDescent="0.3">
      <c r="A99" s="15">
        <v>98</v>
      </c>
      <c r="B99" s="16" t="s">
        <v>805</v>
      </c>
      <c r="C99" s="17">
        <v>46137</v>
      </c>
      <c r="D99" s="17">
        <v>46140</v>
      </c>
      <c r="E99" s="15" t="s">
        <v>25</v>
      </c>
      <c r="F99" s="18">
        <v>0</v>
      </c>
      <c r="G99" s="18">
        <v>0</v>
      </c>
      <c r="H99" s="18">
        <f t="shared" si="3"/>
        <v>0</v>
      </c>
      <c r="I99" s="10">
        <v>2.88</v>
      </c>
      <c r="J99" s="16"/>
    </row>
    <row r="100" spans="1:10" x14ac:dyDescent="0.3">
      <c r="A100" s="11">
        <v>99</v>
      </c>
      <c r="B100" s="12" t="s">
        <v>806</v>
      </c>
      <c r="C100" s="13">
        <v>46137</v>
      </c>
      <c r="D100" s="13">
        <v>46140</v>
      </c>
      <c r="E100" s="11" t="s">
        <v>25</v>
      </c>
      <c r="F100" s="14">
        <v>0</v>
      </c>
      <c r="G100" s="14">
        <v>0</v>
      </c>
      <c r="H100" s="14">
        <f t="shared" si="3"/>
        <v>0</v>
      </c>
      <c r="I100" s="6">
        <v>2.86</v>
      </c>
      <c r="J100" s="12"/>
    </row>
    <row r="101" spans="1:10" x14ac:dyDescent="0.3">
      <c r="A101" s="15">
        <v>100</v>
      </c>
      <c r="B101" s="16" t="s">
        <v>807</v>
      </c>
      <c r="C101" s="17">
        <v>46137</v>
      </c>
      <c r="D101" s="17">
        <v>46140</v>
      </c>
      <c r="E101" s="15" t="s">
        <v>25</v>
      </c>
      <c r="F101" s="18">
        <v>0</v>
      </c>
      <c r="G101" s="18">
        <v>0</v>
      </c>
      <c r="H101" s="18">
        <f t="shared" si="3"/>
        <v>0</v>
      </c>
      <c r="I101" s="10">
        <v>2.84</v>
      </c>
      <c r="J101" s="16"/>
    </row>
    <row r="102" spans="1:10" x14ac:dyDescent="0.3">
      <c r="A102" s="11">
        <v>101</v>
      </c>
      <c r="B102" s="12" t="s">
        <v>808</v>
      </c>
      <c r="C102" s="13">
        <v>46137</v>
      </c>
      <c r="D102" s="13">
        <v>46140</v>
      </c>
      <c r="E102" s="11" t="s">
        <v>25</v>
      </c>
      <c r="F102" s="14">
        <v>0</v>
      </c>
      <c r="G102" s="14">
        <v>0</v>
      </c>
      <c r="H102" s="14">
        <f t="shared" si="3"/>
        <v>0</v>
      </c>
      <c r="I102" s="6">
        <v>2.8</v>
      </c>
      <c r="J102" s="12"/>
    </row>
    <row r="103" spans="1:10" x14ac:dyDescent="0.3">
      <c r="A103" s="15">
        <v>102</v>
      </c>
      <c r="B103" s="16" t="s">
        <v>809</v>
      </c>
      <c r="C103" s="17">
        <v>46137</v>
      </c>
      <c r="D103" s="17">
        <v>46140</v>
      </c>
      <c r="E103" s="15" t="s">
        <v>25</v>
      </c>
      <c r="F103" s="18">
        <v>0</v>
      </c>
      <c r="G103" s="18">
        <v>0</v>
      </c>
      <c r="H103" s="18">
        <f t="shared" si="3"/>
        <v>0</v>
      </c>
      <c r="I103" s="10">
        <v>2.8</v>
      </c>
      <c r="J103" s="16"/>
    </row>
    <row r="104" spans="1:10" x14ac:dyDescent="0.3">
      <c r="A104" s="11">
        <v>103</v>
      </c>
      <c r="B104" s="12" t="s">
        <v>810</v>
      </c>
      <c r="C104" s="13">
        <v>46137</v>
      </c>
      <c r="D104" s="13">
        <v>46140</v>
      </c>
      <c r="E104" s="11" t="s">
        <v>25</v>
      </c>
      <c r="F104" s="14">
        <v>0</v>
      </c>
      <c r="G104" s="14">
        <v>0</v>
      </c>
      <c r="H104" s="14">
        <f t="shared" si="3"/>
        <v>0</v>
      </c>
      <c r="I104" s="6">
        <v>2.78</v>
      </c>
      <c r="J104" s="12"/>
    </row>
    <row r="105" spans="1:10" x14ac:dyDescent="0.3">
      <c r="A105" s="15">
        <v>104</v>
      </c>
      <c r="B105" s="16" t="s">
        <v>811</v>
      </c>
      <c r="C105" s="17">
        <v>46137</v>
      </c>
      <c r="D105" s="17">
        <v>46140</v>
      </c>
      <c r="E105" s="15" t="s">
        <v>25</v>
      </c>
      <c r="F105" s="18">
        <v>0</v>
      </c>
      <c r="G105" s="18">
        <v>0</v>
      </c>
      <c r="H105" s="18">
        <f t="shared" si="3"/>
        <v>0</v>
      </c>
      <c r="I105" s="10">
        <v>2.75</v>
      </c>
      <c r="J105" s="16"/>
    </row>
    <row r="106" spans="1:10" x14ac:dyDescent="0.3">
      <c r="A106" s="11">
        <v>105</v>
      </c>
      <c r="B106" s="12" t="s">
        <v>812</v>
      </c>
      <c r="C106" s="13">
        <v>46137</v>
      </c>
      <c r="D106" s="13">
        <v>46140</v>
      </c>
      <c r="E106" s="11" t="s">
        <v>25</v>
      </c>
      <c r="F106" s="14">
        <v>0</v>
      </c>
      <c r="G106" s="14">
        <v>0</v>
      </c>
      <c r="H106" s="14">
        <f t="shared" si="3"/>
        <v>0</v>
      </c>
      <c r="I106" s="6">
        <v>2.75</v>
      </c>
      <c r="J106" s="12"/>
    </row>
    <row r="107" spans="1:10" x14ac:dyDescent="0.3">
      <c r="A107" s="15">
        <v>106</v>
      </c>
      <c r="B107" s="16" t="s">
        <v>813</v>
      </c>
      <c r="C107" s="17">
        <v>46137</v>
      </c>
      <c r="D107" s="17">
        <v>46140</v>
      </c>
      <c r="E107" s="15" t="s">
        <v>25</v>
      </c>
      <c r="F107" s="18">
        <v>0</v>
      </c>
      <c r="G107" s="18">
        <v>0</v>
      </c>
      <c r="H107" s="18">
        <f t="shared" si="3"/>
        <v>0</v>
      </c>
      <c r="I107" s="10">
        <v>2.68</v>
      </c>
      <c r="J107" s="16"/>
    </row>
    <row r="108" spans="1:10" x14ac:dyDescent="0.3">
      <c r="A108" s="11">
        <v>107</v>
      </c>
      <c r="B108" s="12" t="s">
        <v>814</v>
      </c>
      <c r="C108" s="13">
        <v>46137</v>
      </c>
      <c r="D108" s="13">
        <v>46140</v>
      </c>
      <c r="E108" s="11" t="s">
        <v>25</v>
      </c>
      <c r="F108" s="14">
        <v>0</v>
      </c>
      <c r="G108" s="14">
        <v>0</v>
      </c>
      <c r="H108" s="14">
        <f t="shared" si="3"/>
        <v>0</v>
      </c>
      <c r="I108" s="6">
        <v>2.6</v>
      </c>
      <c r="J108" s="12"/>
    </row>
    <row r="109" spans="1:10" x14ac:dyDescent="0.3">
      <c r="A109" s="15">
        <v>108</v>
      </c>
      <c r="B109" s="16" t="s">
        <v>815</v>
      </c>
      <c r="C109" s="17">
        <v>46138</v>
      </c>
      <c r="D109" s="17">
        <v>46140</v>
      </c>
      <c r="E109" s="15" t="s">
        <v>25</v>
      </c>
      <c r="F109" s="18">
        <v>0</v>
      </c>
      <c r="G109" s="18">
        <v>0</v>
      </c>
      <c r="H109" s="18">
        <f t="shared" si="3"/>
        <v>0</v>
      </c>
      <c r="I109" s="10">
        <v>2.04</v>
      </c>
      <c r="J109" s="16"/>
    </row>
    <row r="110" spans="1:10" x14ac:dyDescent="0.3">
      <c r="A110" s="11">
        <v>109</v>
      </c>
      <c r="B110" s="12" t="s">
        <v>816</v>
      </c>
      <c r="C110" s="13">
        <v>46138</v>
      </c>
      <c r="D110" s="13">
        <v>46140</v>
      </c>
      <c r="E110" s="11" t="s">
        <v>25</v>
      </c>
      <c r="F110" s="14">
        <v>0</v>
      </c>
      <c r="G110" s="14">
        <v>0</v>
      </c>
      <c r="H110" s="14">
        <f t="shared" si="3"/>
        <v>0</v>
      </c>
      <c r="I110" s="6">
        <v>1.94</v>
      </c>
      <c r="J110" s="12"/>
    </row>
    <row r="111" spans="1:10" x14ac:dyDescent="0.3">
      <c r="A111" s="15">
        <v>110</v>
      </c>
      <c r="B111" s="16" t="s">
        <v>817</v>
      </c>
      <c r="C111" s="17">
        <v>46138</v>
      </c>
      <c r="D111" s="17">
        <v>46140</v>
      </c>
      <c r="E111" s="15" t="s">
        <v>25</v>
      </c>
      <c r="F111" s="18">
        <v>0</v>
      </c>
      <c r="G111" s="18">
        <v>0</v>
      </c>
      <c r="H111" s="18">
        <f t="shared" si="3"/>
        <v>0</v>
      </c>
      <c r="I111" s="10">
        <v>1.91</v>
      </c>
      <c r="J111" s="16"/>
    </row>
    <row r="112" spans="1:10" x14ac:dyDescent="0.3">
      <c r="A112" s="11">
        <v>111</v>
      </c>
      <c r="B112" s="12" t="s">
        <v>818</v>
      </c>
      <c r="C112" s="13">
        <v>46138</v>
      </c>
      <c r="D112" s="13">
        <v>46140</v>
      </c>
      <c r="E112" s="11" t="s">
        <v>25</v>
      </c>
      <c r="F112" s="14">
        <v>0</v>
      </c>
      <c r="G112" s="14">
        <v>0</v>
      </c>
      <c r="H112" s="14">
        <f t="shared" si="3"/>
        <v>0</v>
      </c>
      <c r="I112" s="6">
        <v>1.88</v>
      </c>
      <c r="J112" s="12"/>
    </row>
    <row r="113" spans="1:10" x14ac:dyDescent="0.3">
      <c r="A113" s="15">
        <v>112</v>
      </c>
      <c r="B113" s="16" t="s">
        <v>819</v>
      </c>
      <c r="C113" s="17">
        <v>46138</v>
      </c>
      <c r="D113" s="17">
        <v>46140</v>
      </c>
      <c r="E113" s="15" t="s">
        <v>25</v>
      </c>
      <c r="F113" s="18">
        <v>0</v>
      </c>
      <c r="G113" s="18">
        <v>0</v>
      </c>
      <c r="H113" s="18">
        <f t="shared" si="3"/>
        <v>0</v>
      </c>
      <c r="I113" s="10">
        <v>1.81</v>
      </c>
      <c r="J113" s="16"/>
    </row>
    <row r="114" spans="1:10" x14ac:dyDescent="0.3">
      <c r="A114" s="11">
        <v>113</v>
      </c>
      <c r="B114" s="12" t="s">
        <v>820</v>
      </c>
      <c r="C114" s="13">
        <v>46138</v>
      </c>
      <c r="D114" s="13">
        <v>46140</v>
      </c>
      <c r="E114" s="11" t="s">
        <v>25</v>
      </c>
      <c r="F114" s="14">
        <v>0</v>
      </c>
      <c r="G114" s="14">
        <v>0</v>
      </c>
      <c r="H114" s="14">
        <f t="shared" si="3"/>
        <v>0</v>
      </c>
      <c r="I114" s="6">
        <v>1.81</v>
      </c>
      <c r="J114" s="12"/>
    </row>
    <row r="115" spans="1:10" x14ac:dyDescent="0.3">
      <c r="A115" s="15">
        <v>114</v>
      </c>
      <c r="B115" s="16" t="s">
        <v>821</v>
      </c>
      <c r="C115" s="17">
        <v>46138</v>
      </c>
      <c r="D115" s="17">
        <v>46140</v>
      </c>
      <c r="E115" s="15" t="s">
        <v>25</v>
      </c>
      <c r="F115" s="18">
        <v>0</v>
      </c>
      <c r="G115" s="18">
        <v>0</v>
      </c>
      <c r="H115" s="18">
        <f t="shared" si="3"/>
        <v>0</v>
      </c>
      <c r="I115" s="10">
        <v>1.7</v>
      </c>
      <c r="J115" s="16"/>
    </row>
    <row r="116" spans="1:10" x14ac:dyDescent="0.3">
      <c r="A116" s="11">
        <v>115</v>
      </c>
      <c r="B116" s="12" t="s">
        <v>822</v>
      </c>
      <c r="C116" s="13">
        <v>46138</v>
      </c>
      <c r="D116" s="13">
        <v>46140</v>
      </c>
      <c r="E116" s="11" t="s">
        <v>25</v>
      </c>
      <c r="F116" s="14">
        <v>0</v>
      </c>
      <c r="G116" s="14">
        <v>0</v>
      </c>
      <c r="H116" s="14">
        <f t="shared" si="3"/>
        <v>0</v>
      </c>
      <c r="I116" s="6">
        <v>1.69</v>
      </c>
      <c r="J116" s="12"/>
    </row>
    <row r="117" spans="1:10" x14ac:dyDescent="0.3">
      <c r="A117" s="15">
        <v>116</v>
      </c>
      <c r="B117" s="16" t="s">
        <v>823</v>
      </c>
      <c r="C117" s="17">
        <v>46138</v>
      </c>
      <c r="D117" s="17">
        <v>46140</v>
      </c>
      <c r="E117" s="15" t="s">
        <v>25</v>
      </c>
      <c r="F117" s="18">
        <v>0</v>
      </c>
      <c r="G117" s="18">
        <v>0</v>
      </c>
      <c r="H117" s="18">
        <f t="shared" si="3"/>
        <v>0</v>
      </c>
      <c r="I117" s="10">
        <v>1.68</v>
      </c>
      <c r="J117" s="16"/>
    </row>
    <row r="118" spans="1:10" x14ac:dyDescent="0.3">
      <c r="A118" s="11">
        <v>117</v>
      </c>
      <c r="B118" s="12" t="s">
        <v>824</v>
      </c>
      <c r="C118" s="13">
        <v>46138</v>
      </c>
      <c r="D118" s="13">
        <v>46140</v>
      </c>
      <c r="E118" s="11" t="s">
        <v>25</v>
      </c>
      <c r="F118" s="14">
        <v>0</v>
      </c>
      <c r="G118" s="14">
        <v>0</v>
      </c>
      <c r="H118" s="14">
        <f t="shared" si="3"/>
        <v>0</v>
      </c>
      <c r="I118" s="6">
        <v>1.67</v>
      </c>
      <c r="J118" s="12"/>
    </row>
    <row r="119" spans="1:10" x14ac:dyDescent="0.3">
      <c r="A119" s="15">
        <v>118</v>
      </c>
      <c r="B119" s="16" t="s">
        <v>825</v>
      </c>
      <c r="C119" s="17">
        <v>46138</v>
      </c>
      <c r="D119" s="17">
        <v>46140</v>
      </c>
      <c r="E119" s="15" t="s">
        <v>25</v>
      </c>
      <c r="F119" s="18">
        <v>0</v>
      </c>
      <c r="G119" s="18">
        <v>0</v>
      </c>
      <c r="H119" s="18">
        <f t="shared" si="3"/>
        <v>0</v>
      </c>
      <c r="I119" s="10">
        <v>1.66</v>
      </c>
      <c r="J119" s="16"/>
    </row>
    <row r="120" spans="1:10" x14ac:dyDescent="0.3">
      <c r="A120" s="11">
        <v>119</v>
      </c>
      <c r="B120" s="12" t="s">
        <v>826</v>
      </c>
      <c r="C120" s="13">
        <v>46139</v>
      </c>
      <c r="D120" s="13">
        <v>46140</v>
      </c>
      <c r="E120" s="11" t="s">
        <v>25</v>
      </c>
      <c r="F120" s="14">
        <v>0</v>
      </c>
      <c r="G120" s="14">
        <v>0</v>
      </c>
      <c r="H120" s="14">
        <f t="shared" si="3"/>
        <v>0</v>
      </c>
      <c r="I120" s="6">
        <v>0.96</v>
      </c>
      <c r="J120" s="12"/>
    </row>
    <row r="121" spans="1:10" x14ac:dyDescent="0.3">
      <c r="A121" s="15">
        <v>120</v>
      </c>
      <c r="B121" s="16" t="s">
        <v>827</v>
      </c>
      <c r="C121" s="17">
        <v>46139</v>
      </c>
      <c r="D121" s="17">
        <v>46140</v>
      </c>
      <c r="E121" s="15" t="s">
        <v>25</v>
      </c>
      <c r="F121" s="18">
        <v>0</v>
      </c>
      <c r="G121" s="18">
        <v>0</v>
      </c>
      <c r="H121" s="18">
        <f t="shared" si="3"/>
        <v>0</v>
      </c>
      <c r="I121" s="10">
        <v>0.85</v>
      </c>
      <c r="J121" s="16"/>
    </row>
    <row r="122" spans="1:10" x14ac:dyDescent="0.3">
      <c r="A122" s="11">
        <v>121</v>
      </c>
      <c r="B122" s="12" t="s">
        <v>828</v>
      </c>
      <c r="C122" s="13">
        <v>46139</v>
      </c>
      <c r="D122" s="13">
        <v>46140</v>
      </c>
      <c r="E122" s="11" t="s">
        <v>25</v>
      </c>
      <c r="F122" s="14">
        <v>0</v>
      </c>
      <c r="G122" s="14">
        <v>0</v>
      </c>
      <c r="H122" s="14">
        <f t="shared" si="3"/>
        <v>0</v>
      </c>
      <c r="I122" s="6">
        <v>0.83</v>
      </c>
      <c r="J122" s="12"/>
    </row>
    <row r="123" spans="1:10" x14ac:dyDescent="0.3">
      <c r="A123" s="19" t="s">
        <v>265</v>
      </c>
      <c r="B123" s="20"/>
      <c r="C123" s="20"/>
      <c r="D123" s="20"/>
      <c r="E123" s="20"/>
      <c r="F123" s="21">
        <f>SUM(F2:F122)</f>
        <v>0</v>
      </c>
      <c r="G123" s="21">
        <f>SUM(G2:G122)</f>
        <v>0</v>
      </c>
      <c r="H123" s="21">
        <f>SUM(H2:H122)</f>
        <v>0</v>
      </c>
      <c r="I123" s="22">
        <f>SUM(I2:I122)</f>
        <v>233.15000000000009</v>
      </c>
      <c r="J123" s="20"/>
    </row>
    <row r="124" spans="1:10" x14ac:dyDescent="0.3">
      <c r="A124" s="19" t="s">
        <v>266</v>
      </c>
      <c r="B124" s="23">
        <f>COUNTA(B2:B122)</f>
        <v>121</v>
      </c>
      <c r="C124" s="19" t="s">
        <v>267</v>
      </c>
      <c r="D124" s="24">
        <f>SUM(I2:I122)</f>
        <v>233.15000000000009</v>
      </c>
      <c r="E124" s="19" t="s">
        <v>268</v>
      </c>
      <c r="F124" s="22">
        <f>AVERAGE(I2:I122)</f>
        <v>1.9268595041322321</v>
      </c>
      <c r="G124" s="20"/>
      <c r="H124" s="20"/>
      <c r="I124" s="20"/>
      <c r="J124" s="20"/>
    </row>
  </sheetData>
  <phoneticPr fontId="7"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55"/>
  <sheetViews>
    <sheetView workbookViewId="0">
      <pane ySplit="1" topLeftCell="A2" activePane="bottomLeft" state="frozen"/>
      <selection pane="bottomLeft"/>
    </sheetView>
  </sheetViews>
  <sheetFormatPr defaultRowHeight="15" x14ac:dyDescent="0.3"/>
  <cols>
    <col min="1" max="1" width="6" customWidth="1"/>
    <col min="2" max="2" width="20" customWidth="1"/>
    <col min="3" max="4" width="13" customWidth="1"/>
    <col min="5" max="5" width="10" customWidth="1"/>
    <col min="6" max="9" width="11" customWidth="1"/>
    <col min="10" max="10" width="16" customWidth="1"/>
  </cols>
  <sheetData>
    <row r="1" spans="1:10" ht="19.95" customHeight="1" x14ac:dyDescent="0.3">
      <c r="A1" s="1" t="s">
        <v>14</v>
      </c>
      <c r="B1" s="1" t="s">
        <v>15</v>
      </c>
      <c r="C1" s="1" t="s">
        <v>16</v>
      </c>
      <c r="D1" s="1" t="s">
        <v>17</v>
      </c>
      <c r="E1" s="1" t="s">
        <v>18</v>
      </c>
      <c r="F1" s="1" t="s">
        <v>19</v>
      </c>
      <c r="G1" s="1" t="s">
        <v>20</v>
      </c>
      <c r="H1" s="1" t="s">
        <v>21</v>
      </c>
      <c r="I1" s="1" t="s">
        <v>22</v>
      </c>
      <c r="J1" s="1" t="s">
        <v>23</v>
      </c>
    </row>
    <row r="2" spans="1:10" x14ac:dyDescent="0.3">
      <c r="A2" s="11">
        <v>1</v>
      </c>
      <c r="B2" s="12" t="s">
        <v>829</v>
      </c>
      <c r="C2" s="13">
        <v>46139</v>
      </c>
      <c r="D2" s="13">
        <v>46147</v>
      </c>
      <c r="E2" s="11" t="s">
        <v>25</v>
      </c>
      <c r="F2" s="14">
        <v>0</v>
      </c>
      <c r="G2" s="14">
        <v>0</v>
      </c>
      <c r="H2" s="14">
        <f t="shared" ref="H2:H33" si="0">F2+G2</f>
        <v>0</v>
      </c>
      <c r="I2" s="6">
        <v>8.0500000000000007</v>
      </c>
      <c r="J2" s="12"/>
    </row>
    <row r="3" spans="1:10" x14ac:dyDescent="0.3">
      <c r="A3" s="15">
        <v>2</v>
      </c>
      <c r="B3" s="16" t="s">
        <v>830</v>
      </c>
      <c r="C3" s="17">
        <v>46139</v>
      </c>
      <c r="D3" s="17">
        <v>46147</v>
      </c>
      <c r="E3" s="15" t="s">
        <v>25</v>
      </c>
      <c r="F3" s="18">
        <v>0</v>
      </c>
      <c r="G3" s="18">
        <v>0</v>
      </c>
      <c r="H3" s="18">
        <f t="shared" si="0"/>
        <v>0</v>
      </c>
      <c r="I3" s="10">
        <v>7.94</v>
      </c>
      <c r="J3" s="16"/>
    </row>
    <row r="4" spans="1:10" x14ac:dyDescent="0.3">
      <c r="A4" s="11">
        <v>3</v>
      </c>
      <c r="B4" s="12" t="s">
        <v>831</v>
      </c>
      <c r="C4" s="13">
        <v>46139</v>
      </c>
      <c r="D4" s="13">
        <v>46147</v>
      </c>
      <c r="E4" s="11" t="s">
        <v>25</v>
      </c>
      <c r="F4" s="14">
        <v>0</v>
      </c>
      <c r="G4" s="14">
        <v>0</v>
      </c>
      <c r="H4" s="14">
        <f t="shared" si="0"/>
        <v>0</v>
      </c>
      <c r="I4" s="6">
        <v>7.91</v>
      </c>
      <c r="J4" s="12"/>
    </row>
    <row r="5" spans="1:10" x14ac:dyDescent="0.3">
      <c r="A5" s="15">
        <v>4</v>
      </c>
      <c r="B5" s="16" t="s">
        <v>832</v>
      </c>
      <c r="C5" s="17">
        <v>46139</v>
      </c>
      <c r="D5" s="17">
        <v>46147</v>
      </c>
      <c r="E5" s="15" t="s">
        <v>25</v>
      </c>
      <c r="F5" s="18">
        <v>0</v>
      </c>
      <c r="G5" s="18">
        <v>0</v>
      </c>
      <c r="H5" s="18">
        <f t="shared" si="0"/>
        <v>0</v>
      </c>
      <c r="I5" s="10">
        <v>7.91</v>
      </c>
      <c r="J5" s="16"/>
    </row>
    <row r="6" spans="1:10" x14ac:dyDescent="0.3">
      <c r="A6" s="11">
        <v>5</v>
      </c>
      <c r="B6" s="12" t="s">
        <v>833</v>
      </c>
      <c r="C6" s="13">
        <v>46139</v>
      </c>
      <c r="D6" s="13">
        <v>46147</v>
      </c>
      <c r="E6" s="11" t="s">
        <v>25</v>
      </c>
      <c r="F6" s="14">
        <v>0</v>
      </c>
      <c r="G6" s="14">
        <v>0</v>
      </c>
      <c r="H6" s="14">
        <f t="shared" si="0"/>
        <v>0</v>
      </c>
      <c r="I6" s="6">
        <v>7.88</v>
      </c>
      <c r="J6" s="12"/>
    </row>
    <row r="7" spans="1:10" x14ac:dyDescent="0.3">
      <c r="A7" s="15">
        <v>6</v>
      </c>
      <c r="B7" s="16" t="s">
        <v>834</v>
      </c>
      <c r="C7" s="17">
        <v>46140</v>
      </c>
      <c r="D7" s="17">
        <v>46147</v>
      </c>
      <c r="E7" s="15" t="s">
        <v>25</v>
      </c>
      <c r="F7" s="18">
        <v>0</v>
      </c>
      <c r="G7" s="18">
        <v>0</v>
      </c>
      <c r="H7" s="18">
        <f t="shared" si="0"/>
        <v>0</v>
      </c>
      <c r="I7" s="10">
        <v>7.01</v>
      </c>
      <c r="J7" s="16"/>
    </row>
    <row r="8" spans="1:10" x14ac:dyDescent="0.3">
      <c r="A8" s="11">
        <v>7</v>
      </c>
      <c r="B8" s="12" t="s">
        <v>835</v>
      </c>
      <c r="C8" s="13">
        <v>46140</v>
      </c>
      <c r="D8" s="13">
        <v>46147</v>
      </c>
      <c r="E8" s="11" t="s">
        <v>25</v>
      </c>
      <c r="F8" s="14">
        <v>0</v>
      </c>
      <c r="G8" s="14">
        <v>0</v>
      </c>
      <c r="H8" s="14">
        <f t="shared" si="0"/>
        <v>0</v>
      </c>
      <c r="I8" s="6">
        <v>6.99</v>
      </c>
      <c r="J8" s="12"/>
    </row>
    <row r="9" spans="1:10" x14ac:dyDescent="0.3">
      <c r="A9" s="15">
        <v>8</v>
      </c>
      <c r="B9" s="16" t="s">
        <v>836</v>
      </c>
      <c r="C9" s="17">
        <v>46140</v>
      </c>
      <c r="D9" s="17">
        <v>46147</v>
      </c>
      <c r="E9" s="15" t="s">
        <v>25</v>
      </c>
      <c r="F9" s="18">
        <v>0</v>
      </c>
      <c r="G9" s="18">
        <v>0</v>
      </c>
      <c r="H9" s="18">
        <f t="shared" si="0"/>
        <v>0</v>
      </c>
      <c r="I9" s="10">
        <v>6.99</v>
      </c>
      <c r="J9" s="16"/>
    </row>
    <row r="10" spans="1:10" x14ac:dyDescent="0.3">
      <c r="A10" s="11">
        <v>9</v>
      </c>
      <c r="B10" s="12" t="s">
        <v>837</v>
      </c>
      <c r="C10" s="13">
        <v>46140</v>
      </c>
      <c r="D10" s="13">
        <v>46147</v>
      </c>
      <c r="E10" s="11" t="s">
        <v>25</v>
      </c>
      <c r="F10" s="14">
        <v>0</v>
      </c>
      <c r="G10" s="14">
        <v>0</v>
      </c>
      <c r="H10" s="14">
        <f t="shared" si="0"/>
        <v>0</v>
      </c>
      <c r="I10" s="6">
        <v>6.98</v>
      </c>
      <c r="J10" s="12"/>
    </row>
    <row r="11" spans="1:10" x14ac:dyDescent="0.3">
      <c r="A11" s="15">
        <v>10</v>
      </c>
      <c r="B11" s="16" t="s">
        <v>838</v>
      </c>
      <c r="C11" s="17">
        <v>46141</v>
      </c>
      <c r="D11" s="17">
        <v>46148</v>
      </c>
      <c r="E11" s="15" t="s">
        <v>25</v>
      </c>
      <c r="F11" s="18">
        <v>0</v>
      </c>
      <c r="G11" s="18">
        <v>0</v>
      </c>
      <c r="H11" s="18">
        <f t="shared" si="0"/>
        <v>0</v>
      </c>
      <c r="I11" s="10">
        <v>7.13</v>
      </c>
      <c r="J11" s="16"/>
    </row>
    <row r="12" spans="1:10" x14ac:dyDescent="0.3">
      <c r="A12" s="11">
        <v>11</v>
      </c>
      <c r="B12" s="12" t="s">
        <v>839</v>
      </c>
      <c r="C12" s="13">
        <v>46141</v>
      </c>
      <c r="D12" s="13">
        <v>46147</v>
      </c>
      <c r="E12" s="11" t="s">
        <v>25</v>
      </c>
      <c r="F12" s="14">
        <v>0</v>
      </c>
      <c r="G12" s="14">
        <v>0</v>
      </c>
      <c r="H12" s="14">
        <f t="shared" si="0"/>
        <v>0</v>
      </c>
      <c r="I12" s="6">
        <v>5.84</v>
      </c>
      <c r="J12" s="12"/>
    </row>
    <row r="13" spans="1:10" x14ac:dyDescent="0.3">
      <c r="A13" s="15">
        <v>12</v>
      </c>
      <c r="B13" s="16" t="s">
        <v>840</v>
      </c>
      <c r="C13" s="17">
        <v>46141</v>
      </c>
      <c r="D13" s="17">
        <v>46147</v>
      </c>
      <c r="E13" s="15" t="s">
        <v>25</v>
      </c>
      <c r="F13" s="18">
        <v>0</v>
      </c>
      <c r="G13" s="18">
        <v>0</v>
      </c>
      <c r="H13" s="18">
        <f t="shared" si="0"/>
        <v>0</v>
      </c>
      <c r="I13" s="10">
        <v>5.81</v>
      </c>
      <c r="J13" s="16"/>
    </row>
    <row r="14" spans="1:10" x14ac:dyDescent="0.3">
      <c r="A14" s="11">
        <v>13</v>
      </c>
      <c r="B14" s="12" t="s">
        <v>841</v>
      </c>
      <c r="C14" s="13">
        <v>46141</v>
      </c>
      <c r="D14" s="13">
        <v>46147</v>
      </c>
      <c r="E14" s="11" t="s">
        <v>25</v>
      </c>
      <c r="F14" s="14">
        <v>0</v>
      </c>
      <c r="G14" s="14">
        <v>0</v>
      </c>
      <c r="H14" s="14">
        <f t="shared" si="0"/>
        <v>0</v>
      </c>
      <c r="I14" s="6">
        <v>5.79</v>
      </c>
      <c r="J14" s="12"/>
    </row>
    <row r="15" spans="1:10" x14ac:dyDescent="0.3">
      <c r="A15" s="15">
        <v>14</v>
      </c>
      <c r="B15" s="16" t="s">
        <v>842</v>
      </c>
      <c r="C15" s="17">
        <v>46141</v>
      </c>
      <c r="D15" s="17">
        <v>46147</v>
      </c>
      <c r="E15" s="15" t="s">
        <v>25</v>
      </c>
      <c r="F15" s="18">
        <v>0</v>
      </c>
      <c r="G15" s="18">
        <v>0</v>
      </c>
      <c r="H15" s="18">
        <f t="shared" si="0"/>
        <v>0</v>
      </c>
      <c r="I15" s="10">
        <v>5.75</v>
      </c>
      <c r="J15" s="16"/>
    </row>
    <row r="16" spans="1:10" x14ac:dyDescent="0.3">
      <c r="A16" s="11">
        <v>15</v>
      </c>
      <c r="B16" s="12" t="s">
        <v>843</v>
      </c>
      <c r="C16" s="13">
        <v>46142</v>
      </c>
      <c r="D16" s="13">
        <v>46147</v>
      </c>
      <c r="E16" s="11" t="s">
        <v>25</v>
      </c>
      <c r="F16" s="14">
        <v>0</v>
      </c>
      <c r="G16" s="14">
        <v>0</v>
      </c>
      <c r="H16" s="14">
        <f t="shared" si="0"/>
        <v>0</v>
      </c>
      <c r="I16" s="6">
        <v>5.0199999999999996</v>
      </c>
      <c r="J16" s="12"/>
    </row>
    <row r="17" spans="1:10" x14ac:dyDescent="0.3">
      <c r="A17" s="15">
        <v>16</v>
      </c>
      <c r="B17" s="16" t="s">
        <v>844</v>
      </c>
      <c r="C17" s="17">
        <v>46142</v>
      </c>
      <c r="D17" s="17">
        <v>46147</v>
      </c>
      <c r="E17" s="15" t="s">
        <v>25</v>
      </c>
      <c r="F17" s="18">
        <v>0</v>
      </c>
      <c r="G17" s="18">
        <v>0</v>
      </c>
      <c r="H17" s="18">
        <f t="shared" si="0"/>
        <v>0</v>
      </c>
      <c r="I17" s="10">
        <v>4.9000000000000004</v>
      </c>
      <c r="J17" s="16"/>
    </row>
    <row r="18" spans="1:10" x14ac:dyDescent="0.3">
      <c r="A18" s="11">
        <v>17</v>
      </c>
      <c r="B18" s="12" t="s">
        <v>845</v>
      </c>
      <c r="C18" s="13">
        <v>46142</v>
      </c>
      <c r="D18" s="13">
        <v>46147</v>
      </c>
      <c r="E18" s="11" t="s">
        <v>25</v>
      </c>
      <c r="F18" s="14">
        <v>0</v>
      </c>
      <c r="G18" s="14">
        <v>0</v>
      </c>
      <c r="H18" s="14">
        <f t="shared" si="0"/>
        <v>0</v>
      </c>
      <c r="I18" s="6">
        <v>4.9000000000000004</v>
      </c>
      <c r="J18" s="12"/>
    </row>
    <row r="19" spans="1:10" x14ac:dyDescent="0.3">
      <c r="A19" s="15">
        <v>18</v>
      </c>
      <c r="B19" s="16" t="s">
        <v>846</v>
      </c>
      <c r="C19" s="17">
        <v>46142</v>
      </c>
      <c r="D19" s="17">
        <v>46147</v>
      </c>
      <c r="E19" s="15" t="s">
        <v>25</v>
      </c>
      <c r="F19" s="18">
        <v>0</v>
      </c>
      <c r="G19" s="18">
        <v>0</v>
      </c>
      <c r="H19" s="18">
        <f t="shared" si="0"/>
        <v>0</v>
      </c>
      <c r="I19" s="10">
        <v>4.9000000000000004</v>
      </c>
      <c r="J19" s="16"/>
    </row>
    <row r="20" spans="1:10" x14ac:dyDescent="0.3">
      <c r="A20" s="11">
        <v>19</v>
      </c>
      <c r="B20" s="12" t="s">
        <v>847</v>
      </c>
      <c r="C20" s="13">
        <v>46142</v>
      </c>
      <c r="D20" s="13">
        <v>46147</v>
      </c>
      <c r="E20" s="11" t="s">
        <v>25</v>
      </c>
      <c r="F20" s="14">
        <v>0</v>
      </c>
      <c r="G20" s="14">
        <v>0</v>
      </c>
      <c r="H20" s="14">
        <f t="shared" si="0"/>
        <v>0</v>
      </c>
      <c r="I20" s="6">
        <v>4.7699999999999996</v>
      </c>
      <c r="J20" s="12"/>
    </row>
    <row r="21" spans="1:10" x14ac:dyDescent="0.3">
      <c r="A21" s="15">
        <v>20</v>
      </c>
      <c r="B21" s="16" t="s">
        <v>848</v>
      </c>
      <c r="C21" s="17">
        <v>46142</v>
      </c>
      <c r="D21" s="17">
        <v>46147</v>
      </c>
      <c r="E21" s="15" t="s">
        <v>25</v>
      </c>
      <c r="F21" s="18">
        <v>0</v>
      </c>
      <c r="G21" s="18">
        <v>0</v>
      </c>
      <c r="H21" s="18">
        <f t="shared" si="0"/>
        <v>0</v>
      </c>
      <c r="I21" s="10">
        <v>4.7699999999999996</v>
      </c>
      <c r="J21" s="16"/>
    </row>
    <row r="22" spans="1:10" x14ac:dyDescent="0.3">
      <c r="A22" s="11">
        <v>21</v>
      </c>
      <c r="B22" s="12" t="s">
        <v>849</v>
      </c>
      <c r="C22" s="13">
        <v>46142</v>
      </c>
      <c r="D22" s="13">
        <v>46147</v>
      </c>
      <c r="E22" s="11" t="s">
        <v>25</v>
      </c>
      <c r="F22" s="14">
        <v>0</v>
      </c>
      <c r="G22" s="14">
        <v>0</v>
      </c>
      <c r="H22" s="14">
        <f t="shared" si="0"/>
        <v>0</v>
      </c>
      <c r="I22" s="6">
        <v>4.71</v>
      </c>
      <c r="J22" s="12"/>
    </row>
    <row r="23" spans="1:10" x14ac:dyDescent="0.3">
      <c r="A23" s="15">
        <v>22</v>
      </c>
      <c r="B23" s="16" t="s">
        <v>850</v>
      </c>
      <c r="C23" s="17">
        <v>46142</v>
      </c>
      <c r="D23" s="17">
        <v>46147</v>
      </c>
      <c r="E23" s="15" t="s">
        <v>25</v>
      </c>
      <c r="F23" s="18">
        <v>0</v>
      </c>
      <c r="G23" s="18">
        <v>0</v>
      </c>
      <c r="H23" s="18">
        <f t="shared" si="0"/>
        <v>0</v>
      </c>
      <c r="I23" s="10">
        <v>4.66</v>
      </c>
      <c r="J23" s="16"/>
    </row>
    <row r="24" spans="1:10" x14ac:dyDescent="0.3">
      <c r="A24" s="11">
        <v>23</v>
      </c>
      <c r="B24" s="12" t="s">
        <v>851</v>
      </c>
      <c r="C24" s="13">
        <v>46143</v>
      </c>
      <c r="D24" s="13">
        <v>46147</v>
      </c>
      <c r="E24" s="11" t="s">
        <v>25</v>
      </c>
      <c r="F24" s="14">
        <v>0</v>
      </c>
      <c r="G24" s="14">
        <v>0</v>
      </c>
      <c r="H24" s="14">
        <f t="shared" si="0"/>
        <v>0</v>
      </c>
      <c r="I24" s="6">
        <v>3.82</v>
      </c>
      <c r="J24" s="12"/>
    </row>
    <row r="25" spans="1:10" x14ac:dyDescent="0.3">
      <c r="A25" s="15">
        <v>24</v>
      </c>
      <c r="B25" s="16" t="s">
        <v>852</v>
      </c>
      <c r="C25" s="17">
        <v>46143</v>
      </c>
      <c r="D25" s="17">
        <v>46147</v>
      </c>
      <c r="E25" s="15" t="s">
        <v>25</v>
      </c>
      <c r="F25" s="18">
        <v>0</v>
      </c>
      <c r="G25" s="18">
        <v>0</v>
      </c>
      <c r="H25" s="18">
        <f t="shared" si="0"/>
        <v>0</v>
      </c>
      <c r="I25" s="10">
        <v>3.82</v>
      </c>
      <c r="J25" s="16"/>
    </row>
    <row r="26" spans="1:10" x14ac:dyDescent="0.3">
      <c r="A26" s="11">
        <v>25</v>
      </c>
      <c r="B26" s="12" t="s">
        <v>853</v>
      </c>
      <c r="C26" s="13">
        <v>46143</v>
      </c>
      <c r="D26" s="13">
        <v>46147</v>
      </c>
      <c r="E26" s="11" t="s">
        <v>25</v>
      </c>
      <c r="F26" s="14">
        <v>0</v>
      </c>
      <c r="G26" s="14">
        <v>0</v>
      </c>
      <c r="H26" s="14">
        <f t="shared" si="0"/>
        <v>0</v>
      </c>
      <c r="I26" s="6">
        <v>3.78</v>
      </c>
      <c r="J26" s="12"/>
    </row>
    <row r="27" spans="1:10" x14ac:dyDescent="0.3">
      <c r="A27" s="15">
        <v>26</v>
      </c>
      <c r="B27" s="16" t="s">
        <v>854</v>
      </c>
      <c r="C27" s="17">
        <v>46143</v>
      </c>
      <c r="D27" s="17">
        <v>46147</v>
      </c>
      <c r="E27" s="15" t="s">
        <v>25</v>
      </c>
      <c r="F27" s="18">
        <v>0</v>
      </c>
      <c r="G27" s="18">
        <v>0</v>
      </c>
      <c r="H27" s="18">
        <f t="shared" si="0"/>
        <v>0</v>
      </c>
      <c r="I27" s="10">
        <v>3.77</v>
      </c>
      <c r="J27" s="16"/>
    </row>
    <row r="28" spans="1:10" x14ac:dyDescent="0.3">
      <c r="A28" s="11">
        <v>27</v>
      </c>
      <c r="B28" s="12" t="s">
        <v>855</v>
      </c>
      <c r="C28" s="13">
        <v>46143</v>
      </c>
      <c r="D28" s="13">
        <v>46147</v>
      </c>
      <c r="E28" s="11" t="s">
        <v>25</v>
      </c>
      <c r="F28" s="14">
        <v>0</v>
      </c>
      <c r="G28" s="14">
        <v>0</v>
      </c>
      <c r="H28" s="14">
        <f t="shared" si="0"/>
        <v>0</v>
      </c>
      <c r="I28" s="6">
        <v>3.59</v>
      </c>
      <c r="J28" s="12"/>
    </row>
    <row r="29" spans="1:10" x14ac:dyDescent="0.3">
      <c r="A29" s="15">
        <v>28</v>
      </c>
      <c r="B29" s="16" t="s">
        <v>856</v>
      </c>
      <c r="C29" s="17">
        <v>46144</v>
      </c>
      <c r="D29" s="17">
        <v>46147</v>
      </c>
      <c r="E29" s="15" t="s">
        <v>25</v>
      </c>
      <c r="F29" s="18">
        <v>0</v>
      </c>
      <c r="G29" s="18">
        <v>0</v>
      </c>
      <c r="H29" s="18">
        <f t="shared" si="0"/>
        <v>0</v>
      </c>
      <c r="I29" s="10">
        <v>3.12</v>
      </c>
      <c r="J29" s="16"/>
    </row>
    <row r="30" spans="1:10" x14ac:dyDescent="0.3">
      <c r="A30" s="11">
        <v>29</v>
      </c>
      <c r="B30" s="12" t="s">
        <v>857</v>
      </c>
      <c r="C30" s="13">
        <v>46144</v>
      </c>
      <c r="D30" s="13">
        <v>46147</v>
      </c>
      <c r="E30" s="11" t="s">
        <v>25</v>
      </c>
      <c r="F30" s="14">
        <v>0</v>
      </c>
      <c r="G30" s="14">
        <v>0</v>
      </c>
      <c r="H30" s="14">
        <f t="shared" si="0"/>
        <v>0</v>
      </c>
      <c r="I30" s="6">
        <v>2.99</v>
      </c>
      <c r="J30" s="12"/>
    </row>
    <row r="31" spans="1:10" x14ac:dyDescent="0.3">
      <c r="A31" s="15">
        <v>30</v>
      </c>
      <c r="B31" s="16" t="s">
        <v>858</v>
      </c>
      <c r="C31" s="17">
        <v>46144</v>
      </c>
      <c r="D31" s="17">
        <v>46147</v>
      </c>
      <c r="E31" s="15" t="s">
        <v>25</v>
      </c>
      <c r="F31" s="18">
        <v>0</v>
      </c>
      <c r="G31" s="18">
        <v>0</v>
      </c>
      <c r="H31" s="18">
        <f t="shared" si="0"/>
        <v>0</v>
      </c>
      <c r="I31" s="10">
        <v>2.85</v>
      </c>
      <c r="J31" s="16"/>
    </row>
    <row r="32" spans="1:10" x14ac:dyDescent="0.3">
      <c r="A32" s="11">
        <v>31</v>
      </c>
      <c r="B32" s="12" t="s">
        <v>859</v>
      </c>
      <c r="C32" s="13">
        <v>46144</v>
      </c>
      <c r="D32" s="13">
        <v>46147</v>
      </c>
      <c r="E32" s="11" t="s">
        <v>25</v>
      </c>
      <c r="F32" s="14">
        <v>0</v>
      </c>
      <c r="G32" s="14">
        <v>0</v>
      </c>
      <c r="H32" s="14">
        <f t="shared" si="0"/>
        <v>0</v>
      </c>
      <c r="I32" s="6">
        <v>2.81</v>
      </c>
      <c r="J32" s="12"/>
    </row>
    <row r="33" spans="1:10" x14ac:dyDescent="0.3">
      <c r="A33" s="15">
        <v>32</v>
      </c>
      <c r="B33" s="16" t="s">
        <v>860</v>
      </c>
      <c r="C33" s="17">
        <v>46145</v>
      </c>
      <c r="D33" s="17">
        <v>46148</v>
      </c>
      <c r="E33" s="15" t="s">
        <v>25</v>
      </c>
      <c r="F33" s="18">
        <v>0</v>
      </c>
      <c r="G33" s="18">
        <v>0</v>
      </c>
      <c r="H33" s="18">
        <f t="shared" si="0"/>
        <v>0</v>
      </c>
      <c r="I33" s="10">
        <v>3.21</v>
      </c>
      <c r="J33" s="16"/>
    </row>
    <row r="34" spans="1:10" x14ac:dyDescent="0.3">
      <c r="A34" s="11">
        <v>33</v>
      </c>
      <c r="B34" s="12" t="s">
        <v>861</v>
      </c>
      <c r="C34" s="13">
        <v>46145</v>
      </c>
      <c r="D34" s="13">
        <v>46148</v>
      </c>
      <c r="E34" s="11" t="s">
        <v>25</v>
      </c>
      <c r="F34" s="14">
        <v>0</v>
      </c>
      <c r="G34" s="14">
        <v>0</v>
      </c>
      <c r="H34" s="14">
        <f t="shared" ref="H34:H65" si="1">F34+G34</f>
        <v>0</v>
      </c>
      <c r="I34" s="6">
        <v>3.21</v>
      </c>
      <c r="J34" s="12"/>
    </row>
    <row r="35" spans="1:10" x14ac:dyDescent="0.3">
      <c r="A35" s="15">
        <v>34</v>
      </c>
      <c r="B35" s="16" t="s">
        <v>862</v>
      </c>
      <c r="C35" s="17">
        <v>46145</v>
      </c>
      <c r="D35" s="17">
        <v>46147</v>
      </c>
      <c r="E35" s="15" t="s">
        <v>25</v>
      </c>
      <c r="F35" s="18">
        <v>0</v>
      </c>
      <c r="G35" s="18">
        <v>0</v>
      </c>
      <c r="H35" s="18">
        <f t="shared" si="1"/>
        <v>0</v>
      </c>
      <c r="I35" s="10">
        <v>1.89</v>
      </c>
      <c r="J35" s="16"/>
    </row>
    <row r="36" spans="1:10" x14ac:dyDescent="0.3">
      <c r="A36" s="11">
        <v>35</v>
      </c>
      <c r="B36" s="12" t="s">
        <v>863</v>
      </c>
      <c r="C36" s="13">
        <v>46145</v>
      </c>
      <c r="D36" s="13">
        <v>46147</v>
      </c>
      <c r="E36" s="11" t="s">
        <v>25</v>
      </c>
      <c r="F36" s="14">
        <v>0</v>
      </c>
      <c r="G36" s="14">
        <v>0</v>
      </c>
      <c r="H36" s="14">
        <f t="shared" si="1"/>
        <v>0</v>
      </c>
      <c r="I36" s="6">
        <v>1.72</v>
      </c>
      <c r="J36" s="12"/>
    </row>
    <row r="37" spans="1:10" x14ac:dyDescent="0.3">
      <c r="A37" s="15">
        <v>36</v>
      </c>
      <c r="B37" s="16" t="s">
        <v>864</v>
      </c>
      <c r="C37" s="17">
        <v>46146</v>
      </c>
      <c r="D37" s="17">
        <v>46147</v>
      </c>
      <c r="E37" s="15" t="s">
        <v>25</v>
      </c>
      <c r="F37" s="18">
        <v>0</v>
      </c>
      <c r="G37" s="18">
        <v>0</v>
      </c>
      <c r="H37" s="18">
        <f t="shared" si="1"/>
        <v>0</v>
      </c>
      <c r="I37" s="10">
        <v>0.71</v>
      </c>
      <c r="J37" s="16"/>
    </row>
    <row r="38" spans="1:10" x14ac:dyDescent="0.3">
      <c r="A38" s="11">
        <v>37</v>
      </c>
      <c r="B38" s="12" t="s">
        <v>865</v>
      </c>
      <c r="C38" s="13">
        <v>46146</v>
      </c>
      <c r="D38" s="13">
        <v>46147</v>
      </c>
      <c r="E38" s="11" t="s">
        <v>25</v>
      </c>
      <c r="F38" s="14">
        <v>0</v>
      </c>
      <c r="G38" s="14">
        <v>0</v>
      </c>
      <c r="H38" s="14">
        <f t="shared" si="1"/>
        <v>0</v>
      </c>
      <c r="I38" s="6">
        <v>0.53</v>
      </c>
      <c r="J38" s="12"/>
    </row>
    <row r="39" spans="1:10" x14ac:dyDescent="0.3">
      <c r="A39" s="15">
        <v>38</v>
      </c>
      <c r="B39" s="16" t="s">
        <v>866</v>
      </c>
      <c r="C39" s="17">
        <v>46147</v>
      </c>
      <c r="D39" s="17">
        <v>46148</v>
      </c>
      <c r="E39" s="15" t="s">
        <v>25</v>
      </c>
      <c r="F39" s="18">
        <v>0</v>
      </c>
      <c r="G39" s="18">
        <v>0</v>
      </c>
      <c r="H39" s="18">
        <f t="shared" si="1"/>
        <v>0</v>
      </c>
      <c r="I39" s="10">
        <v>1.43</v>
      </c>
      <c r="J39" s="16"/>
    </row>
    <row r="40" spans="1:10" x14ac:dyDescent="0.3">
      <c r="A40" s="11">
        <v>39</v>
      </c>
      <c r="B40" s="12" t="s">
        <v>867</v>
      </c>
      <c r="C40" s="13">
        <v>46147</v>
      </c>
      <c r="D40" s="13">
        <v>46148</v>
      </c>
      <c r="E40" s="11" t="s">
        <v>25</v>
      </c>
      <c r="F40" s="14">
        <v>0</v>
      </c>
      <c r="G40" s="14">
        <v>0</v>
      </c>
      <c r="H40" s="14">
        <f t="shared" si="1"/>
        <v>0</v>
      </c>
      <c r="I40" s="6">
        <v>1.33</v>
      </c>
      <c r="J40" s="12"/>
    </row>
    <row r="41" spans="1:10" x14ac:dyDescent="0.3">
      <c r="A41" s="15">
        <v>40</v>
      </c>
      <c r="B41" s="16" t="s">
        <v>868</v>
      </c>
      <c r="C41" s="17">
        <v>46147</v>
      </c>
      <c r="D41" s="17">
        <v>46148</v>
      </c>
      <c r="E41" s="15" t="s">
        <v>25</v>
      </c>
      <c r="F41" s="18">
        <v>0</v>
      </c>
      <c r="G41" s="18">
        <v>0</v>
      </c>
      <c r="H41" s="18">
        <f t="shared" si="1"/>
        <v>0</v>
      </c>
      <c r="I41" s="10">
        <v>1.33</v>
      </c>
      <c r="J41" s="16"/>
    </row>
    <row r="42" spans="1:10" x14ac:dyDescent="0.3">
      <c r="A42" s="11">
        <v>41</v>
      </c>
      <c r="B42" s="12" t="s">
        <v>869</v>
      </c>
      <c r="C42" s="13">
        <v>46147</v>
      </c>
      <c r="D42" s="13">
        <v>46148</v>
      </c>
      <c r="E42" s="11" t="s">
        <v>25</v>
      </c>
      <c r="F42" s="14">
        <v>0</v>
      </c>
      <c r="G42" s="14">
        <v>0</v>
      </c>
      <c r="H42" s="14">
        <f t="shared" si="1"/>
        <v>0</v>
      </c>
      <c r="I42" s="6">
        <v>1.25</v>
      </c>
      <c r="J42" s="12"/>
    </row>
    <row r="43" spans="1:10" x14ac:dyDescent="0.3">
      <c r="A43" s="15">
        <v>42</v>
      </c>
      <c r="B43" s="16" t="s">
        <v>870</v>
      </c>
      <c r="C43" s="17">
        <v>46147</v>
      </c>
      <c r="D43" s="17">
        <v>46148</v>
      </c>
      <c r="E43" s="15" t="s">
        <v>25</v>
      </c>
      <c r="F43" s="18">
        <v>0</v>
      </c>
      <c r="G43" s="18">
        <v>0</v>
      </c>
      <c r="H43" s="18">
        <f t="shared" si="1"/>
        <v>0</v>
      </c>
      <c r="I43" s="10">
        <v>1.21</v>
      </c>
      <c r="J43" s="16"/>
    </row>
    <row r="44" spans="1:10" x14ac:dyDescent="0.3">
      <c r="A44" s="11">
        <v>43</v>
      </c>
      <c r="B44" s="12" t="s">
        <v>871</v>
      </c>
      <c r="C44" s="13">
        <v>46147</v>
      </c>
      <c r="D44" s="13">
        <v>46148</v>
      </c>
      <c r="E44" s="11" t="s">
        <v>25</v>
      </c>
      <c r="F44" s="14">
        <v>0</v>
      </c>
      <c r="G44" s="14">
        <v>0</v>
      </c>
      <c r="H44" s="14">
        <f t="shared" si="1"/>
        <v>0</v>
      </c>
      <c r="I44" s="6">
        <v>1.1599999999999999</v>
      </c>
      <c r="J44" s="12"/>
    </row>
    <row r="45" spans="1:10" x14ac:dyDescent="0.3">
      <c r="A45" s="15">
        <v>44</v>
      </c>
      <c r="B45" s="16" t="s">
        <v>872</v>
      </c>
      <c r="C45" s="17">
        <v>46147</v>
      </c>
      <c r="D45" s="17">
        <v>46148</v>
      </c>
      <c r="E45" s="15" t="s">
        <v>25</v>
      </c>
      <c r="F45" s="18">
        <v>0</v>
      </c>
      <c r="G45" s="18">
        <v>0</v>
      </c>
      <c r="H45" s="18">
        <f t="shared" si="1"/>
        <v>0</v>
      </c>
      <c r="I45" s="10">
        <v>1.17</v>
      </c>
      <c r="J45" s="16"/>
    </row>
    <row r="46" spans="1:10" x14ac:dyDescent="0.3">
      <c r="A46" s="11">
        <v>45</v>
      </c>
      <c r="B46" s="12" t="s">
        <v>873</v>
      </c>
      <c r="C46" s="13">
        <v>46147</v>
      </c>
      <c r="D46" s="13">
        <v>46148</v>
      </c>
      <c r="E46" s="11" t="s">
        <v>25</v>
      </c>
      <c r="F46" s="14">
        <v>0</v>
      </c>
      <c r="G46" s="14">
        <v>0</v>
      </c>
      <c r="H46" s="14">
        <f t="shared" si="1"/>
        <v>0</v>
      </c>
      <c r="I46" s="6">
        <v>1.1599999999999999</v>
      </c>
      <c r="J46" s="12"/>
    </row>
    <row r="47" spans="1:10" x14ac:dyDescent="0.3">
      <c r="A47" s="15">
        <v>46</v>
      </c>
      <c r="B47" s="16" t="s">
        <v>874</v>
      </c>
      <c r="C47" s="17">
        <v>46147</v>
      </c>
      <c r="D47" s="17">
        <v>46148</v>
      </c>
      <c r="E47" s="15" t="s">
        <v>25</v>
      </c>
      <c r="F47" s="18">
        <v>0</v>
      </c>
      <c r="G47" s="18">
        <v>0</v>
      </c>
      <c r="H47" s="18">
        <f t="shared" si="1"/>
        <v>0</v>
      </c>
      <c r="I47" s="10">
        <v>1.1599999999999999</v>
      </c>
      <c r="J47" s="16"/>
    </row>
    <row r="48" spans="1:10" x14ac:dyDescent="0.3">
      <c r="A48" s="11">
        <v>47</v>
      </c>
      <c r="B48" s="12" t="s">
        <v>875</v>
      </c>
      <c r="C48" s="13">
        <v>46147</v>
      </c>
      <c r="D48" s="13">
        <v>46148</v>
      </c>
      <c r="E48" s="11" t="s">
        <v>25</v>
      </c>
      <c r="F48" s="14">
        <v>0</v>
      </c>
      <c r="G48" s="14">
        <v>0</v>
      </c>
      <c r="H48" s="14">
        <f t="shared" si="1"/>
        <v>0</v>
      </c>
      <c r="I48" s="6">
        <v>1.1399999999999999</v>
      </c>
      <c r="J48" s="12"/>
    </row>
    <row r="49" spans="1:10" x14ac:dyDescent="0.3">
      <c r="A49" s="15">
        <v>48</v>
      </c>
      <c r="B49" s="16" t="s">
        <v>876</v>
      </c>
      <c r="C49" s="17">
        <v>46147</v>
      </c>
      <c r="D49" s="17">
        <v>46148</v>
      </c>
      <c r="E49" s="15" t="s">
        <v>25</v>
      </c>
      <c r="F49" s="18">
        <v>0</v>
      </c>
      <c r="G49" s="18">
        <v>0</v>
      </c>
      <c r="H49" s="18">
        <f t="shared" si="1"/>
        <v>0</v>
      </c>
      <c r="I49" s="10">
        <v>1.1399999999999999</v>
      </c>
      <c r="J49" s="16"/>
    </row>
    <row r="50" spans="1:10" x14ac:dyDescent="0.3">
      <c r="A50" s="11">
        <v>49</v>
      </c>
      <c r="B50" s="12" t="s">
        <v>877</v>
      </c>
      <c r="C50" s="13">
        <v>46147</v>
      </c>
      <c r="D50" s="13">
        <v>46148</v>
      </c>
      <c r="E50" s="11" t="s">
        <v>25</v>
      </c>
      <c r="F50" s="14">
        <v>0</v>
      </c>
      <c r="G50" s="14">
        <v>0</v>
      </c>
      <c r="H50" s="14">
        <f t="shared" si="1"/>
        <v>0</v>
      </c>
      <c r="I50" s="6">
        <v>1.02</v>
      </c>
      <c r="J50" s="12"/>
    </row>
    <row r="51" spans="1:10" x14ac:dyDescent="0.3">
      <c r="A51" s="15">
        <v>50</v>
      </c>
      <c r="B51" s="16" t="s">
        <v>878</v>
      </c>
      <c r="C51" s="17">
        <v>46147</v>
      </c>
      <c r="D51" s="17">
        <v>46148</v>
      </c>
      <c r="E51" s="15" t="s">
        <v>25</v>
      </c>
      <c r="F51" s="18">
        <v>0</v>
      </c>
      <c r="G51" s="18">
        <v>0</v>
      </c>
      <c r="H51" s="18">
        <f t="shared" si="1"/>
        <v>0</v>
      </c>
      <c r="I51" s="10">
        <v>0.93</v>
      </c>
      <c r="J51" s="16"/>
    </row>
    <row r="52" spans="1:10" x14ac:dyDescent="0.3">
      <c r="A52" s="11">
        <v>51</v>
      </c>
      <c r="B52" s="12" t="s">
        <v>879</v>
      </c>
      <c r="C52" s="13">
        <v>46148</v>
      </c>
      <c r="D52" s="13">
        <v>46148</v>
      </c>
      <c r="E52" s="11" t="s">
        <v>25</v>
      </c>
      <c r="F52" s="14">
        <v>0</v>
      </c>
      <c r="G52" s="14">
        <v>0</v>
      </c>
      <c r="H52" s="14">
        <f t="shared" si="1"/>
        <v>0</v>
      </c>
      <c r="I52" s="6">
        <v>0.27</v>
      </c>
      <c r="J52" s="12"/>
    </row>
    <row r="53" spans="1:10" x14ac:dyDescent="0.3">
      <c r="A53" s="15">
        <v>52</v>
      </c>
      <c r="B53" s="16" t="s">
        <v>880</v>
      </c>
      <c r="C53" s="17">
        <v>46148</v>
      </c>
      <c r="D53" s="17">
        <v>46148</v>
      </c>
      <c r="E53" s="15" t="s">
        <v>25</v>
      </c>
      <c r="F53" s="18">
        <v>0</v>
      </c>
      <c r="G53" s="18">
        <v>0</v>
      </c>
      <c r="H53" s="18">
        <f t="shared" si="1"/>
        <v>0</v>
      </c>
      <c r="I53" s="10">
        <v>0.24</v>
      </c>
      <c r="J53" s="16"/>
    </row>
    <row r="54" spans="1:10" x14ac:dyDescent="0.3">
      <c r="A54" s="19" t="s">
        <v>265</v>
      </c>
      <c r="B54" s="20"/>
      <c r="C54" s="20"/>
      <c r="D54" s="20"/>
      <c r="E54" s="20"/>
      <c r="F54" s="21">
        <f>SUM(F2:F53)</f>
        <v>0</v>
      </c>
      <c r="G54" s="21">
        <f>SUM(G2:G53)</f>
        <v>0</v>
      </c>
      <c r="H54" s="21">
        <f>SUM(H2:H53)</f>
        <v>0</v>
      </c>
      <c r="I54" s="22">
        <f>SUM(I2:I53)</f>
        <v>194.37000000000006</v>
      </c>
      <c r="J54" s="20"/>
    </row>
    <row r="55" spans="1:10" x14ac:dyDescent="0.3">
      <c r="A55" s="19" t="s">
        <v>266</v>
      </c>
      <c r="B55" s="23">
        <f>COUNTA(B2:B53)</f>
        <v>52</v>
      </c>
      <c r="C55" s="19" t="s">
        <v>267</v>
      </c>
      <c r="D55" s="24">
        <f>SUM(I2:I53)</f>
        <v>194.37000000000006</v>
      </c>
      <c r="E55" s="19" t="s">
        <v>268</v>
      </c>
      <c r="F55" s="22">
        <f>AVERAGE(I2:I53)</f>
        <v>3.7378846153846164</v>
      </c>
      <c r="G55" s="20"/>
      <c r="H55" s="20"/>
      <c r="I55" s="20"/>
      <c r="J55" s="20"/>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工程維修單 房務部查閱用</vt:lpstr>
      <vt:lpstr>比對摘要</vt:lpstr>
      <vt:lpstr>1月明細</vt:lpstr>
      <vt:lpstr>2月明細</vt:lpstr>
      <vt:lpstr>3月明細</vt:lpstr>
      <vt:lpstr>4月明細</vt:lpstr>
      <vt:lpstr>5月明細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Samuel Huang</cp:lastModifiedBy>
  <dcterms:created xsi:type="dcterms:W3CDTF">2026-05-11T22:31:38Z</dcterms:created>
  <dcterms:modified xsi:type="dcterms:W3CDTF">2026-05-11T22:44:42Z</dcterms:modified>
</cp:coreProperties>
</file>