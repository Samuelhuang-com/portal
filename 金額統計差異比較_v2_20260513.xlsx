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14d3036a2a384b/_Ragic/portal/"/>
    </mc:Choice>
  </mc:AlternateContent>
  <xr:revisionPtr revIDLastSave="1" documentId="11_EB55F567B7BD4A2F5292DF0DD7C2FB4A9560F6A1" xr6:coauthVersionLast="47" xr6:coauthVersionMax="47" xr10:uidLastSave="{E2DB2EC4-E3A8-4263-9F83-44BC6F664D45}"/>
  <bookViews>
    <workbookView xWindow="-108" yWindow="-108" windowWidth="24792" windowHeight="14856" activeTab="2" xr2:uid="{00000000-000D-0000-FFFF-FFFF00000000}"/>
  </bookViews>
  <sheets>
    <sheet name="差異比較總表" sheetId="1" r:id="rId1"/>
    <sheet name="差異分析" sheetId="2" r:id="rId2"/>
    <sheet name="Export 費用明細" sheetId="3" r:id="rId3"/>
  </sheets>
  <definedNames>
    <definedName name="_xlnm._FilterDatabase" localSheetId="2" hidden="1">'Export 費用明細'!$A$2:$L$2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3" l="1"/>
  <c r="J51" i="3"/>
  <c r="I51" i="3"/>
  <c r="H51" i="3"/>
</calcChain>
</file>

<file path=xl/sharedStrings.xml><?xml version="1.0" encoding="utf-8"?>
<sst xmlns="http://schemas.openxmlformats.org/spreadsheetml/2006/main" count="459" uniqueCount="222">
  <si>
    <t>商場工務報修 — 金額統計（Dashboard）vs Ragic Export 差異比較  2026年 1–5月</t>
  </si>
  <si>
    <t>說明：Export 共 166 筆，_stat_dt 口徑（已結案→結案時間月，其餘→報修日期月）。差額 = Export − Dashboard。紅底=Export少於Dashboard；綠底=一致；黃底=Export多於Dashboard。</t>
  </si>
  <si>
    <t>費用項目</t>
  </si>
  <si>
    <t>1 月</t>
  </si>
  <si>
    <t>2 月</t>
  </si>
  <si>
    <t>3 月</t>
  </si>
  <si>
    <t>4 月</t>
  </si>
  <si>
    <t>5 月</t>
  </si>
  <si>
    <t>全年合計（1–5月）</t>
  </si>
  <si>
    <t>系統</t>
  </si>
  <si>
    <t>Export</t>
  </si>
  <si>
    <t>差額</t>
  </si>
  <si>
    <t>委外費用</t>
  </si>
  <si>
    <t>維修費用</t>
  </si>
  <si>
    <t>扣款費用</t>
  </si>
  <si>
    <t>扣款專櫃（家）</t>
  </si>
  <si>
    <t>月份小計</t>
  </si>
  <si>
    <t>圖例：  ■ 綠底差額=一致  ■ 紅底=Export少於Dashboard（DB有記錄未包含在此Export）  ■ 黃底=Export多於Dashboard（Export有記錄未同步至DB，或DB計算口徑不同）</t>
  </si>
  <si>
    <t>差異分析 ── 各月各費用項目差額與可能原因</t>
  </si>
  <si>
    <t>月份</t>
  </si>
  <si>
    <t>Dashboard</t>
  </si>
  <si>
    <t>Export（166筆）</t>
  </si>
  <si>
    <t>差額
(Export−DB)</t>
  </si>
  <si>
    <t>差額方向</t>
  </si>
  <si>
    <t>可能原因</t>
  </si>
  <si>
    <t>2026/01</t>
  </si>
  <si>
    <t>DB 多</t>
  </si>
  <si>
    <t>DB有舊案（非此Export範圍）本月結案，如舊案委外費累計；Export可能缺少更早報修但1月結案的案件</t>
  </si>
  <si>
    <t>Export 多</t>
  </si>
  <si>
    <t>Export含未同步至DB的案件（如 1156：$1,153），或DB已更新值不同</t>
  </si>
  <si>
    <t>一致 ✓</t>
  </si>
  <si>
    <t>完全吻合 ✓</t>
  </si>
  <si>
    <t>2026/02</t>
  </si>
  <si>
    <t>Export含1207（$9,450）+ 其他，合計$10,207；Dashboard僅$9,450，差額$757為1213等案件可能口徑不同</t>
  </si>
  <si>
    <t>2026/03</t>
  </si>
  <si>
    <t>Export含 20260400009（待辦驗, $126,084）與 20260400006（委外處理, $210,000）以報修日期歸3月；DB這兩筆可能尚未同步或狀態不同</t>
  </si>
  <si>
    <t>-</t>
  </si>
  <si>
    <t>2026/04</t>
  </si>
  <si>
    <t>Export含 202604-019（$1,600維修+扣款泰市場）及其他，20260400007($9,975)/20260400004($13,150) 可能尚未同步</t>
  </si>
  <si>
    <t>202604-019($1,600) 在Export為4月，DB可能尚未同步此筆</t>
  </si>
  <si>
    <t>2026/05</t>
  </si>
  <si>
    <t>DB有4月以前報修、5月結案的案件（委外$25,000），未包含在此Export截點，需確認DB是否有最新資料</t>
  </si>
  <si>
    <t>DB有5月結案的維修案件（$1,600），Export截至202605-031前無此筆</t>
  </si>
  <si>
    <t>Ragic Export 有費用案件明細（48 筆）</t>
  </si>
  <si>
    <t>統計月份</t>
  </si>
  <si>
    <t>統計口徑</t>
  </si>
  <si>
    <t>報修編號</t>
  </si>
  <si>
    <t>標題</t>
  </si>
  <si>
    <t>處理狀況</t>
  </si>
  <si>
    <t>報修日期</t>
  </si>
  <si>
    <t>結案時間</t>
  </si>
  <si>
    <t>扣款費用
（原始）</t>
  </si>
  <si>
    <t>扣款費用
（計入）</t>
  </si>
  <si>
    <t>扣款專櫃</t>
  </si>
  <si>
    <t>2025/10</t>
  </si>
  <si>
    <t>1097</t>
  </si>
  <si>
    <t>2F 燒鳥新增排煙濾網工程</t>
  </si>
  <si>
    <t>待辦驗</t>
  </si>
  <si>
    <t>2025/10/21</t>
  </si>
  <si>
    <t>2025/12/26</t>
  </si>
  <si>
    <t>birdy yakito</t>
  </si>
  <si>
    <t>2025/12</t>
  </si>
  <si>
    <t>1129</t>
  </si>
  <si>
    <t>第一階段和第二階段: 汙水管路通管工程 (急單廠商11/26進場)</t>
  </si>
  <si>
    <t>已辦驗</t>
  </si>
  <si>
    <t>2025/11/25</t>
  </si>
  <si>
    <t>2025/12/04</t>
  </si>
  <si>
    <t>多櫃</t>
  </si>
  <si>
    <t>1200</t>
  </si>
  <si>
    <t>B1預備車位（發電機房外）天花板吸頂燈不亮</t>
  </si>
  <si>
    <t>2026/01/17</t>
  </si>
  <si>
    <t>2026/01/23</t>
  </si>
  <si>
    <t>1196</t>
  </si>
  <si>
    <t>車道安全上方燈開了20分鐘才會亮</t>
  </si>
  <si>
    <t>2026/01/11</t>
  </si>
  <si>
    <t>1195</t>
  </si>
  <si>
    <t>B2,158車位旁日光燈不亮</t>
  </si>
  <si>
    <t>2026/01/09</t>
  </si>
  <si>
    <t>2026/01/12</t>
  </si>
  <si>
    <t>1193</t>
  </si>
  <si>
    <t>1-03 前臨時櫃位電力配置</t>
  </si>
  <si>
    <t>2026/01/08</t>
  </si>
  <si>
    <t>1189</t>
  </si>
  <si>
    <t>垃圾廚餘間電錶異常</t>
  </si>
  <si>
    <t>2026/01/16</t>
  </si>
  <si>
    <t>1186</t>
  </si>
  <si>
    <t>SAKEMARU燈罩燈泡不亮</t>
  </si>
  <si>
    <t>2026/01/07</t>
  </si>
  <si>
    <t>1184</t>
  </si>
  <si>
    <t>可推式燈箱-笙弘來施工&amp;擺放到戶外施工區</t>
  </si>
  <si>
    <t>2026/01/05</t>
  </si>
  <si>
    <t>1181</t>
  </si>
  <si>
    <t>B3,245車位前投射燈不亮</t>
  </si>
  <si>
    <t>2026/01/04</t>
  </si>
  <si>
    <t>1178</t>
  </si>
  <si>
    <t>味爵電力問題</t>
  </si>
  <si>
    <t>2026/01/01</t>
  </si>
  <si>
    <t>味爵</t>
  </si>
  <si>
    <t>1176</t>
  </si>
  <si>
    <t>2樓貨梯廳吸頂燈故障</t>
  </si>
  <si>
    <t>2025/12/31</t>
  </si>
  <si>
    <t>1172</t>
  </si>
  <si>
    <t>味爵220V插座短路</t>
  </si>
  <si>
    <t>2025/12/27</t>
  </si>
  <si>
    <t>1156</t>
  </si>
  <si>
    <t>商場1F桌面的回收提醒餐牌太鋒利請協助處理</t>
  </si>
  <si>
    <t>2025/12/10</t>
  </si>
  <si>
    <t>1236</t>
  </si>
  <si>
    <t>B2F截油槽排水主幹管堵塞</t>
  </si>
  <si>
    <t>2026/02/11</t>
  </si>
  <si>
    <t>2026/02/26</t>
  </si>
  <si>
    <t>1229</t>
  </si>
  <si>
    <t>泰市場開放區排水管堵塞</t>
  </si>
  <si>
    <t>2026/02/07</t>
  </si>
  <si>
    <t>泰市場</t>
  </si>
  <si>
    <t>1215</t>
  </si>
  <si>
    <t>B3,239車位前投射燈不亮</t>
  </si>
  <si>
    <t>2026/01/29</t>
  </si>
  <si>
    <t>2026/02/02</t>
  </si>
  <si>
    <t>1213</t>
  </si>
  <si>
    <t>傻滷天井柱燈不亮</t>
  </si>
  <si>
    <t>1207</t>
  </si>
  <si>
    <t>2/5~2/6租賃油壓車</t>
  </si>
  <si>
    <t>2026/01/22</t>
  </si>
  <si>
    <t>1182</t>
  </si>
  <si>
    <t>1/21前完成 - 戶外九宮格燈箱燈箱片安裝</t>
  </si>
  <si>
    <t>2026/02/13</t>
  </si>
  <si>
    <t>1285</t>
  </si>
  <si>
    <t>B2,116車位前車道燈不亮</t>
  </si>
  <si>
    <t>2026/03/29</t>
  </si>
  <si>
    <t>2026/03/31</t>
  </si>
  <si>
    <t>1264</t>
  </si>
  <si>
    <t>Taipei Wine前環狀燈泡閃爍</t>
  </si>
  <si>
    <t>2026/03/08</t>
  </si>
  <si>
    <t>2026/03/11</t>
  </si>
  <si>
    <t>1263</t>
  </si>
  <si>
    <t>小後苑側門廊道新增軌道燈-此為公區廊道</t>
  </si>
  <si>
    <t>2026/03/06</t>
  </si>
  <si>
    <t>2026/03/26</t>
  </si>
  <si>
    <t>1257</t>
  </si>
  <si>
    <t>最晚請於3/10(二) 卸除九宮格燈箱燈片，3/11(三)廠商更新後重新上架燈箱</t>
  </si>
  <si>
    <t>2026/03/04</t>
  </si>
  <si>
    <t>2026/03/25</t>
  </si>
  <si>
    <t>1256</t>
  </si>
  <si>
    <t>請於3/9(一)完成 - 泓宸製作小後苑廊道木板/批土打磨</t>
  </si>
  <si>
    <t>2026/03/16</t>
  </si>
  <si>
    <t>1253</t>
  </si>
  <si>
    <t>1F 傻滷 公共造型燈閃爍需更換燈泡</t>
  </si>
  <si>
    <t>2026/03/03</t>
  </si>
  <si>
    <t>2026/03/09</t>
  </si>
  <si>
    <t>1250</t>
  </si>
  <si>
    <t>1F戶外餐車 旨燕專櫃 車門把所換電池</t>
  </si>
  <si>
    <t>2026/02/27</t>
  </si>
  <si>
    <t>1227</t>
  </si>
  <si>
    <t>B1卸貨區消防手動閥保護盒送貨貨車撞壞</t>
  </si>
  <si>
    <t>2026/02/06</t>
  </si>
  <si>
    <t>2026/03/05</t>
  </si>
  <si>
    <t>1224</t>
  </si>
  <si>
    <t>植福路段照樹燈燈泡壞需更換</t>
  </si>
  <si>
    <t>2026/02/05</t>
  </si>
  <si>
    <t>1206</t>
  </si>
  <si>
    <t>B3客梯廳旁舊工務倉移轉營業部品牌租賃使用</t>
  </si>
  <si>
    <t>1100</t>
  </si>
  <si>
    <t>消防廣播系統故障</t>
  </si>
  <si>
    <t>2025/10/29</t>
  </si>
  <si>
    <t>20260400010</t>
  </si>
  <si>
    <t>SP1汙水槽警報響</t>
  </si>
  <si>
    <t>2026/03/24</t>
  </si>
  <si>
    <t>20260400009</t>
  </si>
  <si>
    <t>B1辦公室室外冷氣主機更換</t>
  </si>
  <si>
    <t>2026/03/18</t>
  </si>
  <si>
    <t>20260400006</t>
  </si>
  <si>
    <t>商場3F3-06櫃位消防灑水改管、新增工程</t>
  </si>
  <si>
    <t>委外處理</t>
  </si>
  <si>
    <t>1260</t>
  </si>
  <si>
    <t>2/20電梯故障關人，對講機壞</t>
  </si>
  <si>
    <t>2026/04/02</t>
  </si>
  <si>
    <t>202604-043</t>
  </si>
  <si>
    <t>2026上半年消防缺改善</t>
  </si>
  <si>
    <t>處理中</t>
  </si>
  <si>
    <t>2026/04/27</t>
  </si>
  <si>
    <t>202604-038</t>
  </si>
  <si>
    <t>瞞著爹前天井柱燈閃爍</t>
  </si>
  <si>
    <t>2026/04/25</t>
  </si>
  <si>
    <t>202604-037</t>
  </si>
  <si>
    <t>1f 牪肉舖 水管破洞漏水，已購買新水管，請工務安裝，需收費</t>
  </si>
  <si>
    <t>2026/04/23</t>
  </si>
  <si>
    <t>2026/04/24</t>
  </si>
  <si>
    <t>牪肉舖</t>
  </si>
  <si>
    <t>202604-026</t>
  </si>
  <si>
    <t>2樓殘障廁所 沒水 有臭味 請緊急維修</t>
  </si>
  <si>
    <t>2026/04/19</t>
  </si>
  <si>
    <t>202604-023</t>
  </si>
  <si>
    <t>1樓環狀燈泡閃爍，salud、果汁店</t>
  </si>
  <si>
    <t>2026/04/17</t>
  </si>
  <si>
    <t>202604-019</t>
  </si>
  <si>
    <t>泰市場煎魚台上方偵煙器移位</t>
  </si>
  <si>
    <t>2026/04/15</t>
  </si>
  <si>
    <t>202604-007</t>
  </si>
  <si>
    <t>傻雞前天井柱燈不亮</t>
  </si>
  <si>
    <t>2026/04/10</t>
  </si>
  <si>
    <t>2026/04/13</t>
  </si>
  <si>
    <t>202604-006</t>
  </si>
  <si>
    <t>三樓女廁洗手檯投照燈故障</t>
  </si>
  <si>
    <t>2026/04/07</t>
  </si>
  <si>
    <t>202604-004</t>
  </si>
  <si>
    <t>瞞著爹前天井柱燈不亮</t>
  </si>
  <si>
    <t>2026/04/05</t>
  </si>
  <si>
    <t>2026/04/08</t>
  </si>
  <si>
    <t>202604-001</t>
  </si>
  <si>
    <t>1樓側門的地錬故障</t>
  </si>
  <si>
    <t>20260400007</t>
  </si>
  <si>
    <t>1F 側門消防門會彈回來 無法固定</t>
  </si>
  <si>
    <t>20260400004</t>
  </si>
  <si>
    <t>1F小後苑大門無法鎖</t>
  </si>
  <si>
    <t>2026/01/18</t>
  </si>
  <si>
    <t>小後苑</t>
  </si>
  <si>
    <t>20260500001</t>
  </si>
  <si>
    <t>1-01 櫃 WOOLLOOMOOLOO 玻璃門故障維修</t>
  </si>
  <si>
    <t>2026/05/08</t>
  </si>
  <si>
    <t>小計</t>
  </si>
  <si>
    <t>※ 黃底=未結案（以報修日期歸月，DB可能以不同口徑計算）  紅底=扣款未計入（未結案或無填扣款專櫃）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</si>
</sst>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;&quot;-&quot;"/>
  </numFmts>
  <fonts count="24" x14ac:knownFonts="1">
    <font>
      <sz val="11"/>
      <color theme="1"/>
      <name val="新細明體"/>
      <family val="2"/>
      <scheme val="minor"/>
    </font>
    <font>
      <b/>
      <sz val="13"/>
      <color rgb="FFFFFFFF"/>
      <name val="Arial"/>
      <family val="2"/>
    </font>
    <font>
      <i/>
      <sz val="9"/>
      <color rgb="FF7D6608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1B3A5C"/>
      <name val="Arial"/>
      <family val="2"/>
    </font>
    <font>
      <sz val="10"/>
      <color rgb="FF922B21"/>
      <name val="Arial"/>
      <family val="2"/>
    </font>
    <font>
      <sz val="10"/>
      <color rgb="FF155724"/>
      <name val="Arial"/>
      <family val="2"/>
    </font>
    <font>
      <sz val="10"/>
      <color rgb="FF856404"/>
      <name val="Arial"/>
      <family val="2"/>
    </font>
    <font>
      <b/>
      <sz val="10"/>
      <color rgb="FF000000"/>
      <name val="Arial"/>
      <family val="2"/>
    </font>
    <font>
      <b/>
      <sz val="10"/>
      <color rgb="FF155724"/>
      <name val="Arial"/>
      <family val="2"/>
    </font>
    <font>
      <b/>
      <sz val="10"/>
      <color rgb="FF856404"/>
      <name val="Arial"/>
      <family val="2"/>
    </font>
    <font>
      <b/>
      <sz val="10"/>
      <color rgb="FF922B21"/>
      <name val="Arial"/>
      <family val="2"/>
    </font>
    <font>
      <i/>
      <sz val="9"/>
      <color rgb="FF444444"/>
      <name val="Arial"/>
      <family val="2"/>
    </font>
    <font>
      <b/>
      <sz val="12"/>
      <color rgb="FFFFFFFF"/>
      <name val="Arial"/>
      <family val="2"/>
    </font>
    <font>
      <sz val="9"/>
      <color rgb="FF000000"/>
      <name val="Arial"/>
      <family val="2"/>
    </font>
    <font>
      <sz val="9"/>
      <color rgb="FF922B21"/>
      <name val="Arial"/>
      <family val="2"/>
    </font>
    <font>
      <sz val="9"/>
      <color rgb="FF856404"/>
      <name val="Arial"/>
      <family val="2"/>
    </font>
    <font>
      <sz val="9"/>
      <color rgb="FF155724"/>
      <name val="Arial"/>
      <family val="2"/>
    </font>
    <font>
      <b/>
      <sz val="10"/>
      <name val="Arial"/>
      <family val="2"/>
    </font>
    <font>
      <i/>
      <sz val="9"/>
      <color rgb="FF666666"/>
      <name val="Arial"/>
      <family val="2"/>
    </font>
    <font>
      <sz val="9"/>
      <name val="新細明體"/>
      <family val="3"/>
      <charset val="136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EFDE7"/>
      </patternFill>
    </fill>
    <fill>
      <patternFill patternType="solid">
        <fgColor rgb="FF2C5F8A"/>
      </patternFill>
    </fill>
    <fill>
      <patternFill patternType="solid">
        <fgColor rgb="FFEAF7EA"/>
      </patternFill>
    </fill>
    <fill>
      <patternFill patternType="solid">
        <fgColor rgb="FFEBF5FB"/>
      </patternFill>
    </fill>
    <fill>
      <patternFill patternType="solid">
        <fgColor rgb="FFF0F4F8"/>
      </patternFill>
    </fill>
    <fill>
      <patternFill patternType="solid">
        <fgColor rgb="FFEEF2F7"/>
      </patternFill>
    </fill>
    <fill>
      <patternFill patternType="solid">
        <fgColor rgb="FFFDEDEC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DDE6F0"/>
      </patternFill>
    </fill>
    <fill>
      <patternFill patternType="solid">
        <fgColor rgb="FFFFFFFF"/>
      </patternFill>
    </fill>
    <fill>
      <patternFill patternType="solid">
        <fgColor rgb="FFFFF5F5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6" fillId="6" borderId="1" xfId="0" applyNumberFormat="1" applyFont="1" applyFill="1" applyBorder="1" applyAlignment="1">
      <alignment horizontal="right" vertical="center"/>
    </xf>
    <xf numFmtId="176" fontId="8" fillId="9" borderId="1" xfId="0" applyNumberFormat="1" applyFont="1" applyFill="1" applyBorder="1" applyAlignment="1">
      <alignment horizontal="right" vertical="center"/>
    </xf>
    <xf numFmtId="176" fontId="9" fillId="10" borderId="1" xfId="0" applyNumberFormat="1" applyFont="1" applyFill="1" applyBorder="1" applyAlignment="1">
      <alignment horizontal="right" vertical="center"/>
    </xf>
    <xf numFmtId="176" fontId="10" fillId="11" borderId="1" xfId="0" applyNumberFormat="1" applyFont="1" applyFill="1" applyBorder="1" applyAlignment="1">
      <alignment horizontal="right" vertical="center"/>
    </xf>
    <xf numFmtId="176" fontId="11" fillId="5" borderId="1" xfId="0" applyNumberFormat="1" applyFont="1" applyFill="1" applyBorder="1" applyAlignment="1">
      <alignment horizontal="right" vertical="center"/>
    </xf>
    <xf numFmtId="176" fontId="11" fillId="6" borderId="1" xfId="0" applyNumberFormat="1" applyFont="1" applyFill="1" applyBorder="1" applyAlignment="1">
      <alignment horizontal="right" vertical="center"/>
    </xf>
    <xf numFmtId="176" fontId="12" fillId="10" borderId="1" xfId="0" applyNumberFormat="1" applyFont="1" applyFill="1" applyBorder="1" applyAlignment="1">
      <alignment horizontal="right" vertical="center"/>
    </xf>
    <xf numFmtId="176" fontId="13" fillId="11" borderId="1" xfId="0" applyNumberFormat="1" applyFont="1" applyFill="1" applyBorder="1" applyAlignment="1">
      <alignment horizontal="right" vertical="center"/>
    </xf>
    <xf numFmtId="0" fontId="11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176" fontId="14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/>
    </xf>
    <xf numFmtId="176" fontId="17" fillId="5" borderId="1" xfId="0" applyNumberFormat="1" applyFont="1" applyFill="1" applyBorder="1" applyAlignment="1">
      <alignment horizontal="right" vertical="center"/>
    </xf>
    <xf numFmtId="176" fontId="17" fillId="6" borderId="1" xfId="0" applyNumberFormat="1" applyFont="1" applyFill="1" applyBorder="1" applyAlignment="1">
      <alignment horizontal="right" vertical="center"/>
    </xf>
    <xf numFmtId="176" fontId="18" fillId="9" borderId="1" xfId="0" applyNumberFormat="1" applyFont="1" applyFill="1" applyBorder="1" applyAlignment="1">
      <alignment horizontal="right" vertical="center"/>
    </xf>
    <xf numFmtId="0" fontId="17" fillId="9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 vertical="center" wrapText="1"/>
    </xf>
    <xf numFmtId="176" fontId="19" fillId="11" borderId="1" xfId="0" applyNumberFormat="1" applyFont="1" applyFill="1" applyBorder="1" applyAlignment="1">
      <alignment horizontal="right" vertical="center"/>
    </xf>
    <xf numFmtId="0" fontId="17" fillId="11" borderId="1" xfId="0" applyFont="1" applyFill="1" applyBorder="1" applyAlignment="1">
      <alignment horizontal="left" vertical="center"/>
    </xf>
    <xf numFmtId="176" fontId="20" fillId="10" borderId="1" xfId="0" applyNumberFormat="1" applyFont="1" applyFill="1" applyBorder="1" applyAlignment="1">
      <alignment horizontal="right" vertical="center"/>
    </xf>
    <xf numFmtId="0" fontId="17" fillId="1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/>
    </xf>
    <xf numFmtId="176" fontId="17" fillId="14" borderId="1" xfId="0" applyNumberFormat="1" applyFont="1" applyFill="1" applyBorder="1" applyAlignment="1">
      <alignment horizontal="right" vertical="center"/>
    </xf>
    <xf numFmtId="176" fontId="17" fillId="13" borderId="1" xfId="0" applyNumberFormat="1" applyFont="1" applyFill="1" applyBorder="1" applyAlignment="1">
      <alignment horizontal="right" vertical="center"/>
    </xf>
    <xf numFmtId="0" fontId="17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/>
    </xf>
    <xf numFmtId="176" fontId="17" fillId="15" borderId="1" xfId="0" applyNumberFormat="1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176" fontId="11" fillId="8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workbookViewId="0">
      <pane xSplit="2" ySplit="4" topLeftCell="C5" activePane="bottomRight" state="frozen"/>
      <selection pane="topRight"/>
      <selection pane="bottomLeft"/>
      <selection pane="bottomRight" activeCell="N19" sqref="N19"/>
    </sheetView>
  </sheetViews>
  <sheetFormatPr defaultRowHeight="15" x14ac:dyDescent="0.3"/>
  <cols>
    <col min="1" max="1" width="15" customWidth="1"/>
    <col min="2" max="2" width="4" customWidth="1"/>
    <col min="3" max="20" width="13" customWidth="1"/>
  </cols>
  <sheetData>
    <row r="1" spans="1:20" ht="28.05" customHeight="1" x14ac:dyDescent="0.3">
      <c r="A1" s="47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20" ht="22.05" customHeight="1" x14ac:dyDescent="0.3">
      <c r="A2" s="44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20" ht="22.05" customHeight="1" x14ac:dyDescent="0.3">
      <c r="A3" s="42" t="s">
        <v>2</v>
      </c>
      <c r="B3" s="43"/>
      <c r="C3" s="45" t="s">
        <v>3</v>
      </c>
      <c r="D3" s="43"/>
      <c r="E3" s="43"/>
      <c r="F3" s="45" t="s">
        <v>4</v>
      </c>
      <c r="G3" s="43"/>
      <c r="H3" s="43"/>
      <c r="I3" s="45" t="s">
        <v>5</v>
      </c>
      <c r="J3" s="43"/>
      <c r="K3" s="43"/>
      <c r="L3" s="45" t="s">
        <v>6</v>
      </c>
      <c r="M3" s="43"/>
      <c r="N3" s="43"/>
      <c r="O3" s="45" t="s">
        <v>7</v>
      </c>
      <c r="P3" s="43"/>
      <c r="Q3" s="43"/>
      <c r="R3" s="42" t="s">
        <v>8</v>
      </c>
      <c r="S3" s="43"/>
      <c r="T3" s="43"/>
    </row>
    <row r="4" spans="1:20" ht="18" customHeight="1" x14ac:dyDescent="0.3">
      <c r="A4" s="1" t="s">
        <v>2</v>
      </c>
      <c r="B4" s="2"/>
      <c r="C4" s="3" t="s">
        <v>9</v>
      </c>
      <c r="D4" s="4" t="s">
        <v>10</v>
      </c>
      <c r="E4" s="5" t="s">
        <v>11</v>
      </c>
      <c r="F4" s="3" t="s">
        <v>9</v>
      </c>
      <c r="G4" s="4" t="s">
        <v>10</v>
      </c>
      <c r="H4" s="5" t="s">
        <v>11</v>
      </c>
      <c r="I4" s="3" t="s">
        <v>9</v>
      </c>
      <c r="J4" s="4" t="s">
        <v>10</v>
      </c>
      <c r="K4" s="5" t="s">
        <v>11</v>
      </c>
      <c r="L4" s="3" t="s">
        <v>9</v>
      </c>
      <c r="M4" s="4" t="s">
        <v>10</v>
      </c>
      <c r="N4" s="5" t="s">
        <v>11</v>
      </c>
      <c r="O4" s="3" t="s">
        <v>9</v>
      </c>
      <c r="P4" s="4" t="s">
        <v>10</v>
      </c>
      <c r="Q4" s="5" t="s">
        <v>11</v>
      </c>
      <c r="R4" s="3" t="s">
        <v>9</v>
      </c>
      <c r="S4" s="4" t="s">
        <v>10</v>
      </c>
      <c r="T4" s="5" t="s">
        <v>11</v>
      </c>
    </row>
    <row r="5" spans="1:20" ht="19.95" customHeight="1" x14ac:dyDescent="0.3">
      <c r="A5" s="6" t="s">
        <v>12</v>
      </c>
      <c r="B5" s="7"/>
      <c r="C5" s="8">
        <v>15100</v>
      </c>
      <c r="D5" s="9">
        <v>2500</v>
      </c>
      <c r="E5" s="10">
        <v>-12600</v>
      </c>
      <c r="F5" s="8">
        <v>24750</v>
      </c>
      <c r="G5" s="9">
        <v>24750</v>
      </c>
      <c r="H5" s="11"/>
      <c r="I5" s="8">
        <v>532897</v>
      </c>
      <c r="J5" s="9">
        <v>567189</v>
      </c>
      <c r="K5" s="12">
        <v>34292</v>
      </c>
      <c r="L5" s="8">
        <v>54425</v>
      </c>
      <c r="M5" s="9">
        <v>57733</v>
      </c>
      <c r="N5" s="12">
        <v>3308</v>
      </c>
      <c r="O5" s="8">
        <v>28000</v>
      </c>
      <c r="P5" s="9">
        <v>3000</v>
      </c>
      <c r="Q5" s="10">
        <v>-25000</v>
      </c>
      <c r="R5" s="13">
        <v>655172</v>
      </c>
      <c r="S5" s="14">
        <v>655172</v>
      </c>
      <c r="T5" s="15"/>
    </row>
    <row r="6" spans="1:20" ht="19.95" customHeight="1" x14ac:dyDescent="0.3">
      <c r="A6" s="6" t="s">
        <v>13</v>
      </c>
      <c r="B6" s="7"/>
      <c r="C6" s="8">
        <v>3215</v>
      </c>
      <c r="D6" s="9">
        <v>3905</v>
      </c>
      <c r="E6" s="12">
        <v>690</v>
      </c>
      <c r="F6" s="8">
        <v>9450</v>
      </c>
      <c r="G6" s="9">
        <v>10207</v>
      </c>
      <c r="H6" s="12">
        <v>757</v>
      </c>
      <c r="I6" s="8">
        <v>24818</v>
      </c>
      <c r="J6" s="9">
        <v>24818</v>
      </c>
      <c r="K6" s="11"/>
      <c r="L6" s="8">
        <v>3116</v>
      </c>
      <c r="M6" s="9">
        <v>4716</v>
      </c>
      <c r="N6" s="12">
        <v>1600</v>
      </c>
      <c r="O6" s="8">
        <v>1600</v>
      </c>
      <c r="P6" s="9"/>
      <c r="Q6" s="10">
        <v>-1600</v>
      </c>
      <c r="R6" s="13">
        <v>42199</v>
      </c>
      <c r="S6" s="14">
        <v>43646</v>
      </c>
      <c r="T6" s="16">
        <v>1447</v>
      </c>
    </row>
    <row r="7" spans="1:20" ht="19.95" customHeight="1" x14ac:dyDescent="0.3">
      <c r="A7" s="6" t="s">
        <v>14</v>
      </c>
      <c r="B7" s="7"/>
      <c r="C7" s="8">
        <v>3024</v>
      </c>
      <c r="D7" s="9">
        <v>3024</v>
      </c>
      <c r="E7" s="11"/>
      <c r="F7" s="8">
        <v>1260</v>
      </c>
      <c r="G7" s="9">
        <v>1260</v>
      </c>
      <c r="H7" s="11"/>
      <c r="I7" s="8"/>
      <c r="J7" s="9"/>
      <c r="K7" s="11"/>
      <c r="L7" s="8">
        <v>18755</v>
      </c>
      <c r="M7" s="9">
        <v>18755</v>
      </c>
      <c r="N7" s="11"/>
      <c r="O7" s="8"/>
      <c r="P7" s="9"/>
      <c r="Q7" s="11"/>
      <c r="R7" s="13">
        <v>23039</v>
      </c>
      <c r="S7" s="14">
        <v>23039</v>
      </c>
      <c r="T7" s="15"/>
    </row>
    <row r="8" spans="1:20" ht="19.95" customHeight="1" x14ac:dyDescent="0.3">
      <c r="A8" s="6" t="s">
        <v>15</v>
      </c>
      <c r="B8" s="7"/>
      <c r="C8" s="8">
        <v>1</v>
      </c>
      <c r="D8" s="9">
        <v>2</v>
      </c>
      <c r="E8" s="12">
        <v>1</v>
      </c>
      <c r="F8" s="8">
        <v>1</v>
      </c>
      <c r="G8" s="9">
        <v>1</v>
      </c>
      <c r="H8" s="11"/>
      <c r="I8" s="8"/>
      <c r="J8" s="9"/>
      <c r="K8" s="11"/>
      <c r="L8" s="8">
        <v>2</v>
      </c>
      <c r="M8" s="9">
        <v>2</v>
      </c>
      <c r="N8" s="11"/>
      <c r="O8" s="8"/>
      <c r="P8" s="9"/>
      <c r="Q8" s="11"/>
      <c r="R8" s="13">
        <v>4</v>
      </c>
      <c r="S8" s="14">
        <v>5</v>
      </c>
      <c r="T8" s="16">
        <v>1</v>
      </c>
    </row>
    <row r="9" spans="1:20" ht="19.95" customHeight="1" x14ac:dyDescent="0.3">
      <c r="A9" s="17" t="s">
        <v>16</v>
      </c>
      <c r="B9" s="18"/>
      <c r="C9" s="13">
        <v>21339</v>
      </c>
      <c r="D9" s="14">
        <v>9429</v>
      </c>
      <c r="E9" s="19">
        <v>-11910</v>
      </c>
      <c r="F9" s="13">
        <v>35460</v>
      </c>
      <c r="G9" s="14">
        <v>36217</v>
      </c>
      <c r="H9" s="16">
        <v>757</v>
      </c>
      <c r="I9" s="13">
        <v>557715</v>
      </c>
      <c r="J9" s="14">
        <v>592007</v>
      </c>
      <c r="K9" s="16">
        <v>34292</v>
      </c>
      <c r="L9" s="13">
        <v>76296</v>
      </c>
      <c r="M9" s="14">
        <v>81204</v>
      </c>
      <c r="N9" s="16">
        <v>4908</v>
      </c>
      <c r="O9" s="13">
        <v>29600</v>
      </c>
      <c r="P9" s="14">
        <v>3000</v>
      </c>
      <c r="Q9" s="19">
        <v>-26600</v>
      </c>
      <c r="R9" s="13">
        <v>720410</v>
      </c>
      <c r="S9" s="14">
        <v>721857</v>
      </c>
      <c r="T9" s="16">
        <v>1447</v>
      </c>
    </row>
    <row r="10" spans="1:20" ht="18" customHeight="1" x14ac:dyDescent="0.3">
      <c r="A10" s="46" t="s">
        <v>17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</row>
  </sheetData>
  <mergeCells count="10">
    <mergeCell ref="A1:Q1"/>
    <mergeCell ref="R3:T3"/>
    <mergeCell ref="A2:Q2"/>
    <mergeCell ref="C3:E3"/>
    <mergeCell ref="O3:Q3"/>
    <mergeCell ref="A10:Q10"/>
    <mergeCell ref="I3:K3"/>
    <mergeCell ref="F3:H3"/>
    <mergeCell ref="L3:N3"/>
    <mergeCell ref="A3:B3"/>
  </mergeCells>
  <phoneticPr fontId="2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C16" sqref="C16"/>
    </sheetView>
  </sheetViews>
  <sheetFormatPr defaultRowHeight="15" x14ac:dyDescent="0.3"/>
  <cols>
    <col min="1" max="1" width="10" customWidth="1"/>
    <col min="2" max="2" width="12" customWidth="1"/>
    <col min="3" max="3" width="14" customWidth="1"/>
    <col min="4" max="4" width="16" customWidth="1"/>
    <col min="5" max="5" width="14" customWidth="1"/>
    <col min="6" max="6" width="12" customWidth="1"/>
    <col min="7" max="7" width="52" customWidth="1"/>
  </cols>
  <sheetData>
    <row r="1" spans="1:7" ht="24" customHeight="1" x14ac:dyDescent="0.3">
      <c r="A1" s="48" t="s">
        <v>18</v>
      </c>
      <c r="B1" s="43"/>
      <c r="C1" s="43"/>
      <c r="D1" s="43"/>
      <c r="E1" s="43"/>
      <c r="F1" s="43"/>
      <c r="G1" s="43"/>
    </row>
    <row r="2" spans="1:7" ht="28.05" customHeight="1" x14ac:dyDescent="0.3">
      <c r="A2" s="20" t="s">
        <v>19</v>
      </c>
      <c r="B2" s="20" t="s">
        <v>2</v>
      </c>
      <c r="C2" s="20" t="s">
        <v>20</v>
      </c>
      <c r="D2" s="20" t="s">
        <v>21</v>
      </c>
      <c r="E2" s="20" t="s">
        <v>22</v>
      </c>
      <c r="F2" s="20" t="s">
        <v>23</v>
      </c>
      <c r="G2" s="20" t="s">
        <v>24</v>
      </c>
    </row>
    <row r="3" spans="1:7" ht="19.95" customHeight="1" x14ac:dyDescent="0.3">
      <c r="A3" s="21" t="s">
        <v>25</v>
      </c>
      <c r="B3" s="22" t="s">
        <v>12</v>
      </c>
      <c r="C3" s="23">
        <v>15100</v>
      </c>
      <c r="D3" s="24">
        <v>2500</v>
      </c>
      <c r="E3" s="25">
        <v>-12600</v>
      </c>
      <c r="F3" s="26" t="s">
        <v>26</v>
      </c>
      <c r="G3" s="27" t="s">
        <v>27</v>
      </c>
    </row>
    <row r="4" spans="1:7" ht="19.95" customHeight="1" x14ac:dyDescent="0.3">
      <c r="A4" s="21" t="s">
        <v>25</v>
      </c>
      <c r="B4" s="22" t="s">
        <v>13</v>
      </c>
      <c r="C4" s="23">
        <v>3215</v>
      </c>
      <c r="D4" s="24">
        <v>3905</v>
      </c>
      <c r="E4" s="28">
        <v>690</v>
      </c>
      <c r="F4" s="29" t="s">
        <v>28</v>
      </c>
      <c r="G4" s="27" t="s">
        <v>29</v>
      </c>
    </row>
    <row r="5" spans="1:7" ht="19.95" customHeight="1" x14ac:dyDescent="0.3">
      <c r="A5" s="21" t="s">
        <v>25</v>
      </c>
      <c r="B5" s="22" t="s">
        <v>14</v>
      </c>
      <c r="C5" s="23">
        <v>3024</v>
      </c>
      <c r="D5" s="24">
        <v>3024</v>
      </c>
      <c r="E5" s="30"/>
      <c r="F5" s="31" t="s">
        <v>30</v>
      </c>
      <c r="G5" s="27" t="s">
        <v>31</v>
      </c>
    </row>
    <row r="6" spans="1:7" ht="19.95" customHeight="1" x14ac:dyDescent="0.3">
      <c r="A6" s="21" t="s">
        <v>32</v>
      </c>
      <c r="B6" s="22" t="s">
        <v>12</v>
      </c>
      <c r="C6" s="23">
        <v>24750</v>
      </c>
      <c r="D6" s="24">
        <v>24750</v>
      </c>
      <c r="E6" s="30"/>
      <c r="F6" s="31" t="s">
        <v>30</v>
      </c>
      <c r="G6" s="27" t="s">
        <v>31</v>
      </c>
    </row>
    <row r="7" spans="1:7" ht="31.95" customHeight="1" x14ac:dyDescent="0.3">
      <c r="A7" s="21" t="s">
        <v>32</v>
      </c>
      <c r="B7" s="22" t="s">
        <v>13</v>
      </c>
      <c r="C7" s="23">
        <v>9450</v>
      </c>
      <c r="D7" s="24">
        <v>10207</v>
      </c>
      <c r="E7" s="28">
        <v>757</v>
      </c>
      <c r="F7" s="29" t="s">
        <v>28</v>
      </c>
      <c r="G7" s="27" t="s">
        <v>33</v>
      </c>
    </row>
    <row r="8" spans="1:7" ht="19.95" customHeight="1" x14ac:dyDescent="0.3">
      <c r="A8" s="21" t="s">
        <v>32</v>
      </c>
      <c r="B8" s="22" t="s">
        <v>14</v>
      </c>
      <c r="C8" s="23">
        <v>1260</v>
      </c>
      <c r="D8" s="24">
        <v>1260</v>
      </c>
      <c r="E8" s="30"/>
      <c r="F8" s="31" t="s">
        <v>30</v>
      </c>
      <c r="G8" s="27" t="s">
        <v>31</v>
      </c>
    </row>
    <row r="9" spans="1:7" ht="31.95" customHeight="1" x14ac:dyDescent="0.3">
      <c r="A9" s="21" t="s">
        <v>34</v>
      </c>
      <c r="B9" s="22" t="s">
        <v>12</v>
      </c>
      <c r="C9" s="23">
        <v>532897</v>
      </c>
      <c r="D9" s="24">
        <v>567189</v>
      </c>
      <c r="E9" s="28">
        <v>34292</v>
      </c>
      <c r="F9" s="29" t="s">
        <v>28</v>
      </c>
      <c r="G9" s="27" t="s">
        <v>35</v>
      </c>
    </row>
    <row r="10" spans="1:7" ht="19.95" customHeight="1" x14ac:dyDescent="0.3">
      <c r="A10" s="21" t="s">
        <v>34</v>
      </c>
      <c r="B10" s="22" t="s">
        <v>13</v>
      </c>
      <c r="C10" s="23">
        <v>24818</v>
      </c>
      <c r="D10" s="24">
        <v>24818</v>
      </c>
      <c r="E10" s="30"/>
      <c r="F10" s="31" t="s">
        <v>30</v>
      </c>
      <c r="G10" s="27" t="s">
        <v>31</v>
      </c>
    </row>
    <row r="11" spans="1:7" ht="19.95" customHeight="1" x14ac:dyDescent="0.3">
      <c r="A11" s="21" t="s">
        <v>34</v>
      </c>
      <c r="B11" s="22" t="s">
        <v>14</v>
      </c>
      <c r="C11" s="23"/>
      <c r="D11" s="24"/>
      <c r="E11" s="30"/>
      <c r="F11" s="31" t="s">
        <v>30</v>
      </c>
      <c r="G11" s="27" t="s">
        <v>36</v>
      </c>
    </row>
    <row r="12" spans="1:7" ht="31.95" customHeight="1" x14ac:dyDescent="0.3">
      <c r="A12" s="21" t="s">
        <v>37</v>
      </c>
      <c r="B12" s="22" t="s">
        <v>12</v>
      </c>
      <c r="C12" s="23">
        <v>54425</v>
      </c>
      <c r="D12" s="24">
        <v>57733</v>
      </c>
      <c r="E12" s="28">
        <v>3308</v>
      </c>
      <c r="F12" s="29" t="s">
        <v>28</v>
      </c>
      <c r="G12" s="27" t="s">
        <v>38</v>
      </c>
    </row>
    <row r="13" spans="1:7" ht="19.95" customHeight="1" x14ac:dyDescent="0.3">
      <c r="A13" s="21" t="s">
        <v>37</v>
      </c>
      <c r="B13" s="22" t="s">
        <v>13</v>
      </c>
      <c r="C13" s="23">
        <v>3116</v>
      </c>
      <c r="D13" s="24">
        <v>4716</v>
      </c>
      <c r="E13" s="28">
        <v>1600</v>
      </c>
      <c r="F13" s="29" t="s">
        <v>28</v>
      </c>
      <c r="G13" s="27" t="s">
        <v>39</v>
      </c>
    </row>
    <row r="14" spans="1:7" ht="19.95" customHeight="1" x14ac:dyDescent="0.3">
      <c r="A14" s="21" t="s">
        <v>37</v>
      </c>
      <c r="B14" s="22" t="s">
        <v>14</v>
      </c>
      <c r="C14" s="23">
        <v>18755</v>
      </c>
      <c r="D14" s="24">
        <v>18755</v>
      </c>
      <c r="E14" s="30"/>
      <c r="F14" s="31" t="s">
        <v>30</v>
      </c>
      <c r="G14" s="27" t="s">
        <v>31</v>
      </c>
    </row>
    <row r="15" spans="1:7" ht="19.95" customHeight="1" x14ac:dyDescent="0.3">
      <c r="A15" s="21" t="s">
        <v>40</v>
      </c>
      <c r="B15" s="22" t="s">
        <v>12</v>
      </c>
      <c r="C15" s="23">
        <v>28000</v>
      </c>
      <c r="D15" s="24">
        <v>3000</v>
      </c>
      <c r="E15" s="25">
        <v>-25000</v>
      </c>
      <c r="F15" s="26" t="s">
        <v>26</v>
      </c>
      <c r="G15" s="27" t="s">
        <v>41</v>
      </c>
    </row>
    <row r="16" spans="1:7" ht="19.95" customHeight="1" x14ac:dyDescent="0.3">
      <c r="A16" s="21" t="s">
        <v>40</v>
      </c>
      <c r="B16" s="22" t="s">
        <v>13</v>
      </c>
      <c r="C16" s="23">
        <v>1600</v>
      </c>
      <c r="D16" s="24"/>
      <c r="E16" s="25">
        <v>-1600</v>
      </c>
      <c r="F16" s="26" t="s">
        <v>26</v>
      </c>
      <c r="G16" s="27" t="s">
        <v>42</v>
      </c>
    </row>
    <row r="17" spans="1:7" ht="19.95" customHeight="1" x14ac:dyDescent="0.3">
      <c r="A17" s="21" t="s">
        <v>40</v>
      </c>
      <c r="B17" s="22" t="s">
        <v>14</v>
      </c>
      <c r="C17" s="23"/>
      <c r="D17" s="24"/>
      <c r="E17" s="30"/>
      <c r="F17" s="31" t="s">
        <v>30</v>
      </c>
      <c r="G17" s="27" t="s">
        <v>36</v>
      </c>
    </row>
  </sheetData>
  <mergeCells count="1">
    <mergeCell ref="A1:G1"/>
  </mergeCells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tabSelected="1" workbookViewId="0">
      <pane ySplit="2" topLeftCell="A44" activePane="bottomLeft" state="frozen"/>
      <selection pane="bottomLeft" activeCell="A4" sqref="A4"/>
    </sheetView>
  </sheetViews>
  <sheetFormatPr defaultRowHeight="15" x14ac:dyDescent="0.3"/>
  <cols>
    <col min="1" max="1" width="11" customWidth="1"/>
    <col min="2" max="2" width="9" customWidth="1"/>
    <col min="3" max="3" width="16" customWidth="1"/>
    <col min="4" max="4" width="36" customWidth="1"/>
    <col min="5" max="5" width="10" customWidth="1"/>
    <col min="6" max="7" width="11" customWidth="1"/>
    <col min="8" max="9" width="12" customWidth="1"/>
    <col min="10" max="11" width="13" customWidth="1"/>
    <col min="12" max="12" width="14" customWidth="1"/>
  </cols>
  <sheetData>
    <row r="1" spans="1:12" ht="24" customHeight="1" x14ac:dyDescent="0.3">
      <c r="A1" s="48" t="s">
        <v>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30" customHeight="1" x14ac:dyDescent="0.3">
      <c r="A2" s="32" t="s">
        <v>44</v>
      </c>
      <c r="B2" s="32" t="s">
        <v>45</v>
      </c>
      <c r="C2" s="32" t="s">
        <v>46</v>
      </c>
      <c r="D2" s="32" t="s">
        <v>47</v>
      </c>
      <c r="E2" s="32" t="s">
        <v>48</v>
      </c>
      <c r="F2" s="32" t="s">
        <v>49</v>
      </c>
      <c r="G2" s="32" t="s">
        <v>50</v>
      </c>
      <c r="H2" s="32" t="s">
        <v>12</v>
      </c>
      <c r="I2" s="32" t="s">
        <v>13</v>
      </c>
      <c r="J2" s="32" t="s">
        <v>51</v>
      </c>
      <c r="K2" s="32" t="s">
        <v>52</v>
      </c>
      <c r="L2" s="32" t="s">
        <v>53</v>
      </c>
    </row>
    <row r="3" spans="1:12" ht="18" customHeight="1" x14ac:dyDescent="0.3">
      <c r="A3" s="33" t="s">
        <v>54</v>
      </c>
      <c r="B3" s="33" t="s">
        <v>49</v>
      </c>
      <c r="C3" s="33" t="s">
        <v>55</v>
      </c>
      <c r="D3" s="34" t="s">
        <v>56</v>
      </c>
      <c r="E3" s="33" t="s">
        <v>57</v>
      </c>
      <c r="F3" s="33" t="s">
        <v>58</v>
      </c>
      <c r="G3" s="33" t="s">
        <v>59</v>
      </c>
      <c r="H3" s="35">
        <v>30000</v>
      </c>
      <c r="I3" s="35"/>
      <c r="J3" s="35">
        <v>50400</v>
      </c>
      <c r="K3" s="35"/>
      <c r="L3" s="34" t="s">
        <v>60</v>
      </c>
    </row>
    <row r="4" spans="1:12" ht="18" customHeight="1" x14ac:dyDescent="0.3">
      <c r="A4" s="21" t="s">
        <v>61</v>
      </c>
      <c r="B4" s="21" t="s">
        <v>50</v>
      </c>
      <c r="C4" s="21" t="s">
        <v>62</v>
      </c>
      <c r="D4" s="22" t="s">
        <v>63</v>
      </c>
      <c r="E4" s="21" t="s">
        <v>64</v>
      </c>
      <c r="F4" s="21" t="s">
        <v>65</v>
      </c>
      <c r="G4" s="21" t="s">
        <v>66</v>
      </c>
      <c r="H4" s="36">
        <v>69300</v>
      </c>
      <c r="I4" s="36"/>
      <c r="J4" s="36">
        <v>146193</v>
      </c>
      <c r="K4" s="36">
        <v>146193</v>
      </c>
      <c r="L4" s="22" t="s">
        <v>67</v>
      </c>
    </row>
    <row r="5" spans="1:12" ht="18" customHeight="1" x14ac:dyDescent="0.3">
      <c r="A5" s="21" t="s">
        <v>25</v>
      </c>
      <c r="B5" s="21" t="s">
        <v>50</v>
      </c>
      <c r="C5" s="21" t="s">
        <v>68</v>
      </c>
      <c r="D5" s="22" t="s">
        <v>69</v>
      </c>
      <c r="E5" s="21" t="s">
        <v>64</v>
      </c>
      <c r="F5" s="21" t="s">
        <v>70</v>
      </c>
      <c r="G5" s="21" t="s">
        <v>71</v>
      </c>
      <c r="H5" s="36"/>
      <c r="I5" s="36">
        <v>294</v>
      </c>
      <c r="J5" s="36"/>
      <c r="K5" s="36"/>
      <c r="L5" s="22"/>
    </row>
    <row r="6" spans="1:12" ht="18" customHeight="1" x14ac:dyDescent="0.3">
      <c r="A6" s="21" t="s">
        <v>25</v>
      </c>
      <c r="B6" s="21" t="s">
        <v>50</v>
      </c>
      <c r="C6" s="21" t="s">
        <v>72</v>
      </c>
      <c r="D6" s="22" t="s">
        <v>73</v>
      </c>
      <c r="E6" s="21" t="s">
        <v>64</v>
      </c>
      <c r="F6" s="21" t="s">
        <v>74</v>
      </c>
      <c r="G6" s="21" t="s">
        <v>71</v>
      </c>
      <c r="H6" s="36"/>
      <c r="I6" s="36">
        <v>520</v>
      </c>
      <c r="J6" s="36"/>
      <c r="K6" s="36"/>
      <c r="L6" s="22"/>
    </row>
    <row r="7" spans="1:12" ht="18" customHeight="1" x14ac:dyDescent="0.3">
      <c r="A7" s="21" t="s">
        <v>25</v>
      </c>
      <c r="B7" s="21" t="s">
        <v>50</v>
      </c>
      <c r="C7" s="21" t="s">
        <v>75</v>
      </c>
      <c r="D7" s="22" t="s">
        <v>76</v>
      </c>
      <c r="E7" s="21" t="s">
        <v>64</v>
      </c>
      <c r="F7" s="21" t="s">
        <v>77</v>
      </c>
      <c r="G7" s="21" t="s">
        <v>78</v>
      </c>
      <c r="H7" s="36"/>
      <c r="I7" s="36">
        <v>74</v>
      </c>
      <c r="J7" s="36"/>
      <c r="K7" s="36"/>
      <c r="L7" s="22"/>
    </row>
    <row r="8" spans="1:12" ht="18" customHeight="1" x14ac:dyDescent="0.3">
      <c r="A8" s="21" t="s">
        <v>25</v>
      </c>
      <c r="B8" s="21" t="s">
        <v>50</v>
      </c>
      <c r="C8" s="21" t="s">
        <v>79</v>
      </c>
      <c r="D8" s="22" t="s">
        <v>80</v>
      </c>
      <c r="E8" s="21" t="s">
        <v>64</v>
      </c>
      <c r="F8" s="21" t="s">
        <v>81</v>
      </c>
      <c r="G8" s="21" t="s">
        <v>78</v>
      </c>
      <c r="H8" s="36"/>
      <c r="I8" s="36">
        <v>263</v>
      </c>
      <c r="J8" s="36"/>
      <c r="K8" s="36"/>
      <c r="L8" s="22"/>
    </row>
    <row r="9" spans="1:12" ht="18" customHeight="1" x14ac:dyDescent="0.3">
      <c r="A9" s="21" t="s">
        <v>25</v>
      </c>
      <c r="B9" s="21" t="s">
        <v>50</v>
      </c>
      <c r="C9" s="21" t="s">
        <v>82</v>
      </c>
      <c r="D9" s="22" t="s">
        <v>83</v>
      </c>
      <c r="E9" s="21" t="s">
        <v>64</v>
      </c>
      <c r="F9" s="21" t="s">
        <v>81</v>
      </c>
      <c r="G9" s="21" t="s">
        <v>84</v>
      </c>
      <c r="H9" s="36">
        <v>500</v>
      </c>
      <c r="I9" s="36"/>
      <c r="J9" s="36"/>
      <c r="K9" s="36"/>
      <c r="L9" s="22"/>
    </row>
    <row r="10" spans="1:12" ht="18" customHeight="1" x14ac:dyDescent="0.3">
      <c r="A10" s="21" t="s">
        <v>25</v>
      </c>
      <c r="B10" s="21" t="s">
        <v>50</v>
      </c>
      <c r="C10" s="21" t="s">
        <v>85</v>
      </c>
      <c r="D10" s="22" t="s">
        <v>86</v>
      </c>
      <c r="E10" s="21" t="s">
        <v>64</v>
      </c>
      <c r="F10" s="21" t="s">
        <v>87</v>
      </c>
      <c r="G10" s="21" t="s">
        <v>77</v>
      </c>
      <c r="H10" s="36"/>
      <c r="I10" s="36">
        <v>137</v>
      </c>
      <c r="J10" s="36"/>
      <c r="K10" s="36"/>
      <c r="L10" s="22"/>
    </row>
    <row r="11" spans="1:12" ht="18" customHeight="1" x14ac:dyDescent="0.3">
      <c r="A11" s="21" t="s">
        <v>25</v>
      </c>
      <c r="B11" s="21" t="s">
        <v>50</v>
      </c>
      <c r="C11" s="21" t="s">
        <v>88</v>
      </c>
      <c r="D11" s="22" t="s">
        <v>89</v>
      </c>
      <c r="E11" s="21" t="s">
        <v>64</v>
      </c>
      <c r="F11" s="21" t="s">
        <v>90</v>
      </c>
      <c r="G11" s="21" t="s">
        <v>77</v>
      </c>
      <c r="H11" s="36">
        <v>2000</v>
      </c>
      <c r="I11" s="36"/>
      <c r="J11" s="36"/>
      <c r="K11" s="36"/>
      <c r="L11" s="22"/>
    </row>
    <row r="12" spans="1:12" ht="18" customHeight="1" x14ac:dyDescent="0.3">
      <c r="A12" s="21" t="s">
        <v>25</v>
      </c>
      <c r="B12" s="21" t="s">
        <v>50</v>
      </c>
      <c r="C12" s="21" t="s">
        <v>91</v>
      </c>
      <c r="D12" s="22" t="s">
        <v>92</v>
      </c>
      <c r="E12" s="21" t="s">
        <v>64</v>
      </c>
      <c r="F12" s="21" t="s">
        <v>93</v>
      </c>
      <c r="G12" s="21" t="s">
        <v>77</v>
      </c>
      <c r="H12" s="36"/>
      <c r="I12" s="36">
        <v>620</v>
      </c>
      <c r="J12" s="36"/>
      <c r="K12" s="36"/>
      <c r="L12" s="22"/>
    </row>
    <row r="13" spans="1:12" ht="18" customHeight="1" x14ac:dyDescent="0.3">
      <c r="A13" s="21" t="s">
        <v>25</v>
      </c>
      <c r="B13" s="21" t="s">
        <v>50</v>
      </c>
      <c r="C13" s="21" t="s">
        <v>94</v>
      </c>
      <c r="D13" s="22" t="s">
        <v>95</v>
      </c>
      <c r="E13" s="21" t="s">
        <v>64</v>
      </c>
      <c r="F13" s="21" t="s">
        <v>96</v>
      </c>
      <c r="G13" s="21" t="s">
        <v>90</v>
      </c>
      <c r="H13" s="36"/>
      <c r="I13" s="36">
        <v>550</v>
      </c>
      <c r="J13" s="36">
        <v>1591</v>
      </c>
      <c r="K13" s="36">
        <v>1591</v>
      </c>
      <c r="L13" s="22" t="s">
        <v>97</v>
      </c>
    </row>
    <row r="14" spans="1:12" ht="18" customHeight="1" x14ac:dyDescent="0.3">
      <c r="A14" s="21" t="s">
        <v>25</v>
      </c>
      <c r="B14" s="21" t="s">
        <v>50</v>
      </c>
      <c r="C14" s="21" t="s">
        <v>98</v>
      </c>
      <c r="D14" s="22" t="s">
        <v>99</v>
      </c>
      <c r="E14" s="21" t="s">
        <v>64</v>
      </c>
      <c r="F14" s="21" t="s">
        <v>100</v>
      </c>
      <c r="G14" s="21" t="s">
        <v>77</v>
      </c>
      <c r="H14" s="36"/>
      <c r="I14" s="36">
        <v>294</v>
      </c>
      <c r="J14" s="36"/>
      <c r="K14" s="36"/>
      <c r="L14" s="22"/>
    </row>
    <row r="15" spans="1:12" ht="18" customHeight="1" x14ac:dyDescent="0.3">
      <c r="A15" s="21" t="s">
        <v>25</v>
      </c>
      <c r="B15" s="21" t="s">
        <v>50</v>
      </c>
      <c r="C15" s="21" t="s">
        <v>101</v>
      </c>
      <c r="D15" s="22" t="s">
        <v>102</v>
      </c>
      <c r="E15" s="21" t="s">
        <v>64</v>
      </c>
      <c r="F15" s="21" t="s">
        <v>103</v>
      </c>
      <c r="G15" s="21" t="s">
        <v>77</v>
      </c>
      <c r="H15" s="36"/>
      <c r="I15" s="36"/>
      <c r="J15" s="36">
        <v>1433</v>
      </c>
      <c r="K15" s="36">
        <v>1433</v>
      </c>
      <c r="L15" s="22" t="s">
        <v>97</v>
      </c>
    </row>
    <row r="16" spans="1:12" ht="18" customHeight="1" x14ac:dyDescent="0.3">
      <c r="A16" s="21" t="s">
        <v>25</v>
      </c>
      <c r="B16" s="21" t="s">
        <v>50</v>
      </c>
      <c r="C16" s="21" t="s">
        <v>104</v>
      </c>
      <c r="D16" s="22" t="s">
        <v>105</v>
      </c>
      <c r="E16" s="21" t="s">
        <v>64</v>
      </c>
      <c r="F16" s="21" t="s">
        <v>106</v>
      </c>
      <c r="G16" s="21" t="s">
        <v>77</v>
      </c>
      <c r="H16" s="36"/>
      <c r="I16" s="36">
        <v>1153</v>
      </c>
      <c r="J16" s="36"/>
      <c r="K16" s="36"/>
      <c r="L16" s="22"/>
    </row>
    <row r="17" spans="1:12" ht="18" customHeight="1" x14ac:dyDescent="0.3">
      <c r="A17" s="21" t="s">
        <v>32</v>
      </c>
      <c r="B17" s="21" t="s">
        <v>50</v>
      </c>
      <c r="C17" s="21" t="s">
        <v>107</v>
      </c>
      <c r="D17" s="22" t="s">
        <v>108</v>
      </c>
      <c r="E17" s="21" t="s">
        <v>64</v>
      </c>
      <c r="F17" s="21" t="s">
        <v>109</v>
      </c>
      <c r="G17" s="21" t="s">
        <v>110</v>
      </c>
      <c r="H17" s="36">
        <v>15750</v>
      </c>
      <c r="I17" s="36"/>
      <c r="J17" s="36"/>
      <c r="K17" s="36"/>
      <c r="L17" s="22"/>
    </row>
    <row r="18" spans="1:12" ht="18" customHeight="1" x14ac:dyDescent="0.3">
      <c r="A18" s="21" t="s">
        <v>32</v>
      </c>
      <c r="B18" s="21" t="s">
        <v>50</v>
      </c>
      <c r="C18" s="21" t="s">
        <v>111</v>
      </c>
      <c r="D18" s="22" t="s">
        <v>112</v>
      </c>
      <c r="E18" s="21" t="s">
        <v>64</v>
      </c>
      <c r="F18" s="21" t="s">
        <v>113</v>
      </c>
      <c r="G18" s="21" t="s">
        <v>109</v>
      </c>
      <c r="H18" s="36"/>
      <c r="I18" s="36"/>
      <c r="J18" s="36">
        <v>1260</v>
      </c>
      <c r="K18" s="36">
        <v>1260</v>
      </c>
      <c r="L18" s="22" t="s">
        <v>114</v>
      </c>
    </row>
    <row r="19" spans="1:12" ht="18" customHeight="1" x14ac:dyDescent="0.3">
      <c r="A19" s="21" t="s">
        <v>32</v>
      </c>
      <c r="B19" s="21" t="s">
        <v>50</v>
      </c>
      <c r="C19" s="21" t="s">
        <v>115</v>
      </c>
      <c r="D19" s="22" t="s">
        <v>116</v>
      </c>
      <c r="E19" s="21" t="s">
        <v>64</v>
      </c>
      <c r="F19" s="21" t="s">
        <v>117</v>
      </c>
      <c r="G19" s="21" t="s">
        <v>118</v>
      </c>
      <c r="H19" s="36"/>
      <c r="I19" s="36">
        <v>620</v>
      </c>
      <c r="J19" s="36"/>
      <c r="K19" s="36"/>
      <c r="L19" s="22"/>
    </row>
    <row r="20" spans="1:12" ht="18" customHeight="1" x14ac:dyDescent="0.3">
      <c r="A20" s="21" t="s">
        <v>32</v>
      </c>
      <c r="B20" s="21" t="s">
        <v>50</v>
      </c>
      <c r="C20" s="21" t="s">
        <v>119</v>
      </c>
      <c r="D20" s="22" t="s">
        <v>120</v>
      </c>
      <c r="E20" s="21" t="s">
        <v>64</v>
      </c>
      <c r="F20" s="21" t="s">
        <v>117</v>
      </c>
      <c r="G20" s="21" t="s">
        <v>118</v>
      </c>
      <c r="H20" s="36"/>
      <c r="I20" s="36">
        <v>137</v>
      </c>
      <c r="J20" s="36"/>
      <c r="K20" s="36"/>
      <c r="L20" s="22"/>
    </row>
    <row r="21" spans="1:12" ht="18" customHeight="1" x14ac:dyDescent="0.3">
      <c r="A21" s="21" t="s">
        <v>32</v>
      </c>
      <c r="B21" s="21" t="s">
        <v>50</v>
      </c>
      <c r="C21" s="21" t="s">
        <v>121</v>
      </c>
      <c r="D21" s="22" t="s">
        <v>122</v>
      </c>
      <c r="E21" s="21" t="s">
        <v>64</v>
      </c>
      <c r="F21" s="21" t="s">
        <v>123</v>
      </c>
      <c r="G21" s="21" t="s">
        <v>109</v>
      </c>
      <c r="H21" s="36"/>
      <c r="I21" s="36">
        <v>9450</v>
      </c>
      <c r="J21" s="36"/>
      <c r="K21" s="36"/>
      <c r="L21" s="22"/>
    </row>
    <row r="22" spans="1:12" ht="18" customHeight="1" x14ac:dyDescent="0.3">
      <c r="A22" s="21" t="s">
        <v>32</v>
      </c>
      <c r="B22" s="21" t="s">
        <v>50</v>
      </c>
      <c r="C22" s="21" t="s">
        <v>124</v>
      </c>
      <c r="D22" s="22" t="s">
        <v>125</v>
      </c>
      <c r="E22" s="21" t="s">
        <v>64</v>
      </c>
      <c r="F22" s="21" t="s">
        <v>90</v>
      </c>
      <c r="G22" s="21" t="s">
        <v>126</v>
      </c>
      <c r="H22" s="36">
        <v>9000</v>
      </c>
      <c r="I22" s="36"/>
      <c r="J22" s="36"/>
      <c r="K22" s="36"/>
      <c r="L22" s="22"/>
    </row>
    <row r="23" spans="1:12" ht="18" customHeight="1" x14ac:dyDescent="0.3">
      <c r="A23" s="21" t="s">
        <v>34</v>
      </c>
      <c r="B23" s="21" t="s">
        <v>50</v>
      </c>
      <c r="C23" s="21" t="s">
        <v>127</v>
      </c>
      <c r="D23" s="22" t="s">
        <v>128</v>
      </c>
      <c r="E23" s="21" t="s">
        <v>64</v>
      </c>
      <c r="F23" s="21" t="s">
        <v>129</v>
      </c>
      <c r="G23" s="21" t="s">
        <v>130</v>
      </c>
      <c r="H23" s="36"/>
      <c r="I23" s="36">
        <v>290</v>
      </c>
      <c r="J23" s="36"/>
      <c r="K23" s="36"/>
      <c r="L23" s="22"/>
    </row>
    <row r="24" spans="1:12" ht="18" customHeight="1" x14ac:dyDescent="0.3">
      <c r="A24" s="21" t="s">
        <v>34</v>
      </c>
      <c r="B24" s="21" t="s">
        <v>50</v>
      </c>
      <c r="C24" s="21" t="s">
        <v>131</v>
      </c>
      <c r="D24" s="22" t="s">
        <v>132</v>
      </c>
      <c r="E24" s="21" t="s">
        <v>64</v>
      </c>
      <c r="F24" s="21" t="s">
        <v>133</v>
      </c>
      <c r="G24" s="21" t="s">
        <v>134</v>
      </c>
      <c r="H24" s="36"/>
      <c r="I24" s="36">
        <v>142</v>
      </c>
      <c r="J24" s="36"/>
      <c r="K24" s="36"/>
      <c r="L24" s="22"/>
    </row>
    <row r="25" spans="1:12" ht="18" customHeight="1" x14ac:dyDescent="0.3">
      <c r="A25" s="21" t="s">
        <v>34</v>
      </c>
      <c r="B25" s="21" t="s">
        <v>50</v>
      </c>
      <c r="C25" s="21" t="s">
        <v>135</v>
      </c>
      <c r="D25" s="22" t="s">
        <v>136</v>
      </c>
      <c r="E25" s="21" t="s">
        <v>64</v>
      </c>
      <c r="F25" s="21" t="s">
        <v>137</v>
      </c>
      <c r="G25" s="21" t="s">
        <v>138</v>
      </c>
      <c r="H25" s="36"/>
      <c r="I25" s="36">
        <v>3024</v>
      </c>
      <c r="J25" s="36"/>
      <c r="K25" s="36"/>
      <c r="L25" s="22"/>
    </row>
    <row r="26" spans="1:12" ht="18" customHeight="1" x14ac:dyDescent="0.3">
      <c r="A26" s="21" t="s">
        <v>34</v>
      </c>
      <c r="B26" s="21" t="s">
        <v>50</v>
      </c>
      <c r="C26" s="21" t="s">
        <v>139</v>
      </c>
      <c r="D26" s="22" t="s">
        <v>140</v>
      </c>
      <c r="E26" s="21" t="s">
        <v>64</v>
      </c>
      <c r="F26" s="21" t="s">
        <v>141</v>
      </c>
      <c r="G26" s="21" t="s">
        <v>142</v>
      </c>
      <c r="H26" s="36">
        <v>7497</v>
      </c>
      <c r="I26" s="36"/>
      <c r="J26" s="36"/>
      <c r="K26" s="36"/>
      <c r="L26" s="22"/>
    </row>
    <row r="27" spans="1:12" ht="18" customHeight="1" x14ac:dyDescent="0.3">
      <c r="A27" s="21" t="s">
        <v>34</v>
      </c>
      <c r="B27" s="21" t="s">
        <v>50</v>
      </c>
      <c r="C27" s="21" t="s">
        <v>143</v>
      </c>
      <c r="D27" s="22" t="s">
        <v>144</v>
      </c>
      <c r="E27" s="21" t="s">
        <v>64</v>
      </c>
      <c r="F27" s="21" t="s">
        <v>141</v>
      </c>
      <c r="G27" s="21" t="s">
        <v>145</v>
      </c>
      <c r="H27" s="36">
        <v>45675</v>
      </c>
      <c r="I27" s="36"/>
      <c r="J27" s="36"/>
      <c r="K27" s="36"/>
      <c r="L27" s="22"/>
    </row>
    <row r="28" spans="1:12" ht="18" customHeight="1" x14ac:dyDescent="0.3">
      <c r="A28" s="21" t="s">
        <v>34</v>
      </c>
      <c r="B28" s="21" t="s">
        <v>50</v>
      </c>
      <c r="C28" s="21" t="s">
        <v>146</v>
      </c>
      <c r="D28" s="22" t="s">
        <v>147</v>
      </c>
      <c r="E28" s="21" t="s">
        <v>64</v>
      </c>
      <c r="F28" s="21" t="s">
        <v>148</v>
      </c>
      <c r="G28" s="21" t="s">
        <v>149</v>
      </c>
      <c r="H28" s="36"/>
      <c r="I28" s="36">
        <v>137</v>
      </c>
      <c r="J28" s="36"/>
      <c r="K28" s="36"/>
      <c r="L28" s="22"/>
    </row>
    <row r="29" spans="1:12" ht="18" customHeight="1" x14ac:dyDescent="0.3">
      <c r="A29" s="21" t="s">
        <v>34</v>
      </c>
      <c r="B29" s="21" t="s">
        <v>50</v>
      </c>
      <c r="C29" s="21" t="s">
        <v>150</v>
      </c>
      <c r="D29" s="22" t="s">
        <v>151</v>
      </c>
      <c r="E29" s="21" t="s">
        <v>64</v>
      </c>
      <c r="F29" s="21" t="s">
        <v>152</v>
      </c>
      <c r="G29" s="21" t="s">
        <v>149</v>
      </c>
      <c r="H29" s="36"/>
      <c r="I29" s="36">
        <v>279</v>
      </c>
      <c r="J29" s="36"/>
      <c r="K29" s="36"/>
      <c r="L29" s="22"/>
    </row>
    <row r="30" spans="1:12" ht="18" customHeight="1" x14ac:dyDescent="0.3">
      <c r="A30" s="21" t="s">
        <v>34</v>
      </c>
      <c r="B30" s="21" t="s">
        <v>50</v>
      </c>
      <c r="C30" s="21" t="s">
        <v>153</v>
      </c>
      <c r="D30" s="22" t="s">
        <v>154</v>
      </c>
      <c r="E30" s="21" t="s">
        <v>64</v>
      </c>
      <c r="F30" s="21" t="s">
        <v>155</v>
      </c>
      <c r="G30" s="21" t="s">
        <v>156</v>
      </c>
      <c r="H30" s="36"/>
      <c r="I30" s="36">
        <v>156</v>
      </c>
      <c r="J30" s="36"/>
      <c r="K30" s="36"/>
      <c r="L30" s="22"/>
    </row>
    <row r="31" spans="1:12" ht="18" customHeight="1" x14ac:dyDescent="0.3">
      <c r="A31" s="21" t="s">
        <v>34</v>
      </c>
      <c r="B31" s="21" t="s">
        <v>50</v>
      </c>
      <c r="C31" s="21" t="s">
        <v>157</v>
      </c>
      <c r="D31" s="22" t="s">
        <v>158</v>
      </c>
      <c r="E31" s="21" t="s">
        <v>64</v>
      </c>
      <c r="F31" s="21" t="s">
        <v>159</v>
      </c>
      <c r="G31" s="21" t="s">
        <v>138</v>
      </c>
      <c r="H31" s="36"/>
      <c r="I31" s="36">
        <v>20790</v>
      </c>
      <c r="J31" s="36"/>
      <c r="K31" s="36"/>
      <c r="L31" s="22"/>
    </row>
    <row r="32" spans="1:12" ht="18" customHeight="1" x14ac:dyDescent="0.3">
      <c r="A32" s="21" t="s">
        <v>34</v>
      </c>
      <c r="B32" s="21" t="s">
        <v>50</v>
      </c>
      <c r="C32" s="21" t="s">
        <v>160</v>
      </c>
      <c r="D32" s="22" t="s">
        <v>161</v>
      </c>
      <c r="E32" s="21" t="s">
        <v>64</v>
      </c>
      <c r="F32" s="21" t="s">
        <v>123</v>
      </c>
      <c r="G32" s="21" t="s">
        <v>149</v>
      </c>
      <c r="H32" s="36">
        <v>140333</v>
      </c>
      <c r="I32" s="36"/>
      <c r="J32" s="36"/>
      <c r="K32" s="36"/>
      <c r="L32" s="22"/>
    </row>
    <row r="33" spans="1:12" ht="18" customHeight="1" x14ac:dyDescent="0.3">
      <c r="A33" s="21" t="s">
        <v>34</v>
      </c>
      <c r="B33" s="21" t="s">
        <v>50</v>
      </c>
      <c r="C33" s="21" t="s">
        <v>162</v>
      </c>
      <c r="D33" s="22" t="s">
        <v>163</v>
      </c>
      <c r="E33" s="21" t="s">
        <v>64</v>
      </c>
      <c r="F33" s="21" t="s">
        <v>164</v>
      </c>
      <c r="G33" s="21" t="s">
        <v>156</v>
      </c>
      <c r="H33" s="36">
        <v>12600</v>
      </c>
      <c r="I33" s="36"/>
      <c r="J33" s="36"/>
      <c r="K33" s="36"/>
      <c r="L33" s="22"/>
    </row>
    <row r="34" spans="1:12" ht="18" customHeight="1" x14ac:dyDescent="0.3">
      <c r="A34" s="21" t="s">
        <v>34</v>
      </c>
      <c r="B34" s="21" t="s">
        <v>50</v>
      </c>
      <c r="C34" s="21" t="s">
        <v>165</v>
      </c>
      <c r="D34" s="22" t="s">
        <v>166</v>
      </c>
      <c r="E34" s="21" t="s">
        <v>64</v>
      </c>
      <c r="F34" s="21" t="s">
        <v>167</v>
      </c>
      <c r="G34" s="21" t="s">
        <v>138</v>
      </c>
      <c r="H34" s="36">
        <v>25000</v>
      </c>
      <c r="I34" s="36"/>
      <c r="J34" s="36"/>
      <c r="K34" s="36"/>
      <c r="L34" s="22"/>
    </row>
    <row r="35" spans="1:12" ht="18" customHeight="1" x14ac:dyDescent="0.3">
      <c r="A35" s="37" t="s">
        <v>34</v>
      </c>
      <c r="B35" s="37" t="s">
        <v>49</v>
      </c>
      <c r="C35" s="37" t="s">
        <v>168</v>
      </c>
      <c r="D35" s="38" t="s">
        <v>169</v>
      </c>
      <c r="E35" s="37" t="s">
        <v>57</v>
      </c>
      <c r="F35" s="37" t="s">
        <v>170</v>
      </c>
      <c r="G35" s="37" t="s">
        <v>130</v>
      </c>
      <c r="H35" s="39">
        <v>126084</v>
      </c>
      <c r="I35" s="39"/>
      <c r="J35" s="39"/>
      <c r="K35" s="39"/>
      <c r="L35" s="38"/>
    </row>
    <row r="36" spans="1:12" ht="18" customHeight="1" x14ac:dyDescent="0.3">
      <c r="A36" s="37" t="s">
        <v>34</v>
      </c>
      <c r="B36" s="37" t="s">
        <v>49</v>
      </c>
      <c r="C36" s="37" t="s">
        <v>171</v>
      </c>
      <c r="D36" s="38" t="s">
        <v>172</v>
      </c>
      <c r="E36" s="37" t="s">
        <v>173</v>
      </c>
      <c r="F36" s="37" t="s">
        <v>149</v>
      </c>
      <c r="G36" s="37" t="s">
        <v>145</v>
      </c>
      <c r="H36" s="39">
        <v>210000</v>
      </c>
      <c r="I36" s="39"/>
      <c r="J36" s="39"/>
      <c r="K36" s="39"/>
      <c r="L36" s="38"/>
    </row>
    <row r="37" spans="1:12" ht="18" customHeight="1" x14ac:dyDescent="0.3">
      <c r="A37" s="21" t="s">
        <v>37</v>
      </c>
      <c r="B37" s="21" t="s">
        <v>50</v>
      </c>
      <c r="C37" s="21" t="s">
        <v>174</v>
      </c>
      <c r="D37" s="22" t="s">
        <v>175</v>
      </c>
      <c r="E37" s="21" t="s">
        <v>64</v>
      </c>
      <c r="F37" s="21" t="s">
        <v>156</v>
      </c>
      <c r="G37" s="21" t="s">
        <v>176</v>
      </c>
      <c r="H37" s="36">
        <v>3308</v>
      </c>
      <c r="I37" s="36"/>
      <c r="J37" s="36"/>
      <c r="K37" s="36"/>
      <c r="L37" s="22"/>
    </row>
    <row r="38" spans="1:12" ht="18" customHeight="1" x14ac:dyDescent="0.3">
      <c r="A38" s="37" t="s">
        <v>37</v>
      </c>
      <c r="B38" s="37" t="s">
        <v>49</v>
      </c>
      <c r="C38" s="37" t="s">
        <v>177</v>
      </c>
      <c r="D38" s="38" t="s">
        <v>178</v>
      </c>
      <c r="E38" s="37" t="s">
        <v>179</v>
      </c>
      <c r="F38" s="37" t="s">
        <v>180</v>
      </c>
      <c r="G38" s="37"/>
      <c r="H38" s="39"/>
      <c r="I38" s="39">
        <v>2026</v>
      </c>
      <c r="J38" s="39"/>
      <c r="K38" s="39"/>
      <c r="L38" s="38"/>
    </row>
    <row r="39" spans="1:12" ht="18" customHeight="1" x14ac:dyDescent="0.3">
      <c r="A39" s="33" t="s">
        <v>37</v>
      </c>
      <c r="B39" s="33" t="s">
        <v>50</v>
      </c>
      <c r="C39" s="33" t="s">
        <v>181</v>
      </c>
      <c r="D39" s="34" t="s">
        <v>182</v>
      </c>
      <c r="E39" s="33" t="s">
        <v>64</v>
      </c>
      <c r="F39" s="33" t="s">
        <v>183</v>
      </c>
      <c r="G39" s="33" t="s">
        <v>180</v>
      </c>
      <c r="H39" s="35"/>
      <c r="I39" s="35">
        <v>137</v>
      </c>
      <c r="J39" s="35">
        <v>137</v>
      </c>
      <c r="K39" s="35"/>
      <c r="L39" s="34"/>
    </row>
    <row r="40" spans="1:12" ht="18" customHeight="1" x14ac:dyDescent="0.3">
      <c r="A40" s="21" t="s">
        <v>37</v>
      </c>
      <c r="B40" s="21" t="s">
        <v>50</v>
      </c>
      <c r="C40" s="21" t="s">
        <v>184</v>
      </c>
      <c r="D40" s="22" t="s">
        <v>185</v>
      </c>
      <c r="E40" s="21" t="s">
        <v>64</v>
      </c>
      <c r="F40" s="21" t="s">
        <v>186</v>
      </c>
      <c r="G40" s="21" t="s">
        <v>187</v>
      </c>
      <c r="H40" s="36"/>
      <c r="I40" s="36"/>
      <c r="J40" s="36">
        <v>800</v>
      </c>
      <c r="K40" s="36">
        <v>800</v>
      </c>
      <c r="L40" s="22" t="s">
        <v>188</v>
      </c>
    </row>
    <row r="41" spans="1:12" ht="18" customHeight="1" x14ac:dyDescent="0.3">
      <c r="A41" s="21" t="s">
        <v>37</v>
      </c>
      <c r="B41" s="21" t="s">
        <v>50</v>
      </c>
      <c r="C41" s="21" t="s">
        <v>189</v>
      </c>
      <c r="D41" s="22" t="s">
        <v>190</v>
      </c>
      <c r="E41" s="21" t="s">
        <v>64</v>
      </c>
      <c r="F41" s="21" t="s">
        <v>191</v>
      </c>
      <c r="G41" s="21" t="s">
        <v>187</v>
      </c>
      <c r="H41" s="36"/>
      <c r="I41" s="36">
        <v>38</v>
      </c>
      <c r="J41" s="36"/>
      <c r="K41" s="36"/>
      <c r="L41" s="22"/>
    </row>
    <row r="42" spans="1:12" ht="18" customHeight="1" x14ac:dyDescent="0.3">
      <c r="A42" s="21" t="s">
        <v>37</v>
      </c>
      <c r="B42" s="21" t="s">
        <v>50</v>
      </c>
      <c r="C42" s="21" t="s">
        <v>192</v>
      </c>
      <c r="D42" s="22" t="s">
        <v>193</v>
      </c>
      <c r="E42" s="21" t="s">
        <v>64</v>
      </c>
      <c r="F42" s="21" t="s">
        <v>194</v>
      </c>
      <c r="G42" s="21" t="s">
        <v>187</v>
      </c>
      <c r="H42" s="36"/>
      <c r="I42" s="36">
        <v>142</v>
      </c>
      <c r="J42" s="36"/>
      <c r="K42" s="36"/>
      <c r="L42" s="22"/>
    </row>
    <row r="43" spans="1:12" ht="18" customHeight="1" x14ac:dyDescent="0.3">
      <c r="A43" s="21" t="s">
        <v>37</v>
      </c>
      <c r="B43" s="21" t="s">
        <v>50</v>
      </c>
      <c r="C43" s="21" t="s">
        <v>195</v>
      </c>
      <c r="D43" s="22" t="s">
        <v>196</v>
      </c>
      <c r="E43" s="21" t="s">
        <v>64</v>
      </c>
      <c r="F43" s="21" t="s">
        <v>197</v>
      </c>
      <c r="G43" s="21" t="s">
        <v>180</v>
      </c>
      <c r="H43" s="36"/>
      <c r="I43" s="36">
        <v>1600</v>
      </c>
      <c r="J43" s="36"/>
      <c r="K43" s="36"/>
      <c r="L43" s="22" t="s">
        <v>114</v>
      </c>
    </row>
    <row r="44" spans="1:12" ht="18" customHeight="1" x14ac:dyDescent="0.3">
      <c r="A44" s="21" t="s">
        <v>37</v>
      </c>
      <c r="B44" s="21" t="s">
        <v>50</v>
      </c>
      <c r="C44" s="21" t="s">
        <v>198</v>
      </c>
      <c r="D44" s="22" t="s">
        <v>199</v>
      </c>
      <c r="E44" s="21" t="s">
        <v>64</v>
      </c>
      <c r="F44" s="21" t="s">
        <v>200</v>
      </c>
      <c r="G44" s="21" t="s">
        <v>201</v>
      </c>
      <c r="H44" s="36"/>
      <c r="I44" s="36">
        <v>137</v>
      </c>
      <c r="J44" s="36"/>
      <c r="K44" s="36"/>
      <c r="L44" s="22"/>
    </row>
    <row r="45" spans="1:12" ht="18" customHeight="1" x14ac:dyDescent="0.3">
      <c r="A45" s="21" t="s">
        <v>37</v>
      </c>
      <c r="B45" s="21" t="s">
        <v>50</v>
      </c>
      <c r="C45" s="21" t="s">
        <v>202</v>
      </c>
      <c r="D45" s="22" t="s">
        <v>203</v>
      </c>
      <c r="E45" s="21" t="s">
        <v>64</v>
      </c>
      <c r="F45" s="21" t="s">
        <v>204</v>
      </c>
      <c r="G45" s="21" t="s">
        <v>180</v>
      </c>
      <c r="H45" s="36"/>
      <c r="I45" s="36">
        <v>499</v>
      </c>
      <c r="J45" s="36"/>
      <c r="K45" s="36"/>
      <c r="L45" s="22"/>
    </row>
    <row r="46" spans="1:12" ht="18" customHeight="1" x14ac:dyDescent="0.3">
      <c r="A46" s="21" t="s">
        <v>37</v>
      </c>
      <c r="B46" s="21" t="s">
        <v>50</v>
      </c>
      <c r="C46" s="21" t="s">
        <v>205</v>
      </c>
      <c r="D46" s="22" t="s">
        <v>206</v>
      </c>
      <c r="E46" s="21" t="s">
        <v>64</v>
      </c>
      <c r="F46" s="21" t="s">
        <v>207</v>
      </c>
      <c r="G46" s="21" t="s">
        <v>208</v>
      </c>
      <c r="H46" s="36"/>
      <c r="I46" s="36">
        <v>137</v>
      </c>
      <c r="J46" s="36"/>
      <c r="K46" s="36"/>
      <c r="L46" s="22"/>
    </row>
    <row r="47" spans="1:12" ht="18" customHeight="1" x14ac:dyDescent="0.3">
      <c r="A47" s="21" t="s">
        <v>37</v>
      </c>
      <c r="B47" s="21" t="s">
        <v>50</v>
      </c>
      <c r="C47" s="21" t="s">
        <v>209</v>
      </c>
      <c r="D47" s="22" t="s">
        <v>210</v>
      </c>
      <c r="E47" s="21" t="s">
        <v>64</v>
      </c>
      <c r="F47" s="21" t="s">
        <v>176</v>
      </c>
      <c r="G47" s="21" t="s">
        <v>187</v>
      </c>
      <c r="H47" s="36">
        <v>31300</v>
      </c>
      <c r="I47" s="36"/>
      <c r="J47" s="36"/>
      <c r="K47" s="36"/>
      <c r="L47" s="22"/>
    </row>
    <row r="48" spans="1:12" ht="18" customHeight="1" x14ac:dyDescent="0.3">
      <c r="A48" s="21" t="s">
        <v>37</v>
      </c>
      <c r="B48" s="21" t="s">
        <v>50</v>
      </c>
      <c r="C48" s="21" t="s">
        <v>211</v>
      </c>
      <c r="D48" s="22" t="s">
        <v>212</v>
      </c>
      <c r="E48" s="21" t="s">
        <v>64</v>
      </c>
      <c r="F48" s="21" t="s">
        <v>145</v>
      </c>
      <c r="G48" s="21" t="s">
        <v>208</v>
      </c>
      <c r="H48" s="36">
        <v>9975</v>
      </c>
      <c r="I48" s="36"/>
      <c r="J48" s="36"/>
      <c r="K48" s="36"/>
      <c r="L48" s="22"/>
    </row>
    <row r="49" spans="1:12" ht="18" customHeight="1" x14ac:dyDescent="0.3">
      <c r="A49" s="21" t="s">
        <v>37</v>
      </c>
      <c r="B49" s="21" t="s">
        <v>50</v>
      </c>
      <c r="C49" s="21" t="s">
        <v>213</v>
      </c>
      <c r="D49" s="22" t="s">
        <v>214</v>
      </c>
      <c r="E49" s="21" t="s">
        <v>64</v>
      </c>
      <c r="F49" s="21" t="s">
        <v>215</v>
      </c>
      <c r="G49" s="21" t="s">
        <v>200</v>
      </c>
      <c r="H49" s="36">
        <v>13150</v>
      </c>
      <c r="I49" s="36"/>
      <c r="J49" s="36">
        <v>17955</v>
      </c>
      <c r="K49" s="36">
        <v>17955</v>
      </c>
      <c r="L49" s="22" t="s">
        <v>216</v>
      </c>
    </row>
    <row r="50" spans="1:12" ht="18" customHeight="1" x14ac:dyDescent="0.3">
      <c r="A50" s="37" t="s">
        <v>40</v>
      </c>
      <c r="B50" s="37" t="s">
        <v>49</v>
      </c>
      <c r="C50" s="37" t="s">
        <v>217</v>
      </c>
      <c r="D50" s="38" t="s">
        <v>218</v>
      </c>
      <c r="E50" s="37" t="s">
        <v>173</v>
      </c>
      <c r="F50" s="37" t="s">
        <v>219</v>
      </c>
      <c r="G50" s="37"/>
      <c r="H50" s="39">
        <v>3000</v>
      </c>
      <c r="I50" s="39"/>
      <c r="J50" s="39"/>
      <c r="K50" s="39"/>
      <c r="L50" s="38"/>
    </row>
    <row r="51" spans="1:12" ht="19.95" customHeight="1" x14ac:dyDescent="0.3">
      <c r="A51" s="40" t="s">
        <v>220</v>
      </c>
      <c r="B51" s="7"/>
      <c r="C51" s="7"/>
      <c r="D51" s="7"/>
      <c r="E51" s="7"/>
      <c r="F51" s="7"/>
      <c r="G51" s="7"/>
      <c r="H51" s="41">
        <f>SUM(H3:H50)</f>
        <v>754472</v>
      </c>
      <c r="I51" s="41">
        <f>SUM(I3:I50)</f>
        <v>43646</v>
      </c>
      <c r="J51" s="41">
        <f>SUM(J3:J50)</f>
        <v>219769</v>
      </c>
      <c r="K51" s="41">
        <f>SUM(K3:K50)</f>
        <v>169232</v>
      </c>
      <c r="L51" s="7"/>
    </row>
    <row r="53" spans="1:12" x14ac:dyDescent="0.3">
      <c r="A53" s="49" t="s">
        <v>221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</row>
  </sheetData>
  <autoFilter ref="A2:L2" xr:uid="{00000000-0001-0000-0200-000000000000}"/>
  <mergeCells count="2">
    <mergeCell ref="A53:L53"/>
    <mergeCell ref="A1:L1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差異比較總表</vt:lpstr>
      <vt:lpstr>差異分析</vt:lpstr>
      <vt:lpstr>Export 費用明細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Huang</cp:lastModifiedBy>
  <dcterms:created xsi:type="dcterms:W3CDTF">2026-05-13T00:10:31Z</dcterms:created>
  <dcterms:modified xsi:type="dcterms:W3CDTF">2026-05-13T00:19:21Z</dcterms:modified>
</cp:coreProperties>
</file>