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3d14d3036a2a384b/_Ragic/portal/"/>
    </mc:Choice>
  </mc:AlternateContent>
  <xr:revisionPtr revIDLastSave="19" documentId="11_71875BABB67AE4F8E5FFFBEEA8B38370D980C640" xr6:coauthVersionLast="47" xr6:coauthVersionMax="47" xr10:uidLastSave="{083D0F3B-E5E3-4915-8AC6-423853EB319F}"/>
  <bookViews>
    <workbookView xWindow="-108" yWindow="-108" windowWidth="24792" windowHeight="14856" tabRatio="500" xr2:uid="{00000000-000D-0000-FFFF-FFFF00000000}"/>
  </bookViews>
  <sheets>
    <sheet name="4.1 報修統計" sheetId="1" r:id="rId1"/>
    <sheet name="原始數據" sheetId="2" r:id="rId2"/>
    <sheet name="工作表1" sheetId="3" r:id="rId3"/>
  </sheets>
  <definedNames>
    <definedName name="_xlnm._FilterDatabase" localSheetId="2" hidden="1">工作表1!$A$1:$K$47</definedName>
    <definedName name="_xlnm._FilterDatabase" localSheetId="1" hidden="1">原始數據!$A$1:$V$91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2" i="3"/>
  <c r="N11" i="1"/>
  <c r="N9" i="1"/>
  <c r="N8" i="1"/>
  <c r="N7" i="1"/>
  <c r="N5" i="1"/>
  <c r="N4" i="1"/>
  <c r="N3" i="1"/>
</calcChain>
</file>

<file path=xl/sharedStrings.xml><?xml version="1.0" encoding="utf-8"?>
<sst xmlns="http://schemas.openxmlformats.org/spreadsheetml/2006/main" count="1153" uniqueCount="492">
  <si>
    <t xml:space="preserve">  春大直工務部  ｜  2026 年度報修統計</t>
  </si>
  <si>
    <t>統計項目</t>
  </si>
  <si>
    <t>1 月</t>
  </si>
  <si>
    <t>2 月</t>
  </si>
  <si>
    <t>3 月</t>
  </si>
  <si>
    <t>4 月</t>
  </si>
  <si>
    <t>5 月</t>
  </si>
  <si>
    <t>6 月</t>
  </si>
  <si>
    <t>7 月</t>
  </si>
  <si>
    <t>8 月</t>
  </si>
  <si>
    <t>9 月</t>
  </si>
  <si>
    <t>10 月</t>
  </si>
  <si>
    <t>11 月</t>
  </si>
  <si>
    <t>12 月</t>
  </si>
  <si>
    <t>合計</t>
  </si>
  <si>
    <t>① 上月累計未完成項目數</t>
  </si>
  <si>
    <t>② 上月未完成，本月結案數</t>
  </si>
  <si>
    <t>③ 上月累計完成數（① - ②）</t>
  </si>
  <si>
    <t>④ 累計項目完成率（%）</t>
  </si>
  <si>
    <t>—</t>
  </si>
  <si>
    <t>⑤ 本月報修項目數</t>
  </si>
  <si>
    <t>⑥ 本月報修項目完成數</t>
  </si>
  <si>
    <t>⑦ 本月未完成數</t>
  </si>
  <si>
    <t>⑧ 本月報修項目完成率（%）</t>
  </si>
  <si>
    <t>平均結案天數（天）</t>
  </si>
  <si>
    <t>資料來源：春大直 - 報修清單總表20260429.xlsx  ｜  統計年度：2026  ｜  完成判定：完工時間不為空 或 狀態/處理狀況∈{結案、已辦驗…}  ｜  ③ = ①－②</t>
  </si>
  <si>
    <t>報修編號</t>
  </si>
  <si>
    <t>報修單位</t>
  </si>
  <si>
    <t>報修日期</t>
  </si>
  <si>
    <t>標題</t>
  </si>
  <si>
    <t>報修類型</t>
  </si>
  <si>
    <t>發生樓層</t>
  </si>
  <si>
    <t>問題狀態</t>
  </si>
  <si>
    <t>狀態</t>
  </si>
  <si>
    <t>完工時間</t>
  </si>
  <si>
    <t>結案時間</t>
  </si>
  <si>
    <t>委外費用</t>
  </si>
  <si>
    <t>維修費用</t>
  </si>
  <si>
    <t>扣款費用</t>
  </si>
  <si>
    <t>維修工時(天)</t>
  </si>
  <si>
    <t>是否結案</t>
  </si>
  <si>
    <t>報修年</t>
  </si>
  <si>
    <t>報修月</t>
  </si>
  <si>
    <t>結案年</t>
  </si>
  <si>
    <t>結案月</t>
  </si>
  <si>
    <t>統計年(stat_year)</t>
  </si>
  <si>
    <t>統計月(stat_month)</t>
  </si>
  <si>
    <t>結案天數(close_days)</t>
  </si>
  <si>
    <t>202604-045</t>
  </si>
  <si>
    <t>營業</t>
  </si>
  <si>
    <t>2026-04-28 00:00</t>
  </si>
  <si>
    <t>5/1，二快閃櫃設櫃</t>
  </si>
  <si>
    <t>公區</t>
  </si>
  <si>
    <t>1F</t>
  </si>
  <si>
    <t>✗</t>
  </si>
  <si>
    <t>202604-044</t>
  </si>
  <si>
    <t>服務台</t>
  </si>
  <si>
    <t>2026-04-27 00:00</t>
  </si>
  <si>
    <t>3樓女廁進來第二間馬桶不通</t>
  </si>
  <si>
    <t>衛厠</t>
  </si>
  <si>
    <t>3F</t>
  </si>
  <si>
    <t>結案</t>
  </si>
  <si>
    <t>2026-04-29 09:03</t>
  </si>
  <si>
    <t>✓</t>
  </si>
  <si>
    <t>202604-043</t>
  </si>
  <si>
    <t>管理</t>
  </si>
  <si>
    <t>2026上半年消防缺改善</t>
  </si>
  <si>
    <t>消防</t>
  </si>
  <si>
    <t>2026-04-28 10:13</t>
  </si>
  <si>
    <t>20260400072</t>
  </si>
  <si>
    <t>漢堡世家電子鎖沒電(測試單，勿理會)</t>
  </si>
  <si>
    <t>機電</t>
  </si>
  <si>
    <t>2026-04-27 13:55</t>
  </si>
  <si>
    <t>2026-04-27 11:58</t>
  </si>
  <si>
    <t>202604-041</t>
  </si>
  <si>
    <t>2026-04-25 00:00</t>
  </si>
  <si>
    <t>B2水管漏水</t>
  </si>
  <si>
    <t>給&amp;排水</t>
  </si>
  <si>
    <t>B2F</t>
  </si>
  <si>
    <t>2026-04-28 17:30</t>
  </si>
  <si>
    <t>2026-04-27 12:05</t>
  </si>
  <si>
    <t>202604-040</t>
  </si>
  <si>
    <t>漢堡世家電子鎖沒電</t>
  </si>
  <si>
    <t>2026-04-28 17:23</t>
  </si>
  <si>
    <t>202604-039</t>
  </si>
  <si>
    <t>泰市場發現後場臥櫃冰箱沒有電力</t>
  </si>
  <si>
    <t>凍&amp;藏類設備</t>
  </si>
  <si>
    <t>4F</t>
  </si>
  <si>
    <t>2026-04-28 17:24</t>
  </si>
  <si>
    <t>2026-04-27 12:17</t>
  </si>
  <si>
    <t>202604-038</t>
  </si>
  <si>
    <t>瞞著爹前天井柱燈閃爍</t>
  </si>
  <si>
    <t>專櫃</t>
  </si>
  <si>
    <t>2026-04-28 17:25</t>
  </si>
  <si>
    <t>2026-04-27 11:57</t>
  </si>
  <si>
    <t>202604-037</t>
  </si>
  <si>
    <t>2026-04-23 00:00</t>
  </si>
  <si>
    <t>1f 牪肉舖 水管破洞漏水，已購買新水管，請工務安裝，需收費</t>
  </si>
  <si>
    <t>急單</t>
  </si>
  <si>
    <t>2026-04-29 08:25</t>
  </si>
  <si>
    <t>2026-04-24 08:17</t>
  </si>
  <si>
    <t>202604-036</t>
  </si>
  <si>
    <t>4樓愛心廁所_x000D_
紅色按鈕加裝壓克力盒</t>
  </si>
  <si>
    <t>2026-04-23 16:53</t>
  </si>
  <si>
    <t>202604-035</t>
  </si>
  <si>
    <t>戶外餐車--旨燕拉麵，電子鎖電力不足</t>
  </si>
  <si>
    <t>2026-04-24 11:46</t>
  </si>
  <si>
    <t>1129</t>
  </si>
  <si>
    <t>2025-11-25 15:32</t>
  </si>
  <si>
    <t>第一階段和第二階段: 汙水管路通管工程 (急單廠商11/26進場)</t>
  </si>
  <si>
    <t>給排水</t>
  </si>
  <si>
    <t>2025-11-29 19:53</t>
  </si>
  <si>
    <t>2025-12-04 08:27</t>
  </si>
  <si>
    <t>1097</t>
  </si>
  <si>
    <t>2025-10-21 15:51</t>
  </si>
  <si>
    <t>2F 燒鳥新增排煙濾網工程</t>
  </si>
  <si>
    <t>2F</t>
  </si>
  <si>
    <t>2025-12-11 13:15</t>
  </si>
  <si>
    <t>2025-12-26 11:18</t>
  </si>
  <si>
    <t>202604-034</t>
  </si>
  <si>
    <t>工務</t>
  </si>
  <si>
    <t>2026-04-22 00:00</t>
  </si>
  <si>
    <t>植福路3面輸出牆的格柵天花板，需要新增6個電線接口</t>
  </si>
  <si>
    <t>商場公區</t>
  </si>
  <si>
    <t>2026-04-28 09:19</t>
  </si>
  <si>
    <t>202604-033</t>
  </si>
  <si>
    <t>植福路樂群三路口三角招牌電源插座安裝</t>
  </si>
  <si>
    <t>2026-04-28 09:18</t>
  </si>
  <si>
    <t>1236</t>
  </si>
  <si>
    <t>2026-02-11 12:57</t>
  </si>
  <si>
    <t>B2F截油槽排水主幹管堵塞</t>
  </si>
  <si>
    <t>2026-02-13 13:47</t>
  </si>
  <si>
    <t>2026-02-26 10:05</t>
  </si>
  <si>
    <t>1232</t>
  </si>
  <si>
    <t>2026-02-09 20:30</t>
  </si>
  <si>
    <t>一樓回收區無法排水、堵塞</t>
  </si>
  <si>
    <t>2026-02-11 17:52</t>
  </si>
  <si>
    <t>2026-02-23 08:48</t>
  </si>
  <si>
    <t>1229</t>
  </si>
  <si>
    <t>2026-02-07 16:15</t>
  </si>
  <si>
    <t>泰市場開放區排水管堵塞</t>
  </si>
  <si>
    <t>2026-02-09 09:32</t>
  </si>
  <si>
    <t>2026-02-11 16:39</t>
  </si>
  <si>
    <t>1222</t>
  </si>
  <si>
    <t>2026-01-31 14:30</t>
  </si>
  <si>
    <t>4樓泰市場瓦斯警報不定時發報請協助調整</t>
  </si>
  <si>
    <t>2026-02-04 17:34</t>
  </si>
  <si>
    <t>2026-02-11 16:40</t>
  </si>
  <si>
    <t>1221</t>
  </si>
  <si>
    <t>2026-01-30 18:04</t>
  </si>
  <si>
    <t>b梯員工出入口安全門地鉸鍊無法回𢓴</t>
  </si>
  <si>
    <t>2026-01-31 12:46</t>
  </si>
  <si>
    <t>2026-02-02 08:41</t>
  </si>
  <si>
    <t>1220</t>
  </si>
  <si>
    <t>2026-01-30 09:45</t>
  </si>
  <si>
    <t>B1辦公室前洗手台排水管漏水</t>
  </si>
  <si>
    <t>B1F</t>
  </si>
  <si>
    <t>2026-02-26 10:06</t>
  </si>
  <si>
    <t>1215</t>
  </si>
  <si>
    <t>2026-01-29 12:29</t>
  </si>
  <si>
    <t>B3,239車位前投射燈不亮</t>
  </si>
  <si>
    <t>2026-01-31 14:25</t>
  </si>
  <si>
    <t>1214</t>
  </si>
  <si>
    <t>2026-01-29 11:01</t>
  </si>
  <si>
    <t>固德威天花板水管漏水</t>
  </si>
  <si>
    <t>2026-01-31 16:08</t>
  </si>
  <si>
    <t>2026-02-02 08:43</t>
  </si>
  <si>
    <t>1213</t>
  </si>
  <si>
    <t>2026-01-29 10:54</t>
  </si>
  <si>
    <t>傻滷天井柱燈不亮</t>
  </si>
  <si>
    <t>2026-01-30 11:25</t>
  </si>
  <si>
    <t>1207</t>
  </si>
  <si>
    <t>2026-01-22 21:05</t>
  </si>
  <si>
    <t>2/5~2/6租賃油壓車</t>
  </si>
  <si>
    <t>2026-02-04 17:36</t>
  </si>
  <si>
    <t>1188</t>
  </si>
  <si>
    <t>2026-01-08 10:22</t>
  </si>
  <si>
    <t>B1回收室廚餘冰箱溫度異常</t>
  </si>
  <si>
    <t>後勤空間</t>
  </si>
  <si>
    <t>2026-01-25 16:16</t>
  </si>
  <si>
    <t>1182</t>
  </si>
  <si>
    <t>行銷</t>
  </si>
  <si>
    <t>2026-01-05 14:46</t>
  </si>
  <si>
    <t>1/21前完成 - 戶外九宮格燈箱燈箱片安裝</t>
  </si>
  <si>
    <t>2026-02-11 17:55</t>
  </si>
  <si>
    <t>2026-02-13 12:33</t>
  </si>
  <si>
    <t>1210</t>
  </si>
  <si>
    <t>2026-01-25 15:22</t>
  </si>
  <si>
    <t>B1漏水</t>
  </si>
  <si>
    <t>2026-01-25 16:10</t>
  </si>
  <si>
    <t>2026-01-29 14:17</t>
  </si>
  <si>
    <t>1209</t>
  </si>
  <si>
    <t>2026-01-24 18:15</t>
  </si>
  <si>
    <t>B2,162車位上方集水盤漏水</t>
  </si>
  <si>
    <t>2026-01-25 16:12</t>
  </si>
  <si>
    <t>1203</t>
  </si>
  <si>
    <t>2026-01-19 09:55</t>
  </si>
  <si>
    <t>B梯員工出入口-1F安全門無法自動回復</t>
  </si>
  <si>
    <t>2026-01-21 09:59</t>
  </si>
  <si>
    <t>2026-01-23 17:06</t>
  </si>
  <si>
    <t>1201</t>
  </si>
  <si>
    <t>2026-01-17 19:18</t>
  </si>
  <si>
    <t>1樓大門門把鬆脫（近富錦樹）</t>
  </si>
  <si>
    <t>2026-01-20 14:41</t>
  </si>
  <si>
    <t>1200</t>
  </si>
  <si>
    <t>2026-01-17 11:52</t>
  </si>
  <si>
    <t>B1預備車位（發電機房外）天花板吸頂燈不亮</t>
  </si>
  <si>
    <t>2026-01-21 11:18</t>
  </si>
  <si>
    <t>1197</t>
  </si>
  <si>
    <t>2026-01-12 21:30</t>
  </si>
  <si>
    <t>4樓男廁一顆燈泡壞掉</t>
  </si>
  <si>
    <t>2026-04-27 15:00</t>
  </si>
  <si>
    <t>2026-01-23 17:07</t>
  </si>
  <si>
    <t>1196</t>
  </si>
  <si>
    <t>2026-01-11 12:03</t>
  </si>
  <si>
    <t>車道安全上方燈開了20分鐘才會亮</t>
  </si>
  <si>
    <t>2026-01-22 15:41</t>
  </si>
  <si>
    <t>1195</t>
  </si>
  <si>
    <t>2026-01-09 11:56</t>
  </si>
  <si>
    <t>B2,158車位旁日光燈不亮</t>
  </si>
  <si>
    <t>2026-01-09 15:19</t>
  </si>
  <si>
    <t>2026-01-12 08:15</t>
  </si>
  <si>
    <t>1193</t>
  </si>
  <si>
    <t>2026-01-08 12:31</t>
  </si>
  <si>
    <t>1-03 前臨時櫃位電力配置</t>
  </si>
  <si>
    <t>2026-01-09 14:45</t>
  </si>
  <si>
    <t>2026-01-12 08:16</t>
  </si>
  <si>
    <t>1189</t>
  </si>
  <si>
    <t>2026-01-08 10:28</t>
  </si>
  <si>
    <t>垃圾廚餘間電錶異常</t>
  </si>
  <si>
    <t>2026-01-15 12:59</t>
  </si>
  <si>
    <t>2026-01-16 08:04</t>
  </si>
  <si>
    <t>1186</t>
  </si>
  <si>
    <t>2026-01-07 11:31</t>
  </si>
  <si>
    <t>SAKEMARU燈罩燈泡不亮</t>
  </si>
  <si>
    <t>2026-01-07 11:34</t>
  </si>
  <si>
    <t>2026-01-09 10:42</t>
  </si>
  <si>
    <t>1185</t>
  </si>
  <si>
    <t>2026-01-05 18:46</t>
  </si>
  <si>
    <t>B1回收室水槽漏水</t>
  </si>
  <si>
    <t>2026-01-07 10:58</t>
  </si>
  <si>
    <t>1184</t>
  </si>
  <si>
    <t>2026-01-05 14:56</t>
  </si>
  <si>
    <t>可推式燈箱-笙弘來施工&amp;擺放到戶外施工區</t>
  </si>
  <si>
    <t>2026-01-07 12:41</t>
  </si>
  <si>
    <t>1181</t>
  </si>
  <si>
    <t>2026-01-04 15:57</t>
  </si>
  <si>
    <t>B3,245車位前投射燈不亮</t>
  </si>
  <si>
    <t>2026-01-04 17:51</t>
  </si>
  <si>
    <t>2026-01-09 10:43</t>
  </si>
  <si>
    <t>1179</t>
  </si>
  <si>
    <t>2026-01-02 11:06</t>
  </si>
  <si>
    <t>2樓燒鳥層板燈不亮</t>
  </si>
  <si>
    <t>2026-01-02 11:23</t>
  </si>
  <si>
    <t>1178</t>
  </si>
  <si>
    <t>2026-01-01 12:10</t>
  </si>
  <si>
    <t>味爵電力問題</t>
  </si>
  <si>
    <t>2026-01-01 13:01</t>
  </si>
  <si>
    <t>2026-01-05 11:37</t>
  </si>
  <si>
    <t>1177</t>
  </si>
  <si>
    <t>2025-12-31 20:16</t>
  </si>
  <si>
    <t>B2停車場車道前方大面積積水</t>
  </si>
  <si>
    <t>2026-01-09 17:01</t>
  </si>
  <si>
    <t>1176</t>
  </si>
  <si>
    <t>2025-12-31 14:54</t>
  </si>
  <si>
    <t>2樓貨梯廳吸頂燈故障</t>
  </si>
  <si>
    <t>2025-12-31 16:07</t>
  </si>
  <si>
    <t>1172</t>
  </si>
  <si>
    <t>2025-12-27 21:39</t>
  </si>
  <si>
    <t>味爵220V插座短路</t>
  </si>
  <si>
    <t>2026-01-01 13:19</t>
  </si>
  <si>
    <t>1165</t>
  </si>
  <si>
    <t>2025-12-20 16:38</t>
  </si>
  <si>
    <t>1F 花店旁大門邊新增臨時櫃需求電力110V 220V POS機網路線</t>
  </si>
  <si>
    <t>2026-01-02 14:19</t>
  </si>
  <si>
    <t>2026-01-05 11:38</t>
  </si>
  <si>
    <t>1156</t>
  </si>
  <si>
    <t>2025-12-10 14:30</t>
  </si>
  <si>
    <t>商場1F桌面的回收提醒餐牌太鋒利請協助處理</t>
  </si>
  <si>
    <t>2025-12-15 17:14</t>
  </si>
  <si>
    <t>2026-01-09 17:02</t>
  </si>
  <si>
    <t>202604-032</t>
  </si>
  <si>
    <t>2026-04-21 00:00</t>
  </si>
  <si>
    <t>1樓牪牛肉側門關不起來</t>
  </si>
  <si>
    <t>2026-04-24 08:15</t>
  </si>
  <si>
    <t>202604-031</t>
  </si>
  <si>
    <t>2026-04-20 00:00</t>
  </si>
  <si>
    <t>一樓收碗區區櫃台門壞掉.修好又壞掉</t>
  </si>
  <si>
    <t>2026-04-27 11:48</t>
  </si>
  <si>
    <t>2026-04-24 09:40</t>
  </si>
  <si>
    <t>202604-030</t>
  </si>
  <si>
    <t>一樓收碗區區櫃台門壞掉</t>
  </si>
  <si>
    <t>2026-04-24 09:39</t>
  </si>
  <si>
    <t>202604-029</t>
  </si>
  <si>
    <t>牪牛肉的冰箱漏水</t>
  </si>
  <si>
    <t>202604-028</t>
  </si>
  <si>
    <t>2026-04-19 00:00</t>
  </si>
  <si>
    <t>B1樓 紙箱回收籠車上方消防設備自天花板掉落</t>
  </si>
  <si>
    <t>202604-027</t>
  </si>
  <si>
    <t>請安排5月份 各專櫃汙水管通管工程</t>
  </si>
  <si>
    <t>202604-026</t>
  </si>
  <si>
    <t>2樓殘障廁所 沒水 有臭味 請緊急維修</t>
  </si>
  <si>
    <t>2026-04-24 08:20</t>
  </si>
  <si>
    <t>202604-025</t>
  </si>
  <si>
    <t>2026-04-18 00:00</t>
  </si>
  <si>
    <t>1F 回收台(靠貨梯旁)門片故障需修理</t>
  </si>
  <si>
    <t>2026-04-24 08:21</t>
  </si>
  <si>
    <t>202604-024</t>
  </si>
  <si>
    <t>2樓下一樓手扶梯斷斷續續的停止</t>
  </si>
  <si>
    <t>2026-04-23 14:13</t>
  </si>
  <si>
    <t>202604-023</t>
  </si>
  <si>
    <t>2026-04-17 00:00</t>
  </si>
  <si>
    <t>1樓環狀燈泡閃爍，salud、果汁店</t>
  </si>
  <si>
    <t>2026-04-24 09:37</t>
  </si>
  <si>
    <t>202604-022</t>
  </si>
  <si>
    <t>2026-04-16 00:00</t>
  </si>
  <si>
    <t>桌子高低</t>
  </si>
  <si>
    <t>202604-021</t>
  </si>
  <si>
    <t>二樓女廁第二間馬桶蓋掉落 請維修處理</t>
  </si>
  <si>
    <t>2026-04-21 09:29</t>
  </si>
  <si>
    <t>202604-020</t>
  </si>
  <si>
    <t>2026-04-15 00:00</t>
  </si>
  <si>
    <t>2樓女廁第2間馬桶蓋壞了</t>
  </si>
  <si>
    <t>2026-04-23 14:12</t>
  </si>
  <si>
    <t>2026-04-22 08:31</t>
  </si>
  <si>
    <t>202604-019</t>
  </si>
  <si>
    <t>泰市場煎魚台上方偵煙器移位</t>
  </si>
  <si>
    <t>2026-04-27 12:18</t>
  </si>
  <si>
    <t>202604-018</t>
  </si>
  <si>
    <t>2026-04-13 00:00</t>
  </si>
  <si>
    <t>2樓男廁第3間馬桶蓋壞了</t>
  </si>
  <si>
    <t>2026-04-21 09:51</t>
  </si>
  <si>
    <t>2026-04-21 09:50</t>
  </si>
  <si>
    <t>202604-017</t>
  </si>
  <si>
    <t>2樓女廁第2間門鎖掉落</t>
  </si>
  <si>
    <t>2026-04-21 09:48</t>
  </si>
  <si>
    <t>202604-016</t>
  </si>
  <si>
    <t>2026-04-12 00:00</t>
  </si>
  <si>
    <t>二下一手扶梯不定時停止運作，代碼5</t>
  </si>
  <si>
    <t>2026-04-21 09:49</t>
  </si>
  <si>
    <t>202604-015</t>
  </si>
  <si>
    <t>商場容留計數器未作動</t>
  </si>
  <si>
    <t>2026-04-22 08:30</t>
  </si>
  <si>
    <t>202604-014</t>
  </si>
  <si>
    <t>2026-04-10 00:00</t>
  </si>
  <si>
    <t>側門上面的鋁合金不見</t>
  </si>
  <si>
    <t>建築</t>
  </si>
  <si>
    <t>2026-04-13 10:39</t>
  </si>
  <si>
    <t>202604-013</t>
  </si>
  <si>
    <t>小後苑植福路旁有野草雜草沒有清除</t>
  </si>
  <si>
    <t>202604-012</t>
  </si>
  <si>
    <t>植福路上南花圃內的固定鋼索要移除</t>
  </si>
  <si>
    <t>其他</t>
  </si>
  <si>
    <t>2026-04-27 12:12</t>
  </si>
  <si>
    <t>202604-011</t>
  </si>
  <si>
    <t>植福路上照樹燈的電線外露</t>
  </si>
  <si>
    <t>照明</t>
  </si>
  <si>
    <t>2026-04-28 09:11</t>
  </si>
  <si>
    <t>202604-010</t>
  </si>
  <si>
    <t>植福路側門旁花台內水管凌亂及戶外電箱損壞</t>
  </si>
  <si>
    <t>2026-04-27 13:54</t>
  </si>
  <si>
    <t>202604-009</t>
  </si>
  <si>
    <t>植福路上花舖的固定鋼索圈要移除</t>
  </si>
  <si>
    <t>2026-04-23 18:04</t>
  </si>
  <si>
    <t>202604-008</t>
  </si>
  <si>
    <t>剪鋼索及木頭支架</t>
  </si>
  <si>
    <t>2026-04-11 18:34</t>
  </si>
  <si>
    <t>202604-007</t>
  </si>
  <si>
    <t>傻雞前天井柱燈不亮</t>
  </si>
  <si>
    <t>2026-04-13 10:28</t>
  </si>
  <si>
    <t>202604-006</t>
  </si>
  <si>
    <t>2026-04-07 13:57</t>
  </si>
  <si>
    <t>三樓女廁洗手檯投照燈故障</t>
  </si>
  <si>
    <t>2026-04-27 11:46</t>
  </si>
  <si>
    <t>202604-005</t>
  </si>
  <si>
    <t>2026-04-06 11:15</t>
  </si>
  <si>
    <t>一樓戶外woolloomooloo 旁垃圾桶，玻璃瓶桶脫落</t>
  </si>
  <si>
    <t>202604-004</t>
  </si>
  <si>
    <t>2026-04-05 10:30</t>
  </si>
  <si>
    <t>瞞著爹前天井柱燈不亮</t>
  </si>
  <si>
    <t>2026-04-17 09:04</t>
  </si>
  <si>
    <t>2026-04-08 13:56</t>
  </si>
  <si>
    <t>202604-003</t>
  </si>
  <si>
    <t>2026-04-04 21:22</t>
  </si>
  <si>
    <t>B4,356號停車格上方水管滴水</t>
  </si>
  <si>
    <t>202604-002</t>
  </si>
  <si>
    <t>2026-04-02 15:14</t>
  </si>
  <si>
    <t>1F戶外餐車漢堡世家新增切肉機需求電源 3相220V</t>
  </si>
  <si>
    <t>2026-04-10 10:10</t>
  </si>
  <si>
    <t>202604-001</t>
  </si>
  <si>
    <t>2026-04-02 11:27</t>
  </si>
  <si>
    <t>1樓側門的地錬故障</t>
  </si>
  <si>
    <t>20260400013</t>
  </si>
  <si>
    <t>2026-03-30 18:23</t>
  </si>
  <si>
    <t>戶外廣場招牌燈座，富錦樹、小後苑門把生鏽</t>
  </si>
  <si>
    <t>2026-04-13 10:21</t>
  </si>
  <si>
    <t>20260400012</t>
  </si>
  <si>
    <t>2026-03-30 11:37</t>
  </si>
  <si>
    <t>B梯安全門門把快掉了</t>
  </si>
  <si>
    <t>2026-04-10 10:08</t>
  </si>
  <si>
    <t>2026-04-08 13:50</t>
  </si>
  <si>
    <t>20260400011</t>
  </si>
  <si>
    <t>2026-03-25 20:09</t>
  </si>
  <si>
    <t>3樓九華樓外天花2投射燈不亮</t>
  </si>
  <si>
    <t>2026-04-10 10:15</t>
  </si>
  <si>
    <t>20260400010</t>
  </si>
  <si>
    <t>2026-03-24 10:06</t>
  </si>
  <si>
    <t>SP1汙水槽警報響</t>
  </si>
  <si>
    <t>B4F</t>
  </si>
  <si>
    <t>2026-04-24 09:38</t>
  </si>
  <si>
    <t>2026-03-26 16:57</t>
  </si>
  <si>
    <t>20260400009</t>
  </si>
  <si>
    <t>2026-03-18 16:24</t>
  </si>
  <si>
    <t>B1辦公室室外冷氣主機更換</t>
  </si>
  <si>
    <t>空調</t>
  </si>
  <si>
    <t>2026-04-13 11:41</t>
  </si>
  <si>
    <t>2026-03-31 08:13</t>
  </si>
  <si>
    <t>20260400008</t>
  </si>
  <si>
    <t>2026-03-16 16:45</t>
  </si>
  <si>
    <t>車道口廣場的指示牌燈不亮</t>
  </si>
  <si>
    <t>2026-04-27 12:19</t>
  </si>
  <si>
    <t>20260400007</t>
  </si>
  <si>
    <t>2026-03-16 11:17</t>
  </si>
  <si>
    <t>1F 側門消防門會彈回來 無法固定</t>
  </si>
  <si>
    <t>2026-04-10 10:16</t>
  </si>
  <si>
    <t>2026-04-08 13:51</t>
  </si>
  <si>
    <t>20260400006</t>
  </si>
  <si>
    <t>2026-03-09 14:50</t>
  </si>
  <si>
    <t>商場3F3-06櫃位消防灑水改管、新增工程</t>
  </si>
  <si>
    <t>2026-03-16 08:11</t>
  </si>
  <si>
    <t>20260400005</t>
  </si>
  <si>
    <t>2026-02-14 13:44</t>
  </si>
  <si>
    <t>三樓九華樓帶位櫃檯與柱子中間地板凹陷</t>
  </si>
  <si>
    <t>2026-03-23 15:28</t>
  </si>
  <si>
    <t>20260400004</t>
  </si>
  <si>
    <t>2026-01-18 11:25</t>
  </si>
  <si>
    <t>1F小後苑大門無法鎖</t>
  </si>
  <si>
    <t>2026-04-10 10:17</t>
  </si>
  <si>
    <t>⬆ 黃色欄位為系統推導欄位（Portal 計算邏輯）</t>
  </si>
  <si>
    <t>樓層</t>
  </si>
  <si>
    <t>報修時間</t>
  </si>
  <si>
    <t>結案天數</t>
  </si>
  <si>
    <t>費用合計</t>
  </si>
  <si>
    <t>扣款專櫃</t>
  </si>
  <si>
    <t>詳情</t>
  </si>
  <si>
    <t>-</t>
  </si>
  <si>
    <t>已辦驗</t>
  </si>
  <si>
    <t>4.7 天</t>
  </si>
  <si>
    <t>5.5 天</t>
  </si>
  <si>
    <t>4.8 天</t>
  </si>
  <si>
    <t>7.0 天</t>
  </si>
  <si>
    <t>7.9 天</t>
  </si>
  <si>
    <t>待辦驗</t>
  </si>
  <si>
    <t>12.0 天</t>
  </si>
  <si>
    <t>泰市場</t>
  </si>
  <si>
    <t>7.8 天</t>
  </si>
  <si>
    <t>8.0 天</t>
  </si>
  <si>
    <t>8.6 天</t>
  </si>
  <si>
    <t>9.5 天</t>
  </si>
  <si>
    <t>處理中</t>
  </si>
  <si>
    <t>2.8 天</t>
  </si>
  <si>
    <t>10.7 天</t>
  </si>
  <si>
    <t>16.8 天</t>
  </si>
  <si>
    <t>委外處理</t>
  </si>
  <si>
    <t>17.7 天</t>
  </si>
  <si>
    <t>16.9 天</t>
  </si>
  <si>
    <t>13.1 天</t>
  </si>
  <si>
    <t>1.1 天</t>
  </si>
  <si>
    <t>3.0 天</t>
  </si>
  <si>
    <t>19.9 天</t>
  </si>
  <si>
    <t>14.9 天</t>
  </si>
  <si>
    <t>11.9 天</t>
  </si>
  <si>
    <t>16.5 天</t>
  </si>
  <si>
    <t>21.9 天</t>
  </si>
  <si>
    <t>3.9 天</t>
  </si>
  <si>
    <t>6.7 天</t>
  </si>
  <si>
    <t>2.6 天</t>
  </si>
  <si>
    <t>6.0 天</t>
  </si>
  <si>
    <t>4樓愛心廁所 紅色按鈕加裝壓克力盒</t>
  </si>
  <si>
    <t>0.1 天</t>
  </si>
  <si>
    <t>待營業回應.</t>
  </si>
  <si>
    <t>0.9 天</t>
  </si>
  <si>
    <t>5.7 天</t>
  </si>
  <si>
    <t>牪肉舖</t>
  </si>
  <si>
    <t>3.1 天</t>
  </si>
  <si>
    <t>3.2 天</t>
  </si>
  <si>
    <t>3.3 天</t>
  </si>
  <si>
    <t>202604-042</t>
  </si>
  <si>
    <t>測試單，請勿理會</t>
  </si>
  <si>
    <t>2.1 天</t>
  </si>
  <si>
    <t>1.0 天</t>
  </si>
  <si>
    <t>0.7 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</si>
</sst>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76" formatCode="0.0%"/>
    <numFmt numFmtId="177" formatCode="0.0"/>
  </numFmts>
  <fonts count="30">
    <font>
      <sz val="11"/>
      <color theme="1"/>
      <name val="Calibri"/>
      <family val="2"/>
      <charset val="1"/>
    </font>
    <font>
      <b/>
      <sz val="12"/>
      <color rgb="FFFFFFFF"/>
      <name val="DejaVu Sans"/>
      <family val="2"/>
    </font>
    <font>
      <b/>
      <sz val="10"/>
      <color rgb="FFFFFFFF"/>
      <name val="DejaVu Sans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B3A5C"/>
      <name val="DejaVu Sans"/>
      <family val="2"/>
    </font>
    <font>
      <sz val="10"/>
      <color rgb="FF1B3A5C"/>
      <name val="Arial"/>
      <family val="2"/>
    </font>
    <font>
      <b/>
      <sz val="10"/>
      <color rgb="FF1B3A5C"/>
      <name val="Arial"/>
      <family val="2"/>
    </font>
    <font>
      <sz val="10"/>
      <color rgb="FF999999"/>
      <name val="Arial"/>
      <family val="2"/>
    </font>
    <font>
      <b/>
      <sz val="10"/>
      <color rgb="FF999999"/>
      <name val="Arial"/>
      <family val="2"/>
    </font>
    <font>
      <sz val="10"/>
      <color rgb="FF52C41A"/>
      <name val="Arial"/>
      <family val="2"/>
    </font>
    <font>
      <sz val="10"/>
      <color rgb="FFFA8C16"/>
      <name val="Arial"/>
      <family val="2"/>
    </font>
    <font>
      <b/>
      <sz val="10"/>
      <color rgb="FF52C41A"/>
      <name val="Arial"/>
      <family val="2"/>
    </font>
    <font>
      <sz val="10"/>
      <color rgb="FFBBBBBB"/>
      <name val="Arial"/>
      <family val="2"/>
    </font>
    <font>
      <sz val="10"/>
      <color rgb="FFFF4D4F"/>
      <name val="Arial"/>
      <family val="2"/>
    </font>
    <font>
      <sz val="10"/>
      <color rgb="FFC8C8C8"/>
      <name val="Arial"/>
      <family val="2"/>
    </font>
    <font>
      <sz val="10"/>
      <color rgb="FF555555"/>
      <name val="Arial"/>
      <family val="2"/>
    </font>
    <font>
      <b/>
      <sz val="10"/>
      <color rgb="FF555555"/>
      <name val="Arial"/>
      <family val="2"/>
    </font>
    <font>
      <i/>
      <sz val="8"/>
      <color rgb="FF999999"/>
      <name val="DejaVu Sans"/>
      <family val="2"/>
    </font>
    <font>
      <b/>
      <sz val="10"/>
      <color rgb="FFFFFFFF"/>
      <name val="Calibri"/>
      <family val="2"/>
    </font>
    <font>
      <b/>
      <sz val="10"/>
      <color rgb="FFC0392B"/>
      <name val="Calibri"/>
      <family val="2"/>
    </font>
    <font>
      <b/>
      <sz val="10"/>
      <color rgb="FF1A6E2E"/>
      <name val="Calibri"/>
      <family val="2"/>
    </font>
    <font>
      <i/>
      <sz val="9"/>
      <color rgb="FF7B6000"/>
      <name val="Calibri"/>
      <family val="2"/>
    </font>
    <font>
      <sz val="9"/>
      <name val="細明體"/>
      <family val="3"/>
      <charset val="136"/>
    </font>
    <font>
      <sz val="8"/>
      <color indexed="8"/>
      <name val="Segoe UI"/>
      <family val="2"/>
    </font>
    <font>
      <sz val="8"/>
      <color indexed="8"/>
      <name val="Segoe UI"/>
      <family val="2"/>
    </font>
    <font>
      <sz val="7"/>
      <color indexed="8"/>
      <name val="Segoe UI"/>
      <family val="2"/>
    </font>
    <font>
      <sz val="8"/>
      <color rgb="FF722ED1"/>
      <name val="Segoe UI"/>
      <family val="2"/>
    </font>
    <font>
      <sz val="7"/>
      <color rgb="FFD46B08"/>
      <name val="Segoe UI"/>
      <family val="2"/>
    </font>
    <font>
      <sz val="7"/>
      <color rgb="FF1677FF"/>
      <name val="Segoe UI"/>
      <family val="2"/>
    </font>
  </fonts>
  <fills count="14">
    <fill>
      <patternFill patternType="none"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4BA8E8"/>
        <bgColor rgb="FF9999FF"/>
      </patternFill>
    </fill>
    <fill>
      <patternFill patternType="solid">
        <fgColor rgb="FF2D5580"/>
        <bgColor rgb="FF1B3A5C"/>
      </patternFill>
    </fill>
    <fill>
      <patternFill patternType="solid">
        <fgColor rgb="FFFFFFFF"/>
        <bgColor rgb="FFF8F9FB"/>
      </patternFill>
    </fill>
    <fill>
      <patternFill patternType="solid">
        <fgColor rgb="FFE6F7FF"/>
        <bgColor rgb="FFEAF0F8"/>
      </patternFill>
    </fill>
    <fill>
      <patternFill patternType="solid">
        <fgColor rgb="FFEAF0F8"/>
        <bgColor rgb="FFE6F7FF"/>
      </patternFill>
    </fill>
    <fill>
      <patternFill patternType="solid">
        <fgColor rgb="FFF8F9FB"/>
        <bgColor rgb="FFFFFFFF"/>
      </patternFill>
    </fill>
    <fill>
      <patternFill patternType="solid">
        <fgColor rgb="FF1B3A5C"/>
      </patternFill>
    </fill>
    <fill>
      <patternFill patternType="solid">
        <fgColor rgb="FFFFF9E6"/>
      </patternFill>
    </fill>
    <fill>
      <patternFill patternType="solid">
        <fgColor rgb="FFEEF3F8"/>
      </patternFill>
    </fill>
    <fill>
      <patternFill patternType="solid">
        <fgColor rgb="FFFAFAFA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D5DCE4"/>
      </left>
      <right style="thin">
        <color rgb="FFD5DCE4"/>
      </right>
      <top style="thin">
        <color rgb="FFD5DCE4"/>
      </top>
      <bottom style="thin">
        <color rgb="FFD5DCE4"/>
      </bottom>
      <diagonal/>
    </border>
    <border>
      <left style="thin">
        <color rgb="FFD5DCE4"/>
      </left>
      <right style="thin">
        <color rgb="FFD5DCE4"/>
      </right>
      <top style="thin">
        <color rgb="FFD5DCE4"/>
      </top>
      <bottom style="medium">
        <color rgb="FF1B3A5C"/>
      </bottom>
      <diagonal/>
    </border>
    <border>
      <left style="thin">
        <color rgb="FFD0D8E8"/>
      </left>
      <right style="thin">
        <color rgb="FFD0D8E8"/>
      </right>
      <top style="thin">
        <color rgb="FFD0D8E8"/>
      </top>
      <bottom style="thin">
        <color rgb="FFD0D8E8"/>
      </bottom>
      <diagonal/>
    </border>
    <border>
      <left/>
      <right/>
      <top/>
      <bottom style="medium">
        <color rgb="FFF0F0F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 indent="1"/>
    </xf>
    <xf numFmtId="3" fontId="6" fillId="5" borderId="1" xfId="0" applyNumberFormat="1" applyFont="1" applyFill="1" applyBorder="1" applyAlignment="1">
      <alignment horizontal="center" vertical="center"/>
    </xf>
    <xf numFmtId="3" fontId="7" fillId="6" borderId="1" xfId="0" applyNumberFormat="1" applyFont="1" applyFill="1" applyBorder="1" applyAlignment="1">
      <alignment horizontal="center" vertical="center"/>
    </xf>
    <xf numFmtId="3" fontId="7" fillId="7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 indent="1"/>
    </xf>
    <xf numFmtId="3" fontId="6" fillId="8" borderId="1" xfId="0" applyNumberFormat="1" applyFont="1" applyFill="1" applyBorder="1" applyAlignment="1">
      <alignment horizontal="center" vertical="center"/>
    </xf>
    <xf numFmtId="3" fontId="8" fillId="8" borderId="1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indent="1"/>
    </xf>
    <xf numFmtId="3" fontId="8" fillId="5" borderId="2" xfId="0" applyNumberFormat="1" applyFont="1" applyFill="1" applyBorder="1" applyAlignment="1">
      <alignment horizontal="center" vertical="center"/>
    </xf>
    <xf numFmtId="3" fontId="6" fillId="5" borderId="2" xfId="0" applyNumberFormat="1" applyFont="1" applyFill="1" applyBorder="1" applyAlignment="1">
      <alignment horizontal="center" vertical="center"/>
    </xf>
    <xf numFmtId="3" fontId="9" fillId="6" borderId="2" xfId="0" applyNumberFormat="1" applyFont="1" applyFill="1" applyBorder="1" applyAlignment="1">
      <alignment horizontal="center" vertical="center"/>
    </xf>
    <xf numFmtId="3" fontId="7" fillId="7" borderId="2" xfId="0" applyNumberFormat="1" applyFont="1" applyFill="1" applyBorder="1" applyAlignment="1">
      <alignment horizontal="center" vertical="center"/>
    </xf>
    <xf numFmtId="176" fontId="10" fillId="8" borderId="1" xfId="0" applyNumberFormat="1" applyFont="1" applyFill="1" applyBorder="1" applyAlignment="1">
      <alignment horizontal="center" vertical="center"/>
    </xf>
    <xf numFmtId="176" fontId="11" fillId="8" borderId="1" xfId="0" applyNumberFormat="1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3" fontId="8" fillId="5" borderId="1" xfId="0" applyNumberFormat="1" applyFont="1" applyFill="1" applyBorder="1" applyAlignment="1">
      <alignment horizontal="center" vertical="center"/>
    </xf>
    <xf numFmtId="176" fontId="14" fillId="8" borderId="1" xfId="0" applyNumberFormat="1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/>
    </xf>
    <xf numFmtId="177" fontId="16" fillId="5" borderId="1" xfId="0" applyNumberFormat="1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177" fontId="16" fillId="6" borderId="1" xfId="0" applyNumberFormat="1" applyFont="1" applyFill="1" applyBorder="1" applyAlignment="1">
      <alignment horizontal="center" vertical="center"/>
    </xf>
    <xf numFmtId="177" fontId="17" fillId="7" borderId="1" xfId="0" applyNumberFormat="1" applyFont="1" applyFill="1" applyBorder="1" applyAlignment="1">
      <alignment horizontal="center" vertical="center"/>
    </xf>
    <xf numFmtId="0" fontId="19" fillId="9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21" fillId="10" borderId="3" xfId="0" applyFont="1" applyFill="1" applyBorder="1" applyAlignment="1">
      <alignment horizontal="center" vertical="center"/>
    </xf>
    <xf numFmtId="0" fontId="22" fillId="0" borderId="0" xfId="0" applyFont="1"/>
    <xf numFmtId="0" fontId="24" fillId="12" borderId="4" xfId="0" applyFont="1" applyFill="1" applyBorder="1" applyAlignment="1">
      <alignment horizontal="center" vertical="center" wrapText="1"/>
    </xf>
    <xf numFmtId="0" fontId="24" fillId="12" borderId="4" xfId="0" applyFont="1" applyFill="1" applyBorder="1" applyAlignment="1">
      <alignment horizontal="center" vertical="center"/>
    </xf>
    <xf numFmtId="0" fontId="24" fillId="12" borderId="4" xfId="0" applyFont="1" applyFill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25" fillId="13" borderId="4" xfId="0" applyFont="1" applyFill="1" applyBorder="1" applyAlignment="1">
      <alignment vertical="center" wrapText="1"/>
    </xf>
    <xf numFmtId="0" fontId="25" fillId="13" borderId="4" xfId="0" applyFont="1" applyFill="1" applyBorder="1" applyAlignment="1">
      <alignment vertical="center"/>
    </xf>
    <xf numFmtId="22" fontId="25" fillId="13" borderId="4" xfId="0" applyNumberFormat="1" applyFont="1" applyFill="1" applyBorder="1" applyAlignment="1">
      <alignment vertical="center" wrapText="1"/>
    </xf>
    <xf numFmtId="0" fontId="26" fillId="13" borderId="4" xfId="0" applyFont="1" applyFill="1" applyBorder="1" applyAlignment="1">
      <alignment vertical="center" wrapText="1"/>
    </xf>
    <xf numFmtId="0" fontId="25" fillId="13" borderId="4" xfId="0" applyFont="1" applyFill="1" applyBorder="1" applyAlignment="1">
      <alignment horizontal="right" vertical="center" wrapText="1"/>
    </xf>
    <xf numFmtId="6" fontId="27" fillId="13" borderId="4" xfId="0" applyNumberFormat="1" applyFont="1" applyFill="1" applyBorder="1" applyAlignment="1">
      <alignment horizontal="right" vertical="center" wrapText="1"/>
    </xf>
    <xf numFmtId="0" fontId="28" fillId="13" borderId="4" xfId="0" applyFont="1" applyFill="1" applyBorder="1" applyAlignment="1">
      <alignment vertical="center" wrapText="1"/>
    </xf>
    <xf numFmtId="0" fontId="29" fillId="13" borderId="4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left" vertical="center" indent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8F9FB"/>
      <rgbColor rgb="FFE6F7FF"/>
      <rgbColor rgb="FF660066"/>
      <rgbColor rgb="FFFF8080"/>
      <rgbColor rgb="FF0066CC"/>
      <rgbColor rgb="FFD5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0F8"/>
      <rgbColor rgb="FFCCFFCC"/>
      <rgbColor rgb="FFFFFF99"/>
      <rgbColor rgb="FFC8C8C8"/>
      <rgbColor rgb="FFFF99CC"/>
      <rgbColor rgb="FFCC99FF"/>
      <rgbColor rgb="FFFFCC99"/>
      <rgbColor rgb="FF3366FF"/>
      <rgbColor rgb="FF4BA8E8"/>
      <rgbColor rgb="FF52C41A"/>
      <rgbColor rgb="FFFFCC00"/>
      <rgbColor rgb="FFFA8C16"/>
      <rgbColor rgb="FFFF4D4F"/>
      <rgbColor rgb="FF555555"/>
      <rgbColor rgb="FF999999"/>
      <rgbColor rgb="FF1B3A5C"/>
      <rgbColor rgb="FF339966"/>
      <rgbColor rgb="FF003300"/>
      <rgbColor rgb="FF333300"/>
      <rgbColor rgb="FF993300"/>
      <rgbColor rgb="FF993366"/>
      <rgbColor rgb="FF2D5580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R4" sqref="R4"/>
    </sheetView>
  </sheetViews>
  <sheetFormatPr defaultColWidth="8.6640625" defaultRowHeight="14.4"/>
  <cols>
    <col min="1" max="1" width="30" customWidth="1"/>
    <col min="2" max="14" width="7.21875" customWidth="1"/>
  </cols>
  <sheetData>
    <row r="1" spans="1:17" ht="13.5" customHeight="1">
      <c r="A1" s="50" t="s">
        <v>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7" ht="24" customHeight="1">
      <c r="A2" s="1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4" t="s">
        <v>14</v>
      </c>
    </row>
    <row r="3" spans="1:17" ht="19.5" customHeight="1">
      <c r="A3" s="5" t="s">
        <v>15</v>
      </c>
      <c r="B3" s="6">
        <v>3</v>
      </c>
      <c r="C3" s="6">
        <v>5</v>
      </c>
      <c r="D3" s="6">
        <v>3</v>
      </c>
      <c r="E3" s="7">
        <v>10</v>
      </c>
      <c r="F3" s="6">
        <v>4</v>
      </c>
      <c r="G3" s="6">
        <v>4</v>
      </c>
      <c r="H3" s="6">
        <v>4</v>
      </c>
      <c r="I3" s="6">
        <v>4</v>
      </c>
      <c r="J3" s="6">
        <v>4</v>
      </c>
      <c r="K3" s="6">
        <v>4</v>
      </c>
      <c r="L3" s="6">
        <v>4</v>
      </c>
      <c r="M3" s="6">
        <v>4</v>
      </c>
      <c r="N3" s="8">
        <f>SUM(B3,C3,D3,E3,F3,G3,H3,I3,J3,K3,L3,M3)</f>
        <v>53</v>
      </c>
    </row>
    <row r="4" spans="1:17" ht="19.5" customHeight="1">
      <c r="A4" s="9" t="s">
        <v>16</v>
      </c>
      <c r="B4" s="10">
        <v>3</v>
      </c>
      <c r="C4" s="10">
        <v>3</v>
      </c>
      <c r="D4" s="10">
        <v>1</v>
      </c>
      <c r="E4" s="7">
        <v>10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8">
        <f>SUM(B4,C4,D4,E4,F4,G4,H4,I4,J4,K4,L4,M4)</f>
        <v>17</v>
      </c>
      <c r="Q4">
        <f>59+1911</f>
        <v>1970</v>
      </c>
    </row>
    <row r="5" spans="1:17" ht="19.5" customHeight="1">
      <c r="A5" s="12" t="s">
        <v>17</v>
      </c>
      <c r="B5" s="13">
        <v>0</v>
      </c>
      <c r="C5" s="14">
        <v>2</v>
      </c>
      <c r="D5" s="14">
        <v>2</v>
      </c>
      <c r="E5" s="15">
        <v>0</v>
      </c>
      <c r="F5" s="14">
        <v>4</v>
      </c>
      <c r="G5" s="14">
        <v>4</v>
      </c>
      <c r="H5" s="14">
        <v>4</v>
      </c>
      <c r="I5" s="14">
        <v>4</v>
      </c>
      <c r="J5" s="14">
        <v>4</v>
      </c>
      <c r="K5" s="14">
        <v>4</v>
      </c>
      <c r="L5" s="14">
        <v>4</v>
      </c>
      <c r="M5" s="14">
        <v>4</v>
      </c>
      <c r="N5" s="16">
        <f>SUM(B5,C5,D5,E5,F5,G5,H5,I5,J5,K5,L5,M5)</f>
        <v>36</v>
      </c>
    </row>
    <row r="6" spans="1:17" ht="19.5" customHeight="1">
      <c r="A6" s="9" t="s">
        <v>18</v>
      </c>
      <c r="B6" s="17">
        <v>0.84799999999999998</v>
      </c>
      <c r="C6" s="17">
        <v>0.91900000000000004</v>
      </c>
      <c r="D6" s="18">
        <v>0.77800000000000002</v>
      </c>
      <c r="E6" s="19">
        <v>0.95599999999999996</v>
      </c>
      <c r="F6" s="17">
        <v>0.95599999999999996</v>
      </c>
      <c r="G6" s="17">
        <v>0.95599999999999996</v>
      </c>
      <c r="H6" s="17">
        <v>0.95599999999999996</v>
      </c>
      <c r="I6" s="17">
        <v>0.95599999999999996</v>
      </c>
      <c r="J6" s="17">
        <v>0.95599999999999996</v>
      </c>
      <c r="K6" s="17">
        <v>0.95599999999999996</v>
      </c>
      <c r="L6" s="17">
        <v>0.95599999999999996</v>
      </c>
      <c r="M6" s="17">
        <v>0.95599999999999996</v>
      </c>
      <c r="N6" s="20" t="s">
        <v>19</v>
      </c>
    </row>
    <row r="7" spans="1:17" ht="19.5" customHeight="1">
      <c r="A7" s="12" t="s">
        <v>20</v>
      </c>
      <c r="B7" s="14">
        <v>26</v>
      </c>
      <c r="C7" s="14">
        <v>4</v>
      </c>
      <c r="D7" s="14">
        <v>8</v>
      </c>
      <c r="E7" s="21">
        <v>45</v>
      </c>
      <c r="F7" s="13">
        <v>0</v>
      </c>
      <c r="G7" s="13">
        <v>0</v>
      </c>
      <c r="H7" s="13">
        <v>0</v>
      </c>
      <c r="I7" s="13">
        <v>0</v>
      </c>
      <c r="J7" s="13">
        <v>0</v>
      </c>
      <c r="K7" s="13">
        <v>0</v>
      </c>
      <c r="L7" s="13">
        <v>0</v>
      </c>
      <c r="M7" s="13">
        <v>0</v>
      </c>
      <c r="N7" s="16">
        <f>SUM(B7,C7,D7,E7,F7,G7,H7,I7,J7,K7,L7,M7)</f>
        <v>83</v>
      </c>
    </row>
    <row r="8" spans="1:17" ht="19.5" customHeight="1">
      <c r="A8" s="9" t="s">
        <v>21</v>
      </c>
      <c r="B8" s="10">
        <v>21</v>
      </c>
      <c r="C8" s="10">
        <v>3</v>
      </c>
      <c r="D8" s="11">
        <v>0</v>
      </c>
      <c r="E8" s="7">
        <v>41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0</v>
      </c>
      <c r="M8" s="11">
        <v>0</v>
      </c>
      <c r="N8" s="8">
        <f>SUM(B8,C8,D8,E8,F8,G8,H8,I8,J8,K8,L8,M8)</f>
        <v>65</v>
      </c>
    </row>
    <row r="9" spans="1:17" ht="19.5" customHeight="1">
      <c r="A9" s="5" t="s">
        <v>22</v>
      </c>
      <c r="B9" s="6">
        <v>5</v>
      </c>
      <c r="C9" s="6">
        <v>1</v>
      </c>
      <c r="D9" s="6">
        <v>8</v>
      </c>
      <c r="E9" s="7">
        <v>4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8">
        <f>SUM(B9,C9,D9,E9,F9,G9,H9,I9,J9,K9,L9,M9)</f>
        <v>18</v>
      </c>
    </row>
    <row r="10" spans="1:17" ht="19.5" customHeight="1">
      <c r="A10" s="9" t="s">
        <v>23</v>
      </c>
      <c r="B10" s="17">
        <v>0.80800000000000005</v>
      </c>
      <c r="C10" s="18">
        <v>0.75</v>
      </c>
      <c r="D10" s="23">
        <v>0</v>
      </c>
      <c r="E10" s="19">
        <v>0.91100000000000003</v>
      </c>
      <c r="F10" s="24" t="s">
        <v>19</v>
      </c>
      <c r="G10" s="24" t="s">
        <v>19</v>
      </c>
      <c r="H10" s="24" t="s">
        <v>19</v>
      </c>
      <c r="I10" s="24" t="s">
        <v>19</v>
      </c>
      <c r="J10" s="24" t="s">
        <v>19</v>
      </c>
      <c r="K10" s="24" t="s">
        <v>19</v>
      </c>
      <c r="L10" s="24" t="s">
        <v>19</v>
      </c>
      <c r="M10" s="24" t="s">
        <v>19</v>
      </c>
      <c r="N10" s="20" t="s">
        <v>19</v>
      </c>
    </row>
    <row r="11" spans="1:17" ht="19.5" customHeight="1">
      <c r="A11" s="5" t="s">
        <v>24</v>
      </c>
      <c r="B11" s="25">
        <v>2.7</v>
      </c>
      <c r="C11" s="25">
        <v>1.9</v>
      </c>
      <c r="D11" s="26" t="s">
        <v>19</v>
      </c>
      <c r="E11" s="27">
        <v>7.6</v>
      </c>
      <c r="F11" s="26" t="s">
        <v>19</v>
      </c>
      <c r="G11" s="26" t="s">
        <v>19</v>
      </c>
      <c r="H11" s="26" t="s">
        <v>19</v>
      </c>
      <c r="I11" s="26" t="s">
        <v>19</v>
      </c>
      <c r="J11" s="26" t="s">
        <v>19</v>
      </c>
      <c r="K11" s="26" t="s">
        <v>19</v>
      </c>
      <c r="L11" s="26" t="s">
        <v>19</v>
      </c>
      <c r="M11" s="26" t="s">
        <v>19</v>
      </c>
      <c r="N11" s="28">
        <f>AVERAGE(B11,C11,E11)</f>
        <v>4.0666666666666664</v>
      </c>
    </row>
    <row r="13" spans="1:17" ht="13.5" customHeight="1">
      <c r="A13" s="48" t="s">
        <v>25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</row>
  </sheetData>
  <mergeCells count="2">
    <mergeCell ref="A13:N13"/>
    <mergeCell ref="A1:N1"/>
  </mergeCells>
  <phoneticPr fontId="23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93"/>
  <sheetViews>
    <sheetView workbookViewId="0">
      <pane ySplit="1" topLeftCell="A2" activePane="bottomLeft" state="frozen"/>
      <selection pane="bottomLeft" activeCell="C74" sqref="C2:C74"/>
    </sheetView>
  </sheetViews>
  <sheetFormatPr defaultRowHeight="14.4"/>
  <cols>
    <col min="1" max="1" width="14" customWidth="1"/>
    <col min="2" max="2" width="10" customWidth="1"/>
    <col min="3" max="3" width="18" customWidth="1"/>
    <col min="4" max="4" width="28" customWidth="1"/>
    <col min="5" max="5" width="12" customWidth="1"/>
    <col min="6" max="6" width="8" customWidth="1"/>
    <col min="7" max="7" width="10" customWidth="1"/>
    <col min="8" max="8" width="8" customWidth="1"/>
    <col min="9" max="10" width="18" customWidth="1"/>
    <col min="11" max="13" width="10" customWidth="1"/>
    <col min="14" max="14" width="12" customWidth="1"/>
    <col min="15" max="19" width="8" customWidth="1"/>
    <col min="20" max="22" width="14" customWidth="1"/>
  </cols>
  <sheetData>
    <row r="1" spans="1:22" ht="36" customHeight="1">
      <c r="A1" s="29" t="s">
        <v>26</v>
      </c>
      <c r="B1" s="29" t="s">
        <v>27</v>
      </c>
      <c r="C1" s="29" t="s">
        <v>28</v>
      </c>
      <c r="D1" s="29" t="s">
        <v>29</v>
      </c>
      <c r="E1" s="29" t="s">
        <v>30</v>
      </c>
      <c r="F1" s="29" t="s">
        <v>31</v>
      </c>
      <c r="G1" s="29" t="s">
        <v>32</v>
      </c>
      <c r="H1" s="29" t="s">
        <v>33</v>
      </c>
      <c r="I1" s="29" t="s">
        <v>34</v>
      </c>
      <c r="J1" s="29" t="s">
        <v>35</v>
      </c>
      <c r="K1" s="29" t="s">
        <v>36</v>
      </c>
      <c r="L1" s="29" t="s">
        <v>37</v>
      </c>
      <c r="M1" s="29" t="s">
        <v>38</v>
      </c>
      <c r="N1" s="29" t="s">
        <v>39</v>
      </c>
      <c r="O1" s="29" t="s">
        <v>40</v>
      </c>
      <c r="P1" s="29" t="s">
        <v>41</v>
      </c>
      <c r="Q1" s="29" t="s">
        <v>42</v>
      </c>
      <c r="R1" s="29" t="s">
        <v>43</v>
      </c>
      <c r="S1" s="29" t="s">
        <v>44</v>
      </c>
      <c r="T1" s="29" t="s">
        <v>45</v>
      </c>
      <c r="U1" s="29" t="s">
        <v>46</v>
      </c>
      <c r="V1" s="29" t="s">
        <v>47</v>
      </c>
    </row>
    <row r="2" spans="1:22">
      <c r="A2" s="30" t="s">
        <v>48</v>
      </c>
      <c r="B2" s="30" t="s">
        <v>49</v>
      </c>
      <c r="C2" s="30" t="s">
        <v>50</v>
      </c>
      <c r="D2" s="30" t="s">
        <v>51</v>
      </c>
      <c r="E2" s="30" t="s">
        <v>52</v>
      </c>
      <c r="F2" s="30" t="s">
        <v>53</v>
      </c>
      <c r="G2" s="30"/>
      <c r="H2" s="30"/>
      <c r="I2" s="30"/>
      <c r="J2" s="30"/>
      <c r="K2" s="30"/>
      <c r="L2" s="30"/>
      <c r="M2" s="30"/>
      <c r="N2" s="30"/>
      <c r="O2" s="31" t="s">
        <v>54</v>
      </c>
      <c r="P2" s="32">
        <v>2026</v>
      </c>
      <c r="Q2" s="32">
        <v>4</v>
      </c>
      <c r="R2" s="32"/>
      <c r="S2" s="32"/>
      <c r="T2" s="32">
        <v>2026</v>
      </c>
      <c r="U2" s="32">
        <v>4</v>
      </c>
      <c r="V2" s="32"/>
    </row>
    <row r="3" spans="1:22" hidden="1">
      <c r="A3" s="33" t="s">
        <v>55</v>
      </c>
      <c r="B3" s="33" t="s">
        <v>56</v>
      </c>
      <c r="C3" s="33" t="s">
        <v>57</v>
      </c>
      <c r="D3" s="33" t="s">
        <v>58</v>
      </c>
      <c r="E3" s="33" t="s">
        <v>59</v>
      </c>
      <c r="F3" s="33" t="s">
        <v>60</v>
      </c>
      <c r="G3" s="33"/>
      <c r="H3" s="33" t="s">
        <v>61</v>
      </c>
      <c r="I3" s="33" t="s">
        <v>62</v>
      </c>
      <c r="J3" s="33" t="s">
        <v>62</v>
      </c>
      <c r="K3" s="33"/>
      <c r="L3" s="33"/>
      <c r="M3" s="33">
        <v>0</v>
      </c>
      <c r="N3" s="33"/>
      <c r="O3" s="34" t="s">
        <v>63</v>
      </c>
      <c r="P3" s="32">
        <v>2026</v>
      </c>
      <c r="Q3" s="32">
        <v>4</v>
      </c>
      <c r="R3" s="32">
        <v>2026</v>
      </c>
      <c r="S3" s="32">
        <v>4</v>
      </c>
      <c r="T3" s="32">
        <v>2026</v>
      </c>
      <c r="U3" s="32">
        <v>4</v>
      </c>
      <c r="V3" s="32">
        <v>2</v>
      </c>
    </row>
    <row r="4" spans="1:22">
      <c r="A4" s="30" t="s">
        <v>64</v>
      </c>
      <c r="B4" s="30" t="s">
        <v>65</v>
      </c>
      <c r="C4" s="30" t="s">
        <v>57</v>
      </c>
      <c r="D4" s="30" t="s">
        <v>66</v>
      </c>
      <c r="E4" s="30" t="s">
        <v>67</v>
      </c>
      <c r="F4" s="30"/>
      <c r="G4" s="30"/>
      <c r="H4" s="30"/>
      <c r="I4" s="30" t="s">
        <v>68</v>
      </c>
      <c r="J4" s="30"/>
      <c r="K4" s="30"/>
      <c r="L4" s="30" t="s">
        <v>66</v>
      </c>
      <c r="M4" s="30"/>
      <c r="N4" s="30"/>
      <c r="O4" s="31" t="s">
        <v>54</v>
      </c>
      <c r="P4" s="32">
        <v>2026</v>
      </c>
      <c r="Q4" s="32">
        <v>4</v>
      </c>
      <c r="R4" s="32"/>
      <c r="S4" s="32"/>
      <c r="T4" s="32">
        <v>2026</v>
      </c>
      <c r="U4" s="32">
        <v>4</v>
      </c>
      <c r="V4" s="32"/>
    </row>
    <row r="5" spans="1:22" hidden="1">
      <c r="A5" s="33" t="s">
        <v>69</v>
      </c>
      <c r="B5" s="33" t="s">
        <v>56</v>
      </c>
      <c r="C5" s="33" t="s">
        <v>57</v>
      </c>
      <c r="D5" s="33" t="s">
        <v>70</v>
      </c>
      <c r="E5" s="33" t="s">
        <v>71</v>
      </c>
      <c r="F5" s="33" t="s">
        <v>53</v>
      </c>
      <c r="G5" s="33"/>
      <c r="H5" s="33" t="s">
        <v>61</v>
      </c>
      <c r="I5" s="33" t="s">
        <v>72</v>
      </c>
      <c r="J5" s="33" t="s">
        <v>73</v>
      </c>
      <c r="K5" s="33"/>
      <c r="L5" s="33"/>
      <c r="M5" s="33"/>
      <c r="N5" s="33"/>
      <c r="O5" s="34" t="s">
        <v>63</v>
      </c>
      <c r="P5" s="32">
        <v>2026</v>
      </c>
      <c r="Q5" s="32">
        <v>4</v>
      </c>
      <c r="R5" s="32">
        <v>2026</v>
      </c>
      <c r="S5" s="32">
        <v>4</v>
      </c>
      <c r="T5" s="32">
        <v>2026</v>
      </c>
      <c r="U5" s="32">
        <v>4</v>
      </c>
      <c r="V5" s="32">
        <v>0</v>
      </c>
    </row>
    <row r="6" spans="1:22" hidden="1">
      <c r="A6" s="30" t="s">
        <v>74</v>
      </c>
      <c r="B6" s="30" t="s">
        <v>56</v>
      </c>
      <c r="C6" s="30" t="s">
        <v>75</v>
      </c>
      <c r="D6" s="30" t="s">
        <v>76</v>
      </c>
      <c r="E6" s="30" t="s">
        <v>77</v>
      </c>
      <c r="F6" s="30" t="s">
        <v>78</v>
      </c>
      <c r="G6" s="30"/>
      <c r="H6" s="30" t="s">
        <v>61</v>
      </c>
      <c r="I6" s="30" t="s">
        <v>79</v>
      </c>
      <c r="J6" s="30" t="s">
        <v>80</v>
      </c>
      <c r="K6" s="30"/>
      <c r="L6" s="30"/>
      <c r="M6" s="30">
        <v>0</v>
      </c>
      <c r="N6" s="30"/>
      <c r="O6" s="34" t="s">
        <v>63</v>
      </c>
      <c r="P6" s="32">
        <v>2026</v>
      </c>
      <c r="Q6" s="32">
        <v>4</v>
      </c>
      <c r="R6" s="32">
        <v>2026</v>
      </c>
      <c r="S6" s="32">
        <v>4</v>
      </c>
      <c r="T6" s="32">
        <v>2026</v>
      </c>
      <c r="U6" s="32">
        <v>4</v>
      </c>
      <c r="V6" s="32">
        <v>2</v>
      </c>
    </row>
    <row r="7" spans="1:22" hidden="1">
      <c r="A7" s="33" t="s">
        <v>81</v>
      </c>
      <c r="B7" s="33" t="s">
        <v>56</v>
      </c>
      <c r="C7" s="33" t="s">
        <v>75</v>
      </c>
      <c r="D7" s="33" t="s">
        <v>82</v>
      </c>
      <c r="E7" s="33" t="s">
        <v>71</v>
      </c>
      <c r="F7" s="33" t="s">
        <v>53</v>
      </c>
      <c r="G7" s="33"/>
      <c r="H7" s="33" t="s">
        <v>61</v>
      </c>
      <c r="I7" s="33" t="s">
        <v>83</v>
      </c>
      <c r="J7" s="33" t="s">
        <v>73</v>
      </c>
      <c r="K7" s="33"/>
      <c r="L7" s="33"/>
      <c r="M7" s="33">
        <v>0</v>
      </c>
      <c r="N7" s="33"/>
      <c r="O7" s="34" t="s">
        <v>63</v>
      </c>
      <c r="P7" s="32">
        <v>2026</v>
      </c>
      <c r="Q7" s="32">
        <v>4</v>
      </c>
      <c r="R7" s="32">
        <v>2026</v>
      </c>
      <c r="S7" s="32">
        <v>4</v>
      </c>
      <c r="T7" s="32">
        <v>2026</v>
      </c>
      <c r="U7" s="32">
        <v>4</v>
      </c>
      <c r="V7" s="32">
        <v>2</v>
      </c>
    </row>
    <row r="8" spans="1:22" hidden="1">
      <c r="A8" s="30" t="s">
        <v>84</v>
      </c>
      <c r="B8" s="30" t="s">
        <v>56</v>
      </c>
      <c r="C8" s="30" t="s">
        <v>75</v>
      </c>
      <c r="D8" s="30" t="s">
        <v>85</v>
      </c>
      <c r="E8" s="30" t="s">
        <v>86</v>
      </c>
      <c r="F8" s="30" t="s">
        <v>87</v>
      </c>
      <c r="G8" s="30"/>
      <c r="H8" s="30" t="s">
        <v>61</v>
      </c>
      <c r="I8" s="30" t="s">
        <v>88</v>
      </c>
      <c r="J8" s="30" t="s">
        <v>89</v>
      </c>
      <c r="K8" s="30"/>
      <c r="L8" s="30"/>
      <c r="M8" s="30">
        <v>0</v>
      </c>
      <c r="N8" s="30"/>
      <c r="O8" s="34" t="s">
        <v>63</v>
      </c>
      <c r="P8" s="32">
        <v>2026</v>
      </c>
      <c r="Q8" s="32">
        <v>4</v>
      </c>
      <c r="R8" s="32">
        <v>2026</v>
      </c>
      <c r="S8" s="32">
        <v>4</v>
      </c>
      <c r="T8" s="32">
        <v>2026</v>
      </c>
      <c r="U8" s="32">
        <v>4</v>
      </c>
      <c r="V8" s="32">
        <v>2</v>
      </c>
    </row>
    <row r="9" spans="1:22" hidden="1">
      <c r="A9" s="33" t="s">
        <v>90</v>
      </c>
      <c r="B9" s="33" t="s">
        <v>56</v>
      </c>
      <c r="C9" s="33" t="s">
        <v>75</v>
      </c>
      <c r="D9" s="33" t="s">
        <v>91</v>
      </c>
      <c r="E9" s="33" t="s">
        <v>92</v>
      </c>
      <c r="F9" s="33" t="s">
        <v>53</v>
      </c>
      <c r="G9" s="33"/>
      <c r="H9" s="33" t="s">
        <v>61</v>
      </c>
      <c r="I9" s="33" t="s">
        <v>93</v>
      </c>
      <c r="J9" s="33" t="s">
        <v>94</v>
      </c>
      <c r="K9" s="33"/>
      <c r="L9" s="33">
        <v>137</v>
      </c>
      <c r="M9" s="33">
        <v>137</v>
      </c>
      <c r="N9" s="33"/>
      <c r="O9" s="34" t="s">
        <v>63</v>
      </c>
      <c r="P9" s="32">
        <v>2026</v>
      </c>
      <c r="Q9" s="32">
        <v>4</v>
      </c>
      <c r="R9" s="32">
        <v>2026</v>
      </c>
      <c r="S9" s="32">
        <v>4</v>
      </c>
      <c r="T9" s="32">
        <v>2026</v>
      </c>
      <c r="U9" s="32">
        <v>4</v>
      </c>
      <c r="V9" s="32">
        <v>2</v>
      </c>
    </row>
    <row r="10" spans="1:22" hidden="1">
      <c r="A10" s="30" t="s">
        <v>95</v>
      </c>
      <c r="B10" s="30" t="s">
        <v>49</v>
      </c>
      <c r="C10" s="30" t="s">
        <v>96</v>
      </c>
      <c r="D10" s="30" t="s">
        <v>97</v>
      </c>
      <c r="E10" s="30" t="s">
        <v>77</v>
      </c>
      <c r="F10" s="30" t="s">
        <v>53</v>
      </c>
      <c r="G10" s="30" t="s">
        <v>98</v>
      </c>
      <c r="H10" s="30" t="s">
        <v>61</v>
      </c>
      <c r="I10" s="30" t="s">
        <v>99</v>
      </c>
      <c r="J10" s="30" t="s">
        <v>100</v>
      </c>
      <c r="K10" s="30"/>
      <c r="L10" s="30"/>
      <c r="M10" s="30">
        <v>800</v>
      </c>
      <c r="N10" s="30">
        <v>1</v>
      </c>
      <c r="O10" s="34" t="s">
        <v>63</v>
      </c>
      <c r="P10" s="32">
        <v>2026</v>
      </c>
      <c r="Q10" s="32">
        <v>4</v>
      </c>
      <c r="R10" s="32">
        <v>2026</v>
      </c>
      <c r="S10" s="32">
        <v>4</v>
      </c>
      <c r="T10" s="32">
        <v>2026</v>
      </c>
      <c r="U10" s="32">
        <v>4</v>
      </c>
      <c r="V10" s="32">
        <v>1</v>
      </c>
    </row>
    <row r="11" spans="1:22">
      <c r="A11" s="33" t="s">
        <v>101</v>
      </c>
      <c r="B11" s="33" t="s">
        <v>56</v>
      </c>
      <c r="C11" s="33" t="s">
        <v>96</v>
      </c>
      <c r="D11" s="33" t="s">
        <v>102</v>
      </c>
      <c r="E11" s="33" t="s">
        <v>59</v>
      </c>
      <c r="F11" s="33" t="s">
        <v>87</v>
      </c>
      <c r="G11" s="33"/>
      <c r="H11" s="33"/>
      <c r="I11" s="33" t="s">
        <v>103</v>
      </c>
      <c r="J11" s="33"/>
      <c r="K11" s="33"/>
      <c r="L11" s="33"/>
      <c r="M11" s="33"/>
      <c r="N11" s="33"/>
      <c r="O11" s="31" t="s">
        <v>54</v>
      </c>
      <c r="P11" s="32">
        <v>2026</v>
      </c>
      <c r="Q11" s="32">
        <v>4</v>
      </c>
      <c r="R11" s="32"/>
      <c r="S11" s="32"/>
      <c r="T11" s="32">
        <v>2026</v>
      </c>
      <c r="U11" s="32">
        <v>4</v>
      </c>
      <c r="V11" s="32"/>
    </row>
    <row r="12" spans="1:22">
      <c r="A12" s="30" t="s">
        <v>104</v>
      </c>
      <c r="B12" s="30" t="s">
        <v>49</v>
      </c>
      <c r="C12" s="30" t="s">
        <v>96</v>
      </c>
      <c r="D12" s="30" t="s">
        <v>105</v>
      </c>
      <c r="E12" s="30" t="s">
        <v>92</v>
      </c>
      <c r="F12" s="30" t="s">
        <v>53</v>
      </c>
      <c r="G12" s="30"/>
      <c r="H12" s="30"/>
      <c r="I12" s="30" t="s">
        <v>106</v>
      </c>
      <c r="J12" s="30"/>
      <c r="K12" s="30"/>
      <c r="L12" s="30"/>
      <c r="M12" s="30"/>
      <c r="N12" s="30"/>
      <c r="O12" s="31" t="s">
        <v>54</v>
      </c>
      <c r="P12" s="32">
        <v>2026</v>
      </c>
      <c r="Q12" s="32">
        <v>4</v>
      </c>
      <c r="R12" s="32"/>
      <c r="S12" s="32"/>
      <c r="T12" s="32">
        <v>2026</v>
      </c>
      <c r="U12" s="32">
        <v>4</v>
      </c>
      <c r="V12" s="32"/>
    </row>
    <row r="13" spans="1:22" hidden="1">
      <c r="A13" s="33" t="s">
        <v>107</v>
      </c>
      <c r="B13" s="33" t="s">
        <v>65</v>
      </c>
      <c r="C13" s="33" t="s">
        <v>108</v>
      </c>
      <c r="D13" s="33" t="s">
        <v>109</v>
      </c>
      <c r="E13" s="33" t="s">
        <v>110</v>
      </c>
      <c r="F13" s="33"/>
      <c r="G13" s="33"/>
      <c r="H13" s="33" t="s">
        <v>61</v>
      </c>
      <c r="I13" s="33" t="s">
        <v>111</v>
      </c>
      <c r="J13" s="33" t="s">
        <v>112</v>
      </c>
      <c r="K13" s="33">
        <v>69300</v>
      </c>
      <c r="L13" s="33"/>
      <c r="M13" s="33">
        <v>146193</v>
      </c>
      <c r="N13" s="33"/>
      <c r="O13" s="34" t="s">
        <v>63</v>
      </c>
      <c r="P13" s="32">
        <v>2025</v>
      </c>
      <c r="Q13" s="32">
        <v>11</v>
      </c>
      <c r="R13" s="32">
        <v>2025</v>
      </c>
      <c r="S13" s="32">
        <v>12</v>
      </c>
      <c r="T13" s="32">
        <v>2025</v>
      </c>
      <c r="U13" s="32">
        <v>12</v>
      </c>
      <c r="V13" s="32">
        <v>9</v>
      </c>
    </row>
    <row r="14" spans="1:22" hidden="1">
      <c r="A14" s="30" t="s">
        <v>113</v>
      </c>
      <c r="B14" s="30" t="s">
        <v>49</v>
      </c>
      <c r="C14" s="30" t="s">
        <v>114</v>
      </c>
      <c r="D14" s="30" t="s">
        <v>115</v>
      </c>
      <c r="E14" s="30" t="s">
        <v>92</v>
      </c>
      <c r="F14" s="30" t="s">
        <v>116</v>
      </c>
      <c r="G14" s="30"/>
      <c r="H14" s="30" t="s">
        <v>61</v>
      </c>
      <c r="I14" s="30" t="s">
        <v>117</v>
      </c>
      <c r="J14" s="30" t="s">
        <v>118</v>
      </c>
      <c r="K14" s="30">
        <v>30000</v>
      </c>
      <c r="L14" s="30"/>
      <c r="M14" s="30">
        <v>50400</v>
      </c>
      <c r="N14" s="30"/>
      <c r="O14" s="34" t="s">
        <v>63</v>
      </c>
      <c r="P14" s="32">
        <v>2025</v>
      </c>
      <c r="Q14" s="32">
        <v>10</v>
      </c>
      <c r="R14" s="32">
        <v>2025</v>
      </c>
      <c r="S14" s="32">
        <v>12</v>
      </c>
      <c r="T14" s="32">
        <v>2025</v>
      </c>
      <c r="U14" s="32">
        <v>12</v>
      </c>
      <c r="V14" s="32">
        <v>66</v>
      </c>
    </row>
    <row r="15" spans="1:22">
      <c r="A15" s="33" t="s">
        <v>119</v>
      </c>
      <c r="B15" s="33" t="s">
        <v>120</v>
      </c>
      <c r="C15" s="33" t="s">
        <v>121</v>
      </c>
      <c r="D15" s="33" t="s">
        <v>122</v>
      </c>
      <c r="E15" s="33" t="s">
        <v>123</v>
      </c>
      <c r="F15" s="33" t="s">
        <v>53</v>
      </c>
      <c r="G15" s="33"/>
      <c r="H15" s="33"/>
      <c r="I15" s="33" t="s">
        <v>124</v>
      </c>
      <c r="J15" s="33"/>
      <c r="K15" s="33"/>
      <c r="L15" s="33"/>
      <c r="M15" s="33"/>
      <c r="N15" s="33"/>
      <c r="O15" s="31" t="s">
        <v>54</v>
      </c>
      <c r="P15" s="32">
        <v>2026</v>
      </c>
      <c r="Q15" s="32">
        <v>4</v>
      </c>
      <c r="R15" s="32"/>
      <c r="S15" s="32"/>
      <c r="T15" s="32">
        <v>2026</v>
      </c>
      <c r="U15" s="32">
        <v>4</v>
      </c>
      <c r="V15" s="32"/>
    </row>
    <row r="16" spans="1:22">
      <c r="A16" s="30" t="s">
        <v>125</v>
      </c>
      <c r="B16" s="30" t="s">
        <v>120</v>
      </c>
      <c r="C16" s="30" t="s">
        <v>121</v>
      </c>
      <c r="D16" s="30" t="s">
        <v>126</v>
      </c>
      <c r="E16" s="30"/>
      <c r="F16" s="30"/>
      <c r="G16" s="30"/>
      <c r="H16" s="30"/>
      <c r="I16" s="30" t="s">
        <v>127</v>
      </c>
      <c r="J16" s="30"/>
      <c r="K16" s="30"/>
      <c r="L16" s="30"/>
      <c r="M16" s="30"/>
      <c r="N16" s="30"/>
      <c r="O16" s="31" t="s">
        <v>54</v>
      </c>
      <c r="P16" s="32">
        <v>2026</v>
      </c>
      <c r="Q16" s="32">
        <v>4</v>
      </c>
      <c r="R16" s="32"/>
      <c r="S16" s="32"/>
      <c r="T16" s="32">
        <v>2026</v>
      </c>
      <c r="U16" s="32">
        <v>4</v>
      </c>
      <c r="V16" s="32"/>
    </row>
    <row r="17" spans="1:22" hidden="1">
      <c r="A17" s="33" t="s">
        <v>128</v>
      </c>
      <c r="B17" s="33" t="s">
        <v>65</v>
      </c>
      <c r="C17" s="33" t="s">
        <v>129</v>
      </c>
      <c r="D17" s="33" t="s">
        <v>130</v>
      </c>
      <c r="E17" s="33" t="s">
        <v>110</v>
      </c>
      <c r="F17" s="33" t="s">
        <v>78</v>
      </c>
      <c r="G17" s="33"/>
      <c r="H17" s="33" t="s">
        <v>61</v>
      </c>
      <c r="I17" s="33" t="s">
        <v>131</v>
      </c>
      <c r="J17" s="33" t="s">
        <v>132</v>
      </c>
      <c r="K17" s="33">
        <v>15750</v>
      </c>
      <c r="L17" s="33"/>
      <c r="M17" s="33"/>
      <c r="N17" s="33"/>
      <c r="O17" s="34" t="s">
        <v>63</v>
      </c>
      <c r="P17" s="32">
        <v>2026</v>
      </c>
      <c r="Q17" s="32">
        <v>2</v>
      </c>
      <c r="R17" s="32">
        <v>2026</v>
      </c>
      <c r="S17" s="32">
        <v>2</v>
      </c>
      <c r="T17" s="32">
        <v>2026</v>
      </c>
      <c r="U17" s="32">
        <v>2</v>
      </c>
      <c r="V17" s="32">
        <v>15</v>
      </c>
    </row>
    <row r="18" spans="1:22" hidden="1">
      <c r="A18" s="30" t="s">
        <v>133</v>
      </c>
      <c r="B18" s="30" t="s">
        <v>56</v>
      </c>
      <c r="C18" s="30" t="s">
        <v>134</v>
      </c>
      <c r="D18" s="30" t="s">
        <v>135</v>
      </c>
      <c r="E18" s="30" t="s">
        <v>110</v>
      </c>
      <c r="F18" s="30"/>
      <c r="G18" s="30"/>
      <c r="H18" s="30" t="s">
        <v>61</v>
      </c>
      <c r="I18" s="30" t="s">
        <v>136</v>
      </c>
      <c r="J18" s="30" t="s">
        <v>137</v>
      </c>
      <c r="K18" s="30"/>
      <c r="L18" s="30"/>
      <c r="M18" s="30"/>
      <c r="N18" s="30"/>
      <c r="O18" s="34" t="s">
        <v>63</v>
      </c>
      <c r="P18" s="32">
        <v>2026</v>
      </c>
      <c r="Q18" s="32">
        <v>2</v>
      </c>
      <c r="R18" s="32">
        <v>2026</v>
      </c>
      <c r="S18" s="32">
        <v>2</v>
      </c>
      <c r="T18" s="32">
        <v>2026</v>
      </c>
      <c r="U18" s="32">
        <v>2</v>
      </c>
      <c r="V18" s="32">
        <v>14</v>
      </c>
    </row>
    <row r="19" spans="1:22" hidden="1">
      <c r="A19" s="33" t="s">
        <v>138</v>
      </c>
      <c r="B19" s="33" t="s">
        <v>56</v>
      </c>
      <c r="C19" s="33" t="s">
        <v>139</v>
      </c>
      <c r="D19" s="33" t="s">
        <v>140</v>
      </c>
      <c r="E19" s="33"/>
      <c r="F19" s="33"/>
      <c r="G19" s="33"/>
      <c r="H19" s="33" t="s">
        <v>61</v>
      </c>
      <c r="I19" s="33" t="s">
        <v>141</v>
      </c>
      <c r="J19" s="33" t="s">
        <v>142</v>
      </c>
      <c r="K19" s="33"/>
      <c r="L19" s="33"/>
      <c r="M19" s="33">
        <v>1260</v>
      </c>
      <c r="N19" s="33"/>
      <c r="O19" s="34" t="s">
        <v>63</v>
      </c>
      <c r="P19" s="32">
        <v>2026</v>
      </c>
      <c r="Q19" s="32">
        <v>2</v>
      </c>
      <c r="R19" s="32">
        <v>2026</v>
      </c>
      <c r="S19" s="32">
        <v>2</v>
      </c>
      <c r="T19" s="32">
        <v>2026</v>
      </c>
      <c r="U19" s="32">
        <v>2</v>
      </c>
      <c r="V19" s="32">
        <v>4</v>
      </c>
    </row>
    <row r="20" spans="1:22" hidden="1">
      <c r="A20" s="30" t="s">
        <v>143</v>
      </c>
      <c r="B20" s="30" t="s">
        <v>56</v>
      </c>
      <c r="C20" s="30" t="s">
        <v>144</v>
      </c>
      <c r="D20" s="30" t="s">
        <v>145</v>
      </c>
      <c r="E20" s="30"/>
      <c r="F20" s="30"/>
      <c r="G20" s="30"/>
      <c r="H20" s="30" t="s">
        <v>61</v>
      </c>
      <c r="I20" s="30" t="s">
        <v>146</v>
      </c>
      <c r="J20" s="30" t="s">
        <v>147</v>
      </c>
      <c r="K20" s="30"/>
      <c r="L20" s="30"/>
      <c r="M20" s="30"/>
      <c r="N20" s="30"/>
      <c r="O20" s="34" t="s">
        <v>63</v>
      </c>
      <c r="P20" s="32">
        <v>2026</v>
      </c>
      <c r="Q20" s="32">
        <v>1</v>
      </c>
      <c r="R20" s="32">
        <v>2026</v>
      </c>
      <c r="S20" s="32">
        <v>2</v>
      </c>
      <c r="T20" s="32">
        <v>2026</v>
      </c>
      <c r="U20" s="32">
        <v>2</v>
      </c>
      <c r="V20" s="32">
        <v>11</v>
      </c>
    </row>
    <row r="21" spans="1:22" hidden="1">
      <c r="A21" s="33" t="s">
        <v>148</v>
      </c>
      <c r="B21" s="33" t="s">
        <v>49</v>
      </c>
      <c r="C21" s="33" t="s">
        <v>149</v>
      </c>
      <c r="D21" s="33" t="s">
        <v>150</v>
      </c>
      <c r="E21" s="33"/>
      <c r="F21" s="33" t="s">
        <v>53</v>
      </c>
      <c r="G21" s="33"/>
      <c r="H21" s="33" t="s">
        <v>61</v>
      </c>
      <c r="I21" s="33" t="s">
        <v>151</v>
      </c>
      <c r="J21" s="33" t="s">
        <v>152</v>
      </c>
      <c r="K21" s="33"/>
      <c r="L21" s="33"/>
      <c r="M21" s="33"/>
      <c r="N21" s="33"/>
      <c r="O21" s="34" t="s">
        <v>63</v>
      </c>
      <c r="P21" s="32">
        <v>2026</v>
      </c>
      <c r="Q21" s="32">
        <v>1</v>
      </c>
      <c r="R21" s="32">
        <v>2026</v>
      </c>
      <c r="S21" s="32">
        <v>2</v>
      </c>
      <c r="T21" s="32">
        <v>2026</v>
      </c>
      <c r="U21" s="32">
        <v>2</v>
      </c>
      <c r="V21" s="32">
        <v>3</v>
      </c>
    </row>
    <row r="22" spans="1:22" hidden="1">
      <c r="A22" s="30" t="s">
        <v>153</v>
      </c>
      <c r="B22" s="30" t="s">
        <v>65</v>
      </c>
      <c r="C22" s="30" t="s">
        <v>154</v>
      </c>
      <c r="D22" s="30" t="s">
        <v>155</v>
      </c>
      <c r="E22" s="30"/>
      <c r="F22" s="30" t="s">
        <v>156</v>
      </c>
      <c r="G22" s="30"/>
      <c r="H22" s="30" t="s">
        <v>61</v>
      </c>
      <c r="I22" s="30" t="s">
        <v>151</v>
      </c>
      <c r="J22" s="30" t="s">
        <v>157</v>
      </c>
      <c r="K22" s="30"/>
      <c r="L22" s="30"/>
      <c r="M22" s="30"/>
      <c r="N22" s="30"/>
      <c r="O22" s="34" t="s">
        <v>63</v>
      </c>
      <c r="P22" s="32">
        <v>2026</v>
      </c>
      <c r="Q22" s="32">
        <v>1</v>
      </c>
      <c r="R22" s="32">
        <v>2026</v>
      </c>
      <c r="S22" s="32">
        <v>2</v>
      </c>
      <c r="T22" s="32">
        <v>2026</v>
      </c>
      <c r="U22" s="32">
        <v>2</v>
      </c>
      <c r="V22" s="32">
        <v>27</v>
      </c>
    </row>
    <row r="23" spans="1:22" hidden="1">
      <c r="A23" s="33" t="s">
        <v>158</v>
      </c>
      <c r="B23" s="33" t="s">
        <v>56</v>
      </c>
      <c r="C23" s="33" t="s">
        <v>159</v>
      </c>
      <c r="D23" s="33" t="s">
        <v>160</v>
      </c>
      <c r="E23" s="33"/>
      <c r="F23" s="33"/>
      <c r="G23" s="33"/>
      <c r="H23" s="33" t="s">
        <v>61</v>
      </c>
      <c r="I23" s="33" t="s">
        <v>161</v>
      </c>
      <c r="J23" s="33" t="s">
        <v>152</v>
      </c>
      <c r="K23" s="33"/>
      <c r="L23" s="33">
        <v>620</v>
      </c>
      <c r="M23" s="33"/>
      <c r="N23" s="33"/>
      <c r="O23" s="34" t="s">
        <v>63</v>
      </c>
      <c r="P23" s="32">
        <v>2026</v>
      </c>
      <c r="Q23" s="32">
        <v>1</v>
      </c>
      <c r="R23" s="32">
        <v>2026</v>
      </c>
      <c r="S23" s="32">
        <v>2</v>
      </c>
      <c r="T23" s="32">
        <v>2026</v>
      </c>
      <c r="U23" s="32">
        <v>2</v>
      </c>
      <c r="V23" s="32">
        <v>4</v>
      </c>
    </row>
    <row r="24" spans="1:22" hidden="1">
      <c r="A24" s="30" t="s">
        <v>162</v>
      </c>
      <c r="B24" s="30" t="s">
        <v>56</v>
      </c>
      <c r="C24" s="30" t="s">
        <v>163</v>
      </c>
      <c r="D24" s="30" t="s">
        <v>164</v>
      </c>
      <c r="E24" s="30"/>
      <c r="F24" s="30"/>
      <c r="G24" s="30"/>
      <c r="H24" s="30" t="s">
        <v>61</v>
      </c>
      <c r="I24" s="30" t="s">
        <v>165</v>
      </c>
      <c r="J24" s="30" t="s">
        <v>166</v>
      </c>
      <c r="K24" s="30"/>
      <c r="L24" s="30"/>
      <c r="M24" s="30"/>
      <c r="N24" s="30"/>
      <c r="O24" s="34" t="s">
        <v>63</v>
      </c>
      <c r="P24" s="32">
        <v>2026</v>
      </c>
      <c r="Q24" s="32">
        <v>1</v>
      </c>
      <c r="R24" s="32">
        <v>2026</v>
      </c>
      <c r="S24" s="32">
        <v>2</v>
      </c>
      <c r="T24" s="32">
        <v>2026</v>
      </c>
      <c r="U24" s="32">
        <v>2</v>
      </c>
      <c r="V24" s="32">
        <v>4</v>
      </c>
    </row>
    <row r="25" spans="1:22" hidden="1">
      <c r="A25" s="33" t="s">
        <v>167</v>
      </c>
      <c r="B25" s="33" t="s">
        <v>56</v>
      </c>
      <c r="C25" s="33" t="s">
        <v>168</v>
      </c>
      <c r="D25" s="33" t="s">
        <v>169</v>
      </c>
      <c r="E25" s="33"/>
      <c r="F25" s="33"/>
      <c r="G25" s="33"/>
      <c r="H25" s="33" t="s">
        <v>61</v>
      </c>
      <c r="I25" s="33" t="s">
        <v>170</v>
      </c>
      <c r="J25" s="33" t="s">
        <v>166</v>
      </c>
      <c r="K25" s="33"/>
      <c r="L25" s="33">
        <v>137</v>
      </c>
      <c r="M25" s="33"/>
      <c r="N25" s="33"/>
      <c r="O25" s="34" t="s">
        <v>63</v>
      </c>
      <c r="P25" s="32">
        <v>2026</v>
      </c>
      <c r="Q25" s="32">
        <v>1</v>
      </c>
      <c r="R25" s="32">
        <v>2026</v>
      </c>
      <c r="S25" s="32">
        <v>2</v>
      </c>
      <c r="T25" s="32">
        <v>2026</v>
      </c>
      <c r="U25" s="32">
        <v>2</v>
      </c>
      <c r="V25" s="32">
        <v>4</v>
      </c>
    </row>
    <row r="26" spans="1:22" hidden="1">
      <c r="A26" s="30" t="s">
        <v>171</v>
      </c>
      <c r="B26" s="30" t="s">
        <v>49</v>
      </c>
      <c r="C26" s="30" t="s">
        <v>172</v>
      </c>
      <c r="D26" s="30" t="s">
        <v>173</v>
      </c>
      <c r="E26" s="30" t="s">
        <v>123</v>
      </c>
      <c r="F26" s="30" t="s">
        <v>156</v>
      </c>
      <c r="G26" s="30"/>
      <c r="H26" s="30" t="s">
        <v>61</v>
      </c>
      <c r="I26" s="30" t="s">
        <v>174</v>
      </c>
      <c r="J26" s="30" t="s">
        <v>147</v>
      </c>
      <c r="K26" s="30"/>
      <c r="L26" s="30">
        <v>9450</v>
      </c>
      <c r="M26" s="30"/>
      <c r="N26" s="30"/>
      <c r="O26" s="34" t="s">
        <v>63</v>
      </c>
      <c r="P26" s="32">
        <v>2026</v>
      </c>
      <c r="Q26" s="32">
        <v>1</v>
      </c>
      <c r="R26" s="32">
        <v>2026</v>
      </c>
      <c r="S26" s="32">
        <v>2</v>
      </c>
      <c r="T26" s="32">
        <v>2026</v>
      </c>
      <c r="U26" s="32">
        <v>2</v>
      </c>
      <c r="V26" s="32">
        <v>20</v>
      </c>
    </row>
    <row r="27" spans="1:22" hidden="1">
      <c r="A27" s="33" t="s">
        <v>175</v>
      </c>
      <c r="B27" s="33" t="s">
        <v>65</v>
      </c>
      <c r="C27" s="33" t="s">
        <v>176</v>
      </c>
      <c r="D27" s="33" t="s">
        <v>177</v>
      </c>
      <c r="E27" s="33" t="s">
        <v>178</v>
      </c>
      <c r="F27" s="33" t="s">
        <v>156</v>
      </c>
      <c r="G27" s="33"/>
      <c r="H27" s="33" t="s">
        <v>61</v>
      </c>
      <c r="I27" s="33" t="s">
        <v>179</v>
      </c>
      <c r="J27" s="33" t="s">
        <v>157</v>
      </c>
      <c r="K27" s="33"/>
      <c r="L27" s="33"/>
      <c r="M27" s="33"/>
      <c r="N27" s="33"/>
      <c r="O27" s="34" t="s">
        <v>63</v>
      </c>
      <c r="P27" s="32">
        <v>2026</v>
      </c>
      <c r="Q27" s="32">
        <v>1</v>
      </c>
      <c r="R27" s="32">
        <v>2026</v>
      </c>
      <c r="S27" s="32">
        <v>2</v>
      </c>
      <c r="T27" s="32">
        <v>2026</v>
      </c>
      <c r="U27" s="32">
        <v>2</v>
      </c>
      <c r="V27" s="32">
        <v>49</v>
      </c>
    </row>
    <row r="28" spans="1:22" hidden="1">
      <c r="A28" s="30" t="s">
        <v>180</v>
      </c>
      <c r="B28" s="30" t="s">
        <v>181</v>
      </c>
      <c r="C28" s="30" t="s">
        <v>182</v>
      </c>
      <c r="D28" s="30" t="s">
        <v>183</v>
      </c>
      <c r="E28" s="30"/>
      <c r="F28" s="30"/>
      <c r="G28" s="30"/>
      <c r="H28" s="30" t="s">
        <v>61</v>
      </c>
      <c r="I28" s="30" t="s">
        <v>184</v>
      </c>
      <c r="J28" s="30" t="s">
        <v>185</v>
      </c>
      <c r="K28" s="30">
        <v>9000</v>
      </c>
      <c r="L28" s="30"/>
      <c r="M28" s="30"/>
      <c r="N28" s="30"/>
      <c r="O28" s="34" t="s">
        <v>63</v>
      </c>
      <c r="P28" s="32">
        <v>2026</v>
      </c>
      <c r="Q28" s="32">
        <v>1</v>
      </c>
      <c r="R28" s="32">
        <v>2026</v>
      </c>
      <c r="S28" s="32">
        <v>2</v>
      </c>
      <c r="T28" s="32">
        <v>2026</v>
      </c>
      <c r="U28" s="32">
        <v>2</v>
      </c>
      <c r="V28" s="32">
        <v>39</v>
      </c>
    </row>
    <row r="29" spans="1:22" hidden="1">
      <c r="A29" s="33" t="s">
        <v>186</v>
      </c>
      <c r="B29" s="33" t="s">
        <v>56</v>
      </c>
      <c r="C29" s="33" t="s">
        <v>187</v>
      </c>
      <c r="D29" s="33" t="s">
        <v>188</v>
      </c>
      <c r="E29" s="33"/>
      <c r="F29" s="33"/>
      <c r="G29" s="33"/>
      <c r="H29" s="33" t="s">
        <v>61</v>
      </c>
      <c r="I29" s="33" t="s">
        <v>189</v>
      </c>
      <c r="J29" s="33" t="s">
        <v>190</v>
      </c>
      <c r="K29" s="33"/>
      <c r="L29" s="33"/>
      <c r="M29" s="33"/>
      <c r="N29" s="33"/>
      <c r="O29" s="34" t="s">
        <v>63</v>
      </c>
      <c r="P29" s="32">
        <v>2026</v>
      </c>
      <c r="Q29" s="32">
        <v>1</v>
      </c>
      <c r="R29" s="32">
        <v>2026</v>
      </c>
      <c r="S29" s="32">
        <v>1</v>
      </c>
      <c r="T29" s="32">
        <v>2026</v>
      </c>
      <c r="U29" s="32">
        <v>1</v>
      </c>
      <c r="V29" s="32">
        <v>4</v>
      </c>
    </row>
    <row r="30" spans="1:22" hidden="1">
      <c r="A30" s="30" t="s">
        <v>191</v>
      </c>
      <c r="B30" s="30" t="s">
        <v>56</v>
      </c>
      <c r="C30" s="30" t="s">
        <v>192</v>
      </c>
      <c r="D30" s="30" t="s">
        <v>193</v>
      </c>
      <c r="E30" s="30"/>
      <c r="F30" s="30"/>
      <c r="G30" s="30"/>
      <c r="H30" s="30" t="s">
        <v>61</v>
      </c>
      <c r="I30" s="30" t="s">
        <v>194</v>
      </c>
      <c r="J30" s="30" t="s">
        <v>190</v>
      </c>
      <c r="K30" s="30"/>
      <c r="L30" s="30"/>
      <c r="M30" s="30"/>
      <c r="N30" s="30"/>
      <c r="O30" s="34" t="s">
        <v>63</v>
      </c>
      <c r="P30" s="32">
        <v>2026</v>
      </c>
      <c r="Q30" s="32">
        <v>1</v>
      </c>
      <c r="R30" s="32">
        <v>2026</v>
      </c>
      <c r="S30" s="32">
        <v>1</v>
      </c>
      <c r="T30" s="32">
        <v>2026</v>
      </c>
      <c r="U30" s="32">
        <v>1</v>
      </c>
      <c r="V30" s="32">
        <v>5</v>
      </c>
    </row>
    <row r="31" spans="1:22" hidden="1">
      <c r="A31" s="33" t="s">
        <v>195</v>
      </c>
      <c r="B31" s="33" t="s">
        <v>65</v>
      </c>
      <c r="C31" s="33" t="s">
        <v>196</v>
      </c>
      <c r="D31" s="33" t="s">
        <v>197</v>
      </c>
      <c r="E31" s="33" t="s">
        <v>67</v>
      </c>
      <c r="F31" s="33" t="s">
        <v>53</v>
      </c>
      <c r="G31" s="33"/>
      <c r="H31" s="33" t="s">
        <v>61</v>
      </c>
      <c r="I31" s="33" t="s">
        <v>198</v>
      </c>
      <c r="J31" s="33" t="s">
        <v>199</v>
      </c>
      <c r="K31" s="33"/>
      <c r="L31" s="33"/>
      <c r="M31" s="33"/>
      <c r="N31" s="33"/>
      <c r="O31" s="34" t="s">
        <v>63</v>
      </c>
      <c r="P31" s="32">
        <v>2026</v>
      </c>
      <c r="Q31" s="32">
        <v>1</v>
      </c>
      <c r="R31" s="32">
        <v>2026</v>
      </c>
      <c r="S31" s="32">
        <v>1</v>
      </c>
      <c r="T31" s="32">
        <v>2026</v>
      </c>
      <c r="U31" s="32">
        <v>1</v>
      </c>
      <c r="V31" s="32">
        <v>4</v>
      </c>
    </row>
    <row r="32" spans="1:22" hidden="1">
      <c r="A32" s="30" t="s">
        <v>200</v>
      </c>
      <c r="B32" s="30" t="s">
        <v>49</v>
      </c>
      <c r="C32" s="30" t="s">
        <v>201</v>
      </c>
      <c r="D32" s="30" t="s">
        <v>202</v>
      </c>
      <c r="E32" s="30" t="s">
        <v>123</v>
      </c>
      <c r="F32" s="30" t="s">
        <v>53</v>
      </c>
      <c r="G32" s="30"/>
      <c r="H32" s="30" t="s">
        <v>61</v>
      </c>
      <c r="I32" s="30" t="s">
        <v>203</v>
      </c>
      <c r="J32" s="30" t="s">
        <v>199</v>
      </c>
      <c r="K32" s="30"/>
      <c r="L32" s="30"/>
      <c r="M32" s="30"/>
      <c r="N32" s="30"/>
      <c r="O32" s="34" t="s">
        <v>63</v>
      </c>
      <c r="P32" s="32">
        <v>2026</v>
      </c>
      <c r="Q32" s="32">
        <v>1</v>
      </c>
      <c r="R32" s="32">
        <v>2026</v>
      </c>
      <c r="S32" s="32">
        <v>1</v>
      </c>
      <c r="T32" s="32">
        <v>2026</v>
      </c>
      <c r="U32" s="32">
        <v>1</v>
      </c>
      <c r="V32" s="32">
        <v>6</v>
      </c>
    </row>
    <row r="33" spans="1:22" hidden="1">
      <c r="A33" s="33" t="s">
        <v>204</v>
      </c>
      <c r="B33" s="33" t="s">
        <v>56</v>
      </c>
      <c r="C33" s="33" t="s">
        <v>205</v>
      </c>
      <c r="D33" s="33" t="s">
        <v>206</v>
      </c>
      <c r="E33" s="33"/>
      <c r="F33" s="33"/>
      <c r="G33" s="33"/>
      <c r="H33" s="33" t="s">
        <v>61</v>
      </c>
      <c r="I33" s="33" t="s">
        <v>207</v>
      </c>
      <c r="J33" s="33" t="s">
        <v>199</v>
      </c>
      <c r="K33" s="33"/>
      <c r="L33" s="33">
        <v>294</v>
      </c>
      <c r="M33" s="33"/>
      <c r="N33" s="33"/>
      <c r="O33" s="34" t="s">
        <v>63</v>
      </c>
      <c r="P33" s="32">
        <v>2026</v>
      </c>
      <c r="Q33" s="32">
        <v>1</v>
      </c>
      <c r="R33" s="32">
        <v>2026</v>
      </c>
      <c r="S33" s="32">
        <v>1</v>
      </c>
      <c r="T33" s="32">
        <v>2026</v>
      </c>
      <c r="U33" s="32">
        <v>1</v>
      </c>
      <c r="V33" s="32">
        <v>6</v>
      </c>
    </row>
    <row r="34" spans="1:22" hidden="1">
      <c r="A34" s="30" t="s">
        <v>208</v>
      </c>
      <c r="B34" s="30" t="s">
        <v>56</v>
      </c>
      <c r="C34" s="30" t="s">
        <v>209</v>
      </c>
      <c r="D34" s="30" t="s">
        <v>210</v>
      </c>
      <c r="E34" s="30"/>
      <c r="F34" s="30" t="s">
        <v>87</v>
      </c>
      <c r="G34" s="30"/>
      <c r="H34" s="30" t="s">
        <v>61</v>
      </c>
      <c r="I34" s="30" t="s">
        <v>211</v>
      </c>
      <c r="J34" s="30" t="s">
        <v>212</v>
      </c>
      <c r="K34" s="30"/>
      <c r="L34" s="30"/>
      <c r="M34" s="30"/>
      <c r="N34" s="30"/>
      <c r="O34" s="34" t="s">
        <v>63</v>
      </c>
      <c r="P34" s="32">
        <v>2026</v>
      </c>
      <c r="Q34" s="32">
        <v>1</v>
      </c>
      <c r="R34" s="32">
        <v>2026</v>
      </c>
      <c r="S34" s="32">
        <v>1</v>
      </c>
      <c r="T34" s="32">
        <v>2026</v>
      </c>
      <c r="U34" s="32">
        <v>1</v>
      </c>
      <c r="V34" s="32">
        <v>11</v>
      </c>
    </row>
    <row r="35" spans="1:22" hidden="1">
      <c r="A35" s="33" t="s">
        <v>213</v>
      </c>
      <c r="B35" s="33" t="s">
        <v>56</v>
      </c>
      <c r="C35" s="33" t="s">
        <v>214</v>
      </c>
      <c r="D35" s="33" t="s">
        <v>215</v>
      </c>
      <c r="E35" s="33"/>
      <c r="F35" s="33"/>
      <c r="G35" s="33"/>
      <c r="H35" s="33" t="s">
        <v>61</v>
      </c>
      <c r="I35" s="33" t="s">
        <v>216</v>
      </c>
      <c r="J35" s="33" t="s">
        <v>212</v>
      </c>
      <c r="K35" s="33"/>
      <c r="L35" s="33">
        <v>520</v>
      </c>
      <c r="M35" s="33"/>
      <c r="N35" s="33"/>
      <c r="O35" s="34" t="s">
        <v>63</v>
      </c>
      <c r="P35" s="32">
        <v>2026</v>
      </c>
      <c r="Q35" s="32">
        <v>1</v>
      </c>
      <c r="R35" s="32">
        <v>2026</v>
      </c>
      <c r="S35" s="32">
        <v>1</v>
      </c>
      <c r="T35" s="32">
        <v>2026</v>
      </c>
      <c r="U35" s="32">
        <v>1</v>
      </c>
      <c r="V35" s="32">
        <v>12</v>
      </c>
    </row>
    <row r="36" spans="1:22" hidden="1">
      <c r="A36" s="30" t="s">
        <v>217</v>
      </c>
      <c r="B36" s="30" t="s">
        <v>56</v>
      </c>
      <c r="C36" s="30" t="s">
        <v>218</v>
      </c>
      <c r="D36" s="30" t="s">
        <v>219</v>
      </c>
      <c r="E36" s="30"/>
      <c r="F36" s="30"/>
      <c r="G36" s="30"/>
      <c r="H36" s="30" t="s">
        <v>61</v>
      </c>
      <c r="I36" s="30" t="s">
        <v>220</v>
      </c>
      <c r="J36" s="30" t="s">
        <v>221</v>
      </c>
      <c r="K36" s="30"/>
      <c r="L36" s="30">
        <v>74</v>
      </c>
      <c r="M36" s="30"/>
      <c r="N36" s="30"/>
      <c r="O36" s="34" t="s">
        <v>63</v>
      </c>
      <c r="P36" s="32">
        <v>2026</v>
      </c>
      <c r="Q36" s="32">
        <v>1</v>
      </c>
      <c r="R36" s="32">
        <v>2026</v>
      </c>
      <c r="S36" s="32">
        <v>1</v>
      </c>
      <c r="T36" s="32">
        <v>2026</v>
      </c>
      <c r="U36" s="32">
        <v>1</v>
      </c>
      <c r="V36" s="32">
        <v>3</v>
      </c>
    </row>
    <row r="37" spans="1:22" hidden="1">
      <c r="A37" s="33" t="s">
        <v>222</v>
      </c>
      <c r="B37" s="33" t="s">
        <v>120</v>
      </c>
      <c r="C37" s="33" t="s">
        <v>223</v>
      </c>
      <c r="D37" s="33" t="s">
        <v>224</v>
      </c>
      <c r="E37" s="33" t="s">
        <v>123</v>
      </c>
      <c r="F37" s="33" t="s">
        <v>53</v>
      </c>
      <c r="G37" s="33"/>
      <c r="H37" s="33" t="s">
        <v>61</v>
      </c>
      <c r="I37" s="33" t="s">
        <v>225</v>
      </c>
      <c r="J37" s="33" t="s">
        <v>226</v>
      </c>
      <c r="K37" s="33"/>
      <c r="L37" s="33">
        <v>263</v>
      </c>
      <c r="M37" s="33"/>
      <c r="N37" s="33"/>
      <c r="O37" s="34" t="s">
        <v>63</v>
      </c>
      <c r="P37" s="32">
        <v>2026</v>
      </c>
      <c r="Q37" s="32">
        <v>1</v>
      </c>
      <c r="R37" s="32">
        <v>2026</v>
      </c>
      <c r="S37" s="32">
        <v>1</v>
      </c>
      <c r="T37" s="32">
        <v>2026</v>
      </c>
      <c r="U37" s="32">
        <v>1</v>
      </c>
      <c r="V37" s="32">
        <v>4</v>
      </c>
    </row>
    <row r="38" spans="1:22" hidden="1">
      <c r="A38" s="30" t="s">
        <v>227</v>
      </c>
      <c r="B38" s="30" t="s">
        <v>65</v>
      </c>
      <c r="C38" s="30" t="s">
        <v>228</v>
      </c>
      <c r="D38" s="30" t="s">
        <v>229</v>
      </c>
      <c r="E38" s="30" t="s">
        <v>178</v>
      </c>
      <c r="F38" s="30" t="s">
        <v>156</v>
      </c>
      <c r="G38" s="30"/>
      <c r="H38" s="30" t="s">
        <v>61</v>
      </c>
      <c r="I38" s="30" t="s">
        <v>230</v>
      </c>
      <c r="J38" s="30" t="s">
        <v>231</v>
      </c>
      <c r="K38" s="30">
        <v>500</v>
      </c>
      <c r="L38" s="30"/>
      <c r="M38" s="30"/>
      <c r="N38" s="30"/>
      <c r="O38" s="34" t="s">
        <v>63</v>
      </c>
      <c r="P38" s="32">
        <v>2026</v>
      </c>
      <c r="Q38" s="32">
        <v>1</v>
      </c>
      <c r="R38" s="32">
        <v>2026</v>
      </c>
      <c r="S38" s="32">
        <v>1</v>
      </c>
      <c r="T38" s="32">
        <v>2026</v>
      </c>
      <c r="U38" s="32">
        <v>1</v>
      </c>
      <c r="V38" s="32">
        <v>8</v>
      </c>
    </row>
    <row r="39" spans="1:22" hidden="1">
      <c r="A39" s="33" t="s">
        <v>232</v>
      </c>
      <c r="B39" s="33" t="s">
        <v>56</v>
      </c>
      <c r="C39" s="33" t="s">
        <v>233</v>
      </c>
      <c r="D39" s="33" t="s">
        <v>234</v>
      </c>
      <c r="E39" s="33"/>
      <c r="F39" s="33"/>
      <c r="G39" s="33"/>
      <c r="H39" s="33" t="s">
        <v>61</v>
      </c>
      <c r="I39" s="33" t="s">
        <v>235</v>
      </c>
      <c r="J39" s="33" t="s">
        <v>236</v>
      </c>
      <c r="K39" s="33"/>
      <c r="L39" s="33">
        <v>137</v>
      </c>
      <c r="M39" s="33"/>
      <c r="N39" s="33"/>
      <c r="O39" s="34" t="s">
        <v>63</v>
      </c>
      <c r="P39" s="32">
        <v>2026</v>
      </c>
      <c r="Q39" s="32">
        <v>1</v>
      </c>
      <c r="R39" s="32">
        <v>2026</v>
      </c>
      <c r="S39" s="32">
        <v>1</v>
      </c>
      <c r="T39" s="32">
        <v>2026</v>
      </c>
      <c r="U39" s="32">
        <v>1</v>
      </c>
      <c r="V39" s="32">
        <v>2</v>
      </c>
    </row>
    <row r="40" spans="1:22" hidden="1">
      <c r="A40" s="30" t="s">
        <v>237</v>
      </c>
      <c r="B40" s="30" t="s">
        <v>65</v>
      </c>
      <c r="C40" s="30" t="s">
        <v>238</v>
      </c>
      <c r="D40" s="30" t="s">
        <v>239</v>
      </c>
      <c r="E40" s="30" t="s">
        <v>178</v>
      </c>
      <c r="F40" s="30" t="s">
        <v>156</v>
      </c>
      <c r="G40" s="30"/>
      <c r="H40" s="30" t="s">
        <v>61</v>
      </c>
      <c r="I40" s="30" t="s">
        <v>240</v>
      </c>
      <c r="J40" s="30" t="s">
        <v>236</v>
      </c>
      <c r="K40" s="30"/>
      <c r="L40" s="30"/>
      <c r="M40" s="30"/>
      <c r="N40" s="30"/>
      <c r="O40" s="34" t="s">
        <v>63</v>
      </c>
      <c r="P40" s="32">
        <v>2026</v>
      </c>
      <c r="Q40" s="32">
        <v>1</v>
      </c>
      <c r="R40" s="32">
        <v>2026</v>
      </c>
      <c r="S40" s="32">
        <v>1</v>
      </c>
      <c r="T40" s="32">
        <v>2026</v>
      </c>
      <c r="U40" s="32">
        <v>1</v>
      </c>
      <c r="V40" s="32">
        <v>4</v>
      </c>
    </row>
    <row r="41" spans="1:22" hidden="1">
      <c r="A41" s="33" t="s">
        <v>241</v>
      </c>
      <c r="B41" s="33" t="s">
        <v>181</v>
      </c>
      <c r="C41" s="33" t="s">
        <v>242</v>
      </c>
      <c r="D41" s="33" t="s">
        <v>243</v>
      </c>
      <c r="E41" s="33"/>
      <c r="F41" s="33"/>
      <c r="G41" s="33"/>
      <c r="H41" s="33" t="s">
        <v>61</v>
      </c>
      <c r="I41" s="33" t="s">
        <v>244</v>
      </c>
      <c r="J41" s="33" t="s">
        <v>236</v>
      </c>
      <c r="K41" s="33">
        <v>2000</v>
      </c>
      <c r="L41" s="33"/>
      <c r="M41" s="33"/>
      <c r="N41" s="33"/>
      <c r="O41" s="34" t="s">
        <v>63</v>
      </c>
      <c r="P41" s="32">
        <v>2026</v>
      </c>
      <c r="Q41" s="32">
        <v>1</v>
      </c>
      <c r="R41" s="32">
        <v>2026</v>
      </c>
      <c r="S41" s="32">
        <v>1</v>
      </c>
      <c r="T41" s="32">
        <v>2026</v>
      </c>
      <c r="U41" s="32">
        <v>1</v>
      </c>
      <c r="V41" s="32">
        <v>4</v>
      </c>
    </row>
    <row r="42" spans="1:22" hidden="1">
      <c r="A42" s="30" t="s">
        <v>245</v>
      </c>
      <c r="B42" s="30" t="s">
        <v>56</v>
      </c>
      <c r="C42" s="30" t="s">
        <v>246</v>
      </c>
      <c r="D42" s="30" t="s">
        <v>247</v>
      </c>
      <c r="E42" s="30"/>
      <c r="F42" s="30"/>
      <c r="G42" s="30"/>
      <c r="H42" s="30" t="s">
        <v>61</v>
      </c>
      <c r="I42" s="30" t="s">
        <v>248</v>
      </c>
      <c r="J42" s="30" t="s">
        <v>249</v>
      </c>
      <c r="K42" s="30"/>
      <c r="L42" s="30">
        <v>620</v>
      </c>
      <c r="M42" s="30"/>
      <c r="N42" s="30"/>
      <c r="O42" s="34" t="s">
        <v>63</v>
      </c>
      <c r="P42" s="32">
        <v>2026</v>
      </c>
      <c r="Q42" s="32">
        <v>1</v>
      </c>
      <c r="R42" s="32">
        <v>2026</v>
      </c>
      <c r="S42" s="32">
        <v>1</v>
      </c>
      <c r="T42" s="32">
        <v>2026</v>
      </c>
      <c r="U42" s="32">
        <v>1</v>
      </c>
      <c r="V42" s="32">
        <v>5</v>
      </c>
    </row>
    <row r="43" spans="1:22" hidden="1">
      <c r="A43" s="33" t="s">
        <v>250</v>
      </c>
      <c r="B43" s="33" t="s">
        <v>56</v>
      </c>
      <c r="C43" s="33" t="s">
        <v>251</v>
      </c>
      <c r="D43" s="33" t="s">
        <v>252</v>
      </c>
      <c r="E43" s="33"/>
      <c r="F43" s="33"/>
      <c r="G43" s="33"/>
      <c r="H43" s="33" t="s">
        <v>61</v>
      </c>
      <c r="I43" s="33" t="s">
        <v>253</v>
      </c>
      <c r="J43" s="33" t="s">
        <v>249</v>
      </c>
      <c r="K43" s="33"/>
      <c r="L43" s="33"/>
      <c r="M43" s="33"/>
      <c r="N43" s="33"/>
      <c r="O43" s="34" t="s">
        <v>63</v>
      </c>
      <c r="P43" s="32">
        <v>2026</v>
      </c>
      <c r="Q43" s="32">
        <v>1</v>
      </c>
      <c r="R43" s="32">
        <v>2026</v>
      </c>
      <c r="S43" s="32">
        <v>1</v>
      </c>
      <c r="T43" s="32">
        <v>2026</v>
      </c>
      <c r="U43" s="32">
        <v>1</v>
      </c>
      <c r="V43" s="32">
        <v>7</v>
      </c>
    </row>
    <row r="44" spans="1:22" hidden="1">
      <c r="A44" s="30" t="s">
        <v>254</v>
      </c>
      <c r="B44" s="30" t="s">
        <v>56</v>
      </c>
      <c r="C44" s="30" t="s">
        <v>255</v>
      </c>
      <c r="D44" s="30" t="s">
        <v>256</v>
      </c>
      <c r="E44" s="30" t="s">
        <v>92</v>
      </c>
      <c r="F44" s="30" t="s">
        <v>53</v>
      </c>
      <c r="G44" s="30"/>
      <c r="H44" s="30" t="s">
        <v>61</v>
      </c>
      <c r="I44" s="30" t="s">
        <v>257</v>
      </c>
      <c r="J44" s="30" t="s">
        <v>258</v>
      </c>
      <c r="K44" s="30"/>
      <c r="L44" s="30">
        <v>550</v>
      </c>
      <c r="M44" s="30">
        <v>1591</v>
      </c>
      <c r="N44" s="30"/>
      <c r="O44" s="34" t="s">
        <v>63</v>
      </c>
      <c r="P44" s="32">
        <v>2026</v>
      </c>
      <c r="Q44" s="32">
        <v>1</v>
      </c>
      <c r="R44" s="32">
        <v>2026</v>
      </c>
      <c r="S44" s="32">
        <v>1</v>
      </c>
      <c r="T44" s="32">
        <v>2026</v>
      </c>
      <c r="U44" s="32">
        <v>1</v>
      </c>
      <c r="V44" s="32">
        <v>4</v>
      </c>
    </row>
    <row r="45" spans="1:22" hidden="1">
      <c r="A45" s="33" t="s">
        <v>259</v>
      </c>
      <c r="B45" s="33" t="s">
        <v>49</v>
      </c>
      <c r="C45" s="33" t="s">
        <v>260</v>
      </c>
      <c r="D45" s="33" t="s">
        <v>261</v>
      </c>
      <c r="E45" s="33" t="s">
        <v>123</v>
      </c>
      <c r="F45" s="33" t="s">
        <v>78</v>
      </c>
      <c r="G45" s="33"/>
      <c r="H45" s="33" t="s">
        <v>61</v>
      </c>
      <c r="I45" s="33" t="s">
        <v>253</v>
      </c>
      <c r="J45" s="33" t="s">
        <v>262</v>
      </c>
      <c r="K45" s="33"/>
      <c r="L45" s="33"/>
      <c r="M45" s="33"/>
      <c r="N45" s="33"/>
      <c r="O45" s="34" t="s">
        <v>63</v>
      </c>
      <c r="P45" s="32">
        <v>2025</v>
      </c>
      <c r="Q45" s="32">
        <v>12</v>
      </c>
      <c r="R45" s="32">
        <v>2026</v>
      </c>
      <c r="S45" s="32">
        <v>1</v>
      </c>
      <c r="T45" s="32">
        <v>2026</v>
      </c>
      <c r="U45" s="32">
        <v>1</v>
      </c>
      <c r="V45" s="32">
        <v>9</v>
      </c>
    </row>
    <row r="46" spans="1:22" hidden="1">
      <c r="A46" s="30" t="s">
        <v>263</v>
      </c>
      <c r="B46" s="30" t="s">
        <v>56</v>
      </c>
      <c r="C46" s="30" t="s">
        <v>264</v>
      </c>
      <c r="D46" s="30" t="s">
        <v>265</v>
      </c>
      <c r="E46" s="30" t="s">
        <v>123</v>
      </c>
      <c r="F46" s="30" t="s">
        <v>116</v>
      </c>
      <c r="G46" s="30"/>
      <c r="H46" s="30" t="s">
        <v>61</v>
      </c>
      <c r="I46" s="30" t="s">
        <v>266</v>
      </c>
      <c r="J46" s="30" t="s">
        <v>249</v>
      </c>
      <c r="K46" s="30"/>
      <c r="L46" s="30">
        <v>294</v>
      </c>
      <c r="M46" s="30"/>
      <c r="N46" s="30"/>
      <c r="O46" s="34" t="s">
        <v>63</v>
      </c>
      <c r="P46" s="32">
        <v>2025</v>
      </c>
      <c r="Q46" s="32">
        <v>12</v>
      </c>
      <c r="R46" s="32">
        <v>2026</v>
      </c>
      <c r="S46" s="32">
        <v>1</v>
      </c>
      <c r="T46" s="32">
        <v>2026</v>
      </c>
      <c r="U46" s="32">
        <v>1</v>
      </c>
      <c r="V46" s="32">
        <v>9</v>
      </c>
    </row>
    <row r="47" spans="1:22" hidden="1">
      <c r="A47" s="33" t="s">
        <v>267</v>
      </c>
      <c r="B47" s="33" t="s">
        <v>56</v>
      </c>
      <c r="C47" s="33" t="s">
        <v>268</v>
      </c>
      <c r="D47" s="33" t="s">
        <v>269</v>
      </c>
      <c r="E47" s="33" t="s">
        <v>92</v>
      </c>
      <c r="F47" s="33" t="s">
        <v>53</v>
      </c>
      <c r="G47" s="33"/>
      <c r="H47" s="33" t="s">
        <v>61</v>
      </c>
      <c r="I47" s="33" t="s">
        <v>270</v>
      </c>
      <c r="J47" s="33" t="s">
        <v>262</v>
      </c>
      <c r="K47" s="33"/>
      <c r="L47" s="33"/>
      <c r="M47" s="33">
        <v>1433</v>
      </c>
      <c r="N47" s="33"/>
      <c r="O47" s="34" t="s">
        <v>63</v>
      </c>
      <c r="P47" s="32">
        <v>2025</v>
      </c>
      <c r="Q47" s="32">
        <v>12</v>
      </c>
      <c r="R47" s="32">
        <v>2026</v>
      </c>
      <c r="S47" s="32">
        <v>1</v>
      </c>
      <c r="T47" s="32">
        <v>2026</v>
      </c>
      <c r="U47" s="32">
        <v>1</v>
      </c>
      <c r="V47" s="32">
        <v>13</v>
      </c>
    </row>
    <row r="48" spans="1:22" hidden="1">
      <c r="A48" s="30" t="s">
        <v>271</v>
      </c>
      <c r="B48" s="30" t="s">
        <v>49</v>
      </c>
      <c r="C48" s="30" t="s">
        <v>272</v>
      </c>
      <c r="D48" s="30" t="s">
        <v>273</v>
      </c>
      <c r="E48" s="30" t="s">
        <v>123</v>
      </c>
      <c r="F48" s="30" t="s">
        <v>53</v>
      </c>
      <c r="G48" s="30"/>
      <c r="H48" s="30" t="s">
        <v>61</v>
      </c>
      <c r="I48" s="30" t="s">
        <v>274</v>
      </c>
      <c r="J48" s="30" t="s">
        <v>275</v>
      </c>
      <c r="K48" s="30"/>
      <c r="L48" s="30"/>
      <c r="M48" s="30"/>
      <c r="N48" s="30"/>
      <c r="O48" s="34" t="s">
        <v>63</v>
      </c>
      <c r="P48" s="32">
        <v>2025</v>
      </c>
      <c r="Q48" s="32">
        <v>12</v>
      </c>
      <c r="R48" s="32">
        <v>2026</v>
      </c>
      <c r="S48" s="32">
        <v>1</v>
      </c>
      <c r="T48" s="32">
        <v>2026</v>
      </c>
      <c r="U48" s="32">
        <v>1</v>
      </c>
      <c r="V48" s="32">
        <v>16</v>
      </c>
    </row>
    <row r="49" spans="1:22" hidden="1">
      <c r="A49" s="33" t="s">
        <v>276</v>
      </c>
      <c r="B49" s="33" t="s">
        <v>65</v>
      </c>
      <c r="C49" s="33" t="s">
        <v>277</v>
      </c>
      <c r="D49" s="33" t="s">
        <v>278</v>
      </c>
      <c r="E49" s="33" t="s">
        <v>123</v>
      </c>
      <c r="F49" s="33" t="s">
        <v>53</v>
      </c>
      <c r="G49" s="33"/>
      <c r="H49" s="33" t="s">
        <v>61</v>
      </c>
      <c r="I49" s="33" t="s">
        <v>279</v>
      </c>
      <c r="J49" s="33" t="s">
        <v>280</v>
      </c>
      <c r="K49" s="33"/>
      <c r="L49" s="33">
        <v>1153</v>
      </c>
      <c r="M49" s="33"/>
      <c r="N49" s="33"/>
      <c r="O49" s="34" t="s">
        <v>63</v>
      </c>
      <c r="P49" s="32">
        <v>2025</v>
      </c>
      <c r="Q49" s="32">
        <v>12</v>
      </c>
      <c r="R49" s="32">
        <v>2026</v>
      </c>
      <c r="S49" s="32">
        <v>1</v>
      </c>
      <c r="T49" s="32">
        <v>2026</v>
      </c>
      <c r="U49" s="32">
        <v>1</v>
      </c>
      <c r="V49" s="32">
        <v>30</v>
      </c>
    </row>
    <row r="50" spans="1:22" hidden="1">
      <c r="A50" s="30" t="s">
        <v>281</v>
      </c>
      <c r="B50" s="30" t="s">
        <v>56</v>
      </c>
      <c r="C50" s="30" t="s">
        <v>282</v>
      </c>
      <c r="D50" s="30" t="s">
        <v>283</v>
      </c>
      <c r="E50" s="30" t="s">
        <v>123</v>
      </c>
      <c r="F50" s="30" t="s">
        <v>53</v>
      </c>
      <c r="G50" s="30"/>
      <c r="H50" s="30" t="s">
        <v>61</v>
      </c>
      <c r="I50" s="30" t="s">
        <v>284</v>
      </c>
      <c r="J50" s="30" t="s">
        <v>284</v>
      </c>
      <c r="K50" s="30"/>
      <c r="L50" s="30"/>
      <c r="M50" s="30">
        <v>0</v>
      </c>
      <c r="N50" s="30">
        <v>1</v>
      </c>
      <c r="O50" s="34" t="s">
        <v>63</v>
      </c>
      <c r="P50" s="32">
        <v>2026</v>
      </c>
      <c r="Q50" s="32">
        <v>4</v>
      </c>
      <c r="R50" s="32">
        <v>2026</v>
      </c>
      <c r="S50" s="32">
        <v>4</v>
      </c>
      <c r="T50" s="32">
        <v>2026</v>
      </c>
      <c r="U50" s="32">
        <v>4</v>
      </c>
      <c r="V50" s="32">
        <v>3</v>
      </c>
    </row>
    <row r="51" spans="1:22" hidden="1">
      <c r="A51" s="33" t="s">
        <v>285</v>
      </c>
      <c r="B51" s="33" t="s">
        <v>56</v>
      </c>
      <c r="C51" s="33" t="s">
        <v>286</v>
      </c>
      <c r="D51" s="33" t="s">
        <v>287</v>
      </c>
      <c r="E51" s="33" t="s">
        <v>123</v>
      </c>
      <c r="F51" s="33" t="s">
        <v>53</v>
      </c>
      <c r="G51" s="33"/>
      <c r="H51" s="33" t="s">
        <v>61</v>
      </c>
      <c r="I51" s="33" t="s">
        <v>288</v>
      </c>
      <c r="J51" s="33" t="s">
        <v>289</v>
      </c>
      <c r="K51" s="33"/>
      <c r="L51" s="33"/>
      <c r="M51" s="33"/>
      <c r="N51" s="33"/>
      <c r="O51" s="34" t="s">
        <v>63</v>
      </c>
      <c r="P51" s="32">
        <v>2026</v>
      </c>
      <c r="Q51" s="32">
        <v>4</v>
      </c>
      <c r="R51" s="32">
        <v>2026</v>
      </c>
      <c r="S51" s="32">
        <v>4</v>
      </c>
      <c r="T51" s="32">
        <v>2026</v>
      </c>
      <c r="U51" s="32">
        <v>4</v>
      </c>
      <c r="V51" s="32">
        <v>4</v>
      </c>
    </row>
    <row r="52" spans="1:22" hidden="1">
      <c r="A52" s="30" t="s">
        <v>290</v>
      </c>
      <c r="B52" s="30" t="s">
        <v>56</v>
      </c>
      <c r="C52" s="30" t="s">
        <v>286</v>
      </c>
      <c r="D52" s="30" t="s">
        <v>291</v>
      </c>
      <c r="E52" s="30" t="s">
        <v>92</v>
      </c>
      <c r="F52" s="30" t="s">
        <v>53</v>
      </c>
      <c r="G52" s="30"/>
      <c r="H52" s="30" t="s">
        <v>61</v>
      </c>
      <c r="I52" s="30" t="s">
        <v>288</v>
      </c>
      <c r="J52" s="30" t="s">
        <v>292</v>
      </c>
      <c r="K52" s="30"/>
      <c r="L52" s="30"/>
      <c r="M52" s="30"/>
      <c r="N52" s="30"/>
      <c r="O52" s="34" t="s">
        <v>63</v>
      </c>
      <c r="P52" s="32">
        <v>2026</v>
      </c>
      <c r="Q52" s="32">
        <v>4</v>
      </c>
      <c r="R52" s="32">
        <v>2026</v>
      </c>
      <c r="S52" s="32">
        <v>4</v>
      </c>
      <c r="T52" s="32">
        <v>2026</v>
      </c>
      <c r="U52" s="32">
        <v>4</v>
      </c>
      <c r="V52" s="32">
        <v>4</v>
      </c>
    </row>
    <row r="53" spans="1:22" hidden="1">
      <c r="A53" s="33" t="s">
        <v>293</v>
      </c>
      <c r="B53" s="33" t="s">
        <v>56</v>
      </c>
      <c r="C53" s="33" t="s">
        <v>286</v>
      </c>
      <c r="D53" s="33" t="s">
        <v>294</v>
      </c>
      <c r="E53" s="33" t="s">
        <v>92</v>
      </c>
      <c r="F53" s="33" t="s">
        <v>53</v>
      </c>
      <c r="G53" s="33"/>
      <c r="H53" s="33" t="s">
        <v>61</v>
      </c>
      <c r="I53" s="33" t="s">
        <v>100</v>
      </c>
      <c r="J53" s="33" t="s">
        <v>100</v>
      </c>
      <c r="K53" s="33"/>
      <c r="L53" s="33"/>
      <c r="M53" s="33"/>
      <c r="N53" s="33">
        <v>1</v>
      </c>
      <c r="O53" s="34" t="s">
        <v>63</v>
      </c>
      <c r="P53" s="32">
        <v>2026</v>
      </c>
      <c r="Q53" s="32">
        <v>4</v>
      </c>
      <c r="R53" s="32">
        <v>2026</v>
      </c>
      <c r="S53" s="32">
        <v>4</v>
      </c>
      <c r="T53" s="32">
        <v>2026</v>
      </c>
      <c r="U53" s="32">
        <v>4</v>
      </c>
      <c r="V53" s="32">
        <v>4</v>
      </c>
    </row>
    <row r="54" spans="1:22">
      <c r="A54" s="30" t="s">
        <v>295</v>
      </c>
      <c r="B54" s="30" t="s">
        <v>49</v>
      </c>
      <c r="C54" s="30" t="s">
        <v>296</v>
      </c>
      <c r="D54" s="30" t="s">
        <v>297</v>
      </c>
      <c r="E54" s="30" t="s">
        <v>178</v>
      </c>
      <c r="F54" s="30" t="s">
        <v>156</v>
      </c>
      <c r="G54" s="30" t="s">
        <v>98</v>
      </c>
      <c r="H54" s="30"/>
      <c r="I54" s="30"/>
      <c r="J54" s="30"/>
      <c r="K54" s="30"/>
      <c r="L54" s="30"/>
      <c r="M54" s="30"/>
      <c r="N54" s="30"/>
      <c r="O54" s="31" t="s">
        <v>54</v>
      </c>
      <c r="P54" s="32">
        <v>2026</v>
      </c>
      <c r="Q54" s="32">
        <v>4</v>
      </c>
      <c r="R54" s="32"/>
      <c r="S54" s="32"/>
      <c r="T54" s="32">
        <v>2026</v>
      </c>
      <c r="U54" s="32">
        <v>4</v>
      </c>
      <c r="V54" s="32"/>
    </row>
    <row r="55" spans="1:22">
      <c r="A55" s="33" t="s">
        <v>298</v>
      </c>
      <c r="B55" s="33" t="s">
        <v>49</v>
      </c>
      <c r="C55" s="33" t="s">
        <v>296</v>
      </c>
      <c r="D55" s="33" t="s">
        <v>299</v>
      </c>
      <c r="E55" s="33" t="s">
        <v>110</v>
      </c>
      <c r="F55" s="33"/>
      <c r="G55" s="33"/>
      <c r="H55" s="33"/>
      <c r="I55" s="33"/>
      <c r="J55" s="33"/>
      <c r="K55" s="33"/>
      <c r="L55" s="33"/>
      <c r="M55" s="33"/>
      <c r="N55" s="33"/>
      <c r="O55" s="31" t="s">
        <v>54</v>
      </c>
      <c r="P55" s="32">
        <v>2026</v>
      </c>
      <c r="Q55" s="32">
        <v>4</v>
      </c>
      <c r="R55" s="32"/>
      <c r="S55" s="32"/>
      <c r="T55" s="32">
        <v>2026</v>
      </c>
      <c r="U55" s="32">
        <v>4</v>
      </c>
      <c r="V55" s="32"/>
    </row>
    <row r="56" spans="1:22" hidden="1">
      <c r="A56" s="30" t="s">
        <v>300</v>
      </c>
      <c r="B56" s="30" t="s">
        <v>49</v>
      </c>
      <c r="C56" s="30" t="s">
        <v>296</v>
      </c>
      <c r="D56" s="30" t="s">
        <v>301</v>
      </c>
      <c r="E56" s="30" t="s">
        <v>59</v>
      </c>
      <c r="F56" s="30" t="s">
        <v>116</v>
      </c>
      <c r="G56" s="30" t="s">
        <v>98</v>
      </c>
      <c r="H56" s="30" t="s">
        <v>61</v>
      </c>
      <c r="I56" s="30" t="s">
        <v>302</v>
      </c>
      <c r="J56" s="30" t="s">
        <v>302</v>
      </c>
      <c r="K56" s="30"/>
      <c r="L56" s="30">
        <v>38</v>
      </c>
      <c r="M56" s="30">
        <v>0</v>
      </c>
      <c r="N56" s="30"/>
      <c r="O56" s="34" t="s">
        <v>63</v>
      </c>
      <c r="P56" s="32">
        <v>2026</v>
      </c>
      <c r="Q56" s="32">
        <v>4</v>
      </c>
      <c r="R56" s="32">
        <v>2026</v>
      </c>
      <c r="S56" s="32">
        <v>4</v>
      </c>
      <c r="T56" s="32">
        <v>2026</v>
      </c>
      <c r="U56" s="32">
        <v>4</v>
      </c>
      <c r="V56" s="32">
        <v>5</v>
      </c>
    </row>
    <row r="57" spans="1:22" hidden="1">
      <c r="A57" s="33" t="s">
        <v>303</v>
      </c>
      <c r="B57" s="33" t="s">
        <v>49</v>
      </c>
      <c r="C57" s="33" t="s">
        <v>304</v>
      </c>
      <c r="D57" s="33" t="s">
        <v>305</v>
      </c>
      <c r="E57" s="33" t="s">
        <v>123</v>
      </c>
      <c r="F57" s="33" t="s">
        <v>53</v>
      </c>
      <c r="G57" s="33" t="s">
        <v>98</v>
      </c>
      <c r="H57" s="33" t="s">
        <v>61</v>
      </c>
      <c r="I57" s="33" t="s">
        <v>306</v>
      </c>
      <c r="J57" s="33" t="s">
        <v>306</v>
      </c>
      <c r="K57" s="33"/>
      <c r="L57" s="33"/>
      <c r="M57" s="33">
        <v>0</v>
      </c>
      <c r="N57" s="33">
        <v>1</v>
      </c>
      <c r="O57" s="34" t="s">
        <v>63</v>
      </c>
      <c r="P57" s="32">
        <v>2026</v>
      </c>
      <c r="Q57" s="32">
        <v>4</v>
      </c>
      <c r="R57" s="32">
        <v>2026</v>
      </c>
      <c r="S57" s="32">
        <v>4</v>
      </c>
      <c r="T57" s="32">
        <v>2026</v>
      </c>
      <c r="U57" s="32">
        <v>4</v>
      </c>
      <c r="V57" s="32">
        <v>6</v>
      </c>
    </row>
    <row r="58" spans="1:22" hidden="1">
      <c r="A58" s="30" t="s">
        <v>307</v>
      </c>
      <c r="B58" s="30" t="s">
        <v>56</v>
      </c>
      <c r="C58" s="30" t="s">
        <v>304</v>
      </c>
      <c r="D58" s="30" t="s">
        <v>308</v>
      </c>
      <c r="E58" s="30" t="s">
        <v>123</v>
      </c>
      <c r="F58" s="30" t="s">
        <v>116</v>
      </c>
      <c r="G58" s="30"/>
      <c r="H58" s="30" t="s">
        <v>61</v>
      </c>
      <c r="I58" s="30" t="s">
        <v>309</v>
      </c>
      <c r="J58" s="30" t="s">
        <v>309</v>
      </c>
      <c r="K58" s="30"/>
      <c r="L58" s="30"/>
      <c r="M58" s="30"/>
      <c r="N58" s="30"/>
      <c r="O58" s="34" t="s">
        <v>63</v>
      </c>
      <c r="P58" s="32">
        <v>2026</v>
      </c>
      <c r="Q58" s="32">
        <v>4</v>
      </c>
      <c r="R58" s="32">
        <v>2026</v>
      </c>
      <c r="S58" s="32">
        <v>4</v>
      </c>
      <c r="T58" s="32">
        <v>2026</v>
      </c>
      <c r="U58" s="32">
        <v>4</v>
      </c>
      <c r="V58" s="32">
        <v>5</v>
      </c>
    </row>
    <row r="59" spans="1:22" hidden="1">
      <c r="A59" s="33" t="s">
        <v>310</v>
      </c>
      <c r="B59" s="33" t="s">
        <v>56</v>
      </c>
      <c r="C59" s="33" t="s">
        <v>311</v>
      </c>
      <c r="D59" s="33" t="s">
        <v>312</v>
      </c>
      <c r="E59" s="33" t="s">
        <v>123</v>
      </c>
      <c r="F59" s="33" t="s">
        <v>53</v>
      </c>
      <c r="G59" s="33"/>
      <c r="H59" s="33" t="s">
        <v>61</v>
      </c>
      <c r="I59" s="33" t="s">
        <v>313</v>
      </c>
      <c r="J59" s="33" t="s">
        <v>313</v>
      </c>
      <c r="K59" s="33"/>
      <c r="L59" s="33">
        <v>142</v>
      </c>
      <c r="M59" s="33">
        <v>0</v>
      </c>
      <c r="N59" s="33">
        <v>1</v>
      </c>
      <c r="O59" s="34" t="s">
        <v>63</v>
      </c>
      <c r="P59" s="32">
        <v>2026</v>
      </c>
      <c r="Q59" s="32">
        <v>4</v>
      </c>
      <c r="R59" s="32">
        <v>2026</v>
      </c>
      <c r="S59" s="32">
        <v>4</v>
      </c>
      <c r="T59" s="32">
        <v>2026</v>
      </c>
      <c r="U59" s="32">
        <v>4</v>
      </c>
      <c r="V59" s="32">
        <v>7</v>
      </c>
    </row>
    <row r="60" spans="1:22">
      <c r="A60" s="30" t="s">
        <v>314</v>
      </c>
      <c r="B60" s="30" t="s">
        <v>56</v>
      </c>
      <c r="C60" s="30" t="s">
        <v>315</v>
      </c>
      <c r="D60" s="30" t="s">
        <v>316</v>
      </c>
      <c r="E60" s="30" t="s">
        <v>123</v>
      </c>
      <c r="F60" s="30" t="s">
        <v>53</v>
      </c>
      <c r="G60" s="30"/>
      <c r="H60" s="30"/>
      <c r="I60" s="30"/>
      <c r="J60" s="30"/>
      <c r="K60" s="30"/>
      <c r="L60" s="30"/>
      <c r="M60" s="30"/>
      <c r="N60" s="30"/>
      <c r="O60" s="31" t="s">
        <v>54</v>
      </c>
      <c r="P60" s="32">
        <v>2026</v>
      </c>
      <c r="Q60" s="32">
        <v>4</v>
      </c>
      <c r="R60" s="32"/>
      <c r="S60" s="32"/>
      <c r="T60" s="32">
        <v>2026</v>
      </c>
      <c r="U60" s="32">
        <v>4</v>
      </c>
      <c r="V60" s="32"/>
    </row>
    <row r="61" spans="1:22" hidden="1">
      <c r="A61" s="33" t="s">
        <v>317</v>
      </c>
      <c r="B61" s="33" t="s">
        <v>56</v>
      </c>
      <c r="C61" s="33" t="s">
        <v>315</v>
      </c>
      <c r="D61" s="33" t="s">
        <v>318</v>
      </c>
      <c r="E61" s="33" t="s">
        <v>59</v>
      </c>
      <c r="F61" s="33" t="s">
        <v>116</v>
      </c>
      <c r="G61" s="33"/>
      <c r="H61" s="33" t="s">
        <v>61</v>
      </c>
      <c r="I61" s="33" t="s">
        <v>319</v>
      </c>
      <c r="J61" s="33" t="s">
        <v>319</v>
      </c>
      <c r="K61" s="33"/>
      <c r="L61" s="33"/>
      <c r="M61" s="33"/>
      <c r="N61" s="33">
        <v>10</v>
      </c>
      <c r="O61" s="34" t="s">
        <v>63</v>
      </c>
      <c r="P61" s="32">
        <v>2026</v>
      </c>
      <c r="Q61" s="32">
        <v>4</v>
      </c>
      <c r="R61" s="32">
        <v>2026</v>
      </c>
      <c r="S61" s="32">
        <v>4</v>
      </c>
      <c r="T61" s="32">
        <v>2026</v>
      </c>
      <c r="U61" s="32">
        <v>4</v>
      </c>
      <c r="V61" s="32">
        <v>5</v>
      </c>
    </row>
    <row r="62" spans="1:22" hidden="1">
      <c r="A62" s="30" t="s">
        <v>320</v>
      </c>
      <c r="B62" s="30" t="s">
        <v>65</v>
      </c>
      <c r="C62" s="30" t="s">
        <v>321</v>
      </c>
      <c r="D62" s="30" t="s">
        <v>322</v>
      </c>
      <c r="E62" s="30" t="s">
        <v>59</v>
      </c>
      <c r="F62" s="30" t="s">
        <v>116</v>
      </c>
      <c r="G62" s="30"/>
      <c r="H62" s="30" t="s">
        <v>61</v>
      </c>
      <c r="I62" s="30" t="s">
        <v>323</v>
      </c>
      <c r="J62" s="30" t="s">
        <v>324</v>
      </c>
      <c r="K62" s="30"/>
      <c r="L62" s="30"/>
      <c r="M62" s="30"/>
      <c r="N62" s="30"/>
      <c r="O62" s="34" t="s">
        <v>63</v>
      </c>
      <c r="P62" s="32">
        <v>2026</v>
      </c>
      <c r="Q62" s="32">
        <v>4</v>
      </c>
      <c r="R62" s="32">
        <v>2026</v>
      </c>
      <c r="S62" s="32">
        <v>4</v>
      </c>
      <c r="T62" s="32">
        <v>2026</v>
      </c>
      <c r="U62" s="32">
        <v>4</v>
      </c>
      <c r="V62" s="32">
        <v>7</v>
      </c>
    </row>
    <row r="63" spans="1:22" hidden="1">
      <c r="A63" s="33" t="s">
        <v>325</v>
      </c>
      <c r="B63" s="33" t="s">
        <v>49</v>
      </c>
      <c r="C63" s="33" t="s">
        <v>321</v>
      </c>
      <c r="D63" s="33" t="s">
        <v>326</v>
      </c>
      <c r="E63" s="33" t="s">
        <v>67</v>
      </c>
      <c r="F63" s="33" t="s">
        <v>87</v>
      </c>
      <c r="G63" s="33"/>
      <c r="H63" s="33" t="s">
        <v>61</v>
      </c>
      <c r="I63" s="33" t="s">
        <v>327</v>
      </c>
      <c r="J63" s="33" t="s">
        <v>327</v>
      </c>
      <c r="K63" s="33"/>
      <c r="L63" s="33">
        <v>1600</v>
      </c>
      <c r="M63" s="33"/>
      <c r="N63" s="33">
        <v>1.5</v>
      </c>
      <c r="O63" s="34" t="s">
        <v>63</v>
      </c>
      <c r="P63" s="32">
        <v>2026</v>
      </c>
      <c r="Q63" s="32">
        <v>4</v>
      </c>
      <c r="R63" s="32">
        <v>2026</v>
      </c>
      <c r="S63" s="32">
        <v>4</v>
      </c>
      <c r="T63" s="32">
        <v>2026</v>
      </c>
      <c r="U63" s="32">
        <v>4</v>
      </c>
      <c r="V63" s="32">
        <v>12</v>
      </c>
    </row>
    <row r="64" spans="1:22" hidden="1">
      <c r="A64" s="30" t="s">
        <v>328</v>
      </c>
      <c r="B64" s="30" t="s">
        <v>65</v>
      </c>
      <c r="C64" s="30" t="s">
        <v>329</v>
      </c>
      <c r="D64" s="30" t="s">
        <v>330</v>
      </c>
      <c r="E64" s="30" t="s">
        <v>59</v>
      </c>
      <c r="F64" s="30" t="s">
        <v>116</v>
      </c>
      <c r="G64" s="30"/>
      <c r="H64" s="30" t="s">
        <v>61</v>
      </c>
      <c r="I64" s="30" t="s">
        <v>331</v>
      </c>
      <c r="J64" s="30" t="s">
        <v>332</v>
      </c>
      <c r="K64" s="30"/>
      <c r="L64" s="30"/>
      <c r="M64" s="30">
        <v>0</v>
      </c>
      <c r="N64" s="30"/>
      <c r="O64" s="34" t="s">
        <v>63</v>
      </c>
      <c r="P64" s="32">
        <v>2026</v>
      </c>
      <c r="Q64" s="32">
        <v>4</v>
      </c>
      <c r="R64" s="32">
        <v>2026</v>
      </c>
      <c r="S64" s="32">
        <v>4</v>
      </c>
      <c r="T64" s="32">
        <v>2026</v>
      </c>
      <c r="U64" s="32">
        <v>4</v>
      </c>
      <c r="V64" s="32">
        <v>8</v>
      </c>
    </row>
    <row r="65" spans="1:22" hidden="1">
      <c r="A65" s="33" t="s">
        <v>333</v>
      </c>
      <c r="B65" s="33" t="s">
        <v>65</v>
      </c>
      <c r="C65" s="33" t="s">
        <v>329</v>
      </c>
      <c r="D65" s="33" t="s">
        <v>334</v>
      </c>
      <c r="E65" s="33" t="s">
        <v>59</v>
      </c>
      <c r="F65" s="33" t="s">
        <v>116</v>
      </c>
      <c r="G65" s="33"/>
      <c r="H65" s="33" t="s">
        <v>61</v>
      </c>
      <c r="I65" s="33" t="s">
        <v>335</v>
      </c>
      <c r="J65" s="33" t="s">
        <v>335</v>
      </c>
      <c r="K65" s="33"/>
      <c r="L65" s="33"/>
      <c r="M65" s="33">
        <v>0</v>
      </c>
      <c r="N65" s="33"/>
      <c r="O65" s="34" t="s">
        <v>63</v>
      </c>
      <c r="P65" s="32">
        <v>2026</v>
      </c>
      <c r="Q65" s="32">
        <v>4</v>
      </c>
      <c r="R65" s="32">
        <v>2026</v>
      </c>
      <c r="S65" s="32">
        <v>4</v>
      </c>
      <c r="T65" s="32">
        <v>2026</v>
      </c>
      <c r="U65" s="32">
        <v>4</v>
      </c>
      <c r="V65" s="32">
        <v>8</v>
      </c>
    </row>
    <row r="66" spans="1:22" hidden="1">
      <c r="A66" s="30" t="s">
        <v>336</v>
      </c>
      <c r="B66" s="30" t="s">
        <v>49</v>
      </c>
      <c r="C66" s="30" t="s">
        <v>337</v>
      </c>
      <c r="D66" s="30" t="s">
        <v>338</v>
      </c>
      <c r="E66" s="30" t="s">
        <v>123</v>
      </c>
      <c r="F66" s="30"/>
      <c r="G66" s="30" t="s">
        <v>98</v>
      </c>
      <c r="H66" s="30" t="s">
        <v>61</v>
      </c>
      <c r="I66" s="30" t="s">
        <v>339</v>
      </c>
      <c r="J66" s="30" t="s">
        <v>339</v>
      </c>
      <c r="K66" s="30"/>
      <c r="L66" s="30"/>
      <c r="M66" s="30"/>
      <c r="N66" s="30"/>
      <c r="O66" s="34" t="s">
        <v>63</v>
      </c>
      <c r="P66" s="32">
        <v>2026</v>
      </c>
      <c r="Q66" s="32">
        <v>4</v>
      </c>
      <c r="R66" s="32">
        <v>2026</v>
      </c>
      <c r="S66" s="32">
        <v>4</v>
      </c>
      <c r="T66" s="32">
        <v>2026</v>
      </c>
      <c r="U66" s="32">
        <v>4</v>
      </c>
      <c r="V66" s="32">
        <v>9</v>
      </c>
    </row>
    <row r="67" spans="1:22" hidden="1">
      <c r="A67" s="33" t="s">
        <v>340</v>
      </c>
      <c r="B67" s="33" t="s">
        <v>49</v>
      </c>
      <c r="C67" s="33" t="s">
        <v>337</v>
      </c>
      <c r="D67" s="33" t="s">
        <v>341</v>
      </c>
      <c r="E67" s="33" t="s">
        <v>123</v>
      </c>
      <c r="F67" s="33" t="s">
        <v>53</v>
      </c>
      <c r="G67" s="33" t="s">
        <v>98</v>
      </c>
      <c r="H67" s="33" t="s">
        <v>61</v>
      </c>
      <c r="I67" s="33" t="s">
        <v>342</v>
      </c>
      <c r="J67" s="33" t="s">
        <v>342</v>
      </c>
      <c r="K67" s="33"/>
      <c r="L67" s="33"/>
      <c r="M67" s="33">
        <v>0</v>
      </c>
      <c r="N67" s="33"/>
      <c r="O67" s="34" t="s">
        <v>63</v>
      </c>
      <c r="P67" s="32">
        <v>2026</v>
      </c>
      <c r="Q67" s="32">
        <v>4</v>
      </c>
      <c r="R67" s="32">
        <v>2026</v>
      </c>
      <c r="S67" s="32">
        <v>4</v>
      </c>
      <c r="T67" s="32">
        <v>2026</v>
      </c>
      <c r="U67" s="32">
        <v>4</v>
      </c>
      <c r="V67" s="32">
        <v>10</v>
      </c>
    </row>
    <row r="68" spans="1:22">
      <c r="A68" s="30" t="s">
        <v>343</v>
      </c>
      <c r="B68" s="30" t="s">
        <v>65</v>
      </c>
      <c r="C68" s="30" t="s">
        <v>344</v>
      </c>
      <c r="D68" s="30" t="s">
        <v>345</v>
      </c>
      <c r="E68" s="30" t="s">
        <v>346</v>
      </c>
      <c r="F68" s="30" t="s">
        <v>53</v>
      </c>
      <c r="G68" s="30"/>
      <c r="H68" s="30"/>
      <c r="I68" s="30" t="s">
        <v>347</v>
      </c>
      <c r="J68" s="30"/>
      <c r="K68" s="30"/>
      <c r="L68" s="30"/>
      <c r="M68" s="30"/>
      <c r="N68" s="30"/>
      <c r="O68" s="31" t="s">
        <v>54</v>
      </c>
      <c r="P68" s="32">
        <v>2026</v>
      </c>
      <c r="Q68" s="32">
        <v>4</v>
      </c>
      <c r="R68" s="32"/>
      <c r="S68" s="32"/>
      <c r="T68" s="32">
        <v>2026</v>
      </c>
      <c r="U68" s="32">
        <v>4</v>
      </c>
      <c r="V68" s="32"/>
    </row>
    <row r="69" spans="1:22" hidden="1">
      <c r="A69" s="33" t="s">
        <v>348</v>
      </c>
      <c r="B69" s="33" t="s">
        <v>65</v>
      </c>
      <c r="C69" s="33" t="s">
        <v>344</v>
      </c>
      <c r="D69" s="33" t="s">
        <v>349</v>
      </c>
      <c r="E69" s="33" t="s">
        <v>123</v>
      </c>
      <c r="F69" s="33" t="s">
        <v>53</v>
      </c>
      <c r="G69" s="33"/>
      <c r="H69" s="33" t="s">
        <v>61</v>
      </c>
      <c r="I69" s="33" t="s">
        <v>339</v>
      </c>
      <c r="J69" s="33" t="s">
        <v>339</v>
      </c>
      <c r="K69" s="33"/>
      <c r="L69" s="33"/>
      <c r="M69" s="33"/>
      <c r="N69" s="33">
        <v>5</v>
      </c>
      <c r="O69" s="34" t="s">
        <v>63</v>
      </c>
      <c r="P69" s="32">
        <v>2026</v>
      </c>
      <c r="Q69" s="32">
        <v>4</v>
      </c>
      <c r="R69" s="32">
        <v>2026</v>
      </c>
      <c r="S69" s="32">
        <v>4</v>
      </c>
      <c r="T69" s="32">
        <v>2026</v>
      </c>
      <c r="U69" s="32">
        <v>4</v>
      </c>
      <c r="V69" s="32">
        <v>11</v>
      </c>
    </row>
    <row r="70" spans="1:22" hidden="1">
      <c r="A70" s="30" t="s">
        <v>350</v>
      </c>
      <c r="B70" s="30" t="s">
        <v>65</v>
      </c>
      <c r="C70" s="30" t="s">
        <v>344</v>
      </c>
      <c r="D70" s="30" t="s">
        <v>351</v>
      </c>
      <c r="E70" s="30" t="s">
        <v>352</v>
      </c>
      <c r="F70" s="30" t="s">
        <v>53</v>
      </c>
      <c r="G70" s="30"/>
      <c r="H70" s="30" t="s">
        <v>61</v>
      </c>
      <c r="I70" s="30" t="s">
        <v>353</v>
      </c>
      <c r="J70" s="30" t="s">
        <v>353</v>
      </c>
      <c r="K70" s="30"/>
      <c r="L70" s="30"/>
      <c r="M70" s="30"/>
      <c r="N70" s="30"/>
      <c r="O70" s="34" t="s">
        <v>63</v>
      </c>
      <c r="P70" s="32">
        <v>2026</v>
      </c>
      <c r="Q70" s="32">
        <v>4</v>
      </c>
      <c r="R70" s="32">
        <v>2026</v>
      </c>
      <c r="S70" s="32">
        <v>4</v>
      </c>
      <c r="T70" s="32">
        <v>2026</v>
      </c>
      <c r="U70" s="32">
        <v>4</v>
      </c>
      <c r="V70" s="32">
        <v>17</v>
      </c>
    </row>
    <row r="71" spans="1:22">
      <c r="A71" s="33" t="s">
        <v>354</v>
      </c>
      <c r="B71" s="33" t="s">
        <v>65</v>
      </c>
      <c r="C71" s="33" t="s">
        <v>344</v>
      </c>
      <c r="D71" s="33" t="s">
        <v>355</v>
      </c>
      <c r="E71" s="33" t="s">
        <v>356</v>
      </c>
      <c r="F71" s="33" t="s">
        <v>53</v>
      </c>
      <c r="G71" s="33"/>
      <c r="H71" s="33"/>
      <c r="I71" s="33" t="s">
        <v>357</v>
      </c>
      <c r="J71" s="33"/>
      <c r="K71" s="33"/>
      <c r="L71" s="33"/>
      <c r="M71" s="33"/>
      <c r="N71" s="33"/>
      <c r="O71" s="31" t="s">
        <v>54</v>
      </c>
      <c r="P71" s="32">
        <v>2026</v>
      </c>
      <c r="Q71" s="32">
        <v>4</v>
      </c>
      <c r="R71" s="32"/>
      <c r="S71" s="32"/>
      <c r="T71" s="32">
        <v>2026</v>
      </c>
      <c r="U71" s="32">
        <v>4</v>
      </c>
      <c r="V71" s="32"/>
    </row>
    <row r="72" spans="1:22" hidden="1">
      <c r="A72" s="30" t="s">
        <v>358</v>
      </c>
      <c r="B72" s="30" t="s">
        <v>65</v>
      </c>
      <c r="C72" s="30" t="s">
        <v>344</v>
      </c>
      <c r="D72" s="30" t="s">
        <v>359</v>
      </c>
      <c r="E72" s="30" t="s">
        <v>352</v>
      </c>
      <c r="F72" s="30" t="s">
        <v>53</v>
      </c>
      <c r="G72" s="30"/>
      <c r="H72" s="30" t="s">
        <v>61</v>
      </c>
      <c r="I72" s="30" t="s">
        <v>360</v>
      </c>
      <c r="J72" s="30" t="s">
        <v>360</v>
      </c>
      <c r="K72" s="30"/>
      <c r="L72" s="30"/>
      <c r="M72" s="30"/>
      <c r="N72" s="30"/>
      <c r="O72" s="34" t="s">
        <v>63</v>
      </c>
      <c r="P72" s="32">
        <v>2026</v>
      </c>
      <c r="Q72" s="32">
        <v>4</v>
      </c>
      <c r="R72" s="32">
        <v>2026</v>
      </c>
      <c r="S72" s="32">
        <v>4</v>
      </c>
      <c r="T72" s="32">
        <v>2026</v>
      </c>
      <c r="U72" s="32">
        <v>4</v>
      </c>
      <c r="V72" s="32">
        <v>17</v>
      </c>
    </row>
    <row r="73" spans="1:22">
      <c r="A73" s="33" t="s">
        <v>361</v>
      </c>
      <c r="B73" s="33" t="s">
        <v>65</v>
      </c>
      <c r="C73" s="33" t="s">
        <v>344</v>
      </c>
      <c r="D73" s="33" t="s">
        <v>362</v>
      </c>
      <c r="E73" s="33" t="s">
        <v>352</v>
      </c>
      <c r="F73" s="33" t="s">
        <v>53</v>
      </c>
      <c r="G73" s="33"/>
      <c r="H73" s="33"/>
      <c r="I73" s="33" t="s">
        <v>363</v>
      </c>
      <c r="J73" s="33"/>
      <c r="K73" s="33"/>
      <c r="L73" s="33"/>
      <c r="M73" s="33"/>
      <c r="N73" s="33"/>
      <c r="O73" s="31" t="s">
        <v>54</v>
      </c>
      <c r="P73" s="32">
        <v>2026</v>
      </c>
      <c r="Q73" s="32">
        <v>4</v>
      </c>
      <c r="R73" s="32"/>
      <c r="S73" s="32"/>
      <c r="T73" s="32">
        <v>2026</v>
      </c>
      <c r="U73" s="32">
        <v>4</v>
      </c>
      <c r="V73" s="32"/>
    </row>
    <row r="74" spans="1:22">
      <c r="A74" s="30" t="s">
        <v>364</v>
      </c>
      <c r="B74" s="30" t="s">
        <v>65</v>
      </c>
      <c r="C74" s="30" t="s">
        <v>344</v>
      </c>
      <c r="D74" s="30" t="s">
        <v>365</v>
      </c>
      <c r="E74" s="30" t="s">
        <v>352</v>
      </c>
      <c r="F74" s="30" t="s">
        <v>53</v>
      </c>
      <c r="G74" s="30"/>
      <c r="H74" s="30"/>
      <c r="I74" s="30" t="s">
        <v>366</v>
      </c>
      <c r="J74" s="30"/>
      <c r="K74" s="30"/>
      <c r="L74" s="30"/>
      <c r="M74" s="30"/>
      <c r="N74" s="30"/>
      <c r="O74" s="31" t="s">
        <v>54</v>
      </c>
      <c r="P74" s="32">
        <v>2026</v>
      </c>
      <c r="Q74" s="32">
        <v>4</v>
      </c>
      <c r="R74" s="32"/>
      <c r="S74" s="32"/>
      <c r="T74" s="32">
        <v>2026</v>
      </c>
      <c r="U74" s="32">
        <v>4</v>
      </c>
      <c r="V74" s="32"/>
    </row>
    <row r="75" spans="1:22" hidden="1">
      <c r="A75" s="33" t="s">
        <v>367</v>
      </c>
      <c r="B75" s="33" t="s">
        <v>49</v>
      </c>
      <c r="C75" s="33" t="s">
        <v>344</v>
      </c>
      <c r="D75" s="33" t="s">
        <v>368</v>
      </c>
      <c r="E75" s="33" t="s">
        <v>123</v>
      </c>
      <c r="F75" s="33" t="s">
        <v>53</v>
      </c>
      <c r="G75" s="33"/>
      <c r="H75" s="33" t="s">
        <v>61</v>
      </c>
      <c r="I75" s="33" t="s">
        <v>369</v>
      </c>
      <c r="J75" s="33" t="s">
        <v>369</v>
      </c>
      <c r="K75" s="33"/>
      <c r="L75" s="33">
        <v>137</v>
      </c>
      <c r="M75" s="33"/>
      <c r="N75" s="33"/>
      <c r="O75" s="34" t="s">
        <v>63</v>
      </c>
      <c r="P75" s="32">
        <v>2026</v>
      </c>
      <c r="Q75" s="32">
        <v>4</v>
      </c>
      <c r="R75" s="32">
        <v>2026</v>
      </c>
      <c r="S75" s="32">
        <v>4</v>
      </c>
      <c r="T75" s="32">
        <v>2026</v>
      </c>
      <c r="U75" s="32">
        <v>4</v>
      </c>
      <c r="V75" s="32">
        <v>3</v>
      </c>
    </row>
    <row r="76" spans="1:22" hidden="1">
      <c r="A76" s="30" t="s">
        <v>370</v>
      </c>
      <c r="B76" s="30" t="s">
        <v>56</v>
      </c>
      <c r="C76" s="30" t="s">
        <v>371</v>
      </c>
      <c r="D76" s="30" t="s">
        <v>372</v>
      </c>
      <c r="E76" s="30"/>
      <c r="F76" s="30" t="s">
        <v>60</v>
      </c>
      <c r="G76" s="30"/>
      <c r="H76" s="30" t="s">
        <v>61</v>
      </c>
      <c r="I76" s="30" t="s">
        <v>373</v>
      </c>
      <c r="J76" s="30" t="s">
        <v>373</v>
      </c>
      <c r="K76" s="30"/>
      <c r="L76" s="30">
        <v>499</v>
      </c>
      <c r="M76" s="30"/>
      <c r="N76" s="30">
        <v>1</v>
      </c>
      <c r="O76" s="34" t="s">
        <v>63</v>
      </c>
      <c r="P76" s="32">
        <v>2026</v>
      </c>
      <c r="Q76" s="32">
        <v>4</v>
      </c>
      <c r="R76" s="32">
        <v>2026</v>
      </c>
      <c r="S76" s="32">
        <v>4</v>
      </c>
      <c r="T76" s="32">
        <v>2026</v>
      </c>
      <c r="U76" s="32">
        <v>4</v>
      </c>
      <c r="V76" s="32">
        <v>20</v>
      </c>
    </row>
    <row r="77" spans="1:22" hidden="1">
      <c r="A77" s="33" t="s">
        <v>374</v>
      </c>
      <c r="B77" s="33" t="s">
        <v>56</v>
      </c>
      <c r="C77" s="33" t="s">
        <v>375</v>
      </c>
      <c r="D77" s="33" t="s">
        <v>376</v>
      </c>
      <c r="E77" s="33"/>
      <c r="F77" s="33"/>
      <c r="G77" s="33"/>
      <c r="H77" s="33" t="s">
        <v>61</v>
      </c>
      <c r="I77" s="33" t="s">
        <v>335</v>
      </c>
      <c r="J77" s="33" t="s">
        <v>335</v>
      </c>
      <c r="K77" s="33"/>
      <c r="L77" s="33"/>
      <c r="M77" s="33"/>
      <c r="N77" s="33"/>
      <c r="O77" s="34" t="s">
        <v>63</v>
      </c>
      <c r="P77" s="32">
        <v>2026</v>
      </c>
      <c r="Q77" s="32">
        <v>4</v>
      </c>
      <c r="R77" s="32">
        <v>2026</v>
      </c>
      <c r="S77" s="32">
        <v>4</v>
      </c>
      <c r="T77" s="32">
        <v>2026</v>
      </c>
      <c r="U77" s="32">
        <v>4</v>
      </c>
      <c r="V77" s="32">
        <v>15</v>
      </c>
    </row>
    <row r="78" spans="1:22" hidden="1">
      <c r="A78" s="30" t="s">
        <v>377</v>
      </c>
      <c r="B78" s="30" t="s">
        <v>56</v>
      </c>
      <c r="C78" s="30" t="s">
        <v>378</v>
      </c>
      <c r="D78" s="30" t="s">
        <v>379</v>
      </c>
      <c r="E78" s="30"/>
      <c r="F78" s="30"/>
      <c r="G78" s="30"/>
      <c r="H78" s="30" t="s">
        <v>61</v>
      </c>
      <c r="I78" s="30" t="s">
        <v>380</v>
      </c>
      <c r="J78" s="30" t="s">
        <v>381</v>
      </c>
      <c r="K78" s="30"/>
      <c r="L78" s="30">
        <v>137</v>
      </c>
      <c r="M78" s="30"/>
      <c r="N78" s="30"/>
      <c r="O78" s="34" t="s">
        <v>63</v>
      </c>
      <c r="P78" s="32">
        <v>2026</v>
      </c>
      <c r="Q78" s="32">
        <v>4</v>
      </c>
      <c r="R78" s="32">
        <v>2026</v>
      </c>
      <c r="S78" s="32">
        <v>4</v>
      </c>
      <c r="T78" s="32">
        <v>2026</v>
      </c>
      <c r="U78" s="32">
        <v>4</v>
      </c>
      <c r="V78" s="32">
        <v>3</v>
      </c>
    </row>
    <row r="79" spans="1:22" hidden="1">
      <c r="A79" s="33" t="s">
        <v>382</v>
      </c>
      <c r="B79" s="33" t="s">
        <v>56</v>
      </c>
      <c r="C79" s="33" t="s">
        <v>383</v>
      </c>
      <c r="D79" s="33" t="s">
        <v>384</v>
      </c>
      <c r="E79" s="33"/>
      <c r="F79" s="33"/>
      <c r="G79" s="33"/>
      <c r="H79" s="33" t="s">
        <v>61</v>
      </c>
      <c r="I79" s="33" t="s">
        <v>339</v>
      </c>
      <c r="J79" s="33" t="s">
        <v>339</v>
      </c>
      <c r="K79" s="33"/>
      <c r="L79" s="33"/>
      <c r="M79" s="33"/>
      <c r="N79" s="33"/>
      <c r="O79" s="34" t="s">
        <v>63</v>
      </c>
      <c r="P79" s="32">
        <v>2026</v>
      </c>
      <c r="Q79" s="32">
        <v>4</v>
      </c>
      <c r="R79" s="32">
        <v>2026</v>
      </c>
      <c r="S79" s="32">
        <v>4</v>
      </c>
      <c r="T79" s="32">
        <v>2026</v>
      </c>
      <c r="U79" s="32">
        <v>4</v>
      </c>
      <c r="V79" s="32">
        <v>17</v>
      </c>
    </row>
    <row r="80" spans="1:22" hidden="1">
      <c r="A80" s="30" t="s">
        <v>385</v>
      </c>
      <c r="B80" s="30" t="s">
        <v>49</v>
      </c>
      <c r="C80" s="30" t="s">
        <v>386</v>
      </c>
      <c r="D80" s="30" t="s">
        <v>387</v>
      </c>
      <c r="E80" s="30" t="s">
        <v>92</v>
      </c>
      <c r="F80" s="30" t="s">
        <v>53</v>
      </c>
      <c r="G80" s="30"/>
      <c r="H80" s="30" t="s">
        <v>61</v>
      </c>
      <c r="I80" s="30" t="s">
        <v>388</v>
      </c>
      <c r="J80" s="30" t="s">
        <v>388</v>
      </c>
      <c r="K80" s="30"/>
      <c r="L80" s="30"/>
      <c r="M80" s="30"/>
      <c r="N80" s="30"/>
      <c r="O80" s="34" t="s">
        <v>63</v>
      </c>
      <c r="P80" s="32">
        <v>2026</v>
      </c>
      <c r="Q80" s="32">
        <v>4</v>
      </c>
      <c r="R80" s="32">
        <v>2026</v>
      </c>
      <c r="S80" s="32">
        <v>4</v>
      </c>
      <c r="T80" s="32">
        <v>2026</v>
      </c>
      <c r="U80" s="32">
        <v>4</v>
      </c>
      <c r="V80" s="32">
        <v>8</v>
      </c>
    </row>
    <row r="81" spans="1:22" hidden="1">
      <c r="A81" s="33" t="s">
        <v>389</v>
      </c>
      <c r="B81" s="33" t="s">
        <v>56</v>
      </c>
      <c r="C81" s="33" t="s">
        <v>390</v>
      </c>
      <c r="D81" s="33" t="s">
        <v>391</v>
      </c>
      <c r="E81" s="33"/>
      <c r="F81" s="33" t="s">
        <v>53</v>
      </c>
      <c r="G81" s="33"/>
      <c r="H81" s="33" t="s">
        <v>61</v>
      </c>
      <c r="I81" s="33" t="s">
        <v>313</v>
      </c>
      <c r="J81" s="33" t="s">
        <v>313</v>
      </c>
      <c r="K81" s="33">
        <v>31300</v>
      </c>
      <c r="L81" s="33"/>
      <c r="M81" s="33"/>
      <c r="N81" s="33"/>
      <c r="O81" s="34" t="s">
        <v>63</v>
      </c>
      <c r="P81" s="32">
        <v>2026</v>
      </c>
      <c r="Q81" s="32">
        <v>4</v>
      </c>
      <c r="R81" s="32">
        <v>2026</v>
      </c>
      <c r="S81" s="32">
        <v>4</v>
      </c>
      <c r="T81" s="32">
        <v>2026</v>
      </c>
      <c r="U81" s="32">
        <v>4</v>
      </c>
      <c r="V81" s="32">
        <v>22</v>
      </c>
    </row>
    <row r="82" spans="1:22">
      <c r="A82" s="30" t="s">
        <v>392</v>
      </c>
      <c r="B82" s="30" t="s">
        <v>49</v>
      </c>
      <c r="C82" s="30" t="s">
        <v>393</v>
      </c>
      <c r="D82" s="30" t="s">
        <v>394</v>
      </c>
      <c r="E82" s="30"/>
      <c r="F82" s="30" t="s">
        <v>53</v>
      </c>
      <c r="G82" s="30"/>
      <c r="H82" s="30"/>
      <c r="I82" s="30" t="s">
        <v>395</v>
      </c>
      <c r="J82" s="30"/>
      <c r="K82" s="30"/>
      <c r="L82" s="30"/>
      <c r="M82" s="30"/>
      <c r="N82" s="30"/>
      <c r="O82" s="31" t="s">
        <v>54</v>
      </c>
      <c r="P82" s="32">
        <v>2026</v>
      </c>
      <c r="Q82" s="32">
        <v>3</v>
      </c>
      <c r="R82" s="32"/>
      <c r="S82" s="32"/>
      <c r="T82" s="32">
        <v>2026</v>
      </c>
      <c r="U82" s="32">
        <v>3</v>
      </c>
      <c r="V82" s="32"/>
    </row>
    <row r="83" spans="1:22" hidden="1">
      <c r="A83" s="33" t="s">
        <v>396</v>
      </c>
      <c r="B83" s="33" t="s">
        <v>56</v>
      </c>
      <c r="C83" s="33" t="s">
        <v>397</v>
      </c>
      <c r="D83" s="33" t="s">
        <v>398</v>
      </c>
      <c r="E83" s="33"/>
      <c r="F83" s="33"/>
      <c r="G83" s="33"/>
      <c r="H83" s="33" t="s">
        <v>61</v>
      </c>
      <c r="I83" s="33" t="s">
        <v>399</v>
      </c>
      <c r="J83" s="33" t="s">
        <v>400</v>
      </c>
      <c r="K83" s="33"/>
      <c r="L83" s="33"/>
      <c r="M83" s="33"/>
      <c r="N83" s="33"/>
      <c r="O83" s="34" t="s">
        <v>63</v>
      </c>
      <c r="P83" s="32">
        <v>2026</v>
      </c>
      <c r="Q83" s="32">
        <v>3</v>
      </c>
      <c r="R83" s="32">
        <v>2026</v>
      </c>
      <c r="S83" s="32">
        <v>4</v>
      </c>
      <c r="T83" s="32">
        <v>2026</v>
      </c>
      <c r="U83" s="32">
        <v>4</v>
      </c>
      <c r="V83" s="32">
        <v>9</v>
      </c>
    </row>
    <row r="84" spans="1:22" hidden="1">
      <c r="A84" s="30" t="s">
        <v>401</v>
      </c>
      <c r="B84" s="30" t="s">
        <v>56</v>
      </c>
      <c r="C84" s="30" t="s">
        <v>402</v>
      </c>
      <c r="D84" s="30" t="s">
        <v>403</v>
      </c>
      <c r="E84" s="30"/>
      <c r="F84" s="30"/>
      <c r="G84" s="30"/>
      <c r="H84" s="30" t="s">
        <v>61</v>
      </c>
      <c r="I84" s="30" t="s">
        <v>404</v>
      </c>
      <c r="J84" s="30" t="s">
        <v>400</v>
      </c>
      <c r="K84" s="30"/>
      <c r="L84" s="30"/>
      <c r="M84" s="30"/>
      <c r="N84" s="30"/>
      <c r="O84" s="34" t="s">
        <v>63</v>
      </c>
      <c r="P84" s="32">
        <v>2026</v>
      </c>
      <c r="Q84" s="32">
        <v>3</v>
      </c>
      <c r="R84" s="32">
        <v>2026</v>
      </c>
      <c r="S84" s="32">
        <v>4</v>
      </c>
      <c r="T84" s="32">
        <v>2026</v>
      </c>
      <c r="U84" s="32">
        <v>4</v>
      </c>
      <c r="V84" s="32">
        <v>14</v>
      </c>
    </row>
    <row r="85" spans="1:22" hidden="1">
      <c r="A85" s="33" t="s">
        <v>405</v>
      </c>
      <c r="B85" s="33" t="s">
        <v>120</v>
      </c>
      <c r="C85" s="33" t="s">
        <v>406</v>
      </c>
      <c r="D85" s="33" t="s">
        <v>407</v>
      </c>
      <c r="E85" s="33" t="s">
        <v>110</v>
      </c>
      <c r="F85" s="33" t="s">
        <v>408</v>
      </c>
      <c r="G85" s="33"/>
      <c r="H85" s="33" t="s">
        <v>61</v>
      </c>
      <c r="I85" s="33" t="s">
        <v>409</v>
      </c>
      <c r="J85" s="33" t="s">
        <v>410</v>
      </c>
      <c r="K85" s="33">
        <v>25000</v>
      </c>
      <c r="L85" s="33"/>
      <c r="M85" s="33"/>
      <c r="N85" s="33"/>
      <c r="O85" s="34" t="s">
        <v>63</v>
      </c>
      <c r="P85" s="32">
        <v>2026</v>
      </c>
      <c r="Q85" s="32">
        <v>3</v>
      </c>
      <c r="R85" s="32">
        <v>2026</v>
      </c>
      <c r="S85" s="32">
        <v>3</v>
      </c>
      <c r="T85" s="32">
        <v>2026</v>
      </c>
      <c r="U85" s="32">
        <v>3</v>
      </c>
      <c r="V85" s="32">
        <v>2</v>
      </c>
    </row>
    <row r="86" spans="1:22">
      <c r="A86" s="30" t="s">
        <v>411</v>
      </c>
      <c r="B86" s="30" t="s">
        <v>65</v>
      </c>
      <c r="C86" s="30" t="s">
        <v>412</v>
      </c>
      <c r="D86" s="30" t="s">
        <v>413</v>
      </c>
      <c r="E86" s="30" t="s">
        <v>414</v>
      </c>
      <c r="F86" s="30" t="s">
        <v>156</v>
      </c>
      <c r="G86" s="30"/>
      <c r="H86" s="30"/>
      <c r="I86" s="30" t="s">
        <v>415</v>
      </c>
      <c r="J86" s="30" t="s">
        <v>416</v>
      </c>
      <c r="K86" s="30">
        <v>126084</v>
      </c>
      <c r="L86" s="30"/>
      <c r="M86" s="30"/>
      <c r="N86" s="30"/>
      <c r="O86" s="31" t="s">
        <v>54</v>
      </c>
      <c r="P86" s="32">
        <v>2026</v>
      </c>
      <c r="Q86" s="32">
        <v>3</v>
      </c>
      <c r="R86" s="32">
        <v>2026</v>
      </c>
      <c r="S86" s="32">
        <v>3</v>
      </c>
      <c r="T86" s="32">
        <v>2026</v>
      </c>
      <c r="U86" s="32">
        <v>3</v>
      </c>
      <c r="V86" s="32"/>
    </row>
    <row r="87" spans="1:22" hidden="1">
      <c r="A87" s="33" t="s">
        <v>417</v>
      </c>
      <c r="B87" s="33" t="s">
        <v>56</v>
      </c>
      <c r="C87" s="33" t="s">
        <v>418</v>
      </c>
      <c r="D87" s="33" t="s">
        <v>419</v>
      </c>
      <c r="E87" s="33"/>
      <c r="F87" s="33" t="s">
        <v>53</v>
      </c>
      <c r="G87" s="33"/>
      <c r="H87" s="33" t="s">
        <v>61</v>
      </c>
      <c r="I87" s="33" t="s">
        <v>420</v>
      </c>
      <c r="J87" s="33" t="s">
        <v>420</v>
      </c>
      <c r="K87" s="33"/>
      <c r="L87" s="33"/>
      <c r="M87" s="33"/>
      <c r="N87" s="33">
        <v>2</v>
      </c>
      <c r="O87" s="34" t="s">
        <v>63</v>
      </c>
      <c r="P87" s="32">
        <v>2026</v>
      </c>
      <c r="Q87" s="32">
        <v>3</v>
      </c>
      <c r="R87" s="32">
        <v>2026</v>
      </c>
      <c r="S87" s="32">
        <v>4</v>
      </c>
      <c r="T87" s="32">
        <v>2026</v>
      </c>
      <c r="U87" s="32">
        <v>4</v>
      </c>
      <c r="V87" s="32">
        <v>42</v>
      </c>
    </row>
    <row r="88" spans="1:22" hidden="1">
      <c r="A88" s="30" t="s">
        <v>421</v>
      </c>
      <c r="B88" s="30" t="s">
        <v>49</v>
      </c>
      <c r="C88" s="30" t="s">
        <v>422</v>
      </c>
      <c r="D88" s="30" t="s">
        <v>423</v>
      </c>
      <c r="E88" s="30"/>
      <c r="F88" s="30" t="s">
        <v>53</v>
      </c>
      <c r="G88" s="30"/>
      <c r="H88" s="30" t="s">
        <v>61</v>
      </c>
      <c r="I88" s="30" t="s">
        <v>424</v>
      </c>
      <c r="J88" s="30" t="s">
        <v>425</v>
      </c>
      <c r="K88" s="30">
        <v>9975</v>
      </c>
      <c r="L88" s="30"/>
      <c r="M88" s="30"/>
      <c r="N88" s="30"/>
      <c r="O88" s="34" t="s">
        <v>63</v>
      </c>
      <c r="P88" s="32">
        <v>2026</v>
      </c>
      <c r="Q88" s="32">
        <v>3</v>
      </c>
      <c r="R88" s="32">
        <v>2026</v>
      </c>
      <c r="S88" s="32">
        <v>4</v>
      </c>
      <c r="T88" s="32">
        <v>2026</v>
      </c>
      <c r="U88" s="32">
        <v>4</v>
      </c>
      <c r="V88" s="32">
        <v>23</v>
      </c>
    </row>
    <row r="89" spans="1:22">
      <c r="A89" s="33" t="s">
        <v>426</v>
      </c>
      <c r="B89" s="33" t="s">
        <v>65</v>
      </c>
      <c r="C89" s="33" t="s">
        <v>427</v>
      </c>
      <c r="D89" s="33" t="s">
        <v>428</v>
      </c>
      <c r="E89" s="33" t="s">
        <v>67</v>
      </c>
      <c r="F89" s="33" t="s">
        <v>60</v>
      </c>
      <c r="G89" s="33"/>
      <c r="H89" s="33"/>
      <c r="I89" s="33" t="s">
        <v>415</v>
      </c>
      <c r="J89" s="33" t="s">
        <v>429</v>
      </c>
      <c r="K89" s="33">
        <v>210000</v>
      </c>
      <c r="L89" s="33"/>
      <c r="M89" s="33"/>
      <c r="N89" s="33"/>
      <c r="O89" s="31" t="s">
        <v>54</v>
      </c>
      <c r="P89" s="32">
        <v>2026</v>
      </c>
      <c r="Q89" s="32">
        <v>3</v>
      </c>
      <c r="R89" s="32">
        <v>2026</v>
      </c>
      <c r="S89" s="32">
        <v>3</v>
      </c>
      <c r="T89" s="32">
        <v>2026</v>
      </c>
      <c r="U89" s="32">
        <v>3</v>
      </c>
      <c r="V89" s="32"/>
    </row>
    <row r="90" spans="1:22">
      <c r="A90" s="30" t="s">
        <v>430</v>
      </c>
      <c r="B90" s="30" t="s">
        <v>49</v>
      </c>
      <c r="C90" s="30" t="s">
        <v>431</v>
      </c>
      <c r="D90" s="30" t="s">
        <v>432</v>
      </c>
      <c r="E90" s="30" t="s">
        <v>123</v>
      </c>
      <c r="F90" s="30" t="s">
        <v>60</v>
      </c>
      <c r="G90" s="30"/>
      <c r="H90" s="30"/>
      <c r="I90" s="30" t="s">
        <v>433</v>
      </c>
      <c r="J90" s="30"/>
      <c r="K90" s="30"/>
      <c r="L90" s="30"/>
      <c r="M90" s="30"/>
      <c r="N90" s="30"/>
      <c r="O90" s="31" t="s">
        <v>54</v>
      </c>
      <c r="P90" s="32">
        <v>2026</v>
      </c>
      <c r="Q90" s="32">
        <v>2</v>
      </c>
      <c r="R90" s="32"/>
      <c r="S90" s="32"/>
      <c r="T90" s="32">
        <v>2026</v>
      </c>
      <c r="U90" s="32">
        <v>2</v>
      </c>
      <c r="V90" s="32"/>
    </row>
    <row r="91" spans="1:22" hidden="1">
      <c r="A91" s="33" t="s">
        <v>434</v>
      </c>
      <c r="B91" s="33" t="s">
        <v>49</v>
      </c>
      <c r="C91" s="33" t="s">
        <v>435</v>
      </c>
      <c r="D91" s="33" t="s">
        <v>436</v>
      </c>
      <c r="E91" s="33" t="s">
        <v>92</v>
      </c>
      <c r="F91" s="33" t="s">
        <v>53</v>
      </c>
      <c r="G91" s="33"/>
      <c r="H91" s="33" t="s">
        <v>61</v>
      </c>
      <c r="I91" s="33" t="s">
        <v>437</v>
      </c>
      <c r="J91" s="33" t="s">
        <v>437</v>
      </c>
      <c r="K91" s="33">
        <v>13150</v>
      </c>
      <c r="L91" s="33"/>
      <c r="M91" s="33">
        <v>17955</v>
      </c>
      <c r="N91" s="33"/>
      <c r="O91" s="34" t="s">
        <v>63</v>
      </c>
      <c r="P91" s="32">
        <v>2026</v>
      </c>
      <c r="Q91" s="32">
        <v>1</v>
      </c>
      <c r="R91" s="32">
        <v>2026</v>
      </c>
      <c r="S91" s="32">
        <v>4</v>
      </c>
      <c r="T91" s="32">
        <v>2026</v>
      </c>
      <c r="U91" s="32">
        <v>4</v>
      </c>
      <c r="V91" s="32">
        <v>82</v>
      </c>
    </row>
    <row r="93" spans="1:22">
      <c r="O93" s="35" t="s">
        <v>438</v>
      </c>
    </row>
  </sheetData>
  <autoFilter ref="A1:V91" xr:uid="{00000000-0001-0000-0100-000000000000}">
    <filterColumn colId="14">
      <filters>
        <filter val="✗"/>
      </filters>
    </filterColumn>
  </autoFilter>
  <phoneticPr fontId="2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55927-7564-41CF-96AB-8D7EDF6E8FB4}">
  <sheetPr filterMode="1"/>
  <dimension ref="A1:K47"/>
  <sheetViews>
    <sheetView workbookViewId="0">
      <selection activeCell="G4" sqref="G4:G46"/>
    </sheetView>
  </sheetViews>
  <sheetFormatPr defaultRowHeight="14.4"/>
  <cols>
    <col min="1" max="1" width="25.21875" style="39" customWidth="1"/>
    <col min="2" max="3" width="8.88671875" style="39"/>
    <col min="4" max="4" width="13.21875" style="39" bestFit="1" customWidth="1"/>
    <col min="5" max="6" width="8.88671875" style="39"/>
    <col min="7" max="7" width="14" style="39" customWidth="1"/>
    <col min="8" max="10" width="8.88671875" style="39"/>
    <col min="11" max="11" width="11.21875" style="39" bestFit="1" customWidth="1"/>
  </cols>
  <sheetData>
    <row r="1" spans="1:11" ht="15" thickBot="1">
      <c r="A1" s="36" t="s">
        <v>26</v>
      </c>
      <c r="B1" s="37" t="s">
        <v>29</v>
      </c>
      <c r="C1" s="36" t="s">
        <v>439</v>
      </c>
      <c r="D1" s="36" t="s">
        <v>440</v>
      </c>
      <c r="E1" s="36" t="s">
        <v>33</v>
      </c>
      <c r="F1" s="38" t="s">
        <v>441</v>
      </c>
      <c r="G1" s="38" t="s">
        <v>442</v>
      </c>
      <c r="H1" s="36" t="s">
        <v>443</v>
      </c>
      <c r="I1" s="36" t="s">
        <v>444</v>
      </c>
    </row>
    <row r="2" spans="1:11" ht="15" hidden="1" thickBot="1">
      <c r="A2" s="40" t="s">
        <v>295</v>
      </c>
      <c r="B2" s="41" t="s">
        <v>297</v>
      </c>
      <c r="C2" s="40" t="s">
        <v>156</v>
      </c>
      <c r="D2" s="42">
        <v>46131.898611111108</v>
      </c>
      <c r="E2" s="43" t="s">
        <v>445</v>
      </c>
      <c r="F2" s="44" t="s">
        <v>445</v>
      </c>
      <c r="G2" s="44" t="s">
        <v>445</v>
      </c>
      <c r="H2" s="40"/>
      <c r="I2" s="40"/>
      <c r="K2" s="39" t="str">
        <f>VLOOKUP(A2,原始數據!A:A,1,0)</f>
        <v>202604-028</v>
      </c>
    </row>
    <row r="3" spans="1:11" ht="15" hidden="1" thickBot="1">
      <c r="A3" s="40" t="s">
        <v>298</v>
      </c>
      <c r="B3" s="41" t="s">
        <v>299</v>
      </c>
      <c r="C3" s="40"/>
      <c r="D3" s="42">
        <v>46131.821527777778</v>
      </c>
      <c r="E3" s="43" t="s">
        <v>445</v>
      </c>
      <c r="F3" s="44" t="s">
        <v>445</v>
      </c>
      <c r="G3" s="44" t="s">
        <v>445</v>
      </c>
      <c r="H3" s="40"/>
      <c r="I3" s="40"/>
      <c r="K3" s="39" t="str">
        <f>VLOOKUP(A3,原始數據!A:A,1,0)</f>
        <v>202604-027</v>
      </c>
    </row>
    <row r="4" spans="1:11" ht="15" thickBot="1">
      <c r="A4" s="40" t="s">
        <v>300</v>
      </c>
      <c r="B4" s="41" t="s">
        <v>301</v>
      </c>
      <c r="C4" s="40" t="s">
        <v>116</v>
      </c>
      <c r="D4" s="42">
        <v>46131.612500000003</v>
      </c>
      <c r="E4" s="43" t="s">
        <v>446</v>
      </c>
      <c r="F4" s="44" t="s">
        <v>447</v>
      </c>
      <c r="G4" s="45">
        <v>38</v>
      </c>
      <c r="H4" s="40"/>
      <c r="I4" s="40"/>
      <c r="K4" s="39" t="str">
        <f>VLOOKUP(A4,原始數據!A:A,1,0)</f>
        <v>202604-026</v>
      </c>
    </row>
    <row r="5" spans="1:11" ht="15" hidden="1" thickBot="1">
      <c r="A5" s="40" t="s">
        <v>303</v>
      </c>
      <c r="B5" s="41" t="s">
        <v>305</v>
      </c>
      <c r="C5" s="40" t="s">
        <v>53</v>
      </c>
      <c r="D5" s="42">
        <v>46130.85</v>
      </c>
      <c r="E5" s="43" t="s">
        <v>446</v>
      </c>
      <c r="F5" s="44" t="s">
        <v>448</v>
      </c>
      <c r="G5" s="44" t="s">
        <v>445</v>
      </c>
      <c r="H5" s="40"/>
      <c r="I5" s="40"/>
      <c r="K5" s="39" t="str">
        <f>VLOOKUP(A5,原始數據!A:A,1,0)</f>
        <v>202604-025</v>
      </c>
    </row>
    <row r="6" spans="1:11" ht="15" hidden="1" thickBot="1">
      <c r="A6" s="40" t="s">
        <v>307</v>
      </c>
      <c r="B6" s="41" t="s">
        <v>308</v>
      </c>
      <c r="C6" s="40" t="s">
        <v>116</v>
      </c>
      <c r="D6" s="42">
        <v>46130.741666666669</v>
      </c>
      <c r="E6" s="43" t="s">
        <v>446</v>
      </c>
      <c r="F6" s="44" t="s">
        <v>449</v>
      </c>
      <c r="G6" s="44" t="s">
        <v>445</v>
      </c>
      <c r="H6" s="40"/>
      <c r="I6" s="40"/>
      <c r="K6" s="39" t="str">
        <f>VLOOKUP(A6,原始數據!A:A,1,0)</f>
        <v>202604-024</v>
      </c>
    </row>
    <row r="7" spans="1:11" ht="15" thickBot="1">
      <c r="A7" s="40" t="s">
        <v>310</v>
      </c>
      <c r="B7" s="41" t="s">
        <v>312</v>
      </c>
      <c r="C7" s="40" t="s">
        <v>53</v>
      </c>
      <c r="D7" s="42">
        <v>46129.45416666667</v>
      </c>
      <c r="E7" s="43" t="s">
        <v>446</v>
      </c>
      <c r="F7" s="44" t="s">
        <v>450</v>
      </c>
      <c r="G7" s="45">
        <v>142</v>
      </c>
      <c r="H7" s="40"/>
      <c r="I7" s="40"/>
      <c r="K7" s="39" t="str">
        <f>VLOOKUP(A7,原始數據!A:A,1,0)</f>
        <v>202604-023</v>
      </c>
    </row>
    <row r="8" spans="1:11" ht="15" hidden="1" thickBot="1">
      <c r="A8" s="40" t="s">
        <v>314</v>
      </c>
      <c r="B8" s="41" t="s">
        <v>316</v>
      </c>
      <c r="C8" s="40" t="s">
        <v>53</v>
      </c>
      <c r="D8" s="42">
        <v>46128.829861111109</v>
      </c>
      <c r="E8" s="43" t="s">
        <v>445</v>
      </c>
      <c r="F8" s="44" t="s">
        <v>445</v>
      </c>
      <c r="G8" s="44" t="s">
        <v>445</v>
      </c>
      <c r="H8" s="40"/>
      <c r="I8" s="40"/>
      <c r="K8" s="39" t="str">
        <f>VLOOKUP(A8,原始數據!A:A,1,0)</f>
        <v>202604-022</v>
      </c>
    </row>
    <row r="9" spans="1:11" ht="15" hidden="1" thickBot="1">
      <c r="A9" s="40" t="s">
        <v>317</v>
      </c>
      <c r="B9" s="41" t="s">
        <v>318</v>
      </c>
      <c r="C9" s="40" t="s">
        <v>116</v>
      </c>
      <c r="D9" s="42">
        <v>46128.661805555559</v>
      </c>
      <c r="E9" s="43" t="s">
        <v>446</v>
      </c>
      <c r="F9" s="44" t="s">
        <v>447</v>
      </c>
      <c r="G9" s="44" t="s">
        <v>445</v>
      </c>
      <c r="H9" s="40"/>
      <c r="I9" s="40"/>
      <c r="K9" s="39" t="str">
        <f>VLOOKUP(A9,原始數據!A:A,1,0)</f>
        <v>202604-021</v>
      </c>
    </row>
    <row r="10" spans="1:11" ht="15" hidden="1" thickBot="1">
      <c r="A10" s="40" t="s">
        <v>320</v>
      </c>
      <c r="B10" s="41" t="s">
        <v>322</v>
      </c>
      <c r="C10" s="40" t="s">
        <v>116</v>
      </c>
      <c r="D10" s="42">
        <v>46127.70208333333</v>
      </c>
      <c r="E10" s="43" t="s">
        <v>446</v>
      </c>
      <c r="F10" s="44" t="s">
        <v>451</v>
      </c>
      <c r="G10" s="44" t="s">
        <v>445</v>
      </c>
      <c r="H10" s="40"/>
      <c r="I10" s="40"/>
      <c r="K10" s="39" t="str">
        <f>VLOOKUP(A10,原始數據!A:A,1,0)</f>
        <v>202604-020</v>
      </c>
    </row>
    <row r="11" spans="1:11" ht="15" thickBot="1">
      <c r="A11" s="40" t="s">
        <v>325</v>
      </c>
      <c r="B11" s="41" t="s">
        <v>326</v>
      </c>
      <c r="C11" s="40" t="s">
        <v>87</v>
      </c>
      <c r="D11" s="42">
        <v>46127.490277777775</v>
      </c>
      <c r="E11" s="43" t="s">
        <v>452</v>
      </c>
      <c r="F11" s="44" t="s">
        <v>453</v>
      </c>
      <c r="G11" s="45">
        <v>1600</v>
      </c>
      <c r="H11" s="46" t="s">
        <v>454</v>
      </c>
      <c r="I11" s="40"/>
      <c r="K11" s="39" t="str">
        <f>VLOOKUP(A11,原始數據!A:A,1,0)</f>
        <v>202604-019</v>
      </c>
    </row>
    <row r="12" spans="1:11" ht="15" hidden="1" thickBot="1">
      <c r="A12" s="40" t="s">
        <v>328</v>
      </c>
      <c r="B12" s="41" t="s">
        <v>330</v>
      </c>
      <c r="C12" s="40" t="s">
        <v>116</v>
      </c>
      <c r="D12" s="42">
        <v>46125.628472222219</v>
      </c>
      <c r="E12" s="43" t="s">
        <v>446</v>
      </c>
      <c r="F12" s="44" t="s">
        <v>455</v>
      </c>
      <c r="G12" s="44" t="s">
        <v>445</v>
      </c>
      <c r="H12" s="40"/>
      <c r="I12" s="40"/>
      <c r="K12" s="39" t="str">
        <f>VLOOKUP(A12,原始數據!A:A,1,0)</f>
        <v>202604-018</v>
      </c>
    </row>
    <row r="13" spans="1:11" ht="15" hidden="1" thickBot="1">
      <c r="A13" s="40" t="s">
        <v>333</v>
      </c>
      <c r="B13" s="41" t="s">
        <v>334</v>
      </c>
      <c r="C13" s="40" t="s">
        <v>116</v>
      </c>
      <c r="D13" s="42">
        <v>46125.431944444441</v>
      </c>
      <c r="E13" s="43" t="s">
        <v>446</v>
      </c>
      <c r="F13" s="44" t="s">
        <v>456</v>
      </c>
      <c r="G13" s="44" t="s">
        <v>445</v>
      </c>
      <c r="H13" s="40"/>
      <c r="I13" s="40"/>
      <c r="K13" s="39" t="str">
        <f>VLOOKUP(A13,原始數據!A:A,1,0)</f>
        <v>202604-017</v>
      </c>
    </row>
    <row r="14" spans="1:11" ht="15" hidden="1" thickBot="1">
      <c r="A14" s="40" t="s">
        <v>336</v>
      </c>
      <c r="B14" s="41" t="s">
        <v>338</v>
      </c>
      <c r="C14" s="40"/>
      <c r="D14" s="42">
        <v>46124.82708333333</v>
      </c>
      <c r="E14" s="43" t="s">
        <v>446</v>
      </c>
      <c r="F14" s="44" t="s">
        <v>457</v>
      </c>
      <c r="G14" s="44" t="s">
        <v>445</v>
      </c>
      <c r="H14" s="40"/>
      <c r="I14" s="40"/>
      <c r="K14" s="39" t="str">
        <f>VLOOKUP(A14,原始數據!A:A,1,0)</f>
        <v>202604-016</v>
      </c>
    </row>
    <row r="15" spans="1:11" ht="15" hidden="1" thickBot="1">
      <c r="A15" s="40" t="s">
        <v>340</v>
      </c>
      <c r="B15" s="41" t="s">
        <v>341</v>
      </c>
      <c r="C15" s="40" t="s">
        <v>53</v>
      </c>
      <c r="D15" s="42">
        <v>46124.824999999997</v>
      </c>
      <c r="E15" s="43" t="s">
        <v>446</v>
      </c>
      <c r="F15" s="44" t="s">
        <v>458</v>
      </c>
      <c r="G15" s="44" t="s">
        <v>445</v>
      </c>
      <c r="H15" s="40"/>
      <c r="I15" s="40"/>
      <c r="K15" s="39" t="str">
        <f>VLOOKUP(A15,原始數據!A:A,1,0)</f>
        <v>202604-015</v>
      </c>
    </row>
    <row r="16" spans="1:11" ht="15" hidden="1" thickBot="1">
      <c r="A16" s="40" t="s">
        <v>343</v>
      </c>
      <c r="B16" s="41" t="s">
        <v>345</v>
      </c>
      <c r="C16" s="40" t="s">
        <v>53</v>
      </c>
      <c r="D16" s="42">
        <v>46122.6875</v>
      </c>
      <c r="E16" s="47" t="s">
        <v>459</v>
      </c>
      <c r="F16" s="44" t="s">
        <v>460</v>
      </c>
      <c r="G16" s="44" t="s">
        <v>445</v>
      </c>
      <c r="H16" s="40"/>
      <c r="I16" s="40"/>
      <c r="K16" s="39" t="str">
        <f>VLOOKUP(A16,原始數據!A:A,1,0)</f>
        <v>202604-014</v>
      </c>
    </row>
    <row r="17" spans="1:11" ht="15" hidden="1" thickBot="1">
      <c r="A17" s="40" t="s">
        <v>348</v>
      </c>
      <c r="B17" s="41" t="s">
        <v>349</v>
      </c>
      <c r="C17" s="40" t="s">
        <v>53</v>
      </c>
      <c r="D17" s="42">
        <v>46122.686805555553</v>
      </c>
      <c r="E17" s="43" t="s">
        <v>446</v>
      </c>
      <c r="F17" s="44" t="s">
        <v>461</v>
      </c>
      <c r="G17" s="44" t="s">
        <v>445</v>
      </c>
      <c r="H17" s="40"/>
      <c r="I17" s="40"/>
      <c r="K17" s="39" t="str">
        <f>VLOOKUP(A17,原始數據!A:A,1,0)</f>
        <v>202604-013</v>
      </c>
    </row>
    <row r="18" spans="1:11" ht="15" hidden="1" thickBot="1">
      <c r="A18" s="40" t="s">
        <v>350</v>
      </c>
      <c r="B18" s="41" t="s">
        <v>351</v>
      </c>
      <c r="C18" s="40" t="s">
        <v>53</v>
      </c>
      <c r="D18" s="42">
        <v>46122.685416666667</v>
      </c>
      <c r="E18" s="43" t="s">
        <v>452</v>
      </c>
      <c r="F18" s="44" t="s">
        <v>462</v>
      </c>
      <c r="G18" s="44" t="s">
        <v>445</v>
      </c>
      <c r="H18" s="40"/>
      <c r="I18" s="40"/>
      <c r="K18" s="39" t="str">
        <f>VLOOKUP(A18,原始數據!A:A,1,0)</f>
        <v>202604-012</v>
      </c>
    </row>
    <row r="19" spans="1:11" ht="15" hidden="1" thickBot="1">
      <c r="A19" s="40" t="s">
        <v>354</v>
      </c>
      <c r="B19" s="41" t="s">
        <v>355</v>
      </c>
      <c r="C19" s="40" t="s">
        <v>53</v>
      </c>
      <c r="D19" s="42">
        <v>46122.684027777781</v>
      </c>
      <c r="E19" s="43" t="s">
        <v>463</v>
      </c>
      <c r="F19" s="44" t="s">
        <v>464</v>
      </c>
      <c r="G19" s="44" t="s">
        <v>445</v>
      </c>
      <c r="H19" s="40"/>
      <c r="I19" s="40"/>
      <c r="K19" s="39" t="str">
        <f>VLOOKUP(A19,原始數據!A:A,1,0)</f>
        <v>202604-011</v>
      </c>
    </row>
    <row r="20" spans="1:11" ht="15" hidden="1" thickBot="1">
      <c r="A20" s="40" t="s">
        <v>358</v>
      </c>
      <c r="B20" s="41" t="s">
        <v>359</v>
      </c>
      <c r="C20" s="40" t="s">
        <v>53</v>
      </c>
      <c r="D20" s="42">
        <v>46122.683333333334</v>
      </c>
      <c r="E20" s="43" t="s">
        <v>452</v>
      </c>
      <c r="F20" s="44" t="s">
        <v>465</v>
      </c>
      <c r="G20" s="44" t="s">
        <v>445</v>
      </c>
      <c r="H20" s="40"/>
      <c r="I20" s="40"/>
      <c r="K20" s="39" t="str">
        <f>VLOOKUP(A20,原始數據!A:A,1,0)</f>
        <v>202604-010</v>
      </c>
    </row>
    <row r="21" spans="1:11" ht="15" hidden="1" thickBot="1">
      <c r="A21" s="40" t="s">
        <v>361</v>
      </c>
      <c r="B21" s="41" t="s">
        <v>362</v>
      </c>
      <c r="C21" s="40" t="s">
        <v>53</v>
      </c>
      <c r="D21" s="42">
        <v>46122.681250000001</v>
      </c>
      <c r="E21" s="47" t="s">
        <v>459</v>
      </c>
      <c r="F21" s="44" t="s">
        <v>466</v>
      </c>
      <c r="G21" s="44" t="s">
        <v>445</v>
      </c>
      <c r="H21" s="40"/>
      <c r="I21" s="40"/>
      <c r="K21" s="39" t="str">
        <f>VLOOKUP(A21,原始數據!A:A,1,0)</f>
        <v>202604-009</v>
      </c>
    </row>
    <row r="22" spans="1:11" ht="15" hidden="1" thickBot="1">
      <c r="A22" s="40" t="s">
        <v>364</v>
      </c>
      <c r="B22" s="41" t="s">
        <v>365</v>
      </c>
      <c r="C22" s="40" t="s">
        <v>53</v>
      </c>
      <c r="D22" s="42">
        <v>46122.677083333336</v>
      </c>
      <c r="E22" s="47" t="s">
        <v>459</v>
      </c>
      <c r="F22" s="44" t="s">
        <v>467</v>
      </c>
      <c r="G22" s="44" t="s">
        <v>445</v>
      </c>
      <c r="H22" s="40"/>
      <c r="I22" s="40"/>
      <c r="K22" s="39" t="str">
        <f>VLOOKUP(A22,原始數據!A:A,1,0)</f>
        <v>202604-008</v>
      </c>
    </row>
    <row r="23" spans="1:11" ht="15" thickBot="1">
      <c r="A23" s="40" t="s">
        <v>367</v>
      </c>
      <c r="B23" s="41" t="s">
        <v>368</v>
      </c>
      <c r="C23" s="40" t="s">
        <v>53</v>
      </c>
      <c r="D23" s="42">
        <v>46122.456944444442</v>
      </c>
      <c r="E23" s="43" t="s">
        <v>446</v>
      </c>
      <c r="F23" s="44" t="s">
        <v>468</v>
      </c>
      <c r="G23" s="45">
        <v>137</v>
      </c>
      <c r="H23" s="40"/>
      <c r="I23" s="40"/>
      <c r="K23" s="39" t="str">
        <f>VLOOKUP(A23,原始數據!A:A,1,0)</f>
        <v>202604-007</v>
      </c>
    </row>
    <row r="24" spans="1:11" ht="15" thickBot="1">
      <c r="A24" s="40" t="s">
        <v>370</v>
      </c>
      <c r="B24" s="41" t="s">
        <v>372</v>
      </c>
      <c r="C24" s="40" t="s">
        <v>60</v>
      </c>
      <c r="D24" s="42">
        <v>46119.581250000003</v>
      </c>
      <c r="E24" s="43" t="s">
        <v>446</v>
      </c>
      <c r="F24" s="44" t="s">
        <v>469</v>
      </c>
      <c r="G24" s="45">
        <v>499</v>
      </c>
      <c r="H24" s="40"/>
      <c r="I24" s="40"/>
      <c r="K24" s="39" t="str">
        <f>VLOOKUP(A24,原始數據!A:A,1,0)</f>
        <v>202604-006</v>
      </c>
    </row>
    <row r="25" spans="1:11" ht="15" hidden="1" thickBot="1">
      <c r="A25" s="40" t="s">
        <v>374</v>
      </c>
      <c r="B25" s="41" t="s">
        <v>376</v>
      </c>
      <c r="C25" s="40"/>
      <c r="D25" s="42">
        <v>46118.46875</v>
      </c>
      <c r="E25" s="43" t="s">
        <v>446</v>
      </c>
      <c r="F25" s="44" t="s">
        <v>470</v>
      </c>
      <c r="G25" s="44" t="s">
        <v>445</v>
      </c>
      <c r="H25" s="40"/>
      <c r="I25" s="40"/>
      <c r="K25" s="39" t="str">
        <f>VLOOKUP(A25,原始數據!A:A,1,0)</f>
        <v>202604-005</v>
      </c>
    </row>
    <row r="26" spans="1:11" ht="15" thickBot="1">
      <c r="A26" s="40" t="s">
        <v>377</v>
      </c>
      <c r="B26" s="41" t="s">
        <v>379</v>
      </c>
      <c r="C26" s="40"/>
      <c r="D26" s="42">
        <v>46117.4375</v>
      </c>
      <c r="E26" s="43" t="s">
        <v>446</v>
      </c>
      <c r="F26" s="44" t="s">
        <v>471</v>
      </c>
      <c r="G26" s="45">
        <v>137</v>
      </c>
      <c r="H26" s="40"/>
      <c r="I26" s="40"/>
      <c r="K26" s="39" t="str">
        <f>VLOOKUP(A26,原始數據!A:A,1,0)</f>
        <v>202604-004</v>
      </c>
    </row>
    <row r="27" spans="1:11" ht="15" hidden="1" thickBot="1">
      <c r="A27" s="40" t="s">
        <v>382</v>
      </c>
      <c r="B27" s="41" t="s">
        <v>384</v>
      </c>
      <c r="C27" s="40"/>
      <c r="D27" s="42">
        <v>46116.890277777777</v>
      </c>
      <c r="E27" s="43" t="s">
        <v>446</v>
      </c>
      <c r="F27" s="44" t="s">
        <v>472</v>
      </c>
      <c r="G27" s="44" t="s">
        <v>445</v>
      </c>
      <c r="H27" s="40"/>
      <c r="I27" s="40"/>
      <c r="K27" s="39" t="str">
        <f>VLOOKUP(A27,原始數據!A:A,1,0)</f>
        <v>202604-003</v>
      </c>
    </row>
    <row r="28" spans="1:11" ht="15" hidden="1" thickBot="1">
      <c r="A28" s="40" t="s">
        <v>385</v>
      </c>
      <c r="B28" s="41" t="s">
        <v>387</v>
      </c>
      <c r="C28" s="40" t="s">
        <v>53</v>
      </c>
      <c r="D28" s="42">
        <v>46114.634722222225</v>
      </c>
      <c r="E28" s="43" t="s">
        <v>446</v>
      </c>
      <c r="F28" s="44" t="s">
        <v>455</v>
      </c>
      <c r="G28" s="44" t="s">
        <v>445</v>
      </c>
      <c r="H28" s="40"/>
      <c r="I28" s="40"/>
      <c r="K28" s="39" t="str">
        <f>VLOOKUP(A28,原始數據!A:A,1,0)</f>
        <v>202604-002</v>
      </c>
    </row>
    <row r="29" spans="1:11" ht="15" thickBot="1">
      <c r="A29" s="40" t="s">
        <v>389</v>
      </c>
      <c r="B29" s="41" t="s">
        <v>391</v>
      </c>
      <c r="C29" s="40" t="s">
        <v>53</v>
      </c>
      <c r="D29" s="42">
        <v>46114.477083333331</v>
      </c>
      <c r="E29" s="43" t="s">
        <v>446</v>
      </c>
      <c r="F29" s="44" t="s">
        <v>473</v>
      </c>
      <c r="G29" s="45">
        <v>31300</v>
      </c>
      <c r="H29" s="40"/>
      <c r="I29" s="40"/>
      <c r="K29" s="39" t="str">
        <f>VLOOKUP(A29,原始數據!A:A,1,0)</f>
        <v>202604-001</v>
      </c>
    </row>
    <row r="30" spans="1:11" ht="15" hidden="1" thickBot="1">
      <c r="A30" s="40" t="s">
        <v>293</v>
      </c>
      <c r="B30" s="41" t="s">
        <v>294</v>
      </c>
      <c r="C30" s="40" t="s">
        <v>53</v>
      </c>
      <c r="D30" s="42">
        <v>46132.445138888892</v>
      </c>
      <c r="E30" s="43" t="s">
        <v>446</v>
      </c>
      <c r="F30" s="44" t="s">
        <v>474</v>
      </c>
      <c r="G30" s="44" t="s">
        <v>445</v>
      </c>
      <c r="H30" s="40"/>
      <c r="I30" s="40"/>
      <c r="K30" s="39" t="str">
        <f>VLOOKUP(A30,原始數據!A:A,1,0)</f>
        <v>202604-029</v>
      </c>
    </row>
    <row r="31" spans="1:11" ht="15" hidden="1" thickBot="1">
      <c r="A31" s="40" t="s">
        <v>285</v>
      </c>
      <c r="B31" s="41" t="s">
        <v>287</v>
      </c>
      <c r="C31" s="40" t="s">
        <v>53</v>
      </c>
      <c r="D31" s="42">
        <v>46132.79791666667</v>
      </c>
      <c r="E31" s="43" t="s">
        <v>446</v>
      </c>
      <c r="F31" s="44" t="s">
        <v>475</v>
      </c>
      <c r="G31" s="44" t="s">
        <v>445</v>
      </c>
      <c r="H31" s="40"/>
      <c r="I31" s="40"/>
      <c r="K31" s="39" t="str">
        <f>VLOOKUP(A31,原始數據!A:A,1,0)</f>
        <v>202604-031</v>
      </c>
    </row>
    <row r="32" spans="1:11" ht="15" hidden="1" thickBot="1">
      <c r="A32" s="40" t="s">
        <v>290</v>
      </c>
      <c r="B32" s="41" t="s">
        <v>291</v>
      </c>
      <c r="C32" s="40" t="s">
        <v>53</v>
      </c>
      <c r="D32" s="42">
        <v>46132.790277777778</v>
      </c>
      <c r="E32" s="43" t="s">
        <v>446</v>
      </c>
      <c r="F32" s="44" t="s">
        <v>475</v>
      </c>
      <c r="G32" s="44" t="s">
        <v>445</v>
      </c>
      <c r="H32" s="40"/>
      <c r="I32" s="40"/>
      <c r="K32" s="39" t="str">
        <f>VLOOKUP(A32,原始數據!A:A,1,0)</f>
        <v>202604-030</v>
      </c>
    </row>
    <row r="33" spans="1:11" ht="15" hidden="1" thickBot="1">
      <c r="A33" s="40" t="s">
        <v>281</v>
      </c>
      <c r="B33" s="41" t="s">
        <v>283</v>
      </c>
      <c r="C33" s="40" t="s">
        <v>53</v>
      </c>
      <c r="D33" s="42">
        <v>46133.688888888886</v>
      </c>
      <c r="E33" s="43" t="s">
        <v>446</v>
      </c>
      <c r="F33" s="44" t="s">
        <v>476</v>
      </c>
      <c r="G33" s="44" t="s">
        <v>445</v>
      </c>
      <c r="H33" s="40"/>
      <c r="I33" s="40"/>
      <c r="K33" s="39" t="str">
        <f>VLOOKUP(A33,原始數據!A:A,1,0)</f>
        <v>202604-032</v>
      </c>
    </row>
    <row r="34" spans="1:11" ht="15" hidden="1" thickBot="1">
      <c r="A34" s="40" t="s">
        <v>125</v>
      </c>
      <c r="B34" s="41" t="s">
        <v>126</v>
      </c>
      <c r="C34" s="40"/>
      <c r="D34" s="42">
        <v>46134.418749999997</v>
      </c>
      <c r="E34" s="43" t="s">
        <v>445</v>
      </c>
      <c r="F34" s="44" t="s">
        <v>477</v>
      </c>
      <c r="G34" s="44" t="s">
        <v>445</v>
      </c>
      <c r="H34" s="40"/>
      <c r="I34" s="40"/>
      <c r="K34" s="39" t="str">
        <f>VLOOKUP(A34,原始數據!A:A,1,0)</f>
        <v>202604-033</v>
      </c>
    </row>
    <row r="35" spans="1:11" ht="15" hidden="1" thickBot="1">
      <c r="A35" s="40" t="s">
        <v>119</v>
      </c>
      <c r="B35" s="41" t="s">
        <v>122</v>
      </c>
      <c r="C35" s="40" t="s">
        <v>53</v>
      </c>
      <c r="D35" s="42">
        <v>46134.438194444447</v>
      </c>
      <c r="E35" s="43" t="s">
        <v>445</v>
      </c>
      <c r="F35" s="44" t="s">
        <v>477</v>
      </c>
      <c r="G35" s="44" t="s">
        <v>445</v>
      </c>
      <c r="H35" s="40"/>
      <c r="I35" s="40"/>
      <c r="K35" s="39" t="str">
        <f>VLOOKUP(A35,原始數據!A:A,1,0)</f>
        <v>202604-034</v>
      </c>
    </row>
    <row r="36" spans="1:11" ht="15" hidden="1" thickBot="1">
      <c r="A36" s="40" t="s">
        <v>101</v>
      </c>
      <c r="B36" s="41" t="s">
        <v>478</v>
      </c>
      <c r="C36" s="40" t="s">
        <v>87</v>
      </c>
      <c r="D36" s="42">
        <v>46135.595833333333</v>
      </c>
      <c r="E36" s="47" t="s">
        <v>459</v>
      </c>
      <c r="F36" s="44" t="s">
        <v>479</v>
      </c>
      <c r="G36" s="44" t="s">
        <v>445</v>
      </c>
      <c r="H36" s="40"/>
      <c r="I36" s="40"/>
      <c r="K36" s="39" t="str">
        <f>VLOOKUP(A36,原始數據!A:A,1,0)</f>
        <v>202604-036</v>
      </c>
    </row>
    <row r="37" spans="1:11" ht="15" hidden="1" thickBot="1">
      <c r="A37" s="40" t="s">
        <v>104</v>
      </c>
      <c r="B37" s="41" t="s">
        <v>105</v>
      </c>
      <c r="C37" s="40" t="s">
        <v>53</v>
      </c>
      <c r="D37" s="42">
        <v>46135.59652777778</v>
      </c>
      <c r="E37" s="43" t="s">
        <v>480</v>
      </c>
      <c r="F37" s="44" t="s">
        <v>481</v>
      </c>
      <c r="G37" s="44" t="s">
        <v>445</v>
      </c>
      <c r="H37" s="40"/>
      <c r="I37" s="40"/>
      <c r="K37" s="39" t="str">
        <f>VLOOKUP(A37,原始數據!A:A,1,0)</f>
        <v>202604-035</v>
      </c>
    </row>
    <row r="38" spans="1:11" ht="15" hidden="1" thickBot="1">
      <c r="A38" s="40" t="s">
        <v>95</v>
      </c>
      <c r="B38" s="41" t="s">
        <v>97</v>
      </c>
      <c r="C38" s="40" t="s">
        <v>53</v>
      </c>
      <c r="D38" s="42">
        <v>46135.696527777778</v>
      </c>
      <c r="E38" s="43" t="s">
        <v>446</v>
      </c>
      <c r="F38" s="44" t="s">
        <v>482</v>
      </c>
      <c r="G38" s="44" t="s">
        <v>445</v>
      </c>
      <c r="H38" s="46" t="s">
        <v>483</v>
      </c>
      <c r="I38" s="40"/>
      <c r="K38" s="39" t="str">
        <f>VLOOKUP(A38,原始數據!A:A,1,0)</f>
        <v>202604-037</v>
      </c>
    </row>
    <row r="39" spans="1:11" ht="15" hidden="1" thickBot="1">
      <c r="A39" s="40" t="s">
        <v>74</v>
      </c>
      <c r="B39" s="41" t="s">
        <v>76</v>
      </c>
      <c r="C39" s="40" t="s">
        <v>78</v>
      </c>
      <c r="D39" s="42">
        <v>46137.640277777777</v>
      </c>
      <c r="E39" s="43" t="s">
        <v>446</v>
      </c>
      <c r="F39" s="44" t="s">
        <v>484</v>
      </c>
      <c r="G39" s="44" t="s">
        <v>445</v>
      </c>
      <c r="H39" s="40"/>
      <c r="I39" s="40"/>
      <c r="K39" s="39" t="str">
        <f>VLOOKUP(A39,原始數據!A:A,1,0)</f>
        <v>202604-041</v>
      </c>
    </row>
    <row r="40" spans="1:11" ht="15" hidden="1" thickBot="1">
      <c r="A40" s="40" t="s">
        <v>81</v>
      </c>
      <c r="B40" s="41" t="s">
        <v>82</v>
      </c>
      <c r="C40" s="40" t="s">
        <v>53</v>
      </c>
      <c r="D40" s="42">
        <v>46137.511805555558</v>
      </c>
      <c r="E40" s="43" t="s">
        <v>446</v>
      </c>
      <c r="F40" s="44" t="s">
        <v>485</v>
      </c>
      <c r="G40" s="44" t="s">
        <v>445</v>
      </c>
      <c r="H40" s="40"/>
      <c r="I40" s="40"/>
      <c r="K40" s="39" t="str">
        <f>VLOOKUP(A40,原始數據!A:A,1,0)</f>
        <v>202604-040</v>
      </c>
    </row>
    <row r="41" spans="1:11" ht="15" hidden="1" thickBot="1">
      <c r="A41" s="40" t="s">
        <v>84</v>
      </c>
      <c r="B41" s="41" t="s">
        <v>85</v>
      </c>
      <c r="C41" s="40" t="s">
        <v>87</v>
      </c>
      <c r="D41" s="42">
        <v>46137.47152777778</v>
      </c>
      <c r="E41" s="43" t="s">
        <v>446</v>
      </c>
      <c r="F41" s="44" t="s">
        <v>486</v>
      </c>
      <c r="G41" s="44" t="s">
        <v>445</v>
      </c>
      <c r="H41" s="40"/>
      <c r="I41" s="40"/>
      <c r="K41" s="39" t="str">
        <f>VLOOKUP(A41,原始數據!A:A,1,0)</f>
        <v>202604-039</v>
      </c>
    </row>
    <row r="42" spans="1:11" ht="15" thickBot="1">
      <c r="A42" s="40" t="s">
        <v>90</v>
      </c>
      <c r="B42" s="41" t="s">
        <v>91</v>
      </c>
      <c r="C42" s="40" t="s">
        <v>53</v>
      </c>
      <c r="D42" s="42">
        <v>46137.455555555556</v>
      </c>
      <c r="E42" s="43" t="s">
        <v>446</v>
      </c>
      <c r="F42" s="44" t="s">
        <v>486</v>
      </c>
      <c r="G42" s="45">
        <v>137</v>
      </c>
      <c r="H42" s="40"/>
      <c r="I42" s="40"/>
      <c r="K42" s="39" t="str">
        <f>VLOOKUP(A42,原始數據!A:A,1,0)</f>
        <v>202604-038</v>
      </c>
    </row>
    <row r="43" spans="1:11" ht="15" hidden="1" thickBot="1">
      <c r="A43" s="40" t="s">
        <v>487</v>
      </c>
      <c r="B43" s="41" t="s">
        <v>488</v>
      </c>
      <c r="C43" s="40" t="s">
        <v>53</v>
      </c>
      <c r="D43" s="42">
        <v>46139.679166666669</v>
      </c>
      <c r="E43" s="43" t="s">
        <v>445</v>
      </c>
      <c r="F43" s="44" t="s">
        <v>445</v>
      </c>
      <c r="G43" s="44" t="s">
        <v>445</v>
      </c>
      <c r="H43" s="40"/>
      <c r="I43" s="40"/>
      <c r="K43" s="39" t="e">
        <f>VLOOKUP(A43,原始數據!A:A,1,0)</f>
        <v>#N/A</v>
      </c>
    </row>
    <row r="44" spans="1:11" ht="15" hidden="1" thickBot="1">
      <c r="A44" s="40">
        <v>20260400072</v>
      </c>
      <c r="B44" s="41" t="s">
        <v>70</v>
      </c>
      <c r="C44" s="40" t="s">
        <v>53</v>
      </c>
      <c r="D44" s="42">
        <v>46137.511805555558</v>
      </c>
      <c r="E44" s="43" t="s">
        <v>452</v>
      </c>
      <c r="F44" s="44" t="s">
        <v>489</v>
      </c>
      <c r="G44" s="44" t="s">
        <v>445</v>
      </c>
      <c r="H44" s="40"/>
      <c r="I44" s="40"/>
      <c r="K44" s="39" t="e">
        <f>VLOOKUP(A44,原始數據!A:A,1,0)</f>
        <v>#N/A</v>
      </c>
    </row>
    <row r="45" spans="1:11" ht="15" hidden="1" thickBot="1">
      <c r="A45" s="40" t="s">
        <v>55</v>
      </c>
      <c r="B45" s="41" t="s">
        <v>58</v>
      </c>
      <c r="C45" s="40" t="s">
        <v>60</v>
      </c>
      <c r="D45" s="42">
        <v>46139.730555555558</v>
      </c>
      <c r="E45" s="43" t="s">
        <v>446</v>
      </c>
      <c r="F45" s="44" t="s">
        <v>490</v>
      </c>
      <c r="G45" s="44" t="s">
        <v>445</v>
      </c>
      <c r="H45" s="40"/>
      <c r="I45" s="40"/>
      <c r="K45" s="39" t="str">
        <f>VLOOKUP(A45,原始數據!A:A,1,0)</f>
        <v>202604-044</v>
      </c>
    </row>
    <row r="46" spans="1:11" ht="15" thickBot="1">
      <c r="A46" s="40" t="s">
        <v>64</v>
      </c>
      <c r="B46" s="41" t="s">
        <v>66</v>
      </c>
      <c r="C46" s="40"/>
      <c r="D46" s="42">
        <v>46139.711111111108</v>
      </c>
      <c r="E46" s="47" t="s">
        <v>459</v>
      </c>
      <c r="F46" s="44" t="s">
        <v>491</v>
      </c>
      <c r="G46" s="45">
        <v>2026</v>
      </c>
      <c r="H46" s="40"/>
      <c r="I46" s="40"/>
      <c r="K46" s="39" t="str">
        <f>VLOOKUP(A46,原始數據!A:A,1,0)</f>
        <v>202604-043</v>
      </c>
    </row>
    <row r="47" spans="1:11" ht="15" hidden="1" thickBot="1">
      <c r="A47" s="40" t="s">
        <v>48</v>
      </c>
      <c r="B47" s="41" t="s">
        <v>51</v>
      </c>
      <c r="C47" s="40" t="s">
        <v>53</v>
      </c>
      <c r="D47" s="42">
        <v>46140.71875</v>
      </c>
      <c r="E47" s="43" t="s">
        <v>445</v>
      </c>
      <c r="F47" s="44" t="s">
        <v>445</v>
      </c>
      <c r="G47" s="44" t="s">
        <v>445</v>
      </c>
      <c r="H47" s="40"/>
      <c r="I47" s="40"/>
    </row>
  </sheetData>
  <autoFilter ref="A1:K47" xr:uid="{70D55927-7564-41CF-96AB-8D7EDF6E8FB4}">
    <filterColumn colId="6">
      <filters>
        <filter val="$1,600"/>
        <filter val="$137"/>
        <filter val="$142"/>
        <filter val="$2,026"/>
        <filter val="$31,300"/>
        <filter val="$38"/>
        <filter val="$499"/>
      </filters>
    </filterColumn>
  </autoFilter>
  <phoneticPr fontId="2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4.1 報修統計</vt:lpstr>
      <vt:lpstr>原始數據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Huang</cp:lastModifiedBy>
  <cp:revision>0</cp:revision>
  <dcterms:created xsi:type="dcterms:W3CDTF">2026-04-29T01:20:04Z</dcterms:created>
  <dcterms:modified xsi:type="dcterms:W3CDTF">2026-04-30T08:33:56Z</dcterms:modified>
  <dc:language>en-US</dc:language>
</cp:coreProperties>
</file>