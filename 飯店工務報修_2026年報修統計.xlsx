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年報修統計" sheetId="1" state="visible" r:id="rId3"/>
    <sheet name="完成率比較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<sst xmlns="http://schemas.openxmlformats.org/spreadsheetml/2006/main" count="50" uniqueCount="38">
  <si>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r>
      <rPr>
        <b val="true"/>
        <sz val="13"/>
        <color rgb="FF1B3A5C"/>
        <rFont val="DejaVu Sans"/>
        <family val="2"/>
      </rPr>
      <t xml:space="preserve">飯店工務報修 — </t>
    </r>
    <r>
      <rPr>
        <b val="true"/>
        <sz val="13"/>
        <color rgb="FF1B3A5C"/>
        <rFont val="DejaVu Sans"/>
        <family val="2"/>
        <charset val="1"/>
      </rPr>
      <t xml:space="preserve">2026</t>
    </r>
    <r>
      <rPr>
        <b val="true"/>
        <sz val="13"/>
        <color rgb="FF1B3A5C"/>
        <rFont val="DejaVu Sans"/>
        <family val="2"/>
      </rPr>
      <t xml:space="preserve">年報修統計</t>
    </r>
  </si>
  <si>
    <t xml:space="preserve">商場報修維護事項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</si>
  <si>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</si>
  <si>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</si>
  <si>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</si>
  <si>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</si>
  <si>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</si>
  <si>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</si>
  <si>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</si>
  <si>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</si>
  <si>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</si>
  <si>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</si>
  <si>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</si>
  <si>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DejaVu Sans"/>
        <family val="2"/>
      </rPr>
      <t xml:space="preserve">月</t>
    </r>
  </si>
  <si>
    <t xml:space="preserve">① 截至上月底累計未結案數</t>
  </si>
  <si>
    <t xml:space="preserve">② 其中本月已結案數</t>
  </si>
  <si>
    <r>
      <rPr>
        <b val="true"/>
        <sz val="10"/>
        <color rgb="FF000000"/>
        <rFont val="DejaVu Sans"/>
        <family val="2"/>
      </rPr>
      <t xml:space="preserve">③ 本月底仍未結案數（① </t>
    </r>
    <r>
      <rPr>
        <b val="true"/>
        <sz val="10"/>
        <color rgb="FF000000"/>
        <rFont val="DejaVu Sans"/>
        <family val="2"/>
        <charset val="1"/>
      </rPr>
      <t xml:space="preserve">- ②</t>
    </r>
    <r>
      <rPr>
        <b val="true"/>
        <sz val="10"/>
        <color rgb="FF000000"/>
        <rFont val="DejaVu Sans"/>
        <family val="2"/>
      </rPr>
      <t xml:space="preserve">）</t>
    </r>
  </si>
  <si>
    <r>
      <rPr>
        <b val="true"/>
        <sz val="10"/>
        <color rgb="FF000000"/>
        <rFont val="DejaVu Sans"/>
        <family val="2"/>
      </rPr>
      <t xml:space="preserve">④ 累計項目完成率（</t>
    </r>
    <r>
      <rPr>
        <b val="true"/>
        <sz val="10"/>
        <color rgb="FF000000"/>
        <rFont val="DejaVu Sans"/>
        <family val="2"/>
        <charset val="1"/>
      </rPr>
      <t xml:space="preserve">%</t>
    </r>
    <r>
      <rPr>
        <b val="true"/>
        <sz val="10"/>
        <color rgb="FF000000"/>
        <rFont val="DejaVu Sans"/>
        <family val="2"/>
      </rPr>
      <t xml:space="preserve">）</t>
    </r>
  </si>
  <si>
    <t xml:space="preserve">⑤ 本月報修項目數</t>
  </si>
  <si>
    <t xml:space="preserve">⑥ 本月報修項目完成數</t>
  </si>
  <si>
    <t xml:space="preserve">⑦ 本月未完成數</t>
  </si>
  <si>
    <r>
      <rPr>
        <b val="true"/>
        <sz val="10"/>
        <color rgb="FF000000"/>
        <rFont val="DejaVu Sans"/>
        <family val="2"/>
      </rPr>
      <t xml:space="preserve">⑧ 本月報修項目完成率（</t>
    </r>
    <r>
      <rPr>
        <b val="true"/>
        <sz val="10"/>
        <color rgb="FF000000"/>
        <rFont val="DejaVu Sans"/>
        <family val="2"/>
        <charset val="1"/>
      </rPr>
      <t xml:space="preserve">%</t>
    </r>
    <r>
      <rPr>
        <b val="true"/>
        <sz val="10"/>
        <color rgb="FF000000"/>
        <rFont val="DejaVu Sans"/>
        <family val="2"/>
      </rPr>
      <t xml:space="preserve">）</t>
    </r>
  </si>
  <si>
    <r>
      <rPr>
        <i val="true"/>
        <sz val="9"/>
        <color rgb="FF444444"/>
        <rFont val="DejaVu Sans"/>
        <family val="2"/>
      </rPr>
      <t xml:space="preserve">【④ 公式說明】  </t>
    </r>
    <r>
      <rPr>
        <i val="true"/>
        <sz val="9"/>
        <color rgb="FF444444"/>
        <rFont val="DejaVu Sans"/>
        <family val="2"/>
        <charset val="1"/>
      </rPr>
      <t xml:space="preserve">1</t>
    </r>
    <r>
      <rPr>
        <i val="true"/>
        <sz val="9"/>
        <color rgb="FF444444"/>
        <rFont val="DejaVu Sans"/>
        <family val="2"/>
      </rPr>
      <t xml:space="preserve">月空白（系統上線首月，無累計基礎）。</t>
    </r>
    <r>
      <rPr>
        <i val="true"/>
        <sz val="9"/>
        <color rgb="FF444444"/>
        <rFont val="DejaVu Sans"/>
        <family val="2"/>
        <charset val="1"/>
      </rPr>
      <t xml:space="preserve">2</t>
    </r>
    <r>
      <rPr>
        <i val="true"/>
        <sz val="9"/>
        <color rgb="FF444444"/>
        <rFont val="DejaVu Sans"/>
        <family val="2"/>
      </rPr>
      <t xml:space="preserve">月起：</t>
    </r>
    <r>
      <rPr>
        <i val="true"/>
        <sz val="9"/>
        <color rgb="FF444444"/>
        <rFont val="DejaVu Sans"/>
        <family val="2"/>
        <charset val="1"/>
      </rPr>
      <t xml:space="preserve">Σ</t>
    </r>
    <r>
      <rPr>
        <i val="true"/>
        <sz val="9"/>
        <color rgb="FF444444"/>
        <rFont val="DejaVu Sans"/>
        <family val="2"/>
      </rPr>
      <t xml:space="preserve">（②</t>
    </r>
    <r>
      <rPr>
        <i val="true"/>
        <sz val="9"/>
        <color rgb="FF444444"/>
        <rFont val="DejaVu Sans"/>
        <family val="2"/>
        <charset val="1"/>
      </rPr>
      <t xml:space="preserve">+⑥</t>
    </r>
    <r>
      <rPr>
        <i val="true"/>
        <sz val="9"/>
        <color rgb="FF444444"/>
        <rFont val="DejaVu Sans"/>
        <family val="2"/>
      </rPr>
      <t xml:space="preserve">）</t>
    </r>
    <r>
      <rPr>
        <i val="true"/>
        <sz val="9"/>
        <color rgb="FF444444"/>
        <rFont val="DejaVu Sans"/>
        <family val="2"/>
        <charset val="1"/>
      </rPr>
      <t xml:space="preserve">÷ Σ⑤   </t>
    </r>
    <r>
      <rPr>
        <i val="true"/>
        <sz val="9"/>
        <color rgb="FF444444"/>
        <rFont val="DejaVu Sans"/>
        <family val="2"/>
      </rPr>
      <t xml:space="preserve">其中 ②</t>
    </r>
    <r>
      <rPr>
        <i val="true"/>
        <sz val="9"/>
        <color rgb="FF444444"/>
        <rFont val="DejaVu Sans"/>
        <family val="2"/>
        <charset val="1"/>
      </rPr>
      <t xml:space="preserve">=</t>
    </r>
    <r>
      <rPr>
        <i val="true"/>
        <sz val="9"/>
        <color rgb="FF444444"/>
        <rFont val="DejaVu Sans"/>
        <family val="2"/>
      </rPr>
      <t xml:space="preserve">舊案本月結案、⑥</t>
    </r>
    <r>
      <rPr>
        <i val="true"/>
        <sz val="9"/>
        <color rgb="FF444444"/>
        <rFont val="DejaVu Sans"/>
        <family val="2"/>
        <charset val="1"/>
      </rPr>
      <t xml:space="preserve">=</t>
    </r>
    <r>
      <rPr>
        <i val="true"/>
        <sz val="9"/>
        <color rgb="FF444444"/>
        <rFont val="DejaVu Sans"/>
        <family val="2"/>
      </rPr>
      <t xml:space="preserve">新案本月結案、⑤</t>
    </r>
    <r>
      <rPr>
        <i val="true"/>
        <sz val="9"/>
        <color rgb="FF444444"/>
        <rFont val="DejaVu Sans"/>
        <family val="2"/>
        <charset val="1"/>
      </rPr>
      <t xml:space="preserve">=</t>
    </r>
    <r>
      <rPr>
        <i val="true"/>
        <sz val="9"/>
        <color rgb="FF444444"/>
        <rFont val="DejaVu Sans"/>
        <family val="2"/>
      </rPr>
      <t xml:space="preserve">本月報修總數，均從</t>
    </r>
    <r>
      <rPr>
        <i val="true"/>
        <sz val="9"/>
        <color rgb="FF444444"/>
        <rFont val="DejaVu Sans"/>
        <family val="2"/>
        <charset val="1"/>
      </rPr>
      <t xml:space="preserve">1</t>
    </r>
    <r>
      <rPr>
        <i val="true"/>
        <sz val="9"/>
        <color rgb="FF444444"/>
        <rFont val="DejaVu Sans"/>
        <family val="2"/>
      </rPr>
      <t xml:space="preserve">月累計至當月</t>
    </r>
  </si>
  <si>
    <r>
      <rPr>
        <strike val="true"/>
        <sz val="10"/>
        <color rgb="FF888888"/>
        <rFont val="Arial"/>
        <family val="0"/>
        <charset val="1"/>
      </rPr>
      <t xml:space="preserve">H</t>
    </r>
    <r>
      <rPr>
        <strike val="true"/>
        <sz val="10"/>
        <color rgb="FF888888"/>
        <rFont val="DejaVu Sans"/>
        <family val="2"/>
      </rPr>
      <t xml:space="preserve">（歷史基數，已停用 — 僅供「完成率比較」</t>
    </r>
    <r>
      <rPr>
        <strike val="true"/>
        <sz val="10"/>
        <color rgb="FF888888"/>
        <rFont val="Arial"/>
        <family val="0"/>
        <charset val="1"/>
      </rPr>
      <t xml:space="preserve">Sheet </t>
    </r>
    <r>
      <rPr>
        <strike val="true"/>
        <sz val="10"/>
        <color rgb="FF888888"/>
        <rFont val="DejaVu Sans"/>
        <family val="2"/>
      </rPr>
      <t xml:space="preserve">參考）</t>
    </r>
  </si>
  <si>
    <r>
      <rPr>
        <i val="true"/>
        <sz val="9"/>
        <color rgb="FF888888"/>
        <rFont val="DejaVu Sans"/>
        <family val="2"/>
      </rPr>
      <t xml:space="preserve">← ④ 已改為純</t>
    </r>
    <r>
      <rPr>
        <i val="true"/>
        <sz val="9"/>
        <color rgb="FF888888"/>
        <rFont val="DejaVu Sans"/>
        <family val="2"/>
        <charset val="1"/>
      </rPr>
      <t xml:space="preserve">2026</t>
    </r>
    <r>
      <rPr>
        <i val="true"/>
        <sz val="9"/>
        <color rgb="FF888888"/>
        <rFont val="DejaVu Sans"/>
        <family val="2"/>
      </rPr>
      <t xml:space="preserve">算法（</t>
    </r>
    <r>
      <rPr>
        <i val="true"/>
        <sz val="9"/>
        <color rgb="FF888888"/>
        <rFont val="DejaVu Sans"/>
        <family val="2"/>
        <charset val="1"/>
      </rPr>
      <t xml:space="preserve">Σ⑥ ÷ Σ⑤</t>
    </r>
    <r>
      <rPr>
        <i val="true"/>
        <sz val="9"/>
        <color rgb="FF888888"/>
        <rFont val="DejaVu Sans"/>
        <family val="2"/>
      </rPr>
      <t xml:space="preserve">），</t>
    </r>
    <r>
      <rPr>
        <i val="true"/>
        <sz val="9"/>
        <color rgb="FF888888"/>
        <rFont val="DejaVu Sans"/>
        <family val="2"/>
        <charset val="1"/>
      </rPr>
      <t xml:space="preserve">H </t>
    </r>
    <r>
      <rPr>
        <i val="true"/>
        <sz val="9"/>
        <color rgb="FF888888"/>
        <rFont val="DejaVu Sans"/>
        <family val="2"/>
      </rPr>
      <t xml:space="preserve">值不再使用於主表</t>
    </r>
  </si>
  <si>
    <r>
      <rPr>
        <sz val="9"/>
        <color rgb="FF0000FF"/>
        <rFont val="DejaVu Sans"/>
        <family val="2"/>
      </rPr>
      <t xml:space="preserve">■ 藍色 </t>
    </r>
    <r>
      <rPr>
        <sz val="9"/>
        <color rgb="FF0000FF"/>
        <rFont val="DejaVu Sans"/>
        <family val="2"/>
        <charset val="1"/>
      </rPr>
      <t xml:space="preserve">= </t>
    </r>
    <r>
      <rPr>
        <sz val="9"/>
        <color rgb="FF0000FF"/>
        <rFont val="DejaVu Sans"/>
        <family val="2"/>
      </rPr>
      <t xml:space="preserve">輸入值（可修改）</t>
    </r>
  </si>
  <si>
    <r>
      <rPr>
        <sz val="9"/>
        <color rgb="FF000000"/>
        <rFont val="DejaVu Sans"/>
        <family val="2"/>
      </rPr>
      <t xml:space="preserve">■ 黑色 </t>
    </r>
    <r>
      <rPr>
        <sz val="9"/>
        <color rgb="FF000000"/>
        <rFont val="DejaVu Sans"/>
        <family val="2"/>
        <charset val="1"/>
      </rPr>
      <t xml:space="preserve">= </t>
    </r>
    <r>
      <rPr>
        <sz val="9"/>
        <color rgb="FF000000"/>
        <rFont val="DejaVu Sans"/>
        <family val="2"/>
      </rPr>
      <t xml:space="preserve">公式（自動計算，勿直接修改）</t>
    </r>
  </si>
  <si>
    <r>
      <rPr>
        <sz val="9"/>
        <color rgb="FFAA8800"/>
        <rFont val="DejaVu Sans"/>
        <family val="2"/>
      </rPr>
      <t xml:space="preserve">■ 黃底 </t>
    </r>
    <r>
      <rPr>
        <sz val="9"/>
        <color rgb="FFAA8800"/>
        <rFont val="DejaVu Sans"/>
        <family val="2"/>
        <charset val="1"/>
      </rPr>
      <t xml:space="preserve">= </t>
    </r>
    <r>
      <rPr>
        <sz val="9"/>
        <color rgb="FFAA8800"/>
        <rFont val="DejaVu Sans"/>
        <family val="2"/>
      </rPr>
      <t xml:space="preserve">關鍵假設（</t>
    </r>
    <r>
      <rPr>
        <sz val="9"/>
        <color rgb="FFAA8800"/>
        <rFont val="DejaVu Sans"/>
        <family val="2"/>
        <charset val="1"/>
      </rPr>
      <t xml:space="preserve">H </t>
    </r>
    <r>
      <rPr>
        <sz val="9"/>
        <color rgb="FFAA8800"/>
        <rFont val="DejaVu Sans"/>
        <family val="2"/>
      </rPr>
      <t xml:space="preserve">值）</t>
    </r>
  </si>
  <si>
    <r>
      <rPr>
        <b val="true"/>
        <sz val="13"/>
        <color rgb="FF1B3A5C"/>
        <rFont val="DejaVu Sans"/>
        <family val="2"/>
      </rPr>
      <t xml:space="preserve">飯店工務報修 — </t>
    </r>
    <r>
      <rPr>
        <b val="true"/>
        <sz val="13"/>
        <color rgb="FF1B3A5C"/>
        <rFont val="DejaVu Sans"/>
        <family val="2"/>
        <charset val="1"/>
      </rPr>
      <t xml:space="preserve">2026</t>
    </r>
    <r>
      <rPr>
        <b val="true"/>
        <sz val="13"/>
        <color rgb="FF1B3A5C"/>
        <rFont val="DejaVu Sans"/>
        <family val="2"/>
      </rPr>
      <t xml:space="preserve">年累計完成率算法比較</t>
    </r>
  </si>
  <si>
    <r>
      <rPr>
        <b val="true"/>
        <sz val="10"/>
        <color rgb="FFFFFFFF"/>
        <rFont val="DejaVu Sans"/>
        <family val="2"/>
      </rPr>
      <t xml:space="preserve">算法 </t>
    </r>
    <r>
      <rPr>
        <b val="true"/>
        <sz val="10"/>
        <color rgb="FFFFFFFF"/>
        <rFont val="DejaVu Sans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月份</t>
    </r>
  </si>
  <si>
    <r>
      <rPr>
        <b val="true"/>
        <strike val="true"/>
        <sz val="10"/>
        <color rgb="FF888888"/>
        <rFont val="DejaVu Sans"/>
        <family val="2"/>
      </rPr>
      <t xml:space="preserve">舊算法④  含 </t>
    </r>
    <r>
      <rPr>
        <b val="true"/>
        <strike val="true"/>
        <sz val="10"/>
        <color rgb="FF888888"/>
        <rFont val="Arial"/>
        <family val="0"/>
        <charset val="1"/>
      </rPr>
      <t xml:space="preserve">H=1,322 </t>
    </r>
    <r>
      <rPr>
        <b val="true"/>
        <strike val="true"/>
        <sz val="10"/>
        <color rgb="FF888888"/>
        <rFont val="DejaVu Sans"/>
        <family val="2"/>
      </rPr>
      <t xml:space="preserve">歷史基數（停用，僅供對照）</t>
    </r>
  </si>
  <si>
    <r>
      <rPr>
        <b val="true"/>
        <sz val="10"/>
        <color rgb="FF1B5E20"/>
        <rFont val="DejaVu Sans"/>
        <family val="2"/>
      </rPr>
      <t xml:space="preserve">★ 現行④  純</t>
    </r>
    <r>
      <rPr>
        <b val="true"/>
        <sz val="10"/>
        <color rgb="FF1B5E20"/>
        <rFont val="Arial"/>
        <family val="0"/>
        <charset val="1"/>
      </rPr>
      <t xml:space="preserve">2026</t>
    </r>
    <r>
      <rPr>
        <b val="true"/>
        <sz val="10"/>
        <color rgb="FF1B5E20"/>
        <rFont val="DejaVu Sans"/>
        <family val="2"/>
      </rPr>
      <t xml:space="preserve">：</t>
    </r>
    <r>
      <rPr>
        <b val="true"/>
        <sz val="10"/>
        <color rgb="FF1B5E20"/>
        <rFont val="Arial"/>
        <family val="0"/>
        <charset val="1"/>
      </rPr>
      <t xml:space="preserve">Σ(②+⑥) ÷ Σ⑤</t>
    </r>
    <r>
      <rPr>
        <b val="true"/>
        <sz val="10"/>
        <color rgb="FF1B5E20"/>
        <rFont val="DejaVu Sans"/>
        <family val="2"/>
      </rPr>
      <t xml:space="preserve">，</t>
    </r>
    <r>
      <rPr>
        <b val="true"/>
        <sz val="10"/>
        <color rgb="FF1B5E20"/>
        <rFont val="Arial"/>
        <family val="0"/>
        <charset val="1"/>
      </rPr>
      <t xml:space="preserve">1</t>
    </r>
    <r>
      <rPr>
        <b val="true"/>
        <sz val="10"/>
        <color rgb="FF1B5E20"/>
        <rFont val="DejaVu Sans"/>
        <family val="2"/>
      </rPr>
      <t xml:space="preserve">月空白</t>
    </r>
  </si>
  <si>
    <r>
      <rPr>
        <b val="true"/>
        <sz val="10"/>
        <color rgb="FFE65100"/>
        <rFont val="DejaVu Sans"/>
        <family val="2"/>
      </rPr>
      <t xml:space="preserve">差異   原始④ </t>
    </r>
    <r>
      <rPr>
        <b val="true"/>
        <sz val="10"/>
        <color rgb="FFE65100"/>
        <rFont val="DejaVu Sans"/>
        <family val="2"/>
        <charset val="1"/>
      </rPr>
      <t xml:space="preserve">- </t>
    </r>
    <r>
      <rPr>
        <b val="true"/>
        <sz val="10"/>
        <color rgb="FFE65100"/>
        <rFont val="DejaVu Sans"/>
        <family val="2"/>
      </rPr>
      <t xml:space="preserve">做法</t>
    </r>
    <r>
      <rPr>
        <b val="true"/>
        <sz val="10"/>
        <color rgb="FFE65100"/>
        <rFont val="DejaVu Sans"/>
        <family val="2"/>
        <charset val="1"/>
      </rPr>
      <t xml:space="preserve">B</t>
    </r>
    <r>
      <rPr>
        <b val="true"/>
        <sz val="10"/>
        <color rgb="FFE65100"/>
        <rFont val="DejaVu Sans"/>
        <family val="2"/>
      </rPr>
      <t xml:space="preserve">（正值</t>
    </r>
    <r>
      <rPr>
        <b val="true"/>
        <sz val="10"/>
        <color rgb="FFE65100"/>
        <rFont val="DejaVu Sans"/>
        <family val="2"/>
        <charset val="1"/>
      </rPr>
      <t xml:space="preserve">=</t>
    </r>
    <r>
      <rPr>
        <b val="true"/>
        <sz val="10"/>
        <color rgb="FFE65100"/>
        <rFont val="DejaVu Sans"/>
        <family val="2"/>
      </rPr>
      <t xml:space="preserve">原始偏高）</t>
    </r>
  </si>
  <si>
    <r>
      <rPr>
        <i val="true"/>
        <sz val="9"/>
        <color rgb="FF888888"/>
        <rFont val="DejaVu Sans"/>
        <family val="2"/>
      </rPr>
      <t xml:space="preserve">【現行④ 公式】  </t>
    </r>
    <r>
      <rPr>
        <i val="true"/>
        <sz val="9"/>
        <color rgb="FF888888"/>
        <rFont val="DejaVu Sans"/>
        <family val="2"/>
        <charset val="1"/>
      </rPr>
      <t xml:space="preserve">2</t>
    </r>
    <r>
      <rPr>
        <i val="true"/>
        <sz val="9"/>
        <color rgb="FF888888"/>
        <rFont val="DejaVu Sans"/>
        <family val="2"/>
      </rPr>
      <t xml:space="preserve">月起：分子 </t>
    </r>
    <r>
      <rPr>
        <i val="true"/>
        <sz val="9"/>
        <color rgb="FF888888"/>
        <rFont val="DejaVu Sans"/>
        <family val="2"/>
        <charset val="1"/>
      </rPr>
      <t xml:space="preserve">= Σ②</t>
    </r>
    <r>
      <rPr>
        <i val="true"/>
        <sz val="9"/>
        <color rgb="FF888888"/>
        <rFont val="DejaVu Sans"/>
        <family val="2"/>
      </rPr>
      <t xml:space="preserve">（累計舊案結案）＋ </t>
    </r>
    <r>
      <rPr>
        <i val="true"/>
        <sz val="9"/>
        <color rgb="FF888888"/>
        <rFont val="DejaVu Sans"/>
        <family val="2"/>
        <charset val="1"/>
      </rPr>
      <t xml:space="preserve">Σ⑥</t>
    </r>
    <r>
      <rPr>
        <i val="true"/>
        <sz val="9"/>
        <color rgb="FF888888"/>
        <rFont val="DejaVu Sans"/>
        <family val="2"/>
      </rPr>
      <t xml:space="preserve">（累計新案結案）　分母 </t>
    </r>
    <r>
      <rPr>
        <i val="true"/>
        <sz val="9"/>
        <color rgb="FF888888"/>
        <rFont val="DejaVu Sans"/>
        <family val="2"/>
        <charset val="1"/>
      </rPr>
      <t xml:space="preserve">= Σ⑤</t>
    </r>
    <r>
      <rPr>
        <i val="true"/>
        <sz val="9"/>
        <color rgb="FF888888"/>
        <rFont val="DejaVu Sans"/>
        <family val="2"/>
      </rPr>
      <t xml:space="preserve">（累計報修）　</t>
    </r>
    <r>
      <rPr>
        <i val="true"/>
        <sz val="9"/>
        <color rgb="FF888888"/>
        <rFont val="DejaVu Sans"/>
        <family val="2"/>
        <charset val="1"/>
      </rPr>
      <t xml:space="preserve">1</t>
    </r>
    <r>
      <rPr>
        <i val="true"/>
        <sz val="9"/>
        <color rgb="FF888888"/>
        <rFont val="DejaVu Sans"/>
        <family val="2"/>
      </rPr>
      <t xml:space="preserve">月空白（系統上線首月）</t>
    </r>
  </si>
  <si>
    <t xml:space="preserve">⑤ 本月報修項目數（輸入值）</t>
  </si>
  <si>
    <t xml:space="preserve">⑥ 本月報修中已完工數（輸入值）</t>
  </si>
  <si>
    <r>
      <rPr>
        <sz val="10"/>
        <color rgb="FF888888"/>
        <rFont val="Arial"/>
        <family val="0"/>
        <charset val="1"/>
      </rPr>
      <t xml:space="preserve">Σ⑤ </t>
    </r>
    <r>
      <rPr>
        <sz val="10"/>
        <color rgb="FF888888"/>
        <rFont val="DejaVu Sans"/>
        <family val="2"/>
      </rPr>
      <t xml:space="preserve">累計報修（做法</t>
    </r>
    <r>
      <rPr>
        <sz val="10"/>
        <color rgb="FF888888"/>
        <rFont val="Arial"/>
        <family val="0"/>
        <charset val="1"/>
      </rPr>
      <t xml:space="preserve">B </t>
    </r>
    <r>
      <rPr>
        <sz val="10"/>
        <color rgb="FF888888"/>
        <rFont val="DejaVu Sans"/>
        <family val="2"/>
      </rPr>
      <t xml:space="preserve">分母）</t>
    </r>
  </si>
  <si>
    <r>
      <rPr>
        <sz val="10"/>
        <color rgb="FF888888"/>
        <rFont val="Arial"/>
        <family val="0"/>
        <charset val="1"/>
      </rPr>
      <t xml:space="preserve">Σ⑥ </t>
    </r>
    <r>
      <rPr>
        <sz val="10"/>
        <color rgb="FF888888"/>
        <rFont val="DejaVu Sans"/>
        <family val="2"/>
      </rPr>
      <t xml:space="preserve">累計完工（做法</t>
    </r>
    <r>
      <rPr>
        <sz val="10"/>
        <color rgb="FF888888"/>
        <rFont val="Arial"/>
        <family val="0"/>
        <charset val="1"/>
      </rPr>
      <t xml:space="preserve">B </t>
    </r>
    <r>
      <rPr>
        <sz val="10"/>
        <color rgb="FF888888"/>
        <rFont val="DejaVu Sans"/>
        <family val="2"/>
      </rPr>
      <t xml:space="preserve">分子）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</si>
</sst>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"/>
    <numFmt numFmtId="168" formatCode="\+0.0%;\-0.0%;\-"/>
    <numFmt numFmtId="169" formatCode="#,##0;\-;\-"/>
    <numFmt numFmtId="170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A5C"/>
      <name val="DejaVu Sans"/>
      <family val="2"/>
    </font>
    <font>
      <b val="true"/>
      <sz val="13"/>
      <color rgb="FF1B3A5C"/>
      <name val="DejaVu Sans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DejaVu Sans"/>
      <family val="2"/>
      <charset val="1"/>
    </font>
    <font>
      <sz val="10"/>
      <color rgb="FF000000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color rgb="FF444444"/>
      <name val="DejaVu Sans"/>
      <family val="2"/>
    </font>
    <font>
      <i val="true"/>
      <sz val="9"/>
      <color rgb="FF444444"/>
      <name val="DejaVu Sans"/>
      <family val="2"/>
      <charset val="1"/>
    </font>
    <font>
      <strike val="true"/>
      <sz val="10"/>
      <color rgb="FF888888"/>
      <name val="Arial"/>
      <family val="0"/>
      <charset val="1"/>
    </font>
    <font>
      <strike val="true"/>
      <sz val="10"/>
      <color rgb="FF888888"/>
      <name val="DejaVu Sans"/>
      <family val="2"/>
    </font>
    <font>
      <b val="true"/>
      <strike val="true"/>
      <sz val="10"/>
      <color rgb="FF888888"/>
      <name val="Arial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DejaVu Sans"/>
      <family val="2"/>
      <charset val="1"/>
    </font>
    <font>
      <sz val="9"/>
      <color rgb="FF0000FF"/>
      <name val="DejaVu Sans"/>
      <family val="2"/>
    </font>
    <font>
      <sz val="9"/>
      <color rgb="FF0000FF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sz val="9"/>
      <color rgb="FFAA8800"/>
      <name val="DejaVu Sans"/>
      <family val="2"/>
    </font>
    <font>
      <sz val="9"/>
      <color rgb="FFAA8800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b val="true"/>
      <strike val="true"/>
      <sz val="10"/>
      <color rgb="FF888888"/>
      <name val="DejaVu Sans"/>
      <family val="2"/>
    </font>
    <font>
      <b val="true"/>
      <sz val="10"/>
      <color rgb="FF1B5E20"/>
      <name val="DejaVu Sans"/>
      <family val="2"/>
    </font>
    <font>
      <b val="true"/>
      <sz val="10"/>
      <color rgb="FF1B5E20"/>
      <name val="Arial"/>
      <family val="0"/>
      <charset val="1"/>
    </font>
    <font>
      <b val="true"/>
      <sz val="10"/>
      <color rgb="FFE65100"/>
      <name val="DejaVu Sans"/>
      <family val="2"/>
    </font>
    <font>
      <b val="true"/>
      <sz val="10"/>
      <color rgb="FFE65100"/>
      <name val="DejaVu Sans"/>
      <family val="2"/>
      <charset val="1"/>
    </font>
    <font>
      <sz val="10"/>
      <color rgb="FF888888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1B3A5C"/>
        <bgColor rgb="FF333399"/>
      </patternFill>
    </fill>
    <fill>
      <patternFill patternType="solid">
        <fgColor rgb="FFD9EAF7"/>
        <bgColor rgb="FFE8F5E9"/>
      </patternFill>
    </fill>
    <fill>
      <patternFill patternType="solid">
        <fgColor rgb="FFF2F7FC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2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AA8800"/>
      <rgbColor rgb="FF800080"/>
      <rgbColor rgb="FF008080"/>
      <rgbColor rgb="FFCCCCCC"/>
      <rgbColor rgb="FF888888"/>
      <rgbColor rgb="FF9999FF"/>
      <rgbColor rgb="FF993366"/>
      <rgbColor rgb="FFFFFDE7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7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B3B3B3"/>
      <rgbColor rgb="FF1B3A5C"/>
      <rgbColor rgb="FF2E7D32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累計完成率算法比較（2026年）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"原始④（含H=1,322）"</c:f>
              <c:strCache>
                <c:ptCount val="1"/>
                <c:pt idx="0">
                  <c:v>原始④（含H=1,322）</c:v>
                </c:pt>
              </c:strCache>
            </c:strRef>
          </c:tx>
          <c:spPr>
            <a:solidFill>
              <a:srgbClr val="1B3A5C"/>
            </a:solidFill>
            <a:ln w="24840">
              <a:solidFill>
                <a:srgbClr val="1B3A5C"/>
              </a:solidFill>
              <a:round/>
            </a:ln>
          </c:spPr>
          <c:marker>
            <c:symbol val="circle"/>
            <c:size val="6"/>
            <c:spPr>
              <a:solidFill>
                <a:srgbClr val="1B3A5C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完成率比較!$B$4</c:f>
              <c:numCache>
                <c:formatCode>0.0%</c:formatCode>
                <c:ptCount val="1"/>
                <c:pt idx="0">
                  <c:v>0.971997510889857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"做法B（純2026：Σ⑥÷Σ⑤）"</c:f>
              <c:strCache>
                <c:ptCount val="1"/>
                <c:pt idx="0">
                  <c:v>做法B（純2026：Σ⑥÷Σ⑤）</c:v>
                </c:pt>
              </c:strCache>
            </c:strRef>
          </c:tx>
          <c:spPr>
            <a:solidFill>
              <a:srgbClr val="2E7D32"/>
            </a:solidFill>
            <a:ln w="24840">
              <a:solidFill>
                <a:srgbClr val="2E7D32"/>
              </a:solidFill>
              <a:round/>
            </a:ln>
          </c:spPr>
          <c:marker>
            <c:symbol val="diamond"/>
            <c:size val="6"/>
            <c:spPr>
              <a:solidFill>
                <a:srgbClr val="2E7D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完成率比較!$C$4</c:f>
              <c:numCache>
                <c:formatCode>0.0%</c:formatCode>
                <c:ptCount val="1"/>
                <c:pt idx="0">
                  <c:v>0.92228512609367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完成率比較!$D$4</c:f>
              <c:numCache>
                <c:formatCode>0.0%</c:formatCode>
                <c:ptCount val="1"/>
                <c:pt idx="0">
                  <c:v>0.922119815668203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完成率比較!$E$4</c:f>
              <c:numCache>
                <c:formatCode>0.0%</c:formatCode>
                <c:ptCount val="1"/>
                <c:pt idx="0">
                  <c:v>0.893097643097643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完成率比較!$F$4</c:f>
              <c:numCache>
                <c:formatCode>0.0%</c:formatCode>
                <c:ptCount val="1"/>
                <c:pt idx="0">
                  <c:v>0.880518428513568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完成率比較!$G$4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完成率比較!$B$5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完成率比較!$C$5</c:f>
              <c:numCache>
                <c:formatCode>0.0%</c:formatCode>
                <c:ptCount val="1"/>
                <c:pt idx="0">
                  <c:v>0.756843800322061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完成率比較!$D$5</c:f>
              <c:numCache>
                <c:formatCode>0.0%</c:formatCode>
                <c:ptCount val="1"/>
                <c:pt idx="0">
                  <c:v>0.800707547169811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完成率比較!$E$5</c:f>
              <c:numCache>
                <c:formatCode>0.0%</c:formatCode>
                <c:ptCount val="1"/>
                <c:pt idx="0">
                  <c:v>0.759013282732448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完成率比較!$F$5</c:f>
              <c:numCache>
                <c:formatCode>0.0%</c:formatCode>
                <c:ptCount val="1"/>
                <c:pt idx="0">
                  <c:v>0.742807323452485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完成率比較!$B$3:$G$3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完成率比較!$G$5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7662724"/>
        <c:axId val="79982181"/>
      </c:lineChart>
      <c:catAx>
        <c:axId val="47662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82181"/>
        <c:crosses val="autoZero"/>
        <c:auto val="1"/>
        <c:lblAlgn val="ctr"/>
        <c:lblOffset val="100"/>
        <c:noMultiLvlLbl val="0"/>
      </c:catAx>
      <c:valAx>
        <c:axId val="79982181"/>
        <c:scaling>
          <c:orientation val="minMax"/>
          <c:max val="1"/>
          <c:min val="0.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完成率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627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11</xdr:col>
      <xdr:colOff>180720</xdr:colOff>
      <xdr:row>39</xdr:row>
      <xdr:rowOff>86040</xdr:rowOff>
    </xdr:to>
    <xdr:graphicFrame>
      <xdr:nvGraphicFramePr>
        <xdr:cNvPr id="1" name="Chart 1"/>
        <xdr:cNvGraphicFramePr/>
      </xdr:nvGraphicFramePr>
      <xdr:xfrm>
        <a:off x="0" y="2886120"/>
        <a:ext cx="863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9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customFormat="false" ht="19.5" hidden="false" customHeight="true" outlineLevel="0" collapsed="false">
      <c r="A3" s="5" t="s">
        <v>14</v>
      </c>
      <c r="B3" s="6" t="n">
        <v>0</v>
      </c>
      <c r="C3" s="6" t="n">
        <v>45</v>
      </c>
      <c r="D3" s="6" t="n">
        <v>151</v>
      </c>
      <c r="E3" s="6" t="n">
        <v>169</v>
      </c>
      <c r="F3" s="7" t="n">
        <v>254</v>
      </c>
      <c r="G3" s="6"/>
      <c r="H3" s="6"/>
      <c r="I3" s="6"/>
      <c r="J3" s="6"/>
      <c r="K3" s="6"/>
      <c r="L3" s="6"/>
      <c r="M3" s="6"/>
    </row>
    <row r="4" customFormat="false" ht="19.5" hidden="false" customHeight="true" outlineLevel="0" collapsed="false">
      <c r="A4" s="8" t="s">
        <v>15</v>
      </c>
      <c r="B4" s="9" t="n">
        <v>0</v>
      </c>
      <c r="C4" s="9" t="n">
        <v>27</v>
      </c>
      <c r="D4" s="9" t="n">
        <v>29</v>
      </c>
      <c r="E4" s="9" t="n">
        <v>4</v>
      </c>
      <c r="F4" s="7" t="n">
        <v>22</v>
      </c>
      <c r="G4" s="9"/>
      <c r="H4" s="9"/>
      <c r="I4" s="9"/>
      <c r="J4" s="9"/>
      <c r="K4" s="9"/>
      <c r="L4" s="9"/>
      <c r="M4" s="9"/>
    </row>
    <row r="5" customFormat="false" ht="19.5" hidden="false" customHeight="true" outlineLevel="0" collapsed="false">
      <c r="A5" s="5" t="s">
        <v>16</v>
      </c>
      <c r="B5" s="10" t="n">
        <f aca="false">IF(B3="","",B3-B4)</f>
        <v>0</v>
      </c>
      <c r="C5" s="10" t="n">
        <f aca="false">IF(C3="","",C3-C4)</f>
        <v>18</v>
      </c>
      <c r="D5" s="10" t="n">
        <f aca="false">IF(D3="","",D3-D4)</f>
        <v>122</v>
      </c>
      <c r="E5" s="10" t="n">
        <f aca="false">IF(E3="","",E3-E4)</f>
        <v>165</v>
      </c>
      <c r="F5" s="11" t="n">
        <f aca="false">IF(F3="","",F3-F4)</f>
        <v>232</v>
      </c>
      <c r="G5" s="10" t="str">
        <f aca="false">IF(G3="","",G3-G4)</f>
        <v/>
      </c>
      <c r="H5" s="10" t="str">
        <f aca="false">IF(H3="","",H3-H4)</f>
        <v/>
      </c>
      <c r="I5" s="10" t="str">
        <f aca="false">IF(I3="","",I3-I4)</f>
        <v/>
      </c>
      <c r="J5" s="10" t="str">
        <f aca="false">IF(J3="","",J3-J4)</f>
        <v/>
      </c>
      <c r="K5" s="10" t="str">
        <f aca="false">IF(K3="","",K3-K4)</f>
        <v/>
      </c>
      <c r="L5" s="10" t="str">
        <f aca="false">IF(L3="","",L3-L4)</f>
        <v/>
      </c>
      <c r="M5" s="10" t="str">
        <f aca="false">IF(M3="","",M3-M4)</f>
        <v/>
      </c>
    </row>
    <row r="6" customFormat="false" ht="19.5" hidden="false" customHeight="true" outlineLevel="0" collapsed="false">
      <c r="A6" s="8" t="s">
        <v>17</v>
      </c>
      <c r="B6" s="12"/>
      <c r="C6" s="13" t="n">
        <f aca="false">IFERROR(IF(C7="","",(SUM($B$4:C4)+SUM($B$8:C8))/SUM($B$7:C7)),"")</f>
        <v>0.756843800322061</v>
      </c>
      <c r="D6" s="13" t="n">
        <f aca="false">IFERROR(IF(D7="","",(SUM($B$4:D4)+SUM($B$8:D8))/SUM($B$7:D7)),"")</f>
        <v>0.800707547169811</v>
      </c>
      <c r="E6" s="13" t="n">
        <f aca="false">IFERROR(IF(E7="","",(SUM($B$4:E4)+SUM($B$8:E8))/SUM($B$7:E7)),"")</f>
        <v>0.759013282732448</v>
      </c>
      <c r="F6" s="14" t="n">
        <f aca="false">IFERROR(IF(F7="","",(SUM($B$4:F4)+SUM($B$8:F8))/SUM($B$7:F7)),"")</f>
        <v>0.742807323452485</v>
      </c>
      <c r="G6" s="13" t="str">
        <f aca="false">IFERROR(IF(G7="","",(SUM($B$4:G4)+SUM($B$8:G8))/SUM($B$7:G7)),"")</f>
        <v/>
      </c>
      <c r="H6" s="13" t="str">
        <f aca="false">IFERROR(IF(H7="","",(SUM($B$4:H4)+SUM($B$8:H8))/SUM($B$7:H7)),"")</f>
        <v/>
      </c>
      <c r="I6" s="13" t="str">
        <f aca="false">IFERROR(IF(I7="","",(SUM($B$4:I4)+SUM($B$8:I8))/SUM($B$7:I7)),"")</f>
        <v/>
      </c>
      <c r="J6" s="13" t="str">
        <f aca="false">IFERROR(IF(J7="","",(SUM($B$4:J4)+SUM($B$8:J8))/SUM($B$7:J7)),"")</f>
        <v/>
      </c>
      <c r="K6" s="13" t="str">
        <f aca="false">IFERROR(IF(K7="","",(SUM($B$4:K4)+SUM($B$8:K8))/SUM($B$7:K7)),"")</f>
        <v/>
      </c>
      <c r="L6" s="13" t="str">
        <f aca="false">IFERROR(IF(L7="","",(SUM($B$4:L4)+SUM($B$8:L8))/SUM($B$7:L7)),"")</f>
        <v/>
      </c>
      <c r="M6" s="13" t="str">
        <f aca="false">IFERROR(IF(M7="","",(SUM($B$4:M4)+SUM($B$8:M8))/SUM($B$7:M7)),"")</f>
        <v/>
      </c>
    </row>
    <row r="7" customFormat="false" ht="19.5" hidden="false" customHeight="true" outlineLevel="0" collapsed="false">
      <c r="A7" s="5" t="s">
        <v>18</v>
      </c>
      <c r="B7" s="6" t="n">
        <v>285</v>
      </c>
      <c r="C7" s="6" t="n">
        <v>336</v>
      </c>
      <c r="D7" s="6" t="n">
        <v>227</v>
      </c>
      <c r="E7" s="6" t="n">
        <v>206</v>
      </c>
      <c r="F7" s="7" t="n">
        <v>93</v>
      </c>
      <c r="G7" s="6"/>
      <c r="H7" s="6"/>
      <c r="I7" s="6"/>
      <c r="J7" s="6"/>
      <c r="K7" s="6"/>
      <c r="L7" s="6"/>
      <c r="M7" s="6"/>
    </row>
    <row r="8" customFormat="false" ht="19.5" hidden="false" customHeight="true" outlineLevel="0" collapsed="false">
      <c r="A8" s="8" t="s">
        <v>19</v>
      </c>
      <c r="B8" s="9" t="n">
        <v>240</v>
      </c>
      <c r="C8" s="9" t="n">
        <v>203</v>
      </c>
      <c r="D8" s="9" t="n">
        <v>180</v>
      </c>
      <c r="E8" s="9" t="n">
        <v>117</v>
      </c>
      <c r="F8" s="7" t="n">
        <v>30</v>
      </c>
      <c r="G8" s="9"/>
      <c r="H8" s="9"/>
      <c r="I8" s="9"/>
      <c r="J8" s="9"/>
      <c r="K8" s="9"/>
      <c r="L8" s="9"/>
      <c r="M8" s="9"/>
    </row>
    <row r="9" customFormat="false" ht="19.5" hidden="false" customHeight="true" outlineLevel="0" collapsed="false">
      <c r="A9" s="5" t="s">
        <v>20</v>
      </c>
      <c r="B9" s="10" t="n">
        <f aca="false">IF(B7="","",B7-B8)</f>
        <v>45</v>
      </c>
      <c r="C9" s="10" t="n">
        <f aca="false">IF(C7="","",C7-C8)</f>
        <v>133</v>
      </c>
      <c r="D9" s="10" t="n">
        <f aca="false">IF(D7="","",D7-D8)</f>
        <v>47</v>
      </c>
      <c r="E9" s="10" t="n">
        <f aca="false">IF(E7="","",E7-E8)</f>
        <v>89</v>
      </c>
      <c r="F9" s="11" t="n">
        <f aca="false">IF(F7="","",F7-F8)</f>
        <v>63</v>
      </c>
      <c r="G9" s="10" t="str">
        <f aca="false">IF(G7="","",G7-G8)</f>
        <v/>
      </c>
      <c r="H9" s="10" t="str">
        <f aca="false">IF(H7="","",H7-H8)</f>
        <v/>
      </c>
      <c r="I9" s="10" t="str">
        <f aca="false">IF(I7="","",I7-I8)</f>
        <v/>
      </c>
      <c r="J9" s="10" t="str">
        <f aca="false">IF(J7="","",J7-J8)</f>
        <v/>
      </c>
      <c r="K9" s="10" t="str">
        <f aca="false">IF(K7="","",K7-K8)</f>
        <v/>
      </c>
      <c r="L9" s="10" t="str">
        <f aca="false">IF(L7="","",L7-L8)</f>
        <v/>
      </c>
      <c r="M9" s="10" t="str">
        <f aca="false">IF(M7="","",M7-M8)</f>
        <v/>
      </c>
    </row>
    <row r="10" customFormat="false" ht="19.5" hidden="false" customHeight="true" outlineLevel="0" collapsed="false">
      <c r="A10" s="8" t="s">
        <v>21</v>
      </c>
      <c r="B10" s="13" t="n">
        <f aca="false">IFERROR(IF(B7="","",B8/B7),"")</f>
        <v>0.842105263157895</v>
      </c>
      <c r="C10" s="13" t="n">
        <f aca="false">IFERROR(IF(C7="","",C8/C7),"")</f>
        <v>0.604166666666667</v>
      </c>
      <c r="D10" s="13" t="n">
        <f aca="false">IFERROR(IF(D7="","",D8/D7),"")</f>
        <v>0.79295154185022</v>
      </c>
      <c r="E10" s="13" t="n">
        <f aca="false">IFERROR(IF(E7="","",E8/E7),"")</f>
        <v>0.567961165048544</v>
      </c>
      <c r="F10" s="14" t="n">
        <f aca="false">IFERROR(IF(F7="","",F8/F7),"")</f>
        <v>0.32258064516129</v>
      </c>
      <c r="G10" s="13" t="str">
        <f aca="false">IFERROR(IF(G7="","",G8/G7),"")</f>
        <v/>
      </c>
      <c r="H10" s="13" t="str">
        <f aca="false">IFERROR(IF(H7="","",H8/H7),"")</f>
        <v/>
      </c>
      <c r="I10" s="13" t="str">
        <f aca="false">IFERROR(IF(I7="","",I8/I7),"")</f>
        <v/>
      </c>
      <c r="J10" s="13" t="str">
        <f aca="false">IFERROR(IF(J7="","",J8/J7),"")</f>
        <v/>
      </c>
      <c r="K10" s="13" t="str">
        <f aca="false">IFERROR(IF(K7="","",K8/K7),"")</f>
        <v/>
      </c>
      <c r="L10" s="13" t="str">
        <f aca="false">IFERROR(IF(L7="","",L8/L7),"")</f>
        <v/>
      </c>
      <c r="M10" s="13" t="str">
        <f aca="false">IFERROR(IF(M7="","",M8/M7),"")</f>
        <v/>
      </c>
    </row>
    <row r="11" customFormat="false" ht="6" hidden="false" customHeight="true" outlineLevel="0" collapsed="false"/>
    <row r="12" customFormat="false" ht="18" hidden="false" customHeight="true" outlineLevel="0" collapsed="false">
      <c r="A12" s="15" t="s">
        <v>22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customFormat="false" ht="21.75" hidden="false" customHeight="true" outlineLevel="0" collapsed="false">
      <c r="A13" s="16" t="s">
        <v>23</v>
      </c>
      <c r="B13" s="17" t="n">
        <v>1322</v>
      </c>
      <c r="C13" s="18" t="s">
        <v>24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5" customFormat="false" ht="15.75" hidden="false" customHeight="true" outlineLevel="0" collapsed="false">
      <c r="A15" s="19" t="s">
        <v>25</v>
      </c>
      <c r="D15" s="20" t="s">
        <v>26</v>
      </c>
      <c r="H15" s="21" t="s">
        <v>27</v>
      </c>
    </row>
  </sheetData>
  <mergeCells count="3">
    <mergeCell ref="A1:M1"/>
    <mergeCell ref="A12:M12"/>
    <mergeCell ref="C13: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9"/>
  </cols>
  <sheetData>
    <row r="1" customFormat="false" ht="25.5" hidden="false" customHeight="true" outlineLevel="0" collapsed="false">
      <c r="A1" s="22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6" hidden="false" customHeight="true" outlineLevel="0" collapsed="false"/>
    <row r="3" customFormat="false" ht="21.75" hidden="false" customHeight="true" outlineLevel="0" collapsed="false">
      <c r="A3" s="3" t="s">
        <v>29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customFormat="false" ht="21.75" hidden="false" customHeight="true" outlineLevel="0" collapsed="false">
      <c r="A4" s="23" t="s">
        <v>30</v>
      </c>
      <c r="B4" s="24" t="n">
        <f aca="false">IFERROR(IF('2026年報修統計'!B7="","",('2026年報修統計'!$B$13+SUM('2026年報修統計'!$B$4:B4)+SUM('2026年報修統計'!$B$8:B8))/('2026年報修統計'!$B$13+SUM('2026年報修統計'!$B$7:B7))),"")</f>
        <v>0.971997510889857</v>
      </c>
      <c r="C4" s="24" t="n">
        <f aca="false">IFERROR(IF('2026年報修統計'!C7="","",('2026年報修統計'!$B$13+SUM('2026年報修統計'!$B$4:C4)+SUM('2026年報修統計'!$B$8:C8))/('2026年報修統計'!$B$13+SUM('2026年報修統計'!$B$7:C7))),"")</f>
        <v>0.92228512609367</v>
      </c>
      <c r="D4" s="24" t="n">
        <f aca="false">IFERROR(IF('2026年報修統計'!D7="","",('2026年報修統計'!$B$13+SUM('2026年報修統計'!$B$4:D4)+SUM('2026年報修統計'!$B$8:D8))/('2026年報修統計'!$B$13+SUM('2026年報修統計'!$B$7:D7))),"")</f>
        <v>0.922119815668203</v>
      </c>
      <c r="E4" s="24" t="n">
        <f aca="false">IFERROR(IF('2026年報修統計'!E7="","",('2026年報修統計'!$B$13+SUM('2026年報修統計'!$B$4:E4)+SUM('2026年報修統計'!$B$8:E8))/('2026年報修統計'!$B$13+SUM('2026年報修統計'!$B$7:E7))),"")</f>
        <v>0.893097643097643</v>
      </c>
      <c r="F4" s="24" t="n">
        <f aca="false">IFERROR(IF('2026年報修統計'!F7="","",('2026年報修統計'!$B$13+SUM('2026年報修統計'!$B$4:F4)+SUM('2026年報修統計'!$B$8:F8))/('2026年報修統計'!$B$13+SUM('2026年報修統計'!$B$7:F7))),"")</f>
        <v>0.880518428513568</v>
      </c>
      <c r="G4" s="24" t="str">
        <f aca="false">IFERROR(IF('2026年報修統計'!G7="","",('2026年報修統計'!$B$13+SUM('2026年報修統計'!$B$4:G4)+SUM('2026年報修統計'!$B$8:G8))/('2026年報修統計'!$B$13+SUM('2026年報修統計'!$B$7:G7))),"")</f>
        <v/>
      </c>
      <c r="H4" s="24" t="str">
        <f aca="false">IFERROR(IF('2026年報修統計'!H7="","",('2026年報修統計'!$B$13+SUM('2026年報修統計'!$B$4:H4)+SUM('2026年報修統計'!$B$8:H8))/('2026年報修統計'!$B$13+SUM('2026年報修統計'!$B$7:H7))),"")</f>
        <v/>
      </c>
      <c r="I4" s="24" t="str">
        <f aca="false">IFERROR(IF('2026年報修統計'!I7="","",('2026年報修統計'!$B$13+SUM('2026年報修統計'!$B$4:I4)+SUM('2026年報修統計'!$B$8:I8))/('2026年報修統計'!$B$13+SUM('2026年報修統計'!$B$7:I7))),"")</f>
        <v/>
      </c>
      <c r="J4" s="24" t="str">
        <f aca="false">IFERROR(IF('2026年報修統計'!J7="","",('2026年報修統計'!$B$13+SUM('2026年報修統計'!$B$4:J4)+SUM('2026年報修統計'!$B$8:J8))/('2026年報修統計'!$B$13+SUM('2026年報修統計'!$B$7:J7))),"")</f>
        <v/>
      </c>
      <c r="K4" s="24" t="str">
        <f aca="false">IFERROR(IF('2026年報修統計'!K7="","",('2026年報修統計'!$B$13+SUM('2026年報修統計'!$B$4:K4)+SUM('2026年報修統計'!$B$8:K8))/('2026年報修統計'!$B$13+SUM('2026年報修統計'!$B$7:K7))),"")</f>
        <v/>
      </c>
      <c r="L4" s="24" t="str">
        <f aca="false">IFERROR(IF('2026年報修統計'!L7="","",('2026年報修統計'!$B$13+SUM('2026年報修統計'!$B$4:L4)+SUM('2026年報修統計'!$B$8:L8))/('2026年報修統計'!$B$13+SUM('2026年報修統計'!$B$7:L7))),"")</f>
        <v/>
      </c>
      <c r="M4" s="24" t="str">
        <f aca="false">IFERROR(IF('2026年報修統計'!M7="","",('2026年報修統計'!$B$13+SUM('2026年報修統計'!$B$4:M4)+SUM('2026年報修統計'!$B$8:M8))/('2026年報修統計'!$B$13+SUM('2026年報修統計'!$B$7:M7))),"")</f>
        <v/>
      </c>
    </row>
    <row r="5" customFormat="false" ht="21.75" hidden="false" customHeight="true" outlineLevel="0" collapsed="false">
      <c r="A5" s="25" t="s">
        <v>31</v>
      </c>
      <c r="B5" s="26"/>
      <c r="C5" s="27" t="n">
        <f aca="false">IFERROR(IF('2026年報修統計'!C7="","",(SUM('2026年報修統計'!$B$4:C4)+SUM('2026年報修統計'!$B$8:C8))/SUM('2026年報修統計'!$B$7:C7)),"")</f>
        <v>0.756843800322061</v>
      </c>
      <c r="D5" s="27" t="n">
        <f aca="false">IFERROR(IF('2026年報修統計'!D7="","",(SUM('2026年報修統計'!$B$4:D4)+SUM('2026年報修統計'!$B$8:D8))/SUM('2026年報修統計'!$B$7:D7)),"")</f>
        <v>0.800707547169811</v>
      </c>
      <c r="E5" s="27" t="n">
        <f aca="false">IFERROR(IF('2026年報修統計'!E7="","",(SUM('2026年報修統計'!$B$4:E4)+SUM('2026年報修統計'!$B$8:E8))/SUM('2026年報修統計'!$B$7:E7)),"")</f>
        <v>0.759013282732448</v>
      </c>
      <c r="F5" s="27" t="n">
        <f aca="false">IFERROR(IF('2026年報修統計'!F7="","",(SUM('2026年報修統計'!$B$4:F4)+SUM('2026年報修統計'!$B$8:F8))/SUM('2026年報修統計'!$B$7:F7)),"")</f>
        <v>0.742807323452485</v>
      </c>
      <c r="G5" s="27" t="str">
        <f aca="false">IFERROR(IF('2026年報修統計'!G7="","",(SUM('2026年報修統計'!$B$4:G4)+SUM('2026年報修統計'!$B$8:G8))/SUM('2026年報修統計'!$B$7:G7)),"")</f>
        <v/>
      </c>
      <c r="H5" s="27" t="str">
        <f aca="false">IFERROR(IF('2026年報修統計'!H7="","",(SUM('2026年報修統計'!$B$4:H4)+SUM('2026年報修統計'!$B$8:H8))/SUM('2026年報修統計'!$B$7:H7)),"")</f>
        <v/>
      </c>
      <c r="I5" s="27" t="str">
        <f aca="false">IFERROR(IF('2026年報修統計'!I7="","",(SUM('2026年報修統計'!$B$4:I4)+SUM('2026年報修統計'!$B$8:I8))/SUM('2026年報修統計'!$B$7:I7)),"")</f>
        <v/>
      </c>
      <c r="J5" s="27" t="str">
        <f aca="false">IFERROR(IF('2026年報修統計'!J7="","",(SUM('2026年報修統計'!$B$4:J4)+SUM('2026年報修統計'!$B$8:J8))/SUM('2026年報修統計'!$B$7:J7)),"")</f>
        <v/>
      </c>
      <c r="K5" s="27" t="str">
        <f aca="false">IFERROR(IF('2026年報修統計'!K7="","",(SUM('2026年報修統計'!$B$4:K4)+SUM('2026年報修統計'!$B$8:K8))/SUM('2026年報修統計'!$B$7:K7)),"")</f>
        <v/>
      </c>
      <c r="L5" s="27" t="str">
        <f aca="false">IFERROR(IF('2026年報修統計'!L7="","",(SUM('2026年報修統計'!$B$4:L4)+SUM('2026年報修統計'!$B$8:L8))/SUM('2026年報修統計'!$B$7:L7)),"")</f>
        <v/>
      </c>
      <c r="M5" s="27" t="str">
        <f aca="false">IFERROR(IF('2026年報修統計'!M7="","",(SUM('2026年報修統計'!$B$4:M4)+SUM('2026年報修統計'!$B$8:M8))/SUM('2026年報修統計'!$B$7:M7)),"")</f>
        <v/>
      </c>
    </row>
    <row r="6" customFormat="false" ht="21.75" hidden="false" customHeight="true" outlineLevel="0" collapsed="false">
      <c r="A6" s="28" t="s">
        <v>32</v>
      </c>
      <c r="B6" s="29" t="str">
        <f aca="false">IFERROR(IF(OR(B4="",B5=""),"",B4-B5),"")</f>
        <v/>
      </c>
      <c r="C6" s="29" t="n">
        <f aca="false">IFERROR(IF(OR(C4="",C5=""),"",C4-C5),"")</f>
        <v>0.165441325771608</v>
      </c>
      <c r="D6" s="29" t="n">
        <f aca="false">IFERROR(IF(OR(D4="",D5=""),"",D4-D5),"")</f>
        <v>0.121412268498391</v>
      </c>
      <c r="E6" s="29" t="n">
        <f aca="false">IFERROR(IF(OR(E4="",E5=""),"",E4-E5),"")</f>
        <v>0.134084360365195</v>
      </c>
      <c r="F6" s="30" t="n">
        <f aca="false">IFERROR(IF(OR(F4="",F5=""),"",F4-F5),"")</f>
        <v>0.137711105061083</v>
      </c>
      <c r="G6" s="29" t="str">
        <f aca="false">IFERROR(IF(OR(G4="",G5=""),"",G4-G5),"")</f>
        <v/>
      </c>
      <c r="H6" s="29" t="str">
        <f aca="false">IFERROR(IF(OR(H4="",H5=""),"",H4-H5),"")</f>
        <v/>
      </c>
      <c r="I6" s="29" t="str">
        <f aca="false">IFERROR(IF(OR(I4="",I5=""),"",I4-I5),"")</f>
        <v/>
      </c>
      <c r="J6" s="29" t="str">
        <f aca="false">IFERROR(IF(OR(J4="",J5=""),"",J4-J5),"")</f>
        <v/>
      </c>
      <c r="K6" s="29" t="str">
        <f aca="false">IFERROR(IF(OR(K4="",K5=""),"",K4-K5),"")</f>
        <v/>
      </c>
      <c r="L6" s="29" t="str">
        <f aca="false">IFERROR(IF(OR(L4="",L5=""),"",L4-L5),"")</f>
        <v/>
      </c>
      <c r="M6" s="29" t="str">
        <f aca="false">IFERROR(IF(OR(M4="",M5=""),"",M4-M5),"")</f>
        <v/>
      </c>
    </row>
    <row r="7" customFormat="false" ht="6" hidden="false" customHeight="true" outlineLevel="0" collapsed="false"/>
    <row r="8" customFormat="false" ht="15.75" hidden="false" customHeight="true" outlineLevel="0" collapsed="false">
      <c r="A8" s="31" t="s">
        <v>33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customFormat="false" ht="18" hidden="false" customHeight="true" outlineLevel="0" collapsed="false">
      <c r="A9" s="32" t="s">
        <v>34</v>
      </c>
      <c r="B9" s="33" t="n">
        <f aca="false">'2026年報修統計'!B7</f>
        <v>285</v>
      </c>
      <c r="C9" s="33" t="n">
        <f aca="false">'2026年報修統計'!C7</f>
        <v>336</v>
      </c>
      <c r="D9" s="33" t="n">
        <f aca="false">'2026年報修統計'!D7</f>
        <v>227</v>
      </c>
      <c r="E9" s="33" t="n">
        <f aca="false">'2026年報修統計'!E7</f>
        <v>206</v>
      </c>
      <c r="F9" s="33" t="n">
        <f aca="false">'2026年報修統計'!F7</f>
        <v>93</v>
      </c>
      <c r="G9" s="33" t="n">
        <f aca="false">'2026年報修統計'!G7</f>
        <v>0</v>
      </c>
      <c r="H9" s="33" t="n">
        <f aca="false">'2026年報修統計'!H7</f>
        <v>0</v>
      </c>
      <c r="I9" s="33" t="n">
        <f aca="false">'2026年報修統計'!I7</f>
        <v>0</v>
      </c>
      <c r="J9" s="33" t="n">
        <f aca="false">'2026年報修統計'!J7</f>
        <v>0</v>
      </c>
      <c r="K9" s="33" t="n">
        <f aca="false">'2026年報修統計'!K7</f>
        <v>0</v>
      </c>
      <c r="L9" s="33" t="n">
        <f aca="false">'2026年報修統計'!L7</f>
        <v>0</v>
      </c>
      <c r="M9" s="33" t="n">
        <f aca="false">'2026年報修統計'!M7</f>
        <v>0</v>
      </c>
    </row>
    <row r="10" customFormat="false" ht="18" hidden="false" customHeight="true" outlineLevel="0" collapsed="false">
      <c r="A10" s="34" t="s">
        <v>35</v>
      </c>
      <c r="B10" s="35" t="n">
        <f aca="false">'2026年報修統計'!B8</f>
        <v>240</v>
      </c>
      <c r="C10" s="35" t="n">
        <f aca="false">'2026年報修統計'!C8</f>
        <v>203</v>
      </c>
      <c r="D10" s="35" t="n">
        <f aca="false">'2026年報修統計'!D8</f>
        <v>180</v>
      </c>
      <c r="E10" s="35" t="n">
        <f aca="false">'2026年報修統計'!E8</f>
        <v>117</v>
      </c>
      <c r="F10" s="35" t="n">
        <f aca="false">'2026年報修統計'!F8</f>
        <v>30</v>
      </c>
      <c r="G10" s="35" t="n">
        <f aca="false">'2026年報修統計'!G8</f>
        <v>0</v>
      </c>
      <c r="H10" s="35" t="n">
        <f aca="false">'2026年報修統計'!H8</f>
        <v>0</v>
      </c>
      <c r="I10" s="35" t="n">
        <f aca="false">'2026年報修統計'!I8</f>
        <v>0</v>
      </c>
      <c r="J10" s="35" t="n">
        <f aca="false">'2026年報修統計'!J8</f>
        <v>0</v>
      </c>
      <c r="K10" s="35" t="n">
        <f aca="false">'2026年報修統計'!K8</f>
        <v>0</v>
      </c>
      <c r="L10" s="35" t="n">
        <f aca="false">'2026年報修統計'!L8</f>
        <v>0</v>
      </c>
      <c r="M10" s="35" t="n">
        <f aca="false">'2026年報修統計'!M8</f>
        <v>0</v>
      </c>
    </row>
    <row r="11" customFormat="false" ht="18" hidden="false" customHeight="true" outlineLevel="0" collapsed="false">
      <c r="A11" s="36" t="s">
        <v>36</v>
      </c>
      <c r="B11" s="33" t="n">
        <f aca="false">IFERROR(IF('2026年報修統計'!B7="","",SUM('2026年報修統計'!$B$7:B7)),"")</f>
        <v>285</v>
      </c>
      <c r="C11" s="33" t="n">
        <f aca="false">IFERROR(IF('2026年報修統計'!C7="","",SUM('2026年報修統計'!$B$7:C7)),"")</f>
        <v>621</v>
      </c>
      <c r="D11" s="33" t="n">
        <f aca="false">IFERROR(IF('2026年報修統計'!D7="","",SUM('2026年報修統計'!$B$7:D7)),"")</f>
        <v>848</v>
      </c>
      <c r="E11" s="33" t="n">
        <f aca="false">IFERROR(IF('2026年報修統計'!E7="","",SUM('2026年報修統計'!$B$7:E7)),"")</f>
        <v>1054</v>
      </c>
      <c r="F11" s="33" t="n">
        <f aca="false">IFERROR(IF('2026年報修統計'!F7="","",SUM('2026年報修統計'!$B$7:F7)),"")</f>
        <v>1147</v>
      </c>
      <c r="G11" s="33" t="str">
        <f aca="false">IFERROR(IF('2026年報修統計'!G7="","",SUM('2026年報修統計'!$B$7:G7)),"")</f>
        <v/>
      </c>
      <c r="H11" s="33" t="str">
        <f aca="false">IFERROR(IF('2026年報修統計'!H7="","",SUM('2026年報修統計'!$B$7:H7)),"")</f>
        <v/>
      </c>
      <c r="I11" s="33" t="str">
        <f aca="false">IFERROR(IF('2026年報修統計'!I7="","",SUM('2026年報修統計'!$B$7:I7)),"")</f>
        <v/>
      </c>
      <c r="J11" s="33" t="str">
        <f aca="false">IFERROR(IF('2026年報修統計'!J7="","",SUM('2026年報修統計'!$B$7:J7)),"")</f>
        <v/>
      </c>
      <c r="K11" s="33" t="str">
        <f aca="false">IFERROR(IF('2026年報修統計'!K7="","",SUM('2026年報修統計'!$B$7:K7)),"")</f>
        <v/>
      </c>
      <c r="L11" s="33" t="str">
        <f aca="false">IFERROR(IF('2026年報修統計'!L7="","",SUM('2026年報修統計'!$B$7:L7)),"")</f>
        <v/>
      </c>
      <c r="M11" s="33" t="str">
        <f aca="false">IFERROR(IF('2026年報修統計'!M7="","",SUM('2026年報修統計'!$B$7:M7)),"")</f>
        <v/>
      </c>
    </row>
    <row r="12" customFormat="false" ht="18" hidden="false" customHeight="true" outlineLevel="0" collapsed="false">
      <c r="A12" s="37" t="s">
        <v>37</v>
      </c>
      <c r="B12" s="35" t="n">
        <f aca="false">IFERROR(IF('2026年報修統計'!B8="","",SUM('2026年報修統計'!$B$8:B8)),"")</f>
        <v>240</v>
      </c>
      <c r="C12" s="35" t="n">
        <f aca="false">IFERROR(IF('2026年報修統計'!C8="","",SUM('2026年報修統計'!$B$8:C8)),"")</f>
        <v>443</v>
      </c>
      <c r="D12" s="35" t="n">
        <f aca="false">IFERROR(IF('2026年報修統計'!D8="","",SUM('2026年報修統計'!$B$8:D8)),"")</f>
        <v>623</v>
      </c>
      <c r="E12" s="35" t="n">
        <f aca="false">IFERROR(IF('2026年報修統計'!E8="","",SUM('2026年報修統計'!$B$8:E8)),"")</f>
        <v>740</v>
      </c>
      <c r="F12" s="35" t="n">
        <f aca="false">IFERROR(IF('2026年報修統計'!F8="","",SUM('2026年報修統計'!$B$8:F8)),"")</f>
        <v>770</v>
      </c>
      <c r="G12" s="35" t="str">
        <f aca="false">IFERROR(IF('2026年報修統計'!G8="","",SUM('2026年報修統計'!$B$8:G8)),"")</f>
        <v/>
      </c>
      <c r="H12" s="35" t="str">
        <f aca="false">IFERROR(IF('2026年報修統計'!H8="","",SUM('2026年報修統計'!$B$8:H8)),"")</f>
        <v/>
      </c>
      <c r="I12" s="35" t="str">
        <f aca="false">IFERROR(IF('2026年報修統計'!I8="","",SUM('2026年報修統計'!$B$8:I8)),"")</f>
        <v/>
      </c>
      <c r="J12" s="35" t="str">
        <f aca="false">IFERROR(IF('2026年報修統計'!J8="","",SUM('2026年報修統計'!$B$8:J8)),"")</f>
        <v/>
      </c>
      <c r="K12" s="35" t="str">
        <f aca="false">IFERROR(IF('2026年報修統計'!K8="","",SUM('2026年報修統計'!$B$8:K8)),"")</f>
        <v/>
      </c>
      <c r="L12" s="35" t="str">
        <f aca="false">IFERROR(IF('2026年報修統計'!L8="","",SUM('2026年報修統計'!$B$8:L8)),"")</f>
        <v/>
      </c>
      <c r="M12" s="35" t="str">
        <f aca="false">IFERROR(IF('2026年報修統計'!M8="","",SUM('2026年報修統計'!$B$8:M8)),"")</f>
        <v/>
      </c>
    </row>
  </sheetData>
  <mergeCells count="2">
    <mergeCell ref="A1:M1"/>
    <mergeCell ref="A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2026-05-12T07:32:40Z</dcterms:created>
  <dc:creator>openpyxl</dc:creator>
  <dc:description/>
  <dc:language>en-US</dc:language>
  <cp:lastModifiedBy/>
  <dcterms:modified xsi:type="dcterms:W3CDTF">2026-05-12T08:17:15Z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