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d14d3036a2a384b/_Ragic/portal/"/>
    </mc:Choice>
  </mc:AlternateContent>
  <xr:revisionPtr revIDLastSave="1" documentId="11_6024DB6FBF72BE6E233ADAD43078BF655A5B95D6" xr6:coauthVersionLast="47" xr6:coauthVersionMax="47" xr10:uidLastSave="{992C9A73-33A2-4C47-A041-9F43A600DB4D}"/>
  <bookViews>
    <workbookView xWindow="30600" yWindow="-120" windowWidth="29040" windowHeight="17520" tabRatio="500" activeTab="1" xr2:uid="{00000000-000D-0000-FFFF-FFFF00000000}"/>
  </bookViews>
  <sheets>
    <sheet name="工作表1" sheetId="1" r:id="rId1"/>
    <sheet name="KPI核對總表" sheetId="2" r:id="rId2"/>
    <sheet name="A.上期未結(5件)" sheetId="3" r:id="rId3"/>
    <sheet name="C.已完成(34件)" sheetId="4" r:id="rId4"/>
    <sheet name="D.待辦驗(5件)" sheetId="5" r:id="rId5"/>
    <sheet name="E.未完成(17件)" sheetId="6" r:id="rId6"/>
    <sheet name="F.當月金額明細" sheetId="7" r:id="rId7"/>
    <sheet name="F2.YTD金額明細(1~4月)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5" i="8" l="1"/>
  <c r="G46" i="8" s="1"/>
  <c r="G45" i="8"/>
  <c r="F45" i="8"/>
  <c r="F46" i="8" s="1"/>
  <c r="H15" i="7"/>
  <c r="G15" i="7"/>
  <c r="F15" i="7"/>
  <c r="F16" i="7" s="1"/>
  <c r="J38" i="4"/>
  <c r="I38" i="4"/>
  <c r="H38" i="4"/>
  <c r="E38" i="4"/>
</calcChain>
</file>

<file path=xl/sharedStrings.xml><?xml version="1.0" encoding="utf-8"?>
<sst xmlns="http://schemas.openxmlformats.org/spreadsheetml/2006/main" count="1806" uniqueCount="478">
  <si>
    <t>報修編號</t>
  </si>
  <si>
    <t>標題</t>
  </si>
  <si>
    <t>狀態</t>
  </si>
  <si>
    <t>報修人姓名</t>
  </si>
  <si>
    <t>報修類型</t>
  </si>
  <si>
    <t>發生樓層</t>
  </si>
  <si>
    <t>報修日期</t>
  </si>
  <si>
    <t>負責單位</t>
  </si>
  <si>
    <t>完工時間</t>
  </si>
  <si>
    <t>處理狀況</t>
  </si>
  <si>
    <t>待修天數</t>
  </si>
  <si>
    <t>待修工時</t>
  </si>
  <si>
    <t>維修工時</t>
  </si>
  <si>
    <t>委外費用</t>
  </si>
  <si>
    <t>維修費用</t>
  </si>
  <si>
    <t>驗收者</t>
  </si>
  <si>
    <t>結案人</t>
  </si>
  <si>
    <t>扣款專櫃</t>
  </si>
  <si>
    <t>扣款費用</t>
  </si>
  <si>
    <t>財務備註</t>
  </si>
  <si>
    <t>驗收時間</t>
  </si>
  <si>
    <t>結案時間</t>
  </si>
  <si>
    <t>202605-029</t>
  </si>
  <si>
    <r>
      <rPr>
        <sz val="7"/>
        <color rgb="FF385460"/>
        <rFont val="Inherit"/>
        <family val="2"/>
        <charset val="1"/>
      </rPr>
      <t>2</t>
    </r>
    <r>
      <rPr>
        <sz val="7"/>
        <color rgb="FF385460"/>
        <rFont val="DejaVu Sans"/>
        <family val="2"/>
      </rPr>
      <t>樓男廁小便斗旁的牆壁爆裂</t>
    </r>
  </si>
  <si>
    <t>張茂盛</t>
  </si>
  <si>
    <r>
      <rPr>
        <sz val="7"/>
        <color rgb="FF385460"/>
        <rFont val="DejaVu Sans"/>
        <family val="2"/>
      </rPr>
      <t xml:space="preserve">建築 </t>
    </r>
    <r>
      <rPr>
        <sz val="7"/>
        <color rgb="FF385460"/>
        <rFont val="Inherit"/>
        <family val="2"/>
        <charset val="1"/>
      </rPr>
      <t>&amp;</t>
    </r>
    <r>
      <rPr>
        <sz val="7"/>
        <color rgb="FF385460"/>
        <rFont val="DejaVu Sans"/>
        <family val="2"/>
      </rPr>
      <t>裝置藝術</t>
    </r>
  </si>
  <si>
    <t>2F</t>
  </si>
  <si>
    <t>工務</t>
  </si>
  <si>
    <t>202605-028</t>
  </si>
  <si>
    <t>出紙機出紙沒力</t>
  </si>
  <si>
    <t>衛厠</t>
  </si>
  <si>
    <t>202605-027</t>
  </si>
  <si>
    <r>
      <rPr>
        <sz val="7"/>
        <color rgb="FF385460"/>
        <rFont val="Inherit"/>
        <family val="2"/>
        <charset val="1"/>
      </rPr>
      <t>2</t>
    </r>
    <r>
      <rPr>
        <sz val="7"/>
        <color rgb="FF385460"/>
        <rFont val="DejaVu Sans"/>
        <family val="2"/>
      </rPr>
      <t>樓男廁最裡面小便斗旁的牆面玻璃破裂</t>
    </r>
  </si>
  <si>
    <t>郝寬蕊</t>
  </si>
  <si>
    <t>內裝</t>
  </si>
  <si>
    <t>202605-026</t>
  </si>
  <si>
    <t>停車場地下</t>
  </si>
  <si>
    <t>顏家聖</t>
  </si>
  <si>
    <t>B2F</t>
  </si>
  <si>
    <r>
      <rPr>
        <sz val="7"/>
        <color rgb="FF385460"/>
        <rFont val="Inherit"/>
        <family val="2"/>
        <charset val="1"/>
      </rPr>
      <t>2</t>
    </r>
    <r>
      <rPr>
        <sz val="7"/>
        <color rgb="FF385460"/>
        <rFont val="DejaVu Sans"/>
        <family val="2"/>
      </rPr>
      <t>樓酒店門前面柱子</t>
    </r>
  </si>
  <si>
    <t>廣告牌歪斜</t>
  </si>
  <si>
    <t>202605-025</t>
  </si>
  <si>
    <r>
      <rPr>
        <sz val="7"/>
        <color rgb="FF385460"/>
        <rFont val="DejaVu Sans"/>
        <family val="2"/>
      </rPr>
      <t>停車場地下</t>
    </r>
    <r>
      <rPr>
        <sz val="7"/>
        <color rgb="FF385460"/>
        <rFont val="Inherit"/>
        <family val="2"/>
        <charset val="1"/>
      </rPr>
      <t>3</t>
    </r>
    <r>
      <rPr>
        <sz val="7"/>
        <color rgb="FF385460"/>
        <rFont val="DejaVu Sans"/>
        <family val="2"/>
      </rPr>
      <t>樓繳費機旁</t>
    </r>
  </si>
  <si>
    <t>202605-024</t>
  </si>
  <si>
    <r>
      <rPr>
        <sz val="7"/>
        <color rgb="FF385460"/>
        <rFont val="Inherit"/>
        <family val="2"/>
        <charset val="1"/>
      </rPr>
      <t>2</t>
    </r>
    <r>
      <rPr>
        <sz val="7"/>
        <color rgb="FF385460"/>
        <rFont val="DejaVu Sans"/>
        <family val="2"/>
      </rPr>
      <t>樓廣告牌歪斜</t>
    </r>
  </si>
  <si>
    <r>
      <rPr>
        <sz val="7"/>
        <color rgb="FF385460"/>
        <rFont val="Inherit"/>
        <family val="2"/>
        <charset val="1"/>
      </rPr>
      <t xml:space="preserve">1-01 </t>
    </r>
    <r>
      <rPr>
        <sz val="7"/>
        <color rgb="FF385460"/>
        <rFont val="DejaVu Sans"/>
        <family val="2"/>
      </rPr>
      <t xml:space="preserve">櫃 </t>
    </r>
    <r>
      <rPr>
        <sz val="7"/>
        <color rgb="FF385460"/>
        <rFont val="Inherit"/>
        <family val="2"/>
        <charset val="1"/>
      </rPr>
      <t xml:space="preserve">WOOLLOOMOOLOO </t>
    </r>
    <r>
      <rPr>
        <sz val="7"/>
        <color rgb="FF385460"/>
        <rFont val="DejaVu Sans"/>
        <family val="2"/>
      </rPr>
      <t>玻璃門故障維修</t>
    </r>
  </si>
  <si>
    <t>1F</t>
  </si>
  <si>
    <t>202605-022</t>
  </si>
  <si>
    <t>三樓女廁進來第一間馬通不通 第二間廁所一直反鎖著</t>
  </si>
  <si>
    <r>
      <rPr>
        <sz val="7"/>
        <color rgb="FF385460"/>
        <rFont val="DejaVu Sans"/>
        <family val="2"/>
      </rPr>
      <t>服務台</t>
    </r>
    <r>
      <rPr>
        <sz val="7"/>
        <color rgb="FF385460"/>
        <rFont val="Inherit"/>
        <family val="2"/>
        <charset val="1"/>
      </rPr>
      <t>PT</t>
    </r>
  </si>
  <si>
    <t>3F</t>
  </si>
  <si>
    <t>待辦驗</t>
  </si>
  <si>
    <t>202605-021</t>
  </si>
  <si>
    <t>停車場車道因雨涇流至雨水溝無法洩流，使車道積水</t>
  </si>
  <si>
    <r>
      <rPr>
        <sz val="7"/>
        <color rgb="FF385460"/>
        <rFont val="DejaVu Sans"/>
        <family val="2"/>
      </rPr>
      <t>給</t>
    </r>
    <r>
      <rPr>
        <sz val="7"/>
        <color rgb="FF385460"/>
        <rFont val="Inherit"/>
        <family val="2"/>
        <charset val="1"/>
      </rPr>
      <t>&amp;</t>
    </r>
    <r>
      <rPr>
        <sz val="7"/>
        <color rgb="FF385460"/>
        <rFont val="DejaVu Sans"/>
        <family val="2"/>
      </rPr>
      <t>排水</t>
    </r>
  </si>
  <si>
    <t>B1F</t>
  </si>
  <si>
    <t>202605-020</t>
  </si>
  <si>
    <r>
      <rPr>
        <sz val="7"/>
        <color rgb="FF385460"/>
        <rFont val="Inherit"/>
        <family val="2"/>
        <charset val="1"/>
      </rPr>
      <t>3-06</t>
    </r>
    <r>
      <rPr>
        <sz val="7"/>
        <color rgb="FF385460"/>
        <rFont val="DejaVu Sans"/>
        <family val="2"/>
      </rPr>
      <t>專櫃內空調測試時間申請</t>
    </r>
    <r>
      <rPr>
        <sz val="7"/>
        <color rgb="FF385460"/>
        <rFont val="Inherit"/>
        <family val="2"/>
        <charset val="1"/>
      </rPr>
      <t>:</t>
    </r>
    <r>
      <rPr>
        <sz val="7"/>
        <color rgb="FF385460"/>
        <rFont val="DejaVu Sans"/>
        <family val="2"/>
      </rPr>
      <t>需開水塔</t>
    </r>
  </si>
  <si>
    <r>
      <rPr>
        <sz val="7"/>
        <color rgb="FF385460"/>
        <rFont val="Inherit"/>
        <family val="2"/>
        <charset val="1"/>
      </rPr>
      <t>5/20</t>
    </r>
    <r>
      <rPr>
        <sz val="7"/>
        <color rgb="FF385460"/>
        <rFont val="DejaVu Sans"/>
        <family val="2"/>
      </rPr>
      <t>號</t>
    </r>
  </si>
  <si>
    <t>202605-019</t>
  </si>
  <si>
    <t>202605-018</t>
  </si>
  <si>
    <t>5/8-5/18</t>
  </si>
  <si>
    <t>202605-017</t>
  </si>
  <si>
    <r>
      <rPr>
        <sz val="7"/>
        <color rgb="FF385460"/>
        <rFont val="Inherit"/>
        <family val="2"/>
        <charset val="1"/>
      </rPr>
      <t>2F</t>
    </r>
    <r>
      <rPr>
        <sz val="7"/>
        <color rgb="FF385460"/>
        <rFont val="DejaVu Sans"/>
        <family val="2"/>
      </rPr>
      <t>男廁所馬桶第</t>
    </r>
    <r>
      <rPr>
        <sz val="7"/>
        <color rgb="FF385460"/>
        <rFont val="Inherit"/>
        <family val="2"/>
        <charset val="1"/>
      </rPr>
      <t>3</t>
    </r>
    <r>
      <rPr>
        <sz val="7"/>
        <color rgb="FF385460"/>
        <rFont val="DejaVu Sans"/>
        <family val="2"/>
      </rPr>
      <t>間賭塞</t>
    </r>
  </si>
  <si>
    <t>202605-016</t>
  </si>
  <si>
    <t>一樓回收檯廚餘鐵片脫落</t>
  </si>
  <si>
    <t>公區</t>
  </si>
  <si>
    <t>202605-015</t>
  </si>
  <si>
    <r>
      <rPr>
        <sz val="7"/>
        <color rgb="FF385460"/>
        <rFont val="Inherit"/>
        <family val="2"/>
        <charset val="1"/>
      </rPr>
      <t>2F</t>
    </r>
    <r>
      <rPr>
        <sz val="7"/>
        <color rgb="FF385460"/>
        <rFont val="DejaVu Sans"/>
        <family val="2"/>
      </rPr>
      <t>男廁第三間堵塞</t>
    </r>
  </si>
  <si>
    <t>202605-014</t>
  </si>
  <si>
    <r>
      <rPr>
        <sz val="7"/>
        <color rgb="FF385460"/>
        <rFont val="Inherit"/>
        <family val="2"/>
        <charset val="1"/>
      </rPr>
      <t>3-06</t>
    </r>
    <r>
      <rPr>
        <sz val="7"/>
        <color rgb="FF385460"/>
        <rFont val="DejaVu Sans"/>
        <family val="2"/>
      </rPr>
      <t>櫃 試冷氣  需開水塔</t>
    </r>
  </si>
  <si>
    <t>空調</t>
  </si>
  <si>
    <t>已辦驗</t>
  </si>
  <si>
    <t>202605-013</t>
  </si>
  <si>
    <t>富錦樹上方逃生指示燈歪掉 請處理</t>
  </si>
  <si>
    <t>202605-012</t>
  </si>
  <si>
    <r>
      <rPr>
        <sz val="7"/>
        <color rgb="FF385460"/>
        <rFont val="Inherit"/>
        <family val="2"/>
        <charset val="1"/>
      </rPr>
      <t>2</t>
    </r>
    <r>
      <rPr>
        <sz val="7"/>
        <color rgb="FF385460"/>
        <rFont val="DejaVu Sans"/>
        <family val="2"/>
      </rPr>
      <t>樓女廁門鎖故障</t>
    </r>
  </si>
  <si>
    <t>江佳燕</t>
  </si>
  <si>
    <t>202605-011</t>
  </si>
  <si>
    <r>
      <rPr>
        <sz val="7"/>
        <color rgb="FF385460"/>
        <rFont val="Inherit"/>
        <family val="2"/>
        <charset val="1"/>
      </rPr>
      <t>2</t>
    </r>
    <r>
      <rPr>
        <sz val="7"/>
        <color rgb="FF385460"/>
        <rFont val="DejaVu Sans"/>
        <family val="2"/>
      </rPr>
      <t>樓女廁洗手台上方圓燈不亮</t>
    </r>
  </si>
  <si>
    <t>照明</t>
  </si>
  <si>
    <t>202605-010</t>
  </si>
  <si>
    <t>服務台路口閘門鬆脫</t>
  </si>
  <si>
    <t>後勤空間</t>
  </si>
  <si>
    <t>202605-009</t>
  </si>
  <si>
    <r>
      <rPr>
        <sz val="7"/>
        <color rgb="FF385460"/>
        <rFont val="Inherit"/>
        <family val="2"/>
        <charset val="1"/>
      </rPr>
      <t>2</t>
    </r>
    <r>
      <rPr>
        <sz val="7"/>
        <color rgb="FF385460"/>
        <rFont val="DejaVu Sans"/>
        <family val="2"/>
      </rPr>
      <t>樓男廁插手紙機器出紙順</t>
    </r>
  </si>
  <si>
    <t>男廁馬桶賭篩</t>
  </si>
  <si>
    <t>202605-008</t>
  </si>
  <si>
    <r>
      <rPr>
        <sz val="7"/>
        <color rgb="FF385460"/>
        <rFont val="Inherit"/>
        <family val="2"/>
        <charset val="1"/>
      </rPr>
      <t>4F</t>
    </r>
    <r>
      <rPr>
        <sz val="7"/>
        <color rgb="FF385460"/>
        <rFont val="DejaVu Sans"/>
        <family val="2"/>
      </rPr>
      <t>泰市場</t>
    </r>
  </si>
  <si>
    <r>
      <rPr>
        <sz val="7"/>
        <color rgb="FF385460"/>
        <rFont val="DejaVu Sans"/>
        <family val="2"/>
      </rPr>
      <t>廚房</t>
    </r>
    <r>
      <rPr>
        <sz val="7"/>
        <color rgb="FF385460"/>
        <rFont val="Inherit"/>
        <family val="2"/>
        <charset val="1"/>
      </rPr>
      <t>&amp;</t>
    </r>
    <r>
      <rPr>
        <sz val="7"/>
        <color rgb="FF385460"/>
        <rFont val="DejaVu Sans"/>
        <family val="2"/>
      </rPr>
      <t>吧台設備</t>
    </r>
  </si>
  <si>
    <t>4F</t>
  </si>
  <si>
    <t>保溫台故障</t>
  </si>
  <si>
    <t>202605-007</t>
  </si>
  <si>
    <r>
      <rPr>
        <sz val="7"/>
        <color rgb="FF385460"/>
        <rFont val="Inherit"/>
        <family val="2"/>
        <charset val="1"/>
      </rPr>
      <t xml:space="preserve">Sakemaru </t>
    </r>
    <r>
      <rPr>
        <sz val="7"/>
        <color rgb="FF385460"/>
        <rFont val="DejaVu Sans"/>
        <family val="2"/>
      </rPr>
      <t>前天井柱燈不亮</t>
    </r>
  </si>
  <si>
    <t>專櫃</t>
  </si>
  <si>
    <t>202605-006</t>
  </si>
  <si>
    <t>漢堡世家電子鎖沒電了</t>
  </si>
  <si>
    <t>202605-005</t>
  </si>
  <si>
    <t>服務台活動百葉門故障</t>
  </si>
  <si>
    <t>其他</t>
  </si>
  <si>
    <t>202605-004</t>
  </si>
  <si>
    <t>光培若前環狀燈泡不亮</t>
  </si>
  <si>
    <t>202605-003</t>
  </si>
  <si>
    <r>
      <rPr>
        <sz val="7"/>
        <color rgb="FF385460"/>
        <rFont val="Inherit"/>
        <family val="2"/>
        <charset val="1"/>
      </rPr>
      <t>2</t>
    </r>
    <r>
      <rPr>
        <sz val="7"/>
        <color rgb="FF385460"/>
        <rFont val="DejaVu Sans"/>
        <family val="2"/>
      </rPr>
      <t>樓女廁第二間鎖頭掉了</t>
    </r>
  </si>
  <si>
    <t>202605-002</t>
  </si>
  <si>
    <r>
      <rPr>
        <sz val="7"/>
        <color rgb="FF385460"/>
        <rFont val="Inherit"/>
        <family val="2"/>
        <charset val="1"/>
      </rPr>
      <t>3</t>
    </r>
    <r>
      <rPr>
        <sz val="7"/>
        <color rgb="FF385460"/>
        <rFont val="DejaVu Sans"/>
        <family val="2"/>
      </rPr>
      <t>樓女廁馬桶不通</t>
    </r>
  </si>
  <si>
    <t>202605-001</t>
  </si>
  <si>
    <r>
      <rPr>
        <sz val="7"/>
        <color rgb="FF385460"/>
        <rFont val="Inherit"/>
        <family val="2"/>
        <charset val="1"/>
      </rPr>
      <t>3</t>
    </r>
    <r>
      <rPr>
        <sz val="7"/>
        <color rgb="FF385460"/>
        <rFont val="DejaVu Sans"/>
        <family val="2"/>
      </rPr>
      <t>樓公區走道地板凹陷</t>
    </r>
  </si>
  <si>
    <t>202604-051</t>
  </si>
  <si>
    <r>
      <rPr>
        <sz val="7"/>
        <color rgb="FF385460"/>
        <rFont val="Inherit"/>
        <family val="2"/>
        <charset val="1"/>
      </rPr>
      <t>2.3</t>
    </r>
    <r>
      <rPr>
        <sz val="7"/>
        <color rgb="FF385460"/>
        <rFont val="DejaVu Sans"/>
        <family val="2"/>
      </rPr>
      <t>樓男廁鏡面玻璃污損</t>
    </r>
  </si>
  <si>
    <t>處理中</t>
  </si>
  <si>
    <t>202604-050</t>
  </si>
  <si>
    <t>202604-049</t>
  </si>
  <si>
    <r>
      <rPr>
        <sz val="7"/>
        <color rgb="FF385460"/>
        <rFont val="Inherit"/>
        <family val="2"/>
        <charset val="1"/>
      </rPr>
      <t>B1</t>
    </r>
    <r>
      <rPr>
        <sz val="7"/>
        <color rgb="FF385460"/>
        <rFont val="DejaVu Sans"/>
        <family val="2"/>
      </rPr>
      <t>垃圾間門把損壞</t>
    </r>
  </si>
  <si>
    <t>202604-048</t>
  </si>
  <si>
    <r>
      <rPr>
        <sz val="7"/>
        <color rgb="FF385460"/>
        <rFont val="Inherit"/>
        <family val="2"/>
        <charset val="1"/>
      </rPr>
      <t>2</t>
    </r>
    <r>
      <rPr>
        <sz val="7"/>
        <color rgb="FF385460"/>
        <rFont val="DejaVu Sans"/>
        <family val="2"/>
      </rPr>
      <t>樓女廁</t>
    </r>
  </si>
  <si>
    <t>結案</t>
  </si>
  <si>
    <t>前面第二間</t>
  </si>
  <si>
    <t>馬桶座脫落壞掉</t>
  </si>
  <si>
    <t>202604-047</t>
  </si>
  <si>
    <r>
      <rPr>
        <sz val="7"/>
        <color rgb="FF385460"/>
        <rFont val="Inherit"/>
        <family val="2"/>
        <charset val="1"/>
      </rPr>
      <t>3</t>
    </r>
    <r>
      <rPr>
        <sz val="7"/>
        <color rgb="FF385460"/>
        <rFont val="DejaVu Sans"/>
        <family val="2"/>
      </rPr>
      <t>樓女廁鏡框生鏽</t>
    </r>
  </si>
  <si>
    <t>202604-046</t>
  </si>
  <si>
    <t>二樓男廁馬桶蓋損壞</t>
  </si>
  <si>
    <r>
      <rPr>
        <sz val="7"/>
        <color rgb="FF385460"/>
        <rFont val="Inherit"/>
        <family val="2"/>
        <charset val="1"/>
      </rPr>
      <t>B2,116</t>
    </r>
    <r>
      <rPr>
        <sz val="7"/>
        <color rgb="FF385460"/>
        <rFont val="DejaVu Sans"/>
        <family val="2"/>
      </rPr>
      <t>車位前車道燈不亮</t>
    </r>
  </si>
  <si>
    <t>金美齡</t>
  </si>
  <si>
    <t>三樓女廁所第二間馬桶堵塞</t>
  </si>
  <si>
    <t>二樓男廁所第三間馬桶壞掉</t>
  </si>
  <si>
    <t>麻煩富錦樹旁的大門門把脫落</t>
  </si>
  <si>
    <t>三樓女廁所第一和第六間馬桶堵塞，門锁壞掉</t>
  </si>
  <si>
    <r>
      <rPr>
        <sz val="7"/>
        <color rgb="FF385460"/>
        <rFont val="Inherit"/>
        <family val="2"/>
        <charset val="1"/>
      </rPr>
      <t>3/14~3/15</t>
    </r>
    <r>
      <rPr>
        <sz val="7"/>
        <color rgb="FF385460"/>
        <rFont val="DejaVu Sans"/>
        <family val="2"/>
      </rPr>
      <t>戶外市集</t>
    </r>
    <r>
      <rPr>
        <sz val="7"/>
        <color rgb="FF385460"/>
        <rFont val="Inherit"/>
        <family val="2"/>
        <charset val="1"/>
      </rPr>
      <t>110~220</t>
    </r>
    <r>
      <rPr>
        <sz val="7"/>
        <color rgb="FF385460"/>
        <rFont val="DejaVu Sans"/>
        <family val="2"/>
      </rPr>
      <t>的插座通電</t>
    </r>
  </si>
  <si>
    <t>一樓回收台水管不通</t>
  </si>
  <si>
    <r>
      <rPr>
        <sz val="7"/>
        <color rgb="FF385460"/>
        <rFont val="Inherit"/>
        <family val="2"/>
        <charset val="1"/>
      </rPr>
      <t>3</t>
    </r>
    <r>
      <rPr>
        <sz val="7"/>
        <color rgb="FF385460"/>
        <rFont val="DejaVu Sans"/>
        <family val="2"/>
      </rPr>
      <t>樓女廁最底右邊第二間門鎖顏色故障</t>
    </r>
  </si>
  <si>
    <r>
      <rPr>
        <sz val="7"/>
        <color rgb="FF385460"/>
        <rFont val="Inherit"/>
        <family val="2"/>
        <charset val="1"/>
      </rPr>
      <t>Taipei Wine</t>
    </r>
    <r>
      <rPr>
        <sz val="7"/>
        <color rgb="FF385460"/>
        <rFont val="DejaVu Sans"/>
        <family val="2"/>
      </rPr>
      <t>前環狀燈泡閃爍</t>
    </r>
  </si>
  <si>
    <r>
      <rPr>
        <sz val="7"/>
        <color rgb="FF385460"/>
        <rFont val="DejaVu Sans"/>
        <family val="2"/>
      </rPr>
      <t>小後苑側門廊道新增軌道燈</t>
    </r>
    <r>
      <rPr>
        <sz val="7"/>
        <color rgb="FF385460"/>
        <rFont val="Inherit"/>
        <family val="2"/>
        <charset val="1"/>
      </rPr>
      <t>-</t>
    </r>
    <r>
      <rPr>
        <sz val="7"/>
        <color rgb="FF385460"/>
        <rFont val="DejaVu Sans"/>
        <family val="2"/>
      </rPr>
      <t>此為公區廊道</t>
    </r>
  </si>
  <si>
    <t>廖珮倫</t>
  </si>
  <si>
    <r>
      <rPr>
        <sz val="7"/>
        <color rgb="FF385460"/>
        <rFont val="Inherit"/>
        <family val="2"/>
        <charset val="1"/>
      </rPr>
      <t>B2</t>
    </r>
    <r>
      <rPr>
        <sz val="7"/>
        <color rgb="FF385460"/>
        <rFont val="DejaVu Sans"/>
        <family val="2"/>
      </rPr>
      <t>電視牆開關故障</t>
    </r>
  </si>
  <si>
    <t>弱電</t>
  </si>
  <si>
    <r>
      <rPr>
        <sz val="7"/>
        <color rgb="FF385460"/>
        <rFont val="Inherit"/>
        <family val="2"/>
        <charset val="1"/>
      </rPr>
      <t>2</t>
    </r>
    <r>
      <rPr>
        <sz val="7"/>
        <color rgb="FF385460"/>
        <rFont val="DejaVu Sans"/>
        <family val="2"/>
      </rPr>
      <t>樓女廁門紅綠無法調整</t>
    </r>
  </si>
  <si>
    <r>
      <rPr>
        <sz val="7"/>
        <color rgb="FF385460"/>
        <rFont val="Inherit"/>
        <family val="2"/>
        <charset val="1"/>
      </rPr>
      <t>2/20</t>
    </r>
    <r>
      <rPr>
        <sz val="7"/>
        <color rgb="FF385460"/>
        <rFont val="DejaVu Sans"/>
        <family val="2"/>
      </rPr>
      <t>電梯故障關人，對講機壞</t>
    </r>
  </si>
  <si>
    <t>商場公區</t>
  </si>
  <si>
    <r>
      <rPr>
        <sz val="7"/>
        <color rgb="FF385460"/>
        <rFont val="DejaVu Sans"/>
        <family val="2"/>
      </rPr>
      <t>最晚請於</t>
    </r>
    <r>
      <rPr>
        <sz val="7"/>
        <color rgb="FF385460"/>
        <rFont val="Inherit"/>
        <family val="2"/>
        <charset val="1"/>
      </rPr>
      <t>3/10(</t>
    </r>
    <r>
      <rPr>
        <sz val="7"/>
        <color rgb="FF385460"/>
        <rFont val="DejaVu Sans"/>
        <family val="2"/>
      </rPr>
      <t>二</t>
    </r>
    <r>
      <rPr>
        <sz val="7"/>
        <color rgb="FF385460"/>
        <rFont val="Inherit"/>
        <family val="2"/>
        <charset val="1"/>
      </rPr>
      <t xml:space="preserve">) </t>
    </r>
    <r>
      <rPr>
        <sz val="7"/>
        <color rgb="FF385460"/>
        <rFont val="DejaVu Sans"/>
        <family val="2"/>
      </rPr>
      <t>卸除九宮格燈箱燈片，</t>
    </r>
    <r>
      <rPr>
        <sz val="7"/>
        <color rgb="FF385460"/>
        <rFont val="Inherit"/>
        <family val="2"/>
        <charset val="1"/>
      </rPr>
      <t>3/11(</t>
    </r>
    <r>
      <rPr>
        <sz val="7"/>
        <color rgb="FF385460"/>
        <rFont val="DejaVu Sans"/>
        <family val="2"/>
      </rPr>
      <t>三</t>
    </r>
    <r>
      <rPr>
        <sz val="7"/>
        <color rgb="FF385460"/>
        <rFont val="Inherit"/>
        <family val="2"/>
        <charset val="1"/>
      </rPr>
      <t>)</t>
    </r>
    <r>
      <rPr>
        <sz val="7"/>
        <color rgb="FF385460"/>
        <rFont val="DejaVu Sans"/>
        <family val="2"/>
      </rPr>
      <t>廠商更新後重新上架燈箱片</t>
    </r>
  </si>
  <si>
    <t>吳佳宸</t>
  </si>
  <si>
    <r>
      <rPr>
        <sz val="7"/>
        <color rgb="FF385460"/>
        <rFont val="DejaVu Sans"/>
        <family val="2"/>
      </rPr>
      <t>請於</t>
    </r>
    <r>
      <rPr>
        <sz val="7"/>
        <color rgb="FF385460"/>
        <rFont val="Inherit"/>
        <family val="2"/>
        <charset val="1"/>
      </rPr>
      <t>3/9(</t>
    </r>
    <r>
      <rPr>
        <sz val="7"/>
        <color rgb="FF385460"/>
        <rFont val="DejaVu Sans"/>
        <family val="2"/>
      </rPr>
      <t>一</t>
    </r>
    <r>
      <rPr>
        <sz val="7"/>
        <color rgb="FF385460"/>
        <rFont val="Inherit"/>
        <family val="2"/>
        <charset val="1"/>
      </rPr>
      <t>)</t>
    </r>
    <r>
      <rPr>
        <sz val="7"/>
        <color rgb="FF385460"/>
        <rFont val="DejaVu Sans"/>
        <family val="2"/>
      </rPr>
      <t xml:space="preserve">完成 </t>
    </r>
    <r>
      <rPr>
        <sz val="7"/>
        <color rgb="FF385460"/>
        <rFont val="Inherit"/>
        <family val="2"/>
        <charset val="1"/>
      </rPr>
      <t xml:space="preserve">- </t>
    </r>
    <r>
      <rPr>
        <sz val="7"/>
        <color rgb="FF385460"/>
        <rFont val="DejaVu Sans"/>
        <family val="2"/>
      </rPr>
      <t>泓宸製作小後苑廊道木板</t>
    </r>
    <r>
      <rPr>
        <sz val="7"/>
        <color rgb="FF385460"/>
        <rFont val="Inherit"/>
        <family val="2"/>
        <charset val="1"/>
      </rPr>
      <t>/</t>
    </r>
    <r>
      <rPr>
        <sz val="7"/>
        <color rgb="FF385460"/>
        <rFont val="DejaVu Sans"/>
        <family val="2"/>
      </rPr>
      <t>批土打磨</t>
    </r>
  </si>
  <si>
    <t>一樓員工進出大門， 門不會自己閤上</t>
  </si>
  <si>
    <t>消防</t>
  </si>
  <si>
    <r>
      <rPr>
        <sz val="7"/>
        <color rgb="FF385460"/>
        <rFont val="Inherit"/>
        <family val="2"/>
        <charset val="1"/>
      </rPr>
      <t xml:space="preserve">1F </t>
    </r>
    <r>
      <rPr>
        <sz val="7"/>
        <color rgb="FF385460"/>
        <rFont val="DejaVu Sans"/>
        <family val="2"/>
      </rPr>
      <t>傻滷 公共造型燈閃爍需更換燈泡</t>
    </r>
  </si>
  <si>
    <t>停車場指示廣告燈不斷一閃一閃的</t>
  </si>
  <si>
    <r>
      <rPr>
        <sz val="7"/>
        <color rgb="FF385460"/>
        <rFont val="Inherit"/>
        <family val="2"/>
        <charset val="1"/>
      </rPr>
      <t>B</t>
    </r>
    <r>
      <rPr>
        <sz val="7"/>
        <color rgb="FF385460"/>
        <rFont val="DejaVu Sans"/>
        <family val="2"/>
      </rPr>
      <t>梯員工出入口上方陽極鎖壞掉門無法回放</t>
    </r>
  </si>
  <si>
    <r>
      <rPr>
        <sz val="7"/>
        <color rgb="FF385460"/>
        <rFont val="Inherit"/>
        <family val="2"/>
        <charset val="1"/>
      </rPr>
      <t>1F</t>
    </r>
    <r>
      <rPr>
        <sz val="7"/>
        <color rgb="FF385460"/>
        <rFont val="DejaVu Sans"/>
        <family val="2"/>
      </rPr>
      <t>戶外餐車 旨燕專櫃 車門把所換電池</t>
    </r>
  </si>
  <si>
    <r>
      <rPr>
        <sz val="7"/>
        <color rgb="FF385460"/>
        <rFont val="Inherit"/>
        <family val="2"/>
        <charset val="1"/>
      </rPr>
      <t>4</t>
    </r>
    <r>
      <rPr>
        <sz val="7"/>
        <color rgb="FF385460"/>
        <rFont val="DejaVu Sans"/>
        <family val="2"/>
      </rPr>
      <t>樓泰市場空調故障報修</t>
    </r>
  </si>
  <si>
    <r>
      <rPr>
        <sz val="7"/>
        <color rgb="FF385460"/>
        <rFont val="Inherit"/>
        <family val="2"/>
        <charset val="1"/>
      </rPr>
      <t>1F</t>
    </r>
    <r>
      <rPr>
        <sz val="7"/>
        <color rgb="FF385460"/>
        <rFont val="DejaVu Sans"/>
        <family val="2"/>
      </rPr>
      <t>商場收碗區排水管堵塞</t>
    </r>
  </si>
  <si>
    <t>給排水</t>
  </si>
  <si>
    <r>
      <rPr>
        <sz val="7"/>
        <color rgb="FF385460"/>
        <rFont val="Inherit"/>
        <family val="2"/>
        <charset val="1"/>
      </rPr>
      <t>2F</t>
    </r>
    <r>
      <rPr>
        <sz val="7"/>
        <color rgb="FF385460"/>
        <rFont val="DejaVu Sans"/>
        <family val="2"/>
      </rPr>
      <t>男廁第</t>
    </r>
    <r>
      <rPr>
        <sz val="7"/>
        <color rgb="FF385460"/>
        <rFont val="Inherit"/>
        <family val="2"/>
        <charset val="1"/>
      </rPr>
      <t>3</t>
    </r>
    <r>
      <rPr>
        <sz val="7"/>
        <color rgb="FF385460"/>
        <rFont val="DejaVu Sans"/>
        <family val="2"/>
      </rPr>
      <t>間馬桶蓋損壞</t>
    </r>
  </si>
  <si>
    <t>衛廁</t>
  </si>
  <si>
    <r>
      <rPr>
        <sz val="7"/>
        <color rgb="FF385460"/>
        <rFont val="Inherit"/>
        <family val="2"/>
        <charset val="1"/>
      </rPr>
      <t>3F</t>
    </r>
    <r>
      <rPr>
        <sz val="7"/>
        <color rgb="FF385460"/>
        <rFont val="DejaVu Sans"/>
        <family val="2"/>
      </rPr>
      <t>女廁第</t>
    </r>
    <r>
      <rPr>
        <sz val="7"/>
        <color rgb="FF385460"/>
        <rFont val="Inherit"/>
        <family val="2"/>
        <charset val="1"/>
      </rPr>
      <t>2</t>
    </r>
    <r>
      <rPr>
        <sz val="7"/>
        <color rgb="FF385460"/>
        <rFont val="DejaVu Sans"/>
        <family val="2"/>
      </rPr>
      <t>間馬桶堵塞</t>
    </r>
  </si>
  <si>
    <r>
      <rPr>
        <sz val="7"/>
        <color rgb="FF385460"/>
        <rFont val="Inherit"/>
        <family val="2"/>
        <charset val="1"/>
      </rPr>
      <t>B2,161</t>
    </r>
    <r>
      <rPr>
        <sz val="7"/>
        <color rgb="FF385460"/>
        <rFont val="DejaVu Sans"/>
        <family val="2"/>
      </rPr>
      <t>車位前漏水</t>
    </r>
  </si>
  <si>
    <t>泰市場反應電話線路故障</t>
  </si>
  <si>
    <r>
      <rPr>
        <sz val="7"/>
        <color rgb="FF385460"/>
        <rFont val="Inherit"/>
        <family val="2"/>
        <charset val="1"/>
      </rPr>
      <t xml:space="preserve">3F </t>
    </r>
    <r>
      <rPr>
        <sz val="7"/>
        <color rgb="FF385460"/>
        <rFont val="DejaVu Sans"/>
        <family val="2"/>
      </rPr>
      <t>九華樓</t>
    </r>
    <r>
      <rPr>
        <sz val="7"/>
        <color rgb="FF385460"/>
        <rFont val="Inherit"/>
        <family val="2"/>
        <charset val="1"/>
      </rPr>
      <t>2/16 2/18</t>
    </r>
    <r>
      <rPr>
        <sz val="7"/>
        <color rgb="FF385460"/>
        <rFont val="DejaVu Sans"/>
        <family val="2"/>
      </rPr>
      <t xml:space="preserve">兩天 </t>
    </r>
    <r>
      <rPr>
        <sz val="7"/>
        <color rgb="FF385460"/>
        <rFont val="Inherit"/>
        <family val="2"/>
        <charset val="1"/>
      </rPr>
      <t>8</t>
    </r>
    <r>
      <rPr>
        <sz val="7"/>
        <color rgb="FF385460"/>
        <rFont val="DejaVu Sans"/>
        <family val="2"/>
      </rPr>
      <t>點開啟 排煙及空調</t>
    </r>
  </si>
  <si>
    <r>
      <rPr>
        <sz val="7"/>
        <color rgb="FF385460"/>
        <rFont val="Inherit"/>
        <family val="2"/>
        <charset val="1"/>
      </rPr>
      <t>B</t>
    </r>
    <r>
      <rPr>
        <sz val="7"/>
        <color rgb="FF385460"/>
        <rFont val="DejaVu Sans"/>
        <family val="2"/>
      </rPr>
      <t>梯二樓近商場公區門</t>
    </r>
    <r>
      <rPr>
        <sz val="7"/>
        <color rgb="FF385460"/>
        <rFont val="Inherit"/>
        <family val="2"/>
        <charset val="1"/>
      </rPr>
      <t>-</t>
    </r>
    <r>
      <rPr>
        <sz val="7"/>
        <color rgb="FF385460"/>
        <rFont val="DejaVu Sans"/>
        <family val="2"/>
      </rPr>
      <t>門弓器斷了</t>
    </r>
  </si>
  <si>
    <r>
      <rPr>
        <sz val="7"/>
        <color rgb="FF385460"/>
        <rFont val="Inherit"/>
        <family val="2"/>
        <charset val="1"/>
      </rPr>
      <t>1</t>
    </r>
    <r>
      <rPr>
        <sz val="7"/>
        <color rgb="FF385460"/>
        <rFont val="DejaVu Sans"/>
        <family val="2"/>
      </rPr>
      <t>樓左側邊消防門故障 無法開關</t>
    </r>
  </si>
  <si>
    <r>
      <rPr>
        <sz val="7"/>
        <color rgb="FF385460"/>
        <rFont val="Inherit"/>
        <family val="2"/>
        <charset val="1"/>
      </rPr>
      <t>B4</t>
    </r>
    <r>
      <rPr>
        <sz val="7"/>
        <color rgb="FF385460"/>
        <rFont val="DejaVu Sans"/>
        <family val="2"/>
      </rPr>
      <t>停車場漏水</t>
    </r>
  </si>
  <si>
    <t>停車</t>
  </si>
  <si>
    <t>B4F</t>
  </si>
  <si>
    <r>
      <rPr>
        <sz val="7"/>
        <color rgb="FF385460"/>
        <rFont val="Inherit"/>
        <family val="2"/>
        <charset val="1"/>
      </rPr>
      <t>B1</t>
    </r>
    <r>
      <rPr>
        <sz val="7"/>
        <color rgb="FF385460"/>
        <rFont val="DejaVu Sans"/>
        <family val="2"/>
      </rPr>
      <t>卸貨區消防手動閥保護盒送貨貨車撞壞</t>
    </r>
  </si>
  <si>
    <t>蔡奇宏</t>
  </si>
  <si>
    <t>植福路段照樹燈燈泡壞需更換</t>
  </si>
  <si>
    <t>四樓泰市場外廚煎爐排風扇噪音</t>
  </si>
  <si>
    <t>排煙</t>
  </si>
  <si>
    <r>
      <rPr>
        <sz val="7"/>
        <color rgb="FF385460"/>
        <rFont val="Inherit"/>
        <family val="2"/>
        <charset val="1"/>
      </rPr>
      <t>B3</t>
    </r>
    <r>
      <rPr>
        <sz val="7"/>
        <color rgb="FF385460"/>
        <rFont val="DejaVu Sans"/>
        <family val="2"/>
      </rPr>
      <t>客梯廳旁舊工務倉移轉營業部品牌租賃使用</t>
    </r>
  </si>
  <si>
    <t>B3F</t>
  </si>
  <si>
    <t>植福路段照樹燈不亮</t>
  </si>
  <si>
    <r>
      <rPr>
        <sz val="7"/>
        <color rgb="FF385460"/>
        <rFont val="Inherit"/>
        <family val="2"/>
        <charset val="1"/>
      </rPr>
      <t>1</t>
    </r>
    <r>
      <rPr>
        <sz val="7"/>
        <color rgb="FF385460"/>
        <rFont val="DejaVu Sans"/>
        <family val="2"/>
      </rPr>
      <t>樓味爵、</t>
    </r>
    <r>
      <rPr>
        <sz val="7"/>
        <color rgb="FF385460"/>
        <rFont val="Inherit"/>
        <family val="2"/>
        <charset val="1"/>
      </rPr>
      <t>SUN BERNO</t>
    </r>
    <r>
      <rPr>
        <sz val="7"/>
        <color rgb="FF385460"/>
        <rFont val="DejaVu Sans"/>
        <family val="2"/>
      </rPr>
      <t>櫃內，新增補氣風管</t>
    </r>
  </si>
  <si>
    <r>
      <rPr>
        <sz val="7"/>
        <color rgb="FF385460"/>
        <rFont val="Inherit"/>
        <family val="2"/>
        <charset val="1"/>
      </rPr>
      <t>2/28</t>
    </r>
    <r>
      <rPr>
        <sz val="7"/>
        <color rgb="FF385460"/>
        <rFont val="DejaVu Sans"/>
        <family val="2"/>
      </rPr>
      <t>營業回覆專櫃自行裝設</t>
    </r>
    <r>
      <rPr>
        <sz val="7"/>
        <color rgb="FF385460"/>
        <rFont val="Inherit"/>
        <family val="2"/>
        <charset val="1"/>
      </rPr>
      <t>,</t>
    </r>
    <r>
      <rPr>
        <sz val="7"/>
        <color rgb="FF385460"/>
        <rFont val="DejaVu Sans"/>
        <family val="2"/>
      </rPr>
      <t>故不扣款</t>
    </r>
  </si>
  <si>
    <t>消防廣播系統故障</t>
  </si>
  <si>
    <r>
      <rPr>
        <sz val="7"/>
        <color rgb="FF385460"/>
        <rFont val="Inherit"/>
        <family val="2"/>
        <charset val="1"/>
      </rPr>
      <t>B1</t>
    </r>
    <r>
      <rPr>
        <sz val="7"/>
        <color rgb="FF385460"/>
        <rFont val="DejaVu Sans"/>
        <family val="2"/>
      </rPr>
      <t>卸貨區柱面被撞壞</t>
    </r>
  </si>
  <si>
    <t>黃禹銘</t>
  </si>
  <si>
    <t>202604-045</t>
  </si>
  <si>
    <r>
      <rPr>
        <sz val="7"/>
        <color rgb="FF385460"/>
        <rFont val="Inherit"/>
        <family val="2"/>
        <charset val="1"/>
      </rPr>
      <t>5/1</t>
    </r>
    <r>
      <rPr>
        <sz val="7"/>
        <color rgb="FF385460"/>
        <rFont val="DejaVu Sans"/>
        <family val="2"/>
      </rPr>
      <t>，二快閃櫃設櫃</t>
    </r>
  </si>
  <si>
    <t>202604-044</t>
  </si>
  <si>
    <r>
      <rPr>
        <sz val="7"/>
        <color rgb="FF385460"/>
        <rFont val="Inherit"/>
        <family val="2"/>
        <charset val="1"/>
      </rPr>
      <t>3</t>
    </r>
    <r>
      <rPr>
        <sz val="7"/>
        <color rgb="FF385460"/>
        <rFont val="DejaVu Sans"/>
        <family val="2"/>
      </rPr>
      <t>樓女廁進來第二間馬桶不通</t>
    </r>
  </si>
  <si>
    <t>202604-043</t>
  </si>
  <si>
    <r>
      <rPr>
        <sz val="7"/>
        <color rgb="FF385460"/>
        <rFont val="Inherit"/>
        <family val="2"/>
        <charset val="1"/>
      </rPr>
      <t>2026</t>
    </r>
    <r>
      <rPr>
        <sz val="7"/>
        <color rgb="FF385460"/>
        <rFont val="DejaVu Sans"/>
        <family val="2"/>
      </rPr>
      <t>上半年消防缺改善</t>
    </r>
  </si>
  <si>
    <r>
      <rPr>
        <sz val="7"/>
        <color rgb="FF385460"/>
        <rFont val="DejaVu Sans"/>
        <family val="2"/>
      </rPr>
      <t>漢堡世家電子鎖沒電</t>
    </r>
    <r>
      <rPr>
        <sz val="7"/>
        <color rgb="FF385460"/>
        <rFont val="Inherit"/>
        <family val="2"/>
        <charset val="1"/>
      </rPr>
      <t>(</t>
    </r>
    <r>
      <rPr>
        <sz val="7"/>
        <color rgb="FF385460"/>
        <rFont val="DejaVu Sans"/>
        <family val="2"/>
      </rPr>
      <t>測試單，勿理會</t>
    </r>
    <r>
      <rPr>
        <sz val="7"/>
        <color rgb="FF385460"/>
        <rFont val="Inherit"/>
        <family val="2"/>
        <charset val="1"/>
      </rPr>
      <t>)</t>
    </r>
  </si>
  <si>
    <t>機電</t>
  </si>
  <si>
    <t>202604-041</t>
  </si>
  <si>
    <r>
      <rPr>
        <sz val="7"/>
        <color rgb="FF385460"/>
        <rFont val="Inherit"/>
        <family val="2"/>
        <charset val="1"/>
      </rPr>
      <t>B2</t>
    </r>
    <r>
      <rPr>
        <sz val="7"/>
        <color rgb="FF385460"/>
        <rFont val="DejaVu Sans"/>
        <family val="2"/>
      </rPr>
      <t>水管漏水</t>
    </r>
  </si>
  <si>
    <t>202604-040</t>
  </si>
  <si>
    <t>漢堡世家電子鎖沒電</t>
  </si>
  <si>
    <t>202604-039</t>
  </si>
  <si>
    <t>泰市場發現後場臥櫃冰箱沒有電力</t>
  </si>
  <si>
    <r>
      <rPr>
        <sz val="7"/>
        <color rgb="FF385460"/>
        <rFont val="DejaVu Sans"/>
        <family val="2"/>
      </rPr>
      <t>凍</t>
    </r>
    <r>
      <rPr>
        <sz val="7"/>
        <color rgb="FF385460"/>
        <rFont val="Inherit"/>
        <family val="2"/>
        <charset val="1"/>
      </rPr>
      <t>&amp;</t>
    </r>
    <r>
      <rPr>
        <sz val="7"/>
        <color rgb="FF385460"/>
        <rFont val="DejaVu Sans"/>
        <family val="2"/>
      </rPr>
      <t>藏類設備</t>
    </r>
  </si>
  <si>
    <t>202604-038</t>
  </si>
  <si>
    <t>瞞著爹前天井柱燈閃爍</t>
  </si>
  <si>
    <t>202604-037</t>
  </si>
  <si>
    <r>
      <rPr>
        <sz val="7"/>
        <color rgb="FF385460"/>
        <rFont val="Inherit"/>
        <family val="2"/>
        <charset val="1"/>
      </rPr>
      <t xml:space="preserve">1f </t>
    </r>
    <r>
      <rPr>
        <sz val="7"/>
        <color rgb="FF385460"/>
        <rFont val="DejaVu Sans"/>
        <family val="2"/>
      </rPr>
      <t>牪肉舖 水管破洞漏水，已購買新水管，請工務安裝，需收費</t>
    </r>
  </si>
  <si>
    <t>牪肉舖</t>
  </si>
  <si>
    <t>202604-036</t>
  </si>
  <si>
    <r>
      <rPr>
        <sz val="7"/>
        <color rgb="FF385460"/>
        <rFont val="Inherit"/>
        <family val="2"/>
        <charset val="1"/>
      </rPr>
      <t>4</t>
    </r>
    <r>
      <rPr>
        <sz val="7"/>
        <color rgb="FF385460"/>
        <rFont val="DejaVu Sans"/>
        <family val="2"/>
      </rPr>
      <t>樓愛心廁所</t>
    </r>
  </si>
  <si>
    <t>維春管理者</t>
  </si>
  <si>
    <t>紅色按鈕加裝壓克力盒</t>
  </si>
  <si>
    <t>202604-035</t>
  </si>
  <si>
    <r>
      <rPr>
        <sz val="7"/>
        <color rgb="FF385460"/>
        <rFont val="DejaVu Sans"/>
        <family val="2"/>
      </rPr>
      <t>戶外餐車</t>
    </r>
    <r>
      <rPr>
        <sz val="7"/>
        <color rgb="FF385460"/>
        <rFont val="Inherit"/>
        <family val="2"/>
        <charset val="1"/>
      </rPr>
      <t>--</t>
    </r>
    <r>
      <rPr>
        <sz val="7"/>
        <color rgb="FF385460"/>
        <rFont val="DejaVu Sans"/>
        <family val="2"/>
      </rPr>
      <t>旨燕拉麵，電子鎖電力不足</t>
    </r>
  </si>
  <si>
    <r>
      <rPr>
        <sz val="7"/>
        <color rgb="FF385460"/>
        <rFont val="DejaVu Sans"/>
        <family val="2"/>
      </rPr>
      <t>第一階段和第二階段</t>
    </r>
    <r>
      <rPr>
        <sz val="7"/>
        <color rgb="FF385460"/>
        <rFont val="Inherit"/>
        <family val="2"/>
        <charset val="1"/>
      </rPr>
      <t xml:space="preserve">: </t>
    </r>
    <r>
      <rPr>
        <sz val="7"/>
        <color rgb="FF385460"/>
        <rFont val="DejaVu Sans"/>
        <family val="2"/>
      </rPr>
      <t xml:space="preserve">汙水管路通管工程 </t>
    </r>
    <r>
      <rPr>
        <sz val="7"/>
        <color rgb="FF385460"/>
        <rFont val="Inherit"/>
        <family val="2"/>
        <charset val="1"/>
      </rPr>
      <t>(</t>
    </r>
    <r>
      <rPr>
        <sz val="7"/>
        <color rgb="FF385460"/>
        <rFont val="DejaVu Sans"/>
        <family val="2"/>
      </rPr>
      <t>急單廠商</t>
    </r>
    <r>
      <rPr>
        <sz val="7"/>
        <color rgb="FF385460"/>
        <rFont val="Inherit"/>
        <family val="2"/>
        <charset val="1"/>
      </rPr>
      <t>11/26</t>
    </r>
    <r>
      <rPr>
        <sz val="7"/>
        <color rgb="FF385460"/>
        <rFont val="DejaVu Sans"/>
        <family val="2"/>
      </rPr>
      <t>進場</t>
    </r>
    <r>
      <rPr>
        <sz val="7"/>
        <color rgb="FF385460"/>
        <rFont val="Inherit"/>
        <family val="2"/>
        <charset val="1"/>
      </rPr>
      <t>)</t>
    </r>
  </si>
  <si>
    <t>多櫃</t>
  </si>
  <si>
    <t>woolloomooloo 3810</t>
  </si>
  <si>
    <r>
      <rPr>
        <sz val="7"/>
        <color rgb="FF385460"/>
        <rFont val="DejaVu Sans"/>
        <family val="2"/>
      </rPr>
      <t xml:space="preserve">一牛樂 </t>
    </r>
    <r>
      <rPr>
        <sz val="7"/>
        <color rgb="FF385460"/>
        <rFont val="Inherit"/>
        <family val="2"/>
        <charset val="1"/>
      </rPr>
      <t>5000</t>
    </r>
  </si>
  <si>
    <r>
      <rPr>
        <sz val="7"/>
        <color rgb="FF385460"/>
        <rFont val="DejaVu Sans"/>
        <family val="2"/>
      </rPr>
      <t xml:space="preserve">闔豐 </t>
    </r>
    <r>
      <rPr>
        <sz val="7"/>
        <color rgb="FF385460"/>
        <rFont val="Inherit"/>
        <family val="2"/>
        <charset val="1"/>
      </rPr>
      <t>2083</t>
    </r>
  </si>
  <si>
    <t>sun berno 6429</t>
  </si>
  <si>
    <t>taipei wine 6000</t>
  </si>
  <si>
    <r>
      <rPr>
        <sz val="7"/>
        <color rgb="FF385460"/>
        <rFont val="DejaVu Sans"/>
        <family val="2"/>
      </rPr>
      <t xml:space="preserve">小倉屋 </t>
    </r>
    <r>
      <rPr>
        <sz val="7"/>
        <color rgb="FF385460"/>
        <rFont val="Inherit"/>
        <family val="2"/>
        <charset val="1"/>
      </rPr>
      <t>6000</t>
    </r>
  </si>
  <si>
    <r>
      <rPr>
        <sz val="7"/>
        <color rgb="FF385460"/>
        <rFont val="DejaVu Sans"/>
        <family val="2"/>
      </rPr>
      <t xml:space="preserve">狐狸 </t>
    </r>
    <r>
      <rPr>
        <sz val="7"/>
        <color rgb="FF385460"/>
        <rFont val="Inherit"/>
        <family val="2"/>
        <charset val="1"/>
      </rPr>
      <t>6429</t>
    </r>
  </si>
  <si>
    <t>bar salud 6000</t>
  </si>
  <si>
    <r>
      <rPr>
        <sz val="7"/>
        <color rgb="FF385460"/>
        <rFont val="DejaVu Sans"/>
        <family val="2"/>
      </rPr>
      <t xml:space="preserve">牪 </t>
    </r>
    <r>
      <rPr>
        <sz val="7"/>
        <color rgb="FF385460"/>
        <rFont val="Inherit"/>
        <family val="2"/>
        <charset val="1"/>
      </rPr>
      <t>5000</t>
    </r>
  </si>
  <si>
    <t>yakka 3810</t>
  </si>
  <si>
    <r>
      <rPr>
        <sz val="7"/>
        <color rgb="FF385460"/>
        <rFont val="DejaVu Sans"/>
        <family val="2"/>
      </rPr>
      <t xml:space="preserve">味爵 </t>
    </r>
    <r>
      <rPr>
        <sz val="7"/>
        <color rgb="FF385460"/>
        <rFont val="Inherit"/>
        <family val="2"/>
        <charset val="1"/>
      </rPr>
      <t>5000</t>
    </r>
  </si>
  <si>
    <t>poke 3000</t>
  </si>
  <si>
    <t>sakemaru 6000</t>
  </si>
  <si>
    <r>
      <rPr>
        <sz val="7"/>
        <color rgb="FF385460"/>
        <rFont val="DejaVu Sans"/>
        <family val="2"/>
      </rPr>
      <t xml:space="preserve">傻雞 </t>
    </r>
    <r>
      <rPr>
        <sz val="7"/>
        <color rgb="FF385460"/>
        <rFont val="Inherit"/>
        <family val="2"/>
        <charset val="1"/>
      </rPr>
      <t>3810</t>
    </r>
  </si>
  <si>
    <r>
      <rPr>
        <sz val="7"/>
        <color rgb="FF385460"/>
        <rFont val="DejaVu Sans"/>
        <family val="2"/>
      </rPr>
      <t xml:space="preserve">傻滷 </t>
    </r>
    <r>
      <rPr>
        <sz val="7"/>
        <color rgb="FF385460"/>
        <rFont val="Inherit"/>
        <family val="2"/>
        <charset val="1"/>
      </rPr>
      <t>3000</t>
    </r>
  </si>
  <si>
    <r>
      <rPr>
        <sz val="7"/>
        <color rgb="FF385460"/>
        <rFont val="DejaVu Sans"/>
        <family val="2"/>
      </rPr>
      <t xml:space="preserve">瞞著爹 </t>
    </r>
    <r>
      <rPr>
        <sz val="7"/>
        <color rgb="FF385460"/>
        <rFont val="Inherit"/>
        <family val="2"/>
        <charset val="1"/>
      </rPr>
      <t>4286</t>
    </r>
  </si>
  <si>
    <t>little lam 5000</t>
  </si>
  <si>
    <t>goodwell 5000</t>
  </si>
  <si>
    <r>
      <rPr>
        <sz val="7"/>
        <color rgb="FF385460"/>
        <rFont val="DejaVu Sans"/>
        <family val="2"/>
      </rPr>
      <t xml:space="preserve">富錦樹 </t>
    </r>
    <r>
      <rPr>
        <sz val="7"/>
        <color rgb="FF385460"/>
        <rFont val="Inherit"/>
        <family val="2"/>
        <charset val="1"/>
      </rPr>
      <t>6429</t>
    </r>
  </si>
  <si>
    <r>
      <rPr>
        <sz val="7"/>
        <color rgb="FF385460"/>
        <rFont val="DejaVu Sans"/>
        <family val="2"/>
      </rPr>
      <t xml:space="preserve">小後苑 </t>
    </r>
    <r>
      <rPr>
        <sz val="7"/>
        <color rgb="FF385460"/>
        <rFont val="Inherit"/>
        <family val="2"/>
        <charset val="1"/>
      </rPr>
      <t>6429</t>
    </r>
  </si>
  <si>
    <r>
      <rPr>
        <sz val="7"/>
        <color rgb="FF385460"/>
        <rFont val="DejaVu Sans"/>
        <family val="2"/>
      </rPr>
      <t xml:space="preserve">朧粵 </t>
    </r>
    <r>
      <rPr>
        <sz val="7"/>
        <color rgb="FF385460"/>
        <rFont val="Inherit"/>
        <family val="2"/>
        <charset val="1"/>
      </rPr>
      <t>6429</t>
    </r>
  </si>
  <si>
    <r>
      <rPr>
        <sz val="7"/>
        <color rgb="FF385460"/>
        <rFont val="DejaVu Sans"/>
        <family val="2"/>
      </rPr>
      <t xml:space="preserve">驢子 </t>
    </r>
    <r>
      <rPr>
        <sz val="7"/>
        <color rgb="FF385460"/>
        <rFont val="Inherit"/>
        <family val="2"/>
        <charset val="1"/>
      </rPr>
      <t>6429</t>
    </r>
  </si>
  <si>
    <r>
      <rPr>
        <sz val="7"/>
        <color rgb="FF385460"/>
        <rFont val="DejaVu Sans"/>
        <family val="2"/>
      </rPr>
      <t xml:space="preserve">九華樓 </t>
    </r>
    <r>
      <rPr>
        <sz val="7"/>
        <color rgb="FF385460"/>
        <rFont val="Inherit"/>
        <family val="2"/>
        <charset val="1"/>
      </rPr>
      <t>6429</t>
    </r>
  </si>
  <si>
    <r>
      <rPr>
        <sz val="7"/>
        <color rgb="FF385460"/>
        <rFont val="DejaVu Sans"/>
        <family val="2"/>
      </rPr>
      <t xml:space="preserve">牛琅 </t>
    </r>
    <r>
      <rPr>
        <sz val="7"/>
        <color rgb="FF385460"/>
        <rFont val="Inherit"/>
        <family val="2"/>
        <charset val="1"/>
      </rPr>
      <t>6429</t>
    </r>
  </si>
  <si>
    <r>
      <rPr>
        <sz val="7"/>
        <color rgb="FF385460"/>
        <rFont val="Inherit"/>
        <family val="2"/>
        <charset val="1"/>
      </rPr>
      <t xml:space="preserve">2F </t>
    </r>
    <r>
      <rPr>
        <sz val="7"/>
        <color rgb="FF385460"/>
        <rFont val="DejaVu Sans"/>
        <family val="2"/>
      </rPr>
      <t>燒鳥新增排煙濾網工程</t>
    </r>
  </si>
  <si>
    <t>birdy yakito</t>
  </si>
  <si>
    <t>202604-034</t>
  </si>
  <si>
    <r>
      <rPr>
        <sz val="7"/>
        <color rgb="FF385460"/>
        <rFont val="DejaVu Sans"/>
        <family val="2"/>
      </rPr>
      <t>植福路</t>
    </r>
    <r>
      <rPr>
        <sz val="7"/>
        <color rgb="FF385460"/>
        <rFont val="Inherit"/>
        <family val="2"/>
        <charset val="1"/>
      </rPr>
      <t>3</t>
    </r>
    <r>
      <rPr>
        <sz val="7"/>
        <color rgb="FF385460"/>
        <rFont val="DejaVu Sans"/>
        <family val="2"/>
      </rPr>
      <t>面輸出牆的格柵天花板，需要新增</t>
    </r>
    <r>
      <rPr>
        <sz val="7"/>
        <color rgb="FF385460"/>
        <rFont val="Inherit"/>
        <family val="2"/>
        <charset val="1"/>
      </rPr>
      <t>6</t>
    </r>
    <r>
      <rPr>
        <sz val="7"/>
        <color rgb="FF385460"/>
        <rFont val="DejaVu Sans"/>
        <family val="2"/>
      </rPr>
      <t>個電線接口</t>
    </r>
  </si>
  <si>
    <t>202604-033</t>
  </si>
  <si>
    <t>植福路樂群三路口三角招牌電源插座安裝</t>
  </si>
  <si>
    <r>
      <rPr>
        <sz val="7"/>
        <color rgb="FF385460"/>
        <rFont val="Inherit"/>
        <family val="2"/>
        <charset val="1"/>
      </rPr>
      <t>B2F</t>
    </r>
    <r>
      <rPr>
        <sz val="7"/>
        <color rgb="FF385460"/>
        <rFont val="DejaVu Sans"/>
        <family val="2"/>
      </rPr>
      <t>截油槽排水主幹管堵塞</t>
    </r>
  </si>
  <si>
    <t>一樓回收區無法排水、堵塞</t>
  </si>
  <si>
    <t>泰市場開放區排水管堵塞</t>
  </si>
  <si>
    <t>泰市場</t>
  </si>
  <si>
    <r>
      <rPr>
        <sz val="7"/>
        <color rgb="FF385460"/>
        <rFont val="Inherit"/>
        <family val="2"/>
        <charset val="1"/>
      </rPr>
      <t>4</t>
    </r>
    <r>
      <rPr>
        <sz val="7"/>
        <color rgb="FF385460"/>
        <rFont val="DejaVu Sans"/>
        <family val="2"/>
      </rPr>
      <t>樓泰市場瓦斯警報不定時發報請協助調整</t>
    </r>
  </si>
  <si>
    <r>
      <rPr>
        <sz val="7"/>
        <color rgb="FF385460"/>
        <rFont val="Inherit"/>
        <family val="2"/>
        <charset val="1"/>
      </rPr>
      <t>b</t>
    </r>
    <r>
      <rPr>
        <sz val="7"/>
        <color rgb="FF385460"/>
        <rFont val="DejaVu Sans"/>
        <family val="2"/>
      </rPr>
      <t>梯員工出入口安全門地鉸鍊無法回𢓴</t>
    </r>
  </si>
  <si>
    <r>
      <rPr>
        <sz val="7"/>
        <color rgb="FF385460"/>
        <rFont val="Inherit"/>
        <family val="2"/>
        <charset val="1"/>
      </rPr>
      <t>B1</t>
    </r>
    <r>
      <rPr>
        <sz val="7"/>
        <color rgb="FF385460"/>
        <rFont val="DejaVu Sans"/>
        <family val="2"/>
      </rPr>
      <t>辦公室前洗手台排水管漏水</t>
    </r>
  </si>
  <si>
    <r>
      <rPr>
        <sz val="7"/>
        <color rgb="FF385460"/>
        <rFont val="Inherit"/>
        <family val="2"/>
        <charset val="1"/>
      </rPr>
      <t>B3,239</t>
    </r>
    <r>
      <rPr>
        <sz val="7"/>
        <color rgb="FF385460"/>
        <rFont val="DejaVu Sans"/>
        <family val="2"/>
      </rPr>
      <t>車位前投射燈不亮</t>
    </r>
  </si>
  <si>
    <t>固德威天花板水管漏水</t>
  </si>
  <si>
    <t>傻滷天井柱燈不亮</t>
  </si>
  <si>
    <r>
      <rPr>
        <sz val="7"/>
        <color rgb="FF385460"/>
        <rFont val="Inherit"/>
        <family val="2"/>
        <charset val="1"/>
      </rPr>
      <t>2/5~2/6</t>
    </r>
    <r>
      <rPr>
        <sz val="7"/>
        <color rgb="FF385460"/>
        <rFont val="DejaVu Sans"/>
        <family val="2"/>
      </rPr>
      <t>租賃油壓車</t>
    </r>
  </si>
  <si>
    <r>
      <rPr>
        <sz val="7"/>
        <color rgb="FF385460"/>
        <rFont val="Inherit"/>
        <family val="2"/>
        <charset val="1"/>
      </rPr>
      <t>B1</t>
    </r>
    <r>
      <rPr>
        <sz val="7"/>
        <color rgb="FF385460"/>
        <rFont val="DejaVu Sans"/>
        <family val="2"/>
      </rPr>
      <t>回收室廚餘冰箱溫度異常</t>
    </r>
  </si>
  <si>
    <r>
      <rPr>
        <sz val="7"/>
        <color rgb="FF385460"/>
        <rFont val="Inherit"/>
        <family val="2"/>
        <charset val="1"/>
      </rPr>
      <t>1/21</t>
    </r>
    <r>
      <rPr>
        <sz val="7"/>
        <color rgb="FF385460"/>
        <rFont val="DejaVu Sans"/>
        <family val="2"/>
      </rPr>
      <t xml:space="preserve">前完成 </t>
    </r>
    <r>
      <rPr>
        <sz val="7"/>
        <color rgb="FF385460"/>
        <rFont val="Inherit"/>
        <family val="2"/>
        <charset val="1"/>
      </rPr>
      <t xml:space="preserve">- </t>
    </r>
    <r>
      <rPr>
        <sz val="7"/>
        <color rgb="FF385460"/>
        <rFont val="DejaVu Sans"/>
        <family val="2"/>
      </rPr>
      <t>戶外九宮格燈箱燈箱片安裝</t>
    </r>
  </si>
  <si>
    <r>
      <rPr>
        <sz val="7"/>
        <color rgb="FF385460"/>
        <rFont val="Inherit"/>
        <family val="2"/>
        <charset val="1"/>
      </rPr>
      <t>B1</t>
    </r>
    <r>
      <rPr>
        <sz val="7"/>
        <color rgb="FF385460"/>
        <rFont val="DejaVu Sans"/>
        <family val="2"/>
      </rPr>
      <t>漏水</t>
    </r>
  </si>
  <si>
    <r>
      <rPr>
        <sz val="7"/>
        <color rgb="FF385460"/>
        <rFont val="Inherit"/>
        <family val="2"/>
        <charset val="1"/>
      </rPr>
      <t>B2,162</t>
    </r>
    <r>
      <rPr>
        <sz val="7"/>
        <color rgb="FF385460"/>
        <rFont val="DejaVu Sans"/>
        <family val="2"/>
      </rPr>
      <t>車位上方集水盤漏水</t>
    </r>
  </si>
  <si>
    <r>
      <rPr>
        <sz val="7"/>
        <color rgb="FF385460"/>
        <rFont val="Inherit"/>
        <family val="2"/>
        <charset val="1"/>
      </rPr>
      <t>B</t>
    </r>
    <r>
      <rPr>
        <sz val="7"/>
        <color rgb="FF385460"/>
        <rFont val="DejaVu Sans"/>
        <family val="2"/>
      </rPr>
      <t>梯員工出入口</t>
    </r>
    <r>
      <rPr>
        <sz val="7"/>
        <color rgb="FF385460"/>
        <rFont val="Inherit"/>
        <family val="2"/>
        <charset val="1"/>
      </rPr>
      <t>-1F</t>
    </r>
    <r>
      <rPr>
        <sz val="7"/>
        <color rgb="FF385460"/>
        <rFont val="DejaVu Sans"/>
        <family val="2"/>
      </rPr>
      <t>安全門無法自動回復</t>
    </r>
  </si>
  <si>
    <r>
      <rPr>
        <sz val="7"/>
        <color rgb="FF385460"/>
        <rFont val="Inherit"/>
        <family val="2"/>
        <charset val="1"/>
      </rPr>
      <t>1</t>
    </r>
    <r>
      <rPr>
        <sz val="7"/>
        <color rgb="FF385460"/>
        <rFont val="DejaVu Sans"/>
        <family val="2"/>
      </rPr>
      <t>樓大門門把鬆脫（近富錦樹）</t>
    </r>
  </si>
  <si>
    <r>
      <rPr>
        <sz val="7"/>
        <color rgb="FF385460"/>
        <rFont val="Inherit"/>
        <family val="2"/>
        <charset val="1"/>
      </rPr>
      <t>B1</t>
    </r>
    <r>
      <rPr>
        <sz val="7"/>
        <color rgb="FF385460"/>
        <rFont val="DejaVu Sans"/>
        <family val="2"/>
      </rPr>
      <t>預備車位（發電機房外）天花板吸頂燈不亮</t>
    </r>
  </si>
  <si>
    <r>
      <rPr>
        <sz val="7"/>
        <color rgb="FF385460"/>
        <rFont val="Inherit"/>
        <family val="2"/>
        <charset val="1"/>
      </rPr>
      <t>4</t>
    </r>
    <r>
      <rPr>
        <sz val="7"/>
        <color rgb="FF385460"/>
        <rFont val="DejaVu Sans"/>
        <family val="2"/>
      </rPr>
      <t>樓男廁一顆燈泡壞掉</t>
    </r>
  </si>
  <si>
    <r>
      <rPr>
        <sz val="7"/>
        <color rgb="FF385460"/>
        <rFont val="DejaVu Sans"/>
        <family val="2"/>
      </rPr>
      <t>車道安全上方燈開了</t>
    </r>
    <r>
      <rPr>
        <sz val="7"/>
        <color rgb="FF385460"/>
        <rFont val="Inherit"/>
        <family val="2"/>
        <charset val="1"/>
      </rPr>
      <t>20</t>
    </r>
    <r>
      <rPr>
        <sz val="7"/>
        <color rgb="FF385460"/>
        <rFont val="DejaVu Sans"/>
        <family val="2"/>
      </rPr>
      <t>分鐘才會亮</t>
    </r>
  </si>
  <si>
    <r>
      <rPr>
        <sz val="7"/>
        <color rgb="FF385460"/>
        <rFont val="Inherit"/>
        <family val="2"/>
        <charset val="1"/>
      </rPr>
      <t>B2,158</t>
    </r>
    <r>
      <rPr>
        <sz val="7"/>
        <color rgb="FF385460"/>
        <rFont val="DejaVu Sans"/>
        <family val="2"/>
      </rPr>
      <t>車位旁日光燈不亮</t>
    </r>
  </si>
  <si>
    <r>
      <rPr>
        <sz val="7"/>
        <color rgb="FF385460"/>
        <rFont val="Inherit"/>
        <family val="2"/>
        <charset val="1"/>
      </rPr>
      <t xml:space="preserve">1-03 </t>
    </r>
    <r>
      <rPr>
        <sz val="7"/>
        <color rgb="FF385460"/>
        <rFont val="DejaVu Sans"/>
        <family val="2"/>
      </rPr>
      <t>前臨時櫃位電力配置</t>
    </r>
  </si>
  <si>
    <t>垃圾廚餘間電錶異常</t>
  </si>
  <si>
    <r>
      <rPr>
        <sz val="7"/>
        <color rgb="FF385460"/>
        <rFont val="Inherit"/>
        <family val="2"/>
        <charset val="1"/>
      </rPr>
      <t>SAKEMARU</t>
    </r>
    <r>
      <rPr>
        <sz val="7"/>
        <color rgb="FF385460"/>
        <rFont val="DejaVu Sans"/>
        <family val="2"/>
      </rPr>
      <t>燈罩燈泡不亮</t>
    </r>
  </si>
  <si>
    <r>
      <rPr>
        <sz val="7"/>
        <color rgb="FF385460"/>
        <rFont val="Inherit"/>
        <family val="2"/>
        <charset val="1"/>
      </rPr>
      <t>B1</t>
    </r>
    <r>
      <rPr>
        <sz val="7"/>
        <color rgb="FF385460"/>
        <rFont val="DejaVu Sans"/>
        <family val="2"/>
      </rPr>
      <t>回收室水槽漏水</t>
    </r>
  </si>
  <si>
    <r>
      <rPr>
        <sz val="7"/>
        <color rgb="FF385460"/>
        <rFont val="DejaVu Sans"/>
        <family val="2"/>
      </rPr>
      <t>可推式燈箱</t>
    </r>
    <r>
      <rPr>
        <sz val="7"/>
        <color rgb="FF385460"/>
        <rFont val="Inherit"/>
        <family val="2"/>
        <charset val="1"/>
      </rPr>
      <t>-</t>
    </r>
    <r>
      <rPr>
        <sz val="7"/>
        <color rgb="FF385460"/>
        <rFont val="DejaVu Sans"/>
        <family val="2"/>
      </rPr>
      <t>笙弘來施工</t>
    </r>
    <r>
      <rPr>
        <sz val="7"/>
        <color rgb="FF385460"/>
        <rFont val="Inherit"/>
        <family val="2"/>
        <charset val="1"/>
      </rPr>
      <t>&amp;</t>
    </r>
    <r>
      <rPr>
        <sz val="7"/>
        <color rgb="FF385460"/>
        <rFont val="DejaVu Sans"/>
        <family val="2"/>
      </rPr>
      <t>擺放到戶外施工區</t>
    </r>
  </si>
  <si>
    <r>
      <rPr>
        <sz val="7"/>
        <color rgb="FF385460"/>
        <rFont val="Inherit"/>
        <family val="2"/>
        <charset val="1"/>
      </rPr>
      <t>B3,245</t>
    </r>
    <r>
      <rPr>
        <sz val="7"/>
        <color rgb="FF385460"/>
        <rFont val="DejaVu Sans"/>
        <family val="2"/>
      </rPr>
      <t>車位前投射燈不亮</t>
    </r>
  </si>
  <si>
    <r>
      <rPr>
        <sz val="7"/>
        <color rgb="FF385460"/>
        <rFont val="Inherit"/>
        <family val="2"/>
        <charset val="1"/>
      </rPr>
      <t>2</t>
    </r>
    <r>
      <rPr>
        <sz val="7"/>
        <color rgb="FF385460"/>
        <rFont val="DejaVu Sans"/>
        <family val="2"/>
      </rPr>
      <t>樓燒鳥層板燈不亮</t>
    </r>
  </si>
  <si>
    <t>味爵電力問題</t>
  </si>
  <si>
    <t>味爵</t>
  </si>
  <si>
    <r>
      <rPr>
        <sz val="7"/>
        <color rgb="FF385460"/>
        <rFont val="Inherit"/>
        <family val="2"/>
        <charset val="1"/>
      </rPr>
      <t>B2</t>
    </r>
    <r>
      <rPr>
        <sz val="7"/>
        <color rgb="FF385460"/>
        <rFont val="DejaVu Sans"/>
        <family val="2"/>
      </rPr>
      <t>停車場車道前方大面積積水</t>
    </r>
  </si>
  <si>
    <r>
      <rPr>
        <sz val="7"/>
        <color rgb="FF385460"/>
        <rFont val="Inherit"/>
        <family val="2"/>
        <charset val="1"/>
      </rPr>
      <t>2</t>
    </r>
    <r>
      <rPr>
        <sz val="7"/>
        <color rgb="FF385460"/>
        <rFont val="DejaVu Sans"/>
        <family val="2"/>
      </rPr>
      <t>樓貨梯廳吸頂燈故障</t>
    </r>
  </si>
  <si>
    <r>
      <rPr>
        <sz val="7"/>
        <color rgb="FF385460"/>
        <rFont val="DejaVu Sans"/>
        <family val="2"/>
      </rPr>
      <t>味爵</t>
    </r>
    <r>
      <rPr>
        <sz val="7"/>
        <color rgb="FF385460"/>
        <rFont val="Inherit"/>
        <family val="2"/>
        <charset val="1"/>
      </rPr>
      <t>220V</t>
    </r>
    <r>
      <rPr>
        <sz val="7"/>
        <color rgb="FF385460"/>
        <rFont val="DejaVu Sans"/>
        <family val="2"/>
      </rPr>
      <t>插座短路</t>
    </r>
  </si>
  <si>
    <r>
      <rPr>
        <sz val="7"/>
        <color rgb="FF385460"/>
        <rFont val="Inherit"/>
        <family val="2"/>
        <charset val="1"/>
      </rPr>
      <t xml:space="preserve">1F </t>
    </r>
    <r>
      <rPr>
        <sz val="7"/>
        <color rgb="FF385460"/>
        <rFont val="DejaVu Sans"/>
        <family val="2"/>
      </rPr>
      <t>花店旁大門邊新增臨時櫃需求電力</t>
    </r>
    <r>
      <rPr>
        <sz val="7"/>
        <color rgb="FF385460"/>
        <rFont val="Inherit"/>
        <family val="2"/>
        <charset val="1"/>
      </rPr>
      <t>110V 220V POS</t>
    </r>
    <r>
      <rPr>
        <sz val="7"/>
        <color rgb="FF385460"/>
        <rFont val="DejaVu Sans"/>
        <family val="2"/>
      </rPr>
      <t>機網路線</t>
    </r>
  </si>
  <si>
    <r>
      <rPr>
        <sz val="7"/>
        <color rgb="FF385460"/>
        <rFont val="DejaVu Sans"/>
        <family val="2"/>
      </rPr>
      <t>商場</t>
    </r>
    <r>
      <rPr>
        <sz val="7"/>
        <color rgb="FF385460"/>
        <rFont val="Inherit"/>
        <family val="2"/>
        <charset val="1"/>
      </rPr>
      <t>1F</t>
    </r>
    <r>
      <rPr>
        <sz val="7"/>
        <color rgb="FF385460"/>
        <rFont val="DejaVu Sans"/>
        <family val="2"/>
      </rPr>
      <t>桌面的回收提醒餐牌太鋒利請協助處理</t>
    </r>
  </si>
  <si>
    <t>202604-032</t>
  </si>
  <si>
    <r>
      <rPr>
        <sz val="7"/>
        <color rgb="FF385460"/>
        <rFont val="Inherit"/>
        <family val="2"/>
        <charset val="1"/>
      </rPr>
      <t>1</t>
    </r>
    <r>
      <rPr>
        <sz val="7"/>
        <color rgb="FF385460"/>
        <rFont val="DejaVu Sans"/>
        <family val="2"/>
      </rPr>
      <t>樓牪牛肉側門關不起來</t>
    </r>
  </si>
  <si>
    <t>202604-031</t>
  </si>
  <si>
    <r>
      <rPr>
        <sz val="7"/>
        <color rgb="FF385460"/>
        <rFont val="DejaVu Sans"/>
        <family val="2"/>
      </rPr>
      <t>一樓收碗區區櫃台門壞掉</t>
    </r>
    <r>
      <rPr>
        <sz val="7"/>
        <color rgb="FF385460"/>
        <rFont val="Inherit"/>
        <family val="2"/>
        <charset val="1"/>
      </rPr>
      <t>.</t>
    </r>
    <r>
      <rPr>
        <sz val="7"/>
        <color rgb="FF385460"/>
        <rFont val="DejaVu Sans"/>
        <family val="2"/>
      </rPr>
      <t>修好又壞掉</t>
    </r>
  </si>
  <si>
    <t>202604-030</t>
  </si>
  <si>
    <t>一樓收碗區區櫃台門壞掉</t>
  </si>
  <si>
    <t>202604-029</t>
  </si>
  <si>
    <t>牪牛肉的冰箱漏水</t>
  </si>
  <si>
    <t>202604-028</t>
  </si>
  <si>
    <r>
      <rPr>
        <sz val="7"/>
        <color rgb="FF385460"/>
        <rFont val="Inherit"/>
        <family val="2"/>
        <charset val="1"/>
      </rPr>
      <t>B1</t>
    </r>
    <r>
      <rPr>
        <sz val="7"/>
        <color rgb="FF385460"/>
        <rFont val="DejaVu Sans"/>
        <family val="2"/>
      </rPr>
      <t>樓 紙箱回收籠車上方消防設備自天花板掉落</t>
    </r>
  </si>
  <si>
    <t>202604-027</t>
  </si>
  <si>
    <r>
      <rPr>
        <sz val="7"/>
        <color rgb="FF385460"/>
        <rFont val="DejaVu Sans"/>
        <family val="2"/>
      </rPr>
      <t>請安排</t>
    </r>
    <r>
      <rPr>
        <sz val="7"/>
        <color rgb="FF385460"/>
        <rFont val="Inherit"/>
        <family val="2"/>
        <charset val="1"/>
      </rPr>
      <t>5</t>
    </r>
    <r>
      <rPr>
        <sz val="7"/>
        <color rgb="FF385460"/>
        <rFont val="DejaVu Sans"/>
        <family val="2"/>
      </rPr>
      <t>月份 各專櫃汙水管通管工程</t>
    </r>
  </si>
  <si>
    <t>委外處理</t>
  </si>
  <si>
    <t>202604-026</t>
  </si>
  <si>
    <r>
      <rPr>
        <sz val="7"/>
        <color rgb="FF385460"/>
        <rFont val="Inherit"/>
        <family val="2"/>
        <charset val="1"/>
      </rPr>
      <t>2</t>
    </r>
    <r>
      <rPr>
        <sz val="7"/>
        <color rgb="FF385460"/>
        <rFont val="DejaVu Sans"/>
        <family val="2"/>
      </rPr>
      <t>樓殘障廁所 沒水 有臭味 請緊急維修</t>
    </r>
  </si>
  <si>
    <t>202604-025</t>
  </si>
  <si>
    <r>
      <rPr>
        <sz val="7"/>
        <color rgb="FF385460"/>
        <rFont val="Inherit"/>
        <family val="2"/>
        <charset val="1"/>
      </rPr>
      <t xml:space="preserve">1F </t>
    </r>
    <r>
      <rPr>
        <sz val="7"/>
        <color rgb="FF385460"/>
        <rFont val="DejaVu Sans"/>
        <family val="2"/>
      </rPr>
      <t>回收台</t>
    </r>
    <r>
      <rPr>
        <sz val="7"/>
        <color rgb="FF385460"/>
        <rFont val="Inherit"/>
        <family val="2"/>
        <charset val="1"/>
      </rPr>
      <t>(</t>
    </r>
    <r>
      <rPr>
        <sz val="7"/>
        <color rgb="FF385460"/>
        <rFont val="DejaVu Sans"/>
        <family val="2"/>
      </rPr>
      <t>靠貨梯旁</t>
    </r>
    <r>
      <rPr>
        <sz val="7"/>
        <color rgb="FF385460"/>
        <rFont val="Inherit"/>
        <family val="2"/>
        <charset val="1"/>
      </rPr>
      <t>)</t>
    </r>
    <r>
      <rPr>
        <sz val="7"/>
        <color rgb="FF385460"/>
        <rFont val="DejaVu Sans"/>
        <family val="2"/>
      </rPr>
      <t>門片故障需修理</t>
    </r>
  </si>
  <si>
    <t>202604-024</t>
  </si>
  <si>
    <r>
      <rPr>
        <sz val="7"/>
        <color rgb="FF385460"/>
        <rFont val="Inherit"/>
        <family val="2"/>
        <charset val="1"/>
      </rPr>
      <t>2</t>
    </r>
    <r>
      <rPr>
        <sz val="7"/>
        <color rgb="FF385460"/>
        <rFont val="DejaVu Sans"/>
        <family val="2"/>
      </rPr>
      <t>樓下一樓手扶梯斷斷續續的停止</t>
    </r>
  </si>
  <si>
    <t>202604-023</t>
  </si>
  <si>
    <r>
      <rPr>
        <sz val="7"/>
        <color rgb="FF385460"/>
        <rFont val="Inherit"/>
        <family val="2"/>
        <charset val="1"/>
      </rPr>
      <t>1</t>
    </r>
    <r>
      <rPr>
        <sz val="7"/>
        <color rgb="FF385460"/>
        <rFont val="DejaVu Sans"/>
        <family val="2"/>
      </rPr>
      <t>樓環狀燈泡閃爍，</t>
    </r>
    <r>
      <rPr>
        <sz val="7"/>
        <color rgb="FF385460"/>
        <rFont val="Inherit"/>
        <family val="2"/>
        <charset val="1"/>
      </rPr>
      <t>salud</t>
    </r>
    <r>
      <rPr>
        <sz val="7"/>
        <color rgb="FF385460"/>
        <rFont val="DejaVu Sans"/>
        <family val="2"/>
      </rPr>
      <t>、果汁店</t>
    </r>
  </si>
  <si>
    <t>202604-022</t>
  </si>
  <si>
    <t>桌子高低</t>
  </si>
  <si>
    <t>202604-021</t>
  </si>
  <si>
    <t>二樓女廁第二間馬桶蓋掉落 請維修處理</t>
  </si>
  <si>
    <t>202604-020</t>
  </si>
  <si>
    <r>
      <rPr>
        <sz val="7"/>
        <color rgb="FF385460"/>
        <rFont val="Inherit"/>
        <family val="2"/>
        <charset val="1"/>
      </rPr>
      <t>2</t>
    </r>
    <r>
      <rPr>
        <sz val="7"/>
        <color rgb="FF385460"/>
        <rFont val="DejaVu Sans"/>
        <family val="2"/>
      </rPr>
      <t>樓女廁第</t>
    </r>
    <r>
      <rPr>
        <sz val="7"/>
        <color rgb="FF385460"/>
        <rFont val="Inherit"/>
        <family val="2"/>
        <charset val="1"/>
      </rPr>
      <t>2</t>
    </r>
    <r>
      <rPr>
        <sz val="7"/>
        <color rgb="FF385460"/>
        <rFont val="DejaVu Sans"/>
        <family val="2"/>
      </rPr>
      <t>間馬桶蓋壞了</t>
    </r>
  </si>
  <si>
    <t>202604-019</t>
  </si>
  <si>
    <t>泰市場煎魚台上方偵煙器移位</t>
  </si>
  <si>
    <t>202604-018</t>
  </si>
  <si>
    <r>
      <rPr>
        <sz val="7"/>
        <color rgb="FF385460"/>
        <rFont val="Inherit"/>
        <family val="2"/>
        <charset val="1"/>
      </rPr>
      <t>2</t>
    </r>
    <r>
      <rPr>
        <sz val="7"/>
        <color rgb="FF385460"/>
        <rFont val="DejaVu Sans"/>
        <family val="2"/>
      </rPr>
      <t>樓男廁第</t>
    </r>
    <r>
      <rPr>
        <sz val="7"/>
        <color rgb="FF385460"/>
        <rFont val="Inherit"/>
        <family val="2"/>
        <charset val="1"/>
      </rPr>
      <t>3</t>
    </r>
    <r>
      <rPr>
        <sz val="7"/>
        <color rgb="FF385460"/>
        <rFont val="DejaVu Sans"/>
        <family val="2"/>
      </rPr>
      <t>間馬桶蓋壞了</t>
    </r>
  </si>
  <si>
    <t>202604-017</t>
  </si>
  <si>
    <r>
      <rPr>
        <sz val="7"/>
        <color rgb="FF385460"/>
        <rFont val="Inherit"/>
        <family val="2"/>
        <charset val="1"/>
      </rPr>
      <t>2</t>
    </r>
    <r>
      <rPr>
        <sz val="7"/>
        <color rgb="FF385460"/>
        <rFont val="DejaVu Sans"/>
        <family val="2"/>
      </rPr>
      <t>樓女廁第</t>
    </r>
    <r>
      <rPr>
        <sz val="7"/>
        <color rgb="FF385460"/>
        <rFont val="Inherit"/>
        <family val="2"/>
        <charset val="1"/>
      </rPr>
      <t>2</t>
    </r>
    <r>
      <rPr>
        <sz val="7"/>
        <color rgb="FF385460"/>
        <rFont val="DejaVu Sans"/>
        <family val="2"/>
      </rPr>
      <t>間門鎖掉落</t>
    </r>
  </si>
  <si>
    <t>202604-016</t>
  </si>
  <si>
    <r>
      <rPr>
        <sz val="7"/>
        <color rgb="FF385460"/>
        <rFont val="DejaVu Sans"/>
        <family val="2"/>
      </rPr>
      <t>二下一手扶梯不定時停止運作，代碼</t>
    </r>
    <r>
      <rPr>
        <sz val="7"/>
        <color rgb="FF385460"/>
        <rFont val="Inherit"/>
        <family val="2"/>
        <charset val="1"/>
      </rPr>
      <t>5</t>
    </r>
  </si>
  <si>
    <t>202604-015</t>
  </si>
  <si>
    <t>商場容留計數器未作動</t>
  </si>
  <si>
    <t>202604-014</t>
  </si>
  <si>
    <t>側門上面的鋁合金不見</t>
  </si>
  <si>
    <t>建築</t>
  </si>
  <si>
    <t>202604-013</t>
  </si>
  <si>
    <t>小後苑植福路旁有野草雜草沒有清除</t>
  </si>
  <si>
    <t>202604-012</t>
  </si>
  <si>
    <t>植福路上南花圃內的固定鋼索要移除</t>
  </si>
  <si>
    <t>202604-011</t>
  </si>
  <si>
    <t>植福路上照樹燈的電線外露</t>
  </si>
  <si>
    <t>202604-010</t>
  </si>
  <si>
    <t>植福路側門旁花台內水管凌亂及戶外電箱損壞</t>
  </si>
  <si>
    <t>202604-009</t>
  </si>
  <si>
    <t>植福路上花舖的固定鋼索圈要移除</t>
  </si>
  <si>
    <t>202604-008</t>
  </si>
  <si>
    <t>剪鋼索及木頭支架</t>
  </si>
  <si>
    <t>202604-007</t>
  </si>
  <si>
    <t>傻雞前天井柱燈不亮</t>
  </si>
  <si>
    <t>202604-006</t>
  </si>
  <si>
    <t>三樓女廁洗手檯投照燈故障</t>
  </si>
  <si>
    <t>202604-005</t>
  </si>
  <si>
    <r>
      <rPr>
        <sz val="7"/>
        <color rgb="FF385460"/>
        <rFont val="DejaVu Sans"/>
        <family val="2"/>
      </rPr>
      <t>一樓戶外</t>
    </r>
    <r>
      <rPr>
        <sz val="7"/>
        <color rgb="FF385460"/>
        <rFont val="Inherit"/>
        <family val="2"/>
        <charset val="1"/>
      </rPr>
      <t xml:space="preserve">woolloomooloo </t>
    </r>
    <r>
      <rPr>
        <sz val="7"/>
        <color rgb="FF385460"/>
        <rFont val="DejaVu Sans"/>
        <family val="2"/>
      </rPr>
      <t>旁垃圾桶，玻璃瓶桶脫落</t>
    </r>
  </si>
  <si>
    <t>202604-004</t>
  </si>
  <si>
    <t>瞞著爹前天井柱燈不亮</t>
  </si>
  <si>
    <t>202604-003</t>
  </si>
  <si>
    <r>
      <rPr>
        <sz val="7"/>
        <color rgb="FF385460"/>
        <rFont val="Inherit"/>
        <family val="2"/>
        <charset val="1"/>
      </rPr>
      <t>B4,356</t>
    </r>
    <r>
      <rPr>
        <sz val="7"/>
        <color rgb="FF385460"/>
        <rFont val="DejaVu Sans"/>
        <family val="2"/>
      </rPr>
      <t>號停車格上方水管滴水</t>
    </r>
  </si>
  <si>
    <t>202604-002</t>
  </si>
  <si>
    <r>
      <rPr>
        <sz val="7"/>
        <color rgb="FF385460"/>
        <rFont val="Inherit"/>
        <family val="2"/>
        <charset val="1"/>
      </rPr>
      <t>1F</t>
    </r>
    <r>
      <rPr>
        <sz val="7"/>
        <color rgb="FF385460"/>
        <rFont val="DejaVu Sans"/>
        <family val="2"/>
      </rPr>
      <t xml:space="preserve">戶外餐車漢堡世家新增切肉機需求電源 </t>
    </r>
    <r>
      <rPr>
        <sz val="7"/>
        <color rgb="FF385460"/>
        <rFont val="Inherit"/>
        <family val="2"/>
        <charset val="1"/>
      </rPr>
      <t>3</t>
    </r>
    <r>
      <rPr>
        <sz val="7"/>
        <color rgb="FF385460"/>
        <rFont val="DejaVu Sans"/>
        <family val="2"/>
      </rPr>
      <t>相</t>
    </r>
    <r>
      <rPr>
        <sz val="7"/>
        <color rgb="FF385460"/>
        <rFont val="Inherit"/>
        <family val="2"/>
        <charset val="1"/>
      </rPr>
      <t>220V</t>
    </r>
  </si>
  <si>
    <t>202604-001</t>
  </si>
  <si>
    <r>
      <rPr>
        <sz val="7"/>
        <color rgb="FF385460"/>
        <rFont val="Inherit"/>
        <family val="2"/>
        <charset val="1"/>
      </rPr>
      <t>1</t>
    </r>
    <r>
      <rPr>
        <sz val="7"/>
        <color rgb="FF385460"/>
        <rFont val="DejaVu Sans"/>
        <family val="2"/>
      </rPr>
      <t>樓側門的地錬故障</t>
    </r>
  </si>
  <si>
    <t>戶外廣場招牌燈座，富錦樹、小後苑門把生鏽</t>
  </si>
  <si>
    <r>
      <rPr>
        <sz val="7"/>
        <color rgb="FF385460"/>
        <rFont val="Inherit"/>
        <family val="2"/>
        <charset val="1"/>
      </rPr>
      <t>B</t>
    </r>
    <r>
      <rPr>
        <sz val="7"/>
        <color rgb="FF385460"/>
        <rFont val="DejaVu Sans"/>
        <family val="2"/>
      </rPr>
      <t>梯安全門門把快掉了</t>
    </r>
  </si>
  <si>
    <r>
      <rPr>
        <sz val="7"/>
        <color rgb="FF385460"/>
        <rFont val="Inherit"/>
        <family val="2"/>
        <charset val="1"/>
      </rPr>
      <t>3</t>
    </r>
    <r>
      <rPr>
        <sz val="7"/>
        <color rgb="FF385460"/>
        <rFont val="DejaVu Sans"/>
        <family val="2"/>
      </rPr>
      <t>樓九華樓外天花</t>
    </r>
    <r>
      <rPr>
        <sz val="7"/>
        <color rgb="FF385460"/>
        <rFont val="Inherit"/>
        <family val="2"/>
        <charset val="1"/>
      </rPr>
      <t>2</t>
    </r>
    <r>
      <rPr>
        <sz val="7"/>
        <color rgb="FF385460"/>
        <rFont val="DejaVu Sans"/>
        <family val="2"/>
      </rPr>
      <t>投射燈不亮</t>
    </r>
  </si>
  <si>
    <r>
      <rPr>
        <sz val="7"/>
        <color rgb="FF385460"/>
        <rFont val="Inherit"/>
        <family val="2"/>
        <charset val="1"/>
      </rPr>
      <t>SP1</t>
    </r>
    <r>
      <rPr>
        <sz val="7"/>
        <color rgb="FF385460"/>
        <rFont val="DejaVu Sans"/>
        <family val="2"/>
      </rPr>
      <t>汙水槽警報響</t>
    </r>
  </si>
  <si>
    <r>
      <rPr>
        <sz val="7"/>
        <color rgb="FF385460"/>
        <rFont val="Inherit"/>
        <family val="2"/>
        <charset val="1"/>
      </rPr>
      <t>B1</t>
    </r>
    <r>
      <rPr>
        <sz val="7"/>
        <color rgb="FF385460"/>
        <rFont val="DejaVu Sans"/>
        <family val="2"/>
      </rPr>
      <t>辦公室室外冷氣主機更換</t>
    </r>
  </si>
  <si>
    <t>車道口廣場的指示牌燈不亮</t>
  </si>
  <si>
    <r>
      <rPr>
        <sz val="7"/>
        <color rgb="FF385460"/>
        <rFont val="Inherit"/>
        <family val="2"/>
        <charset val="1"/>
      </rPr>
      <t xml:space="preserve">1F </t>
    </r>
    <r>
      <rPr>
        <sz val="7"/>
        <color rgb="FF385460"/>
        <rFont val="DejaVu Sans"/>
        <family val="2"/>
      </rPr>
      <t>側門消防門會彈回來 無法固定</t>
    </r>
  </si>
  <si>
    <r>
      <rPr>
        <sz val="7"/>
        <color rgb="FF385460"/>
        <rFont val="DejaVu Sans"/>
        <family val="2"/>
      </rPr>
      <t>商場</t>
    </r>
    <r>
      <rPr>
        <sz val="7"/>
        <color rgb="FF385460"/>
        <rFont val="Inherit"/>
        <family val="2"/>
        <charset val="1"/>
      </rPr>
      <t>3F3-06</t>
    </r>
    <r>
      <rPr>
        <sz val="7"/>
        <color rgb="FF385460"/>
        <rFont val="DejaVu Sans"/>
        <family val="2"/>
      </rPr>
      <t>櫃位消防灑水改管、新增工程</t>
    </r>
  </si>
  <si>
    <t>三樓九華樓帶位櫃檯與柱子中間地板凹陷</t>
  </si>
  <si>
    <r>
      <rPr>
        <sz val="7"/>
        <color rgb="FF385460"/>
        <rFont val="Inherit"/>
        <family val="2"/>
        <charset val="1"/>
      </rPr>
      <t>1F</t>
    </r>
    <r>
      <rPr>
        <sz val="7"/>
        <color rgb="FF385460"/>
        <rFont val="DejaVu Sans"/>
        <family val="2"/>
      </rPr>
      <t>小後苑大門無法鎖</t>
    </r>
  </si>
  <si>
    <t>小後苑</t>
  </si>
  <si>
    <r>
      <rPr>
        <b/>
        <sz val="11"/>
        <color rgb="FFFFFFFF"/>
        <rFont val="DejaVu Sans"/>
        <family val="2"/>
      </rPr>
      <t xml:space="preserve">🔍 商場工務報修 </t>
    </r>
    <r>
      <rPr>
        <b/>
        <sz val="11"/>
        <color rgb="FFFFFFFF"/>
        <rFont val="Arial"/>
        <family val="2"/>
      </rPr>
      <t xml:space="preserve">Dashboard </t>
    </r>
    <r>
      <rPr>
        <b/>
        <sz val="11"/>
        <color rgb="FFFFFFFF"/>
        <rFont val="DejaVu Sans"/>
        <family val="2"/>
      </rPr>
      <t xml:space="preserve">核對總表  </t>
    </r>
    <r>
      <rPr>
        <b/>
        <sz val="11"/>
        <color rgb="FFFFFFFF"/>
        <rFont val="Arial"/>
        <family val="2"/>
      </rPr>
      <t xml:space="preserve">|  2026 </t>
    </r>
    <r>
      <rPr>
        <b/>
        <sz val="11"/>
        <color rgb="FFFFFFFF"/>
        <rFont val="DejaVu Sans"/>
        <family val="2"/>
      </rPr>
      <t xml:space="preserve">年 </t>
    </r>
    <r>
      <rPr>
        <b/>
        <sz val="11"/>
        <color rgb="FFFFFFFF"/>
        <rFont val="Arial"/>
        <family val="2"/>
      </rPr>
      <t xml:space="preserve">4 </t>
    </r>
    <r>
      <rPr>
        <b/>
        <sz val="11"/>
        <color rgb="FFFFFFFF"/>
        <rFont val="DejaVu Sans"/>
        <family val="2"/>
      </rPr>
      <t>月</t>
    </r>
  </si>
  <si>
    <t>#</t>
  </si>
  <si>
    <t>計算項目</t>
  </si>
  <si>
    <r>
      <rPr>
        <b/>
        <sz val="10"/>
        <color rgb="FFFFFFFF"/>
        <rFont val="Arial"/>
        <family val="2"/>
      </rPr>
      <t xml:space="preserve">Dashboard </t>
    </r>
    <r>
      <rPr>
        <b/>
        <sz val="10"/>
        <color rgb="FFFFFFFF"/>
        <rFont val="DejaVu Sans"/>
        <family val="2"/>
      </rPr>
      <t>顯示</t>
    </r>
  </si>
  <si>
    <r>
      <rPr>
        <b/>
        <sz val="10"/>
        <color rgb="FFFFFFFF"/>
        <rFont val="Arial"/>
        <family val="2"/>
      </rPr>
      <t xml:space="preserve">Excel </t>
    </r>
    <r>
      <rPr>
        <b/>
        <sz val="10"/>
        <color rgb="FFFFFFFF"/>
        <rFont val="DejaVu Sans"/>
        <family val="2"/>
      </rPr>
      <t>試算</t>
    </r>
  </si>
  <si>
    <r>
      <rPr>
        <b/>
        <sz val="10"/>
        <color rgb="FFFFFFFF"/>
        <rFont val="DejaVu Sans"/>
        <family val="2"/>
      </rPr>
      <t xml:space="preserve">本地 </t>
    </r>
    <r>
      <rPr>
        <b/>
        <sz val="10"/>
        <color rgb="FFFFFFFF"/>
        <rFont val="Arial"/>
        <family val="2"/>
      </rPr>
      <t>DB</t>
    </r>
  </si>
  <si>
    <t>一致？</t>
  </si>
  <si>
    <t>計算公式說明</t>
  </si>
  <si>
    <t>備註</t>
  </si>
  <si>
    <t>本月相關案件
（上期未結＋本期報修）</t>
  </si>
  <si>
    <t>✅</t>
  </si>
  <si>
    <r>
      <rPr>
        <sz val="9"/>
        <rFont val="Arial"/>
        <family val="2"/>
      </rPr>
      <t>occ≤3</t>
    </r>
    <r>
      <rPr>
        <sz val="9"/>
        <rFont val="DejaVu Sans"/>
        <family val="2"/>
      </rPr>
      <t xml:space="preserve">月且未完成 </t>
    </r>
    <r>
      <rPr>
        <sz val="9"/>
        <rFont val="Arial"/>
        <family val="2"/>
      </rPr>
      <t>+ occ=4</t>
    </r>
    <r>
      <rPr>
        <sz val="9"/>
        <rFont val="DejaVu Sans"/>
        <family val="2"/>
      </rPr>
      <t>月</t>
    </r>
  </si>
  <si>
    <r>
      <rPr>
        <sz val="9"/>
        <rFont val="DejaVu Sans"/>
        <family val="2"/>
      </rPr>
      <t>上期未結</t>
    </r>
    <r>
      <rPr>
        <sz val="9"/>
        <rFont val="Arial"/>
        <family val="2"/>
      </rPr>
      <t>5</t>
    </r>
    <r>
      <rPr>
        <sz val="9"/>
        <rFont val="DejaVu Sans"/>
        <family val="2"/>
      </rPr>
      <t xml:space="preserve">件 </t>
    </r>
    <r>
      <rPr>
        <sz val="9"/>
        <rFont val="Arial"/>
        <family val="2"/>
      </rPr>
      <t xml:space="preserve">+ </t>
    </r>
    <r>
      <rPr>
        <sz val="9"/>
        <rFont val="DejaVu Sans"/>
        <family val="2"/>
      </rPr>
      <t>本月新報修</t>
    </r>
    <r>
      <rPr>
        <sz val="9"/>
        <rFont val="Arial"/>
        <family val="2"/>
      </rPr>
      <t>51</t>
    </r>
    <r>
      <rPr>
        <sz val="9"/>
        <rFont val="DejaVu Sans"/>
        <family val="2"/>
      </rPr>
      <t>件</t>
    </r>
  </si>
  <si>
    <t>已完成件數</t>
  </si>
  <si>
    <t>status IN COMPLETED_STATUSES</t>
  </si>
  <si>
    <r>
      <rPr>
        <sz val="9"/>
        <rFont val="DejaVu Sans"/>
        <family val="2"/>
      </rPr>
      <t>已驗收</t>
    </r>
    <r>
      <rPr>
        <sz val="9"/>
        <rFont val="Arial"/>
        <family val="2"/>
      </rPr>
      <t>/</t>
    </r>
    <r>
      <rPr>
        <sz val="9"/>
        <rFont val="DejaVu Sans"/>
        <family val="2"/>
      </rPr>
      <t>已結案</t>
    </r>
    <r>
      <rPr>
        <sz val="9"/>
        <rFont val="Arial"/>
        <family val="2"/>
      </rPr>
      <t>/</t>
    </r>
    <r>
      <rPr>
        <sz val="9"/>
        <rFont val="DejaVu Sans"/>
        <family val="2"/>
      </rPr>
      <t>結案</t>
    </r>
    <r>
      <rPr>
        <sz val="9"/>
        <rFont val="Arial"/>
        <family val="2"/>
      </rPr>
      <t>/</t>
    </r>
    <r>
      <rPr>
        <sz val="9"/>
        <rFont val="DejaVu Sans"/>
        <family val="2"/>
      </rPr>
      <t>完修</t>
    </r>
    <r>
      <rPr>
        <sz val="9"/>
        <rFont val="Arial"/>
        <family val="2"/>
      </rPr>
      <t>/</t>
    </r>
    <r>
      <rPr>
        <sz val="9"/>
        <rFont val="DejaVu Sans"/>
        <family val="2"/>
      </rPr>
      <t>已完成</t>
    </r>
    <r>
      <rPr>
        <sz val="9"/>
        <rFont val="Arial"/>
        <family val="2"/>
      </rPr>
      <t>/</t>
    </r>
    <r>
      <rPr>
        <sz val="9"/>
        <rFont val="DejaVu Sans"/>
        <family val="2"/>
      </rPr>
      <t>完成</t>
    </r>
    <r>
      <rPr>
        <sz val="9"/>
        <rFont val="Arial"/>
        <family val="2"/>
      </rPr>
      <t>/</t>
    </r>
    <r>
      <rPr>
        <sz val="9"/>
        <rFont val="DejaVu Sans"/>
        <family val="2"/>
      </rPr>
      <t>已辦驗</t>
    </r>
  </si>
  <si>
    <t>待辦驗件數</t>
  </si>
  <si>
    <r>
      <rPr>
        <sz val="9"/>
        <rFont val="Arial"/>
        <family val="2"/>
      </rPr>
      <t>status == '</t>
    </r>
    <r>
      <rPr>
        <sz val="9"/>
        <rFont val="DejaVu Sans"/>
        <family val="2"/>
      </rPr>
      <t>待辦驗</t>
    </r>
    <r>
      <rPr>
        <sz val="9"/>
        <rFont val="Arial"/>
        <family val="2"/>
      </rPr>
      <t>'</t>
    </r>
  </si>
  <si>
    <t>含上期未結中仍待辦驗者</t>
  </si>
  <si>
    <t>未完成件數</t>
  </si>
  <si>
    <r>
      <rPr>
        <sz val="9"/>
        <rFont val="Arial"/>
        <family val="2"/>
      </rPr>
      <t xml:space="preserve">total − </t>
    </r>
    <r>
      <rPr>
        <sz val="9"/>
        <rFont val="DejaVu Sans"/>
        <family val="2"/>
      </rPr>
      <t>已完成 − 待辦驗</t>
    </r>
  </si>
  <si>
    <t>含處理中、委外處理、空白狀態</t>
  </si>
  <si>
    <t>平均結案天數</t>
  </si>
  <si>
    <r>
      <rPr>
        <sz val="9"/>
        <rFont val="Arial"/>
        <family val="2"/>
      </rPr>
      <t>8.4</t>
    </r>
    <r>
      <rPr>
        <sz val="9"/>
        <rFont val="DejaVu Sans"/>
        <family val="2"/>
      </rPr>
      <t>天</t>
    </r>
  </si>
  <si>
    <r>
      <rPr>
        <sz val="9"/>
        <rFont val="Arial"/>
        <family val="2"/>
      </rPr>
      <t>8.36</t>
    </r>
    <r>
      <rPr>
        <sz val="9"/>
        <rFont val="DejaVu Sans"/>
        <family val="2"/>
      </rPr>
      <t>天</t>
    </r>
  </si>
  <si>
    <r>
      <rPr>
        <sz val="9"/>
        <rFont val="Arial"/>
        <family val="2"/>
      </rPr>
      <t>SUM(</t>
    </r>
    <r>
      <rPr>
        <sz val="9"/>
        <rFont val="DejaVu Sans"/>
        <family val="2"/>
      </rPr>
      <t>完工</t>
    </r>
    <r>
      <rPr>
        <sz val="9"/>
        <rFont val="Arial"/>
        <family val="2"/>
      </rPr>
      <t>-</t>
    </r>
    <r>
      <rPr>
        <sz val="9"/>
        <rFont val="DejaVu Sans"/>
        <family val="2"/>
      </rPr>
      <t>報修</t>
    </r>
    <r>
      <rPr>
        <sz val="9"/>
        <rFont val="Arial"/>
        <family val="2"/>
      </rPr>
      <t xml:space="preserve">) / </t>
    </r>
    <r>
      <rPr>
        <sz val="9"/>
        <rFont val="DejaVu Sans"/>
        <family val="2"/>
      </rPr>
      <t>已完成件數</t>
    </r>
  </si>
  <si>
    <r>
      <rPr>
        <sz val="9"/>
        <rFont val="DejaVu Sans"/>
        <family val="2"/>
      </rPr>
      <t>後端</t>
    </r>
    <r>
      <rPr>
        <sz val="9"/>
        <rFont val="Arial"/>
        <family val="2"/>
      </rPr>
      <t>round(2)=8.36</t>
    </r>
    <r>
      <rPr>
        <sz val="9"/>
        <rFont val="DejaVu Sans"/>
        <family val="2"/>
      </rPr>
      <t>；前端顯示</t>
    </r>
    <r>
      <rPr>
        <sz val="9"/>
        <rFont val="Arial"/>
        <family val="2"/>
      </rPr>
      <t>round(1)=8.4</t>
    </r>
  </si>
  <si>
    <t>本月工時統計</t>
  </si>
  <si>
    <t>42.50 hr</t>
  </si>
  <si>
    <t>—</t>
  </si>
  <si>
    <r>
      <rPr>
        <sz val="9"/>
        <rFont val="Arial"/>
        <family val="2"/>
      </rPr>
      <t>SUM(</t>
    </r>
    <r>
      <rPr>
        <sz val="9"/>
        <rFont val="DejaVu Sans"/>
        <family val="2"/>
      </rPr>
      <t>花費工時</t>
    </r>
    <r>
      <rPr>
        <sz val="9"/>
        <rFont val="Arial"/>
        <family val="2"/>
      </rPr>
      <t>) for this_month_cases</t>
    </r>
  </si>
  <si>
    <r>
      <rPr>
        <sz val="9"/>
        <rFont val="Arial"/>
        <family val="2"/>
      </rPr>
      <t>Excel</t>
    </r>
    <r>
      <rPr>
        <sz val="9"/>
        <rFont val="DejaVu Sans"/>
        <family val="2"/>
      </rPr>
      <t>無花費工時欄；待修工時</t>
    </r>
    <r>
      <rPr>
        <sz val="9"/>
        <rFont val="Arial"/>
        <family val="2"/>
      </rPr>
      <t>=elapsed</t>
    </r>
    <r>
      <rPr>
        <sz val="9"/>
        <rFont val="DejaVu Sans"/>
        <family val="2"/>
      </rPr>
      <t>，不適用</t>
    </r>
  </si>
  <si>
    <t>客房報修件數</t>
  </si>
  <si>
    <t>is_room_case=True for this_month_cases</t>
  </si>
  <si>
    <r>
      <rPr>
        <sz val="9"/>
        <rFont val="Arial"/>
        <family val="2"/>
      </rPr>
      <t xml:space="preserve">2026/4 </t>
    </r>
    <r>
      <rPr>
        <sz val="9"/>
        <rFont val="DejaVu Sans"/>
        <family val="2"/>
      </rPr>
      <t>無客房樓層（</t>
    </r>
    <r>
      <rPr>
        <sz val="9"/>
        <rFont val="Arial"/>
        <family val="2"/>
      </rPr>
      <t>5F~10F</t>
    </r>
    <r>
      <rPr>
        <sz val="9"/>
        <rFont val="DejaVu Sans"/>
        <family val="2"/>
      </rPr>
      <t>）案件</t>
    </r>
  </si>
  <si>
    <t>當月委外費用</t>
  </si>
  <si>
    <t>SUM(outsource_fee) for stat_month=2026/4</t>
  </si>
  <si>
    <t>當月維修費用</t>
  </si>
  <si>
    <t>SUM(maintenance_fee) for stat_month=2026/4</t>
  </si>
  <si>
    <t>當月扣款費用</t>
  </si>
  <si>
    <r>
      <rPr>
        <sz val="9"/>
        <rFont val="Arial"/>
        <family val="2"/>
      </rPr>
      <t>SUM(deduction_fee)</t>
    </r>
    <r>
      <rPr>
        <sz val="9"/>
        <rFont val="DejaVu Sans"/>
        <family val="2"/>
      </rPr>
      <t>：</t>
    </r>
    <r>
      <rPr>
        <sz val="9"/>
        <rFont val="Arial"/>
        <family val="2"/>
      </rPr>
      <t>is_completed + counter</t>
    </r>
    <r>
      <rPr>
        <sz val="9"/>
        <rFont val="DejaVu Sans"/>
        <family val="2"/>
      </rPr>
      <t>名稱非空</t>
    </r>
  </si>
  <si>
    <r>
      <rPr>
        <sz val="9"/>
        <rFont val="Arial"/>
        <family val="2"/>
      </rPr>
      <t>⚠️ 202604-038</t>
    </r>
    <r>
      <rPr>
        <sz val="9"/>
        <rFont val="DejaVu Sans"/>
        <family val="2"/>
      </rPr>
      <t>扣款</t>
    </r>
    <r>
      <rPr>
        <sz val="9"/>
        <rFont val="Arial"/>
        <family val="2"/>
      </rPr>
      <t>$137</t>
    </r>
    <r>
      <rPr>
        <sz val="9"/>
        <rFont val="DejaVu Sans"/>
        <family val="2"/>
      </rPr>
      <t>因無專櫃名未計入</t>
    </r>
  </si>
  <si>
    <t>當月小計</t>
  </si>
  <si>
    <r>
      <rPr>
        <sz val="9"/>
        <rFont val="DejaVu Sans"/>
        <family val="2"/>
      </rPr>
      <t xml:space="preserve">委外 </t>
    </r>
    <r>
      <rPr>
        <sz val="9"/>
        <rFont val="Arial"/>
        <family val="2"/>
      </rPr>
      <t xml:space="preserve">+ </t>
    </r>
    <r>
      <rPr>
        <sz val="9"/>
        <rFont val="DejaVu Sans"/>
        <family val="2"/>
      </rPr>
      <t xml:space="preserve">維修 </t>
    </r>
    <r>
      <rPr>
        <sz val="9"/>
        <rFont val="Arial"/>
        <family val="2"/>
      </rPr>
      <t xml:space="preserve">+ </t>
    </r>
    <r>
      <rPr>
        <sz val="9"/>
        <rFont val="DejaVu Sans"/>
        <family val="2"/>
      </rPr>
      <t>扣款</t>
    </r>
  </si>
  <si>
    <t>$54,425+$3,116+$18,755</t>
  </si>
  <si>
    <t>本月扣款專櫃數</t>
  </si>
  <si>
    <r>
      <rPr>
        <sz val="9"/>
        <rFont val="Arial"/>
        <family val="2"/>
      </rPr>
      <t xml:space="preserve">stat_month=2026/4 </t>
    </r>
    <r>
      <rPr>
        <sz val="9"/>
        <rFont val="DejaVu Sans"/>
        <family val="2"/>
      </rPr>
      <t xml:space="preserve">唯一專櫃 </t>
    </r>
    <r>
      <rPr>
        <sz val="9"/>
        <rFont val="Arial"/>
        <family val="2"/>
      </rPr>
      <t xml:space="preserve">set </t>
    </r>
    <r>
      <rPr>
        <sz val="9"/>
        <rFont val="DejaVu Sans"/>
        <family val="2"/>
      </rPr>
      <t>大小</t>
    </r>
  </si>
  <si>
    <t>小後苑、牪肉舖</t>
  </si>
  <si>
    <r>
      <rPr>
        <sz val="9"/>
        <rFont val="Arial"/>
        <family val="2"/>
      </rPr>
      <t xml:space="preserve">YTD </t>
    </r>
    <r>
      <rPr>
        <sz val="9"/>
        <rFont val="DejaVu Sans"/>
        <family val="2"/>
      </rPr>
      <t>委外</t>
    </r>
    <r>
      <rPr>
        <sz val="9"/>
        <rFont val="Arial"/>
        <family val="2"/>
      </rPr>
      <t>+</t>
    </r>
    <r>
      <rPr>
        <sz val="9"/>
        <rFont val="DejaVu Sans"/>
        <family val="2"/>
      </rPr>
      <t>維修費用（</t>
    </r>
    <r>
      <rPr>
        <sz val="9"/>
        <rFont val="Arial"/>
        <family val="2"/>
      </rPr>
      <t>1~4</t>
    </r>
    <r>
      <rPr>
        <sz val="9"/>
        <rFont val="DejaVu Sans"/>
        <family val="2"/>
      </rPr>
      <t>月）</t>
    </r>
  </si>
  <si>
    <t>SUM(outsource+maintenance) for stat 2026/1~4</t>
  </si>
  <si>
    <r>
      <rPr>
        <sz val="9"/>
        <rFont val="DejaVu Sans"/>
        <family val="2"/>
      </rPr>
      <t>委外</t>
    </r>
    <r>
      <rPr>
        <sz val="9"/>
        <rFont val="Arial"/>
        <family val="2"/>
      </rPr>
      <t>$627,172</t>
    </r>
    <r>
      <rPr>
        <sz val="9"/>
        <rFont val="DejaVu Sans"/>
        <family val="2"/>
      </rPr>
      <t>、維修</t>
    </r>
    <r>
      <rPr>
        <sz val="9"/>
        <rFont val="Arial"/>
        <family val="2"/>
      </rPr>
      <t>$40,599</t>
    </r>
  </si>
  <si>
    <r>
      <rPr>
        <sz val="9"/>
        <rFont val="Arial"/>
        <family val="2"/>
      </rPr>
      <t xml:space="preserve">YTD </t>
    </r>
    <r>
      <rPr>
        <sz val="9"/>
        <rFont val="DejaVu Sans"/>
        <family val="2"/>
      </rPr>
      <t>扣款費用</t>
    </r>
  </si>
  <si>
    <r>
      <rPr>
        <sz val="9"/>
        <rFont val="Arial"/>
        <family val="2"/>
      </rPr>
      <t>SUM(deduction)</t>
    </r>
    <r>
      <rPr>
        <sz val="9"/>
        <rFont val="DejaVu Sans"/>
        <family val="2"/>
      </rPr>
      <t>：</t>
    </r>
    <r>
      <rPr>
        <sz val="9"/>
        <rFont val="Arial"/>
        <family val="2"/>
      </rPr>
      <t>is_completed + counter</t>
    </r>
    <r>
      <rPr>
        <sz val="9"/>
        <rFont val="DejaVu Sans"/>
        <family val="2"/>
      </rPr>
      <t>名稱非空</t>
    </r>
  </si>
  <si>
    <r>
      <rPr>
        <sz val="9"/>
        <rFont val="Arial"/>
        <family val="2"/>
      </rPr>
      <t xml:space="preserve">YTD </t>
    </r>
    <r>
      <rPr>
        <sz val="9"/>
        <rFont val="DejaVu Sans"/>
        <family val="2"/>
      </rPr>
      <t>扣款專櫃數</t>
    </r>
  </si>
  <si>
    <r>
      <rPr>
        <sz val="9"/>
        <rFont val="Arial"/>
        <family val="2"/>
      </rPr>
      <t xml:space="preserve">YTD </t>
    </r>
    <r>
      <rPr>
        <sz val="9"/>
        <rFont val="DejaVu Sans"/>
        <family val="2"/>
      </rPr>
      <t xml:space="preserve">跨月去重唯一專櫃 </t>
    </r>
    <r>
      <rPr>
        <sz val="9"/>
        <rFont val="Arial"/>
        <family val="2"/>
      </rPr>
      <t xml:space="preserve">set </t>
    </r>
    <r>
      <rPr>
        <sz val="9"/>
        <rFont val="DejaVu Sans"/>
        <family val="2"/>
      </rPr>
      <t>大小</t>
    </r>
  </si>
  <si>
    <t>味爵、小後苑、泰市場、牪肉舖</t>
  </si>
  <si>
    <r>
      <rPr>
        <b/>
        <sz val="11"/>
        <color rgb="FFFFFFFF"/>
        <rFont val="Arial"/>
        <family val="2"/>
      </rPr>
      <t xml:space="preserve">A. </t>
    </r>
    <r>
      <rPr>
        <b/>
        <sz val="11"/>
        <color rgb="FFFFFFFF"/>
        <rFont val="DejaVu Sans"/>
        <family val="2"/>
      </rPr>
      <t>上期未結明細（</t>
    </r>
    <r>
      <rPr>
        <b/>
        <sz val="11"/>
        <color rgb="FFFFFFFF"/>
        <rFont val="Arial"/>
        <family val="2"/>
      </rPr>
      <t xml:space="preserve">5 </t>
    </r>
    <r>
      <rPr>
        <b/>
        <sz val="11"/>
        <color rgb="FFFFFFFF"/>
        <rFont val="DejaVu Sans"/>
        <family val="2"/>
      </rPr>
      <t xml:space="preserve">件）  </t>
    </r>
    <r>
      <rPr>
        <b/>
        <sz val="11"/>
        <color rgb="FFFFFFFF"/>
        <rFont val="Arial"/>
        <family val="2"/>
      </rPr>
      <t xml:space="preserve">|  occ≤2026/3 </t>
    </r>
    <r>
      <rPr>
        <b/>
        <sz val="11"/>
        <color rgb="FFFFFFFF"/>
        <rFont val="DejaVu Sans"/>
        <family val="2"/>
      </rPr>
      <t xml:space="preserve">且未完成，帶入 </t>
    </r>
    <r>
      <rPr>
        <b/>
        <sz val="11"/>
        <color rgb="FFFFFFFF"/>
        <rFont val="Arial"/>
        <family val="2"/>
      </rPr>
      <t xml:space="preserve">4 </t>
    </r>
    <r>
      <rPr>
        <b/>
        <sz val="11"/>
        <color rgb="FFFFFFFF"/>
        <rFont val="DejaVu Sans"/>
        <family val="2"/>
      </rPr>
      <t>月統計</t>
    </r>
  </si>
  <si>
    <r>
      <rPr>
        <b/>
        <sz val="11"/>
        <color rgb="FFFFFFFF"/>
        <rFont val="DejaVu Sans"/>
        <family val="2"/>
      </rPr>
      <t xml:space="preserve">說明：此 </t>
    </r>
    <r>
      <rPr>
        <b/>
        <sz val="11"/>
        <color rgb="FFFFFFFF"/>
        <rFont val="Arial"/>
        <family val="2"/>
      </rPr>
      <t xml:space="preserve">5 </t>
    </r>
    <r>
      <rPr>
        <b/>
        <sz val="11"/>
        <color rgb="FFFFFFFF"/>
        <rFont val="DejaVu Sans"/>
        <family val="2"/>
      </rPr>
      <t xml:space="preserve">件在 </t>
    </r>
    <r>
      <rPr>
        <b/>
        <sz val="11"/>
        <color rgb="FFFFFFFF"/>
        <rFont val="Arial"/>
        <family val="2"/>
      </rPr>
      <t xml:space="preserve">2026/4 </t>
    </r>
    <r>
      <rPr>
        <b/>
        <sz val="11"/>
        <color rgb="FFFFFFFF"/>
        <rFont val="DejaVu Sans"/>
        <family val="2"/>
      </rPr>
      <t xml:space="preserve">的「本月相關案件 </t>
    </r>
    <r>
      <rPr>
        <b/>
        <sz val="11"/>
        <color rgb="FFFFFFFF"/>
        <rFont val="Arial"/>
        <family val="2"/>
      </rPr>
      <t xml:space="preserve">56 </t>
    </r>
    <r>
      <rPr>
        <b/>
        <sz val="11"/>
        <color rgb="FFFFFFFF"/>
        <rFont val="DejaVu Sans"/>
        <family val="2"/>
      </rPr>
      <t>件」中計入；解決後才會從清單消失</t>
    </r>
  </si>
  <si>
    <t>完工時間（參考）</t>
  </si>
  <si>
    <r>
      <rPr>
        <b/>
        <sz val="10"/>
        <color rgb="FFFFFFFF"/>
        <rFont val="Arial"/>
        <family val="2"/>
      </rPr>
      <t>occ</t>
    </r>
    <r>
      <rPr>
        <b/>
        <sz val="10"/>
        <color rgb="FFFFFFFF"/>
        <rFont val="DejaVu Sans"/>
        <family val="2"/>
      </rPr>
      <t>年</t>
    </r>
  </si>
  <si>
    <r>
      <rPr>
        <b/>
        <sz val="10"/>
        <color rgb="FFFFFFFF"/>
        <rFont val="Arial"/>
        <family val="2"/>
      </rPr>
      <t>occ</t>
    </r>
    <r>
      <rPr>
        <b/>
        <sz val="10"/>
        <color rgb="FFFFFFFF"/>
        <rFont val="DejaVu Sans"/>
        <family val="2"/>
      </rPr>
      <t>月</t>
    </r>
  </si>
  <si>
    <t>1097</t>
  </si>
  <si>
    <t>長期未結</t>
  </si>
  <si>
    <t>1239</t>
  </si>
  <si>
    <t>20260400006</t>
  </si>
  <si>
    <t>20260400009</t>
  </si>
  <si>
    <t>20260400013</t>
  </si>
  <si>
    <r>
      <rPr>
        <b/>
        <sz val="11"/>
        <color rgb="FFFFFFFF"/>
        <rFont val="Arial"/>
        <family val="2"/>
      </rPr>
      <t xml:space="preserve">C. </t>
    </r>
    <r>
      <rPr>
        <b/>
        <sz val="11"/>
        <color rgb="FFFFFFFF"/>
        <rFont val="DejaVu Sans"/>
        <family val="2"/>
      </rPr>
      <t>已完成明細（</t>
    </r>
    <r>
      <rPr>
        <b/>
        <sz val="11"/>
        <color rgb="FFFFFFFF"/>
        <rFont val="Arial"/>
        <family val="2"/>
      </rPr>
      <t xml:space="preserve">34 </t>
    </r>
    <r>
      <rPr>
        <b/>
        <sz val="11"/>
        <color rgb="FFFFFFFF"/>
        <rFont val="DejaVu Sans"/>
        <family val="2"/>
      </rPr>
      <t xml:space="preserve">件）  </t>
    </r>
    <r>
      <rPr>
        <b/>
        <sz val="11"/>
        <color rgb="FFFFFFFF"/>
        <rFont val="Arial"/>
        <family val="2"/>
      </rPr>
      <t xml:space="preserve">|  2026/4 </t>
    </r>
    <r>
      <rPr>
        <b/>
        <sz val="11"/>
        <color rgb="FFFFFFFF"/>
        <rFont val="DejaVu Sans"/>
        <family val="2"/>
      </rPr>
      <t xml:space="preserve">本月相關案件中 </t>
    </r>
    <r>
      <rPr>
        <b/>
        <sz val="11"/>
        <color rgb="FFFFFFFF"/>
        <rFont val="Arial"/>
        <family val="2"/>
      </rPr>
      <t>status∈COMPLETED_STATUSES</t>
    </r>
  </si>
  <si>
    <r>
      <rPr>
        <b/>
        <sz val="11"/>
        <color rgb="FFFFFFFF"/>
        <rFont val="DejaVu Sans"/>
        <family val="2"/>
      </rPr>
      <t>平均結案天數計算：</t>
    </r>
    <r>
      <rPr>
        <b/>
        <sz val="11"/>
        <color rgb="FFFFFFFF"/>
        <rFont val="Arial"/>
        <family val="2"/>
      </rPr>
      <t xml:space="preserve">SUM(close_days) / 34 </t>
    </r>
    <r>
      <rPr>
        <b/>
        <sz val="11"/>
        <color rgb="FFFFFFFF"/>
        <rFont val="DejaVu Sans"/>
        <family val="2"/>
      </rPr>
      <t>件，此表可自行驗算</t>
    </r>
  </si>
  <si>
    <t>結案天數</t>
  </si>
  <si>
    <r>
      <rPr>
        <b/>
        <sz val="10"/>
        <color rgb="FFFFFFFF"/>
        <rFont val="Arial"/>
        <family val="2"/>
      </rPr>
      <t>stat</t>
    </r>
    <r>
      <rPr>
        <b/>
        <sz val="10"/>
        <color rgb="FFFFFFFF"/>
        <rFont val="DejaVu Sans"/>
        <family val="2"/>
      </rPr>
      <t>年</t>
    </r>
  </si>
  <si>
    <r>
      <rPr>
        <b/>
        <sz val="10"/>
        <color rgb="FFFFFFFF"/>
        <rFont val="Arial"/>
        <family val="2"/>
      </rPr>
      <t>stat</t>
    </r>
    <r>
      <rPr>
        <b/>
        <sz val="10"/>
        <color rgb="FFFFFFFF"/>
        <rFont val="DejaVu Sans"/>
        <family val="2"/>
      </rPr>
      <t>月</t>
    </r>
  </si>
  <si>
    <t>⚠️扣款無專櫃名</t>
  </si>
  <si>
    <t>合計</t>
  </si>
  <si>
    <r>
      <rPr>
        <b/>
        <sz val="9"/>
        <rFont val="Arial"/>
        <family val="2"/>
      </rPr>
      <t xml:space="preserve">34 </t>
    </r>
    <r>
      <rPr>
        <b/>
        <sz val="9"/>
        <rFont val="DejaVu Sans"/>
        <family val="2"/>
      </rPr>
      <t>件</t>
    </r>
  </si>
  <si>
    <t>（平均結案天數）</t>
  </si>
  <si>
    <r>
      <rPr>
        <b/>
        <sz val="11"/>
        <color rgb="FFFFFFFF"/>
        <rFont val="Arial"/>
        <family val="2"/>
      </rPr>
      <t xml:space="preserve">D. </t>
    </r>
    <r>
      <rPr>
        <b/>
        <sz val="11"/>
        <color rgb="FFFFFFFF"/>
        <rFont val="DejaVu Sans"/>
        <family val="2"/>
      </rPr>
      <t>待辦驗明細（</t>
    </r>
    <r>
      <rPr>
        <b/>
        <sz val="11"/>
        <color rgb="FFFFFFFF"/>
        <rFont val="Arial"/>
        <family val="2"/>
      </rPr>
      <t xml:space="preserve">5 </t>
    </r>
    <r>
      <rPr>
        <b/>
        <sz val="11"/>
        <color rgb="FFFFFFFF"/>
        <rFont val="DejaVu Sans"/>
        <family val="2"/>
      </rPr>
      <t xml:space="preserve">件）  </t>
    </r>
    <r>
      <rPr>
        <b/>
        <sz val="11"/>
        <color rgb="FFFFFFFF"/>
        <rFont val="Arial"/>
        <family val="2"/>
      </rPr>
      <t>|  status='</t>
    </r>
    <r>
      <rPr>
        <b/>
        <sz val="11"/>
        <color rgb="FFFFFFFF"/>
        <rFont val="DejaVu Sans"/>
        <family val="2"/>
      </rPr>
      <t>待辦驗</t>
    </r>
    <r>
      <rPr>
        <b/>
        <sz val="11"/>
        <color rgb="FFFFFFFF"/>
        <rFont val="Arial"/>
        <family val="2"/>
      </rPr>
      <t>'</t>
    </r>
    <r>
      <rPr>
        <b/>
        <sz val="11"/>
        <color rgb="FFFFFFFF"/>
        <rFont val="DejaVu Sans"/>
        <family val="2"/>
      </rPr>
      <t>，非完成也非未完成；已從未完成計數扣除</t>
    </r>
  </si>
  <si>
    <r>
      <rPr>
        <sz val="9"/>
        <rFont val="DejaVu Sans"/>
        <family val="2"/>
      </rPr>
      <t>⚠️ 扣款</t>
    </r>
    <r>
      <rPr>
        <sz val="9"/>
        <rFont val="Arial"/>
        <family val="2"/>
      </rPr>
      <t>$50,400</t>
    </r>
    <r>
      <rPr>
        <sz val="9"/>
        <rFont val="DejaVu Sans"/>
        <family val="2"/>
      </rPr>
      <t>未計入（未完成）</t>
    </r>
  </si>
  <si>
    <t>20260400072</t>
  </si>
  <si>
    <r>
      <rPr>
        <b/>
        <sz val="11"/>
        <color rgb="FFFFFFFF"/>
        <rFont val="Arial"/>
        <family val="2"/>
      </rPr>
      <t xml:space="preserve">E. </t>
    </r>
    <r>
      <rPr>
        <b/>
        <sz val="11"/>
        <color rgb="FFFFFFFF"/>
        <rFont val="DejaVu Sans"/>
        <family val="2"/>
      </rPr>
      <t>未完成明細（</t>
    </r>
    <r>
      <rPr>
        <b/>
        <sz val="11"/>
        <color rgb="FFFFFFFF"/>
        <rFont val="Arial"/>
        <family val="2"/>
      </rPr>
      <t xml:space="preserve">17 </t>
    </r>
    <r>
      <rPr>
        <b/>
        <sz val="11"/>
        <color rgb="FFFFFFFF"/>
        <rFont val="DejaVu Sans"/>
        <family val="2"/>
      </rPr>
      <t xml:space="preserve">件）  </t>
    </r>
    <r>
      <rPr>
        <b/>
        <sz val="11"/>
        <color rgb="FFFFFFFF"/>
        <rFont val="Arial"/>
        <family val="2"/>
      </rPr>
      <t xml:space="preserve">|  </t>
    </r>
    <r>
      <rPr>
        <b/>
        <sz val="11"/>
        <color rgb="FFFFFFFF"/>
        <rFont val="DejaVu Sans"/>
        <family val="2"/>
      </rPr>
      <t>非完成、非待辦驗；含處理中</t>
    </r>
    <r>
      <rPr>
        <b/>
        <sz val="11"/>
        <color rgb="FFFFFFFF"/>
        <rFont val="Arial"/>
        <family val="2"/>
      </rPr>
      <t>/</t>
    </r>
    <r>
      <rPr>
        <b/>
        <sz val="11"/>
        <color rgb="FFFFFFFF"/>
        <rFont val="DejaVu Sans"/>
        <family val="2"/>
      </rPr>
      <t>委外處理</t>
    </r>
    <r>
      <rPr>
        <b/>
        <sz val="11"/>
        <color rgb="FFFFFFFF"/>
        <rFont val="Arial"/>
        <family val="2"/>
      </rPr>
      <t>/</t>
    </r>
    <r>
      <rPr>
        <b/>
        <sz val="11"/>
        <color rgb="FFFFFFFF"/>
        <rFont val="DejaVu Sans"/>
        <family val="2"/>
      </rPr>
      <t>空白狀態</t>
    </r>
  </si>
  <si>
    <t>上期未結</t>
  </si>
  <si>
    <r>
      <rPr>
        <sz val="9"/>
        <rFont val="DejaVu Sans"/>
        <family val="2"/>
      </rPr>
      <t>上期未結 費用計入</t>
    </r>
    <r>
      <rPr>
        <sz val="9"/>
        <rFont val="Arial"/>
        <family val="2"/>
      </rPr>
      <t>M03 stat</t>
    </r>
  </si>
  <si>
    <r>
      <rPr>
        <sz val="9"/>
        <rFont val="DejaVu Sans"/>
        <family val="2"/>
      </rPr>
      <t>費用計入</t>
    </r>
    <r>
      <rPr>
        <sz val="9"/>
        <rFont val="Arial"/>
        <family val="2"/>
      </rPr>
      <t>M03 stat</t>
    </r>
  </si>
  <si>
    <r>
      <rPr>
        <b/>
        <sz val="11"/>
        <color rgb="FFFFFFFF"/>
        <rFont val="Arial"/>
        <family val="2"/>
      </rPr>
      <t xml:space="preserve">F. </t>
    </r>
    <r>
      <rPr>
        <b/>
        <sz val="11"/>
        <color rgb="FFFFFFFF"/>
        <rFont val="DejaVu Sans"/>
        <family val="2"/>
      </rPr>
      <t>當月金額明細（</t>
    </r>
    <r>
      <rPr>
        <b/>
        <sz val="11"/>
        <color rgb="FFFFFFFF"/>
        <rFont val="Arial"/>
        <family val="2"/>
      </rPr>
      <t>stat_month=2026/4</t>
    </r>
    <r>
      <rPr>
        <b/>
        <sz val="11"/>
        <color rgb="FFFFFFFF"/>
        <rFont val="DejaVu Sans"/>
        <family val="2"/>
      </rPr>
      <t xml:space="preserve">）  </t>
    </r>
    <r>
      <rPr>
        <b/>
        <sz val="11"/>
        <color rgb="FFFFFFFF"/>
        <rFont val="Arial"/>
        <family val="2"/>
      </rPr>
      <t>|  Dashboard</t>
    </r>
    <r>
      <rPr>
        <b/>
        <sz val="11"/>
        <color rgb="FFFFFFFF"/>
        <rFont val="DejaVu Sans"/>
        <family val="2"/>
      </rPr>
      <t xml:space="preserve">「當月小計 </t>
    </r>
    <r>
      <rPr>
        <b/>
        <sz val="11"/>
        <color rgb="FFFFFFFF"/>
        <rFont val="Arial"/>
        <family val="2"/>
      </rPr>
      <t>$76,296</t>
    </r>
    <r>
      <rPr>
        <b/>
        <sz val="11"/>
        <color rgb="FFFFFFFF"/>
        <rFont val="DejaVu Sans"/>
        <family val="2"/>
      </rPr>
      <t>」還原</t>
    </r>
  </si>
  <si>
    <r>
      <rPr>
        <b/>
        <sz val="11"/>
        <color rgb="FFFFFFFF"/>
        <rFont val="DejaVu Sans"/>
        <family val="2"/>
      </rPr>
      <t>扣款費用計入條件：</t>
    </r>
    <r>
      <rPr>
        <b/>
        <sz val="11"/>
        <color rgb="FFFFFFFF"/>
        <rFont val="Arial"/>
        <family val="2"/>
      </rPr>
      <t xml:space="preserve">is_completed=True AND </t>
    </r>
    <r>
      <rPr>
        <b/>
        <sz val="11"/>
        <color rgb="FFFFFFFF"/>
        <rFont val="DejaVu Sans"/>
        <family val="2"/>
      </rPr>
      <t>扣款專櫃名稱非空</t>
    </r>
  </si>
  <si>
    <t>計入扣款？</t>
  </si>
  <si>
    <t>✅ 計入</t>
  </si>
  <si>
    <t>❌</t>
  </si>
  <si>
    <t>⚠️ 無專櫃名→扣款不計入</t>
  </si>
  <si>
    <t>20260400004</t>
  </si>
  <si>
    <t>20260400007</t>
  </si>
  <si>
    <t>小計</t>
  </si>
  <si>
    <t>（委外＋維修＋扣款）</t>
  </si>
  <si>
    <r>
      <rPr>
        <b/>
        <sz val="11"/>
        <color rgb="FFFFFFFF"/>
        <rFont val="Arial"/>
        <family val="2"/>
      </rPr>
      <t xml:space="preserve">F2. YTD </t>
    </r>
    <r>
      <rPr>
        <b/>
        <sz val="11"/>
        <color rgb="FFFFFFFF"/>
        <rFont val="DejaVu Sans"/>
        <family val="2"/>
      </rPr>
      <t>金額明細（</t>
    </r>
    <r>
      <rPr>
        <b/>
        <sz val="11"/>
        <color rgb="FFFFFFFF"/>
        <rFont val="Arial"/>
        <family val="2"/>
      </rPr>
      <t>stat 2026/1~4</t>
    </r>
    <r>
      <rPr>
        <b/>
        <sz val="11"/>
        <color rgb="FFFFFFFF"/>
        <rFont val="DejaVu Sans"/>
        <family val="2"/>
      </rPr>
      <t xml:space="preserve">月）  </t>
    </r>
    <r>
      <rPr>
        <b/>
        <sz val="11"/>
        <color rgb="FFFFFFFF"/>
        <rFont val="Arial"/>
        <family val="2"/>
      </rPr>
      <t>|  Dashboard</t>
    </r>
    <r>
      <rPr>
        <b/>
        <sz val="11"/>
        <color rgb="FFFFFFFF"/>
        <rFont val="DejaVu Sans"/>
        <family val="2"/>
      </rPr>
      <t>「委外</t>
    </r>
    <r>
      <rPr>
        <b/>
        <sz val="11"/>
        <color rgb="FFFFFFFF"/>
        <rFont val="Arial"/>
        <family val="2"/>
      </rPr>
      <t>+</t>
    </r>
    <r>
      <rPr>
        <b/>
        <sz val="11"/>
        <color rgb="FFFFFFFF"/>
        <rFont val="DejaVu Sans"/>
        <family val="2"/>
      </rPr>
      <t xml:space="preserve">維修 </t>
    </r>
    <r>
      <rPr>
        <b/>
        <sz val="11"/>
        <color rgb="FFFFFFFF"/>
        <rFont val="Arial"/>
        <family val="2"/>
      </rPr>
      <t>$667,771</t>
    </r>
    <r>
      <rPr>
        <b/>
        <sz val="11"/>
        <color rgb="FFFFFFFF"/>
        <rFont val="DejaVu Sans"/>
        <family val="2"/>
      </rPr>
      <t>」還原</t>
    </r>
  </si>
  <si>
    <t>未完成案件以報修月份為費用歸屬；已完成案件以完工月份為費用歸屬</t>
  </si>
  <si>
    <t>1100</t>
  </si>
  <si>
    <t>M01</t>
  </si>
  <si>
    <t>1172</t>
  </si>
  <si>
    <t>1178</t>
  </si>
  <si>
    <t>1181</t>
  </si>
  <si>
    <t>1184</t>
  </si>
  <si>
    <t>1186</t>
  </si>
  <si>
    <t>1189</t>
  </si>
  <si>
    <t>1193</t>
  </si>
  <si>
    <t>1195</t>
  </si>
  <si>
    <t>1196</t>
  </si>
  <si>
    <t>1200</t>
  </si>
  <si>
    <t>1213</t>
  </si>
  <si>
    <t>1215</t>
  </si>
  <si>
    <t>1182</t>
  </si>
  <si>
    <t>M02</t>
  </si>
  <si>
    <t>1207</t>
  </si>
  <si>
    <t>1229</t>
  </si>
  <si>
    <t>1236</t>
  </si>
  <si>
    <t>1206</t>
  </si>
  <si>
    <t>M03</t>
  </si>
  <si>
    <t>1224</t>
  </si>
  <si>
    <t>1227</t>
  </si>
  <si>
    <t>1250</t>
  </si>
  <si>
    <t>1253</t>
  </si>
  <si>
    <t>1256</t>
  </si>
  <si>
    <t>1257</t>
  </si>
  <si>
    <t>1260</t>
  </si>
  <si>
    <t>1263</t>
  </si>
  <si>
    <t>1264</t>
  </si>
  <si>
    <t>1285</t>
  </si>
  <si>
    <r>
      <rPr>
        <sz val="9"/>
        <rFont val="DejaVu Sans"/>
        <family val="2"/>
      </rPr>
      <t>（未完成，</t>
    </r>
    <r>
      <rPr>
        <sz val="9"/>
        <rFont val="Arial"/>
        <family val="2"/>
      </rPr>
      <t>occ=2026/03</t>
    </r>
    <r>
      <rPr>
        <sz val="9"/>
        <rFont val="DejaVu Sans"/>
        <family val="2"/>
      </rPr>
      <t>，費用歸屬</t>
    </r>
    <r>
      <rPr>
        <sz val="9"/>
        <rFont val="Arial"/>
        <family val="2"/>
      </rPr>
      <t>M03</t>
    </r>
    <r>
      <rPr>
        <sz val="9"/>
        <rFont val="DejaVu Sans"/>
        <family val="2"/>
      </rPr>
      <t>）</t>
    </r>
  </si>
  <si>
    <t>M04</t>
  </si>
  <si>
    <r>
      <rPr>
        <sz val="9"/>
        <rFont val="DejaVu Sans"/>
        <family val="2"/>
      </rPr>
      <t>（未完成，</t>
    </r>
    <r>
      <rPr>
        <sz val="9"/>
        <rFont val="Arial"/>
        <family val="2"/>
      </rPr>
      <t>occ=2026/04</t>
    </r>
    <r>
      <rPr>
        <sz val="9"/>
        <rFont val="DejaVu Sans"/>
        <family val="2"/>
      </rPr>
      <t>，費用歸屬</t>
    </r>
    <r>
      <rPr>
        <sz val="9"/>
        <rFont val="Arial"/>
        <family val="2"/>
      </rPr>
      <t>M04</t>
    </r>
    <r>
      <rPr>
        <sz val="9"/>
        <rFont val="DejaVu Sans"/>
        <family val="2"/>
      </rPr>
      <t>）</t>
    </r>
  </si>
  <si>
    <r>
      <rPr>
        <b/>
        <sz val="9"/>
        <rFont val="Arial"/>
        <family val="2"/>
      </rPr>
      <t xml:space="preserve">YTD </t>
    </r>
    <r>
      <rPr>
        <b/>
        <sz val="9"/>
        <rFont val="DejaVu Sans"/>
        <family val="2"/>
      </rPr>
      <t>合計</t>
    </r>
  </si>
  <si>
    <r>
      <rPr>
        <b/>
        <sz val="10"/>
        <color rgb="FFFFFFFF"/>
        <rFont val="DejaVu Sans"/>
        <family val="2"/>
      </rPr>
      <t>委外</t>
    </r>
    <r>
      <rPr>
        <b/>
        <sz val="10"/>
        <color rgb="FFFFFFFF"/>
        <rFont val="Arial"/>
        <family val="2"/>
      </rPr>
      <t>+</t>
    </r>
    <r>
      <rPr>
        <b/>
        <sz val="10"/>
        <color rgb="FFFFFFFF"/>
        <rFont val="DejaVu Sans"/>
        <family val="2"/>
      </rPr>
      <t>維修</t>
    </r>
  </si>
  <si>
    <r>
      <rPr>
        <b/>
        <sz val="10"/>
        <color rgb="FFFFFFFF"/>
        <rFont val="DejaVu Sans"/>
        <family val="2"/>
      </rPr>
      <t>扣款</t>
    </r>
    <r>
      <rPr>
        <b/>
        <sz val="10"/>
        <color rgb="FFFFFFFF"/>
        <rFont val="Arial"/>
        <family val="2"/>
      </rPr>
      <t>(YTD)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</si>
</sst>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/d/yyyy\ h:mm"/>
    <numFmt numFmtId="177" formatCode="m&quot;月&quot;d&quot;日&quot;"/>
    <numFmt numFmtId="178" formatCode="\$#,##0;[Red]&quot;-$&quot;#,##0"/>
    <numFmt numFmtId="179" formatCode="#,##0;\(#,##0\);\-"/>
    <numFmt numFmtId="180" formatCode="yyyy/mm/dd"/>
  </numFmts>
  <fonts count="20">
    <font>
      <sz val="11"/>
      <color rgb="FF000000"/>
      <name val="新細明體"/>
      <family val="2"/>
      <charset val="1"/>
    </font>
    <font>
      <sz val="7"/>
      <color rgb="FF000000"/>
      <name val="DejaVu Sans"/>
      <family val="2"/>
    </font>
    <font>
      <sz val="8"/>
      <color rgb="FF000000"/>
      <name val="Inherit"/>
      <family val="2"/>
      <charset val="1"/>
    </font>
    <font>
      <sz val="7"/>
      <color rgb="FF385460"/>
      <name val="Inherit"/>
      <family val="2"/>
      <charset val="1"/>
    </font>
    <font>
      <sz val="7"/>
      <color rgb="FF385460"/>
      <name val="DejaVu Sans"/>
      <family val="2"/>
    </font>
    <font>
      <sz val="7"/>
      <color rgb="FF333333"/>
      <name val="Inherit"/>
      <family val="2"/>
      <charset val="1"/>
    </font>
    <font>
      <sz val="7"/>
      <color rgb="FFFF6666"/>
      <name val="Inherit"/>
      <family val="2"/>
      <charset val="1"/>
    </font>
    <font>
      <sz val="7"/>
      <color rgb="FFFF0000"/>
      <name val="Inherit"/>
      <family val="2"/>
      <charset val="1"/>
    </font>
    <font>
      <sz val="7"/>
      <color rgb="FFFF0000"/>
      <name val="DejaVu Sans"/>
      <family val="2"/>
    </font>
    <font>
      <u/>
      <sz val="11"/>
      <color theme="10"/>
      <name val="DejaVu Sans"/>
      <family val="2"/>
    </font>
    <font>
      <u/>
      <sz val="11"/>
      <color theme="10"/>
      <name val="新細明體"/>
      <family val="2"/>
      <charset val="1"/>
    </font>
    <font>
      <b/>
      <sz val="11"/>
      <color rgb="FFFFFFFF"/>
      <name val="DejaVu Sans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DejaVu Sans"/>
      <family val="2"/>
    </font>
    <font>
      <sz val="9"/>
      <name val="Arial"/>
      <family val="2"/>
    </font>
    <font>
      <sz val="9"/>
      <name val="DejaVu Sans"/>
      <family val="2"/>
    </font>
    <font>
      <b/>
      <sz val="9"/>
      <name val="DejaVu Sans"/>
      <family val="2"/>
    </font>
    <font>
      <b/>
      <sz val="9"/>
      <name val="Arial"/>
      <family val="2"/>
    </font>
    <font>
      <sz val="9"/>
      <name val="細明體"/>
      <family val="3"/>
      <charset val="136"/>
    </font>
  </fonts>
  <fills count="13">
    <fill>
      <patternFill patternType="none"/>
    </fill>
    <fill>
      <patternFill patternType="gray125"/>
    </fill>
    <fill>
      <patternFill patternType="solid">
        <fgColor rgb="FFC0C0C0"/>
        <bgColor rgb="FFCCCCCC"/>
      </patternFill>
    </fill>
    <fill>
      <patternFill patternType="solid">
        <fgColor rgb="FFFFCCCC"/>
        <bgColor rgb="FFFCE4D6"/>
      </patternFill>
    </fill>
    <fill>
      <patternFill patternType="solid">
        <fgColor rgb="FFFAFAFA"/>
        <bgColor rgb="FFFFFFFF"/>
      </patternFill>
    </fill>
    <fill>
      <patternFill patternType="solid">
        <fgColor rgb="FFEEFFEE"/>
        <bgColor rgb="FFFAFAFA"/>
      </patternFill>
    </fill>
    <fill>
      <patternFill patternType="solid">
        <fgColor rgb="FF4472C4"/>
        <bgColor rgb="FF467886"/>
      </patternFill>
    </fill>
    <fill>
      <patternFill patternType="solid">
        <fgColor rgb="FF1B3A5C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DEBD0"/>
        <bgColor rgb="FFFFF2CC"/>
      </patternFill>
    </fill>
    <fill>
      <patternFill patternType="solid">
        <fgColor rgb="FFFCE4D6"/>
        <bgColor rgb="FFFDEBD0"/>
      </patternFill>
    </fill>
    <fill>
      <patternFill patternType="solid">
        <fgColor rgb="FFF2F2F2"/>
        <bgColor rgb="FFFAFAFA"/>
      </patternFill>
    </fill>
    <fill>
      <patternFill patternType="solid">
        <fgColor rgb="FFFFF2CC"/>
        <bgColor rgb="FFFDEBD0"/>
      </patternFill>
    </fill>
  </fills>
  <borders count="8">
    <border>
      <left/>
      <right/>
      <top/>
      <bottom/>
      <diagonal/>
    </border>
    <border>
      <left style="medium">
        <color rgb="FF404F78"/>
      </left>
      <right style="medium">
        <color rgb="FF404F78"/>
      </right>
      <top style="medium">
        <color rgb="FF404F78"/>
      </top>
      <bottom style="medium">
        <color rgb="FF404F7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91">
    <xf numFmtId="0" fontId="0" fillId="0" borderId="0" xfId="0">
      <alignment vertical="center"/>
    </xf>
    <xf numFmtId="0" fontId="9" fillId="4" borderId="2" xfId="1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vertical="center" wrapText="1"/>
    </xf>
    <xf numFmtId="176" fontId="3" fillId="4" borderId="2" xfId="0" applyNumberFormat="1" applyFont="1" applyFill="1" applyBorder="1" applyAlignment="1">
      <alignment horizontal="center" vertical="center" wrapText="1"/>
    </xf>
    <xf numFmtId="178" fontId="7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176" fontId="6" fillId="4" borderId="2" xfId="0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176" fontId="5" fillId="4" borderId="2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0" fillId="4" borderId="0" xfId="0" applyFill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76" fontId="5" fillId="4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176" fontId="6" fillId="4" borderId="2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177" fontId="3" fillId="4" borderId="6" xfId="0" applyNumberFormat="1" applyFont="1" applyFill="1" applyBorder="1" applyAlignment="1">
      <alignment vertical="center" wrapText="1"/>
    </xf>
    <xf numFmtId="177" fontId="3" fillId="4" borderId="5" xfId="0" applyNumberFormat="1" applyFont="1" applyFill="1" applyBorder="1" applyAlignment="1">
      <alignment vertical="center" wrapText="1"/>
    </xf>
    <xf numFmtId="178" fontId="7" fillId="4" borderId="2" xfId="0" applyNumberFormat="1" applyFont="1" applyFill="1" applyBorder="1" applyAlignment="1">
      <alignment horizontal="center" vertical="center"/>
    </xf>
    <xf numFmtId="176" fontId="3" fillId="4" borderId="2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vertical="center" wrapText="1"/>
    </xf>
    <xf numFmtId="0" fontId="9" fillId="4" borderId="2" xfId="1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10" fillId="4" borderId="2" xfId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0" fillId="0" borderId="0" xfId="0" applyAlignment="1"/>
    <xf numFmtId="0" fontId="13" fillId="7" borderId="7" xfId="0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/>
    </xf>
    <xf numFmtId="0" fontId="15" fillId="8" borderId="7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vertical="center" wrapText="1"/>
    </xf>
    <xf numFmtId="179" fontId="15" fillId="8" borderId="7" xfId="0" applyNumberFormat="1" applyFont="1" applyFill="1" applyBorder="1" applyAlignment="1">
      <alignment horizontal="right" vertical="center"/>
    </xf>
    <xf numFmtId="0" fontId="15" fillId="8" borderId="7" xfId="0" applyFont="1" applyFill="1" applyBorder="1" applyAlignment="1">
      <alignment horizontal="left" vertical="center"/>
    </xf>
    <xf numFmtId="0" fontId="16" fillId="8" borderId="7" xfId="0" applyFont="1" applyFill="1" applyBorder="1" applyAlignment="1">
      <alignment horizontal="left" vertical="center"/>
    </xf>
    <xf numFmtId="0" fontId="15" fillId="8" borderId="7" xfId="0" applyFont="1" applyFill="1" applyBorder="1" applyAlignment="1">
      <alignment horizontal="right" vertical="center"/>
    </xf>
    <xf numFmtId="0" fontId="15" fillId="8" borderId="7" xfId="0" applyFont="1" applyFill="1" applyBorder="1" applyAlignment="1">
      <alignment vertical="center" wrapText="1"/>
    </xf>
    <xf numFmtId="0" fontId="15" fillId="9" borderId="7" xfId="0" applyFont="1" applyFill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/>
    </xf>
    <xf numFmtId="180" fontId="15" fillId="9" borderId="7" xfId="0" applyNumberFormat="1" applyFont="1" applyFill="1" applyBorder="1" applyAlignment="1">
      <alignment horizontal="center" vertical="center"/>
    </xf>
    <xf numFmtId="1" fontId="15" fillId="9" borderId="7" xfId="0" applyNumberFormat="1" applyFont="1" applyFill="1" applyBorder="1" applyAlignment="1">
      <alignment horizontal="center" vertical="center"/>
    </xf>
    <xf numFmtId="179" fontId="15" fillId="9" borderId="7" xfId="0" applyNumberFormat="1" applyFont="1" applyFill="1" applyBorder="1" applyAlignment="1">
      <alignment horizontal="right" vertical="center"/>
    </xf>
    <xf numFmtId="0" fontId="15" fillId="9" borderId="7" xfId="0" applyFont="1" applyFill="1" applyBorder="1" applyAlignment="1">
      <alignment horizontal="left" vertical="center"/>
    </xf>
    <xf numFmtId="0" fontId="16" fillId="9" borderId="7" xfId="0" applyFont="1" applyFill="1" applyBorder="1" applyAlignment="1">
      <alignment horizontal="left" vertical="center"/>
    </xf>
    <xf numFmtId="0" fontId="15" fillId="10" borderId="7" xfId="0" applyFont="1" applyFill="1" applyBorder="1" applyAlignment="1">
      <alignment horizontal="center" vertical="center"/>
    </xf>
    <xf numFmtId="0" fontId="16" fillId="10" borderId="7" xfId="0" applyFont="1" applyFill="1" applyBorder="1" applyAlignment="1">
      <alignment horizontal="center" vertical="center"/>
    </xf>
    <xf numFmtId="180" fontId="15" fillId="10" borderId="7" xfId="0" applyNumberFormat="1" applyFont="1" applyFill="1" applyBorder="1" applyAlignment="1">
      <alignment horizontal="center" vertical="center"/>
    </xf>
    <xf numFmtId="1" fontId="15" fillId="10" borderId="7" xfId="0" applyNumberFormat="1" applyFont="1" applyFill="1" applyBorder="1" applyAlignment="1">
      <alignment horizontal="center" vertical="center"/>
    </xf>
    <xf numFmtId="179" fontId="15" fillId="10" borderId="7" xfId="0" applyNumberFormat="1" applyFont="1" applyFill="1" applyBorder="1" applyAlignment="1">
      <alignment horizontal="right" vertical="center"/>
    </xf>
    <xf numFmtId="0" fontId="15" fillId="10" borderId="7" xfId="0" applyFont="1" applyFill="1" applyBorder="1" applyAlignment="1">
      <alignment horizontal="left" vertical="center"/>
    </xf>
    <xf numFmtId="0" fontId="16" fillId="8" borderId="7" xfId="0" applyFont="1" applyFill="1" applyBorder="1" applyAlignment="1">
      <alignment horizontal="center" vertical="center"/>
    </xf>
    <xf numFmtId="180" fontId="15" fillId="8" borderId="7" xfId="0" applyNumberFormat="1" applyFont="1" applyFill="1" applyBorder="1" applyAlignment="1">
      <alignment horizontal="center" vertical="center"/>
    </xf>
    <xf numFmtId="2" fontId="15" fillId="8" borderId="7" xfId="0" applyNumberFormat="1" applyFont="1" applyFill="1" applyBorder="1" applyAlignment="1">
      <alignment horizontal="right" vertical="center"/>
    </xf>
    <xf numFmtId="1" fontId="15" fillId="8" borderId="7" xfId="0" applyNumberFormat="1" applyFont="1" applyFill="1" applyBorder="1" applyAlignment="1">
      <alignment horizontal="center" vertical="center"/>
    </xf>
    <xf numFmtId="0" fontId="17" fillId="11" borderId="7" xfId="0" applyFont="1" applyFill="1" applyBorder="1" applyAlignment="1">
      <alignment horizontal="center" vertical="center"/>
    </xf>
    <xf numFmtId="0" fontId="18" fillId="11" borderId="7" xfId="0" applyFont="1" applyFill="1" applyBorder="1" applyAlignment="1">
      <alignment horizontal="center" vertical="center"/>
    </xf>
    <xf numFmtId="2" fontId="18" fillId="11" borderId="7" xfId="0" applyNumberFormat="1" applyFont="1" applyFill="1" applyBorder="1" applyAlignment="1">
      <alignment horizontal="right" vertical="center"/>
    </xf>
    <xf numFmtId="0" fontId="16" fillId="11" borderId="7" xfId="0" applyFont="1" applyFill="1" applyBorder="1" applyAlignment="1">
      <alignment horizontal="left" vertical="center"/>
    </xf>
    <xf numFmtId="179" fontId="18" fillId="11" borderId="7" xfId="0" applyNumberFormat="1" applyFont="1" applyFill="1" applyBorder="1" applyAlignment="1">
      <alignment horizontal="right" vertical="center"/>
    </xf>
    <xf numFmtId="0" fontId="16" fillId="10" borderId="7" xfId="0" applyFont="1" applyFill="1" applyBorder="1" applyAlignment="1">
      <alignment horizontal="left" vertical="center"/>
    </xf>
    <xf numFmtId="0" fontId="15" fillId="12" borderId="7" xfId="0" applyFont="1" applyFill="1" applyBorder="1" applyAlignment="1">
      <alignment horizontal="center" vertical="center"/>
    </xf>
    <xf numFmtId="0" fontId="16" fillId="12" borderId="7" xfId="0" applyFont="1" applyFill="1" applyBorder="1" applyAlignment="1">
      <alignment horizontal="center" vertical="center"/>
    </xf>
    <xf numFmtId="180" fontId="15" fillId="12" borderId="7" xfId="0" applyNumberFormat="1" applyFont="1" applyFill="1" applyBorder="1" applyAlignment="1">
      <alignment horizontal="center" vertical="center"/>
    </xf>
    <xf numFmtId="1" fontId="15" fillId="12" borderId="7" xfId="0" applyNumberFormat="1" applyFont="1" applyFill="1" applyBorder="1" applyAlignment="1">
      <alignment horizontal="center" vertical="center"/>
    </xf>
    <xf numFmtId="179" fontId="15" fillId="12" borderId="7" xfId="0" applyNumberFormat="1" applyFont="1" applyFill="1" applyBorder="1" applyAlignment="1">
      <alignment horizontal="right" vertical="center"/>
    </xf>
    <xf numFmtId="0" fontId="15" fillId="12" borderId="7" xfId="0" applyFont="1" applyFill="1" applyBorder="1" applyAlignment="1">
      <alignment horizontal="left" vertical="center"/>
    </xf>
    <xf numFmtId="179" fontId="13" fillId="7" borderId="7" xfId="0" applyNumberFormat="1" applyFont="1" applyFill="1" applyBorder="1" applyAlignment="1">
      <alignment horizontal="right" vertical="center"/>
    </xf>
    <xf numFmtId="0" fontId="14" fillId="7" borderId="7" xfId="0" applyFont="1" applyFill="1" applyBorder="1" applyAlignment="1">
      <alignment horizontal="left" vertical="center"/>
    </xf>
    <xf numFmtId="0" fontId="16" fillId="12" borderId="7" xfId="0" applyFont="1" applyFill="1" applyBorder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left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EFFEE"/>
      <rgbColor rgb="FF660066"/>
      <rgbColor rgb="FFFF6666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DEBD0"/>
      <rgbColor rgb="FFFAFAFA"/>
      <rgbColor rgb="FFFCE4D6"/>
      <rgbColor rgb="FFCC99FF"/>
      <rgbColor rgb="FFFFCCCC"/>
      <rgbColor rgb="FF4472C4"/>
      <rgbColor rgb="FF33CCCC"/>
      <rgbColor rgb="FF99CC00"/>
      <rgbColor rgb="FFFFCC00"/>
      <rgbColor rgb="FFFF9900"/>
      <rgbColor rgb="FFFF6600"/>
      <rgbColor rgb="FF467886"/>
      <rgbColor rgb="FF969696"/>
      <rgbColor rgb="FF1B3A5C"/>
      <rgbColor rgb="FF339966"/>
      <rgbColor rgb="FF003300"/>
      <rgbColor rgb="FF385460"/>
      <rgbColor rgb="FF993300"/>
      <rgbColor rgb="FF993366"/>
      <rgbColor rgb="FF404F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Relationship Id="rId7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5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3"/>
  <sheetViews>
    <sheetView zoomScaleNormal="100" workbookViewId="0"/>
  </sheetViews>
  <sheetFormatPr defaultColWidth="8.5" defaultRowHeight="15"/>
  <sheetData>
    <row r="1" spans="1:28" ht="15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 t="s">
        <v>8</v>
      </c>
      <c r="J1" s="15" t="s">
        <v>9</v>
      </c>
      <c r="K1" s="16" t="s">
        <v>10</v>
      </c>
      <c r="L1" s="16" t="s">
        <v>11</v>
      </c>
      <c r="M1" s="17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8"/>
      <c r="X1" s="18"/>
      <c r="Y1" s="18"/>
      <c r="Z1" s="18"/>
      <c r="AA1" s="18"/>
      <c r="AB1" s="19"/>
    </row>
    <row r="2" spans="1:28" ht="29.25" customHeight="1">
      <c r="A2" s="20" t="s">
        <v>22</v>
      </c>
      <c r="B2" s="21" t="s">
        <v>23</v>
      </c>
      <c r="C2" s="22"/>
      <c r="D2" s="23" t="s">
        <v>24</v>
      </c>
      <c r="E2" s="23" t="s">
        <v>25</v>
      </c>
      <c r="F2" s="22" t="s">
        <v>26</v>
      </c>
      <c r="G2" s="24">
        <v>46151.656944444498</v>
      </c>
      <c r="H2" s="23" t="s">
        <v>27</v>
      </c>
      <c r="I2" s="25"/>
      <c r="J2" s="22"/>
      <c r="K2" s="20"/>
      <c r="L2" s="20"/>
      <c r="M2" s="26"/>
      <c r="N2" s="26"/>
      <c r="O2" s="26"/>
      <c r="P2" s="22"/>
      <c r="Q2" s="22"/>
      <c r="R2" s="22"/>
      <c r="S2" s="26"/>
      <c r="T2" s="22"/>
      <c r="U2" s="22"/>
      <c r="V2" s="22"/>
      <c r="W2" s="18"/>
      <c r="X2" s="18"/>
      <c r="Y2" s="18"/>
      <c r="Z2" s="18"/>
      <c r="AA2" s="18"/>
      <c r="AB2" s="18"/>
    </row>
    <row r="3" spans="1:28" ht="19.5" customHeight="1">
      <c r="A3" s="20" t="s">
        <v>28</v>
      </c>
      <c r="B3" s="27" t="s">
        <v>29</v>
      </c>
      <c r="C3" s="22"/>
      <c r="D3" s="23" t="s">
        <v>24</v>
      </c>
      <c r="E3" s="23" t="s">
        <v>30</v>
      </c>
      <c r="F3" s="22" t="s">
        <v>26</v>
      </c>
      <c r="G3" s="24">
        <v>46150.689583333296</v>
      </c>
      <c r="H3" s="23" t="s">
        <v>27</v>
      </c>
      <c r="I3" s="25"/>
      <c r="J3" s="22"/>
      <c r="K3" s="20"/>
      <c r="L3" s="20"/>
      <c r="M3" s="26"/>
      <c r="N3" s="26"/>
      <c r="O3" s="26"/>
      <c r="P3" s="22"/>
      <c r="Q3" s="22"/>
      <c r="R3" s="22"/>
      <c r="S3" s="26"/>
      <c r="T3" s="22"/>
      <c r="U3" s="22"/>
      <c r="V3" s="22"/>
      <c r="W3" s="18"/>
      <c r="X3" s="18"/>
      <c r="Y3" s="18"/>
      <c r="Z3" s="18"/>
      <c r="AA3" s="18"/>
      <c r="AB3" s="18"/>
    </row>
    <row r="4" spans="1:28" ht="39" customHeight="1">
      <c r="A4" s="20" t="s">
        <v>31</v>
      </c>
      <c r="B4" s="21" t="s">
        <v>32</v>
      </c>
      <c r="C4" s="22"/>
      <c r="D4" s="23" t="s">
        <v>33</v>
      </c>
      <c r="E4" s="23" t="s">
        <v>34</v>
      </c>
      <c r="F4" s="22" t="s">
        <v>26</v>
      </c>
      <c r="G4" s="24">
        <v>46150.670833333301</v>
      </c>
      <c r="H4" s="23" t="s">
        <v>27</v>
      </c>
      <c r="I4" s="25"/>
      <c r="J4" s="22"/>
      <c r="K4" s="20"/>
      <c r="L4" s="20"/>
      <c r="M4" s="26"/>
      <c r="N4" s="26"/>
      <c r="O4" s="26"/>
      <c r="P4" s="22"/>
      <c r="Q4" s="22"/>
      <c r="R4" s="22"/>
      <c r="S4" s="26"/>
      <c r="T4" s="22"/>
      <c r="U4" s="22"/>
      <c r="V4" s="22"/>
      <c r="W4" s="18"/>
      <c r="X4" s="18"/>
      <c r="Y4" s="18"/>
      <c r="Z4" s="18"/>
      <c r="AA4" s="18"/>
      <c r="AB4" s="18"/>
    </row>
    <row r="5" spans="1:28" ht="15" customHeight="1">
      <c r="A5" s="14" t="s">
        <v>35</v>
      </c>
      <c r="B5" s="28" t="s">
        <v>36</v>
      </c>
      <c r="C5" s="13"/>
      <c r="D5" s="12" t="s">
        <v>37</v>
      </c>
      <c r="E5" s="12" t="s">
        <v>25</v>
      </c>
      <c r="F5" s="13" t="s">
        <v>38</v>
      </c>
      <c r="G5" s="11">
        <v>46150.659027777801</v>
      </c>
      <c r="H5" s="12" t="s">
        <v>27</v>
      </c>
      <c r="I5" s="10"/>
      <c r="J5" s="13"/>
      <c r="K5" s="14"/>
      <c r="L5" s="14"/>
      <c r="M5" s="9"/>
      <c r="N5" s="9"/>
      <c r="O5" s="9"/>
      <c r="P5" s="13"/>
      <c r="Q5" s="13"/>
      <c r="R5" s="13"/>
      <c r="S5" s="9"/>
      <c r="T5" s="13"/>
      <c r="U5" s="13"/>
      <c r="V5" s="13"/>
      <c r="W5" s="8"/>
      <c r="X5" s="7"/>
      <c r="Y5" s="7"/>
      <c r="Z5" s="7"/>
      <c r="AA5" s="7"/>
      <c r="AB5" s="7"/>
    </row>
    <row r="6" spans="1:28" ht="18.75" customHeight="1">
      <c r="A6" s="14"/>
      <c r="B6" s="29" t="s">
        <v>39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8"/>
      <c r="X6" s="7"/>
      <c r="Y6" s="7"/>
      <c r="Z6" s="7"/>
      <c r="AA6" s="7"/>
      <c r="AB6" s="7"/>
    </row>
    <row r="7" spans="1:28" ht="15" customHeight="1">
      <c r="A7" s="14"/>
      <c r="B7" s="30" t="s">
        <v>40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8"/>
      <c r="X7" s="7"/>
      <c r="Y7" s="7"/>
      <c r="Z7" s="7"/>
      <c r="AA7" s="7"/>
      <c r="AB7" s="7"/>
    </row>
    <row r="8" spans="1:28" ht="18.75" customHeight="1">
      <c r="A8" s="14" t="s">
        <v>41</v>
      </c>
      <c r="B8" s="28" t="s">
        <v>42</v>
      </c>
      <c r="C8" s="13"/>
      <c r="D8" s="12" t="s">
        <v>37</v>
      </c>
      <c r="E8" s="12" t="s">
        <v>25</v>
      </c>
      <c r="F8" s="13"/>
      <c r="G8" s="11">
        <v>46150.657638888901</v>
      </c>
      <c r="H8" s="12" t="s">
        <v>27</v>
      </c>
      <c r="I8" s="10"/>
      <c r="J8" s="13"/>
      <c r="K8" s="14"/>
      <c r="L8" s="14"/>
      <c r="M8" s="9"/>
      <c r="N8" s="9"/>
      <c r="O8" s="9"/>
      <c r="P8" s="13"/>
      <c r="Q8" s="13"/>
      <c r="R8" s="13"/>
      <c r="S8" s="9"/>
      <c r="T8" s="13"/>
      <c r="U8" s="13"/>
      <c r="V8" s="13"/>
      <c r="W8" s="8"/>
      <c r="X8" s="7"/>
      <c r="Y8" s="7"/>
      <c r="Z8" s="7"/>
      <c r="AA8" s="7"/>
      <c r="AB8" s="7"/>
    </row>
    <row r="9" spans="1:28" ht="15" customHeight="1">
      <c r="A9" s="14"/>
      <c r="B9" s="30" t="s">
        <v>40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8"/>
      <c r="X9" s="7"/>
      <c r="Y9" s="7"/>
      <c r="Z9" s="7"/>
      <c r="AA9" s="7"/>
      <c r="AB9" s="7"/>
    </row>
    <row r="10" spans="1:28" ht="19.5" customHeight="1">
      <c r="A10" s="20" t="s">
        <v>43</v>
      </c>
      <c r="B10" s="21" t="s">
        <v>44</v>
      </c>
      <c r="C10" s="22"/>
      <c r="D10" s="23" t="s">
        <v>37</v>
      </c>
      <c r="E10" s="23" t="s">
        <v>25</v>
      </c>
      <c r="F10" s="22" t="s">
        <v>26</v>
      </c>
      <c r="G10" s="24">
        <v>46150.650694444397</v>
      </c>
      <c r="H10" s="23" t="s">
        <v>27</v>
      </c>
      <c r="I10" s="25"/>
      <c r="J10" s="22"/>
      <c r="K10" s="20"/>
      <c r="L10" s="20"/>
      <c r="M10" s="26"/>
      <c r="N10" s="26"/>
      <c r="O10" s="26"/>
      <c r="P10" s="22"/>
      <c r="Q10" s="22"/>
      <c r="R10" s="22"/>
      <c r="S10" s="26"/>
      <c r="T10" s="22"/>
      <c r="U10" s="22"/>
      <c r="V10" s="22"/>
      <c r="W10" s="18"/>
      <c r="X10" s="18"/>
      <c r="Y10" s="18"/>
      <c r="Z10" s="18"/>
      <c r="AA10" s="18"/>
      <c r="AB10" s="18"/>
    </row>
    <row r="11" spans="1:28" ht="48" customHeight="1">
      <c r="A11" s="20">
        <v>20260500001</v>
      </c>
      <c r="B11" s="21" t="s">
        <v>45</v>
      </c>
      <c r="C11" s="22"/>
      <c r="D11" s="23" t="s">
        <v>24</v>
      </c>
      <c r="E11" s="23" t="s">
        <v>25</v>
      </c>
      <c r="F11" s="22" t="s">
        <v>46</v>
      </c>
      <c r="G11" s="24">
        <v>46150.555555555598</v>
      </c>
      <c r="H11" s="23" t="s">
        <v>27</v>
      </c>
      <c r="I11" s="31">
        <v>46150.591666666704</v>
      </c>
      <c r="J11" s="22"/>
      <c r="K11" s="20">
        <v>0.04</v>
      </c>
      <c r="L11" s="20">
        <v>0.87</v>
      </c>
      <c r="M11" s="26"/>
      <c r="N11" s="26"/>
      <c r="O11" s="26"/>
      <c r="P11" s="22"/>
      <c r="Q11" s="22"/>
      <c r="R11" s="22"/>
      <c r="S11" s="26"/>
      <c r="T11" s="22"/>
      <c r="U11" s="22"/>
      <c r="V11" s="22"/>
      <c r="W11" s="18"/>
      <c r="X11" s="18"/>
      <c r="Y11" s="18"/>
      <c r="Z11" s="18"/>
      <c r="AA11" s="18"/>
      <c r="AB11" s="18"/>
    </row>
    <row r="12" spans="1:28" ht="48" customHeight="1">
      <c r="A12" s="20" t="s">
        <v>47</v>
      </c>
      <c r="B12" s="27" t="s">
        <v>48</v>
      </c>
      <c r="C12" s="22"/>
      <c r="D12" s="23" t="s">
        <v>49</v>
      </c>
      <c r="E12" s="23" t="s">
        <v>30</v>
      </c>
      <c r="F12" s="22" t="s">
        <v>50</v>
      </c>
      <c r="G12" s="24">
        <v>46150.464583333298</v>
      </c>
      <c r="H12" s="23" t="s">
        <v>27</v>
      </c>
      <c r="I12" s="31">
        <v>46150.506249999999</v>
      </c>
      <c r="J12" s="32" t="s">
        <v>51</v>
      </c>
      <c r="K12" s="20">
        <v>0.04</v>
      </c>
      <c r="L12" s="20">
        <v>1</v>
      </c>
      <c r="M12" s="26">
        <v>0</v>
      </c>
      <c r="N12" s="26"/>
      <c r="O12" s="26"/>
      <c r="P12" s="22"/>
      <c r="Q12" s="22"/>
      <c r="R12" s="22"/>
      <c r="S12" s="26"/>
      <c r="T12" s="22"/>
      <c r="U12" s="22"/>
      <c r="V12" s="22"/>
      <c r="W12" s="18"/>
      <c r="X12" s="18"/>
      <c r="Y12" s="18"/>
      <c r="Z12" s="18"/>
      <c r="AA12" s="18"/>
      <c r="AB12" s="18"/>
    </row>
    <row r="13" spans="1:28" ht="48" customHeight="1">
      <c r="A13" s="20" t="s">
        <v>52</v>
      </c>
      <c r="B13" s="27" t="s">
        <v>53</v>
      </c>
      <c r="C13" s="22"/>
      <c r="D13" s="23" t="s">
        <v>37</v>
      </c>
      <c r="E13" s="23" t="s">
        <v>54</v>
      </c>
      <c r="F13" s="22" t="s">
        <v>55</v>
      </c>
      <c r="G13" s="24">
        <v>46149.872222222199</v>
      </c>
      <c r="H13" s="23" t="s">
        <v>27</v>
      </c>
      <c r="I13" s="25"/>
      <c r="J13" s="22"/>
      <c r="K13" s="20"/>
      <c r="L13" s="20"/>
      <c r="M13" s="26"/>
      <c r="N13" s="26"/>
      <c r="O13" s="26"/>
      <c r="P13" s="22"/>
      <c r="Q13" s="22"/>
      <c r="R13" s="22"/>
      <c r="S13" s="26"/>
      <c r="T13" s="22"/>
      <c r="U13" s="22"/>
      <c r="V13" s="22"/>
      <c r="W13" s="18"/>
      <c r="X13" s="18"/>
      <c r="Y13" s="18"/>
      <c r="Z13" s="18"/>
      <c r="AA13" s="18"/>
      <c r="AB13" s="18"/>
    </row>
    <row r="14" spans="1:28" ht="38.25" customHeight="1">
      <c r="A14" s="14" t="s">
        <v>56</v>
      </c>
      <c r="B14" s="33" t="s">
        <v>57</v>
      </c>
      <c r="C14" s="13"/>
      <c r="D14" s="12" t="s">
        <v>24</v>
      </c>
      <c r="E14" s="12" t="s">
        <v>54</v>
      </c>
      <c r="F14" s="13" t="s">
        <v>50</v>
      </c>
      <c r="G14" s="11">
        <v>46149.635416666701</v>
      </c>
      <c r="H14" s="12" t="s">
        <v>27</v>
      </c>
      <c r="I14" s="6">
        <v>46150.405555555597</v>
      </c>
      <c r="J14" s="5" t="s">
        <v>51</v>
      </c>
      <c r="K14" s="14">
        <v>0.77</v>
      </c>
      <c r="L14" s="14">
        <v>18.48</v>
      </c>
      <c r="M14" s="9">
        <v>0</v>
      </c>
      <c r="N14" s="9"/>
      <c r="O14" s="9"/>
      <c r="P14" s="13"/>
      <c r="Q14" s="13"/>
      <c r="R14" s="13"/>
      <c r="S14" s="9"/>
      <c r="T14" s="13"/>
      <c r="U14" s="13"/>
      <c r="V14" s="13"/>
      <c r="W14" s="8"/>
      <c r="X14" s="7"/>
      <c r="Y14" s="7"/>
      <c r="Z14" s="7"/>
      <c r="AA14" s="7"/>
      <c r="AB14" s="7"/>
    </row>
    <row r="15" spans="1:28">
      <c r="A15" s="14"/>
      <c r="B15" s="29" t="s">
        <v>58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8"/>
      <c r="X15" s="7"/>
      <c r="Y15" s="7"/>
      <c r="Z15" s="7"/>
      <c r="AA15" s="7"/>
      <c r="AB15" s="7"/>
    </row>
    <row r="16" spans="1:28" ht="15" customHeight="1">
      <c r="A16" s="14"/>
      <c r="B16" s="34">
        <v>46316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8"/>
      <c r="X16" s="7"/>
      <c r="Y16" s="7"/>
      <c r="Z16" s="7"/>
      <c r="AA16" s="7"/>
      <c r="AB16" s="7"/>
    </row>
    <row r="17" spans="1:28" ht="38.25" customHeight="1">
      <c r="A17" s="14" t="s">
        <v>59</v>
      </c>
      <c r="B17" s="33" t="s">
        <v>57</v>
      </c>
      <c r="C17" s="13"/>
      <c r="D17" s="12" t="s">
        <v>24</v>
      </c>
      <c r="E17" s="12" t="s">
        <v>54</v>
      </c>
      <c r="F17" s="13" t="s">
        <v>50</v>
      </c>
      <c r="G17" s="11">
        <v>46149.6340277778</v>
      </c>
      <c r="H17" s="12" t="s">
        <v>27</v>
      </c>
      <c r="I17" s="6">
        <v>46150.405555555597</v>
      </c>
      <c r="J17" s="5" t="s">
        <v>51</v>
      </c>
      <c r="K17" s="14">
        <v>0.77</v>
      </c>
      <c r="L17" s="14">
        <v>18.52</v>
      </c>
      <c r="M17" s="9">
        <v>0</v>
      </c>
      <c r="N17" s="9"/>
      <c r="O17" s="9"/>
      <c r="P17" s="13"/>
      <c r="Q17" s="13"/>
      <c r="R17" s="13"/>
      <c r="S17" s="9"/>
      <c r="T17" s="13"/>
      <c r="U17" s="13"/>
      <c r="V17" s="13"/>
      <c r="W17" s="8"/>
      <c r="X17" s="7"/>
      <c r="Y17" s="7"/>
      <c r="Z17" s="7"/>
      <c r="AA17" s="7"/>
      <c r="AB17" s="7"/>
    </row>
    <row r="18" spans="1:28">
      <c r="A18" s="14"/>
      <c r="B18" s="35">
        <v>46161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8"/>
      <c r="X18" s="7"/>
      <c r="Y18" s="7"/>
      <c r="Z18" s="7"/>
      <c r="AA18" s="7"/>
      <c r="AB18" s="7"/>
    </row>
    <row r="19" spans="1:28" ht="15" customHeight="1">
      <c r="A19" s="14"/>
      <c r="B19" s="34">
        <v>46316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8"/>
      <c r="X19" s="7"/>
      <c r="Y19" s="7"/>
      <c r="Z19" s="7"/>
      <c r="AA19" s="7"/>
      <c r="AB19" s="7"/>
    </row>
    <row r="20" spans="1:28" ht="38.25" customHeight="1">
      <c r="A20" s="14" t="s">
        <v>60</v>
      </c>
      <c r="B20" s="33" t="s">
        <v>57</v>
      </c>
      <c r="C20" s="13"/>
      <c r="D20" s="12" t="s">
        <v>24</v>
      </c>
      <c r="E20" s="12" t="s">
        <v>54</v>
      </c>
      <c r="F20" s="13" t="s">
        <v>50</v>
      </c>
      <c r="G20" s="11">
        <v>46149.628472222197</v>
      </c>
      <c r="H20" s="12" t="s">
        <v>27</v>
      </c>
      <c r="I20" s="6">
        <v>46150.404166666704</v>
      </c>
      <c r="J20" s="5" t="s">
        <v>51</v>
      </c>
      <c r="K20" s="14">
        <v>0.78</v>
      </c>
      <c r="L20" s="14">
        <v>18.62</v>
      </c>
      <c r="M20" s="9">
        <v>0</v>
      </c>
      <c r="N20" s="9"/>
      <c r="O20" s="9"/>
      <c r="P20" s="13"/>
      <c r="Q20" s="13"/>
      <c r="R20" s="13"/>
      <c r="S20" s="9"/>
      <c r="T20" s="13"/>
      <c r="U20" s="13"/>
      <c r="V20" s="13"/>
      <c r="W20" s="8"/>
      <c r="X20" s="7"/>
      <c r="Y20" s="7"/>
      <c r="Z20" s="7"/>
      <c r="AA20" s="7"/>
      <c r="AB20" s="7"/>
    </row>
    <row r="21" spans="1:28">
      <c r="A21" s="14"/>
      <c r="B21" s="29" t="s">
        <v>61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8"/>
      <c r="X21" s="7"/>
      <c r="Y21" s="7"/>
      <c r="Z21" s="7"/>
      <c r="AA21" s="7"/>
      <c r="AB21" s="7"/>
    </row>
    <row r="22" spans="1:28" ht="15" customHeight="1">
      <c r="A22" s="14"/>
      <c r="B22" s="34">
        <v>46316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8"/>
      <c r="X22" s="7"/>
      <c r="Y22" s="7"/>
      <c r="Z22" s="7"/>
      <c r="AA22" s="7"/>
      <c r="AB22" s="7"/>
    </row>
    <row r="23" spans="1:28" ht="18.75" customHeight="1">
      <c r="A23" s="14" t="s">
        <v>62</v>
      </c>
      <c r="B23" s="33" t="s">
        <v>63</v>
      </c>
      <c r="C23" s="13"/>
      <c r="D23" s="12" t="s">
        <v>24</v>
      </c>
      <c r="E23" s="12" t="s">
        <v>30</v>
      </c>
      <c r="F23" s="13" t="s">
        <v>26</v>
      </c>
      <c r="G23" s="11">
        <v>46149.605555555601</v>
      </c>
      <c r="H23" s="12" t="s">
        <v>27</v>
      </c>
      <c r="I23" s="6">
        <v>46150.380555555603</v>
      </c>
      <c r="J23" s="5" t="s">
        <v>51</v>
      </c>
      <c r="K23" s="14">
        <v>0.78</v>
      </c>
      <c r="L23" s="14">
        <v>18.600000000000001</v>
      </c>
      <c r="M23" s="9">
        <v>0</v>
      </c>
      <c r="N23" s="9"/>
      <c r="O23" s="9"/>
      <c r="P23" s="13"/>
      <c r="Q23" s="13"/>
      <c r="R23" s="13"/>
      <c r="S23" s="9"/>
      <c r="T23" s="13"/>
      <c r="U23" s="13"/>
      <c r="V23" s="13"/>
      <c r="W23" s="8"/>
      <c r="X23" s="7"/>
      <c r="Y23" s="7"/>
      <c r="Z23" s="7"/>
      <c r="AA23" s="7"/>
      <c r="AB23" s="7"/>
    </row>
    <row r="24" spans="1:28" ht="19.5" customHeight="1">
      <c r="A24" s="14"/>
      <c r="B24" s="30" t="s">
        <v>29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8"/>
      <c r="X24" s="7"/>
      <c r="Y24" s="7"/>
      <c r="Z24" s="7"/>
      <c r="AA24" s="7"/>
      <c r="AB24" s="7"/>
    </row>
    <row r="25" spans="1:28" ht="29.25" customHeight="1">
      <c r="A25" s="20" t="s">
        <v>64</v>
      </c>
      <c r="B25" s="27" t="s">
        <v>65</v>
      </c>
      <c r="C25" s="22"/>
      <c r="D25" s="23" t="s">
        <v>49</v>
      </c>
      <c r="E25" s="23" t="s">
        <v>66</v>
      </c>
      <c r="F25" s="22" t="s">
        <v>46</v>
      </c>
      <c r="G25" s="24">
        <v>46149.472222222197</v>
      </c>
      <c r="H25" s="23" t="s">
        <v>27</v>
      </c>
      <c r="I25" s="31">
        <v>46150.447222222203</v>
      </c>
      <c r="J25" s="32" t="s">
        <v>51</v>
      </c>
      <c r="K25" s="20">
        <v>0.98</v>
      </c>
      <c r="L25" s="20">
        <v>23.4</v>
      </c>
      <c r="M25" s="26">
        <v>0</v>
      </c>
      <c r="N25" s="26"/>
      <c r="O25" s="26"/>
      <c r="P25" s="22"/>
      <c r="Q25" s="22"/>
      <c r="R25" s="22"/>
      <c r="S25" s="26"/>
      <c r="T25" s="22"/>
      <c r="U25" s="22"/>
      <c r="V25" s="22"/>
      <c r="W25" s="18"/>
      <c r="X25" s="18"/>
      <c r="Y25" s="18"/>
      <c r="Z25" s="18"/>
      <c r="AA25" s="18"/>
      <c r="AB25" s="18"/>
    </row>
    <row r="26" spans="1:28" ht="19.5" customHeight="1">
      <c r="A26" s="20" t="s">
        <v>67</v>
      </c>
      <c r="B26" s="21" t="s">
        <v>68</v>
      </c>
      <c r="C26" s="22"/>
      <c r="D26" s="23" t="s">
        <v>49</v>
      </c>
      <c r="E26" s="23" t="s">
        <v>30</v>
      </c>
      <c r="F26" s="22" t="s">
        <v>26</v>
      </c>
      <c r="G26" s="24">
        <v>46149.398611111101</v>
      </c>
      <c r="H26" s="23" t="s">
        <v>27</v>
      </c>
      <c r="I26" s="31">
        <v>46149.468055555597</v>
      </c>
      <c r="J26" s="32" t="s">
        <v>51</v>
      </c>
      <c r="K26" s="20">
        <v>7.0000000000000007E-2</v>
      </c>
      <c r="L26" s="20">
        <v>1.67</v>
      </c>
      <c r="M26" s="26">
        <v>0</v>
      </c>
      <c r="N26" s="26"/>
      <c r="O26" s="26"/>
      <c r="P26" s="22"/>
      <c r="Q26" s="22"/>
      <c r="R26" s="22"/>
      <c r="S26" s="26"/>
      <c r="T26" s="22"/>
      <c r="U26" s="22"/>
      <c r="V26" s="22"/>
      <c r="W26" s="18"/>
      <c r="X26" s="18"/>
      <c r="Y26" s="18"/>
      <c r="Z26" s="18"/>
      <c r="AA26" s="18"/>
      <c r="AB26" s="18"/>
    </row>
    <row r="27" spans="1:28" ht="19.5" customHeight="1">
      <c r="A27" s="20" t="s">
        <v>69</v>
      </c>
      <c r="B27" s="21" t="s">
        <v>70</v>
      </c>
      <c r="C27" s="22"/>
      <c r="D27" s="23" t="s">
        <v>24</v>
      </c>
      <c r="E27" s="23" t="s">
        <v>71</v>
      </c>
      <c r="F27" s="22"/>
      <c r="G27" s="24">
        <v>46148.871527777803</v>
      </c>
      <c r="H27" s="23" t="s">
        <v>27</v>
      </c>
      <c r="I27" s="31">
        <v>46149.780555555597</v>
      </c>
      <c r="J27" s="23" t="s">
        <v>72</v>
      </c>
      <c r="K27" s="20">
        <v>0.63</v>
      </c>
      <c r="L27" s="20">
        <v>15.07</v>
      </c>
      <c r="M27" s="26">
        <v>-493923.97</v>
      </c>
      <c r="N27" s="26"/>
      <c r="O27" s="26"/>
      <c r="P27" s="23" t="s">
        <v>37</v>
      </c>
      <c r="Q27" s="22"/>
      <c r="R27" s="22"/>
      <c r="S27" s="36">
        <v>0</v>
      </c>
      <c r="T27" s="22"/>
      <c r="U27" s="37">
        <v>46149.78125</v>
      </c>
      <c r="V27" s="22"/>
      <c r="W27" s="18"/>
      <c r="X27" s="18"/>
      <c r="Y27" s="18"/>
      <c r="Z27" s="18"/>
      <c r="AA27" s="18"/>
      <c r="AB27" s="18"/>
    </row>
    <row r="28" spans="1:28" ht="29.25" customHeight="1">
      <c r="A28" s="20" t="s">
        <v>73</v>
      </c>
      <c r="B28" s="27" t="s">
        <v>74</v>
      </c>
      <c r="C28" s="22"/>
      <c r="D28" s="23" t="s">
        <v>24</v>
      </c>
      <c r="E28" s="23" t="s">
        <v>66</v>
      </c>
      <c r="F28" s="22"/>
      <c r="G28" s="24">
        <v>46148.869444444397</v>
      </c>
      <c r="H28" s="23" t="s">
        <v>27</v>
      </c>
      <c r="I28" s="31">
        <v>46150.447916666701</v>
      </c>
      <c r="J28" s="32" t="s">
        <v>51</v>
      </c>
      <c r="K28" s="20">
        <v>1.58</v>
      </c>
      <c r="L28" s="20">
        <v>37.880000000000003</v>
      </c>
      <c r="M28" s="26">
        <v>0</v>
      </c>
      <c r="N28" s="26"/>
      <c r="O28" s="26"/>
      <c r="P28" s="22"/>
      <c r="Q28" s="22"/>
      <c r="R28" s="22"/>
      <c r="S28" s="26"/>
      <c r="T28" s="22"/>
      <c r="U28" s="22"/>
      <c r="V28" s="22"/>
      <c r="W28" s="18"/>
      <c r="X28" s="18"/>
      <c r="Y28" s="18"/>
      <c r="Z28" s="18"/>
      <c r="AA28" s="18"/>
      <c r="AB28" s="18"/>
    </row>
    <row r="29" spans="1:28" ht="19.5" customHeight="1">
      <c r="A29" s="20" t="s">
        <v>75</v>
      </c>
      <c r="B29" s="21" t="s">
        <v>76</v>
      </c>
      <c r="C29" s="22"/>
      <c r="D29" s="23" t="s">
        <v>77</v>
      </c>
      <c r="E29" s="23" t="s">
        <v>34</v>
      </c>
      <c r="F29" s="22"/>
      <c r="G29" s="24">
        <v>46148.729861111096</v>
      </c>
      <c r="H29" s="23" t="s">
        <v>27</v>
      </c>
      <c r="I29" s="31">
        <v>46149.472916666702</v>
      </c>
      <c r="J29" s="32" t="s">
        <v>51</v>
      </c>
      <c r="K29" s="20">
        <v>0.74</v>
      </c>
      <c r="L29" s="20">
        <v>17.829999999999998</v>
      </c>
      <c r="M29" s="26">
        <v>0</v>
      </c>
      <c r="N29" s="26"/>
      <c r="O29" s="26"/>
      <c r="P29" s="22"/>
      <c r="Q29" s="22"/>
      <c r="R29" s="22"/>
      <c r="S29" s="26"/>
      <c r="T29" s="22"/>
      <c r="U29" s="22"/>
      <c r="V29" s="22"/>
      <c r="W29" s="18"/>
      <c r="X29" s="18"/>
      <c r="Y29" s="18"/>
      <c r="Z29" s="18"/>
      <c r="AA29" s="18"/>
      <c r="AB29" s="18"/>
    </row>
    <row r="30" spans="1:28" ht="29.25" customHeight="1">
      <c r="A30" s="20" t="s">
        <v>78</v>
      </c>
      <c r="B30" s="21" t="s">
        <v>79</v>
      </c>
      <c r="C30" s="22"/>
      <c r="D30" s="23" t="s">
        <v>77</v>
      </c>
      <c r="E30" s="23" t="s">
        <v>80</v>
      </c>
      <c r="F30" s="22" t="s">
        <v>26</v>
      </c>
      <c r="G30" s="24">
        <v>46147.470833333296</v>
      </c>
      <c r="H30" s="23" t="s">
        <v>27</v>
      </c>
      <c r="I30" s="31">
        <v>46150.447916666701</v>
      </c>
      <c r="J30" s="32" t="s">
        <v>51</v>
      </c>
      <c r="K30" s="20">
        <v>2.98</v>
      </c>
      <c r="L30" s="20">
        <v>71.45</v>
      </c>
      <c r="M30" s="26">
        <v>0</v>
      </c>
      <c r="N30" s="26"/>
      <c r="O30" s="26"/>
      <c r="P30" s="22"/>
      <c r="Q30" s="22"/>
      <c r="R30" s="22"/>
      <c r="S30" s="26"/>
      <c r="T30" s="22"/>
      <c r="U30" s="22"/>
      <c r="V30" s="22"/>
      <c r="W30" s="18"/>
      <c r="X30" s="18"/>
      <c r="Y30" s="18"/>
      <c r="Z30" s="18"/>
      <c r="AA30" s="18"/>
      <c r="AB30" s="18"/>
    </row>
    <row r="31" spans="1:28" ht="19.5" customHeight="1">
      <c r="A31" s="20" t="s">
        <v>81</v>
      </c>
      <c r="B31" s="27" t="s">
        <v>82</v>
      </c>
      <c r="C31" s="22"/>
      <c r="D31" s="23" t="s">
        <v>24</v>
      </c>
      <c r="E31" s="23" t="s">
        <v>83</v>
      </c>
      <c r="F31" s="22" t="s">
        <v>46</v>
      </c>
      <c r="G31" s="24">
        <v>46146.597222222197</v>
      </c>
      <c r="H31" s="23" t="s">
        <v>27</v>
      </c>
      <c r="I31" s="25"/>
      <c r="J31" s="22"/>
      <c r="K31" s="20"/>
      <c r="L31" s="20"/>
      <c r="M31" s="26"/>
      <c r="N31" s="26"/>
      <c r="O31" s="26"/>
      <c r="P31" s="22"/>
      <c r="Q31" s="22"/>
      <c r="R31" s="22"/>
      <c r="S31" s="26"/>
      <c r="T31" s="22"/>
      <c r="U31" s="22"/>
      <c r="V31" s="22"/>
      <c r="W31" s="18"/>
      <c r="X31" s="18"/>
      <c r="Y31" s="18"/>
      <c r="Z31" s="18"/>
      <c r="AA31" s="18"/>
      <c r="AB31" s="18"/>
    </row>
    <row r="32" spans="1:28" ht="28.5" customHeight="1">
      <c r="A32" s="14" t="s">
        <v>84</v>
      </c>
      <c r="B32" s="33" t="s">
        <v>85</v>
      </c>
      <c r="C32" s="13"/>
      <c r="D32" s="12" t="s">
        <v>24</v>
      </c>
      <c r="E32" s="12" t="s">
        <v>30</v>
      </c>
      <c r="F32" s="13" t="s">
        <v>26</v>
      </c>
      <c r="G32" s="11">
        <v>46146.587500000001</v>
      </c>
      <c r="H32" s="12" t="s">
        <v>27</v>
      </c>
      <c r="I32" s="6">
        <v>46150.40625</v>
      </c>
      <c r="J32" s="5" t="s">
        <v>51</v>
      </c>
      <c r="K32" s="14">
        <v>3.82</v>
      </c>
      <c r="L32" s="14">
        <v>91.65</v>
      </c>
      <c r="M32" s="9">
        <v>0</v>
      </c>
      <c r="N32" s="9"/>
      <c r="O32" s="9"/>
      <c r="P32" s="13"/>
      <c r="Q32" s="13"/>
      <c r="R32" s="13"/>
      <c r="S32" s="9"/>
      <c r="T32" s="13"/>
      <c r="U32" s="13"/>
      <c r="V32" s="13"/>
      <c r="W32" s="8"/>
      <c r="X32" s="7"/>
      <c r="Y32" s="7"/>
      <c r="Z32" s="7"/>
      <c r="AA32" s="7"/>
      <c r="AB32" s="7"/>
    </row>
    <row r="33" spans="1:28" ht="19.5" customHeight="1">
      <c r="A33" s="14"/>
      <c r="B33" s="30" t="s">
        <v>86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8"/>
      <c r="X33" s="7"/>
      <c r="Y33" s="7"/>
      <c r="Z33" s="7"/>
      <c r="AA33" s="7"/>
      <c r="AB33" s="7"/>
    </row>
    <row r="34" spans="1:28" ht="15" customHeight="1">
      <c r="A34" s="14" t="s">
        <v>87</v>
      </c>
      <c r="B34" s="33" t="s">
        <v>88</v>
      </c>
      <c r="C34" s="13"/>
      <c r="D34" s="12" t="s">
        <v>24</v>
      </c>
      <c r="E34" s="12" t="s">
        <v>89</v>
      </c>
      <c r="F34" s="13" t="s">
        <v>90</v>
      </c>
      <c r="G34" s="11">
        <v>46146.582638888904</v>
      </c>
      <c r="H34" s="12" t="s">
        <v>27</v>
      </c>
      <c r="I34" s="6">
        <v>46149.781944444498</v>
      </c>
      <c r="J34" s="12" t="s">
        <v>72</v>
      </c>
      <c r="K34" s="14">
        <v>1.02</v>
      </c>
      <c r="L34" s="14">
        <v>24.48</v>
      </c>
      <c r="M34" s="9">
        <v>0</v>
      </c>
      <c r="N34" s="9"/>
      <c r="O34" s="9"/>
      <c r="P34" s="12" t="s">
        <v>37</v>
      </c>
      <c r="Q34" s="13"/>
      <c r="R34" s="13"/>
      <c r="S34" s="4">
        <v>0</v>
      </c>
      <c r="T34" s="13"/>
      <c r="U34" s="3">
        <v>46149.781944444498</v>
      </c>
      <c r="V34" s="13"/>
      <c r="W34" s="8"/>
      <c r="X34" s="7"/>
      <c r="Y34" s="7"/>
      <c r="Z34" s="7"/>
      <c r="AA34" s="7"/>
      <c r="AB34" s="7"/>
    </row>
    <row r="35" spans="1:28" ht="15" customHeight="1">
      <c r="A35" s="14"/>
      <c r="B35" s="30" t="s">
        <v>91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8"/>
      <c r="X35" s="7"/>
      <c r="Y35" s="7"/>
      <c r="Z35" s="7"/>
      <c r="AA35" s="7"/>
      <c r="AB35" s="7"/>
    </row>
    <row r="36" spans="1:28" ht="29.25" customHeight="1">
      <c r="A36" s="20" t="s">
        <v>92</v>
      </c>
      <c r="B36" s="21" t="s">
        <v>93</v>
      </c>
      <c r="C36" s="22"/>
      <c r="D36" s="23" t="s">
        <v>49</v>
      </c>
      <c r="E36" s="23" t="s">
        <v>94</v>
      </c>
      <c r="F36" s="22" t="s">
        <v>46</v>
      </c>
      <c r="G36" s="24">
        <v>46145.671527777798</v>
      </c>
      <c r="H36" s="23" t="s">
        <v>27</v>
      </c>
      <c r="I36" s="31">
        <v>46149.782638888901</v>
      </c>
      <c r="J36" s="23" t="s">
        <v>72</v>
      </c>
      <c r="K36" s="20">
        <v>2.04</v>
      </c>
      <c r="L36" s="20">
        <v>49</v>
      </c>
      <c r="M36" s="26">
        <v>0</v>
      </c>
      <c r="N36" s="26"/>
      <c r="O36" s="26"/>
      <c r="P36" s="23" t="s">
        <v>37</v>
      </c>
      <c r="Q36" s="22"/>
      <c r="R36" s="22"/>
      <c r="S36" s="36">
        <v>0</v>
      </c>
      <c r="T36" s="22"/>
      <c r="U36" s="37">
        <v>46149.782638888901</v>
      </c>
      <c r="V36" s="22"/>
      <c r="W36" s="18"/>
      <c r="X36" s="18"/>
      <c r="Y36" s="18"/>
      <c r="Z36" s="18"/>
      <c r="AA36" s="18"/>
      <c r="AB36" s="18"/>
    </row>
    <row r="37" spans="1:28" ht="19.5" customHeight="1">
      <c r="A37" s="20" t="s">
        <v>95</v>
      </c>
      <c r="B37" s="27" t="s">
        <v>96</v>
      </c>
      <c r="C37" s="22"/>
      <c r="D37" s="23" t="s">
        <v>49</v>
      </c>
      <c r="E37" s="23" t="s">
        <v>94</v>
      </c>
      <c r="F37" s="22" t="s">
        <v>46</v>
      </c>
      <c r="G37" s="24">
        <v>46145.656944444498</v>
      </c>
      <c r="H37" s="23" t="s">
        <v>27</v>
      </c>
      <c r="I37" s="31">
        <v>46149.782638888901</v>
      </c>
      <c r="J37" s="23" t="s">
        <v>72</v>
      </c>
      <c r="K37" s="20">
        <v>2.06</v>
      </c>
      <c r="L37" s="20">
        <v>49.33</v>
      </c>
      <c r="M37" s="26">
        <v>0</v>
      </c>
      <c r="N37" s="26"/>
      <c r="O37" s="26"/>
      <c r="P37" s="23" t="s">
        <v>37</v>
      </c>
      <c r="Q37" s="22"/>
      <c r="R37" s="22"/>
      <c r="S37" s="36">
        <v>0</v>
      </c>
      <c r="T37" s="22"/>
      <c r="U37" s="37">
        <v>46149.782638888901</v>
      </c>
      <c r="V37" s="22"/>
      <c r="W37" s="18"/>
      <c r="X37" s="18"/>
      <c r="Y37" s="18"/>
      <c r="Z37" s="18"/>
      <c r="AA37" s="18"/>
      <c r="AB37" s="18"/>
    </row>
    <row r="38" spans="1:28" ht="19.5" customHeight="1">
      <c r="A38" s="20" t="s">
        <v>97</v>
      </c>
      <c r="B38" s="27" t="s">
        <v>98</v>
      </c>
      <c r="C38" s="22"/>
      <c r="D38" s="23" t="s">
        <v>49</v>
      </c>
      <c r="E38" s="23" t="s">
        <v>99</v>
      </c>
      <c r="F38" s="22" t="s">
        <v>46</v>
      </c>
      <c r="G38" s="24">
        <v>46144.451388888898</v>
      </c>
      <c r="H38" s="23" t="s">
        <v>27</v>
      </c>
      <c r="I38" s="31">
        <v>46150.449305555601</v>
      </c>
      <c r="J38" s="32" t="s">
        <v>51</v>
      </c>
      <c r="K38" s="20">
        <v>6</v>
      </c>
      <c r="L38" s="20">
        <v>143.94999999999999</v>
      </c>
      <c r="M38" s="26">
        <v>0</v>
      </c>
      <c r="N38" s="26"/>
      <c r="O38" s="26"/>
      <c r="P38" s="22"/>
      <c r="Q38" s="22"/>
      <c r="R38" s="22"/>
      <c r="S38" s="26"/>
      <c r="T38" s="22"/>
      <c r="U38" s="22"/>
      <c r="V38" s="22"/>
      <c r="W38" s="18"/>
      <c r="X38" s="18"/>
      <c r="Y38" s="18"/>
      <c r="Z38" s="18"/>
      <c r="AA38" s="18"/>
      <c r="AB38" s="18"/>
    </row>
    <row r="39" spans="1:28" ht="19.5" customHeight="1">
      <c r="A39" s="20" t="s">
        <v>100</v>
      </c>
      <c r="B39" s="27" t="s">
        <v>101</v>
      </c>
      <c r="C39" s="22"/>
      <c r="D39" s="23" t="s">
        <v>49</v>
      </c>
      <c r="E39" s="23" t="s">
        <v>80</v>
      </c>
      <c r="F39" s="22" t="s">
        <v>46</v>
      </c>
      <c r="G39" s="24">
        <v>46144.432638888902</v>
      </c>
      <c r="H39" s="23" t="s">
        <v>27</v>
      </c>
      <c r="I39" s="31">
        <v>46149.783333333296</v>
      </c>
      <c r="J39" s="23" t="s">
        <v>72</v>
      </c>
      <c r="K39" s="20">
        <v>3.28</v>
      </c>
      <c r="L39" s="20">
        <v>78.77</v>
      </c>
      <c r="M39" s="26">
        <v>0.02</v>
      </c>
      <c r="N39" s="26"/>
      <c r="O39" s="26"/>
      <c r="P39" s="23" t="s">
        <v>37</v>
      </c>
      <c r="Q39" s="22"/>
      <c r="R39" s="22"/>
      <c r="S39" s="36">
        <v>0</v>
      </c>
      <c r="T39" s="22"/>
      <c r="U39" s="37">
        <v>46149.783333333296</v>
      </c>
      <c r="V39" s="22"/>
      <c r="W39" s="18"/>
      <c r="X39" s="18"/>
      <c r="Y39" s="18"/>
      <c r="Z39" s="18"/>
      <c r="AA39" s="18"/>
      <c r="AB39" s="18"/>
    </row>
    <row r="40" spans="1:28" ht="19.5" customHeight="1">
      <c r="A40" s="20" t="s">
        <v>102</v>
      </c>
      <c r="B40" s="21" t="s">
        <v>103</v>
      </c>
      <c r="C40" s="22"/>
      <c r="D40" s="23" t="s">
        <v>24</v>
      </c>
      <c r="E40" s="23" t="s">
        <v>30</v>
      </c>
      <c r="F40" s="22" t="s">
        <v>26</v>
      </c>
      <c r="G40" s="24">
        <v>46144.430555555598</v>
      </c>
      <c r="H40" s="23" t="s">
        <v>27</v>
      </c>
      <c r="I40" s="31">
        <v>46147.7097222222</v>
      </c>
      <c r="J40" s="32" t="s">
        <v>51</v>
      </c>
      <c r="K40" s="20">
        <v>3.28</v>
      </c>
      <c r="L40" s="20">
        <v>78.7</v>
      </c>
      <c r="M40" s="26">
        <v>0</v>
      </c>
      <c r="N40" s="26"/>
      <c r="O40" s="26"/>
      <c r="P40" s="22"/>
      <c r="Q40" s="22"/>
      <c r="R40" s="22"/>
      <c r="S40" s="26"/>
      <c r="T40" s="22"/>
      <c r="U40" s="22"/>
      <c r="V40" s="22"/>
      <c r="W40" s="18"/>
      <c r="X40" s="18"/>
      <c r="Y40" s="18"/>
      <c r="Z40" s="18"/>
      <c r="AA40" s="18"/>
      <c r="AB40" s="18"/>
    </row>
    <row r="41" spans="1:28" ht="19.5" customHeight="1">
      <c r="A41" s="20" t="s">
        <v>104</v>
      </c>
      <c r="B41" s="21" t="s">
        <v>105</v>
      </c>
      <c r="C41" s="22"/>
      <c r="D41" s="23" t="s">
        <v>77</v>
      </c>
      <c r="E41" s="23" t="s">
        <v>30</v>
      </c>
      <c r="F41" s="22"/>
      <c r="G41" s="24">
        <v>46143.6743055556</v>
      </c>
      <c r="H41" s="23" t="s">
        <v>27</v>
      </c>
      <c r="I41" s="31">
        <v>46147.372222222199</v>
      </c>
      <c r="J41" s="32" t="s">
        <v>51</v>
      </c>
      <c r="K41" s="20">
        <v>3.7</v>
      </c>
      <c r="L41" s="20">
        <v>88.75</v>
      </c>
      <c r="M41" s="26">
        <v>0</v>
      </c>
      <c r="N41" s="26"/>
      <c r="O41" s="26"/>
      <c r="P41" s="22"/>
      <c r="Q41" s="22"/>
      <c r="R41" s="22"/>
      <c r="S41" s="26"/>
      <c r="T41" s="22"/>
      <c r="U41" s="22"/>
      <c r="V41" s="22"/>
      <c r="W41" s="18"/>
      <c r="X41" s="18"/>
      <c r="Y41" s="18"/>
      <c r="Z41" s="18"/>
      <c r="AA41" s="18"/>
      <c r="AB41" s="18"/>
    </row>
    <row r="42" spans="1:28" ht="19.5" customHeight="1">
      <c r="A42" s="20" t="s">
        <v>106</v>
      </c>
      <c r="B42" s="21" t="s">
        <v>107</v>
      </c>
      <c r="C42" s="22"/>
      <c r="D42" s="23" t="s">
        <v>77</v>
      </c>
      <c r="E42" s="23" t="s">
        <v>34</v>
      </c>
      <c r="F42" s="22" t="s">
        <v>50</v>
      </c>
      <c r="G42" s="24">
        <v>46143.4194444444</v>
      </c>
      <c r="H42" s="23" t="s">
        <v>27</v>
      </c>
      <c r="I42" s="25"/>
      <c r="J42" s="22"/>
      <c r="K42" s="20"/>
      <c r="L42" s="20"/>
      <c r="M42" s="26"/>
      <c r="N42" s="26"/>
      <c r="O42" s="26"/>
      <c r="P42" s="22"/>
      <c r="Q42" s="22"/>
      <c r="R42" s="22"/>
      <c r="S42" s="26"/>
      <c r="T42" s="22"/>
      <c r="U42" s="22"/>
      <c r="V42" s="22"/>
      <c r="W42" s="18"/>
      <c r="X42" s="18"/>
      <c r="Y42" s="18"/>
      <c r="Z42" s="18"/>
      <c r="AA42" s="18"/>
      <c r="AB42" s="18"/>
    </row>
    <row r="43" spans="1:28" ht="19.5" customHeight="1">
      <c r="A43" s="20" t="s">
        <v>108</v>
      </c>
      <c r="B43" s="21" t="s">
        <v>109</v>
      </c>
      <c r="C43" s="22"/>
      <c r="D43" s="23" t="s">
        <v>77</v>
      </c>
      <c r="E43" s="23" t="s">
        <v>30</v>
      </c>
      <c r="F43" s="22"/>
      <c r="G43" s="24">
        <v>46142.449305555601</v>
      </c>
      <c r="H43" s="23" t="s">
        <v>27</v>
      </c>
      <c r="I43" s="31">
        <v>46143.699305555601</v>
      </c>
      <c r="J43" s="23" t="s">
        <v>110</v>
      </c>
      <c r="K43" s="20">
        <v>1.25</v>
      </c>
      <c r="L43" s="20">
        <v>30</v>
      </c>
      <c r="M43" s="26">
        <v>0</v>
      </c>
      <c r="N43" s="26"/>
      <c r="O43" s="26"/>
      <c r="P43" s="22"/>
      <c r="Q43" s="22"/>
      <c r="R43" s="22"/>
      <c r="S43" s="26"/>
      <c r="T43" s="22"/>
      <c r="U43" s="22"/>
      <c r="V43" s="22"/>
      <c r="W43" s="18"/>
      <c r="X43" s="18"/>
      <c r="Y43" s="18"/>
      <c r="Z43" s="18"/>
      <c r="AA43" s="18"/>
      <c r="AB43" s="18"/>
    </row>
    <row r="44" spans="1:28" ht="19.5" customHeight="1">
      <c r="A44" s="20" t="s">
        <v>111</v>
      </c>
      <c r="B44" s="27" t="s">
        <v>101</v>
      </c>
      <c r="C44" s="22"/>
      <c r="D44" s="23" t="s">
        <v>49</v>
      </c>
      <c r="E44" s="23" t="s">
        <v>80</v>
      </c>
      <c r="F44" s="22" t="s">
        <v>46</v>
      </c>
      <c r="G44" s="24">
        <v>46142.442361111098</v>
      </c>
      <c r="H44" s="23" t="s">
        <v>27</v>
      </c>
      <c r="I44" s="31">
        <v>46149.784722222197</v>
      </c>
      <c r="J44" s="23" t="s">
        <v>72</v>
      </c>
      <c r="K44" s="20">
        <v>7.03</v>
      </c>
      <c r="L44" s="20">
        <v>168.75</v>
      </c>
      <c r="M44" s="26">
        <v>0</v>
      </c>
      <c r="N44" s="26"/>
      <c r="O44" s="26"/>
      <c r="P44" s="23" t="s">
        <v>37</v>
      </c>
      <c r="Q44" s="22"/>
      <c r="R44" s="22"/>
      <c r="S44" s="36">
        <v>0</v>
      </c>
      <c r="T44" s="22"/>
      <c r="U44" s="37">
        <v>46149.784722222197</v>
      </c>
      <c r="V44" s="22"/>
      <c r="W44" s="18"/>
      <c r="X44" s="18"/>
      <c r="Y44" s="18"/>
      <c r="Z44" s="18"/>
      <c r="AA44" s="18"/>
      <c r="AB44" s="18"/>
    </row>
    <row r="45" spans="1:28" ht="19.5" customHeight="1">
      <c r="A45" s="20" t="s">
        <v>112</v>
      </c>
      <c r="B45" s="21" t="s">
        <v>113</v>
      </c>
      <c r="C45" s="22"/>
      <c r="D45" s="23" t="s">
        <v>77</v>
      </c>
      <c r="E45" s="23" t="s">
        <v>34</v>
      </c>
      <c r="F45" s="22" t="s">
        <v>55</v>
      </c>
      <c r="G45" s="24">
        <v>46142.436111111099</v>
      </c>
      <c r="H45" s="23" t="s">
        <v>27</v>
      </c>
      <c r="I45" s="25"/>
      <c r="J45" s="22"/>
      <c r="K45" s="20"/>
      <c r="L45" s="20"/>
      <c r="M45" s="26"/>
      <c r="N45" s="26"/>
      <c r="O45" s="26"/>
      <c r="P45" s="22"/>
      <c r="Q45" s="22"/>
      <c r="R45" s="22"/>
      <c r="S45" s="26"/>
      <c r="T45" s="22"/>
      <c r="U45" s="22"/>
      <c r="V45" s="22"/>
      <c r="W45" s="18"/>
      <c r="X45" s="18"/>
      <c r="Y45" s="18"/>
      <c r="Z45" s="18"/>
      <c r="AA45" s="18"/>
      <c r="AB45" s="18"/>
    </row>
    <row r="46" spans="1:28" ht="15" customHeight="1">
      <c r="A46" s="14" t="s">
        <v>114</v>
      </c>
      <c r="B46" s="33" t="s">
        <v>115</v>
      </c>
      <c r="C46" s="12" t="s">
        <v>116</v>
      </c>
      <c r="D46" s="12" t="s">
        <v>24</v>
      </c>
      <c r="E46" s="12" t="s">
        <v>30</v>
      </c>
      <c r="F46" s="13" t="s">
        <v>26</v>
      </c>
      <c r="G46" s="11">
        <v>46141.784027777801</v>
      </c>
      <c r="H46" s="12" t="s">
        <v>27</v>
      </c>
      <c r="I46" s="6">
        <v>46143.324999999997</v>
      </c>
      <c r="J46" s="12" t="s">
        <v>72</v>
      </c>
      <c r="K46" s="14">
        <v>0.7</v>
      </c>
      <c r="L46" s="14">
        <v>16.87</v>
      </c>
      <c r="M46" s="9">
        <v>0</v>
      </c>
      <c r="N46" s="9"/>
      <c r="O46" s="9"/>
      <c r="P46" s="13"/>
      <c r="Q46" s="13"/>
      <c r="R46" s="13"/>
      <c r="S46" s="9"/>
      <c r="T46" s="13"/>
      <c r="U46" s="13"/>
      <c r="V46" s="3">
        <v>46143.324999999997</v>
      </c>
      <c r="W46" s="8"/>
      <c r="X46" s="7"/>
      <c r="Y46" s="7"/>
      <c r="Z46" s="7"/>
      <c r="AA46" s="7"/>
      <c r="AB46" s="7"/>
    </row>
    <row r="47" spans="1:28">
      <c r="A47" s="14"/>
      <c r="B47" s="38" t="s">
        <v>117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8"/>
      <c r="X47" s="7"/>
      <c r="Y47" s="7"/>
      <c r="Z47" s="7"/>
      <c r="AA47" s="7"/>
      <c r="AB47" s="7"/>
    </row>
    <row r="48" spans="1:28" ht="19.5" customHeight="1">
      <c r="A48" s="14"/>
      <c r="B48" s="30" t="s">
        <v>118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8"/>
      <c r="X48" s="7"/>
      <c r="Y48" s="7"/>
      <c r="Z48" s="7"/>
      <c r="AA48" s="7"/>
      <c r="AB48" s="7"/>
    </row>
    <row r="49" spans="1:28" ht="19.5" customHeight="1">
      <c r="A49" s="20" t="s">
        <v>119</v>
      </c>
      <c r="B49" s="21" t="s">
        <v>120</v>
      </c>
      <c r="C49" s="22"/>
      <c r="D49" s="23" t="s">
        <v>77</v>
      </c>
      <c r="E49" s="23" t="s">
        <v>30</v>
      </c>
      <c r="F49" s="22" t="s">
        <v>50</v>
      </c>
      <c r="G49" s="24">
        <v>46141.568055555603</v>
      </c>
      <c r="H49" s="23" t="s">
        <v>27</v>
      </c>
      <c r="I49" s="31">
        <v>46142.488194444399</v>
      </c>
      <c r="J49" s="23" t="s">
        <v>110</v>
      </c>
      <c r="K49" s="20">
        <v>0.92</v>
      </c>
      <c r="L49" s="20">
        <v>22.08</v>
      </c>
      <c r="M49" s="26">
        <v>0</v>
      </c>
      <c r="N49" s="26"/>
      <c r="O49" s="26"/>
      <c r="P49" s="22"/>
      <c r="Q49" s="22"/>
      <c r="R49" s="22"/>
      <c r="S49" s="26"/>
      <c r="T49" s="22"/>
      <c r="U49" s="22"/>
      <c r="V49" s="22"/>
      <c r="W49" s="18"/>
      <c r="X49" s="18"/>
      <c r="Y49" s="18"/>
      <c r="Z49" s="18"/>
      <c r="AA49" s="18"/>
      <c r="AB49" s="18"/>
    </row>
    <row r="50" spans="1:28" ht="19.5" customHeight="1">
      <c r="A50" s="20" t="s">
        <v>121</v>
      </c>
      <c r="B50" s="27" t="s">
        <v>122</v>
      </c>
      <c r="C50" s="23" t="s">
        <v>116</v>
      </c>
      <c r="D50" s="23" t="s">
        <v>77</v>
      </c>
      <c r="E50" s="23" t="s">
        <v>30</v>
      </c>
      <c r="F50" s="22" t="s">
        <v>26</v>
      </c>
      <c r="G50" s="24">
        <v>46141.565277777801</v>
      </c>
      <c r="H50" s="23" t="s">
        <v>27</v>
      </c>
      <c r="I50" s="31">
        <v>46143.324999999997</v>
      </c>
      <c r="J50" s="23" t="s">
        <v>72</v>
      </c>
      <c r="K50" s="20">
        <v>0.92</v>
      </c>
      <c r="L50" s="20">
        <v>22.13</v>
      </c>
      <c r="M50" s="26">
        <v>0</v>
      </c>
      <c r="N50" s="26"/>
      <c r="O50" s="26"/>
      <c r="P50" s="22"/>
      <c r="Q50" s="22"/>
      <c r="R50" s="22"/>
      <c r="S50" s="26"/>
      <c r="T50" s="22"/>
      <c r="U50" s="22"/>
      <c r="V50" s="37">
        <v>46143.324999999997</v>
      </c>
      <c r="W50" s="18"/>
      <c r="X50" s="18"/>
      <c r="Y50" s="18"/>
      <c r="Z50" s="18"/>
      <c r="AA50" s="18"/>
      <c r="AB50" s="18"/>
    </row>
    <row r="51" spans="1:28" ht="29.25" customHeight="1">
      <c r="A51" s="20">
        <v>1285</v>
      </c>
      <c r="B51" s="21" t="s">
        <v>123</v>
      </c>
      <c r="C51" s="23" t="s">
        <v>116</v>
      </c>
      <c r="D51" s="23" t="s">
        <v>49</v>
      </c>
      <c r="E51" s="23" t="s">
        <v>80</v>
      </c>
      <c r="F51" s="22"/>
      <c r="G51" s="24">
        <v>46110.511111111096</v>
      </c>
      <c r="H51" s="23" t="s">
        <v>27</v>
      </c>
      <c r="I51" s="31">
        <v>46111.406944444498</v>
      </c>
      <c r="J51" s="23" t="s">
        <v>72</v>
      </c>
      <c r="K51" s="20"/>
      <c r="L51" s="20"/>
      <c r="M51" s="26"/>
      <c r="N51" s="26"/>
      <c r="O51" s="36">
        <v>290</v>
      </c>
      <c r="P51" s="22"/>
      <c r="Q51" s="23" t="s">
        <v>124</v>
      </c>
      <c r="R51" s="22"/>
      <c r="S51" s="26"/>
      <c r="T51" s="22"/>
      <c r="U51" s="37">
        <v>46111.765972222202</v>
      </c>
      <c r="V51" s="37">
        <v>46112.339583333298</v>
      </c>
      <c r="W51" s="18"/>
      <c r="X51" s="18"/>
      <c r="Y51" s="18"/>
      <c r="Z51" s="18"/>
      <c r="AA51" s="18"/>
      <c r="AB51" s="18"/>
    </row>
    <row r="52" spans="1:28" ht="29.25" customHeight="1">
      <c r="A52" s="20">
        <v>1282</v>
      </c>
      <c r="B52" s="27" t="s">
        <v>125</v>
      </c>
      <c r="C52" s="23" t="s">
        <v>116</v>
      </c>
      <c r="D52" s="23" t="s">
        <v>49</v>
      </c>
      <c r="E52" s="23" t="s">
        <v>30</v>
      </c>
      <c r="F52" s="22"/>
      <c r="G52" s="24">
        <v>46102.763888888898</v>
      </c>
      <c r="H52" s="23" t="s">
        <v>27</v>
      </c>
      <c r="I52" s="31">
        <v>46104.440972222197</v>
      </c>
      <c r="J52" s="23" t="s">
        <v>72</v>
      </c>
      <c r="K52" s="20"/>
      <c r="L52" s="20"/>
      <c r="M52" s="26"/>
      <c r="N52" s="26"/>
      <c r="O52" s="26"/>
      <c r="P52" s="22"/>
      <c r="Q52" s="23" t="s">
        <v>124</v>
      </c>
      <c r="R52" s="22"/>
      <c r="S52" s="26"/>
      <c r="T52" s="22"/>
      <c r="U52" s="37">
        <v>46107.462500000001</v>
      </c>
      <c r="V52" s="37">
        <v>46107.662499999999</v>
      </c>
      <c r="W52" s="18"/>
      <c r="X52" s="18"/>
      <c r="Y52" s="18"/>
      <c r="Z52" s="18"/>
      <c r="AA52" s="18"/>
      <c r="AB52" s="18"/>
    </row>
    <row r="53" spans="1:28" ht="29.25" customHeight="1">
      <c r="A53" s="20">
        <v>1281</v>
      </c>
      <c r="B53" s="27" t="s">
        <v>126</v>
      </c>
      <c r="C53" s="23" t="s">
        <v>116</v>
      </c>
      <c r="D53" s="23" t="s">
        <v>49</v>
      </c>
      <c r="E53" s="23" t="s">
        <v>30</v>
      </c>
      <c r="F53" s="22"/>
      <c r="G53" s="24">
        <v>46102.672916666699</v>
      </c>
      <c r="H53" s="23" t="s">
        <v>27</v>
      </c>
      <c r="I53" s="31">
        <v>46104.440972222197</v>
      </c>
      <c r="J53" s="23" t="s">
        <v>72</v>
      </c>
      <c r="K53" s="20"/>
      <c r="L53" s="20"/>
      <c r="M53" s="26"/>
      <c r="N53" s="26"/>
      <c r="O53" s="26"/>
      <c r="P53" s="22"/>
      <c r="Q53" s="23" t="s">
        <v>124</v>
      </c>
      <c r="R53" s="22"/>
      <c r="S53" s="26"/>
      <c r="T53" s="22"/>
      <c r="U53" s="37">
        <v>46107.463194444397</v>
      </c>
      <c r="V53" s="37">
        <v>46107.663194444503</v>
      </c>
      <c r="W53" s="18"/>
      <c r="X53" s="18"/>
      <c r="Y53" s="18"/>
      <c r="Z53" s="18"/>
      <c r="AA53" s="18"/>
      <c r="AB53" s="18"/>
    </row>
    <row r="54" spans="1:28" ht="29.25" customHeight="1">
      <c r="A54" s="20">
        <v>1279</v>
      </c>
      <c r="B54" s="27" t="s">
        <v>127</v>
      </c>
      <c r="C54" s="23" t="s">
        <v>116</v>
      </c>
      <c r="D54" s="23" t="s">
        <v>49</v>
      </c>
      <c r="E54" s="23" t="s">
        <v>25</v>
      </c>
      <c r="F54" s="22"/>
      <c r="G54" s="24">
        <v>46099.559027777803</v>
      </c>
      <c r="H54" s="23" t="s">
        <v>27</v>
      </c>
      <c r="I54" s="31">
        <v>46099.649305555598</v>
      </c>
      <c r="J54" s="23" t="s">
        <v>72</v>
      </c>
      <c r="K54" s="20"/>
      <c r="L54" s="20"/>
      <c r="M54" s="26"/>
      <c r="N54" s="26"/>
      <c r="O54" s="26"/>
      <c r="P54" s="22"/>
      <c r="Q54" s="23" t="s">
        <v>124</v>
      </c>
      <c r="R54" s="22"/>
      <c r="S54" s="26"/>
      <c r="T54" s="22"/>
      <c r="U54" s="37">
        <v>46107.463194444397</v>
      </c>
      <c r="V54" s="37">
        <v>46107.668055555601</v>
      </c>
      <c r="W54" s="18"/>
      <c r="X54" s="18"/>
      <c r="Y54" s="18"/>
      <c r="Z54" s="18"/>
      <c r="AA54" s="18"/>
      <c r="AB54" s="18"/>
    </row>
    <row r="55" spans="1:28" ht="39" customHeight="1">
      <c r="A55" s="20">
        <v>1274</v>
      </c>
      <c r="B55" s="27" t="s">
        <v>128</v>
      </c>
      <c r="C55" s="23" t="s">
        <v>116</v>
      </c>
      <c r="D55" s="23" t="s">
        <v>49</v>
      </c>
      <c r="E55" s="23" t="s">
        <v>25</v>
      </c>
      <c r="F55" s="22"/>
      <c r="G55" s="24">
        <v>46095.523611111101</v>
      </c>
      <c r="H55" s="23" t="s">
        <v>27</v>
      </c>
      <c r="I55" s="31">
        <v>46097.770833333299</v>
      </c>
      <c r="J55" s="23" t="s">
        <v>72</v>
      </c>
      <c r="K55" s="20"/>
      <c r="L55" s="20"/>
      <c r="M55" s="26"/>
      <c r="N55" s="26"/>
      <c r="O55" s="26"/>
      <c r="P55" s="22"/>
      <c r="Q55" s="23" t="s">
        <v>124</v>
      </c>
      <c r="R55" s="22"/>
      <c r="S55" s="26"/>
      <c r="T55" s="22"/>
      <c r="U55" s="37">
        <v>46107.463888888902</v>
      </c>
      <c r="V55" s="37">
        <v>46107.668749999997</v>
      </c>
      <c r="W55" s="18"/>
      <c r="X55" s="18"/>
      <c r="Y55" s="18"/>
      <c r="Z55" s="18"/>
      <c r="AA55" s="18"/>
      <c r="AB55" s="18"/>
    </row>
    <row r="56" spans="1:28" ht="39" customHeight="1">
      <c r="A56" s="20">
        <v>1273</v>
      </c>
      <c r="B56" s="21" t="s">
        <v>129</v>
      </c>
      <c r="C56" s="23" t="s">
        <v>116</v>
      </c>
      <c r="D56" s="23" t="s">
        <v>49</v>
      </c>
      <c r="E56" s="23" t="s">
        <v>94</v>
      </c>
      <c r="F56" s="22"/>
      <c r="G56" s="24">
        <v>46095.492361111101</v>
      </c>
      <c r="H56" s="23" t="s">
        <v>27</v>
      </c>
      <c r="I56" s="31">
        <v>46097.770833333299</v>
      </c>
      <c r="J56" s="23" t="s">
        <v>72</v>
      </c>
      <c r="K56" s="20"/>
      <c r="L56" s="20"/>
      <c r="M56" s="26"/>
      <c r="N56" s="26"/>
      <c r="O56" s="26"/>
      <c r="P56" s="22"/>
      <c r="Q56" s="23" t="s">
        <v>124</v>
      </c>
      <c r="R56" s="22"/>
      <c r="S56" s="26"/>
      <c r="T56" s="22"/>
      <c r="U56" s="37">
        <v>46107.463888888902</v>
      </c>
      <c r="V56" s="37">
        <v>46107.668749999997</v>
      </c>
      <c r="W56" s="18"/>
      <c r="X56" s="18"/>
      <c r="Y56" s="18"/>
      <c r="Z56" s="18"/>
      <c r="AA56" s="18"/>
      <c r="AB56" s="18"/>
    </row>
    <row r="57" spans="1:28" ht="19.5" customHeight="1">
      <c r="A57" s="20">
        <v>1272</v>
      </c>
      <c r="B57" s="27" t="s">
        <v>130</v>
      </c>
      <c r="C57" s="23" t="s">
        <v>116</v>
      </c>
      <c r="D57" s="23" t="s">
        <v>49</v>
      </c>
      <c r="E57" s="23" t="s">
        <v>54</v>
      </c>
      <c r="F57" s="22"/>
      <c r="G57" s="24">
        <v>46093.859722222202</v>
      </c>
      <c r="H57" s="23" t="s">
        <v>27</v>
      </c>
      <c r="I57" s="31">
        <v>46098.557638888902</v>
      </c>
      <c r="J57" s="23" t="s">
        <v>72</v>
      </c>
      <c r="K57" s="20"/>
      <c r="L57" s="20"/>
      <c r="M57" s="26"/>
      <c r="N57" s="26"/>
      <c r="O57" s="26"/>
      <c r="P57" s="22"/>
      <c r="Q57" s="23" t="s">
        <v>124</v>
      </c>
      <c r="R57" s="22"/>
      <c r="S57" s="26"/>
      <c r="T57" s="22"/>
      <c r="U57" s="37">
        <v>46107.463888888902</v>
      </c>
      <c r="V57" s="37">
        <v>46107.668749999997</v>
      </c>
      <c r="W57" s="18"/>
      <c r="X57" s="18"/>
      <c r="Y57" s="18"/>
      <c r="Z57" s="18"/>
      <c r="AA57" s="18"/>
      <c r="AB57" s="18"/>
    </row>
    <row r="58" spans="1:28" ht="39" customHeight="1">
      <c r="A58" s="20">
        <v>1265</v>
      </c>
      <c r="B58" s="21" t="s">
        <v>131</v>
      </c>
      <c r="C58" s="23" t="s">
        <v>116</v>
      </c>
      <c r="D58" s="23" t="s">
        <v>49</v>
      </c>
      <c r="E58" s="23" t="s">
        <v>30</v>
      </c>
      <c r="F58" s="22" t="s">
        <v>50</v>
      </c>
      <c r="G58" s="24">
        <v>46090.429861111101</v>
      </c>
      <c r="H58" s="23" t="s">
        <v>27</v>
      </c>
      <c r="I58" s="31">
        <v>46092.707638888904</v>
      </c>
      <c r="J58" s="23" t="s">
        <v>72</v>
      </c>
      <c r="K58" s="20"/>
      <c r="L58" s="20"/>
      <c r="M58" s="26"/>
      <c r="N58" s="26"/>
      <c r="O58" s="26"/>
      <c r="P58" s="22"/>
      <c r="Q58" s="23" t="s">
        <v>124</v>
      </c>
      <c r="R58" s="22"/>
      <c r="S58" s="26"/>
      <c r="T58" s="22"/>
      <c r="U58" s="37">
        <v>46092.857638888898</v>
      </c>
      <c r="V58" s="37">
        <v>46095.340972222199</v>
      </c>
      <c r="W58" s="18"/>
      <c r="X58" s="18"/>
      <c r="Y58" s="18"/>
      <c r="Z58" s="18"/>
      <c r="AA58" s="18"/>
      <c r="AB58" s="18"/>
    </row>
    <row r="59" spans="1:28" ht="29.25" customHeight="1">
      <c r="A59" s="20">
        <v>1264</v>
      </c>
      <c r="B59" s="21" t="s">
        <v>132</v>
      </c>
      <c r="C59" s="23" t="s">
        <v>116</v>
      </c>
      <c r="D59" s="23" t="s">
        <v>49</v>
      </c>
      <c r="E59" s="23" t="s">
        <v>80</v>
      </c>
      <c r="F59" s="22" t="s">
        <v>46</v>
      </c>
      <c r="G59" s="24">
        <v>46089.440972222197</v>
      </c>
      <c r="H59" s="23" t="s">
        <v>27</v>
      </c>
      <c r="I59" s="31">
        <v>46089.719444444498</v>
      </c>
      <c r="J59" s="23" t="s">
        <v>72</v>
      </c>
      <c r="K59" s="20"/>
      <c r="L59" s="20"/>
      <c r="M59" s="26"/>
      <c r="N59" s="26"/>
      <c r="O59" s="36">
        <v>142</v>
      </c>
      <c r="P59" s="22"/>
      <c r="Q59" s="23" t="s">
        <v>124</v>
      </c>
      <c r="R59" s="22"/>
      <c r="S59" s="26"/>
      <c r="T59" s="22"/>
      <c r="U59" s="37">
        <v>46091.652777777803</v>
      </c>
      <c r="V59" s="37">
        <v>46092.369444444397</v>
      </c>
      <c r="W59" s="18"/>
      <c r="X59" s="18"/>
      <c r="Y59" s="18"/>
      <c r="Z59" s="18"/>
      <c r="AA59" s="18"/>
      <c r="AB59" s="18"/>
    </row>
    <row r="60" spans="1:28" ht="39" customHeight="1">
      <c r="A60" s="20">
        <v>1263</v>
      </c>
      <c r="B60" s="27" t="s">
        <v>133</v>
      </c>
      <c r="C60" s="23" t="s">
        <v>116</v>
      </c>
      <c r="D60" s="23" t="s">
        <v>134</v>
      </c>
      <c r="E60" s="23" t="s">
        <v>80</v>
      </c>
      <c r="F60" s="22" t="s">
        <v>46</v>
      </c>
      <c r="G60" s="24">
        <v>46087.507638888899</v>
      </c>
      <c r="H60" s="23" t="s">
        <v>27</v>
      </c>
      <c r="I60" s="31">
        <v>46104.404166666704</v>
      </c>
      <c r="J60" s="23" t="s">
        <v>72</v>
      </c>
      <c r="K60" s="20"/>
      <c r="L60" s="20"/>
      <c r="M60" s="26"/>
      <c r="N60" s="26"/>
      <c r="O60" s="36">
        <v>3024</v>
      </c>
      <c r="P60" s="22"/>
      <c r="Q60" s="23" t="s">
        <v>124</v>
      </c>
      <c r="R60" s="22"/>
      <c r="S60" s="26"/>
      <c r="T60" s="22"/>
      <c r="U60" s="37">
        <v>46107.464583333298</v>
      </c>
      <c r="V60" s="37">
        <v>46107.668749999997</v>
      </c>
      <c r="W60" s="18"/>
      <c r="X60" s="18"/>
      <c r="Y60" s="18"/>
      <c r="Z60" s="18"/>
      <c r="AA60" s="18"/>
      <c r="AB60" s="18"/>
    </row>
    <row r="61" spans="1:28" ht="19.5" customHeight="1">
      <c r="A61" s="20">
        <v>1262</v>
      </c>
      <c r="B61" s="21" t="s">
        <v>135</v>
      </c>
      <c r="C61" s="23" t="s">
        <v>116</v>
      </c>
      <c r="D61" s="23" t="s">
        <v>49</v>
      </c>
      <c r="E61" s="23" t="s">
        <v>136</v>
      </c>
      <c r="F61" s="22"/>
      <c r="G61" s="24">
        <v>46087.451388888898</v>
      </c>
      <c r="H61" s="23" t="s">
        <v>27</v>
      </c>
      <c r="I61" s="31">
        <v>46087.694444444503</v>
      </c>
      <c r="J61" s="23" t="s">
        <v>72</v>
      </c>
      <c r="K61" s="20"/>
      <c r="L61" s="20"/>
      <c r="M61" s="26"/>
      <c r="N61" s="26"/>
      <c r="O61" s="26"/>
      <c r="P61" s="22"/>
      <c r="Q61" s="23" t="s">
        <v>124</v>
      </c>
      <c r="R61" s="22"/>
      <c r="S61" s="26"/>
      <c r="T61" s="22"/>
      <c r="U61" s="37">
        <v>46087.745138888902</v>
      </c>
      <c r="V61" s="37">
        <v>46090.482638888898</v>
      </c>
      <c r="W61" s="18"/>
      <c r="X61" s="18"/>
      <c r="Y61" s="18"/>
      <c r="Z61" s="18"/>
      <c r="AA61" s="18"/>
      <c r="AB61" s="18"/>
    </row>
    <row r="62" spans="1:28" ht="19.5" customHeight="1">
      <c r="A62" s="20">
        <v>1261</v>
      </c>
      <c r="B62" s="21" t="s">
        <v>137</v>
      </c>
      <c r="C62" s="23" t="s">
        <v>116</v>
      </c>
      <c r="D62" s="23" t="s">
        <v>49</v>
      </c>
      <c r="E62" s="23" t="s">
        <v>30</v>
      </c>
      <c r="F62" s="22"/>
      <c r="G62" s="24">
        <v>46086.864583333299</v>
      </c>
      <c r="H62" s="23" t="s">
        <v>27</v>
      </c>
      <c r="I62" s="31">
        <v>46087.410416666702</v>
      </c>
      <c r="J62" s="23" t="s">
        <v>72</v>
      </c>
      <c r="K62" s="20"/>
      <c r="L62" s="20"/>
      <c r="M62" s="26"/>
      <c r="N62" s="26"/>
      <c r="O62" s="26"/>
      <c r="P62" s="22"/>
      <c r="Q62" s="23" t="s">
        <v>124</v>
      </c>
      <c r="R62" s="22"/>
      <c r="S62" s="26"/>
      <c r="T62" s="22"/>
      <c r="U62" s="37">
        <v>46087.745138888902</v>
      </c>
      <c r="V62" s="37">
        <v>46090.482638888898</v>
      </c>
      <c r="W62" s="18"/>
      <c r="X62" s="18"/>
      <c r="Y62" s="18"/>
      <c r="Z62" s="18"/>
      <c r="AA62" s="18"/>
      <c r="AB62" s="18"/>
    </row>
    <row r="63" spans="1:28" ht="29.25" customHeight="1">
      <c r="A63" s="20">
        <v>1260</v>
      </c>
      <c r="B63" s="21" t="s">
        <v>138</v>
      </c>
      <c r="C63" s="23" t="s">
        <v>116</v>
      </c>
      <c r="D63" s="23" t="s">
        <v>49</v>
      </c>
      <c r="E63" s="23" t="s">
        <v>139</v>
      </c>
      <c r="F63" s="22"/>
      <c r="G63" s="24">
        <v>46086.538888888899</v>
      </c>
      <c r="H63" s="23" t="s">
        <v>27</v>
      </c>
      <c r="I63" s="31">
        <v>46093.654861111099</v>
      </c>
      <c r="J63" s="23" t="s">
        <v>72</v>
      </c>
      <c r="K63" s="20"/>
      <c r="L63" s="20"/>
      <c r="M63" s="26"/>
      <c r="N63" s="36">
        <v>3308</v>
      </c>
      <c r="O63" s="26"/>
      <c r="P63" s="22"/>
      <c r="Q63" s="23" t="s">
        <v>124</v>
      </c>
      <c r="R63" s="22"/>
      <c r="S63" s="26"/>
      <c r="T63" s="22"/>
      <c r="U63" s="37">
        <v>46107.465277777803</v>
      </c>
      <c r="V63" s="37">
        <v>46114.343055555597</v>
      </c>
      <c r="W63" s="18"/>
      <c r="X63" s="18"/>
      <c r="Y63" s="18"/>
      <c r="Z63" s="18"/>
      <c r="AA63" s="18"/>
      <c r="AB63" s="18"/>
    </row>
    <row r="64" spans="1:28" ht="19.5" customHeight="1">
      <c r="A64" s="20">
        <v>1259</v>
      </c>
      <c r="B64" s="21" t="s">
        <v>137</v>
      </c>
      <c r="C64" s="23" t="s">
        <v>116</v>
      </c>
      <c r="D64" s="23" t="s">
        <v>49</v>
      </c>
      <c r="E64" s="23" t="s">
        <v>30</v>
      </c>
      <c r="F64" s="22" t="s">
        <v>26</v>
      </c>
      <c r="G64" s="24">
        <v>46085.8659722222</v>
      </c>
      <c r="H64" s="23" t="s">
        <v>27</v>
      </c>
      <c r="I64" s="31">
        <v>46087.354861111096</v>
      </c>
      <c r="J64" s="23" t="s">
        <v>72</v>
      </c>
      <c r="K64" s="20"/>
      <c r="L64" s="20"/>
      <c r="M64" s="26"/>
      <c r="N64" s="26"/>
      <c r="O64" s="26"/>
      <c r="P64" s="22"/>
      <c r="Q64" s="23" t="s">
        <v>124</v>
      </c>
      <c r="R64" s="22"/>
      <c r="S64" s="26"/>
      <c r="T64" s="22"/>
      <c r="U64" s="37">
        <v>46087.745833333298</v>
      </c>
      <c r="V64" s="37">
        <v>46090.482638888898</v>
      </c>
      <c r="W64" s="18"/>
      <c r="X64" s="18"/>
      <c r="Y64" s="18"/>
      <c r="Z64" s="18"/>
      <c r="AA64" s="18"/>
      <c r="AB64" s="18"/>
    </row>
    <row r="65" spans="1:28" ht="77.25" customHeight="1">
      <c r="A65" s="20">
        <v>1257</v>
      </c>
      <c r="B65" s="27" t="s">
        <v>140</v>
      </c>
      <c r="C65" s="23" t="s">
        <v>116</v>
      </c>
      <c r="D65" s="23" t="s">
        <v>141</v>
      </c>
      <c r="E65" s="23" t="s">
        <v>139</v>
      </c>
      <c r="F65" s="22" t="s">
        <v>46</v>
      </c>
      <c r="G65" s="24">
        <v>46085.744444444397</v>
      </c>
      <c r="H65" s="23" t="s">
        <v>27</v>
      </c>
      <c r="I65" s="31">
        <v>46091.623611111099</v>
      </c>
      <c r="J65" s="23" t="s">
        <v>72</v>
      </c>
      <c r="K65" s="20"/>
      <c r="L65" s="20"/>
      <c r="M65" s="26"/>
      <c r="N65" s="36">
        <v>7497</v>
      </c>
      <c r="O65" s="26"/>
      <c r="P65" s="22"/>
      <c r="Q65" s="23" t="s">
        <v>124</v>
      </c>
      <c r="R65" s="22"/>
      <c r="S65" s="26"/>
      <c r="T65" s="22"/>
      <c r="U65" s="37">
        <v>46099.505555555603</v>
      </c>
      <c r="V65" s="37">
        <v>46106.715972222199</v>
      </c>
      <c r="W65" s="18"/>
      <c r="X65" s="18"/>
      <c r="Y65" s="18"/>
      <c r="Z65" s="18"/>
      <c r="AA65" s="18"/>
      <c r="AB65" s="18"/>
    </row>
    <row r="66" spans="1:28" ht="48" customHeight="1">
      <c r="A66" s="20">
        <v>1256</v>
      </c>
      <c r="B66" s="27" t="s">
        <v>142</v>
      </c>
      <c r="C66" s="23" t="s">
        <v>116</v>
      </c>
      <c r="D66" s="23" t="s">
        <v>141</v>
      </c>
      <c r="E66" s="23" t="s">
        <v>139</v>
      </c>
      <c r="F66" s="22" t="s">
        <v>46</v>
      </c>
      <c r="G66" s="24">
        <v>46085.739583333299</v>
      </c>
      <c r="H66" s="23" t="s">
        <v>27</v>
      </c>
      <c r="I66" s="25"/>
      <c r="J66" s="23" t="s">
        <v>72</v>
      </c>
      <c r="K66" s="20"/>
      <c r="L66" s="20"/>
      <c r="M66" s="26"/>
      <c r="N66" s="36">
        <v>45675</v>
      </c>
      <c r="O66" s="26"/>
      <c r="P66" s="22"/>
      <c r="Q66" s="23" t="s">
        <v>124</v>
      </c>
      <c r="R66" s="22"/>
      <c r="S66" s="26"/>
      <c r="T66" s="22"/>
      <c r="U66" s="37">
        <v>46093.675000000003</v>
      </c>
      <c r="V66" s="37">
        <v>46097.333333333299</v>
      </c>
      <c r="W66" s="18"/>
      <c r="X66" s="18"/>
      <c r="Y66" s="18"/>
      <c r="Z66" s="18"/>
      <c r="AA66" s="18"/>
      <c r="AB66" s="18"/>
    </row>
    <row r="67" spans="1:28" ht="39" customHeight="1">
      <c r="A67" s="20">
        <v>1255</v>
      </c>
      <c r="B67" s="27" t="s">
        <v>143</v>
      </c>
      <c r="C67" s="23" t="s">
        <v>116</v>
      </c>
      <c r="D67" s="23" t="s">
        <v>49</v>
      </c>
      <c r="E67" s="23" t="s">
        <v>144</v>
      </c>
      <c r="F67" s="22"/>
      <c r="G67" s="24">
        <v>46085.654861111099</v>
      </c>
      <c r="H67" s="23" t="s">
        <v>27</v>
      </c>
      <c r="I67" s="31">
        <v>46087.355555555601</v>
      </c>
      <c r="J67" s="23" t="s">
        <v>72</v>
      </c>
      <c r="K67" s="20"/>
      <c r="L67" s="20"/>
      <c r="M67" s="26"/>
      <c r="N67" s="26"/>
      <c r="O67" s="26"/>
      <c r="P67" s="22"/>
      <c r="Q67" s="23" t="s">
        <v>124</v>
      </c>
      <c r="R67" s="22"/>
      <c r="S67" s="26"/>
      <c r="T67" s="22"/>
      <c r="U67" s="37">
        <v>46087.745833333298</v>
      </c>
      <c r="V67" s="37">
        <v>46090.483333333301</v>
      </c>
      <c r="W67" s="18"/>
      <c r="X67" s="18"/>
      <c r="Y67" s="18"/>
      <c r="Z67" s="18"/>
      <c r="AA67" s="18"/>
      <c r="AB67" s="18"/>
    </row>
    <row r="68" spans="1:28" ht="39" customHeight="1">
      <c r="A68" s="20">
        <v>1253</v>
      </c>
      <c r="B68" s="21" t="s">
        <v>145</v>
      </c>
      <c r="C68" s="23" t="s">
        <v>116</v>
      </c>
      <c r="D68" s="23" t="s">
        <v>24</v>
      </c>
      <c r="E68" s="23" t="s">
        <v>139</v>
      </c>
      <c r="F68" s="22" t="s">
        <v>46</v>
      </c>
      <c r="G68" s="24">
        <v>46084.534027777801</v>
      </c>
      <c r="H68" s="23" t="s">
        <v>27</v>
      </c>
      <c r="I68" s="31">
        <v>46087.411111111098</v>
      </c>
      <c r="J68" s="23" t="s">
        <v>72</v>
      </c>
      <c r="K68" s="20"/>
      <c r="L68" s="20"/>
      <c r="M68" s="26"/>
      <c r="N68" s="26"/>
      <c r="O68" s="36">
        <v>137</v>
      </c>
      <c r="P68" s="22"/>
      <c r="Q68" s="23" t="s">
        <v>124</v>
      </c>
      <c r="R68" s="22"/>
      <c r="S68" s="26"/>
      <c r="T68" s="22"/>
      <c r="U68" s="37">
        <v>46087.745833333298</v>
      </c>
      <c r="V68" s="37">
        <v>46090.483333333301</v>
      </c>
      <c r="W68" s="18"/>
      <c r="X68" s="18"/>
      <c r="Y68" s="18"/>
      <c r="Z68" s="18"/>
      <c r="AA68" s="18"/>
      <c r="AB68" s="18"/>
    </row>
    <row r="69" spans="1:28" ht="29.25" customHeight="1">
      <c r="A69" s="20">
        <v>1252</v>
      </c>
      <c r="B69" s="27" t="s">
        <v>146</v>
      </c>
      <c r="C69" s="23" t="s">
        <v>116</v>
      </c>
      <c r="D69" s="23" t="s">
        <v>49</v>
      </c>
      <c r="E69" s="23" t="s">
        <v>66</v>
      </c>
      <c r="F69" s="22"/>
      <c r="G69" s="24">
        <v>46082.806250000001</v>
      </c>
      <c r="H69" s="23" t="s">
        <v>27</v>
      </c>
      <c r="I69" s="31">
        <v>46084.483333333301</v>
      </c>
      <c r="J69" s="23" t="s">
        <v>72</v>
      </c>
      <c r="K69" s="20"/>
      <c r="L69" s="20"/>
      <c r="M69" s="26"/>
      <c r="N69" s="26"/>
      <c r="O69" s="26"/>
      <c r="P69" s="22"/>
      <c r="Q69" s="23" t="s">
        <v>124</v>
      </c>
      <c r="R69" s="22"/>
      <c r="S69" s="26"/>
      <c r="T69" s="22"/>
      <c r="U69" s="37">
        <v>46084.813888888901</v>
      </c>
      <c r="V69" s="37">
        <v>46086.341666666704</v>
      </c>
      <c r="W69" s="18"/>
      <c r="X69" s="18"/>
      <c r="Y69" s="18"/>
      <c r="Z69" s="18"/>
      <c r="AA69" s="18"/>
      <c r="AB69" s="18"/>
    </row>
    <row r="70" spans="1:28" ht="39" customHeight="1">
      <c r="A70" s="20">
        <v>1251</v>
      </c>
      <c r="B70" s="21" t="s">
        <v>147</v>
      </c>
      <c r="C70" s="23" t="s">
        <v>116</v>
      </c>
      <c r="D70" s="23" t="s">
        <v>49</v>
      </c>
      <c r="E70" s="23" t="s">
        <v>144</v>
      </c>
      <c r="F70" s="22"/>
      <c r="G70" s="24">
        <v>46082.730555555601</v>
      </c>
      <c r="H70" s="23" t="s">
        <v>27</v>
      </c>
      <c r="I70" s="31">
        <v>46087.411805555603</v>
      </c>
      <c r="J70" s="23" t="s">
        <v>72</v>
      </c>
      <c r="K70" s="20"/>
      <c r="L70" s="20"/>
      <c r="M70" s="26"/>
      <c r="N70" s="26"/>
      <c r="O70" s="26"/>
      <c r="P70" s="22"/>
      <c r="Q70" s="23" t="s">
        <v>124</v>
      </c>
      <c r="R70" s="22"/>
      <c r="S70" s="26"/>
      <c r="T70" s="22"/>
      <c r="U70" s="37">
        <v>46087.746527777803</v>
      </c>
      <c r="V70" s="37">
        <v>46090.484027777798</v>
      </c>
      <c r="W70" s="18"/>
      <c r="X70" s="18"/>
      <c r="Y70" s="18"/>
      <c r="Z70" s="18"/>
      <c r="AA70" s="18"/>
      <c r="AB70" s="18"/>
    </row>
    <row r="71" spans="1:28" ht="39" customHeight="1">
      <c r="A71" s="20">
        <v>1250</v>
      </c>
      <c r="B71" s="21" t="s">
        <v>148</v>
      </c>
      <c r="C71" s="23" t="s">
        <v>116</v>
      </c>
      <c r="D71" s="23" t="s">
        <v>24</v>
      </c>
      <c r="E71" s="23" t="s">
        <v>94</v>
      </c>
      <c r="F71" s="22" t="s">
        <v>46</v>
      </c>
      <c r="G71" s="24">
        <v>46080.947916666701</v>
      </c>
      <c r="H71" s="23" t="s">
        <v>27</v>
      </c>
      <c r="I71" s="31">
        <v>46086.399305555598</v>
      </c>
      <c r="J71" s="23" t="s">
        <v>72</v>
      </c>
      <c r="K71" s="20"/>
      <c r="L71" s="20"/>
      <c r="M71" s="26"/>
      <c r="N71" s="26"/>
      <c r="O71" s="36">
        <v>279</v>
      </c>
      <c r="P71" s="22"/>
      <c r="Q71" s="23" t="s">
        <v>124</v>
      </c>
      <c r="R71" s="22"/>
      <c r="S71" s="26"/>
      <c r="T71" s="22"/>
      <c r="U71" s="37">
        <v>46087.746527777803</v>
      </c>
      <c r="V71" s="37">
        <v>46090.484027777798</v>
      </c>
      <c r="W71" s="18"/>
      <c r="X71" s="18"/>
      <c r="Y71" s="18"/>
      <c r="Z71" s="18"/>
      <c r="AA71" s="18"/>
      <c r="AB71" s="18"/>
    </row>
    <row r="72" spans="1:28" ht="19.5" customHeight="1">
      <c r="A72" s="20">
        <v>1249</v>
      </c>
      <c r="B72" s="21" t="s">
        <v>149</v>
      </c>
      <c r="C72" s="23" t="s">
        <v>116</v>
      </c>
      <c r="D72" s="23" t="s">
        <v>49</v>
      </c>
      <c r="E72" s="23" t="s">
        <v>71</v>
      </c>
      <c r="F72" s="22"/>
      <c r="G72" s="24">
        <v>46079.775000000001</v>
      </c>
      <c r="H72" s="23" t="s">
        <v>27</v>
      </c>
      <c r="I72" s="31">
        <v>46084.484027777798</v>
      </c>
      <c r="J72" s="23" t="s">
        <v>72</v>
      </c>
      <c r="K72" s="20"/>
      <c r="L72" s="20"/>
      <c r="M72" s="26"/>
      <c r="N72" s="26"/>
      <c r="O72" s="26"/>
      <c r="P72" s="22"/>
      <c r="Q72" s="23" t="s">
        <v>124</v>
      </c>
      <c r="R72" s="22"/>
      <c r="S72" s="26"/>
      <c r="T72" s="22"/>
      <c r="U72" s="37">
        <v>46084.813888888901</v>
      </c>
      <c r="V72" s="37">
        <v>46086.353472222203</v>
      </c>
      <c r="W72" s="18"/>
      <c r="X72" s="18"/>
      <c r="Y72" s="18"/>
      <c r="Z72" s="18"/>
      <c r="AA72" s="18"/>
      <c r="AB72" s="18"/>
    </row>
    <row r="73" spans="1:28" ht="29.25" customHeight="1">
      <c r="A73" s="20">
        <v>1248</v>
      </c>
      <c r="B73" s="21" t="s">
        <v>150</v>
      </c>
      <c r="C73" s="23" t="s">
        <v>116</v>
      </c>
      <c r="D73" s="23" t="s">
        <v>33</v>
      </c>
      <c r="E73" s="23" t="s">
        <v>151</v>
      </c>
      <c r="F73" s="22" t="s">
        <v>46</v>
      </c>
      <c r="G73" s="24">
        <v>46079.556944444397</v>
      </c>
      <c r="H73" s="23" t="s">
        <v>27</v>
      </c>
      <c r="I73" s="31">
        <v>46081.6118055556</v>
      </c>
      <c r="J73" s="23" t="s">
        <v>72</v>
      </c>
      <c r="K73" s="20"/>
      <c r="L73" s="20"/>
      <c r="M73" s="26"/>
      <c r="N73" s="26"/>
      <c r="O73" s="26"/>
      <c r="P73" s="22"/>
      <c r="Q73" s="23" t="s">
        <v>124</v>
      </c>
      <c r="R73" s="22"/>
      <c r="S73" s="26"/>
      <c r="T73" s="22"/>
      <c r="U73" s="37">
        <v>46084.813888888901</v>
      </c>
      <c r="V73" s="37">
        <v>46086.341666666704</v>
      </c>
      <c r="W73" s="18"/>
      <c r="X73" s="18"/>
      <c r="Y73" s="18"/>
      <c r="Z73" s="18"/>
      <c r="AA73" s="18"/>
      <c r="AB73" s="18"/>
    </row>
    <row r="74" spans="1:28" ht="29.25" customHeight="1">
      <c r="A74" s="20">
        <v>1247</v>
      </c>
      <c r="B74" s="21" t="s">
        <v>152</v>
      </c>
      <c r="C74" s="23" t="s">
        <v>116</v>
      </c>
      <c r="D74" s="23" t="s">
        <v>33</v>
      </c>
      <c r="E74" s="23" t="s">
        <v>153</v>
      </c>
      <c r="F74" s="22" t="s">
        <v>26</v>
      </c>
      <c r="G74" s="24">
        <v>46079.474999999999</v>
      </c>
      <c r="H74" s="23" t="s">
        <v>27</v>
      </c>
      <c r="I74" s="31">
        <v>46081.612500000003</v>
      </c>
      <c r="J74" s="23" t="s">
        <v>72</v>
      </c>
      <c r="K74" s="20"/>
      <c r="L74" s="20"/>
      <c r="M74" s="26"/>
      <c r="N74" s="26"/>
      <c r="O74" s="26"/>
      <c r="P74" s="22"/>
      <c r="Q74" s="23" t="s">
        <v>124</v>
      </c>
      <c r="R74" s="22"/>
      <c r="S74" s="26"/>
      <c r="T74" s="22"/>
      <c r="U74" s="37">
        <v>46084.815277777801</v>
      </c>
      <c r="V74" s="37">
        <v>46086.342361111099</v>
      </c>
      <c r="W74" s="18"/>
      <c r="X74" s="18"/>
      <c r="Y74" s="18"/>
      <c r="Z74" s="18"/>
      <c r="AA74" s="18"/>
      <c r="AB74" s="18"/>
    </row>
    <row r="75" spans="1:28" ht="19.5" customHeight="1">
      <c r="A75" s="20">
        <v>1246</v>
      </c>
      <c r="B75" s="21" t="s">
        <v>154</v>
      </c>
      <c r="C75" s="23" t="s">
        <v>116</v>
      </c>
      <c r="D75" s="23" t="s">
        <v>33</v>
      </c>
      <c r="E75" s="23" t="s">
        <v>139</v>
      </c>
      <c r="F75" s="22" t="s">
        <v>50</v>
      </c>
      <c r="G75" s="24">
        <v>46079.411111111098</v>
      </c>
      <c r="H75" s="23" t="s">
        <v>27</v>
      </c>
      <c r="I75" s="31">
        <v>46081.610416666699</v>
      </c>
      <c r="J75" s="23" t="s">
        <v>72</v>
      </c>
      <c r="K75" s="20"/>
      <c r="L75" s="20"/>
      <c r="M75" s="26"/>
      <c r="N75" s="26"/>
      <c r="O75" s="26"/>
      <c r="P75" s="22"/>
      <c r="Q75" s="23" t="s">
        <v>124</v>
      </c>
      <c r="R75" s="22"/>
      <c r="S75" s="26"/>
      <c r="T75" s="22"/>
      <c r="U75" s="37">
        <v>46084.815277777801</v>
      </c>
      <c r="V75" s="37">
        <v>46086.342361111099</v>
      </c>
      <c r="W75" s="18"/>
      <c r="X75" s="18"/>
      <c r="Y75" s="18"/>
      <c r="Z75" s="18"/>
      <c r="AA75" s="18"/>
      <c r="AB75" s="18"/>
    </row>
    <row r="76" spans="1:28" ht="19.5" customHeight="1">
      <c r="A76" s="20">
        <v>1241</v>
      </c>
      <c r="B76" s="21" t="s">
        <v>155</v>
      </c>
      <c r="C76" s="23" t="s">
        <v>116</v>
      </c>
      <c r="D76" s="23" t="s">
        <v>49</v>
      </c>
      <c r="E76" s="22"/>
      <c r="F76" s="22" t="s">
        <v>38</v>
      </c>
      <c r="G76" s="24">
        <v>46075.855555555601</v>
      </c>
      <c r="H76" s="23" t="s">
        <v>27</v>
      </c>
      <c r="I76" s="31">
        <v>46081.613194444399</v>
      </c>
      <c r="J76" s="23" t="s">
        <v>72</v>
      </c>
      <c r="K76" s="20"/>
      <c r="L76" s="20"/>
      <c r="M76" s="26"/>
      <c r="N76" s="26"/>
      <c r="O76" s="26"/>
      <c r="P76" s="22"/>
      <c r="Q76" s="23" t="s">
        <v>124</v>
      </c>
      <c r="R76" s="22"/>
      <c r="S76" s="26"/>
      <c r="T76" s="22"/>
      <c r="U76" s="37">
        <v>46082.555555555598</v>
      </c>
      <c r="V76" s="37">
        <v>46086.343055555597</v>
      </c>
      <c r="W76" s="18"/>
      <c r="X76" s="18"/>
      <c r="Y76" s="18"/>
      <c r="Z76" s="18"/>
      <c r="AA76" s="18"/>
      <c r="AB76" s="18"/>
    </row>
    <row r="77" spans="1:28" ht="29.25" customHeight="1">
      <c r="A77" s="20">
        <v>1240</v>
      </c>
      <c r="B77" s="27" t="s">
        <v>156</v>
      </c>
      <c r="C77" s="23" t="s">
        <v>116</v>
      </c>
      <c r="D77" s="23" t="s">
        <v>49</v>
      </c>
      <c r="E77" s="22"/>
      <c r="F77" s="22"/>
      <c r="G77" s="24">
        <v>46069.576388888898</v>
      </c>
      <c r="H77" s="23" t="s">
        <v>27</v>
      </c>
      <c r="I77" s="31">
        <v>46083.768750000003</v>
      </c>
      <c r="J77" s="23" t="s">
        <v>72</v>
      </c>
      <c r="K77" s="20"/>
      <c r="L77" s="20"/>
      <c r="M77" s="26"/>
      <c r="N77" s="26"/>
      <c r="O77" s="26"/>
      <c r="P77" s="22"/>
      <c r="Q77" s="23" t="s">
        <v>124</v>
      </c>
      <c r="R77" s="22"/>
      <c r="S77" s="26"/>
      <c r="T77" s="22"/>
      <c r="U77" s="37">
        <v>46084.820138888899</v>
      </c>
      <c r="V77" s="37">
        <v>46086.343055555597</v>
      </c>
      <c r="W77" s="18"/>
      <c r="X77" s="18"/>
      <c r="Y77" s="18"/>
      <c r="Z77" s="18"/>
      <c r="AA77" s="18"/>
      <c r="AB77" s="18"/>
    </row>
    <row r="78" spans="1:28" ht="39" customHeight="1">
      <c r="A78" s="20">
        <v>20260400084</v>
      </c>
      <c r="B78" s="21" t="s">
        <v>157</v>
      </c>
      <c r="C78" s="23" t="s">
        <v>116</v>
      </c>
      <c r="D78" s="23" t="s">
        <v>24</v>
      </c>
      <c r="E78" s="23" t="s">
        <v>94</v>
      </c>
      <c r="F78" s="22" t="s">
        <v>50</v>
      </c>
      <c r="G78" s="24">
        <v>46068.870138888902</v>
      </c>
      <c r="H78" s="23" t="s">
        <v>27</v>
      </c>
      <c r="I78" s="31">
        <v>46075.394444444399</v>
      </c>
      <c r="J78" s="23" t="s">
        <v>72</v>
      </c>
      <c r="K78" s="20"/>
      <c r="L78" s="20"/>
      <c r="M78" s="26"/>
      <c r="N78" s="26"/>
      <c r="O78" s="26"/>
      <c r="P78" s="22"/>
      <c r="Q78" s="23" t="s">
        <v>124</v>
      </c>
      <c r="R78" s="22"/>
      <c r="S78" s="26"/>
      <c r="T78" s="22"/>
      <c r="U78" s="37">
        <v>46084.820833333302</v>
      </c>
      <c r="V78" s="37">
        <v>46086.343055555597</v>
      </c>
      <c r="W78" s="18"/>
      <c r="X78" s="18"/>
      <c r="Y78" s="18"/>
      <c r="Z78" s="18"/>
      <c r="AA78" s="18"/>
      <c r="AB78" s="18"/>
    </row>
    <row r="79" spans="1:28" ht="29.25" customHeight="1">
      <c r="A79" s="20">
        <v>1237</v>
      </c>
      <c r="B79" s="21" t="s">
        <v>158</v>
      </c>
      <c r="C79" s="23" t="s">
        <v>116</v>
      </c>
      <c r="D79" s="23" t="s">
        <v>33</v>
      </c>
      <c r="E79" s="23" t="s">
        <v>144</v>
      </c>
      <c r="F79" s="22" t="s">
        <v>26</v>
      </c>
      <c r="G79" s="24">
        <v>46066.6743055556</v>
      </c>
      <c r="H79" s="23" t="s">
        <v>27</v>
      </c>
      <c r="I79" s="31">
        <v>46081.613194444399</v>
      </c>
      <c r="J79" s="23" t="s">
        <v>72</v>
      </c>
      <c r="K79" s="20"/>
      <c r="L79" s="20"/>
      <c r="M79" s="26"/>
      <c r="N79" s="26"/>
      <c r="O79" s="26"/>
      <c r="P79" s="22"/>
      <c r="Q79" s="23" t="s">
        <v>124</v>
      </c>
      <c r="R79" s="22"/>
      <c r="S79" s="26"/>
      <c r="T79" s="22"/>
      <c r="U79" s="37">
        <v>46084.820833333302</v>
      </c>
      <c r="V79" s="37">
        <v>46087.351388888899</v>
      </c>
      <c r="W79" s="18"/>
      <c r="X79" s="18"/>
      <c r="Y79" s="18"/>
      <c r="Z79" s="18"/>
      <c r="AA79" s="18"/>
      <c r="AB79" s="18"/>
    </row>
    <row r="80" spans="1:28" ht="29.25" customHeight="1">
      <c r="A80" s="20">
        <v>1230</v>
      </c>
      <c r="B80" s="21" t="s">
        <v>159</v>
      </c>
      <c r="C80" s="23" t="s">
        <v>116</v>
      </c>
      <c r="D80" s="23" t="s">
        <v>49</v>
      </c>
      <c r="E80" s="23" t="s">
        <v>139</v>
      </c>
      <c r="F80" s="22" t="s">
        <v>46</v>
      </c>
      <c r="G80" s="24">
        <v>46062.465277777803</v>
      </c>
      <c r="H80" s="23" t="s">
        <v>27</v>
      </c>
      <c r="I80" s="31">
        <v>46150.592361111099</v>
      </c>
      <c r="J80" s="23" t="s">
        <v>72</v>
      </c>
      <c r="K80" s="20">
        <v>88.13</v>
      </c>
      <c r="L80" s="20">
        <v>2115.04</v>
      </c>
      <c r="M80" s="26">
        <v>0</v>
      </c>
      <c r="N80" s="26"/>
      <c r="O80" s="26"/>
      <c r="P80" s="22"/>
      <c r="Q80" s="23" t="s">
        <v>124</v>
      </c>
      <c r="R80" s="22"/>
      <c r="S80" s="26"/>
      <c r="T80" s="22"/>
      <c r="U80" s="37">
        <v>46084.8215277778</v>
      </c>
      <c r="V80" s="37">
        <v>46086.34375</v>
      </c>
      <c r="W80" s="18"/>
      <c r="X80" s="18"/>
      <c r="Y80" s="18"/>
      <c r="Z80" s="18"/>
      <c r="AA80" s="18"/>
      <c r="AB80" s="18"/>
    </row>
    <row r="81" spans="1:28" ht="19.5" customHeight="1">
      <c r="A81" s="20">
        <v>1228</v>
      </c>
      <c r="B81" s="21" t="s">
        <v>160</v>
      </c>
      <c r="C81" s="23" t="s">
        <v>116</v>
      </c>
      <c r="D81" s="23" t="s">
        <v>49</v>
      </c>
      <c r="E81" s="23" t="s">
        <v>161</v>
      </c>
      <c r="F81" s="22" t="s">
        <v>162</v>
      </c>
      <c r="G81" s="24">
        <v>46059.892361111102</v>
      </c>
      <c r="H81" s="23" t="s">
        <v>27</v>
      </c>
      <c r="I81" s="31">
        <v>46075.395833333299</v>
      </c>
      <c r="J81" s="23" t="s">
        <v>72</v>
      </c>
      <c r="K81" s="20"/>
      <c r="L81" s="20"/>
      <c r="M81" s="26"/>
      <c r="N81" s="26"/>
      <c r="O81" s="26"/>
      <c r="P81" s="22"/>
      <c r="Q81" s="23" t="s">
        <v>124</v>
      </c>
      <c r="R81" s="22"/>
      <c r="S81" s="26"/>
      <c r="T81" s="22"/>
      <c r="U81" s="37">
        <v>46084.8215277778</v>
      </c>
      <c r="V81" s="37">
        <v>46086.344444444498</v>
      </c>
      <c r="W81" s="18"/>
      <c r="X81" s="18"/>
      <c r="Y81" s="18"/>
      <c r="Z81" s="18"/>
      <c r="AA81" s="18"/>
      <c r="AB81" s="18"/>
    </row>
    <row r="82" spans="1:28" ht="39" customHeight="1">
      <c r="A82" s="20">
        <v>1227</v>
      </c>
      <c r="B82" s="21" t="s">
        <v>163</v>
      </c>
      <c r="C82" s="23" t="s">
        <v>116</v>
      </c>
      <c r="D82" s="23" t="s">
        <v>164</v>
      </c>
      <c r="E82" s="23" t="s">
        <v>144</v>
      </c>
      <c r="F82" s="22" t="s">
        <v>55</v>
      </c>
      <c r="G82" s="24">
        <v>46059.586805555598</v>
      </c>
      <c r="H82" s="23" t="s">
        <v>27</v>
      </c>
      <c r="I82" s="31">
        <v>46084.5131944444</v>
      </c>
      <c r="J82" s="23" t="s">
        <v>72</v>
      </c>
      <c r="K82" s="20"/>
      <c r="L82" s="20"/>
      <c r="M82" s="26"/>
      <c r="N82" s="26"/>
      <c r="O82" s="36">
        <v>156</v>
      </c>
      <c r="P82" s="22"/>
      <c r="Q82" s="23" t="s">
        <v>124</v>
      </c>
      <c r="R82" s="22"/>
      <c r="S82" s="26"/>
      <c r="T82" s="22"/>
      <c r="U82" s="37">
        <v>46084.822222222203</v>
      </c>
      <c r="V82" s="37">
        <v>46086.344444444498</v>
      </c>
      <c r="W82" s="18"/>
      <c r="X82" s="18"/>
      <c r="Y82" s="18"/>
      <c r="Z82" s="18"/>
      <c r="AA82" s="18"/>
      <c r="AB82" s="18"/>
    </row>
    <row r="83" spans="1:28" ht="29.25" customHeight="1">
      <c r="A83" s="20">
        <v>1224</v>
      </c>
      <c r="B83" s="27" t="s">
        <v>165</v>
      </c>
      <c r="C83" s="23" t="s">
        <v>116</v>
      </c>
      <c r="D83" s="23" t="s">
        <v>134</v>
      </c>
      <c r="E83" s="23" t="s">
        <v>80</v>
      </c>
      <c r="F83" s="22" t="s">
        <v>46</v>
      </c>
      <c r="G83" s="24">
        <v>46058.704861111102</v>
      </c>
      <c r="H83" s="23" t="s">
        <v>27</v>
      </c>
      <c r="I83" s="31">
        <v>46104.6430555556</v>
      </c>
      <c r="J83" s="23" t="s">
        <v>72</v>
      </c>
      <c r="K83" s="20"/>
      <c r="L83" s="20"/>
      <c r="M83" s="26"/>
      <c r="N83" s="26"/>
      <c r="O83" s="36">
        <v>20790</v>
      </c>
      <c r="P83" s="22"/>
      <c r="Q83" s="23" t="s">
        <v>124</v>
      </c>
      <c r="R83" s="22"/>
      <c r="S83" s="26"/>
      <c r="T83" s="22"/>
      <c r="U83" s="37">
        <v>46107.465972222199</v>
      </c>
      <c r="V83" s="37">
        <v>46107.670138888898</v>
      </c>
      <c r="W83" s="18"/>
      <c r="X83" s="18"/>
      <c r="Y83" s="18"/>
      <c r="Z83" s="18"/>
      <c r="AA83" s="18"/>
      <c r="AB83" s="18"/>
    </row>
    <row r="84" spans="1:28" ht="29.25" customHeight="1">
      <c r="A84" s="20">
        <v>1208</v>
      </c>
      <c r="B84" s="27" t="s">
        <v>166</v>
      </c>
      <c r="C84" s="23" t="s">
        <v>116</v>
      </c>
      <c r="D84" s="23" t="s">
        <v>134</v>
      </c>
      <c r="E84" s="23" t="s">
        <v>167</v>
      </c>
      <c r="F84" s="22" t="s">
        <v>90</v>
      </c>
      <c r="G84" s="24">
        <v>46045.526388888902</v>
      </c>
      <c r="H84" s="23" t="s">
        <v>27</v>
      </c>
      <c r="I84" s="31">
        <v>46086.398611111101</v>
      </c>
      <c r="J84" s="23" t="s">
        <v>72</v>
      </c>
      <c r="K84" s="20"/>
      <c r="L84" s="20"/>
      <c r="M84" s="26"/>
      <c r="N84" s="26"/>
      <c r="O84" s="26"/>
      <c r="P84" s="22"/>
      <c r="Q84" s="23" t="s">
        <v>124</v>
      </c>
      <c r="R84" s="22"/>
      <c r="S84" s="26"/>
      <c r="T84" s="22"/>
      <c r="U84" s="37">
        <v>46087.746527777803</v>
      </c>
      <c r="V84" s="37">
        <v>46090.484027777798</v>
      </c>
      <c r="W84" s="18"/>
      <c r="X84" s="18"/>
      <c r="Y84" s="18"/>
      <c r="Z84" s="18"/>
      <c r="AA84" s="18"/>
      <c r="AB84" s="18"/>
    </row>
    <row r="85" spans="1:28" ht="39" customHeight="1">
      <c r="A85" s="20">
        <v>1206</v>
      </c>
      <c r="B85" s="21" t="s">
        <v>168</v>
      </c>
      <c r="C85" s="23" t="s">
        <v>116</v>
      </c>
      <c r="D85" s="23" t="s">
        <v>37</v>
      </c>
      <c r="E85" s="23" t="s">
        <v>139</v>
      </c>
      <c r="F85" s="22" t="s">
        <v>169</v>
      </c>
      <c r="G85" s="24">
        <v>46044.877083333296</v>
      </c>
      <c r="H85" s="23" t="s">
        <v>27</v>
      </c>
      <c r="I85" s="31">
        <v>46086.395833333299</v>
      </c>
      <c r="J85" s="23" t="s">
        <v>72</v>
      </c>
      <c r="K85" s="20"/>
      <c r="L85" s="20"/>
      <c r="M85" s="26"/>
      <c r="N85" s="36">
        <v>140333</v>
      </c>
      <c r="O85" s="26"/>
      <c r="P85" s="22"/>
      <c r="Q85" s="23" t="s">
        <v>124</v>
      </c>
      <c r="R85" s="22"/>
      <c r="S85" s="26"/>
      <c r="T85" s="22"/>
      <c r="U85" s="37">
        <v>46087.747222222199</v>
      </c>
      <c r="V85" s="37">
        <v>46090.501388888901</v>
      </c>
      <c r="W85" s="18"/>
      <c r="X85" s="18"/>
      <c r="Y85" s="18"/>
      <c r="Z85" s="18"/>
      <c r="AA85" s="18"/>
      <c r="AB85" s="18"/>
    </row>
    <row r="86" spans="1:28" ht="19.5" customHeight="1">
      <c r="A86" s="20">
        <v>1180</v>
      </c>
      <c r="B86" s="27" t="s">
        <v>170</v>
      </c>
      <c r="C86" s="23" t="s">
        <v>116</v>
      </c>
      <c r="D86" s="23" t="s">
        <v>49</v>
      </c>
      <c r="E86" s="22"/>
      <c r="F86" s="22"/>
      <c r="G86" s="24">
        <v>46024.677777777797</v>
      </c>
      <c r="H86" s="23" t="s">
        <v>27</v>
      </c>
      <c r="I86" s="31">
        <v>46030.695833333302</v>
      </c>
      <c r="J86" s="23" t="s">
        <v>72</v>
      </c>
      <c r="K86" s="20"/>
      <c r="L86" s="20"/>
      <c r="M86" s="26"/>
      <c r="N86" s="26"/>
      <c r="O86" s="26"/>
      <c r="P86" s="22"/>
      <c r="Q86" s="23" t="s">
        <v>124</v>
      </c>
      <c r="R86" s="22"/>
      <c r="S86" s="26"/>
      <c r="T86" s="22"/>
      <c r="U86" s="37">
        <v>46085.754861111098</v>
      </c>
      <c r="V86" s="37">
        <v>46086.345138888901</v>
      </c>
      <c r="W86" s="18"/>
      <c r="X86" s="18"/>
      <c r="Y86" s="18"/>
      <c r="Z86" s="18"/>
      <c r="AA86" s="18"/>
      <c r="AB86" s="18"/>
    </row>
    <row r="87" spans="1:28" ht="48" customHeight="1">
      <c r="A87" s="20">
        <v>1142</v>
      </c>
      <c r="B87" s="21" t="s">
        <v>171</v>
      </c>
      <c r="C87" s="23" t="s">
        <v>116</v>
      </c>
      <c r="D87" s="23" t="s">
        <v>37</v>
      </c>
      <c r="E87" s="22"/>
      <c r="F87" s="22" t="s">
        <v>46</v>
      </c>
      <c r="G87" s="24">
        <v>45993.697222222203</v>
      </c>
      <c r="H87" s="23" t="s">
        <v>27</v>
      </c>
      <c r="I87" s="31">
        <v>46047.682638888902</v>
      </c>
      <c r="J87" s="23" t="s">
        <v>72</v>
      </c>
      <c r="K87" s="20"/>
      <c r="L87" s="20"/>
      <c r="M87" s="26"/>
      <c r="N87" s="26"/>
      <c r="O87" s="26"/>
      <c r="P87" s="22"/>
      <c r="Q87" s="23" t="s">
        <v>124</v>
      </c>
      <c r="R87" s="22"/>
      <c r="S87" s="26"/>
      <c r="T87" s="22" t="s">
        <v>172</v>
      </c>
      <c r="U87" s="37">
        <v>46085.752083333296</v>
      </c>
      <c r="V87" s="37">
        <v>46086.345138888901</v>
      </c>
      <c r="W87" s="18"/>
      <c r="X87" s="18"/>
      <c r="Y87" s="18"/>
      <c r="Z87" s="18"/>
      <c r="AA87" s="18"/>
      <c r="AB87" s="18"/>
    </row>
    <row r="88" spans="1:28" ht="19.5" customHeight="1">
      <c r="A88" s="20">
        <v>1100</v>
      </c>
      <c r="B88" s="27" t="s">
        <v>173</v>
      </c>
      <c r="C88" s="23" t="s">
        <v>116</v>
      </c>
      <c r="D88" s="23" t="s">
        <v>49</v>
      </c>
      <c r="E88" s="22"/>
      <c r="F88" s="22"/>
      <c r="G88" s="24">
        <v>45959.6652777778</v>
      </c>
      <c r="H88" s="23" t="s">
        <v>27</v>
      </c>
      <c r="I88" s="31">
        <v>46029.530555555597</v>
      </c>
      <c r="J88" s="23" t="s">
        <v>72</v>
      </c>
      <c r="K88" s="20"/>
      <c r="L88" s="20"/>
      <c r="M88" s="26"/>
      <c r="N88" s="36">
        <v>12600</v>
      </c>
      <c r="O88" s="26"/>
      <c r="P88" s="22"/>
      <c r="Q88" s="23" t="s">
        <v>124</v>
      </c>
      <c r="R88" s="22"/>
      <c r="S88" s="26"/>
      <c r="T88" s="22"/>
      <c r="U88" s="37">
        <v>46085.754166666702</v>
      </c>
      <c r="V88" s="37">
        <v>46086.345833333296</v>
      </c>
      <c r="W88" s="18"/>
      <c r="X88" s="18"/>
      <c r="Y88" s="18"/>
      <c r="Z88" s="18"/>
      <c r="AA88" s="18"/>
      <c r="AB88" s="18"/>
    </row>
    <row r="89" spans="1:28" ht="19.5" customHeight="1">
      <c r="A89" s="20">
        <v>1047</v>
      </c>
      <c r="B89" s="21" t="s">
        <v>174</v>
      </c>
      <c r="C89" s="23" t="s">
        <v>116</v>
      </c>
      <c r="D89" s="23" t="s">
        <v>175</v>
      </c>
      <c r="E89" s="23" t="s">
        <v>83</v>
      </c>
      <c r="F89" s="22" t="s">
        <v>55</v>
      </c>
      <c r="G89" s="24">
        <v>45908.6430555556</v>
      </c>
      <c r="H89" s="23" t="s">
        <v>27</v>
      </c>
      <c r="I89" s="31">
        <v>46084.515277777798</v>
      </c>
      <c r="J89" s="23" t="s">
        <v>72</v>
      </c>
      <c r="K89" s="20"/>
      <c r="L89" s="20"/>
      <c r="M89" s="26"/>
      <c r="N89" s="26"/>
      <c r="O89" s="26"/>
      <c r="P89" s="22"/>
      <c r="Q89" s="23" t="s">
        <v>124</v>
      </c>
      <c r="R89" s="22"/>
      <c r="S89" s="26"/>
      <c r="T89" s="22"/>
      <c r="U89" s="37">
        <v>46085.754166666702</v>
      </c>
      <c r="V89" s="37">
        <v>46086.346527777801</v>
      </c>
      <c r="W89" s="18"/>
      <c r="X89" s="18"/>
      <c r="Y89" s="18"/>
      <c r="Z89" s="18"/>
      <c r="AA89" s="18"/>
      <c r="AB89" s="18"/>
    </row>
    <row r="90" spans="1:28" ht="19.5" customHeight="1">
      <c r="A90" s="20" t="s">
        <v>176</v>
      </c>
      <c r="B90" s="21" t="s">
        <v>177</v>
      </c>
      <c r="C90" s="22"/>
      <c r="D90" s="23" t="s">
        <v>37</v>
      </c>
      <c r="E90" s="23" t="s">
        <v>66</v>
      </c>
      <c r="F90" s="22" t="s">
        <v>46</v>
      </c>
      <c r="G90" s="24">
        <v>46140.71875</v>
      </c>
      <c r="H90" s="23" t="s">
        <v>27</v>
      </c>
      <c r="I90" s="31">
        <v>46147.675694444399</v>
      </c>
      <c r="J90" s="32" t="s">
        <v>51</v>
      </c>
      <c r="K90" s="20">
        <v>6.96</v>
      </c>
      <c r="L90" s="20">
        <v>166.97</v>
      </c>
      <c r="M90" s="26">
        <v>0</v>
      </c>
      <c r="N90" s="26"/>
      <c r="O90" s="26"/>
      <c r="P90" s="22"/>
      <c r="Q90" s="22"/>
      <c r="R90" s="22"/>
      <c r="S90" s="26"/>
      <c r="T90" s="22"/>
      <c r="U90" s="22"/>
      <c r="V90" s="22"/>
      <c r="W90" s="18"/>
      <c r="X90" s="18"/>
      <c r="Y90" s="18"/>
      <c r="Z90" s="18"/>
      <c r="AA90" s="18"/>
      <c r="AB90" s="18"/>
    </row>
    <row r="91" spans="1:28" ht="29.25" customHeight="1">
      <c r="A91" s="20" t="s">
        <v>178</v>
      </c>
      <c r="B91" s="21" t="s">
        <v>179</v>
      </c>
      <c r="C91" s="23" t="s">
        <v>116</v>
      </c>
      <c r="D91" s="23" t="s">
        <v>49</v>
      </c>
      <c r="E91" s="23" t="s">
        <v>30</v>
      </c>
      <c r="F91" s="22" t="s">
        <v>50</v>
      </c>
      <c r="G91" s="24">
        <v>46139.730555555601</v>
      </c>
      <c r="H91" s="23" t="s">
        <v>27</v>
      </c>
      <c r="I91" s="31">
        <v>46141.377083333296</v>
      </c>
      <c r="J91" s="23" t="s">
        <v>72</v>
      </c>
      <c r="K91" s="20">
        <v>0.98</v>
      </c>
      <c r="L91" s="20">
        <v>23.53</v>
      </c>
      <c r="M91" s="26">
        <v>0.02</v>
      </c>
      <c r="N91" s="26"/>
      <c r="O91" s="26"/>
      <c r="P91" s="23" t="s">
        <v>37</v>
      </c>
      <c r="Q91" s="22"/>
      <c r="R91" s="22"/>
      <c r="S91" s="36">
        <v>0</v>
      </c>
      <c r="T91" s="22"/>
      <c r="U91" s="37">
        <v>46140.728472222203</v>
      </c>
      <c r="V91" s="37">
        <v>46141.377083333296</v>
      </c>
      <c r="W91" s="18"/>
      <c r="X91" s="18"/>
      <c r="Y91" s="18"/>
      <c r="Z91" s="18"/>
      <c r="AA91" s="18"/>
      <c r="AB91" s="18"/>
    </row>
    <row r="92" spans="1:28" ht="19.5" customHeight="1">
      <c r="A92" s="20" t="s">
        <v>180</v>
      </c>
      <c r="B92" s="21" t="s">
        <v>181</v>
      </c>
      <c r="C92" s="22"/>
      <c r="D92" s="23" t="s">
        <v>77</v>
      </c>
      <c r="E92" s="23" t="s">
        <v>144</v>
      </c>
      <c r="F92" s="22"/>
      <c r="G92" s="24">
        <v>46139.711111111101</v>
      </c>
      <c r="H92" s="23" t="s">
        <v>27</v>
      </c>
      <c r="I92" s="31">
        <v>46140.425694444399</v>
      </c>
      <c r="J92" s="23" t="s">
        <v>110</v>
      </c>
      <c r="K92" s="20">
        <v>0.71</v>
      </c>
      <c r="L92" s="20">
        <v>17.149999999999999</v>
      </c>
      <c r="M92" s="26">
        <v>0</v>
      </c>
      <c r="N92" s="26"/>
      <c r="O92" s="36">
        <v>2026</v>
      </c>
      <c r="P92" s="22"/>
      <c r="Q92" s="22"/>
      <c r="R92" s="22"/>
      <c r="S92" s="26"/>
      <c r="T92" s="22"/>
      <c r="U92" s="22"/>
      <c r="V92" s="22"/>
      <c r="W92" s="18"/>
      <c r="X92" s="18"/>
      <c r="Y92" s="18"/>
      <c r="Z92" s="18"/>
      <c r="AA92" s="18"/>
      <c r="AB92" s="18"/>
    </row>
    <row r="93" spans="1:28" ht="39" customHeight="1">
      <c r="A93" s="20">
        <v>20260400072</v>
      </c>
      <c r="B93" s="27" t="s">
        <v>182</v>
      </c>
      <c r="C93" s="23" t="s">
        <v>116</v>
      </c>
      <c r="D93" s="23" t="s">
        <v>49</v>
      </c>
      <c r="E93" s="23" t="s">
        <v>183</v>
      </c>
      <c r="F93" s="22" t="s">
        <v>46</v>
      </c>
      <c r="G93" s="24">
        <v>46137.511805555601</v>
      </c>
      <c r="H93" s="23" t="s">
        <v>27</v>
      </c>
      <c r="I93" s="31">
        <v>46139.579861111102</v>
      </c>
      <c r="J93" s="32" t="s">
        <v>51</v>
      </c>
      <c r="K93" s="20">
        <v>2.0699999999999998</v>
      </c>
      <c r="L93" s="20">
        <v>49.63</v>
      </c>
      <c r="M93" s="26">
        <v>0.2</v>
      </c>
      <c r="N93" s="26"/>
      <c r="O93" s="26"/>
      <c r="P93" s="22"/>
      <c r="Q93" s="22"/>
      <c r="R93" s="22"/>
      <c r="S93" s="26"/>
      <c r="T93" s="22"/>
      <c r="U93" s="22"/>
      <c r="V93" s="37">
        <v>46139.498611111099</v>
      </c>
      <c r="W93" s="18"/>
      <c r="X93" s="18"/>
      <c r="Y93" s="18"/>
      <c r="Z93" s="18"/>
      <c r="AA93" s="18"/>
      <c r="AB93" s="18"/>
    </row>
    <row r="94" spans="1:28" ht="15" customHeight="1">
      <c r="A94" s="20" t="s">
        <v>184</v>
      </c>
      <c r="B94" s="21" t="s">
        <v>185</v>
      </c>
      <c r="C94" s="23" t="s">
        <v>116</v>
      </c>
      <c r="D94" s="23" t="s">
        <v>49</v>
      </c>
      <c r="E94" s="23" t="s">
        <v>54</v>
      </c>
      <c r="F94" s="22" t="s">
        <v>38</v>
      </c>
      <c r="G94" s="24">
        <v>46137.640277777798</v>
      </c>
      <c r="H94" s="23" t="s">
        <v>27</v>
      </c>
      <c r="I94" s="31">
        <v>46140.729166666701</v>
      </c>
      <c r="J94" s="23" t="s">
        <v>72</v>
      </c>
      <c r="K94" s="20">
        <v>1.86</v>
      </c>
      <c r="L94" s="20">
        <v>44.72</v>
      </c>
      <c r="M94" s="26">
        <v>0</v>
      </c>
      <c r="N94" s="26"/>
      <c r="O94" s="26"/>
      <c r="P94" s="23" t="s">
        <v>37</v>
      </c>
      <c r="Q94" s="22"/>
      <c r="R94" s="22"/>
      <c r="S94" s="36">
        <v>0</v>
      </c>
      <c r="T94" s="22"/>
      <c r="U94" s="37">
        <v>46140.729166666701</v>
      </c>
      <c r="V94" s="37">
        <v>46139.503472222197</v>
      </c>
      <c r="W94" s="18"/>
      <c r="X94" s="18"/>
      <c r="Y94" s="18"/>
      <c r="Z94" s="18"/>
      <c r="AA94" s="18"/>
      <c r="AB94" s="18"/>
    </row>
    <row r="95" spans="1:28" ht="19.5" customHeight="1">
      <c r="A95" s="20" t="s">
        <v>186</v>
      </c>
      <c r="B95" s="27" t="s">
        <v>187</v>
      </c>
      <c r="C95" s="23" t="s">
        <v>116</v>
      </c>
      <c r="D95" s="23" t="s">
        <v>49</v>
      </c>
      <c r="E95" s="23" t="s">
        <v>183</v>
      </c>
      <c r="F95" s="22" t="s">
        <v>46</v>
      </c>
      <c r="G95" s="24">
        <v>46137.511805555601</v>
      </c>
      <c r="H95" s="23" t="s">
        <v>27</v>
      </c>
      <c r="I95" s="31">
        <v>46140.724305555603</v>
      </c>
      <c r="J95" s="23" t="s">
        <v>72</v>
      </c>
      <c r="K95" s="20">
        <v>2.1</v>
      </c>
      <c r="L95" s="20">
        <v>50.38</v>
      </c>
      <c r="M95" s="26">
        <v>0</v>
      </c>
      <c r="N95" s="26"/>
      <c r="O95" s="26"/>
      <c r="P95" s="23" t="s">
        <v>37</v>
      </c>
      <c r="Q95" s="22"/>
      <c r="R95" s="22"/>
      <c r="S95" s="36">
        <v>0</v>
      </c>
      <c r="T95" s="22"/>
      <c r="U95" s="37">
        <v>46140.724305555603</v>
      </c>
      <c r="V95" s="37">
        <v>46139.498611111099</v>
      </c>
      <c r="W95" s="18"/>
      <c r="X95" s="18"/>
      <c r="Y95" s="18"/>
      <c r="Z95" s="18"/>
      <c r="AA95" s="18"/>
      <c r="AB95" s="18"/>
    </row>
    <row r="96" spans="1:28" ht="29.25" customHeight="1">
      <c r="A96" s="20" t="s">
        <v>188</v>
      </c>
      <c r="B96" s="27" t="s">
        <v>189</v>
      </c>
      <c r="C96" s="23" t="s">
        <v>116</v>
      </c>
      <c r="D96" s="23" t="s">
        <v>49</v>
      </c>
      <c r="E96" s="23" t="s">
        <v>190</v>
      </c>
      <c r="F96" s="22" t="s">
        <v>90</v>
      </c>
      <c r="G96" s="24">
        <v>46137.471527777801</v>
      </c>
      <c r="H96" s="23" t="s">
        <v>27</v>
      </c>
      <c r="I96" s="31">
        <v>46140.724999999999</v>
      </c>
      <c r="J96" s="23" t="s">
        <v>72</v>
      </c>
      <c r="K96" s="20">
        <v>2.04</v>
      </c>
      <c r="L96" s="20">
        <v>48.97</v>
      </c>
      <c r="M96" s="26">
        <v>0</v>
      </c>
      <c r="N96" s="26"/>
      <c r="O96" s="26"/>
      <c r="P96" s="23" t="s">
        <v>37</v>
      </c>
      <c r="Q96" s="22"/>
      <c r="R96" s="22"/>
      <c r="S96" s="36">
        <v>0</v>
      </c>
      <c r="T96" s="22"/>
      <c r="U96" s="37">
        <v>46140.724999999999</v>
      </c>
      <c r="V96" s="37">
        <v>46139.511805555601</v>
      </c>
      <c r="W96" s="18"/>
      <c r="X96" s="18"/>
      <c r="Y96" s="18"/>
      <c r="Z96" s="18"/>
      <c r="AA96" s="18"/>
      <c r="AB96" s="18"/>
    </row>
    <row r="97" spans="1:28" ht="19.5" customHeight="1">
      <c r="A97" s="20" t="s">
        <v>191</v>
      </c>
      <c r="B97" s="27" t="s">
        <v>192</v>
      </c>
      <c r="C97" s="23" t="s">
        <v>116</v>
      </c>
      <c r="D97" s="23" t="s">
        <v>49</v>
      </c>
      <c r="E97" s="23" t="s">
        <v>94</v>
      </c>
      <c r="F97" s="22" t="s">
        <v>46</v>
      </c>
      <c r="G97" s="24">
        <v>46137.4555555556</v>
      </c>
      <c r="H97" s="23" t="s">
        <v>27</v>
      </c>
      <c r="I97" s="31">
        <v>46140.725694444503</v>
      </c>
      <c r="J97" s="23" t="s">
        <v>72</v>
      </c>
      <c r="K97" s="20">
        <v>2.04</v>
      </c>
      <c r="L97" s="20">
        <v>49.02</v>
      </c>
      <c r="M97" s="26">
        <v>0</v>
      </c>
      <c r="N97" s="26"/>
      <c r="O97" s="36">
        <v>137</v>
      </c>
      <c r="P97" s="23" t="s">
        <v>37</v>
      </c>
      <c r="Q97" s="22"/>
      <c r="R97" s="22"/>
      <c r="S97" s="36">
        <v>137</v>
      </c>
      <c r="T97" s="22"/>
      <c r="U97" s="37">
        <v>46140.725694444503</v>
      </c>
      <c r="V97" s="37">
        <v>46139.497916666704</v>
      </c>
      <c r="W97" s="18"/>
      <c r="X97" s="18"/>
      <c r="Y97" s="18"/>
      <c r="Z97" s="18"/>
      <c r="AA97" s="18"/>
      <c r="AB97" s="18"/>
    </row>
    <row r="98" spans="1:28" ht="57.75" customHeight="1">
      <c r="A98" s="20" t="s">
        <v>193</v>
      </c>
      <c r="B98" s="21" t="s">
        <v>194</v>
      </c>
      <c r="C98" s="23" t="s">
        <v>116</v>
      </c>
      <c r="D98" s="23" t="s">
        <v>24</v>
      </c>
      <c r="E98" s="23" t="s">
        <v>54</v>
      </c>
      <c r="F98" s="22" t="s">
        <v>46</v>
      </c>
      <c r="G98" s="24">
        <v>46135.6965277778</v>
      </c>
      <c r="H98" s="23" t="s">
        <v>27</v>
      </c>
      <c r="I98" s="31">
        <v>46141.350694444503</v>
      </c>
      <c r="J98" s="23" t="s">
        <v>72</v>
      </c>
      <c r="K98" s="20">
        <v>0.65</v>
      </c>
      <c r="L98" s="20">
        <v>15.57</v>
      </c>
      <c r="M98" s="26">
        <v>0</v>
      </c>
      <c r="N98" s="26"/>
      <c r="O98" s="26"/>
      <c r="P98" s="23" t="s">
        <v>37</v>
      </c>
      <c r="Q98" s="22"/>
      <c r="R98" s="39" t="s">
        <v>195</v>
      </c>
      <c r="S98" s="36">
        <v>800</v>
      </c>
      <c r="T98" s="22"/>
      <c r="U98" s="22"/>
      <c r="V98" s="37">
        <v>46136.345138888901</v>
      </c>
      <c r="W98" s="18"/>
      <c r="X98" s="18"/>
      <c r="Y98" s="18"/>
      <c r="Z98" s="18"/>
      <c r="AA98" s="18"/>
      <c r="AB98" s="18"/>
    </row>
    <row r="99" spans="1:28" ht="15" customHeight="1">
      <c r="A99" s="14" t="s">
        <v>196</v>
      </c>
      <c r="B99" s="33" t="s">
        <v>197</v>
      </c>
      <c r="C99" s="13"/>
      <c r="D99" s="12" t="s">
        <v>24</v>
      </c>
      <c r="E99" s="12" t="s">
        <v>30</v>
      </c>
      <c r="F99" s="13" t="s">
        <v>90</v>
      </c>
      <c r="G99" s="11">
        <v>46135.595833333296</v>
      </c>
      <c r="H99" s="12" t="s">
        <v>27</v>
      </c>
      <c r="I99" s="6">
        <v>46135.703472222202</v>
      </c>
      <c r="J99" s="12" t="s">
        <v>110</v>
      </c>
      <c r="K99" s="14">
        <v>0.11</v>
      </c>
      <c r="L99" s="14">
        <v>2.58</v>
      </c>
      <c r="M99" s="9">
        <v>0</v>
      </c>
      <c r="N99" s="9"/>
      <c r="O99" s="9"/>
      <c r="P99" s="12" t="s">
        <v>198</v>
      </c>
      <c r="Q99" s="13"/>
      <c r="R99" s="13"/>
      <c r="S99" s="9"/>
      <c r="T99" s="13"/>
      <c r="U99" s="13"/>
      <c r="V99" s="13"/>
      <c r="W99" s="8"/>
      <c r="X99" s="7"/>
      <c r="Y99" s="7"/>
      <c r="Z99" s="7"/>
      <c r="AA99" s="7"/>
      <c r="AB99" s="7"/>
    </row>
    <row r="100" spans="1:28" ht="19.5" customHeight="1">
      <c r="A100" s="14"/>
      <c r="B100" s="30" t="s">
        <v>199</v>
      </c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8"/>
      <c r="X100" s="7"/>
      <c r="Y100" s="7"/>
      <c r="Z100" s="7"/>
      <c r="AA100" s="7"/>
      <c r="AB100" s="7"/>
    </row>
    <row r="101" spans="1:28" ht="39" customHeight="1">
      <c r="A101" s="20" t="s">
        <v>200</v>
      </c>
      <c r="B101" s="27" t="s">
        <v>201</v>
      </c>
      <c r="C101" s="22"/>
      <c r="D101" s="23" t="s">
        <v>37</v>
      </c>
      <c r="E101" s="23" t="s">
        <v>94</v>
      </c>
      <c r="F101" s="22" t="s">
        <v>46</v>
      </c>
      <c r="G101" s="24">
        <v>46135.596527777801</v>
      </c>
      <c r="H101" s="23" t="s">
        <v>27</v>
      </c>
      <c r="I101" s="31">
        <v>46150.452083333301</v>
      </c>
      <c r="J101" s="32" t="s">
        <v>51</v>
      </c>
      <c r="K101" s="20">
        <v>14.86</v>
      </c>
      <c r="L101" s="20">
        <v>356.53</v>
      </c>
      <c r="M101" s="26">
        <v>0</v>
      </c>
      <c r="N101" s="26"/>
      <c r="O101" s="26"/>
      <c r="P101" s="23" t="s">
        <v>198</v>
      </c>
      <c r="Q101" s="22"/>
      <c r="R101" s="22"/>
      <c r="S101" s="26"/>
      <c r="T101" s="22"/>
      <c r="U101" s="22"/>
      <c r="V101" s="22"/>
      <c r="W101" s="18"/>
      <c r="X101" s="18"/>
      <c r="Y101" s="18"/>
      <c r="Z101" s="18"/>
      <c r="AA101" s="18"/>
      <c r="AB101" s="18"/>
    </row>
    <row r="102" spans="1:28" ht="18.75" customHeight="1">
      <c r="A102" s="14">
        <v>1129</v>
      </c>
      <c r="B102" s="2" t="s">
        <v>202</v>
      </c>
      <c r="C102" s="12" t="s">
        <v>116</v>
      </c>
      <c r="D102" s="12" t="s">
        <v>33</v>
      </c>
      <c r="E102" s="12" t="s">
        <v>151</v>
      </c>
      <c r="F102" s="12"/>
      <c r="G102" s="11">
        <v>45986.6472222222</v>
      </c>
      <c r="H102" s="12" t="s">
        <v>27</v>
      </c>
      <c r="I102" s="6">
        <v>45990.828472222202</v>
      </c>
      <c r="J102" s="12" t="s">
        <v>72</v>
      </c>
      <c r="K102" s="14">
        <v>4.18</v>
      </c>
      <c r="L102" s="14">
        <v>100.34</v>
      </c>
      <c r="M102" s="9">
        <v>0</v>
      </c>
      <c r="N102" s="4">
        <v>69300</v>
      </c>
      <c r="O102" s="9"/>
      <c r="P102" s="12" t="s">
        <v>198</v>
      </c>
      <c r="Q102" s="12" t="s">
        <v>124</v>
      </c>
      <c r="R102" s="1" t="s">
        <v>203</v>
      </c>
      <c r="S102" s="4">
        <v>146193</v>
      </c>
      <c r="T102" s="40" t="s">
        <v>204</v>
      </c>
      <c r="U102" s="3">
        <v>45993.7</v>
      </c>
      <c r="V102" s="3">
        <v>45995.352083333302</v>
      </c>
      <c r="W102" s="8"/>
      <c r="X102" s="7"/>
      <c r="Y102" s="7"/>
      <c r="Z102" s="7"/>
      <c r="AA102" s="7"/>
      <c r="AB102" s="7"/>
    </row>
    <row r="103" spans="1:28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41" t="s">
        <v>205</v>
      </c>
      <c r="U103" s="3"/>
      <c r="V103" s="3"/>
      <c r="W103" s="8"/>
      <c r="X103" s="7"/>
      <c r="Y103" s="7"/>
      <c r="Z103" s="7"/>
      <c r="AA103" s="7"/>
      <c r="AB103" s="7"/>
    </row>
    <row r="104" spans="1:28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41" t="s">
        <v>206</v>
      </c>
      <c r="U104" s="3"/>
      <c r="V104" s="3"/>
      <c r="W104" s="8"/>
      <c r="X104" s="7"/>
      <c r="Y104" s="7"/>
      <c r="Z104" s="7"/>
      <c r="AA104" s="7"/>
      <c r="AB104" s="7"/>
    </row>
    <row r="105" spans="1:28" ht="18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42" t="s">
        <v>207</v>
      </c>
      <c r="U105" s="3"/>
      <c r="V105" s="3"/>
      <c r="W105" s="8"/>
      <c r="X105" s="7"/>
      <c r="Y105" s="7"/>
      <c r="Z105" s="7"/>
      <c r="AA105" s="7"/>
      <c r="AB105" s="7"/>
    </row>
    <row r="106" spans="1:28" ht="18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42" t="s">
        <v>208</v>
      </c>
      <c r="U106" s="3"/>
      <c r="V106" s="3"/>
      <c r="W106" s="8"/>
      <c r="X106" s="7"/>
      <c r="Y106" s="7"/>
      <c r="Z106" s="7"/>
      <c r="AA106" s="7"/>
      <c r="AB106" s="7"/>
    </row>
    <row r="107" spans="1:28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41" t="s">
        <v>209</v>
      </c>
      <c r="U107" s="3"/>
      <c r="V107" s="3"/>
      <c r="W107" s="8"/>
      <c r="X107" s="7"/>
      <c r="Y107" s="7"/>
      <c r="Z107" s="7"/>
      <c r="AA107" s="7"/>
      <c r="AB107" s="7"/>
    </row>
    <row r="108" spans="1:2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41" t="s">
        <v>210</v>
      </c>
      <c r="U108" s="3"/>
      <c r="V108" s="3"/>
      <c r="W108" s="8"/>
      <c r="X108" s="7"/>
      <c r="Y108" s="7"/>
      <c r="Z108" s="7"/>
      <c r="AA108" s="7"/>
      <c r="AB108" s="7"/>
    </row>
    <row r="109" spans="1:28" ht="18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42" t="s">
        <v>211</v>
      </c>
      <c r="U109" s="3"/>
      <c r="V109" s="3"/>
      <c r="W109" s="8"/>
      <c r="X109" s="7"/>
      <c r="Y109" s="7"/>
      <c r="Z109" s="7"/>
      <c r="AA109" s="7"/>
      <c r="AB109" s="7"/>
    </row>
    <row r="110" spans="1:28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41" t="s">
        <v>212</v>
      </c>
      <c r="U110" s="3"/>
      <c r="V110" s="3"/>
      <c r="W110" s="8"/>
      <c r="X110" s="7"/>
      <c r="Y110" s="7"/>
      <c r="Z110" s="7"/>
      <c r="AA110" s="7"/>
      <c r="AB110" s="7"/>
    </row>
    <row r="111" spans="1:28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42" t="s">
        <v>213</v>
      </c>
      <c r="U111" s="3"/>
      <c r="V111" s="3"/>
      <c r="W111" s="8"/>
      <c r="X111" s="7"/>
      <c r="Y111" s="7"/>
      <c r="Z111" s="7"/>
      <c r="AA111" s="7"/>
      <c r="AB111" s="7"/>
    </row>
    <row r="112" spans="1:28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41" t="s">
        <v>214</v>
      </c>
      <c r="U112" s="3"/>
      <c r="V112" s="3"/>
      <c r="W112" s="8"/>
      <c r="X112" s="7"/>
      <c r="Y112" s="7"/>
      <c r="Z112" s="7"/>
      <c r="AA112" s="7"/>
      <c r="AB112" s="7"/>
    </row>
    <row r="113" spans="1:28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42" t="s">
        <v>215</v>
      </c>
      <c r="U113" s="3"/>
      <c r="V113" s="3"/>
      <c r="W113" s="8"/>
      <c r="X113" s="7"/>
      <c r="Y113" s="7"/>
      <c r="Z113" s="7"/>
      <c r="AA113" s="7"/>
      <c r="AB113" s="7"/>
    </row>
    <row r="114" spans="1:28" ht="18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42" t="s">
        <v>216</v>
      </c>
      <c r="U114" s="3"/>
      <c r="V114" s="3"/>
      <c r="W114" s="8"/>
      <c r="X114" s="7"/>
      <c r="Y114" s="7"/>
      <c r="Z114" s="7"/>
      <c r="AA114" s="7"/>
      <c r="AB114" s="7"/>
    </row>
    <row r="115" spans="1:28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41" t="s">
        <v>217</v>
      </c>
      <c r="U115" s="3"/>
      <c r="V115" s="3"/>
      <c r="W115" s="8"/>
      <c r="X115" s="7"/>
      <c r="Y115" s="7"/>
      <c r="Z115" s="7"/>
      <c r="AA115" s="7"/>
      <c r="AB115" s="7"/>
    </row>
    <row r="116" spans="1:28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41" t="s">
        <v>218</v>
      </c>
      <c r="U116" s="3"/>
      <c r="V116" s="3"/>
      <c r="W116" s="8"/>
      <c r="X116" s="7"/>
      <c r="Y116" s="7"/>
      <c r="Z116" s="7"/>
      <c r="AA116" s="7"/>
      <c r="AB116" s="7"/>
    </row>
    <row r="117" spans="1:28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41" t="s">
        <v>219</v>
      </c>
      <c r="U117" s="3"/>
      <c r="V117" s="3"/>
      <c r="W117" s="8"/>
      <c r="X117" s="7"/>
      <c r="Y117" s="7"/>
      <c r="Z117" s="7"/>
      <c r="AA117" s="7"/>
      <c r="AB117" s="7"/>
    </row>
    <row r="118" spans="1:28" ht="18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42" t="s">
        <v>220</v>
      </c>
      <c r="U118" s="3"/>
      <c r="V118" s="3"/>
      <c r="W118" s="8"/>
      <c r="X118" s="7"/>
      <c r="Y118" s="7"/>
      <c r="Z118" s="7"/>
      <c r="AA118" s="7"/>
      <c r="AB118" s="7"/>
    </row>
    <row r="119" spans="1:28" ht="18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42" t="s">
        <v>221</v>
      </c>
      <c r="U119" s="3"/>
      <c r="V119" s="3"/>
      <c r="W119" s="8"/>
      <c r="X119" s="7"/>
      <c r="Y119" s="7"/>
      <c r="Z119" s="7"/>
      <c r="AA119" s="7"/>
      <c r="AB119" s="7"/>
    </row>
    <row r="120" spans="1:28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41" t="s">
        <v>222</v>
      </c>
      <c r="U120" s="3"/>
      <c r="V120" s="3"/>
      <c r="W120" s="8"/>
      <c r="X120" s="7"/>
      <c r="Y120" s="7"/>
      <c r="Z120" s="7"/>
      <c r="AA120" s="7"/>
      <c r="AB120" s="7"/>
    </row>
    <row r="121" spans="1:28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41" t="s">
        <v>223</v>
      </c>
      <c r="U121" s="3"/>
      <c r="V121" s="3"/>
      <c r="W121" s="8"/>
      <c r="X121" s="7"/>
      <c r="Y121" s="7"/>
      <c r="Z121" s="7"/>
      <c r="AA121" s="7"/>
      <c r="AB121" s="7"/>
    </row>
    <row r="122" spans="1:28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41" t="s">
        <v>224</v>
      </c>
      <c r="U122" s="3"/>
      <c r="V122" s="3"/>
      <c r="W122" s="8"/>
      <c r="X122" s="7"/>
      <c r="Y122" s="7"/>
      <c r="Z122" s="7"/>
      <c r="AA122" s="7"/>
      <c r="AB122" s="7"/>
    </row>
    <row r="123" spans="1:28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41" t="s">
        <v>225</v>
      </c>
      <c r="U123" s="3"/>
      <c r="V123" s="3"/>
      <c r="W123" s="8"/>
      <c r="X123" s="7"/>
      <c r="Y123" s="7"/>
      <c r="Z123" s="7"/>
      <c r="AA123" s="7"/>
      <c r="AB123" s="7"/>
    </row>
    <row r="124" spans="1:28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41" t="s">
        <v>226</v>
      </c>
      <c r="U124" s="3"/>
      <c r="V124" s="3"/>
      <c r="W124" s="8"/>
      <c r="X124" s="7"/>
      <c r="Y124" s="7"/>
      <c r="Z124" s="7"/>
      <c r="AA124" s="7"/>
      <c r="AB124" s="7"/>
    </row>
    <row r="125" spans="1:28" ht="1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43" t="s">
        <v>227</v>
      </c>
      <c r="U125" s="3"/>
      <c r="V125" s="3"/>
      <c r="W125" s="8"/>
      <c r="X125" s="7"/>
      <c r="Y125" s="7"/>
      <c r="Z125" s="7"/>
      <c r="AA125" s="7"/>
      <c r="AB125" s="7"/>
    </row>
    <row r="126" spans="1:28" ht="30" customHeight="1">
      <c r="A126" s="20">
        <v>1097</v>
      </c>
      <c r="B126" s="21" t="s">
        <v>228</v>
      </c>
      <c r="C126" s="23" t="s">
        <v>116</v>
      </c>
      <c r="D126" s="23" t="s">
        <v>24</v>
      </c>
      <c r="E126" s="23" t="s">
        <v>94</v>
      </c>
      <c r="F126" s="22" t="s">
        <v>26</v>
      </c>
      <c r="G126" s="24">
        <v>45951.660416666702</v>
      </c>
      <c r="H126" s="23" t="s">
        <v>27</v>
      </c>
      <c r="I126" s="31">
        <v>46002.552083333299</v>
      </c>
      <c r="J126" s="32" t="s">
        <v>51</v>
      </c>
      <c r="K126" s="20">
        <v>50.89</v>
      </c>
      <c r="L126" s="20">
        <v>1221.4100000000001</v>
      </c>
      <c r="M126" s="26">
        <v>0</v>
      </c>
      <c r="N126" s="36">
        <v>30000</v>
      </c>
      <c r="O126" s="26"/>
      <c r="P126" s="23" t="s">
        <v>198</v>
      </c>
      <c r="Q126" s="23" t="s">
        <v>124</v>
      </c>
      <c r="R126" s="44" t="s">
        <v>229</v>
      </c>
      <c r="S126" s="36">
        <v>50400</v>
      </c>
      <c r="T126" s="22"/>
      <c r="U126" s="22"/>
      <c r="V126" s="37">
        <v>46017.470833333296</v>
      </c>
      <c r="W126" s="18"/>
      <c r="X126" s="18"/>
      <c r="Y126" s="18"/>
      <c r="Z126" s="18"/>
      <c r="AA126" s="18"/>
      <c r="AB126" s="18"/>
    </row>
    <row r="127" spans="1:28" ht="48" customHeight="1">
      <c r="A127" s="20" t="s">
        <v>230</v>
      </c>
      <c r="B127" s="27" t="s">
        <v>231</v>
      </c>
      <c r="C127" s="22"/>
      <c r="D127" s="23" t="s">
        <v>141</v>
      </c>
      <c r="E127" s="23" t="s">
        <v>139</v>
      </c>
      <c r="F127" s="22" t="s">
        <v>46</v>
      </c>
      <c r="G127" s="24">
        <v>46134.438194444498</v>
      </c>
      <c r="H127" s="23" t="s">
        <v>27</v>
      </c>
      <c r="I127" s="31">
        <v>46150.4909722222</v>
      </c>
      <c r="J127" s="22"/>
      <c r="K127" s="20">
        <v>16.05</v>
      </c>
      <c r="L127" s="20">
        <v>385.27</v>
      </c>
      <c r="M127" s="26">
        <v>0</v>
      </c>
      <c r="N127" s="26"/>
      <c r="O127" s="26"/>
      <c r="P127" s="23" t="s">
        <v>198</v>
      </c>
      <c r="Q127" s="22"/>
      <c r="R127" s="22"/>
      <c r="S127" s="26"/>
      <c r="T127" s="22"/>
      <c r="U127" s="22"/>
      <c r="V127" s="22"/>
      <c r="W127" s="18"/>
      <c r="X127" s="18"/>
      <c r="Y127" s="18"/>
      <c r="Z127" s="18"/>
      <c r="AA127" s="18"/>
      <c r="AB127" s="18"/>
    </row>
    <row r="128" spans="1:28" ht="39" customHeight="1">
      <c r="A128" s="20" t="s">
        <v>232</v>
      </c>
      <c r="B128" s="27" t="s">
        <v>233</v>
      </c>
      <c r="C128" s="22"/>
      <c r="D128" s="23" t="s">
        <v>134</v>
      </c>
      <c r="E128" s="22"/>
      <c r="F128" s="22"/>
      <c r="G128" s="24">
        <v>46134.418749999997</v>
      </c>
      <c r="H128" s="23" t="s">
        <v>27</v>
      </c>
      <c r="I128" s="31">
        <v>46140.387499999997</v>
      </c>
      <c r="J128" s="22"/>
      <c r="K128" s="20">
        <v>5.97</v>
      </c>
      <c r="L128" s="20">
        <v>143.25</v>
      </c>
      <c r="M128" s="26">
        <v>0</v>
      </c>
      <c r="N128" s="26"/>
      <c r="O128" s="26"/>
      <c r="P128" s="23" t="s">
        <v>198</v>
      </c>
      <c r="Q128" s="22"/>
      <c r="R128" s="22"/>
      <c r="S128" s="26"/>
      <c r="T128" s="22"/>
      <c r="U128" s="22"/>
      <c r="V128" s="22"/>
      <c r="W128" s="18"/>
      <c r="X128" s="18"/>
      <c r="Y128" s="18"/>
      <c r="Z128" s="18"/>
      <c r="AA128" s="18"/>
      <c r="AB128" s="18"/>
    </row>
    <row r="129" spans="1:28" ht="29.25" customHeight="1">
      <c r="A129" s="20">
        <v>1236</v>
      </c>
      <c r="B129" s="21" t="s">
        <v>234</v>
      </c>
      <c r="C129" s="23" t="s">
        <v>116</v>
      </c>
      <c r="D129" s="23" t="s">
        <v>33</v>
      </c>
      <c r="E129" s="23" t="s">
        <v>151</v>
      </c>
      <c r="F129" s="22" t="s">
        <v>38</v>
      </c>
      <c r="G129" s="24">
        <v>46064.539583333302</v>
      </c>
      <c r="H129" s="23" t="s">
        <v>27</v>
      </c>
      <c r="I129" s="31">
        <v>46066.574305555601</v>
      </c>
      <c r="J129" s="23" t="s">
        <v>72</v>
      </c>
      <c r="K129" s="20">
        <v>2.0299999999999998</v>
      </c>
      <c r="L129" s="20">
        <v>48.82</v>
      </c>
      <c r="M129" s="26">
        <v>0</v>
      </c>
      <c r="N129" s="36">
        <v>15750</v>
      </c>
      <c r="O129" s="26"/>
      <c r="P129" s="23" t="s">
        <v>198</v>
      </c>
      <c r="Q129" s="22"/>
      <c r="R129" s="22"/>
      <c r="S129" s="26"/>
      <c r="T129" s="22"/>
      <c r="U129" s="37">
        <v>46079.413888888899</v>
      </c>
      <c r="V129" s="37">
        <v>46079.420138888898</v>
      </c>
      <c r="W129" s="18"/>
      <c r="X129" s="18"/>
      <c r="Y129" s="18"/>
      <c r="Z129" s="18"/>
      <c r="AA129" s="18"/>
      <c r="AB129" s="18"/>
    </row>
    <row r="130" spans="1:28" ht="29.25" customHeight="1">
      <c r="A130" s="20">
        <v>1232</v>
      </c>
      <c r="B130" s="27" t="s">
        <v>235</v>
      </c>
      <c r="C130" s="23" t="s">
        <v>116</v>
      </c>
      <c r="D130" s="23" t="s">
        <v>49</v>
      </c>
      <c r="E130" s="23" t="s">
        <v>151</v>
      </c>
      <c r="F130" s="22"/>
      <c r="G130" s="24">
        <v>46062.854166666701</v>
      </c>
      <c r="H130" s="23" t="s">
        <v>27</v>
      </c>
      <c r="I130" s="31">
        <v>46064.744444444397</v>
      </c>
      <c r="J130" s="23" t="s">
        <v>72</v>
      </c>
      <c r="K130" s="20">
        <v>1.89</v>
      </c>
      <c r="L130" s="20">
        <v>45.37</v>
      </c>
      <c r="M130" s="26">
        <v>0</v>
      </c>
      <c r="N130" s="26"/>
      <c r="O130" s="26"/>
      <c r="P130" s="23" t="s">
        <v>198</v>
      </c>
      <c r="Q130" s="22"/>
      <c r="R130" s="22"/>
      <c r="S130" s="26"/>
      <c r="T130" s="22"/>
      <c r="U130" s="37">
        <v>46073.839583333298</v>
      </c>
      <c r="V130" s="37">
        <v>46076.366666666698</v>
      </c>
      <c r="W130" s="18"/>
      <c r="X130" s="18"/>
      <c r="Y130" s="18"/>
      <c r="Z130" s="18"/>
      <c r="AA130" s="18"/>
      <c r="AB130" s="18"/>
    </row>
    <row r="131" spans="1:28" ht="29.25" customHeight="1">
      <c r="A131" s="20">
        <v>1229</v>
      </c>
      <c r="B131" s="27" t="s">
        <v>236</v>
      </c>
      <c r="C131" s="23" t="s">
        <v>116</v>
      </c>
      <c r="D131" s="23" t="s">
        <v>49</v>
      </c>
      <c r="E131" s="22"/>
      <c r="F131" s="22"/>
      <c r="G131" s="24">
        <v>46060.677083333299</v>
      </c>
      <c r="H131" s="23" t="s">
        <v>27</v>
      </c>
      <c r="I131" s="31">
        <v>46062.3972222222</v>
      </c>
      <c r="J131" s="23" t="s">
        <v>72</v>
      </c>
      <c r="K131" s="20">
        <v>1.72</v>
      </c>
      <c r="L131" s="20">
        <v>41.27</v>
      </c>
      <c r="M131" s="26">
        <v>0</v>
      </c>
      <c r="N131" s="26"/>
      <c r="O131" s="26"/>
      <c r="P131" s="23" t="s">
        <v>198</v>
      </c>
      <c r="Q131" s="22"/>
      <c r="R131" s="39" t="s">
        <v>237</v>
      </c>
      <c r="S131" s="36">
        <v>1260</v>
      </c>
      <c r="T131" s="22"/>
      <c r="U131" s="37">
        <v>46062.547222222202</v>
      </c>
      <c r="V131" s="37">
        <v>46064.693749999999</v>
      </c>
      <c r="W131" s="18"/>
      <c r="X131" s="18"/>
      <c r="Y131" s="18"/>
      <c r="Z131" s="18"/>
      <c r="AA131" s="18"/>
      <c r="AB131" s="18"/>
    </row>
    <row r="132" spans="1:28" ht="39" customHeight="1">
      <c r="A132" s="20">
        <v>1222</v>
      </c>
      <c r="B132" s="21" t="s">
        <v>238</v>
      </c>
      <c r="C132" s="23" t="s">
        <v>116</v>
      </c>
      <c r="D132" s="23" t="s">
        <v>49</v>
      </c>
      <c r="E132" s="22"/>
      <c r="F132" s="22"/>
      <c r="G132" s="24">
        <v>46053.604166666701</v>
      </c>
      <c r="H132" s="23" t="s">
        <v>27</v>
      </c>
      <c r="I132" s="31">
        <v>46057.7319444444</v>
      </c>
      <c r="J132" s="23" t="s">
        <v>72</v>
      </c>
      <c r="K132" s="20">
        <v>4.13</v>
      </c>
      <c r="L132" s="20">
        <v>99.07</v>
      </c>
      <c r="M132" s="26">
        <v>0</v>
      </c>
      <c r="N132" s="26"/>
      <c r="O132" s="26"/>
      <c r="P132" s="23" t="s">
        <v>198</v>
      </c>
      <c r="Q132" s="22"/>
      <c r="R132" s="22"/>
      <c r="S132" s="26"/>
      <c r="T132" s="22"/>
      <c r="U132" s="37">
        <v>46062.548611111102</v>
      </c>
      <c r="V132" s="37">
        <v>46064.694444444503</v>
      </c>
      <c r="W132" s="18"/>
      <c r="X132" s="18"/>
      <c r="Y132" s="18"/>
      <c r="Z132" s="18"/>
      <c r="AA132" s="18"/>
      <c r="AB132" s="18"/>
    </row>
    <row r="133" spans="1:28" ht="39" customHeight="1">
      <c r="A133" s="20">
        <v>1221</v>
      </c>
      <c r="B133" s="21" t="s">
        <v>239</v>
      </c>
      <c r="C133" s="23" t="s">
        <v>116</v>
      </c>
      <c r="D133" s="23" t="s">
        <v>33</v>
      </c>
      <c r="E133" s="22"/>
      <c r="F133" s="22" t="s">
        <v>46</v>
      </c>
      <c r="G133" s="24">
        <v>46052.752777777801</v>
      </c>
      <c r="H133" s="23" t="s">
        <v>27</v>
      </c>
      <c r="I133" s="31">
        <v>46053.531944444498</v>
      </c>
      <c r="J133" s="23" t="s">
        <v>72</v>
      </c>
      <c r="K133" s="20">
        <v>0.78</v>
      </c>
      <c r="L133" s="20">
        <v>18.7</v>
      </c>
      <c r="M133" s="26">
        <v>0</v>
      </c>
      <c r="N133" s="26"/>
      <c r="O133" s="26"/>
      <c r="P133" s="23" t="s">
        <v>198</v>
      </c>
      <c r="Q133" s="22"/>
      <c r="R133" s="22"/>
      <c r="S133" s="26"/>
      <c r="T133" s="22"/>
      <c r="U133" s="37">
        <v>46053.6743055556</v>
      </c>
      <c r="V133" s="37">
        <v>46055.3618055556</v>
      </c>
      <c r="W133" s="18"/>
      <c r="X133" s="18"/>
      <c r="Y133" s="18"/>
      <c r="Z133" s="18"/>
      <c r="AA133" s="18"/>
      <c r="AB133" s="18"/>
    </row>
    <row r="134" spans="1:28" ht="29.25" customHeight="1">
      <c r="A134" s="20">
        <v>1220</v>
      </c>
      <c r="B134" s="21" t="s">
        <v>240</v>
      </c>
      <c r="C134" s="23" t="s">
        <v>116</v>
      </c>
      <c r="D134" s="23" t="s">
        <v>33</v>
      </c>
      <c r="E134" s="22"/>
      <c r="F134" s="22" t="s">
        <v>55</v>
      </c>
      <c r="G134" s="24">
        <v>46052.40625</v>
      </c>
      <c r="H134" s="23" t="s">
        <v>27</v>
      </c>
      <c r="I134" s="31">
        <v>46053.531944444498</v>
      </c>
      <c r="J134" s="23" t="s">
        <v>72</v>
      </c>
      <c r="K134" s="20">
        <v>1.1299999999999999</v>
      </c>
      <c r="L134" s="20">
        <v>27.03</v>
      </c>
      <c r="M134" s="26">
        <v>0</v>
      </c>
      <c r="N134" s="26"/>
      <c r="O134" s="26"/>
      <c r="P134" s="23" t="s">
        <v>198</v>
      </c>
      <c r="Q134" s="22"/>
      <c r="R134" s="22"/>
      <c r="S134" s="26"/>
      <c r="T134" s="22"/>
      <c r="U134" s="37">
        <v>46079.415972222203</v>
      </c>
      <c r="V134" s="37">
        <v>46079.420833333301</v>
      </c>
      <c r="W134" s="18"/>
      <c r="X134" s="18"/>
      <c r="Y134" s="18"/>
      <c r="Z134" s="18"/>
      <c r="AA134" s="18"/>
      <c r="AB134" s="18"/>
    </row>
    <row r="135" spans="1:28" ht="29.25" customHeight="1">
      <c r="A135" s="20">
        <v>1215</v>
      </c>
      <c r="B135" s="21" t="s">
        <v>241</v>
      </c>
      <c r="C135" s="23" t="s">
        <v>116</v>
      </c>
      <c r="D135" s="23" t="s">
        <v>49</v>
      </c>
      <c r="E135" s="22"/>
      <c r="F135" s="22"/>
      <c r="G135" s="24">
        <v>46051.520138888904</v>
      </c>
      <c r="H135" s="23" t="s">
        <v>27</v>
      </c>
      <c r="I135" s="31">
        <v>46053.600694444503</v>
      </c>
      <c r="J135" s="23" t="s">
        <v>72</v>
      </c>
      <c r="K135" s="20">
        <v>2.08</v>
      </c>
      <c r="L135" s="20">
        <v>49.92</v>
      </c>
      <c r="M135" s="26">
        <v>0</v>
      </c>
      <c r="N135" s="26"/>
      <c r="O135" s="36">
        <v>620</v>
      </c>
      <c r="P135" s="23" t="s">
        <v>198</v>
      </c>
      <c r="Q135" s="22"/>
      <c r="R135" s="22"/>
      <c r="S135" s="26"/>
      <c r="T135" s="22"/>
      <c r="U135" s="37">
        <v>46053.6743055556</v>
      </c>
      <c r="V135" s="37">
        <v>46055.3618055556</v>
      </c>
      <c r="W135" s="18"/>
      <c r="X135" s="18"/>
      <c r="Y135" s="18"/>
      <c r="Z135" s="18"/>
      <c r="AA135" s="18"/>
      <c r="AB135" s="18"/>
    </row>
    <row r="136" spans="1:28" ht="19.5" customHeight="1">
      <c r="A136" s="20">
        <v>1214</v>
      </c>
      <c r="B136" s="27" t="s">
        <v>242</v>
      </c>
      <c r="C136" s="23" t="s">
        <v>116</v>
      </c>
      <c r="D136" s="23" t="s">
        <v>49</v>
      </c>
      <c r="E136" s="22"/>
      <c r="F136" s="22"/>
      <c r="G136" s="24">
        <v>46051.459027777797</v>
      </c>
      <c r="H136" s="23" t="s">
        <v>27</v>
      </c>
      <c r="I136" s="31">
        <v>46053.672222222202</v>
      </c>
      <c r="J136" s="23" t="s">
        <v>72</v>
      </c>
      <c r="K136" s="20">
        <v>2.21</v>
      </c>
      <c r="L136" s="20">
        <v>53.12</v>
      </c>
      <c r="M136" s="26">
        <v>0</v>
      </c>
      <c r="N136" s="26"/>
      <c r="O136" s="26"/>
      <c r="P136" s="23" t="s">
        <v>198</v>
      </c>
      <c r="Q136" s="22"/>
      <c r="R136" s="22"/>
      <c r="S136" s="26"/>
      <c r="T136" s="22"/>
      <c r="U136" s="37">
        <v>46053.675000000003</v>
      </c>
      <c r="V136" s="37">
        <v>46055.363194444399</v>
      </c>
      <c r="W136" s="18"/>
      <c r="X136" s="18"/>
      <c r="Y136" s="18"/>
      <c r="Z136" s="18"/>
      <c r="AA136" s="18"/>
      <c r="AB136" s="18"/>
    </row>
    <row r="137" spans="1:28" ht="19.5" customHeight="1">
      <c r="A137" s="20">
        <v>1213</v>
      </c>
      <c r="B137" s="27" t="s">
        <v>243</v>
      </c>
      <c r="C137" s="23" t="s">
        <v>116</v>
      </c>
      <c r="D137" s="23" t="s">
        <v>49</v>
      </c>
      <c r="E137" s="22"/>
      <c r="F137" s="22"/>
      <c r="G137" s="24">
        <v>46051.454166666699</v>
      </c>
      <c r="H137" s="23" t="s">
        <v>27</v>
      </c>
      <c r="I137" s="31">
        <v>46052.475694444503</v>
      </c>
      <c r="J137" s="23" t="s">
        <v>72</v>
      </c>
      <c r="K137" s="20">
        <v>1.02</v>
      </c>
      <c r="L137" s="20">
        <v>24.52</v>
      </c>
      <c r="M137" s="26">
        <v>0</v>
      </c>
      <c r="N137" s="26"/>
      <c r="O137" s="36">
        <v>137</v>
      </c>
      <c r="P137" s="23" t="s">
        <v>198</v>
      </c>
      <c r="Q137" s="22"/>
      <c r="R137" s="22"/>
      <c r="S137" s="26"/>
      <c r="T137" s="22"/>
      <c r="U137" s="37">
        <v>46052.537499999999</v>
      </c>
      <c r="V137" s="37">
        <v>46055.363194444399</v>
      </c>
      <c r="W137" s="18"/>
      <c r="X137" s="18"/>
      <c r="Y137" s="18"/>
      <c r="Z137" s="18"/>
      <c r="AA137" s="18"/>
      <c r="AB137" s="18"/>
    </row>
    <row r="138" spans="1:28" ht="19.5" customHeight="1">
      <c r="A138" s="20">
        <v>1207</v>
      </c>
      <c r="B138" s="21" t="s">
        <v>244</v>
      </c>
      <c r="C138" s="23" t="s">
        <v>116</v>
      </c>
      <c r="D138" s="23" t="s">
        <v>37</v>
      </c>
      <c r="E138" s="23" t="s">
        <v>139</v>
      </c>
      <c r="F138" s="22" t="s">
        <v>55</v>
      </c>
      <c r="G138" s="24">
        <v>46044.878472222197</v>
      </c>
      <c r="H138" s="23" t="s">
        <v>27</v>
      </c>
      <c r="I138" s="31">
        <v>46057.733333333301</v>
      </c>
      <c r="J138" s="23" t="s">
        <v>72</v>
      </c>
      <c r="K138" s="20">
        <v>12.85</v>
      </c>
      <c r="L138" s="20">
        <v>308.5</v>
      </c>
      <c r="M138" s="26">
        <v>0</v>
      </c>
      <c r="N138" s="26"/>
      <c r="O138" s="36">
        <v>9450</v>
      </c>
      <c r="P138" s="23" t="s">
        <v>198</v>
      </c>
      <c r="Q138" s="22"/>
      <c r="R138" s="22"/>
      <c r="S138" s="26"/>
      <c r="T138" s="22"/>
      <c r="U138" s="37">
        <v>46062.548611111102</v>
      </c>
      <c r="V138" s="37">
        <v>46064.694444444503</v>
      </c>
      <c r="W138" s="18"/>
      <c r="X138" s="18"/>
      <c r="Y138" s="18"/>
      <c r="Z138" s="18"/>
      <c r="AA138" s="18"/>
      <c r="AB138" s="18"/>
    </row>
    <row r="139" spans="1:28" ht="29.25" customHeight="1">
      <c r="A139" s="20">
        <v>1188</v>
      </c>
      <c r="B139" s="21" t="s">
        <v>245</v>
      </c>
      <c r="C139" s="23" t="s">
        <v>116</v>
      </c>
      <c r="D139" s="23" t="s">
        <v>33</v>
      </c>
      <c r="E139" s="23" t="s">
        <v>83</v>
      </c>
      <c r="F139" s="22" t="s">
        <v>55</v>
      </c>
      <c r="G139" s="24">
        <v>46030.431944444397</v>
      </c>
      <c r="H139" s="23" t="s">
        <v>27</v>
      </c>
      <c r="I139" s="31">
        <v>46047.677777777797</v>
      </c>
      <c r="J139" s="23" t="s">
        <v>72</v>
      </c>
      <c r="K139" s="20">
        <v>17.25</v>
      </c>
      <c r="L139" s="20">
        <v>413.9</v>
      </c>
      <c r="M139" s="26">
        <v>0</v>
      </c>
      <c r="N139" s="26"/>
      <c r="O139" s="26"/>
      <c r="P139" s="23" t="s">
        <v>198</v>
      </c>
      <c r="Q139" s="22"/>
      <c r="R139" s="22"/>
      <c r="S139" s="26"/>
      <c r="T139" s="22"/>
      <c r="U139" s="37">
        <v>46079.418749999997</v>
      </c>
      <c r="V139" s="37">
        <v>46079.420833333301</v>
      </c>
      <c r="W139" s="18"/>
      <c r="X139" s="18"/>
      <c r="Y139" s="18"/>
      <c r="Z139" s="18"/>
      <c r="AA139" s="18"/>
      <c r="AB139" s="18"/>
    </row>
    <row r="140" spans="1:28" ht="39" customHeight="1">
      <c r="A140" s="20">
        <v>1182</v>
      </c>
      <c r="B140" s="21" t="s">
        <v>246</v>
      </c>
      <c r="C140" s="23" t="s">
        <v>116</v>
      </c>
      <c r="D140" s="23" t="s">
        <v>141</v>
      </c>
      <c r="E140" s="22"/>
      <c r="F140" s="22"/>
      <c r="G140" s="24">
        <v>46027.615277777797</v>
      </c>
      <c r="H140" s="23" t="s">
        <v>27</v>
      </c>
      <c r="I140" s="31">
        <v>46064.746527777803</v>
      </c>
      <c r="J140" s="23" t="s">
        <v>72</v>
      </c>
      <c r="K140" s="20">
        <v>37.130000000000003</v>
      </c>
      <c r="L140" s="20">
        <v>891.15</v>
      </c>
      <c r="M140" s="26">
        <v>0</v>
      </c>
      <c r="N140" s="36">
        <v>9000</v>
      </c>
      <c r="O140" s="26"/>
      <c r="P140" s="23" t="s">
        <v>198</v>
      </c>
      <c r="Q140" s="22"/>
      <c r="R140" s="22"/>
      <c r="S140" s="26"/>
      <c r="T140" s="22"/>
      <c r="U140" s="37">
        <v>46064.791666666701</v>
      </c>
      <c r="V140" s="37">
        <v>46066.522916666698</v>
      </c>
      <c r="W140" s="18"/>
      <c r="X140" s="18"/>
      <c r="Y140" s="18"/>
      <c r="Z140" s="18"/>
      <c r="AA140" s="18"/>
      <c r="AB140" s="18"/>
    </row>
    <row r="141" spans="1:28" ht="15" customHeight="1">
      <c r="A141" s="20">
        <v>1210</v>
      </c>
      <c r="B141" s="21" t="s">
        <v>247</v>
      </c>
      <c r="C141" s="23" t="s">
        <v>116</v>
      </c>
      <c r="D141" s="23" t="s">
        <v>49</v>
      </c>
      <c r="E141" s="22"/>
      <c r="F141" s="22"/>
      <c r="G141" s="24">
        <v>46047.640277777798</v>
      </c>
      <c r="H141" s="23" t="s">
        <v>27</v>
      </c>
      <c r="I141" s="31">
        <v>46047.673611111102</v>
      </c>
      <c r="J141" s="23" t="s">
        <v>72</v>
      </c>
      <c r="K141" s="20">
        <v>0.03</v>
      </c>
      <c r="L141" s="20">
        <v>0.8</v>
      </c>
      <c r="M141" s="26">
        <v>0</v>
      </c>
      <c r="N141" s="26"/>
      <c r="O141" s="26"/>
      <c r="P141" s="23" t="s">
        <v>198</v>
      </c>
      <c r="Q141" s="23" t="s">
        <v>124</v>
      </c>
      <c r="R141" s="22"/>
      <c r="S141" s="26"/>
      <c r="T141" s="22"/>
      <c r="U141" s="37">
        <v>46051.462500000001</v>
      </c>
      <c r="V141" s="37">
        <v>46051.595138888901</v>
      </c>
      <c r="W141" s="18"/>
      <c r="X141" s="18"/>
      <c r="Y141" s="18"/>
      <c r="Z141" s="18"/>
      <c r="AA141" s="18"/>
      <c r="AB141" s="18"/>
    </row>
    <row r="142" spans="1:28" ht="29.25" customHeight="1">
      <c r="A142" s="20">
        <v>1209</v>
      </c>
      <c r="B142" s="21" t="s">
        <v>248</v>
      </c>
      <c r="C142" s="23" t="s">
        <v>116</v>
      </c>
      <c r="D142" s="23" t="s">
        <v>49</v>
      </c>
      <c r="E142" s="22"/>
      <c r="F142" s="22"/>
      <c r="G142" s="24">
        <v>46046.760416666701</v>
      </c>
      <c r="H142" s="23" t="s">
        <v>27</v>
      </c>
      <c r="I142" s="31">
        <v>46047.675000000003</v>
      </c>
      <c r="J142" s="23" t="s">
        <v>72</v>
      </c>
      <c r="K142" s="20">
        <v>0.91</v>
      </c>
      <c r="L142" s="20">
        <v>21.95</v>
      </c>
      <c r="M142" s="26">
        <v>0</v>
      </c>
      <c r="N142" s="26"/>
      <c r="O142" s="26"/>
      <c r="P142" s="23" t="s">
        <v>198</v>
      </c>
      <c r="Q142" s="23" t="s">
        <v>124</v>
      </c>
      <c r="R142" s="22"/>
      <c r="S142" s="26"/>
      <c r="T142" s="22"/>
      <c r="U142" s="37">
        <v>46051.463194444397</v>
      </c>
      <c r="V142" s="37">
        <v>46051.595138888901</v>
      </c>
      <c r="W142" s="18"/>
      <c r="X142" s="18"/>
      <c r="Y142" s="18"/>
      <c r="Z142" s="18"/>
      <c r="AA142" s="18"/>
      <c r="AB142" s="18"/>
    </row>
    <row r="143" spans="1:28" ht="39" customHeight="1">
      <c r="A143" s="20">
        <v>1203</v>
      </c>
      <c r="B143" s="21" t="s">
        <v>249</v>
      </c>
      <c r="C143" s="23" t="s">
        <v>116</v>
      </c>
      <c r="D143" s="23" t="s">
        <v>33</v>
      </c>
      <c r="E143" s="23" t="s">
        <v>144</v>
      </c>
      <c r="F143" s="22" t="s">
        <v>46</v>
      </c>
      <c r="G143" s="24">
        <v>46041.413194444503</v>
      </c>
      <c r="H143" s="23" t="s">
        <v>27</v>
      </c>
      <c r="I143" s="31">
        <v>46043.415972222203</v>
      </c>
      <c r="J143" s="23" t="s">
        <v>72</v>
      </c>
      <c r="K143" s="20">
        <v>2</v>
      </c>
      <c r="L143" s="20">
        <v>48.07</v>
      </c>
      <c r="M143" s="26">
        <v>0</v>
      </c>
      <c r="N143" s="26"/>
      <c r="O143" s="26"/>
      <c r="P143" s="23" t="s">
        <v>198</v>
      </c>
      <c r="Q143" s="23" t="s">
        <v>124</v>
      </c>
      <c r="R143" s="22"/>
      <c r="S143" s="26"/>
      <c r="T143" s="22"/>
      <c r="U143" s="37">
        <v>46045.568055555603</v>
      </c>
      <c r="V143" s="37">
        <v>46045.712500000001</v>
      </c>
      <c r="W143" s="18"/>
      <c r="X143" s="18"/>
      <c r="Y143" s="18"/>
      <c r="Z143" s="18"/>
      <c r="AA143" s="18"/>
      <c r="AB143" s="18"/>
    </row>
    <row r="144" spans="1:28" ht="29.25" customHeight="1">
      <c r="A144" s="20">
        <v>1201</v>
      </c>
      <c r="B144" s="21" t="s">
        <v>250</v>
      </c>
      <c r="C144" s="23" t="s">
        <v>116</v>
      </c>
      <c r="D144" s="23" t="s">
        <v>37</v>
      </c>
      <c r="E144" s="23" t="s">
        <v>139</v>
      </c>
      <c r="F144" s="22" t="s">
        <v>46</v>
      </c>
      <c r="G144" s="24">
        <v>46039.804166666698</v>
      </c>
      <c r="H144" s="23" t="s">
        <v>27</v>
      </c>
      <c r="I144" s="31">
        <v>46042.6118055556</v>
      </c>
      <c r="J144" s="23" t="s">
        <v>72</v>
      </c>
      <c r="K144" s="20">
        <v>2.81</v>
      </c>
      <c r="L144" s="20">
        <v>67.39</v>
      </c>
      <c r="M144" s="26">
        <v>0</v>
      </c>
      <c r="N144" s="26"/>
      <c r="O144" s="26"/>
      <c r="P144" s="23" t="s">
        <v>198</v>
      </c>
      <c r="Q144" s="23" t="s">
        <v>124</v>
      </c>
      <c r="R144" s="22"/>
      <c r="S144" s="26"/>
      <c r="T144" s="22"/>
      <c r="U144" s="37">
        <v>46045.568749999999</v>
      </c>
      <c r="V144" s="37">
        <v>46045.712500000001</v>
      </c>
      <c r="W144" s="18"/>
      <c r="X144" s="18"/>
      <c r="Y144" s="18"/>
      <c r="Z144" s="18"/>
      <c r="AA144" s="18"/>
      <c r="AB144" s="18"/>
    </row>
    <row r="145" spans="1:28" ht="39" customHeight="1">
      <c r="A145" s="20">
        <v>1200</v>
      </c>
      <c r="B145" s="21" t="s">
        <v>251</v>
      </c>
      <c r="C145" s="23" t="s">
        <v>116</v>
      </c>
      <c r="D145" s="23" t="s">
        <v>49</v>
      </c>
      <c r="E145" s="22"/>
      <c r="F145" s="22"/>
      <c r="G145" s="24">
        <v>46039.494444444397</v>
      </c>
      <c r="H145" s="23" t="s">
        <v>27</v>
      </c>
      <c r="I145" s="31">
        <v>46043.470833333296</v>
      </c>
      <c r="J145" s="23" t="s">
        <v>72</v>
      </c>
      <c r="K145" s="20">
        <v>3.98</v>
      </c>
      <c r="L145" s="20">
        <v>95.44</v>
      </c>
      <c r="M145" s="26">
        <v>0</v>
      </c>
      <c r="N145" s="26"/>
      <c r="O145" s="36">
        <v>294</v>
      </c>
      <c r="P145" s="23" t="s">
        <v>198</v>
      </c>
      <c r="Q145" s="23" t="s">
        <v>124</v>
      </c>
      <c r="R145" s="22"/>
      <c r="S145" s="26"/>
      <c r="T145" s="22"/>
      <c r="U145" s="37">
        <v>46045.568749999999</v>
      </c>
      <c r="V145" s="37">
        <v>46045.712500000001</v>
      </c>
      <c r="W145" s="18"/>
      <c r="X145" s="18"/>
      <c r="Y145" s="18"/>
      <c r="Z145" s="18"/>
      <c r="AA145" s="18"/>
      <c r="AB145" s="18"/>
    </row>
    <row r="146" spans="1:28" ht="19.5" customHeight="1">
      <c r="A146" s="20">
        <v>1197</v>
      </c>
      <c r="B146" s="21" t="s">
        <v>252</v>
      </c>
      <c r="C146" s="23" t="s">
        <v>116</v>
      </c>
      <c r="D146" s="23" t="s">
        <v>49</v>
      </c>
      <c r="E146" s="22"/>
      <c r="F146" s="22" t="s">
        <v>90</v>
      </c>
      <c r="G146" s="24">
        <v>46034.895833333299</v>
      </c>
      <c r="H146" s="23" t="s">
        <v>27</v>
      </c>
      <c r="I146" s="31">
        <v>46139.625</v>
      </c>
      <c r="J146" s="23" t="s">
        <v>72</v>
      </c>
      <c r="K146" s="20">
        <v>10.68</v>
      </c>
      <c r="L146" s="20">
        <v>256.35000000000002</v>
      </c>
      <c r="M146" s="26">
        <v>0</v>
      </c>
      <c r="N146" s="26"/>
      <c r="O146" s="26"/>
      <c r="P146" s="23" t="s">
        <v>198</v>
      </c>
      <c r="Q146" s="23" t="s">
        <v>124</v>
      </c>
      <c r="R146" s="22"/>
      <c r="S146" s="26"/>
      <c r="T146" s="22"/>
      <c r="U146" s="37">
        <v>46045.5715277778</v>
      </c>
      <c r="V146" s="37">
        <v>46045.713194444397</v>
      </c>
      <c r="W146" s="18"/>
      <c r="X146" s="18"/>
      <c r="Y146" s="18"/>
      <c r="Z146" s="18"/>
      <c r="AA146" s="18"/>
      <c r="AB146" s="18"/>
    </row>
    <row r="147" spans="1:28" ht="29.25" customHeight="1">
      <c r="A147" s="20">
        <v>1196</v>
      </c>
      <c r="B147" s="27" t="s">
        <v>253</v>
      </c>
      <c r="C147" s="23" t="s">
        <v>116</v>
      </c>
      <c r="D147" s="23" t="s">
        <v>49</v>
      </c>
      <c r="E147" s="22"/>
      <c r="F147" s="22"/>
      <c r="G147" s="24">
        <v>46033.502083333296</v>
      </c>
      <c r="H147" s="23" t="s">
        <v>27</v>
      </c>
      <c r="I147" s="31">
        <v>46044.653472222199</v>
      </c>
      <c r="J147" s="23" t="s">
        <v>72</v>
      </c>
      <c r="K147" s="20">
        <v>11.15</v>
      </c>
      <c r="L147" s="20">
        <v>267.64</v>
      </c>
      <c r="M147" s="26">
        <v>0</v>
      </c>
      <c r="N147" s="26"/>
      <c r="O147" s="36">
        <v>520</v>
      </c>
      <c r="P147" s="23" t="s">
        <v>198</v>
      </c>
      <c r="Q147" s="23" t="s">
        <v>124</v>
      </c>
      <c r="R147" s="22"/>
      <c r="S147" s="26"/>
      <c r="T147" s="22"/>
      <c r="U147" s="37">
        <v>46045.569444444503</v>
      </c>
      <c r="V147" s="37">
        <v>46045.713194444397</v>
      </c>
      <c r="W147" s="18"/>
      <c r="X147" s="18"/>
      <c r="Y147" s="18"/>
      <c r="Z147" s="18"/>
      <c r="AA147" s="18"/>
      <c r="AB147" s="18"/>
    </row>
    <row r="148" spans="1:28" ht="29.25" customHeight="1">
      <c r="A148" s="20">
        <v>1195</v>
      </c>
      <c r="B148" s="21" t="s">
        <v>254</v>
      </c>
      <c r="C148" s="23" t="s">
        <v>116</v>
      </c>
      <c r="D148" s="23" t="s">
        <v>49</v>
      </c>
      <c r="E148" s="22"/>
      <c r="F148" s="22"/>
      <c r="G148" s="24">
        <v>46031.497222222199</v>
      </c>
      <c r="H148" s="23" t="s">
        <v>27</v>
      </c>
      <c r="I148" s="31">
        <v>46031.6381944444</v>
      </c>
      <c r="J148" s="23" t="s">
        <v>72</v>
      </c>
      <c r="K148" s="20">
        <v>0.14000000000000001</v>
      </c>
      <c r="L148" s="20">
        <v>3.39</v>
      </c>
      <c r="M148" s="26">
        <v>0</v>
      </c>
      <c r="N148" s="26"/>
      <c r="O148" s="36">
        <v>74</v>
      </c>
      <c r="P148" s="23" t="s">
        <v>198</v>
      </c>
      <c r="Q148" s="23" t="s">
        <v>124</v>
      </c>
      <c r="R148" s="22"/>
      <c r="S148" s="26"/>
      <c r="T148" s="22"/>
      <c r="U148" s="37">
        <v>46031.711111111101</v>
      </c>
      <c r="V148" s="37">
        <v>46034.34375</v>
      </c>
      <c r="W148" s="18"/>
      <c r="X148" s="18"/>
      <c r="Y148" s="18"/>
      <c r="Z148" s="18"/>
      <c r="AA148" s="18"/>
      <c r="AB148" s="18"/>
    </row>
    <row r="149" spans="1:28" ht="29.25" customHeight="1">
      <c r="A149" s="20">
        <v>1193</v>
      </c>
      <c r="B149" s="21" t="s">
        <v>255</v>
      </c>
      <c r="C149" s="23" t="s">
        <v>116</v>
      </c>
      <c r="D149" s="23" t="s">
        <v>134</v>
      </c>
      <c r="E149" s="23" t="s">
        <v>139</v>
      </c>
      <c r="F149" s="22" t="s">
        <v>46</v>
      </c>
      <c r="G149" s="24">
        <v>46030.521527777797</v>
      </c>
      <c r="H149" s="23" t="s">
        <v>27</v>
      </c>
      <c r="I149" s="31">
        <v>46031.614583333299</v>
      </c>
      <c r="J149" s="23" t="s">
        <v>72</v>
      </c>
      <c r="K149" s="20">
        <v>1.0900000000000001</v>
      </c>
      <c r="L149" s="20">
        <v>26.22</v>
      </c>
      <c r="M149" s="26">
        <v>0</v>
      </c>
      <c r="N149" s="26"/>
      <c r="O149" s="36">
        <v>263</v>
      </c>
      <c r="P149" s="23" t="s">
        <v>198</v>
      </c>
      <c r="Q149" s="23" t="s">
        <v>124</v>
      </c>
      <c r="R149" s="22"/>
      <c r="S149" s="26"/>
      <c r="T149" s="22"/>
      <c r="U149" s="37">
        <v>46031.711805555598</v>
      </c>
      <c r="V149" s="37">
        <v>46034.344444444498</v>
      </c>
      <c r="W149" s="18"/>
      <c r="X149" s="18"/>
      <c r="Y149" s="18"/>
      <c r="Z149" s="18"/>
      <c r="AA149" s="18"/>
      <c r="AB149" s="18"/>
    </row>
    <row r="150" spans="1:28" ht="19.5" customHeight="1">
      <c r="A150" s="20">
        <v>1189</v>
      </c>
      <c r="B150" s="27" t="s">
        <v>256</v>
      </c>
      <c r="C150" s="23" t="s">
        <v>116</v>
      </c>
      <c r="D150" s="23" t="s">
        <v>33</v>
      </c>
      <c r="E150" s="23" t="s">
        <v>83</v>
      </c>
      <c r="F150" s="22" t="s">
        <v>55</v>
      </c>
      <c r="G150" s="24">
        <v>46030.436111111099</v>
      </c>
      <c r="H150" s="23" t="s">
        <v>27</v>
      </c>
      <c r="I150" s="31">
        <v>46037.540972222203</v>
      </c>
      <c r="J150" s="23" t="s">
        <v>72</v>
      </c>
      <c r="K150" s="20">
        <v>7.1</v>
      </c>
      <c r="L150" s="20">
        <v>170.51</v>
      </c>
      <c r="M150" s="26">
        <v>0</v>
      </c>
      <c r="N150" s="36">
        <v>500</v>
      </c>
      <c r="O150" s="26"/>
      <c r="P150" s="23" t="s">
        <v>198</v>
      </c>
      <c r="Q150" s="23" t="s">
        <v>124</v>
      </c>
      <c r="R150" s="22"/>
      <c r="S150" s="26"/>
      <c r="T150" s="22"/>
      <c r="U150" s="37">
        <v>46037.590972222199</v>
      </c>
      <c r="V150" s="37">
        <v>46038.336111111101</v>
      </c>
      <c r="W150" s="18"/>
      <c r="X150" s="18"/>
      <c r="Y150" s="18"/>
      <c r="Z150" s="18"/>
      <c r="AA150" s="18"/>
      <c r="AB150" s="18"/>
    </row>
    <row r="151" spans="1:28" ht="29.25" customHeight="1">
      <c r="A151" s="20">
        <v>1186</v>
      </c>
      <c r="B151" s="21" t="s">
        <v>257</v>
      </c>
      <c r="C151" s="23" t="s">
        <v>116</v>
      </c>
      <c r="D151" s="23" t="s">
        <v>49</v>
      </c>
      <c r="E151" s="22"/>
      <c r="F151" s="22"/>
      <c r="G151" s="24">
        <v>46029.479861111096</v>
      </c>
      <c r="H151" s="23" t="s">
        <v>27</v>
      </c>
      <c r="I151" s="31">
        <v>46029.4819444444</v>
      </c>
      <c r="J151" s="23" t="s">
        <v>72</v>
      </c>
      <c r="K151" s="20">
        <v>0</v>
      </c>
      <c r="L151" s="20">
        <v>0.04</v>
      </c>
      <c r="M151" s="26">
        <v>0</v>
      </c>
      <c r="N151" s="26"/>
      <c r="O151" s="36">
        <v>137</v>
      </c>
      <c r="P151" s="23" t="s">
        <v>198</v>
      </c>
      <c r="Q151" s="23" t="s">
        <v>124</v>
      </c>
      <c r="R151" s="22"/>
      <c r="S151" s="26"/>
      <c r="T151" s="22"/>
      <c r="U151" s="37">
        <v>46030.7</v>
      </c>
      <c r="V151" s="37">
        <v>46031.445833333302</v>
      </c>
      <c r="W151" s="18"/>
      <c r="X151" s="18"/>
      <c r="Y151" s="18"/>
      <c r="Z151" s="18"/>
      <c r="AA151" s="18"/>
      <c r="AB151" s="18"/>
    </row>
    <row r="152" spans="1:28" ht="19.5" customHeight="1">
      <c r="A152" s="20">
        <v>1185</v>
      </c>
      <c r="B152" s="21" t="s">
        <v>258</v>
      </c>
      <c r="C152" s="23" t="s">
        <v>116</v>
      </c>
      <c r="D152" s="23" t="s">
        <v>33</v>
      </c>
      <c r="E152" s="23" t="s">
        <v>83</v>
      </c>
      <c r="F152" s="22" t="s">
        <v>55</v>
      </c>
      <c r="G152" s="24">
        <v>46027.781944444498</v>
      </c>
      <c r="H152" s="23" t="s">
        <v>27</v>
      </c>
      <c r="I152" s="31">
        <v>46029.456944444399</v>
      </c>
      <c r="J152" s="23" t="s">
        <v>72</v>
      </c>
      <c r="K152" s="20">
        <v>1.67</v>
      </c>
      <c r="L152" s="20">
        <v>40.19</v>
      </c>
      <c r="M152" s="26">
        <v>0</v>
      </c>
      <c r="N152" s="26"/>
      <c r="O152" s="26"/>
      <c r="P152" s="23" t="s">
        <v>198</v>
      </c>
      <c r="Q152" s="23" t="s">
        <v>124</v>
      </c>
      <c r="R152" s="22"/>
      <c r="S152" s="26"/>
      <c r="T152" s="22"/>
      <c r="U152" s="37">
        <v>46030.7006944444</v>
      </c>
      <c r="V152" s="37">
        <v>46031.445833333302</v>
      </c>
      <c r="W152" s="18"/>
      <c r="X152" s="18"/>
      <c r="Y152" s="18"/>
      <c r="Z152" s="18"/>
      <c r="AA152" s="18"/>
      <c r="AB152" s="18"/>
    </row>
    <row r="153" spans="1:28" ht="39" customHeight="1">
      <c r="A153" s="20">
        <v>1184</v>
      </c>
      <c r="B153" s="27" t="s">
        <v>259</v>
      </c>
      <c r="C153" s="23" t="s">
        <v>116</v>
      </c>
      <c r="D153" s="23" t="s">
        <v>141</v>
      </c>
      <c r="E153" s="22"/>
      <c r="F153" s="22"/>
      <c r="G153" s="24">
        <v>46027.622222222199</v>
      </c>
      <c r="H153" s="23" t="s">
        <v>27</v>
      </c>
      <c r="I153" s="31">
        <v>46029.528472222199</v>
      </c>
      <c r="J153" s="23" t="s">
        <v>72</v>
      </c>
      <c r="K153" s="20">
        <v>1.91</v>
      </c>
      <c r="L153" s="20">
        <v>45.75</v>
      </c>
      <c r="M153" s="26">
        <v>0</v>
      </c>
      <c r="N153" s="36">
        <v>2000</v>
      </c>
      <c r="O153" s="26"/>
      <c r="P153" s="23" t="s">
        <v>198</v>
      </c>
      <c r="Q153" s="23" t="s">
        <v>124</v>
      </c>
      <c r="R153" s="22"/>
      <c r="S153" s="26"/>
      <c r="T153" s="22"/>
      <c r="U153" s="37">
        <v>46030.695833333302</v>
      </c>
      <c r="V153" s="37">
        <v>46031.445833333302</v>
      </c>
      <c r="W153" s="18"/>
      <c r="X153" s="18"/>
      <c r="Y153" s="18"/>
      <c r="Z153" s="18"/>
      <c r="AA153" s="18"/>
      <c r="AB153" s="18"/>
    </row>
    <row r="154" spans="1:28" ht="29.25" customHeight="1">
      <c r="A154" s="20">
        <v>1181</v>
      </c>
      <c r="B154" s="21" t="s">
        <v>260</v>
      </c>
      <c r="C154" s="23" t="s">
        <v>116</v>
      </c>
      <c r="D154" s="23" t="s">
        <v>49</v>
      </c>
      <c r="E154" s="22"/>
      <c r="F154" s="22"/>
      <c r="G154" s="24">
        <v>46026.664583333302</v>
      </c>
      <c r="H154" s="23" t="s">
        <v>27</v>
      </c>
      <c r="I154" s="31">
        <v>46026.743750000001</v>
      </c>
      <c r="J154" s="23" t="s">
        <v>72</v>
      </c>
      <c r="K154" s="20">
        <v>0.08</v>
      </c>
      <c r="L154" s="20">
        <v>1.9</v>
      </c>
      <c r="M154" s="26">
        <v>0</v>
      </c>
      <c r="N154" s="26"/>
      <c r="O154" s="36">
        <v>620</v>
      </c>
      <c r="P154" s="23" t="s">
        <v>198</v>
      </c>
      <c r="Q154" s="23" t="s">
        <v>124</v>
      </c>
      <c r="R154" s="22"/>
      <c r="S154" s="26"/>
      <c r="T154" s="22"/>
      <c r="U154" s="37">
        <v>46030.701388888898</v>
      </c>
      <c r="V154" s="37">
        <v>46031.4465277778</v>
      </c>
      <c r="W154" s="18"/>
      <c r="X154" s="18"/>
      <c r="Y154" s="18"/>
      <c r="Z154" s="18"/>
      <c r="AA154" s="18"/>
      <c r="AB154" s="18"/>
    </row>
    <row r="155" spans="1:28" ht="19.5" customHeight="1">
      <c r="A155" s="20">
        <v>1179</v>
      </c>
      <c r="B155" s="21" t="s">
        <v>261</v>
      </c>
      <c r="C155" s="23" t="s">
        <v>116</v>
      </c>
      <c r="D155" s="23" t="s">
        <v>49</v>
      </c>
      <c r="E155" s="22"/>
      <c r="F155" s="22"/>
      <c r="G155" s="24">
        <v>46024.462500000001</v>
      </c>
      <c r="H155" s="23" t="s">
        <v>27</v>
      </c>
      <c r="I155" s="31">
        <v>46024.474305555603</v>
      </c>
      <c r="J155" s="23" t="s">
        <v>72</v>
      </c>
      <c r="K155" s="20">
        <v>0.01</v>
      </c>
      <c r="L155" s="20">
        <v>0.27</v>
      </c>
      <c r="M155" s="26">
        <v>0</v>
      </c>
      <c r="N155" s="26"/>
      <c r="O155" s="26"/>
      <c r="P155" s="23" t="s">
        <v>198</v>
      </c>
      <c r="Q155" s="23" t="s">
        <v>124</v>
      </c>
      <c r="R155" s="22"/>
      <c r="S155" s="26"/>
      <c r="T155" s="22"/>
      <c r="U155" s="37">
        <v>46030.702083333301</v>
      </c>
      <c r="V155" s="37">
        <v>46031.4465277778</v>
      </c>
      <c r="W155" s="18"/>
      <c r="X155" s="18"/>
      <c r="Y155" s="18"/>
      <c r="Z155" s="18"/>
      <c r="AA155" s="18"/>
      <c r="AB155" s="18"/>
    </row>
    <row r="156" spans="1:28" ht="19.5" customHeight="1">
      <c r="A156" s="20">
        <v>1178</v>
      </c>
      <c r="B156" s="27" t="s">
        <v>262</v>
      </c>
      <c r="C156" s="23" t="s">
        <v>116</v>
      </c>
      <c r="D156" s="23" t="s">
        <v>49</v>
      </c>
      <c r="E156" s="23" t="s">
        <v>94</v>
      </c>
      <c r="F156" s="22" t="s">
        <v>46</v>
      </c>
      <c r="G156" s="24">
        <v>46023.506944444503</v>
      </c>
      <c r="H156" s="23" t="s">
        <v>27</v>
      </c>
      <c r="I156" s="31">
        <v>46023.542361111096</v>
      </c>
      <c r="J156" s="23" t="s">
        <v>72</v>
      </c>
      <c r="K156" s="20">
        <v>0.04</v>
      </c>
      <c r="L156" s="20">
        <v>0.86</v>
      </c>
      <c r="M156" s="26">
        <v>0</v>
      </c>
      <c r="N156" s="26"/>
      <c r="O156" s="36">
        <v>550</v>
      </c>
      <c r="P156" s="23" t="s">
        <v>198</v>
      </c>
      <c r="Q156" s="23" t="s">
        <v>124</v>
      </c>
      <c r="R156" s="39" t="s">
        <v>263</v>
      </c>
      <c r="S156" s="36">
        <v>1591</v>
      </c>
      <c r="T156" s="22"/>
      <c r="U156" s="37">
        <v>46026.664583333302</v>
      </c>
      <c r="V156" s="37">
        <v>46027.484027777798</v>
      </c>
      <c r="W156" s="18"/>
      <c r="X156" s="18"/>
      <c r="Y156" s="18"/>
      <c r="Z156" s="18"/>
      <c r="AA156" s="18"/>
      <c r="AB156" s="18"/>
    </row>
    <row r="157" spans="1:28" ht="29.25" customHeight="1">
      <c r="A157" s="20">
        <v>1177</v>
      </c>
      <c r="B157" s="21" t="s">
        <v>264</v>
      </c>
      <c r="C157" s="23" t="s">
        <v>116</v>
      </c>
      <c r="D157" s="23" t="s">
        <v>24</v>
      </c>
      <c r="E157" s="23" t="s">
        <v>139</v>
      </c>
      <c r="F157" s="22" t="s">
        <v>38</v>
      </c>
      <c r="G157" s="24">
        <v>46022.844444444498</v>
      </c>
      <c r="H157" s="23" t="s">
        <v>27</v>
      </c>
      <c r="I157" s="31">
        <v>46024.474305555603</v>
      </c>
      <c r="J157" s="23" t="s">
        <v>72</v>
      </c>
      <c r="K157" s="20">
        <v>1.63</v>
      </c>
      <c r="L157" s="20">
        <v>39.11</v>
      </c>
      <c r="M157" s="26">
        <v>0</v>
      </c>
      <c r="N157" s="26"/>
      <c r="O157" s="26"/>
      <c r="P157" s="23" t="s">
        <v>198</v>
      </c>
      <c r="Q157" s="23" t="s">
        <v>124</v>
      </c>
      <c r="R157" s="22"/>
      <c r="S157" s="26"/>
      <c r="T157" s="22"/>
      <c r="U157" s="37">
        <v>46031.509722222203</v>
      </c>
      <c r="V157" s="37">
        <v>46031.709027777797</v>
      </c>
      <c r="W157" s="18"/>
      <c r="X157" s="18"/>
      <c r="Y157" s="18"/>
      <c r="Z157" s="18"/>
      <c r="AA157" s="18"/>
      <c r="AB157" s="18"/>
    </row>
    <row r="158" spans="1:28" ht="19.5" customHeight="1">
      <c r="A158" s="20">
        <v>1176</v>
      </c>
      <c r="B158" s="21" t="s">
        <v>265</v>
      </c>
      <c r="C158" s="23" t="s">
        <v>116</v>
      </c>
      <c r="D158" s="23" t="s">
        <v>49</v>
      </c>
      <c r="E158" s="23" t="s">
        <v>139</v>
      </c>
      <c r="F158" s="22" t="s">
        <v>26</v>
      </c>
      <c r="G158" s="24">
        <v>46022.620833333298</v>
      </c>
      <c r="H158" s="23" t="s">
        <v>27</v>
      </c>
      <c r="I158" s="31">
        <v>46022.671527777798</v>
      </c>
      <c r="J158" s="23" t="s">
        <v>72</v>
      </c>
      <c r="K158" s="20">
        <v>0.05</v>
      </c>
      <c r="L158" s="20">
        <v>1.22</v>
      </c>
      <c r="M158" s="26">
        <v>0</v>
      </c>
      <c r="N158" s="26"/>
      <c r="O158" s="36">
        <v>294</v>
      </c>
      <c r="P158" s="23" t="s">
        <v>198</v>
      </c>
      <c r="Q158" s="23" t="s">
        <v>124</v>
      </c>
      <c r="R158" s="22"/>
      <c r="S158" s="26"/>
      <c r="T158" s="22"/>
      <c r="U158" s="37">
        <v>46030.702083333301</v>
      </c>
      <c r="V158" s="37">
        <v>46031.4465277778</v>
      </c>
      <c r="W158" s="18"/>
      <c r="X158" s="18"/>
      <c r="Y158" s="18"/>
      <c r="Z158" s="18"/>
      <c r="AA158" s="18"/>
      <c r="AB158" s="18"/>
    </row>
    <row r="159" spans="1:28" ht="19.5" customHeight="1">
      <c r="A159" s="20">
        <v>1172</v>
      </c>
      <c r="B159" s="27" t="s">
        <v>266</v>
      </c>
      <c r="C159" s="23" t="s">
        <v>116</v>
      </c>
      <c r="D159" s="23" t="s">
        <v>49</v>
      </c>
      <c r="E159" s="23" t="s">
        <v>94</v>
      </c>
      <c r="F159" s="22" t="s">
        <v>46</v>
      </c>
      <c r="G159" s="24">
        <v>46018.902083333298</v>
      </c>
      <c r="H159" s="23" t="s">
        <v>27</v>
      </c>
      <c r="I159" s="31">
        <v>46023.554861111101</v>
      </c>
      <c r="J159" s="23" t="s">
        <v>72</v>
      </c>
      <c r="K159" s="20">
        <v>4.6500000000000004</v>
      </c>
      <c r="L159" s="20">
        <v>111.66</v>
      </c>
      <c r="M159" s="26">
        <v>0</v>
      </c>
      <c r="N159" s="26"/>
      <c r="O159" s="26"/>
      <c r="P159" s="23" t="s">
        <v>198</v>
      </c>
      <c r="Q159" s="23" t="s">
        <v>124</v>
      </c>
      <c r="R159" s="39" t="s">
        <v>263</v>
      </c>
      <c r="S159" s="36">
        <v>1433</v>
      </c>
      <c r="T159" s="22"/>
      <c r="U159" s="37">
        <v>46031.511111111096</v>
      </c>
      <c r="V159" s="37">
        <v>46031.709027777797</v>
      </c>
      <c r="W159" s="18"/>
      <c r="X159" s="18"/>
      <c r="Y159" s="18"/>
      <c r="Z159" s="18"/>
      <c r="AA159" s="18"/>
      <c r="AB159" s="18"/>
    </row>
    <row r="160" spans="1:28" ht="57.75" customHeight="1">
      <c r="A160" s="20">
        <v>1165</v>
      </c>
      <c r="B160" s="21" t="s">
        <v>267</v>
      </c>
      <c r="C160" s="23" t="s">
        <v>116</v>
      </c>
      <c r="D160" s="23" t="s">
        <v>24</v>
      </c>
      <c r="E160" s="23" t="s">
        <v>139</v>
      </c>
      <c r="F160" s="22" t="s">
        <v>46</v>
      </c>
      <c r="G160" s="24">
        <v>46011.693055555603</v>
      </c>
      <c r="H160" s="23" t="s">
        <v>27</v>
      </c>
      <c r="I160" s="31">
        <v>46024.596527777801</v>
      </c>
      <c r="J160" s="23" t="s">
        <v>72</v>
      </c>
      <c r="K160" s="20">
        <v>12.9</v>
      </c>
      <c r="L160" s="20">
        <v>309.69</v>
      </c>
      <c r="M160" s="26">
        <v>0</v>
      </c>
      <c r="N160" s="26"/>
      <c r="O160" s="26"/>
      <c r="P160" s="23" t="s">
        <v>198</v>
      </c>
      <c r="Q160" s="23" t="s">
        <v>124</v>
      </c>
      <c r="R160" s="22"/>
      <c r="S160" s="26"/>
      <c r="T160" s="22"/>
      <c r="U160" s="37">
        <v>46026.666666666701</v>
      </c>
      <c r="V160" s="37">
        <v>46027.484722222202</v>
      </c>
      <c r="W160" s="18"/>
      <c r="X160" s="18"/>
      <c r="Y160" s="18"/>
      <c r="Z160" s="18"/>
      <c r="AA160" s="18"/>
      <c r="AB160" s="18"/>
    </row>
    <row r="161" spans="1:28" ht="39" customHeight="1">
      <c r="A161" s="20">
        <v>1156</v>
      </c>
      <c r="B161" s="27" t="s">
        <v>268</v>
      </c>
      <c r="C161" s="23" t="s">
        <v>116</v>
      </c>
      <c r="D161" s="23" t="s">
        <v>33</v>
      </c>
      <c r="E161" s="23" t="s">
        <v>139</v>
      </c>
      <c r="F161" s="22" t="s">
        <v>46</v>
      </c>
      <c r="G161" s="24">
        <v>46001.604166666701</v>
      </c>
      <c r="H161" s="23" t="s">
        <v>27</v>
      </c>
      <c r="I161" s="31">
        <v>46006.718055555597</v>
      </c>
      <c r="J161" s="23" t="s">
        <v>72</v>
      </c>
      <c r="K161" s="20">
        <v>5.1100000000000003</v>
      </c>
      <c r="L161" s="20">
        <v>122.72</v>
      </c>
      <c r="M161" s="26">
        <v>0</v>
      </c>
      <c r="N161" s="26"/>
      <c r="O161" s="36">
        <v>1153</v>
      </c>
      <c r="P161" s="23" t="s">
        <v>198</v>
      </c>
      <c r="Q161" s="23" t="s">
        <v>124</v>
      </c>
      <c r="R161" s="22"/>
      <c r="S161" s="26"/>
      <c r="T161" s="22"/>
      <c r="U161" s="37">
        <v>46031.511805555601</v>
      </c>
      <c r="V161" s="37">
        <v>46031.7097222222</v>
      </c>
      <c r="W161" s="18"/>
      <c r="X161" s="18"/>
      <c r="Y161" s="18"/>
      <c r="Z161" s="18"/>
      <c r="AA161" s="18"/>
      <c r="AB161" s="18"/>
    </row>
    <row r="162" spans="1:28" ht="19.5" customHeight="1">
      <c r="A162" s="20" t="s">
        <v>269</v>
      </c>
      <c r="B162" s="21" t="s">
        <v>270</v>
      </c>
      <c r="C162" s="23" t="s">
        <v>116</v>
      </c>
      <c r="D162" s="23" t="s">
        <v>49</v>
      </c>
      <c r="E162" s="23" t="s">
        <v>139</v>
      </c>
      <c r="F162" s="22" t="s">
        <v>46</v>
      </c>
      <c r="G162" s="24">
        <v>46133.688888888901</v>
      </c>
      <c r="H162" s="23" t="s">
        <v>27</v>
      </c>
      <c r="I162" s="31">
        <v>46136.34375</v>
      </c>
      <c r="J162" s="23" t="s">
        <v>72</v>
      </c>
      <c r="K162" s="20">
        <v>2.65</v>
      </c>
      <c r="L162" s="20">
        <v>63.72</v>
      </c>
      <c r="M162" s="26">
        <v>0</v>
      </c>
      <c r="N162" s="26"/>
      <c r="O162" s="26"/>
      <c r="P162" s="23" t="s">
        <v>37</v>
      </c>
      <c r="Q162" s="22"/>
      <c r="R162" s="22"/>
      <c r="S162" s="36">
        <v>0</v>
      </c>
      <c r="T162" s="22"/>
      <c r="U162" s="22"/>
      <c r="V162" s="37">
        <v>46136.34375</v>
      </c>
      <c r="W162" s="18"/>
      <c r="X162" s="18"/>
      <c r="Y162" s="18"/>
      <c r="Z162" s="18"/>
      <c r="AA162" s="18"/>
      <c r="AB162" s="18"/>
    </row>
    <row r="163" spans="1:28" ht="39" customHeight="1">
      <c r="A163" s="20" t="s">
        <v>271</v>
      </c>
      <c r="B163" s="27" t="s">
        <v>272</v>
      </c>
      <c r="C163" s="23" t="s">
        <v>116</v>
      </c>
      <c r="D163" s="23" t="s">
        <v>49</v>
      </c>
      <c r="E163" s="23" t="s">
        <v>139</v>
      </c>
      <c r="F163" s="22" t="s">
        <v>46</v>
      </c>
      <c r="G163" s="24">
        <v>46132.797916666699</v>
      </c>
      <c r="H163" s="23" t="s">
        <v>27</v>
      </c>
      <c r="I163" s="31">
        <v>46139.491666666698</v>
      </c>
      <c r="J163" s="23" t="s">
        <v>72</v>
      </c>
      <c r="K163" s="20">
        <v>6.69</v>
      </c>
      <c r="L163" s="20">
        <v>160.65</v>
      </c>
      <c r="M163" s="26">
        <v>0</v>
      </c>
      <c r="N163" s="26"/>
      <c r="O163" s="26"/>
      <c r="P163" s="23" t="s">
        <v>198</v>
      </c>
      <c r="Q163" s="22"/>
      <c r="R163" s="22"/>
      <c r="S163" s="26"/>
      <c r="T163" s="22"/>
      <c r="U163" s="22"/>
      <c r="V163" s="37">
        <v>46136.402777777803</v>
      </c>
      <c r="W163" s="18"/>
      <c r="X163" s="18"/>
      <c r="Y163" s="18"/>
      <c r="Z163" s="18"/>
      <c r="AA163" s="18"/>
      <c r="AB163" s="18"/>
    </row>
    <row r="164" spans="1:28" ht="29.25" customHeight="1">
      <c r="A164" s="20" t="s">
        <v>273</v>
      </c>
      <c r="B164" s="27" t="s">
        <v>274</v>
      </c>
      <c r="C164" s="23" t="s">
        <v>116</v>
      </c>
      <c r="D164" s="23" t="s">
        <v>49</v>
      </c>
      <c r="E164" s="23" t="s">
        <v>94</v>
      </c>
      <c r="F164" s="22" t="s">
        <v>46</v>
      </c>
      <c r="G164" s="24">
        <v>46132.7902777778</v>
      </c>
      <c r="H164" s="23" t="s">
        <v>27</v>
      </c>
      <c r="I164" s="31">
        <v>46139.491666666698</v>
      </c>
      <c r="J164" s="23" t="s">
        <v>72</v>
      </c>
      <c r="K164" s="20">
        <v>6.7</v>
      </c>
      <c r="L164" s="20">
        <v>160.83000000000001</v>
      </c>
      <c r="M164" s="26">
        <v>0</v>
      </c>
      <c r="N164" s="26"/>
      <c r="O164" s="26"/>
      <c r="P164" s="23" t="s">
        <v>198</v>
      </c>
      <c r="Q164" s="22"/>
      <c r="R164" s="22"/>
      <c r="S164" s="26"/>
      <c r="T164" s="22"/>
      <c r="U164" s="22"/>
      <c r="V164" s="37">
        <v>46136.402083333298</v>
      </c>
      <c r="W164" s="18"/>
      <c r="X164" s="18"/>
      <c r="Y164" s="18"/>
      <c r="Z164" s="18"/>
      <c r="AA164" s="18"/>
      <c r="AB164" s="18"/>
    </row>
    <row r="165" spans="1:28" ht="19.5" customHeight="1">
      <c r="A165" s="20" t="s">
        <v>275</v>
      </c>
      <c r="B165" s="27" t="s">
        <v>276</v>
      </c>
      <c r="C165" s="23" t="s">
        <v>116</v>
      </c>
      <c r="D165" s="23" t="s">
        <v>49</v>
      </c>
      <c r="E165" s="23" t="s">
        <v>94</v>
      </c>
      <c r="F165" s="22" t="s">
        <v>46</v>
      </c>
      <c r="G165" s="24">
        <v>46132.445138888899</v>
      </c>
      <c r="H165" s="23" t="s">
        <v>27</v>
      </c>
      <c r="I165" s="31">
        <v>46136.345138888901</v>
      </c>
      <c r="J165" s="23" t="s">
        <v>72</v>
      </c>
      <c r="K165" s="20">
        <v>3.9</v>
      </c>
      <c r="L165" s="20">
        <v>93.6</v>
      </c>
      <c r="M165" s="26">
        <v>0</v>
      </c>
      <c r="N165" s="26"/>
      <c r="O165" s="26"/>
      <c r="P165" s="23" t="s">
        <v>37</v>
      </c>
      <c r="Q165" s="22"/>
      <c r="R165" s="22"/>
      <c r="S165" s="26"/>
      <c r="T165" s="22"/>
      <c r="U165" s="22"/>
      <c r="V165" s="37">
        <v>46136.345138888901</v>
      </c>
      <c r="W165" s="18"/>
      <c r="X165" s="18"/>
      <c r="Y165" s="18"/>
      <c r="Z165" s="18"/>
      <c r="AA165" s="18"/>
      <c r="AB165" s="18"/>
    </row>
    <row r="166" spans="1:28" ht="39" customHeight="1">
      <c r="A166" s="20" t="s">
        <v>277</v>
      </c>
      <c r="B166" s="21" t="s">
        <v>278</v>
      </c>
      <c r="C166" s="22"/>
      <c r="D166" s="23" t="s">
        <v>24</v>
      </c>
      <c r="E166" s="23" t="s">
        <v>83</v>
      </c>
      <c r="F166" s="22" t="s">
        <v>55</v>
      </c>
      <c r="G166" s="24">
        <v>46131.898611111101</v>
      </c>
      <c r="H166" s="23" t="s">
        <v>27</v>
      </c>
      <c r="I166" s="25"/>
      <c r="J166" s="22"/>
      <c r="K166" s="20"/>
      <c r="L166" s="20">
        <v>0</v>
      </c>
      <c r="M166" s="26">
        <v>0</v>
      </c>
      <c r="N166" s="26"/>
      <c r="O166" s="26"/>
      <c r="P166" s="23" t="s">
        <v>198</v>
      </c>
      <c r="Q166" s="22"/>
      <c r="R166" s="22"/>
      <c r="S166" s="26"/>
      <c r="T166" s="22"/>
      <c r="U166" s="22"/>
      <c r="V166" s="22"/>
      <c r="W166" s="18"/>
      <c r="X166" s="18"/>
      <c r="Y166" s="18"/>
      <c r="Z166" s="18"/>
      <c r="AA166" s="18"/>
      <c r="AB166" s="18"/>
    </row>
    <row r="167" spans="1:28" ht="29.25" customHeight="1">
      <c r="A167" s="20" t="s">
        <v>279</v>
      </c>
      <c r="B167" s="27" t="s">
        <v>280</v>
      </c>
      <c r="C167" s="22"/>
      <c r="D167" s="23" t="s">
        <v>24</v>
      </c>
      <c r="E167" s="23" t="s">
        <v>151</v>
      </c>
      <c r="F167" s="22"/>
      <c r="G167" s="24">
        <v>46131.8215277778</v>
      </c>
      <c r="H167" s="23" t="s">
        <v>27</v>
      </c>
      <c r="I167" s="31">
        <v>46149.479861111096</v>
      </c>
      <c r="J167" s="23" t="s">
        <v>281</v>
      </c>
      <c r="K167" s="20">
        <v>17.66</v>
      </c>
      <c r="L167" s="20">
        <v>423.8</v>
      </c>
      <c r="M167" s="26">
        <v>0</v>
      </c>
      <c r="N167" s="26"/>
      <c r="O167" s="26"/>
      <c r="P167" s="23" t="s">
        <v>198</v>
      </c>
      <c r="Q167" s="22"/>
      <c r="R167" s="22"/>
      <c r="S167" s="26"/>
      <c r="T167" s="22"/>
      <c r="U167" s="22"/>
      <c r="V167" s="22"/>
      <c r="W167" s="18"/>
      <c r="X167" s="18"/>
      <c r="Y167" s="18"/>
      <c r="Z167" s="18"/>
      <c r="AA167" s="18"/>
      <c r="AB167" s="18"/>
    </row>
    <row r="168" spans="1:28" ht="29.25" customHeight="1">
      <c r="A168" s="20" t="s">
        <v>282</v>
      </c>
      <c r="B168" s="21" t="s">
        <v>283</v>
      </c>
      <c r="C168" s="23" t="s">
        <v>116</v>
      </c>
      <c r="D168" s="23" t="s">
        <v>24</v>
      </c>
      <c r="E168" s="23" t="s">
        <v>30</v>
      </c>
      <c r="F168" s="22" t="s">
        <v>26</v>
      </c>
      <c r="G168" s="24">
        <v>46131.612500000003</v>
      </c>
      <c r="H168" s="23" t="s">
        <v>27</v>
      </c>
      <c r="I168" s="31">
        <v>46136.347222222197</v>
      </c>
      <c r="J168" s="23" t="s">
        <v>72</v>
      </c>
      <c r="K168" s="20">
        <v>4.7300000000000004</v>
      </c>
      <c r="L168" s="20">
        <v>113.63</v>
      </c>
      <c r="M168" s="26">
        <v>0</v>
      </c>
      <c r="N168" s="26"/>
      <c r="O168" s="36">
        <v>38</v>
      </c>
      <c r="P168" s="23" t="s">
        <v>37</v>
      </c>
      <c r="Q168" s="22"/>
      <c r="R168" s="22"/>
      <c r="S168" s="36">
        <v>0</v>
      </c>
      <c r="T168" s="22"/>
      <c r="U168" s="22"/>
      <c r="V168" s="37">
        <v>46136.347222222197</v>
      </c>
      <c r="W168" s="18"/>
      <c r="X168" s="18"/>
      <c r="Y168" s="18"/>
      <c r="Z168" s="18"/>
      <c r="AA168" s="18"/>
      <c r="AB168" s="18"/>
    </row>
    <row r="169" spans="1:28" ht="39" customHeight="1">
      <c r="A169" s="20" t="s">
        <v>284</v>
      </c>
      <c r="B169" s="21" t="s">
        <v>285</v>
      </c>
      <c r="C169" s="23" t="s">
        <v>116</v>
      </c>
      <c r="D169" s="23" t="s">
        <v>24</v>
      </c>
      <c r="E169" s="23" t="s">
        <v>139</v>
      </c>
      <c r="F169" s="22" t="s">
        <v>46</v>
      </c>
      <c r="G169" s="24">
        <v>46130.85</v>
      </c>
      <c r="H169" s="23" t="s">
        <v>27</v>
      </c>
      <c r="I169" s="31">
        <v>46136.347916666702</v>
      </c>
      <c r="J169" s="23" t="s">
        <v>72</v>
      </c>
      <c r="K169" s="20">
        <v>5.5</v>
      </c>
      <c r="L169" s="20">
        <v>131.94999999999999</v>
      </c>
      <c r="M169" s="26">
        <v>0</v>
      </c>
      <c r="N169" s="26"/>
      <c r="O169" s="26"/>
      <c r="P169" s="23" t="s">
        <v>37</v>
      </c>
      <c r="Q169" s="22"/>
      <c r="R169" s="22"/>
      <c r="S169" s="36">
        <v>0</v>
      </c>
      <c r="T169" s="22"/>
      <c r="U169" s="22"/>
      <c r="V169" s="37">
        <v>46136.347916666702</v>
      </c>
      <c r="W169" s="18"/>
      <c r="X169" s="18"/>
      <c r="Y169" s="18"/>
      <c r="Z169" s="18"/>
      <c r="AA169" s="18"/>
      <c r="AB169" s="18"/>
    </row>
    <row r="170" spans="1:28" ht="29.25" customHeight="1">
      <c r="A170" s="20" t="s">
        <v>286</v>
      </c>
      <c r="B170" s="21" t="s">
        <v>287</v>
      </c>
      <c r="C170" s="23" t="s">
        <v>116</v>
      </c>
      <c r="D170" s="23" t="s">
        <v>49</v>
      </c>
      <c r="E170" s="23" t="s">
        <v>139</v>
      </c>
      <c r="F170" s="22" t="s">
        <v>26</v>
      </c>
      <c r="G170" s="24">
        <v>46130.741666666698</v>
      </c>
      <c r="H170" s="23" t="s">
        <v>27</v>
      </c>
      <c r="I170" s="31">
        <v>46135.592361111099</v>
      </c>
      <c r="J170" s="23" t="s">
        <v>72</v>
      </c>
      <c r="K170" s="20">
        <v>4.8499999999999996</v>
      </c>
      <c r="L170" s="20">
        <v>116.42</v>
      </c>
      <c r="M170" s="26">
        <v>0</v>
      </c>
      <c r="N170" s="26"/>
      <c r="O170" s="26"/>
      <c r="P170" s="23" t="s">
        <v>198</v>
      </c>
      <c r="Q170" s="22"/>
      <c r="R170" s="22"/>
      <c r="S170" s="26"/>
      <c r="T170" s="22"/>
      <c r="U170" s="22"/>
      <c r="V170" s="37">
        <v>46135.592361111099</v>
      </c>
      <c r="W170" s="18"/>
      <c r="X170" s="18"/>
      <c r="Y170" s="18"/>
      <c r="Z170" s="18"/>
      <c r="AA170" s="18"/>
      <c r="AB170" s="18"/>
    </row>
    <row r="171" spans="1:28" ht="39" customHeight="1">
      <c r="A171" s="20" t="s">
        <v>288</v>
      </c>
      <c r="B171" s="21" t="s">
        <v>289</v>
      </c>
      <c r="C171" s="23" t="s">
        <v>116</v>
      </c>
      <c r="D171" s="23" t="s">
        <v>49</v>
      </c>
      <c r="E171" s="23" t="s">
        <v>139</v>
      </c>
      <c r="F171" s="22" t="s">
        <v>46</v>
      </c>
      <c r="G171" s="24">
        <v>46129.454166666699</v>
      </c>
      <c r="H171" s="23" t="s">
        <v>27</v>
      </c>
      <c r="I171" s="31">
        <v>46136.400694444397</v>
      </c>
      <c r="J171" s="23" t="s">
        <v>72</v>
      </c>
      <c r="K171" s="20">
        <v>6.95</v>
      </c>
      <c r="L171" s="20">
        <v>166.72</v>
      </c>
      <c r="M171" s="26">
        <v>0</v>
      </c>
      <c r="N171" s="26"/>
      <c r="O171" s="36">
        <v>142</v>
      </c>
      <c r="P171" s="23" t="s">
        <v>37</v>
      </c>
      <c r="Q171" s="22"/>
      <c r="R171" s="22"/>
      <c r="S171" s="36">
        <v>0</v>
      </c>
      <c r="T171" s="22"/>
      <c r="U171" s="22"/>
      <c r="V171" s="37">
        <v>46136.400694444397</v>
      </c>
      <c r="W171" s="18"/>
      <c r="X171" s="18"/>
      <c r="Y171" s="18"/>
      <c r="Z171" s="18"/>
      <c r="AA171" s="18"/>
      <c r="AB171" s="18"/>
    </row>
    <row r="172" spans="1:28" ht="15" customHeight="1">
      <c r="A172" s="20" t="s">
        <v>290</v>
      </c>
      <c r="B172" s="27" t="s">
        <v>291</v>
      </c>
      <c r="C172" s="22"/>
      <c r="D172" s="23" t="s">
        <v>49</v>
      </c>
      <c r="E172" s="23" t="s">
        <v>139</v>
      </c>
      <c r="F172" s="22" t="s">
        <v>46</v>
      </c>
      <c r="G172" s="24">
        <v>46128.829861111102</v>
      </c>
      <c r="H172" s="23" t="s">
        <v>27</v>
      </c>
      <c r="I172" s="25"/>
      <c r="J172" s="22"/>
      <c r="K172" s="20"/>
      <c r="L172" s="20">
        <v>0</v>
      </c>
      <c r="M172" s="26">
        <v>0</v>
      </c>
      <c r="N172" s="26"/>
      <c r="O172" s="26"/>
      <c r="P172" s="23" t="s">
        <v>198</v>
      </c>
      <c r="Q172" s="22"/>
      <c r="R172" s="22"/>
      <c r="S172" s="26"/>
      <c r="T172" s="22"/>
      <c r="U172" s="22"/>
      <c r="V172" s="22"/>
      <c r="W172" s="18"/>
      <c r="X172" s="18"/>
      <c r="Y172" s="18"/>
      <c r="Z172" s="18"/>
      <c r="AA172" s="18"/>
      <c r="AB172" s="18"/>
    </row>
    <row r="173" spans="1:28" ht="39" customHeight="1">
      <c r="A173" s="20" t="s">
        <v>292</v>
      </c>
      <c r="B173" s="27" t="s">
        <v>293</v>
      </c>
      <c r="C173" s="23" t="s">
        <v>116</v>
      </c>
      <c r="D173" s="23" t="s">
        <v>49</v>
      </c>
      <c r="E173" s="23" t="s">
        <v>30</v>
      </c>
      <c r="F173" s="22" t="s">
        <v>26</v>
      </c>
      <c r="G173" s="24">
        <v>46128.661805555603</v>
      </c>
      <c r="H173" s="23" t="s">
        <v>27</v>
      </c>
      <c r="I173" s="31">
        <v>46133.395138888904</v>
      </c>
      <c r="J173" s="23" t="s">
        <v>72</v>
      </c>
      <c r="K173" s="20">
        <v>4.7300000000000004</v>
      </c>
      <c r="L173" s="20">
        <v>113.6</v>
      </c>
      <c r="M173" s="26">
        <v>0</v>
      </c>
      <c r="N173" s="26"/>
      <c r="O173" s="26"/>
      <c r="P173" s="23" t="s">
        <v>198</v>
      </c>
      <c r="Q173" s="22"/>
      <c r="R173" s="22"/>
      <c r="S173" s="26"/>
      <c r="T173" s="22"/>
      <c r="U173" s="22"/>
      <c r="V173" s="37">
        <v>46133.395138888904</v>
      </c>
      <c r="W173" s="18"/>
      <c r="X173" s="18"/>
      <c r="Y173" s="18"/>
      <c r="Z173" s="18"/>
      <c r="AA173" s="18"/>
      <c r="AB173" s="18"/>
    </row>
    <row r="174" spans="1:28" ht="29.25" customHeight="1">
      <c r="A174" s="20" t="s">
        <v>294</v>
      </c>
      <c r="B174" s="21" t="s">
        <v>295</v>
      </c>
      <c r="C174" s="23" t="s">
        <v>116</v>
      </c>
      <c r="D174" s="23" t="s">
        <v>33</v>
      </c>
      <c r="E174" s="23" t="s">
        <v>30</v>
      </c>
      <c r="F174" s="22" t="s">
        <v>26</v>
      </c>
      <c r="G174" s="24">
        <v>46127.702083333301</v>
      </c>
      <c r="H174" s="23" t="s">
        <v>27</v>
      </c>
      <c r="I174" s="31">
        <v>46135.591666666704</v>
      </c>
      <c r="J174" s="23" t="s">
        <v>72</v>
      </c>
      <c r="K174" s="20">
        <v>7.89</v>
      </c>
      <c r="L174" s="20">
        <v>189.35</v>
      </c>
      <c r="M174" s="26">
        <v>0</v>
      </c>
      <c r="N174" s="26"/>
      <c r="O174" s="26"/>
      <c r="P174" s="23" t="s">
        <v>198</v>
      </c>
      <c r="Q174" s="22"/>
      <c r="R174" s="22"/>
      <c r="S174" s="26"/>
      <c r="T174" s="22"/>
      <c r="U174" s="22"/>
      <c r="V174" s="37">
        <v>46134.354861111096</v>
      </c>
      <c r="W174" s="18"/>
      <c r="X174" s="18"/>
      <c r="Y174" s="18"/>
      <c r="Z174" s="18"/>
      <c r="AA174" s="18"/>
      <c r="AB174" s="18"/>
    </row>
    <row r="175" spans="1:28" ht="29.25" customHeight="1">
      <c r="A175" s="20" t="s">
        <v>296</v>
      </c>
      <c r="B175" s="27" t="s">
        <v>297</v>
      </c>
      <c r="C175" s="23" t="s">
        <v>116</v>
      </c>
      <c r="D175" s="23" t="s">
        <v>37</v>
      </c>
      <c r="E175" s="23" t="s">
        <v>144</v>
      </c>
      <c r="F175" s="22" t="s">
        <v>90</v>
      </c>
      <c r="G175" s="24">
        <v>46127.490277777797</v>
      </c>
      <c r="H175" s="23" t="s">
        <v>27</v>
      </c>
      <c r="I175" s="31">
        <v>46146.404861111099</v>
      </c>
      <c r="J175" s="23" t="s">
        <v>72</v>
      </c>
      <c r="K175" s="20">
        <v>12.02</v>
      </c>
      <c r="L175" s="20">
        <v>288.52999999999997</v>
      </c>
      <c r="M175" s="26">
        <v>0</v>
      </c>
      <c r="N175" s="26"/>
      <c r="O175" s="36">
        <v>1600</v>
      </c>
      <c r="P175" s="23" t="s">
        <v>198</v>
      </c>
      <c r="Q175" s="22"/>
      <c r="R175" s="39" t="s">
        <v>237</v>
      </c>
      <c r="S175" s="26"/>
      <c r="T175" s="22"/>
      <c r="U175" s="22"/>
      <c r="V175" s="37">
        <v>46139.512499999997</v>
      </c>
      <c r="W175" s="18"/>
      <c r="X175" s="18"/>
      <c r="Y175" s="18"/>
      <c r="Z175" s="18"/>
      <c r="AA175" s="18"/>
      <c r="AB175" s="18"/>
    </row>
    <row r="176" spans="1:28" ht="29.25" customHeight="1">
      <c r="A176" s="20" t="s">
        <v>298</v>
      </c>
      <c r="B176" s="21" t="s">
        <v>299</v>
      </c>
      <c r="C176" s="23" t="s">
        <v>116</v>
      </c>
      <c r="D176" s="23" t="s">
        <v>33</v>
      </c>
      <c r="E176" s="23" t="s">
        <v>30</v>
      </c>
      <c r="F176" s="22" t="s">
        <v>26</v>
      </c>
      <c r="G176" s="24">
        <v>46125.628472222197</v>
      </c>
      <c r="H176" s="23" t="s">
        <v>27</v>
      </c>
      <c r="I176" s="31">
        <v>46133.410416666702</v>
      </c>
      <c r="J176" s="23" t="s">
        <v>72</v>
      </c>
      <c r="K176" s="20">
        <v>7.78</v>
      </c>
      <c r="L176" s="20">
        <v>186.77</v>
      </c>
      <c r="M176" s="26">
        <v>0</v>
      </c>
      <c r="N176" s="26"/>
      <c r="O176" s="26"/>
      <c r="P176" s="23" t="s">
        <v>37</v>
      </c>
      <c r="Q176" s="22"/>
      <c r="R176" s="22"/>
      <c r="S176" s="36">
        <v>0</v>
      </c>
      <c r="T176" s="22"/>
      <c r="U176" s="22"/>
      <c r="V176" s="37">
        <v>46133.409722222197</v>
      </c>
      <c r="W176" s="18"/>
      <c r="X176" s="18"/>
      <c r="Y176" s="18"/>
      <c r="Z176" s="18"/>
      <c r="AA176" s="18"/>
      <c r="AB176" s="18"/>
    </row>
    <row r="177" spans="1:28" ht="19.5" customHeight="1">
      <c r="A177" s="20" t="s">
        <v>300</v>
      </c>
      <c r="B177" s="21" t="s">
        <v>301</v>
      </c>
      <c r="C177" s="23" t="s">
        <v>116</v>
      </c>
      <c r="D177" s="23" t="s">
        <v>33</v>
      </c>
      <c r="E177" s="23" t="s">
        <v>30</v>
      </c>
      <c r="F177" s="22" t="s">
        <v>26</v>
      </c>
      <c r="G177" s="24">
        <v>46125.431944444397</v>
      </c>
      <c r="H177" s="23" t="s">
        <v>27</v>
      </c>
      <c r="I177" s="31">
        <v>46133.408333333296</v>
      </c>
      <c r="J177" s="23" t="s">
        <v>72</v>
      </c>
      <c r="K177" s="20">
        <v>7.98</v>
      </c>
      <c r="L177" s="20">
        <v>191.43</v>
      </c>
      <c r="M177" s="26">
        <v>0</v>
      </c>
      <c r="N177" s="26"/>
      <c r="O177" s="26"/>
      <c r="P177" s="23" t="s">
        <v>33</v>
      </c>
      <c r="Q177" s="22"/>
      <c r="R177" s="22"/>
      <c r="S177" s="36">
        <v>0</v>
      </c>
      <c r="T177" s="22"/>
      <c r="U177" s="22"/>
      <c r="V177" s="37">
        <v>46133.408333333296</v>
      </c>
      <c r="W177" s="18"/>
      <c r="X177" s="18"/>
      <c r="Y177" s="18"/>
      <c r="Z177" s="18"/>
      <c r="AA177" s="18"/>
      <c r="AB177" s="18"/>
    </row>
    <row r="178" spans="1:28" ht="39" customHeight="1">
      <c r="A178" s="20" t="s">
        <v>302</v>
      </c>
      <c r="B178" s="27" t="s">
        <v>303</v>
      </c>
      <c r="C178" s="23" t="s">
        <v>116</v>
      </c>
      <c r="D178" s="23" t="s">
        <v>37</v>
      </c>
      <c r="E178" s="23" t="s">
        <v>139</v>
      </c>
      <c r="F178" s="22"/>
      <c r="G178" s="24">
        <v>46124.827083333301</v>
      </c>
      <c r="H178" s="23" t="s">
        <v>27</v>
      </c>
      <c r="I178" s="31">
        <v>46133.409027777801</v>
      </c>
      <c r="J178" s="23" t="s">
        <v>72</v>
      </c>
      <c r="K178" s="20">
        <v>8.58</v>
      </c>
      <c r="L178" s="20">
        <v>205.97</v>
      </c>
      <c r="M178" s="26">
        <v>0</v>
      </c>
      <c r="N178" s="26"/>
      <c r="O178" s="26"/>
      <c r="P178" s="23" t="s">
        <v>198</v>
      </c>
      <c r="Q178" s="22"/>
      <c r="R178" s="22"/>
      <c r="S178" s="26"/>
      <c r="T178" s="22"/>
      <c r="U178" s="22"/>
      <c r="V178" s="37">
        <v>46133.409027777801</v>
      </c>
      <c r="W178" s="18"/>
      <c r="X178" s="18"/>
      <c r="Y178" s="18"/>
      <c r="Z178" s="18"/>
      <c r="AA178" s="18"/>
      <c r="AB178" s="18"/>
    </row>
    <row r="179" spans="1:28" ht="19.5" customHeight="1">
      <c r="A179" s="20" t="s">
        <v>304</v>
      </c>
      <c r="B179" s="27" t="s">
        <v>305</v>
      </c>
      <c r="C179" s="23" t="s">
        <v>116</v>
      </c>
      <c r="D179" s="23" t="s">
        <v>37</v>
      </c>
      <c r="E179" s="23" t="s">
        <v>139</v>
      </c>
      <c r="F179" s="22" t="s">
        <v>46</v>
      </c>
      <c r="G179" s="24">
        <v>46124.824999999997</v>
      </c>
      <c r="H179" s="23" t="s">
        <v>27</v>
      </c>
      <c r="I179" s="31">
        <v>46134.354166666701</v>
      </c>
      <c r="J179" s="23" t="s">
        <v>72</v>
      </c>
      <c r="K179" s="20">
        <v>9.5299999999999994</v>
      </c>
      <c r="L179" s="20">
        <v>228.7</v>
      </c>
      <c r="M179" s="26">
        <v>0</v>
      </c>
      <c r="N179" s="26"/>
      <c r="O179" s="26"/>
      <c r="P179" s="23" t="s">
        <v>37</v>
      </c>
      <c r="Q179" s="22"/>
      <c r="R179" s="22"/>
      <c r="S179" s="36">
        <v>0</v>
      </c>
      <c r="T179" s="22"/>
      <c r="U179" s="22"/>
      <c r="V179" s="37">
        <v>46134.354166666701</v>
      </c>
      <c r="W179" s="18"/>
      <c r="X179" s="18"/>
      <c r="Y179" s="18"/>
      <c r="Z179" s="18"/>
      <c r="AA179" s="18"/>
      <c r="AB179" s="18"/>
    </row>
    <row r="180" spans="1:28" ht="19.5" customHeight="1">
      <c r="A180" s="20" t="s">
        <v>306</v>
      </c>
      <c r="B180" s="27" t="s">
        <v>307</v>
      </c>
      <c r="C180" s="22"/>
      <c r="D180" s="23" t="s">
        <v>134</v>
      </c>
      <c r="E180" s="23" t="s">
        <v>308</v>
      </c>
      <c r="F180" s="22" t="s">
        <v>46</v>
      </c>
      <c r="G180" s="24">
        <v>46122.6875</v>
      </c>
      <c r="H180" s="23" t="s">
        <v>27</v>
      </c>
      <c r="I180" s="31">
        <v>46125.443749999999</v>
      </c>
      <c r="J180" s="23" t="s">
        <v>110</v>
      </c>
      <c r="K180" s="20">
        <v>2.76</v>
      </c>
      <c r="L180" s="20">
        <v>66.150000000000006</v>
      </c>
      <c r="M180" s="26">
        <v>0</v>
      </c>
      <c r="N180" s="26"/>
      <c r="O180" s="26"/>
      <c r="P180" s="23" t="s">
        <v>198</v>
      </c>
      <c r="Q180" s="22"/>
      <c r="R180" s="22"/>
      <c r="S180" s="26"/>
      <c r="T180" s="22"/>
      <c r="U180" s="22"/>
      <c r="V180" s="22"/>
      <c r="W180" s="18"/>
      <c r="X180" s="18"/>
      <c r="Y180" s="18"/>
      <c r="Z180" s="18"/>
      <c r="AA180" s="18"/>
      <c r="AB180" s="18"/>
    </row>
    <row r="181" spans="1:28" ht="39" customHeight="1">
      <c r="A181" s="20" t="s">
        <v>309</v>
      </c>
      <c r="B181" s="27" t="s">
        <v>310</v>
      </c>
      <c r="C181" s="23" t="s">
        <v>116</v>
      </c>
      <c r="D181" s="23" t="s">
        <v>134</v>
      </c>
      <c r="E181" s="23" t="s">
        <v>139</v>
      </c>
      <c r="F181" s="22" t="s">
        <v>46</v>
      </c>
      <c r="G181" s="24">
        <v>46122.686805555597</v>
      </c>
      <c r="H181" s="23" t="s">
        <v>27</v>
      </c>
      <c r="I181" s="31">
        <v>46133.409027777801</v>
      </c>
      <c r="J181" s="23" t="s">
        <v>72</v>
      </c>
      <c r="K181" s="20">
        <v>10.72</v>
      </c>
      <c r="L181" s="20">
        <v>257.33</v>
      </c>
      <c r="M181" s="26">
        <v>0</v>
      </c>
      <c r="N181" s="26"/>
      <c r="O181" s="26"/>
      <c r="P181" s="23" t="s">
        <v>198</v>
      </c>
      <c r="Q181" s="22"/>
      <c r="R181" s="22"/>
      <c r="S181" s="26"/>
      <c r="T181" s="22"/>
      <c r="U181" s="22"/>
      <c r="V181" s="37">
        <v>46133.409027777801</v>
      </c>
      <c r="W181" s="18"/>
      <c r="X181" s="18"/>
      <c r="Y181" s="18"/>
      <c r="Z181" s="18"/>
      <c r="AA181" s="18"/>
      <c r="AB181" s="18"/>
    </row>
    <row r="182" spans="1:28" ht="39" customHeight="1">
      <c r="A182" s="20" t="s">
        <v>311</v>
      </c>
      <c r="B182" s="27" t="s">
        <v>312</v>
      </c>
      <c r="C182" s="23" t="s">
        <v>116</v>
      </c>
      <c r="D182" s="23" t="s">
        <v>134</v>
      </c>
      <c r="E182" s="23" t="s">
        <v>99</v>
      </c>
      <c r="F182" s="22" t="s">
        <v>46</v>
      </c>
      <c r="G182" s="24">
        <v>46122.685416666704</v>
      </c>
      <c r="H182" s="23" t="s">
        <v>27</v>
      </c>
      <c r="I182" s="31">
        <v>46142.453472222202</v>
      </c>
      <c r="J182" s="23" t="s">
        <v>72</v>
      </c>
      <c r="K182" s="20">
        <v>16.82</v>
      </c>
      <c r="L182" s="20">
        <v>403.75</v>
      </c>
      <c r="M182" s="26">
        <v>0</v>
      </c>
      <c r="N182" s="26"/>
      <c r="O182" s="26"/>
      <c r="P182" s="23" t="s">
        <v>198</v>
      </c>
      <c r="Q182" s="22"/>
      <c r="R182" s="22"/>
      <c r="S182" s="26"/>
      <c r="T182" s="22"/>
      <c r="U182" s="22"/>
      <c r="V182" s="37">
        <v>46139.508333333302</v>
      </c>
      <c r="W182" s="18"/>
      <c r="X182" s="18"/>
      <c r="Y182" s="18"/>
      <c r="Z182" s="18"/>
      <c r="AA182" s="18"/>
      <c r="AB182" s="18"/>
    </row>
    <row r="183" spans="1:28" ht="29.25" customHeight="1">
      <c r="A183" s="20" t="s">
        <v>313</v>
      </c>
      <c r="B183" s="27" t="s">
        <v>314</v>
      </c>
      <c r="C183" s="22"/>
      <c r="D183" s="23" t="s">
        <v>134</v>
      </c>
      <c r="E183" s="23" t="s">
        <v>80</v>
      </c>
      <c r="F183" s="22" t="s">
        <v>46</v>
      </c>
      <c r="G183" s="24">
        <v>46122.684027777803</v>
      </c>
      <c r="H183" s="23" t="s">
        <v>27</v>
      </c>
      <c r="I183" s="31">
        <v>46140.382638888899</v>
      </c>
      <c r="J183" s="23" t="s">
        <v>281</v>
      </c>
      <c r="K183" s="20">
        <v>17.7</v>
      </c>
      <c r="L183" s="20">
        <v>424.77</v>
      </c>
      <c r="M183" s="26">
        <v>0</v>
      </c>
      <c r="N183" s="26"/>
      <c r="O183" s="26"/>
      <c r="P183" s="23" t="s">
        <v>198</v>
      </c>
      <c r="Q183" s="22"/>
      <c r="R183" s="22"/>
      <c r="S183" s="26"/>
      <c r="T183" s="22"/>
      <c r="U183" s="22"/>
      <c r="V183" s="22"/>
      <c r="W183" s="18"/>
      <c r="X183" s="18"/>
      <c r="Y183" s="18"/>
      <c r="Z183" s="18"/>
      <c r="AA183" s="18"/>
      <c r="AB183" s="18"/>
    </row>
    <row r="184" spans="1:28" ht="39" customHeight="1">
      <c r="A184" s="20" t="s">
        <v>315</v>
      </c>
      <c r="B184" s="27" t="s">
        <v>316</v>
      </c>
      <c r="C184" s="23" t="s">
        <v>116</v>
      </c>
      <c r="D184" s="23" t="s">
        <v>134</v>
      </c>
      <c r="E184" s="23" t="s">
        <v>99</v>
      </c>
      <c r="F184" s="22" t="s">
        <v>46</v>
      </c>
      <c r="G184" s="24">
        <v>46122.683333333298</v>
      </c>
      <c r="H184" s="23" t="s">
        <v>27</v>
      </c>
      <c r="I184" s="31">
        <v>46142.453472222202</v>
      </c>
      <c r="J184" s="23" t="s">
        <v>72</v>
      </c>
      <c r="K184" s="20">
        <v>16.899999999999999</v>
      </c>
      <c r="L184" s="20">
        <v>405.5</v>
      </c>
      <c r="M184" s="26">
        <v>0</v>
      </c>
      <c r="N184" s="26"/>
      <c r="O184" s="26"/>
      <c r="P184" s="23" t="s">
        <v>198</v>
      </c>
      <c r="Q184" s="22"/>
      <c r="R184" s="22"/>
      <c r="S184" s="26"/>
      <c r="T184" s="22"/>
      <c r="U184" s="22"/>
      <c r="V184" s="37">
        <v>46139.579166666699</v>
      </c>
      <c r="W184" s="18"/>
      <c r="X184" s="18"/>
      <c r="Y184" s="18"/>
      <c r="Z184" s="18"/>
      <c r="AA184" s="18"/>
      <c r="AB184" s="18"/>
    </row>
    <row r="185" spans="1:28" ht="29.25" customHeight="1">
      <c r="A185" s="20" t="s">
        <v>317</v>
      </c>
      <c r="B185" s="27" t="s">
        <v>318</v>
      </c>
      <c r="C185" s="22"/>
      <c r="D185" s="23" t="s">
        <v>134</v>
      </c>
      <c r="E185" s="23" t="s">
        <v>99</v>
      </c>
      <c r="F185" s="22" t="s">
        <v>46</v>
      </c>
      <c r="G185" s="24">
        <v>46122.681250000001</v>
      </c>
      <c r="H185" s="23" t="s">
        <v>27</v>
      </c>
      <c r="I185" s="31">
        <v>46135.752777777801</v>
      </c>
      <c r="J185" s="23" t="s">
        <v>110</v>
      </c>
      <c r="K185" s="20">
        <v>13.07</v>
      </c>
      <c r="L185" s="20">
        <v>313.72000000000003</v>
      </c>
      <c r="M185" s="26">
        <v>0</v>
      </c>
      <c r="N185" s="26"/>
      <c r="O185" s="26"/>
      <c r="P185" s="23" t="s">
        <v>198</v>
      </c>
      <c r="Q185" s="22"/>
      <c r="R185" s="22"/>
      <c r="S185" s="26"/>
      <c r="T185" s="22"/>
      <c r="U185" s="22"/>
      <c r="V185" s="22"/>
      <c r="W185" s="18"/>
      <c r="X185" s="18"/>
      <c r="Y185" s="18"/>
      <c r="Z185" s="18"/>
      <c r="AA185" s="18"/>
      <c r="AB185" s="18"/>
    </row>
    <row r="186" spans="1:28" ht="19.5" customHeight="1">
      <c r="A186" s="20" t="s">
        <v>319</v>
      </c>
      <c r="B186" s="27" t="s">
        <v>320</v>
      </c>
      <c r="C186" s="22"/>
      <c r="D186" s="23" t="s">
        <v>134</v>
      </c>
      <c r="E186" s="23" t="s">
        <v>99</v>
      </c>
      <c r="F186" s="22" t="s">
        <v>46</v>
      </c>
      <c r="G186" s="24">
        <v>46122.677083333299</v>
      </c>
      <c r="H186" s="23" t="s">
        <v>27</v>
      </c>
      <c r="I186" s="31">
        <v>46123.773611111101</v>
      </c>
      <c r="J186" s="23" t="s">
        <v>110</v>
      </c>
      <c r="K186" s="20">
        <v>1.1000000000000001</v>
      </c>
      <c r="L186" s="20">
        <v>26.32</v>
      </c>
      <c r="M186" s="26">
        <v>0</v>
      </c>
      <c r="N186" s="26"/>
      <c r="O186" s="26"/>
      <c r="P186" s="23" t="s">
        <v>198</v>
      </c>
      <c r="Q186" s="22"/>
      <c r="R186" s="22"/>
      <c r="S186" s="26"/>
      <c r="T186" s="22"/>
      <c r="U186" s="22"/>
      <c r="V186" s="22"/>
      <c r="W186" s="18"/>
      <c r="X186" s="18"/>
      <c r="Y186" s="18"/>
      <c r="Z186" s="18"/>
      <c r="AA186" s="18"/>
      <c r="AB186" s="18"/>
    </row>
    <row r="187" spans="1:28" ht="19.5" customHeight="1">
      <c r="A187" s="20" t="s">
        <v>321</v>
      </c>
      <c r="B187" s="27" t="s">
        <v>322</v>
      </c>
      <c r="C187" s="23" t="s">
        <v>116</v>
      </c>
      <c r="D187" s="23" t="s">
        <v>37</v>
      </c>
      <c r="E187" s="23" t="s">
        <v>139</v>
      </c>
      <c r="F187" s="22" t="s">
        <v>46</v>
      </c>
      <c r="G187" s="24">
        <v>46122.456944444399</v>
      </c>
      <c r="H187" s="23" t="s">
        <v>27</v>
      </c>
      <c r="I187" s="31">
        <v>46125.436111111099</v>
      </c>
      <c r="J187" s="23" t="s">
        <v>72</v>
      </c>
      <c r="K187" s="20">
        <v>2.98</v>
      </c>
      <c r="L187" s="20">
        <v>71.489999999999995</v>
      </c>
      <c r="M187" s="26">
        <v>0</v>
      </c>
      <c r="N187" s="26"/>
      <c r="O187" s="36">
        <v>137</v>
      </c>
      <c r="P187" s="23" t="s">
        <v>37</v>
      </c>
      <c r="Q187" s="22"/>
      <c r="R187" s="22"/>
      <c r="S187" s="26"/>
      <c r="T187" s="22"/>
      <c r="U187" s="22"/>
      <c r="V187" s="37">
        <v>46125.436111111099</v>
      </c>
      <c r="W187" s="18"/>
      <c r="X187" s="18"/>
      <c r="Y187" s="18"/>
      <c r="Z187" s="18"/>
      <c r="AA187" s="18"/>
      <c r="AB187" s="18"/>
    </row>
    <row r="188" spans="1:28" ht="29.25" customHeight="1">
      <c r="A188" s="20" t="s">
        <v>323</v>
      </c>
      <c r="B188" s="27" t="s">
        <v>324</v>
      </c>
      <c r="C188" s="23" t="s">
        <v>116</v>
      </c>
      <c r="D188" s="23" t="s">
        <v>49</v>
      </c>
      <c r="E188" s="22"/>
      <c r="F188" s="22" t="s">
        <v>50</v>
      </c>
      <c r="G188" s="24">
        <v>46119.581250000003</v>
      </c>
      <c r="H188" s="23" t="s">
        <v>27</v>
      </c>
      <c r="I188" s="31">
        <v>46139.490277777797</v>
      </c>
      <c r="J188" s="23" t="s">
        <v>72</v>
      </c>
      <c r="K188" s="20">
        <v>19.91</v>
      </c>
      <c r="L188" s="20">
        <v>477.81</v>
      </c>
      <c r="M188" s="26">
        <v>0</v>
      </c>
      <c r="N188" s="26"/>
      <c r="O188" s="36">
        <v>499</v>
      </c>
      <c r="P188" s="23" t="s">
        <v>198</v>
      </c>
      <c r="Q188" s="22"/>
      <c r="R188" s="22"/>
      <c r="S188" s="26"/>
      <c r="T188" s="22"/>
      <c r="U188" s="22"/>
      <c r="V188" s="37">
        <v>46139.490277777797</v>
      </c>
      <c r="W188" s="18"/>
      <c r="X188" s="18"/>
      <c r="Y188" s="18"/>
      <c r="Z188" s="18"/>
      <c r="AA188" s="18"/>
      <c r="AB188" s="18"/>
    </row>
    <row r="189" spans="1:28" ht="48" customHeight="1">
      <c r="A189" s="20" t="s">
        <v>325</v>
      </c>
      <c r="B189" s="27" t="s">
        <v>326</v>
      </c>
      <c r="C189" s="23" t="s">
        <v>116</v>
      </c>
      <c r="D189" s="23" t="s">
        <v>49</v>
      </c>
      <c r="E189" s="22"/>
      <c r="F189" s="22"/>
      <c r="G189" s="24">
        <v>46118.46875</v>
      </c>
      <c r="H189" s="23" t="s">
        <v>27</v>
      </c>
      <c r="I189" s="31">
        <v>46133.408333333296</v>
      </c>
      <c r="J189" s="23" t="s">
        <v>72</v>
      </c>
      <c r="K189" s="20">
        <v>14.94</v>
      </c>
      <c r="L189" s="20">
        <v>358.54</v>
      </c>
      <c r="M189" s="26">
        <v>0</v>
      </c>
      <c r="N189" s="26"/>
      <c r="O189" s="26"/>
      <c r="P189" s="23" t="s">
        <v>198</v>
      </c>
      <c r="Q189" s="22"/>
      <c r="R189" s="22"/>
      <c r="S189" s="26"/>
      <c r="T189" s="22"/>
      <c r="U189" s="22"/>
      <c r="V189" s="37">
        <v>46133.408333333296</v>
      </c>
      <c r="W189" s="18"/>
      <c r="X189" s="18"/>
      <c r="Y189" s="18"/>
      <c r="Z189" s="18"/>
      <c r="AA189" s="18"/>
      <c r="AB189" s="18"/>
    </row>
    <row r="190" spans="1:28" ht="19.5" customHeight="1">
      <c r="A190" s="20" t="s">
        <v>327</v>
      </c>
      <c r="B190" s="27" t="s">
        <v>328</v>
      </c>
      <c r="C190" s="23" t="s">
        <v>116</v>
      </c>
      <c r="D190" s="23" t="s">
        <v>49</v>
      </c>
      <c r="E190" s="22"/>
      <c r="F190" s="22"/>
      <c r="G190" s="24">
        <v>46117.4375</v>
      </c>
      <c r="H190" s="23" t="s">
        <v>27</v>
      </c>
      <c r="I190" s="31">
        <v>46129.377777777801</v>
      </c>
      <c r="J190" s="23" t="s">
        <v>72</v>
      </c>
      <c r="K190" s="20">
        <v>11.94</v>
      </c>
      <c r="L190" s="20">
        <v>286.56</v>
      </c>
      <c r="M190" s="26">
        <v>0</v>
      </c>
      <c r="N190" s="26"/>
      <c r="O190" s="36">
        <v>137</v>
      </c>
      <c r="P190" s="23" t="s">
        <v>37</v>
      </c>
      <c r="Q190" s="23" t="s">
        <v>124</v>
      </c>
      <c r="R190" s="22"/>
      <c r="S190" s="26"/>
      <c r="T190" s="22"/>
      <c r="U190" s="22"/>
      <c r="V190" s="37">
        <v>46120.5805555556</v>
      </c>
      <c r="W190" s="18"/>
      <c r="X190" s="18"/>
      <c r="Y190" s="18"/>
      <c r="Z190" s="18"/>
      <c r="AA190" s="18"/>
      <c r="AB190" s="18"/>
    </row>
    <row r="191" spans="1:28" ht="29.25" customHeight="1">
      <c r="A191" s="20" t="s">
        <v>329</v>
      </c>
      <c r="B191" s="21" t="s">
        <v>330</v>
      </c>
      <c r="C191" s="23" t="s">
        <v>116</v>
      </c>
      <c r="D191" s="23" t="s">
        <v>49</v>
      </c>
      <c r="E191" s="22"/>
      <c r="F191" s="22"/>
      <c r="G191" s="24">
        <v>46116.890277777798</v>
      </c>
      <c r="H191" s="23" t="s">
        <v>27</v>
      </c>
      <c r="I191" s="31">
        <v>46133.409027777801</v>
      </c>
      <c r="J191" s="23" t="s">
        <v>72</v>
      </c>
      <c r="K191" s="20">
        <v>16.52</v>
      </c>
      <c r="L191" s="20">
        <v>396.44</v>
      </c>
      <c r="M191" s="26">
        <v>0</v>
      </c>
      <c r="N191" s="26"/>
      <c r="O191" s="26"/>
      <c r="P191" s="23" t="s">
        <v>198</v>
      </c>
      <c r="Q191" s="22"/>
      <c r="R191" s="22"/>
      <c r="S191" s="26"/>
      <c r="T191" s="22"/>
      <c r="U191" s="22"/>
      <c r="V191" s="37">
        <v>46133.409027777801</v>
      </c>
      <c r="W191" s="18"/>
      <c r="X191" s="18"/>
      <c r="Y191" s="18"/>
      <c r="Z191" s="18"/>
      <c r="AA191" s="18"/>
      <c r="AB191" s="18"/>
    </row>
    <row r="192" spans="1:28" ht="48" customHeight="1">
      <c r="A192" s="20" t="s">
        <v>331</v>
      </c>
      <c r="B192" s="21" t="s">
        <v>332</v>
      </c>
      <c r="C192" s="23" t="s">
        <v>116</v>
      </c>
      <c r="D192" s="23" t="s">
        <v>24</v>
      </c>
      <c r="E192" s="23" t="s">
        <v>94</v>
      </c>
      <c r="F192" s="22" t="s">
        <v>46</v>
      </c>
      <c r="G192" s="24">
        <v>46114.634722222203</v>
      </c>
      <c r="H192" s="23" t="s">
        <v>27</v>
      </c>
      <c r="I192" s="31">
        <v>46122.423611111102</v>
      </c>
      <c r="J192" s="23" t="s">
        <v>72</v>
      </c>
      <c r="K192" s="20">
        <v>7.79</v>
      </c>
      <c r="L192" s="20">
        <v>186.92</v>
      </c>
      <c r="M192" s="26">
        <v>0</v>
      </c>
      <c r="N192" s="26"/>
      <c r="O192" s="26"/>
      <c r="P192" s="23" t="s">
        <v>198</v>
      </c>
      <c r="Q192" s="22"/>
      <c r="R192" s="22"/>
      <c r="S192" s="26"/>
      <c r="T192" s="22"/>
      <c r="U192" s="37">
        <v>46116.541666666701</v>
      </c>
      <c r="V192" s="37">
        <v>46122.423611111102</v>
      </c>
      <c r="W192" s="18"/>
      <c r="X192" s="18"/>
      <c r="Y192" s="18"/>
      <c r="Z192" s="18"/>
      <c r="AA192" s="18"/>
      <c r="AB192" s="18"/>
    </row>
    <row r="193" spans="1:28" ht="19.5" customHeight="1">
      <c r="A193" s="20" t="s">
        <v>333</v>
      </c>
      <c r="B193" s="21" t="s">
        <v>334</v>
      </c>
      <c r="C193" s="23" t="s">
        <v>116</v>
      </c>
      <c r="D193" s="23" t="s">
        <v>49</v>
      </c>
      <c r="E193" s="22"/>
      <c r="F193" s="22" t="s">
        <v>46</v>
      </c>
      <c r="G193" s="24">
        <v>46114.477083333302</v>
      </c>
      <c r="H193" s="23" t="s">
        <v>27</v>
      </c>
      <c r="I193" s="31">
        <v>46136.400694444397</v>
      </c>
      <c r="J193" s="23" t="s">
        <v>72</v>
      </c>
      <c r="K193" s="20">
        <v>21.92</v>
      </c>
      <c r="L193" s="20">
        <v>526.16</v>
      </c>
      <c r="M193" s="26">
        <v>0</v>
      </c>
      <c r="N193" s="36">
        <v>31300</v>
      </c>
      <c r="O193" s="26"/>
      <c r="P193" s="23" t="s">
        <v>37</v>
      </c>
      <c r="Q193" s="22"/>
      <c r="R193" s="22"/>
      <c r="S193" s="26"/>
      <c r="T193" s="22"/>
      <c r="U193" s="37">
        <v>46116.541666666701</v>
      </c>
      <c r="V193" s="37">
        <v>46136.400694444397</v>
      </c>
      <c r="W193" s="18"/>
      <c r="X193" s="18"/>
      <c r="Y193" s="18"/>
      <c r="Z193" s="18"/>
      <c r="AA193" s="18"/>
      <c r="AB193" s="18"/>
    </row>
    <row r="194" spans="1:28" ht="39" customHeight="1">
      <c r="A194" s="20">
        <v>20260400013</v>
      </c>
      <c r="B194" s="27" t="s">
        <v>335</v>
      </c>
      <c r="C194" s="22"/>
      <c r="D194" s="23" t="s">
        <v>37</v>
      </c>
      <c r="E194" s="22"/>
      <c r="F194" s="22" t="s">
        <v>46</v>
      </c>
      <c r="G194" s="24">
        <v>46111.765972222202</v>
      </c>
      <c r="H194" s="23" t="s">
        <v>27</v>
      </c>
      <c r="I194" s="31">
        <v>46150.452083333301</v>
      </c>
      <c r="J194" s="23" t="s">
        <v>110</v>
      </c>
      <c r="K194" s="20">
        <v>38.69</v>
      </c>
      <c r="L194" s="20">
        <v>928.46</v>
      </c>
      <c r="M194" s="26">
        <v>0</v>
      </c>
      <c r="N194" s="26"/>
      <c r="O194" s="26"/>
      <c r="P194" s="23" t="s">
        <v>198</v>
      </c>
      <c r="Q194" s="22"/>
      <c r="R194" s="22"/>
      <c r="S194" s="26"/>
      <c r="T194" s="22"/>
      <c r="U194" s="22"/>
      <c r="V194" s="22"/>
      <c r="W194" s="18"/>
      <c r="X194" s="18"/>
      <c r="Y194" s="18"/>
      <c r="Z194" s="18"/>
      <c r="AA194" s="18"/>
      <c r="AB194" s="18"/>
    </row>
    <row r="195" spans="1:28" ht="19.5" customHeight="1">
      <c r="A195" s="20">
        <v>20260400012</v>
      </c>
      <c r="B195" s="21" t="s">
        <v>336</v>
      </c>
      <c r="C195" s="23" t="s">
        <v>116</v>
      </c>
      <c r="D195" s="23" t="s">
        <v>49</v>
      </c>
      <c r="E195" s="22"/>
      <c r="F195" s="22"/>
      <c r="G195" s="24">
        <v>46111.484027777798</v>
      </c>
      <c r="H195" s="23" t="s">
        <v>27</v>
      </c>
      <c r="I195" s="31">
        <v>46122.422222222202</v>
      </c>
      <c r="J195" s="23" t="s">
        <v>72</v>
      </c>
      <c r="K195" s="20">
        <v>10.94</v>
      </c>
      <c r="L195" s="20">
        <v>262.51</v>
      </c>
      <c r="M195" s="26">
        <v>0</v>
      </c>
      <c r="N195" s="26"/>
      <c r="O195" s="26"/>
      <c r="P195" s="23" t="s">
        <v>198</v>
      </c>
      <c r="Q195" s="23" t="s">
        <v>124</v>
      </c>
      <c r="R195" s="22"/>
      <c r="S195" s="26"/>
      <c r="T195" s="22"/>
      <c r="U195" s="37">
        <v>46116.542361111096</v>
      </c>
      <c r="V195" s="37">
        <v>46120.576388888898</v>
      </c>
      <c r="W195" s="18"/>
      <c r="X195" s="18"/>
      <c r="Y195" s="18"/>
      <c r="Z195" s="18"/>
      <c r="AA195" s="18"/>
      <c r="AB195" s="18"/>
    </row>
    <row r="196" spans="1:28" ht="29.25" customHeight="1">
      <c r="A196" s="20">
        <v>20260400011</v>
      </c>
      <c r="B196" s="21" t="s">
        <v>337</v>
      </c>
      <c r="C196" s="23" t="s">
        <v>116</v>
      </c>
      <c r="D196" s="23" t="s">
        <v>49</v>
      </c>
      <c r="E196" s="22"/>
      <c r="F196" s="22"/>
      <c r="G196" s="24">
        <v>46106.839583333298</v>
      </c>
      <c r="H196" s="23" t="s">
        <v>27</v>
      </c>
      <c r="I196" s="31">
        <v>46122.427083333299</v>
      </c>
      <c r="J196" s="23" t="s">
        <v>72</v>
      </c>
      <c r="K196" s="20">
        <v>15.59</v>
      </c>
      <c r="L196" s="20">
        <v>374.09</v>
      </c>
      <c r="M196" s="26">
        <v>0</v>
      </c>
      <c r="N196" s="26"/>
      <c r="O196" s="26"/>
      <c r="P196" s="23" t="s">
        <v>198</v>
      </c>
      <c r="Q196" s="23" t="s">
        <v>124</v>
      </c>
      <c r="R196" s="22"/>
      <c r="S196" s="26"/>
      <c r="T196" s="22"/>
      <c r="U196" s="37">
        <v>46116.542361111096</v>
      </c>
      <c r="V196" s="37">
        <v>46120.576388888898</v>
      </c>
      <c r="W196" s="18"/>
      <c r="X196" s="18"/>
      <c r="Y196" s="18"/>
      <c r="Z196" s="18"/>
      <c r="AA196" s="18"/>
      <c r="AB196" s="18"/>
    </row>
    <row r="197" spans="1:28" ht="19.5" customHeight="1">
      <c r="A197" s="20">
        <v>20260400010</v>
      </c>
      <c r="B197" s="21" t="s">
        <v>338</v>
      </c>
      <c r="C197" s="23" t="s">
        <v>116</v>
      </c>
      <c r="D197" s="23" t="s">
        <v>134</v>
      </c>
      <c r="E197" s="23" t="s">
        <v>151</v>
      </c>
      <c r="F197" s="22" t="s">
        <v>162</v>
      </c>
      <c r="G197" s="24">
        <v>46105.420833333301</v>
      </c>
      <c r="H197" s="23" t="s">
        <v>27</v>
      </c>
      <c r="I197" s="31">
        <v>46147.620138888902</v>
      </c>
      <c r="J197" s="23" t="s">
        <v>72</v>
      </c>
      <c r="K197" s="20">
        <v>42.2</v>
      </c>
      <c r="L197" s="20">
        <v>1012.77</v>
      </c>
      <c r="M197" s="26">
        <v>0</v>
      </c>
      <c r="N197" s="36">
        <v>25000</v>
      </c>
      <c r="O197" s="26"/>
      <c r="P197" s="23" t="s">
        <v>198</v>
      </c>
      <c r="Q197" s="23" t="s">
        <v>124</v>
      </c>
      <c r="R197" s="22"/>
      <c r="S197" s="26"/>
      <c r="T197" s="22"/>
      <c r="U197" s="22"/>
      <c r="V197" s="37">
        <v>46107.706250000003</v>
      </c>
      <c r="W197" s="18"/>
      <c r="X197" s="18"/>
      <c r="Y197" s="18"/>
      <c r="Z197" s="18"/>
      <c r="AA197" s="18"/>
      <c r="AB197" s="18"/>
    </row>
    <row r="198" spans="1:28" ht="29.25" customHeight="1">
      <c r="A198" s="20">
        <v>20260400009</v>
      </c>
      <c r="B198" s="21" t="s">
        <v>339</v>
      </c>
      <c r="C198" s="22"/>
      <c r="D198" s="23" t="s">
        <v>33</v>
      </c>
      <c r="E198" s="23" t="s">
        <v>71</v>
      </c>
      <c r="F198" s="22" t="s">
        <v>55</v>
      </c>
      <c r="G198" s="24">
        <v>46099.683333333298</v>
      </c>
      <c r="H198" s="23" t="s">
        <v>27</v>
      </c>
      <c r="I198" s="31">
        <v>46147.621527777803</v>
      </c>
      <c r="J198" s="32" t="s">
        <v>51</v>
      </c>
      <c r="K198" s="20">
        <v>47.94</v>
      </c>
      <c r="L198" s="20">
        <v>1150.51</v>
      </c>
      <c r="M198" s="26">
        <v>0</v>
      </c>
      <c r="N198" s="36">
        <v>126084</v>
      </c>
      <c r="O198" s="26"/>
      <c r="P198" s="23" t="s">
        <v>198</v>
      </c>
      <c r="Q198" s="23" t="s">
        <v>124</v>
      </c>
      <c r="R198" s="22"/>
      <c r="S198" s="26"/>
      <c r="T198" s="22"/>
      <c r="U198" s="22"/>
      <c r="V198" s="37">
        <v>46112.342361111099</v>
      </c>
      <c r="W198" s="18"/>
      <c r="X198" s="18"/>
      <c r="Y198" s="18"/>
      <c r="Z198" s="18"/>
      <c r="AA198" s="18"/>
      <c r="AB198" s="18"/>
    </row>
    <row r="199" spans="1:28" ht="29.25" customHeight="1">
      <c r="A199" s="20">
        <v>20260400008</v>
      </c>
      <c r="B199" s="27" t="s">
        <v>340</v>
      </c>
      <c r="C199" s="23" t="s">
        <v>116</v>
      </c>
      <c r="D199" s="23" t="s">
        <v>49</v>
      </c>
      <c r="E199" s="22"/>
      <c r="F199" s="22" t="s">
        <v>46</v>
      </c>
      <c r="G199" s="24">
        <v>46097.697916666701</v>
      </c>
      <c r="H199" s="23" t="s">
        <v>27</v>
      </c>
      <c r="I199" s="31">
        <v>46142.453472222202</v>
      </c>
      <c r="J199" s="23" t="s">
        <v>72</v>
      </c>
      <c r="K199" s="20">
        <v>41.81</v>
      </c>
      <c r="L199" s="20">
        <v>1003.55</v>
      </c>
      <c r="M199" s="26">
        <v>0</v>
      </c>
      <c r="N199" s="26"/>
      <c r="O199" s="26"/>
      <c r="P199" s="23" t="s">
        <v>198</v>
      </c>
      <c r="Q199" s="22"/>
      <c r="R199" s="22"/>
      <c r="S199" s="26"/>
      <c r="T199" s="22"/>
      <c r="U199" s="22"/>
      <c r="V199" s="37">
        <v>46139.5131944444</v>
      </c>
      <c r="W199" s="18"/>
      <c r="X199" s="18"/>
      <c r="Y199" s="18"/>
      <c r="Z199" s="18"/>
      <c r="AA199" s="18"/>
      <c r="AB199" s="18"/>
    </row>
    <row r="200" spans="1:28" ht="29.25" customHeight="1">
      <c r="A200" s="20">
        <v>20260400007</v>
      </c>
      <c r="B200" s="21" t="s">
        <v>341</v>
      </c>
      <c r="C200" s="23" t="s">
        <v>116</v>
      </c>
      <c r="D200" s="23" t="s">
        <v>24</v>
      </c>
      <c r="E200" s="22"/>
      <c r="F200" s="22" t="s">
        <v>46</v>
      </c>
      <c r="G200" s="24">
        <v>46097.470138888901</v>
      </c>
      <c r="H200" s="23" t="s">
        <v>27</v>
      </c>
      <c r="I200" s="31">
        <v>46122.427777777797</v>
      </c>
      <c r="J200" s="23" t="s">
        <v>72</v>
      </c>
      <c r="K200" s="20">
        <v>24.96</v>
      </c>
      <c r="L200" s="20">
        <v>598.98</v>
      </c>
      <c r="M200" s="26">
        <v>0</v>
      </c>
      <c r="N200" s="36">
        <v>9975</v>
      </c>
      <c r="O200" s="26"/>
      <c r="P200" s="23" t="s">
        <v>198</v>
      </c>
      <c r="Q200" s="23" t="s">
        <v>124</v>
      </c>
      <c r="R200" s="22"/>
      <c r="S200" s="26"/>
      <c r="T200" s="22"/>
      <c r="U200" s="37">
        <v>46116.543055555601</v>
      </c>
      <c r="V200" s="37">
        <v>46120.577083333301</v>
      </c>
      <c r="W200" s="18"/>
      <c r="X200" s="18"/>
      <c r="Y200" s="18"/>
      <c r="Z200" s="18"/>
      <c r="AA200" s="18"/>
      <c r="AB200" s="18"/>
    </row>
    <row r="201" spans="1:28" ht="39" customHeight="1">
      <c r="A201" s="20">
        <v>20260400006</v>
      </c>
      <c r="B201" s="27" t="s">
        <v>342</v>
      </c>
      <c r="C201" s="22"/>
      <c r="D201" s="23" t="s">
        <v>33</v>
      </c>
      <c r="E201" s="23" t="s">
        <v>144</v>
      </c>
      <c r="F201" s="22" t="s">
        <v>50</v>
      </c>
      <c r="G201" s="24">
        <v>46090.618055555598</v>
      </c>
      <c r="H201" s="23" t="s">
        <v>27</v>
      </c>
      <c r="I201" s="31">
        <v>46125.4868055556</v>
      </c>
      <c r="J201" s="23" t="s">
        <v>281</v>
      </c>
      <c r="K201" s="20">
        <v>34.869999999999997</v>
      </c>
      <c r="L201" s="20">
        <v>836.85</v>
      </c>
      <c r="M201" s="26">
        <v>0</v>
      </c>
      <c r="N201" s="36">
        <v>210000</v>
      </c>
      <c r="O201" s="26"/>
      <c r="P201" s="23" t="s">
        <v>198</v>
      </c>
      <c r="Q201" s="23" t="s">
        <v>124</v>
      </c>
      <c r="R201" s="22"/>
      <c r="S201" s="26"/>
      <c r="T201" s="22"/>
      <c r="U201" s="22"/>
      <c r="V201" s="37">
        <v>46097.340972222199</v>
      </c>
      <c r="W201" s="18"/>
      <c r="X201" s="18"/>
      <c r="Y201" s="18"/>
      <c r="Z201" s="18"/>
      <c r="AA201" s="18"/>
      <c r="AB201" s="18"/>
    </row>
    <row r="202" spans="1:28" ht="39" customHeight="1">
      <c r="A202" s="20">
        <v>1239</v>
      </c>
      <c r="B202" s="27" t="s">
        <v>343</v>
      </c>
      <c r="C202" s="22"/>
      <c r="D202" s="23" t="s">
        <v>24</v>
      </c>
      <c r="E202" s="23" t="s">
        <v>139</v>
      </c>
      <c r="F202" s="22" t="s">
        <v>50</v>
      </c>
      <c r="G202" s="24">
        <v>46067.572222222203</v>
      </c>
      <c r="H202" s="23" t="s">
        <v>27</v>
      </c>
      <c r="I202" s="31">
        <v>46104.644444444399</v>
      </c>
      <c r="J202" s="23" t="s">
        <v>110</v>
      </c>
      <c r="K202" s="20">
        <v>37.07</v>
      </c>
      <c r="L202" s="20">
        <v>889.72</v>
      </c>
      <c r="M202" s="26">
        <v>0</v>
      </c>
      <c r="N202" s="26"/>
      <c r="O202" s="26"/>
      <c r="P202" s="23" t="s">
        <v>198</v>
      </c>
      <c r="Q202" s="22"/>
      <c r="R202" s="22"/>
      <c r="S202" s="26"/>
      <c r="T202" s="22"/>
      <c r="U202" s="22"/>
      <c r="V202" s="22"/>
      <c r="W202" s="18"/>
      <c r="X202" s="18"/>
      <c r="Y202" s="18"/>
      <c r="Z202" s="18"/>
      <c r="AA202" s="18"/>
      <c r="AB202" s="18"/>
    </row>
    <row r="203" spans="1:28" ht="19.5" customHeight="1">
      <c r="A203" s="45">
        <v>20260400004</v>
      </c>
      <c r="B203" s="21" t="s">
        <v>344</v>
      </c>
      <c r="C203" s="23" t="s">
        <v>116</v>
      </c>
      <c r="D203" s="23" t="s">
        <v>24</v>
      </c>
      <c r="E203" s="23" t="s">
        <v>94</v>
      </c>
      <c r="F203" s="22" t="s">
        <v>46</v>
      </c>
      <c r="G203" s="24">
        <v>46040.475694444503</v>
      </c>
      <c r="H203" s="23" t="s">
        <v>27</v>
      </c>
      <c r="I203" s="31">
        <v>46122.4284722222</v>
      </c>
      <c r="J203" s="23" t="s">
        <v>72</v>
      </c>
      <c r="K203" s="20">
        <v>81.95</v>
      </c>
      <c r="L203" s="20">
        <v>1966.87</v>
      </c>
      <c r="M203" s="46">
        <v>0</v>
      </c>
      <c r="N203" s="36">
        <v>13150</v>
      </c>
      <c r="O203" s="26"/>
      <c r="P203" s="23" t="s">
        <v>198</v>
      </c>
      <c r="Q203" s="22"/>
      <c r="R203" s="39" t="s">
        <v>345</v>
      </c>
      <c r="S203" s="36">
        <v>17955</v>
      </c>
      <c r="T203" s="22"/>
      <c r="U203" s="37">
        <v>46116.543055555601</v>
      </c>
      <c r="V203" s="37">
        <v>46122.4284722222</v>
      </c>
      <c r="W203" s="19"/>
      <c r="X203" s="19"/>
      <c r="Y203" s="19"/>
      <c r="Z203" s="19"/>
      <c r="AA203" s="19"/>
      <c r="AB203" s="19"/>
    </row>
  </sheetData>
  <mergeCells count="297">
    <mergeCell ref="S102:S125"/>
    <mergeCell ref="U102:U125"/>
    <mergeCell ref="V102:V125"/>
    <mergeCell ref="W102:W125"/>
    <mergeCell ref="X102:X125"/>
    <mergeCell ref="Y102:Y125"/>
    <mergeCell ref="Z102:Z125"/>
    <mergeCell ref="AA102:AA125"/>
    <mergeCell ref="AB102:AB125"/>
    <mergeCell ref="J102:J125"/>
    <mergeCell ref="K102:K125"/>
    <mergeCell ref="L102:L125"/>
    <mergeCell ref="M102:M125"/>
    <mergeCell ref="N102:N125"/>
    <mergeCell ref="O102:O125"/>
    <mergeCell ref="P102:P125"/>
    <mergeCell ref="Q102:Q125"/>
    <mergeCell ref="R102:R125"/>
    <mergeCell ref="A102:A125"/>
    <mergeCell ref="B102:B125"/>
    <mergeCell ref="C102:C125"/>
    <mergeCell ref="D102:D125"/>
    <mergeCell ref="E102:E125"/>
    <mergeCell ref="F102:F125"/>
    <mergeCell ref="G102:G125"/>
    <mergeCell ref="H102:H125"/>
    <mergeCell ref="I102:I125"/>
    <mergeCell ref="T99:T100"/>
    <mergeCell ref="U99:U100"/>
    <mergeCell ref="V99:V100"/>
    <mergeCell ref="W99:W100"/>
    <mergeCell ref="X99:X100"/>
    <mergeCell ref="Y99:Y100"/>
    <mergeCell ref="Z99:Z100"/>
    <mergeCell ref="AA99:AA100"/>
    <mergeCell ref="AB99:AB100"/>
    <mergeCell ref="K99:K100"/>
    <mergeCell ref="L99:L100"/>
    <mergeCell ref="M99:M100"/>
    <mergeCell ref="N99:N100"/>
    <mergeCell ref="O99:O100"/>
    <mergeCell ref="P99:P100"/>
    <mergeCell ref="Q99:Q100"/>
    <mergeCell ref="R99:R100"/>
    <mergeCell ref="S99:S100"/>
    <mergeCell ref="A99:A100"/>
    <mergeCell ref="C99:C100"/>
    <mergeCell ref="D99:D100"/>
    <mergeCell ref="E99:E100"/>
    <mergeCell ref="F99:F100"/>
    <mergeCell ref="G99:G100"/>
    <mergeCell ref="H99:H100"/>
    <mergeCell ref="I99:I100"/>
    <mergeCell ref="J99:J100"/>
    <mergeCell ref="T46:T48"/>
    <mergeCell ref="U46:U48"/>
    <mergeCell ref="V46:V48"/>
    <mergeCell ref="W46:W48"/>
    <mergeCell ref="X46:X48"/>
    <mergeCell ref="Y46:Y48"/>
    <mergeCell ref="Z46:Z48"/>
    <mergeCell ref="AA46:AA48"/>
    <mergeCell ref="AB46:AB48"/>
    <mergeCell ref="K46:K48"/>
    <mergeCell ref="L46:L48"/>
    <mergeCell ref="M46:M48"/>
    <mergeCell ref="N46:N48"/>
    <mergeCell ref="O46:O48"/>
    <mergeCell ref="P46:P48"/>
    <mergeCell ref="Q46:Q48"/>
    <mergeCell ref="R46:R48"/>
    <mergeCell ref="S46:S48"/>
    <mergeCell ref="A46:A48"/>
    <mergeCell ref="C46:C48"/>
    <mergeCell ref="D46:D48"/>
    <mergeCell ref="E46:E48"/>
    <mergeCell ref="F46:F48"/>
    <mergeCell ref="G46:G48"/>
    <mergeCell ref="H46:H48"/>
    <mergeCell ref="I46:I48"/>
    <mergeCell ref="J46:J48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A34:A35"/>
    <mergeCell ref="C34:C35"/>
    <mergeCell ref="D34:D35"/>
    <mergeCell ref="E34:E35"/>
    <mergeCell ref="F34:F35"/>
    <mergeCell ref="G34:G35"/>
    <mergeCell ref="H34:H35"/>
    <mergeCell ref="I34:I35"/>
    <mergeCell ref="J34:J35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A32:A33"/>
    <mergeCell ref="C32:C33"/>
    <mergeCell ref="D32:D33"/>
    <mergeCell ref="E32:E33"/>
    <mergeCell ref="F32:F33"/>
    <mergeCell ref="G32:G33"/>
    <mergeCell ref="H32:H33"/>
    <mergeCell ref="I32:I33"/>
    <mergeCell ref="J32:J33"/>
    <mergeCell ref="T23:T24"/>
    <mergeCell ref="U23:U24"/>
    <mergeCell ref="V23:V24"/>
    <mergeCell ref="W23:W24"/>
    <mergeCell ref="X23:X24"/>
    <mergeCell ref="Y23:Y24"/>
    <mergeCell ref="Z23:Z24"/>
    <mergeCell ref="AA23:AA24"/>
    <mergeCell ref="AB23:AB24"/>
    <mergeCell ref="K23:K24"/>
    <mergeCell ref="L23:L24"/>
    <mergeCell ref="M23:M24"/>
    <mergeCell ref="N23:N24"/>
    <mergeCell ref="O23:O24"/>
    <mergeCell ref="P23:P24"/>
    <mergeCell ref="Q23:Q24"/>
    <mergeCell ref="R23:R24"/>
    <mergeCell ref="S23:S24"/>
    <mergeCell ref="A23:A24"/>
    <mergeCell ref="C23:C24"/>
    <mergeCell ref="D23:D24"/>
    <mergeCell ref="E23:E24"/>
    <mergeCell ref="F23:F24"/>
    <mergeCell ref="G23:G24"/>
    <mergeCell ref="H23:H24"/>
    <mergeCell ref="I23:I24"/>
    <mergeCell ref="J23:J24"/>
    <mergeCell ref="T20:T22"/>
    <mergeCell ref="U20:U22"/>
    <mergeCell ref="V20:V22"/>
    <mergeCell ref="W20:W22"/>
    <mergeCell ref="X20:X22"/>
    <mergeCell ref="Y20:Y22"/>
    <mergeCell ref="Z20:Z22"/>
    <mergeCell ref="AA20:AA22"/>
    <mergeCell ref="AB20:AB22"/>
    <mergeCell ref="K20:K22"/>
    <mergeCell ref="L20:L22"/>
    <mergeCell ref="M20:M22"/>
    <mergeCell ref="N20:N22"/>
    <mergeCell ref="O20:O22"/>
    <mergeCell ref="P20:P22"/>
    <mergeCell ref="Q20:Q22"/>
    <mergeCell ref="R20:R22"/>
    <mergeCell ref="S20:S22"/>
    <mergeCell ref="A20:A22"/>
    <mergeCell ref="C20:C22"/>
    <mergeCell ref="D20:D22"/>
    <mergeCell ref="E20:E22"/>
    <mergeCell ref="F20:F22"/>
    <mergeCell ref="G20:G22"/>
    <mergeCell ref="H20:H22"/>
    <mergeCell ref="I20:I22"/>
    <mergeCell ref="J20:J22"/>
    <mergeCell ref="T17:T19"/>
    <mergeCell ref="U17:U19"/>
    <mergeCell ref="V17:V19"/>
    <mergeCell ref="W17:W19"/>
    <mergeCell ref="X17:X19"/>
    <mergeCell ref="Y17:Y19"/>
    <mergeCell ref="Z17:Z19"/>
    <mergeCell ref="AA17:AA19"/>
    <mergeCell ref="AB17:AB19"/>
    <mergeCell ref="K17:K19"/>
    <mergeCell ref="L17:L19"/>
    <mergeCell ref="M17:M19"/>
    <mergeCell ref="N17:N19"/>
    <mergeCell ref="O17:O19"/>
    <mergeCell ref="P17:P19"/>
    <mergeCell ref="Q17:Q19"/>
    <mergeCell ref="R17:R19"/>
    <mergeCell ref="S17:S19"/>
    <mergeCell ref="A17:A19"/>
    <mergeCell ref="C17:C19"/>
    <mergeCell ref="D17:D19"/>
    <mergeCell ref="E17:E19"/>
    <mergeCell ref="F17:F19"/>
    <mergeCell ref="G17:G19"/>
    <mergeCell ref="H17:H19"/>
    <mergeCell ref="I17:I19"/>
    <mergeCell ref="J17:J19"/>
    <mergeCell ref="T14:T16"/>
    <mergeCell ref="U14:U16"/>
    <mergeCell ref="V14:V16"/>
    <mergeCell ref="W14:W16"/>
    <mergeCell ref="X14:X16"/>
    <mergeCell ref="Y14:Y16"/>
    <mergeCell ref="Z14:Z16"/>
    <mergeCell ref="AA14:AA16"/>
    <mergeCell ref="AB14:AB16"/>
    <mergeCell ref="K14:K16"/>
    <mergeCell ref="L14:L16"/>
    <mergeCell ref="M14:M16"/>
    <mergeCell ref="N14:N16"/>
    <mergeCell ref="O14:O16"/>
    <mergeCell ref="P14:P16"/>
    <mergeCell ref="Q14:Q16"/>
    <mergeCell ref="R14:R16"/>
    <mergeCell ref="S14:S16"/>
    <mergeCell ref="A14:A16"/>
    <mergeCell ref="C14:C16"/>
    <mergeCell ref="D14:D16"/>
    <mergeCell ref="E14:E16"/>
    <mergeCell ref="F14:F16"/>
    <mergeCell ref="G14:G16"/>
    <mergeCell ref="H14:H16"/>
    <mergeCell ref="I14:I16"/>
    <mergeCell ref="J14:J16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A8:A9"/>
    <mergeCell ref="C8:C9"/>
    <mergeCell ref="D8:D9"/>
    <mergeCell ref="E8:E9"/>
    <mergeCell ref="F8:F9"/>
    <mergeCell ref="G8:G9"/>
    <mergeCell ref="H8:H9"/>
    <mergeCell ref="I8:I9"/>
    <mergeCell ref="J8:J9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A5:A7"/>
    <mergeCell ref="C5:C7"/>
    <mergeCell ref="D5:D7"/>
    <mergeCell ref="E5:E7"/>
    <mergeCell ref="F5:F7"/>
    <mergeCell ref="G5:G7"/>
    <mergeCell ref="H5:H7"/>
    <mergeCell ref="I5:I7"/>
    <mergeCell ref="J5:J7"/>
  </mergeCells>
  <phoneticPr fontId="19" type="noConversion"/>
  <hyperlinks>
    <hyperlink ref="R98" r:id="rId1" xr:uid="{00000000-0004-0000-0000-000000000000}"/>
    <hyperlink ref="R102" r:id="rId2" xr:uid="{00000000-0004-0000-0000-000001000000}"/>
    <hyperlink ref="R126" r:id="rId3" xr:uid="{00000000-0004-0000-0000-000002000000}"/>
    <hyperlink ref="R131" r:id="rId4" xr:uid="{00000000-0004-0000-0000-000003000000}"/>
    <hyperlink ref="R156" r:id="rId5" xr:uid="{00000000-0004-0000-0000-000004000000}"/>
    <hyperlink ref="R159" r:id="rId6" xr:uid="{00000000-0004-0000-0000-000005000000}"/>
    <hyperlink ref="R175" r:id="rId7" xr:uid="{00000000-0004-0000-0000-000006000000}"/>
    <hyperlink ref="R203" r:id="rId8" xr:uid="{00000000-0004-0000-0000-000007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tabSelected="1" zoomScaleNormal="100" workbookViewId="0">
      <pane ySplit="2" topLeftCell="A3" activePane="bottomLeft" state="frozen"/>
      <selection pane="bottomLeft" sqref="A1:H1"/>
    </sheetView>
  </sheetViews>
  <sheetFormatPr defaultColWidth="8.5" defaultRowHeight="15"/>
  <cols>
    <col min="1" max="1" width="4" style="47" customWidth="1"/>
    <col min="2" max="2" width="26" style="47" customWidth="1"/>
    <col min="3" max="5" width="14" style="47" customWidth="1"/>
    <col min="6" max="6" width="8" style="47" customWidth="1"/>
    <col min="7" max="7" width="53.625" style="47" bestFit="1" customWidth="1"/>
    <col min="8" max="8" width="36" style="47" customWidth="1"/>
  </cols>
  <sheetData>
    <row r="1" spans="1:8" ht="24" customHeight="1">
      <c r="A1" s="89" t="s">
        <v>346</v>
      </c>
      <c r="B1" s="89"/>
      <c r="C1" s="89"/>
      <c r="D1" s="89"/>
      <c r="E1" s="89"/>
      <c r="F1" s="89"/>
      <c r="G1" s="89"/>
      <c r="H1" s="89"/>
    </row>
    <row r="2" spans="1:8" ht="18" customHeight="1">
      <c r="A2" s="48" t="s">
        <v>347</v>
      </c>
      <c r="B2" s="49" t="s">
        <v>348</v>
      </c>
      <c r="C2" s="48" t="s">
        <v>349</v>
      </c>
      <c r="D2" s="48" t="s">
        <v>350</v>
      </c>
      <c r="E2" s="49" t="s">
        <v>351</v>
      </c>
      <c r="F2" s="49" t="s">
        <v>352</v>
      </c>
      <c r="G2" s="49" t="s">
        <v>353</v>
      </c>
      <c r="H2" s="49" t="s">
        <v>354</v>
      </c>
    </row>
    <row r="3" spans="1:8" ht="30" customHeight="1">
      <c r="A3" s="50">
        <v>1</v>
      </c>
      <c r="B3" s="51" t="s">
        <v>355</v>
      </c>
      <c r="C3" s="52">
        <v>56</v>
      </c>
      <c r="D3" s="52">
        <v>56</v>
      </c>
      <c r="E3" s="52">
        <v>56</v>
      </c>
      <c r="F3" s="50" t="s">
        <v>356</v>
      </c>
      <c r="G3" s="53" t="s">
        <v>357</v>
      </c>
      <c r="H3" s="54" t="s">
        <v>358</v>
      </c>
    </row>
    <row r="4" spans="1:8" ht="30" customHeight="1">
      <c r="A4" s="50">
        <v>2</v>
      </c>
      <c r="B4" s="51" t="s">
        <v>359</v>
      </c>
      <c r="C4" s="52">
        <v>34</v>
      </c>
      <c r="D4" s="52">
        <v>34</v>
      </c>
      <c r="E4" s="52">
        <v>34</v>
      </c>
      <c r="F4" s="50" t="s">
        <v>356</v>
      </c>
      <c r="G4" s="53" t="s">
        <v>360</v>
      </c>
      <c r="H4" s="54" t="s">
        <v>361</v>
      </c>
    </row>
    <row r="5" spans="1:8" ht="30" customHeight="1">
      <c r="A5" s="50">
        <v>3</v>
      </c>
      <c r="B5" s="51" t="s">
        <v>362</v>
      </c>
      <c r="C5" s="52">
        <v>5</v>
      </c>
      <c r="D5" s="52">
        <v>5</v>
      </c>
      <c r="E5" s="52">
        <v>5</v>
      </c>
      <c r="F5" s="50" t="s">
        <v>356</v>
      </c>
      <c r="G5" s="53" t="s">
        <v>363</v>
      </c>
      <c r="H5" s="54" t="s">
        <v>364</v>
      </c>
    </row>
    <row r="6" spans="1:8" ht="30" customHeight="1">
      <c r="A6" s="50">
        <v>4</v>
      </c>
      <c r="B6" s="51" t="s">
        <v>365</v>
      </c>
      <c r="C6" s="52">
        <v>17</v>
      </c>
      <c r="D6" s="52">
        <v>17</v>
      </c>
      <c r="E6" s="52">
        <v>17</v>
      </c>
      <c r="F6" s="50" t="s">
        <v>356</v>
      </c>
      <c r="G6" s="53" t="s">
        <v>366</v>
      </c>
      <c r="H6" s="54" t="s">
        <v>367</v>
      </c>
    </row>
    <row r="7" spans="1:8" ht="30" customHeight="1">
      <c r="A7" s="50">
        <v>5</v>
      </c>
      <c r="B7" s="51" t="s">
        <v>368</v>
      </c>
      <c r="C7" s="55" t="s">
        <v>369</v>
      </c>
      <c r="D7" s="55" t="s">
        <v>370</v>
      </c>
      <c r="E7" s="55" t="s">
        <v>370</v>
      </c>
      <c r="F7" s="50" t="s">
        <v>356</v>
      </c>
      <c r="G7" s="53" t="s">
        <v>371</v>
      </c>
      <c r="H7" s="54" t="s">
        <v>372</v>
      </c>
    </row>
    <row r="8" spans="1:8" ht="30" customHeight="1">
      <c r="A8" s="50">
        <v>6</v>
      </c>
      <c r="B8" s="51" t="s">
        <v>373</v>
      </c>
      <c r="C8" s="55" t="s">
        <v>374</v>
      </c>
      <c r="D8" s="55" t="s">
        <v>375</v>
      </c>
      <c r="E8" s="55" t="s">
        <v>374</v>
      </c>
      <c r="F8" s="50" t="s">
        <v>356</v>
      </c>
      <c r="G8" s="53" t="s">
        <v>376</v>
      </c>
      <c r="H8" s="53" t="s">
        <v>377</v>
      </c>
    </row>
    <row r="9" spans="1:8" ht="30" customHeight="1">
      <c r="A9" s="50">
        <v>7</v>
      </c>
      <c r="B9" s="51" t="s">
        <v>378</v>
      </c>
      <c r="C9" s="52">
        <v>0</v>
      </c>
      <c r="D9" s="52">
        <v>0</v>
      </c>
      <c r="E9" s="52">
        <v>0</v>
      </c>
      <c r="F9" s="50" t="s">
        <v>356</v>
      </c>
      <c r="G9" s="53" t="s">
        <v>379</v>
      </c>
      <c r="H9" s="53" t="s">
        <v>380</v>
      </c>
    </row>
    <row r="10" spans="1:8" ht="30" customHeight="1">
      <c r="A10" s="50">
        <v>8</v>
      </c>
      <c r="B10" s="51" t="s">
        <v>381</v>
      </c>
      <c r="C10" s="52">
        <v>54425</v>
      </c>
      <c r="D10" s="52">
        <v>54425</v>
      </c>
      <c r="E10" s="52">
        <v>54425</v>
      </c>
      <c r="F10" s="50" t="s">
        <v>356</v>
      </c>
      <c r="G10" s="53" t="s">
        <v>382</v>
      </c>
      <c r="H10" s="53"/>
    </row>
    <row r="11" spans="1:8" ht="30" customHeight="1">
      <c r="A11" s="50">
        <v>9</v>
      </c>
      <c r="B11" s="51" t="s">
        <v>383</v>
      </c>
      <c r="C11" s="52">
        <v>3116</v>
      </c>
      <c r="D11" s="52">
        <v>3116</v>
      </c>
      <c r="E11" s="52">
        <v>3116</v>
      </c>
      <c r="F11" s="50" t="s">
        <v>356</v>
      </c>
      <c r="G11" s="53" t="s">
        <v>384</v>
      </c>
      <c r="H11" s="53"/>
    </row>
    <row r="12" spans="1:8" ht="30" customHeight="1">
      <c r="A12" s="50">
        <v>10</v>
      </c>
      <c r="B12" s="51" t="s">
        <v>385</v>
      </c>
      <c r="C12" s="52">
        <v>18755</v>
      </c>
      <c r="D12" s="52">
        <v>18755</v>
      </c>
      <c r="E12" s="52">
        <v>18755</v>
      </c>
      <c r="F12" s="50" t="s">
        <v>356</v>
      </c>
      <c r="G12" s="53" t="s">
        <v>386</v>
      </c>
      <c r="H12" s="53" t="s">
        <v>387</v>
      </c>
    </row>
    <row r="13" spans="1:8" ht="30" customHeight="1">
      <c r="A13" s="50">
        <v>11</v>
      </c>
      <c r="B13" s="51" t="s">
        <v>388</v>
      </c>
      <c r="C13" s="52">
        <v>76296</v>
      </c>
      <c r="D13" s="52">
        <v>76296</v>
      </c>
      <c r="E13" s="52">
        <v>76296</v>
      </c>
      <c r="F13" s="50" t="s">
        <v>356</v>
      </c>
      <c r="G13" s="54" t="s">
        <v>389</v>
      </c>
      <c r="H13" s="53" t="s">
        <v>390</v>
      </c>
    </row>
    <row r="14" spans="1:8" ht="30" customHeight="1">
      <c r="A14" s="50">
        <v>12</v>
      </c>
      <c r="B14" s="51" t="s">
        <v>391</v>
      </c>
      <c r="C14" s="52">
        <v>2</v>
      </c>
      <c r="D14" s="52">
        <v>2</v>
      </c>
      <c r="E14" s="52">
        <v>2</v>
      </c>
      <c r="F14" s="50" t="s">
        <v>356</v>
      </c>
      <c r="G14" s="53" t="s">
        <v>392</v>
      </c>
      <c r="H14" s="54" t="s">
        <v>393</v>
      </c>
    </row>
    <row r="15" spans="1:8" ht="30" customHeight="1">
      <c r="A15" s="50">
        <v>13</v>
      </c>
      <c r="B15" s="56" t="s">
        <v>394</v>
      </c>
      <c r="C15" s="52">
        <v>667771</v>
      </c>
      <c r="D15" s="52">
        <v>667771</v>
      </c>
      <c r="E15" s="52">
        <v>667771</v>
      </c>
      <c r="F15" s="50" t="s">
        <v>356</v>
      </c>
      <c r="G15" s="53" t="s">
        <v>395</v>
      </c>
      <c r="H15" s="54" t="s">
        <v>396</v>
      </c>
    </row>
    <row r="16" spans="1:8" ht="30" customHeight="1">
      <c r="A16" s="50">
        <v>14</v>
      </c>
      <c r="B16" s="56" t="s">
        <v>397</v>
      </c>
      <c r="C16" s="52">
        <v>23039</v>
      </c>
      <c r="D16" s="52">
        <v>23039</v>
      </c>
      <c r="E16" s="52">
        <v>23039</v>
      </c>
      <c r="F16" s="50" t="s">
        <v>356</v>
      </c>
      <c r="G16" s="53" t="s">
        <v>398</v>
      </c>
      <c r="H16" s="53"/>
    </row>
    <row r="17" spans="1:8" ht="30" customHeight="1">
      <c r="A17" s="50">
        <v>15</v>
      </c>
      <c r="B17" s="56" t="s">
        <v>399</v>
      </c>
      <c r="C17" s="52">
        <v>4</v>
      </c>
      <c r="D17" s="52">
        <v>4</v>
      </c>
      <c r="E17" s="52">
        <v>4</v>
      </c>
      <c r="F17" s="50" t="s">
        <v>356</v>
      </c>
      <c r="G17" s="53" t="s">
        <v>400</v>
      </c>
      <c r="H17" s="54" t="s">
        <v>401</v>
      </c>
    </row>
  </sheetData>
  <mergeCells count="1">
    <mergeCell ref="A1:H1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zoomScaleNormal="100" workbookViewId="0">
      <pane ySplit="3" topLeftCell="A4" activePane="bottomLeft" state="frozen"/>
      <selection pane="bottomLeft" sqref="A1:H1"/>
    </sheetView>
  </sheetViews>
  <sheetFormatPr defaultColWidth="8.5" defaultRowHeight="15"/>
  <cols>
    <col min="1" max="1" width="16" style="47" customWidth="1"/>
    <col min="2" max="2" width="10" style="47" customWidth="1"/>
    <col min="3" max="3" width="13" style="47" customWidth="1"/>
    <col min="4" max="4" width="14" style="47" customWidth="1"/>
    <col min="5" max="6" width="6" style="47" customWidth="1"/>
    <col min="7" max="9" width="10" style="47" customWidth="1"/>
    <col min="10" max="10" width="16" style="47" customWidth="1"/>
    <col min="11" max="11" width="24" style="47" customWidth="1"/>
  </cols>
  <sheetData>
    <row r="1" spans="1:11" ht="19.5" customHeight="1">
      <c r="A1" s="90" t="s">
        <v>402</v>
      </c>
      <c r="B1" s="90"/>
      <c r="C1" s="90"/>
      <c r="D1" s="90"/>
      <c r="E1" s="90"/>
      <c r="F1" s="90"/>
      <c r="G1" s="90"/>
      <c r="H1" s="90"/>
    </row>
    <row r="2" spans="1:11" ht="19.5" customHeight="1">
      <c r="A2" s="89" t="s">
        <v>403</v>
      </c>
      <c r="B2" s="89"/>
      <c r="C2" s="89"/>
      <c r="D2" s="89"/>
      <c r="E2" s="89"/>
      <c r="F2" s="89"/>
      <c r="G2" s="89"/>
      <c r="H2" s="89"/>
    </row>
    <row r="3" spans="1:11">
      <c r="A3" s="49" t="s">
        <v>0</v>
      </c>
      <c r="B3" s="49" t="s">
        <v>2</v>
      </c>
      <c r="C3" s="49" t="s">
        <v>6</v>
      </c>
      <c r="D3" s="49" t="s">
        <v>404</v>
      </c>
      <c r="E3" s="48" t="s">
        <v>405</v>
      </c>
      <c r="F3" s="48" t="s">
        <v>406</v>
      </c>
      <c r="G3" s="49" t="s">
        <v>13</v>
      </c>
      <c r="H3" s="49" t="s">
        <v>14</v>
      </c>
      <c r="I3" s="49" t="s">
        <v>18</v>
      </c>
      <c r="J3" s="49" t="s">
        <v>17</v>
      </c>
      <c r="K3" s="49" t="s">
        <v>354</v>
      </c>
    </row>
    <row r="4" spans="1:11" ht="15.75" customHeight="1">
      <c r="A4" s="57" t="s">
        <v>407</v>
      </c>
      <c r="B4" s="58" t="s">
        <v>51</v>
      </c>
      <c r="C4" s="59">
        <v>45951</v>
      </c>
      <c r="D4" s="59">
        <v>46002</v>
      </c>
      <c r="E4" s="60">
        <v>2025</v>
      </c>
      <c r="F4" s="60">
        <v>10</v>
      </c>
      <c r="G4" s="61">
        <v>30000</v>
      </c>
      <c r="H4" s="61"/>
      <c r="I4" s="61">
        <v>50400</v>
      </c>
      <c r="J4" s="62" t="s">
        <v>229</v>
      </c>
      <c r="K4" s="63" t="s">
        <v>408</v>
      </c>
    </row>
    <row r="5" spans="1:11" ht="15.75" customHeight="1">
      <c r="A5" s="64" t="s">
        <v>409</v>
      </c>
      <c r="B5" s="65" t="s">
        <v>110</v>
      </c>
      <c r="C5" s="66">
        <v>46067</v>
      </c>
      <c r="D5" s="66">
        <v>46104</v>
      </c>
      <c r="E5" s="67">
        <v>2026</v>
      </c>
      <c r="F5" s="67">
        <v>2</v>
      </c>
      <c r="G5" s="68"/>
      <c r="H5" s="68"/>
      <c r="I5" s="68"/>
      <c r="J5" s="69"/>
      <c r="K5" s="69"/>
    </row>
    <row r="6" spans="1:11" ht="15.75" customHeight="1">
      <c r="A6" s="64" t="s">
        <v>410</v>
      </c>
      <c r="B6" s="65" t="s">
        <v>281</v>
      </c>
      <c r="C6" s="66">
        <v>46090</v>
      </c>
      <c r="D6" s="66">
        <v>46125</v>
      </c>
      <c r="E6" s="67">
        <v>2026</v>
      </c>
      <c r="F6" s="67">
        <v>3</v>
      </c>
      <c r="G6" s="68">
        <v>210000</v>
      </c>
      <c r="H6" s="68"/>
      <c r="I6" s="68"/>
      <c r="J6" s="69"/>
      <c r="K6" s="69"/>
    </row>
    <row r="7" spans="1:11" ht="15.75" customHeight="1">
      <c r="A7" s="57" t="s">
        <v>411</v>
      </c>
      <c r="B7" s="58" t="s">
        <v>51</v>
      </c>
      <c r="C7" s="59">
        <v>46099</v>
      </c>
      <c r="D7" s="59">
        <v>46147</v>
      </c>
      <c r="E7" s="60">
        <v>2026</v>
      </c>
      <c r="F7" s="60">
        <v>3</v>
      </c>
      <c r="G7" s="61">
        <v>126084</v>
      </c>
      <c r="H7" s="61"/>
      <c r="I7" s="61"/>
      <c r="J7" s="62"/>
      <c r="K7" s="62"/>
    </row>
    <row r="8" spans="1:11" ht="15.75" customHeight="1">
      <c r="A8" s="64" t="s">
        <v>412</v>
      </c>
      <c r="B8" s="65" t="s">
        <v>110</v>
      </c>
      <c r="C8" s="66">
        <v>46111</v>
      </c>
      <c r="D8" s="66">
        <v>46150</v>
      </c>
      <c r="E8" s="67">
        <v>2026</v>
      </c>
      <c r="F8" s="67">
        <v>3</v>
      </c>
      <c r="G8" s="68"/>
      <c r="H8" s="68"/>
      <c r="I8" s="68"/>
      <c r="J8" s="69"/>
      <c r="K8" s="69"/>
    </row>
  </sheetData>
  <mergeCells count="2">
    <mergeCell ref="A1:H1"/>
    <mergeCell ref="A2:H2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8"/>
  <sheetViews>
    <sheetView zoomScaleNormal="100" workbookViewId="0">
      <pane ySplit="3" topLeftCell="A4" activePane="bottomLeft" state="frozen"/>
      <selection pane="bottomLeft" sqref="A1:J1"/>
    </sheetView>
  </sheetViews>
  <sheetFormatPr defaultColWidth="8.5" defaultRowHeight="15"/>
  <cols>
    <col min="1" max="1" width="16" style="47" customWidth="1"/>
    <col min="2" max="2" width="10" style="47" customWidth="1"/>
    <col min="3" max="4" width="13" style="47" customWidth="1"/>
    <col min="5" max="5" width="10" style="47" customWidth="1"/>
    <col min="6" max="7" width="6" style="47" customWidth="1"/>
    <col min="8" max="10" width="10" style="47" customWidth="1"/>
    <col min="11" max="11" width="16" style="47" customWidth="1"/>
    <col min="12" max="12" width="20" style="47" customWidth="1"/>
  </cols>
  <sheetData>
    <row r="1" spans="1:12" ht="19.5" customHeight="1">
      <c r="A1" s="90" t="s">
        <v>413</v>
      </c>
      <c r="B1" s="90"/>
      <c r="C1" s="90"/>
      <c r="D1" s="90"/>
      <c r="E1" s="90"/>
      <c r="F1" s="90"/>
      <c r="G1" s="90"/>
      <c r="H1" s="90"/>
      <c r="I1" s="90"/>
      <c r="J1" s="90"/>
    </row>
    <row r="2" spans="1:12" ht="19.5" customHeight="1">
      <c r="A2" s="89" t="s">
        <v>414</v>
      </c>
      <c r="B2" s="89"/>
      <c r="C2" s="89"/>
      <c r="D2" s="89"/>
      <c r="E2" s="89"/>
      <c r="F2" s="89"/>
      <c r="G2" s="89"/>
      <c r="H2" s="89"/>
      <c r="I2" s="89"/>
      <c r="J2" s="89"/>
    </row>
    <row r="3" spans="1:12">
      <c r="A3" s="49" t="s">
        <v>0</v>
      </c>
      <c r="B3" s="49" t="s">
        <v>2</v>
      </c>
      <c r="C3" s="49" t="s">
        <v>6</v>
      </c>
      <c r="D3" s="49" t="s">
        <v>8</v>
      </c>
      <c r="E3" s="49" t="s">
        <v>415</v>
      </c>
      <c r="F3" s="48" t="s">
        <v>416</v>
      </c>
      <c r="G3" s="48" t="s">
        <v>417</v>
      </c>
      <c r="H3" s="49" t="s">
        <v>13</v>
      </c>
      <c r="I3" s="49" t="s">
        <v>14</v>
      </c>
      <c r="J3" s="49" t="s">
        <v>18</v>
      </c>
      <c r="K3" s="49" t="s">
        <v>17</v>
      </c>
      <c r="L3" s="49" t="s">
        <v>354</v>
      </c>
    </row>
    <row r="4" spans="1:12" ht="15.75" customHeight="1">
      <c r="A4" s="50" t="s">
        <v>331</v>
      </c>
      <c r="B4" s="70" t="s">
        <v>72</v>
      </c>
      <c r="C4" s="71">
        <v>46114</v>
      </c>
      <c r="D4" s="71">
        <v>46122</v>
      </c>
      <c r="E4" s="72">
        <v>7.79</v>
      </c>
      <c r="F4" s="73">
        <v>2026</v>
      </c>
      <c r="G4" s="73">
        <v>4</v>
      </c>
      <c r="H4" s="52"/>
      <c r="I4" s="52"/>
      <c r="J4" s="52"/>
      <c r="K4" s="53"/>
      <c r="L4" s="53"/>
    </row>
    <row r="5" spans="1:12" ht="15.75" customHeight="1">
      <c r="A5" s="50" t="s">
        <v>321</v>
      </c>
      <c r="B5" s="70" t="s">
        <v>72</v>
      </c>
      <c r="C5" s="71">
        <v>46122</v>
      </c>
      <c r="D5" s="71">
        <v>46125</v>
      </c>
      <c r="E5" s="72">
        <v>2.98</v>
      </c>
      <c r="F5" s="73">
        <v>2026</v>
      </c>
      <c r="G5" s="73">
        <v>4</v>
      </c>
      <c r="H5" s="52"/>
      <c r="I5" s="52">
        <v>137</v>
      </c>
      <c r="J5" s="52"/>
      <c r="K5" s="53"/>
      <c r="L5" s="53"/>
    </row>
    <row r="6" spans="1:12" ht="15.75" customHeight="1">
      <c r="A6" s="50" t="s">
        <v>327</v>
      </c>
      <c r="B6" s="70" t="s">
        <v>72</v>
      </c>
      <c r="C6" s="71">
        <v>46117</v>
      </c>
      <c r="D6" s="71">
        <v>46129</v>
      </c>
      <c r="E6" s="72">
        <v>11.94</v>
      </c>
      <c r="F6" s="73">
        <v>2026</v>
      </c>
      <c r="G6" s="73">
        <v>4</v>
      </c>
      <c r="H6" s="52"/>
      <c r="I6" s="52">
        <v>137</v>
      </c>
      <c r="J6" s="52"/>
      <c r="K6" s="53"/>
      <c r="L6" s="53"/>
    </row>
    <row r="7" spans="1:12" ht="15.75" customHeight="1">
      <c r="A7" s="50" t="s">
        <v>292</v>
      </c>
      <c r="B7" s="70" t="s">
        <v>72</v>
      </c>
      <c r="C7" s="71">
        <v>46128</v>
      </c>
      <c r="D7" s="71">
        <v>46133</v>
      </c>
      <c r="E7" s="72">
        <v>4.7300000000000004</v>
      </c>
      <c r="F7" s="73">
        <v>2026</v>
      </c>
      <c r="G7" s="73">
        <v>4</v>
      </c>
      <c r="H7" s="52"/>
      <c r="I7" s="52"/>
      <c r="J7" s="52"/>
      <c r="K7" s="53"/>
      <c r="L7" s="53"/>
    </row>
    <row r="8" spans="1:12" ht="15.75" customHeight="1">
      <c r="A8" s="50" t="s">
        <v>300</v>
      </c>
      <c r="B8" s="70" t="s">
        <v>72</v>
      </c>
      <c r="C8" s="71">
        <v>46125</v>
      </c>
      <c r="D8" s="71">
        <v>46133</v>
      </c>
      <c r="E8" s="72">
        <v>7.98</v>
      </c>
      <c r="F8" s="73">
        <v>2026</v>
      </c>
      <c r="G8" s="73">
        <v>4</v>
      </c>
      <c r="H8" s="52"/>
      <c r="I8" s="52"/>
      <c r="J8" s="52"/>
      <c r="K8" s="53"/>
      <c r="L8" s="53"/>
    </row>
    <row r="9" spans="1:12" ht="15.75" customHeight="1">
      <c r="A9" s="50" t="s">
        <v>325</v>
      </c>
      <c r="B9" s="70" t="s">
        <v>72</v>
      </c>
      <c r="C9" s="71">
        <v>46118</v>
      </c>
      <c r="D9" s="71">
        <v>46133</v>
      </c>
      <c r="E9" s="72">
        <v>14.94</v>
      </c>
      <c r="F9" s="73">
        <v>2026</v>
      </c>
      <c r="G9" s="73">
        <v>4</v>
      </c>
      <c r="H9" s="52"/>
      <c r="I9" s="52"/>
      <c r="J9" s="52"/>
      <c r="K9" s="53"/>
      <c r="L9" s="53"/>
    </row>
    <row r="10" spans="1:12" ht="15.75" customHeight="1">
      <c r="A10" s="50" t="s">
        <v>302</v>
      </c>
      <c r="B10" s="70" t="s">
        <v>72</v>
      </c>
      <c r="C10" s="71">
        <v>46124</v>
      </c>
      <c r="D10" s="71">
        <v>46133</v>
      </c>
      <c r="E10" s="72">
        <v>8.58</v>
      </c>
      <c r="F10" s="73">
        <v>2026</v>
      </c>
      <c r="G10" s="73">
        <v>4</v>
      </c>
      <c r="H10" s="52"/>
      <c r="I10" s="52"/>
      <c r="J10" s="52"/>
      <c r="K10" s="53"/>
      <c r="L10" s="53"/>
    </row>
    <row r="11" spans="1:12" ht="15.75" customHeight="1">
      <c r="A11" s="50" t="s">
        <v>309</v>
      </c>
      <c r="B11" s="70" t="s">
        <v>72</v>
      </c>
      <c r="C11" s="71">
        <v>46122</v>
      </c>
      <c r="D11" s="71">
        <v>46133</v>
      </c>
      <c r="E11" s="72">
        <v>10.72</v>
      </c>
      <c r="F11" s="73">
        <v>2026</v>
      </c>
      <c r="G11" s="73">
        <v>4</v>
      </c>
      <c r="H11" s="52"/>
      <c r="I11" s="52"/>
      <c r="J11" s="52"/>
      <c r="K11" s="53"/>
      <c r="L11" s="53"/>
    </row>
    <row r="12" spans="1:12" ht="15.75" customHeight="1">
      <c r="A12" s="50" t="s">
        <v>329</v>
      </c>
      <c r="B12" s="70" t="s">
        <v>72</v>
      </c>
      <c r="C12" s="71">
        <v>46116</v>
      </c>
      <c r="D12" s="71">
        <v>46133</v>
      </c>
      <c r="E12" s="72">
        <v>16.52</v>
      </c>
      <c r="F12" s="73">
        <v>2026</v>
      </c>
      <c r="G12" s="73">
        <v>4</v>
      </c>
      <c r="H12" s="52"/>
      <c r="I12" s="52"/>
      <c r="J12" s="52"/>
      <c r="K12" s="53"/>
      <c r="L12" s="53"/>
    </row>
    <row r="13" spans="1:12" ht="15.75" customHeight="1">
      <c r="A13" s="50" t="s">
        <v>298</v>
      </c>
      <c r="B13" s="70" t="s">
        <v>72</v>
      </c>
      <c r="C13" s="71">
        <v>46125</v>
      </c>
      <c r="D13" s="71">
        <v>46133</v>
      </c>
      <c r="E13" s="72">
        <v>7.78</v>
      </c>
      <c r="F13" s="73">
        <v>2026</v>
      </c>
      <c r="G13" s="73">
        <v>4</v>
      </c>
      <c r="H13" s="52"/>
      <c r="I13" s="52"/>
      <c r="J13" s="52"/>
      <c r="K13" s="53"/>
      <c r="L13" s="53"/>
    </row>
    <row r="14" spans="1:12" ht="15.75" customHeight="1">
      <c r="A14" s="50" t="s">
        <v>304</v>
      </c>
      <c r="B14" s="70" t="s">
        <v>72</v>
      </c>
      <c r="C14" s="71">
        <v>46124</v>
      </c>
      <c r="D14" s="71">
        <v>46134</v>
      </c>
      <c r="E14" s="72">
        <v>9.5299999999999994</v>
      </c>
      <c r="F14" s="73">
        <v>2026</v>
      </c>
      <c r="G14" s="73">
        <v>4</v>
      </c>
      <c r="H14" s="52"/>
      <c r="I14" s="52"/>
      <c r="J14" s="52"/>
      <c r="K14" s="53"/>
      <c r="L14" s="53"/>
    </row>
    <row r="15" spans="1:12" ht="15.75" customHeight="1">
      <c r="A15" s="50" t="s">
        <v>294</v>
      </c>
      <c r="B15" s="70" t="s">
        <v>72</v>
      </c>
      <c r="C15" s="71">
        <v>46127</v>
      </c>
      <c r="D15" s="71">
        <v>46135</v>
      </c>
      <c r="E15" s="72">
        <v>7.89</v>
      </c>
      <c r="F15" s="73">
        <v>2026</v>
      </c>
      <c r="G15" s="73">
        <v>4</v>
      </c>
      <c r="H15" s="52"/>
      <c r="I15" s="52"/>
      <c r="J15" s="52"/>
      <c r="K15" s="53"/>
      <c r="L15" s="53"/>
    </row>
    <row r="16" spans="1:12" ht="15.75" customHeight="1">
      <c r="A16" s="50" t="s">
        <v>286</v>
      </c>
      <c r="B16" s="70" t="s">
        <v>72</v>
      </c>
      <c r="C16" s="71">
        <v>46130</v>
      </c>
      <c r="D16" s="71">
        <v>46135</v>
      </c>
      <c r="E16" s="72">
        <v>4.8499999999999996</v>
      </c>
      <c r="F16" s="73">
        <v>2026</v>
      </c>
      <c r="G16" s="73">
        <v>4</v>
      </c>
      <c r="H16" s="52"/>
      <c r="I16" s="52"/>
      <c r="J16" s="52"/>
      <c r="K16" s="53"/>
      <c r="L16" s="53"/>
    </row>
    <row r="17" spans="1:12" ht="15.75" customHeight="1">
      <c r="A17" s="50" t="s">
        <v>269</v>
      </c>
      <c r="B17" s="70" t="s">
        <v>72</v>
      </c>
      <c r="C17" s="71">
        <v>46133</v>
      </c>
      <c r="D17" s="71">
        <v>46136</v>
      </c>
      <c r="E17" s="72">
        <v>2.65</v>
      </c>
      <c r="F17" s="73">
        <v>2026</v>
      </c>
      <c r="G17" s="73">
        <v>4</v>
      </c>
      <c r="H17" s="52"/>
      <c r="I17" s="52"/>
      <c r="J17" s="52"/>
      <c r="K17" s="53"/>
      <c r="L17" s="53"/>
    </row>
    <row r="18" spans="1:12" ht="15.75" customHeight="1">
      <c r="A18" s="50" t="s">
        <v>275</v>
      </c>
      <c r="B18" s="70" t="s">
        <v>72</v>
      </c>
      <c r="C18" s="71">
        <v>46132</v>
      </c>
      <c r="D18" s="71">
        <v>46136</v>
      </c>
      <c r="E18" s="72">
        <v>3.9</v>
      </c>
      <c r="F18" s="73">
        <v>2026</v>
      </c>
      <c r="G18" s="73">
        <v>4</v>
      </c>
      <c r="H18" s="52"/>
      <c r="I18" s="52"/>
      <c r="J18" s="52"/>
      <c r="K18" s="53"/>
      <c r="L18" s="53"/>
    </row>
    <row r="19" spans="1:12" ht="15.75" customHeight="1">
      <c r="A19" s="50" t="s">
        <v>282</v>
      </c>
      <c r="B19" s="70" t="s">
        <v>72</v>
      </c>
      <c r="C19" s="71">
        <v>46131</v>
      </c>
      <c r="D19" s="71">
        <v>46136</v>
      </c>
      <c r="E19" s="72">
        <v>4.7300000000000004</v>
      </c>
      <c r="F19" s="73">
        <v>2026</v>
      </c>
      <c r="G19" s="73">
        <v>4</v>
      </c>
      <c r="H19" s="52"/>
      <c r="I19" s="52">
        <v>38</v>
      </c>
      <c r="J19" s="52"/>
      <c r="K19" s="53"/>
      <c r="L19" s="53"/>
    </row>
    <row r="20" spans="1:12" ht="15.75" customHeight="1">
      <c r="A20" s="50" t="s">
        <v>284</v>
      </c>
      <c r="B20" s="70" t="s">
        <v>72</v>
      </c>
      <c r="C20" s="71">
        <v>46130</v>
      </c>
      <c r="D20" s="71">
        <v>46136</v>
      </c>
      <c r="E20" s="72">
        <v>5.5</v>
      </c>
      <c r="F20" s="73">
        <v>2026</v>
      </c>
      <c r="G20" s="73">
        <v>4</v>
      </c>
      <c r="H20" s="52"/>
      <c r="I20" s="52"/>
      <c r="J20" s="52"/>
      <c r="K20" s="53"/>
      <c r="L20" s="53"/>
    </row>
    <row r="21" spans="1:12" ht="15.75" customHeight="1">
      <c r="A21" s="50" t="s">
        <v>288</v>
      </c>
      <c r="B21" s="70" t="s">
        <v>72</v>
      </c>
      <c r="C21" s="71">
        <v>46129</v>
      </c>
      <c r="D21" s="71">
        <v>46136</v>
      </c>
      <c r="E21" s="72">
        <v>6.95</v>
      </c>
      <c r="F21" s="73">
        <v>2026</v>
      </c>
      <c r="G21" s="73">
        <v>4</v>
      </c>
      <c r="H21" s="52"/>
      <c r="I21" s="52">
        <v>142</v>
      </c>
      <c r="J21" s="52"/>
      <c r="K21" s="53"/>
      <c r="L21" s="53"/>
    </row>
    <row r="22" spans="1:12" ht="15.75" customHeight="1">
      <c r="A22" s="50" t="s">
        <v>333</v>
      </c>
      <c r="B22" s="70" t="s">
        <v>72</v>
      </c>
      <c r="C22" s="71">
        <v>46114</v>
      </c>
      <c r="D22" s="71">
        <v>46136</v>
      </c>
      <c r="E22" s="72">
        <v>21.92</v>
      </c>
      <c r="F22" s="73">
        <v>2026</v>
      </c>
      <c r="G22" s="73">
        <v>4</v>
      </c>
      <c r="H22" s="52">
        <v>31300</v>
      </c>
      <c r="I22" s="52"/>
      <c r="J22" s="52"/>
      <c r="K22" s="53"/>
      <c r="L22" s="53"/>
    </row>
    <row r="23" spans="1:12" ht="15.75" customHeight="1">
      <c r="A23" s="50" t="s">
        <v>323</v>
      </c>
      <c r="B23" s="70" t="s">
        <v>72</v>
      </c>
      <c r="C23" s="71">
        <v>46119</v>
      </c>
      <c r="D23" s="71">
        <v>46139</v>
      </c>
      <c r="E23" s="72">
        <v>19.91</v>
      </c>
      <c r="F23" s="73">
        <v>2026</v>
      </c>
      <c r="G23" s="73">
        <v>4</v>
      </c>
      <c r="H23" s="52"/>
      <c r="I23" s="52">
        <v>499</v>
      </c>
      <c r="J23" s="52"/>
      <c r="K23" s="53"/>
      <c r="L23" s="53"/>
    </row>
    <row r="24" spans="1:12" ht="15.75" customHeight="1">
      <c r="A24" s="50" t="s">
        <v>271</v>
      </c>
      <c r="B24" s="70" t="s">
        <v>72</v>
      </c>
      <c r="C24" s="71">
        <v>46132</v>
      </c>
      <c r="D24" s="71">
        <v>46139</v>
      </c>
      <c r="E24" s="72">
        <v>6.69</v>
      </c>
      <c r="F24" s="73">
        <v>2026</v>
      </c>
      <c r="G24" s="73">
        <v>4</v>
      </c>
      <c r="H24" s="52"/>
      <c r="I24" s="52"/>
      <c r="J24" s="52"/>
      <c r="K24" s="53"/>
      <c r="L24" s="53"/>
    </row>
    <row r="25" spans="1:12" ht="15.75" customHeight="1">
      <c r="A25" s="50" t="s">
        <v>273</v>
      </c>
      <c r="B25" s="70" t="s">
        <v>72</v>
      </c>
      <c r="C25" s="71">
        <v>46132</v>
      </c>
      <c r="D25" s="71">
        <v>46139</v>
      </c>
      <c r="E25" s="72">
        <v>6.7</v>
      </c>
      <c r="F25" s="73">
        <v>2026</v>
      </c>
      <c r="G25" s="73">
        <v>4</v>
      </c>
      <c r="H25" s="52"/>
      <c r="I25" s="52"/>
      <c r="J25" s="52"/>
      <c r="K25" s="53"/>
      <c r="L25" s="53"/>
    </row>
    <row r="26" spans="1:12" ht="15.75" customHeight="1">
      <c r="A26" s="50" t="s">
        <v>186</v>
      </c>
      <c r="B26" s="70" t="s">
        <v>72</v>
      </c>
      <c r="C26" s="71">
        <v>46137</v>
      </c>
      <c r="D26" s="71">
        <v>46140</v>
      </c>
      <c r="E26" s="72">
        <v>3.21</v>
      </c>
      <c r="F26" s="73">
        <v>2026</v>
      </c>
      <c r="G26" s="73">
        <v>4</v>
      </c>
      <c r="H26" s="52"/>
      <c r="I26" s="52"/>
      <c r="J26" s="52"/>
      <c r="K26" s="53"/>
      <c r="L26" s="53"/>
    </row>
    <row r="27" spans="1:12" ht="15.75" customHeight="1">
      <c r="A27" s="50" t="s">
        <v>188</v>
      </c>
      <c r="B27" s="70" t="s">
        <v>72</v>
      </c>
      <c r="C27" s="71">
        <v>46137</v>
      </c>
      <c r="D27" s="71">
        <v>46140</v>
      </c>
      <c r="E27" s="72">
        <v>3.25</v>
      </c>
      <c r="F27" s="73">
        <v>2026</v>
      </c>
      <c r="G27" s="73">
        <v>4</v>
      </c>
      <c r="H27" s="52"/>
      <c r="I27" s="52"/>
      <c r="J27" s="52"/>
      <c r="K27" s="53"/>
      <c r="L27" s="53"/>
    </row>
    <row r="28" spans="1:12" ht="15.75" customHeight="1">
      <c r="A28" s="50" t="s">
        <v>191</v>
      </c>
      <c r="B28" s="70" t="s">
        <v>72</v>
      </c>
      <c r="C28" s="71">
        <v>46137</v>
      </c>
      <c r="D28" s="71">
        <v>46140</v>
      </c>
      <c r="E28" s="72">
        <v>3.27</v>
      </c>
      <c r="F28" s="73">
        <v>2026</v>
      </c>
      <c r="G28" s="73">
        <v>4</v>
      </c>
      <c r="H28" s="52"/>
      <c r="I28" s="52">
        <v>137</v>
      </c>
      <c r="J28" s="52">
        <v>137</v>
      </c>
      <c r="K28" s="53"/>
      <c r="L28" s="54" t="s">
        <v>418</v>
      </c>
    </row>
    <row r="29" spans="1:12" ht="15.75" customHeight="1">
      <c r="A29" s="50" t="s">
        <v>184</v>
      </c>
      <c r="B29" s="70" t="s">
        <v>72</v>
      </c>
      <c r="C29" s="71">
        <v>46137</v>
      </c>
      <c r="D29" s="71">
        <v>46140</v>
      </c>
      <c r="E29" s="72">
        <v>3.09</v>
      </c>
      <c r="F29" s="73">
        <v>2026</v>
      </c>
      <c r="G29" s="73">
        <v>4</v>
      </c>
      <c r="H29" s="52"/>
      <c r="I29" s="52"/>
      <c r="J29" s="52"/>
      <c r="K29" s="53"/>
      <c r="L29" s="53"/>
    </row>
    <row r="30" spans="1:12" ht="15.75" customHeight="1">
      <c r="A30" s="50" t="s">
        <v>193</v>
      </c>
      <c r="B30" s="70" t="s">
        <v>72</v>
      </c>
      <c r="C30" s="71">
        <v>46135</v>
      </c>
      <c r="D30" s="71">
        <v>46141</v>
      </c>
      <c r="E30" s="72">
        <v>5.65</v>
      </c>
      <c r="F30" s="73">
        <v>2026</v>
      </c>
      <c r="G30" s="73">
        <v>4</v>
      </c>
      <c r="H30" s="52"/>
      <c r="I30" s="52"/>
      <c r="J30" s="52">
        <v>800</v>
      </c>
      <c r="K30" s="54" t="s">
        <v>195</v>
      </c>
      <c r="L30" s="53"/>
    </row>
    <row r="31" spans="1:12" ht="15.75" customHeight="1">
      <c r="A31" s="50" t="s">
        <v>178</v>
      </c>
      <c r="B31" s="70" t="s">
        <v>72</v>
      </c>
      <c r="C31" s="71">
        <v>46139</v>
      </c>
      <c r="D31" s="71">
        <v>46141</v>
      </c>
      <c r="E31" s="72">
        <v>1.65</v>
      </c>
      <c r="F31" s="73">
        <v>2026</v>
      </c>
      <c r="G31" s="73">
        <v>4</v>
      </c>
      <c r="H31" s="52"/>
      <c r="I31" s="52"/>
      <c r="J31" s="52"/>
      <c r="K31" s="53"/>
      <c r="L31" s="53"/>
    </row>
    <row r="32" spans="1:12" ht="15.75" customHeight="1">
      <c r="A32" s="50" t="s">
        <v>311</v>
      </c>
      <c r="B32" s="70" t="s">
        <v>72</v>
      </c>
      <c r="C32" s="71">
        <v>46122</v>
      </c>
      <c r="D32" s="71">
        <v>46142</v>
      </c>
      <c r="E32" s="72">
        <v>19.77</v>
      </c>
      <c r="F32" s="73">
        <v>2026</v>
      </c>
      <c r="G32" s="73">
        <v>4</v>
      </c>
      <c r="H32" s="52"/>
      <c r="I32" s="52"/>
      <c r="J32" s="52"/>
      <c r="K32" s="53"/>
      <c r="L32" s="53"/>
    </row>
    <row r="33" spans="1:12" ht="15.75" customHeight="1">
      <c r="A33" s="50" t="s">
        <v>315</v>
      </c>
      <c r="B33" s="70" t="s">
        <v>72</v>
      </c>
      <c r="C33" s="71">
        <v>46122</v>
      </c>
      <c r="D33" s="71">
        <v>46142</v>
      </c>
      <c r="E33" s="72">
        <v>19.77</v>
      </c>
      <c r="F33" s="73">
        <v>2026</v>
      </c>
      <c r="G33" s="73">
        <v>4</v>
      </c>
      <c r="H33" s="52"/>
      <c r="I33" s="52"/>
      <c r="J33" s="52"/>
      <c r="K33" s="53"/>
      <c r="L33" s="53"/>
    </row>
    <row r="34" spans="1:12" ht="15.75" customHeight="1">
      <c r="A34" s="50" t="s">
        <v>114</v>
      </c>
      <c r="B34" s="70" t="s">
        <v>72</v>
      </c>
      <c r="C34" s="71">
        <v>46141</v>
      </c>
      <c r="D34" s="71">
        <v>46143</v>
      </c>
      <c r="E34" s="72">
        <v>1.54</v>
      </c>
      <c r="F34" s="73">
        <v>2026</v>
      </c>
      <c r="G34" s="73">
        <v>5</v>
      </c>
      <c r="H34" s="52"/>
      <c r="I34" s="52"/>
      <c r="J34" s="52"/>
      <c r="K34" s="53"/>
      <c r="L34" s="53"/>
    </row>
    <row r="35" spans="1:12" ht="15.75" customHeight="1">
      <c r="A35" s="50" t="s">
        <v>121</v>
      </c>
      <c r="B35" s="70" t="s">
        <v>72</v>
      </c>
      <c r="C35" s="71">
        <v>46141</v>
      </c>
      <c r="D35" s="71">
        <v>46143</v>
      </c>
      <c r="E35" s="72">
        <v>1.76</v>
      </c>
      <c r="F35" s="73">
        <v>2026</v>
      </c>
      <c r="G35" s="73">
        <v>5</v>
      </c>
      <c r="H35" s="52"/>
      <c r="I35" s="52"/>
      <c r="J35" s="52"/>
      <c r="K35" s="53"/>
      <c r="L35" s="53"/>
    </row>
    <row r="36" spans="1:12" ht="15.75" customHeight="1">
      <c r="A36" s="50" t="s">
        <v>296</v>
      </c>
      <c r="B36" s="70" t="s">
        <v>72</v>
      </c>
      <c r="C36" s="71">
        <v>46127</v>
      </c>
      <c r="D36" s="71">
        <v>46146</v>
      </c>
      <c r="E36" s="72">
        <v>18.91</v>
      </c>
      <c r="F36" s="73">
        <v>2026</v>
      </c>
      <c r="G36" s="73">
        <v>5</v>
      </c>
      <c r="H36" s="52"/>
      <c r="I36" s="52">
        <v>1600</v>
      </c>
      <c r="J36" s="52"/>
      <c r="K36" s="54" t="s">
        <v>237</v>
      </c>
      <c r="L36" s="53"/>
    </row>
    <row r="37" spans="1:12" ht="15.75" customHeight="1">
      <c r="A37" s="50" t="s">
        <v>111</v>
      </c>
      <c r="B37" s="70" t="s">
        <v>72</v>
      </c>
      <c r="C37" s="71">
        <v>46142</v>
      </c>
      <c r="D37" s="71">
        <v>46149</v>
      </c>
      <c r="E37" s="72">
        <v>7.34</v>
      </c>
      <c r="F37" s="73">
        <v>2026</v>
      </c>
      <c r="G37" s="73">
        <v>5</v>
      </c>
      <c r="H37" s="52"/>
      <c r="I37" s="52"/>
      <c r="J37" s="52"/>
      <c r="K37" s="53"/>
      <c r="L37" s="53"/>
    </row>
    <row r="38" spans="1:12" ht="18" customHeight="1">
      <c r="A38" s="74" t="s">
        <v>419</v>
      </c>
      <c r="B38" s="75" t="s">
        <v>420</v>
      </c>
      <c r="E38" s="76">
        <f>AVERAGE(E4:E37)</f>
        <v>8.3644117647058831</v>
      </c>
      <c r="F38" s="77" t="s">
        <v>421</v>
      </c>
      <c r="H38" s="78">
        <f>SUM(H4:H37)</f>
        <v>31300</v>
      </c>
      <c r="I38" s="78">
        <f>SUM(I4:I37)</f>
        <v>2690</v>
      </c>
      <c r="J38" s="78">
        <f>SUM(J4:J37)</f>
        <v>937</v>
      </c>
    </row>
  </sheetData>
  <mergeCells count="2">
    <mergeCell ref="A1:J1"/>
    <mergeCell ref="A2:J2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zoomScaleNormal="100" workbookViewId="0">
      <pane ySplit="2" topLeftCell="A3" activePane="bottomLeft" state="frozen"/>
      <selection pane="bottomLeft" sqref="A1:J1"/>
    </sheetView>
  </sheetViews>
  <sheetFormatPr defaultColWidth="8.5" defaultRowHeight="15"/>
  <cols>
    <col min="1" max="1" width="16" style="47" customWidth="1"/>
    <col min="2" max="2" width="10" style="47" customWidth="1"/>
    <col min="3" max="3" width="13" style="47" customWidth="1"/>
    <col min="4" max="5" width="6" style="47" customWidth="1"/>
    <col min="6" max="8" width="10" style="47" customWidth="1"/>
    <col min="9" max="9" width="16" style="47" customWidth="1"/>
    <col min="10" max="10" width="30" style="47" customWidth="1"/>
  </cols>
  <sheetData>
    <row r="1" spans="1:10" ht="19.5" customHeight="1">
      <c r="A1" s="90" t="s">
        <v>422</v>
      </c>
      <c r="B1" s="90"/>
      <c r="C1" s="90"/>
      <c r="D1" s="90"/>
      <c r="E1" s="90"/>
      <c r="F1" s="90"/>
      <c r="G1" s="90"/>
      <c r="H1" s="90"/>
      <c r="I1" s="90"/>
      <c r="J1" s="90"/>
    </row>
    <row r="2" spans="1:10">
      <c r="A2" s="49" t="s">
        <v>0</v>
      </c>
      <c r="B2" s="49" t="s">
        <v>2</v>
      </c>
      <c r="C2" s="49" t="s">
        <v>6</v>
      </c>
      <c r="D2" s="48" t="s">
        <v>405</v>
      </c>
      <c r="E2" s="48" t="s">
        <v>406</v>
      </c>
      <c r="F2" s="49" t="s">
        <v>13</v>
      </c>
      <c r="G2" s="49" t="s">
        <v>14</v>
      </c>
      <c r="H2" s="49" t="s">
        <v>18</v>
      </c>
      <c r="I2" s="49" t="s">
        <v>17</v>
      </c>
      <c r="J2" s="49" t="s">
        <v>354</v>
      </c>
    </row>
    <row r="3" spans="1:10" ht="15.75" customHeight="1">
      <c r="A3" s="57" t="s">
        <v>407</v>
      </c>
      <c r="B3" s="58" t="s">
        <v>51</v>
      </c>
      <c r="C3" s="59">
        <v>45951</v>
      </c>
      <c r="D3" s="60">
        <v>2025</v>
      </c>
      <c r="E3" s="60">
        <v>10</v>
      </c>
      <c r="F3" s="61">
        <v>30000</v>
      </c>
      <c r="G3" s="61"/>
      <c r="H3" s="61">
        <v>50400</v>
      </c>
      <c r="I3" s="62" t="s">
        <v>229</v>
      </c>
      <c r="J3" s="63" t="s">
        <v>423</v>
      </c>
    </row>
    <row r="4" spans="1:10" ht="15.75" customHeight="1">
      <c r="A4" s="57" t="s">
        <v>411</v>
      </c>
      <c r="B4" s="58" t="s">
        <v>51</v>
      </c>
      <c r="C4" s="59">
        <v>46099</v>
      </c>
      <c r="D4" s="60">
        <v>2026</v>
      </c>
      <c r="E4" s="60">
        <v>3</v>
      </c>
      <c r="F4" s="61">
        <v>126084</v>
      </c>
      <c r="G4" s="61"/>
      <c r="H4" s="61"/>
      <c r="I4" s="62"/>
      <c r="J4" s="62"/>
    </row>
    <row r="5" spans="1:10" ht="15.75" customHeight="1">
      <c r="A5" s="57" t="s">
        <v>200</v>
      </c>
      <c r="B5" s="58" t="s">
        <v>51</v>
      </c>
      <c r="C5" s="59">
        <v>46135</v>
      </c>
      <c r="D5" s="60">
        <v>2026</v>
      </c>
      <c r="E5" s="60">
        <v>4</v>
      </c>
      <c r="F5" s="61"/>
      <c r="G5" s="61"/>
      <c r="H5" s="61"/>
      <c r="I5" s="62"/>
      <c r="J5" s="62"/>
    </row>
    <row r="6" spans="1:10" ht="15.75" customHeight="1">
      <c r="A6" s="57" t="s">
        <v>424</v>
      </c>
      <c r="B6" s="58" t="s">
        <v>51</v>
      </c>
      <c r="C6" s="59">
        <v>46137</v>
      </c>
      <c r="D6" s="60">
        <v>2026</v>
      </c>
      <c r="E6" s="60">
        <v>4</v>
      </c>
      <c r="F6" s="61"/>
      <c r="G6" s="61"/>
      <c r="H6" s="61"/>
      <c r="I6" s="62"/>
      <c r="J6" s="62"/>
    </row>
    <row r="7" spans="1:10" ht="15.75" customHeight="1">
      <c r="A7" s="57" t="s">
        <v>176</v>
      </c>
      <c r="B7" s="58" t="s">
        <v>51</v>
      </c>
      <c r="C7" s="59">
        <v>46140</v>
      </c>
      <c r="D7" s="60">
        <v>2026</v>
      </c>
      <c r="E7" s="60">
        <v>4</v>
      </c>
      <c r="F7" s="61"/>
      <c r="G7" s="61"/>
      <c r="H7" s="61"/>
      <c r="I7" s="62"/>
      <c r="J7" s="62"/>
    </row>
  </sheetData>
  <mergeCells count="1">
    <mergeCell ref="A1:J1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"/>
  <sheetViews>
    <sheetView zoomScaleNormal="100" workbookViewId="0">
      <pane ySplit="2" topLeftCell="A3" activePane="bottomLeft" state="frozen"/>
      <selection pane="bottomLeft" sqref="A1:J1"/>
    </sheetView>
  </sheetViews>
  <sheetFormatPr defaultColWidth="8.5" defaultRowHeight="15"/>
  <cols>
    <col min="1" max="1" width="16" style="47" customWidth="1"/>
    <col min="2" max="2" width="12" style="47" customWidth="1"/>
    <col min="3" max="3" width="13" style="47" customWidth="1"/>
    <col min="4" max="5" width="6" style="47" customWidth="1"/>
    <col min="6" max="8" width="10" style="47" customWidth="1"/>
    <col min="9" max="9" width="16" style="47" customWidth="1"/>
    <col min="10" max="10" width="28" style="47" customWidth="1"/>
  </cols>
  <sheetData>
    <row r="1" spans="1:10" ht="19.5" customHeight="1">
      <c r="A1" s="90" t="s">
        <v>425</v>
      </c>
      <c r="B1" s="90"/>
      <c r="C1" s="90"/>
      <c r="D1" s="90"/>
      <c r="E1" s="90"/>
      <c r="F1" s="90"/>
      <c r="G1" s="90"/>
      <c r="H1" s="90"/>
      <c r="I1" s="90"/>
      <c r="J1" s="90"/>
    </row>
    <row r="2" spans="1:10">
      <c r="A2" s="49" t="s">
        <v>0</v>
      </c>
      <c r="B2" s="49" t="s">
        <v>2</v>
      </c>
      <c r="C2" s="49" t="s">
        <v>6</v>
      </c>
      <c r="D2" s="48" t="s">
        <v>405</v>
      </c>
      <c r="E2" s="48" t="s">
        <v>406</v>
      </c>
      <c r="F2" s="49" t="s">
        <v>13</v>
      </c>
      <c r="G2" s="49" t="s">
        <v>14</v>
      </c>
      <c r="H2" s="49" t="s">
        <v>18</v>
      </c>
      <c r="I2" s="49" t="s">
        <v>17</v>
      </c>
      <c r="J2" s="49" t="s">
        <v>354</v>
      </c>
    </row>
    <row r="3" spans="1:10" ht="15.75" customHeight="1">
      <c r="A3" s="64" t="s">
        <v>409</v>
      </c>
      <c r="B3" s="65" t="s">
        <v>110</v>
      </c>
      <c r="C3" s="66">
        <v>46067</v>
      </c>
      <c r="D3" s="67">
        <v>2026</v>
      </c>
      <c r="E3" s="67">
        <v>2</v>
      </c>
      <c r="F3" s="68"/>
      <c r="G3" s="68"/>
      <c r="H3" s="68"/>
      <c r="I3" s="69"/>
      <c r="J3" s="79" t="s">
        <v>426</v>
      </c>
    </row>
    <row r="4" spans="1:10" ht="15.75" customHeight="1">
      <c r="A4" s="64" t="s">
        <v>410</v>
      </c>
      <c r="B4" s="65" t="s">
        <v>281</v>
      </c>
      <c r="C4" s="66">
        <v>46090</v>
      </c>
      <c r="D4" s="67">
        <v>2026</v>
      </c>
      <c r="E4" s="67">
        <v>3</v>
      </c>
      <c r="F4" s="68">
        <v>210000</v>
      </c>
      <c r="G4" s="68"/>
      <c r="H4" s="68"/>
      <c r="I4" s="69"/>
      <c r="J4" s="79" t="s">
        <v>427</v>
      </c>
    </row>
    <row r="5" spans="1:10" ht="15.75" customHeight="1">
      <c r="A5" s="64" t="s">
        <v>412</v>
      </c>
      <c r="B5" s="65" t="s">
        <v>110</v>
      </c>
      <c r="C5" s="66">
        <v>46111</v>
      </c>
      <c r="D5" s="67">
        <v>2026</v>
      </c>
      <c r="E5" s="67">
        <v>3</v>
      </c>
      <c r="F5" s="68"/>
      <c r="G5" s="68"/>
      <c r="H5" s="68"/>
      <c r="I5" s="69"/>
      <c r="J5" s="79" t="s">
        <v>426</v>
      </c>
    </row>
    <row r="6" spans="1:10" ht="15.75" customHeight="1">
      <c r="A6" s="64" t="s">
        <v>319</v>
      </c>
      <c r="B6" s="65" t="s">
        <v>110</v>
      </c>
      <c r="C6" s="66">
        <v>46122</v>
      </c>
      <c r="D6" s="67">
        <v>2026</v>
      </c>
      <c r="E6" s="67">
        <v>4</v>
      </c>
      <c r="F6" s="68"/>
      <c r="G6" s="68"/>
      <c r="H6" s="68"/>
      <c r="I6" s="69"/>
      <c r="J6" s="69"/>
    </row>
    <row r="7" spans="1:10" ht="15.75" customHeight="1">
      <c r="A7" s="64" t="s">
        <v>317</v>
      </c>
      <c r="B7" s="65" t="s">
        <v>110</v>
      </c>
      <c r="C7" s="66">
        <v>46122</v>
      </c>
      <c r="D7" s="67">
        <v>2026</v>
      </c>
      <c r="E7" s="67">
        <v>4</v>
      </c>
      <c r="F7" s="68"/>
      <c r="G7" s="68"/>
      <c r="H7" s="68"/>
      <c r="I7" s="69"/>
      <c r="J7" s="69"/>
    </row>
    <row r="8" spans="1:10" ht="15.75" customHeight="1">
      <c r="A8" s="64" t="s">
        <v>313</v>
      </c>
      <c r="B8" s="65" t="s">
        <v>281</v>
      </c>
      <c r="C8" s="66">
        <v>46122</v>
      </c>
      <c r="D8" s="67">
        <v>2026</v>
      </c>
      <c r="E8" s="67">
        <v>4</v>
      </c>
      <c r="F8" s="68"/>
      <c r="G8" s="68"/>
      <c r="H8" s="68"/>
      <c r="I8" s="69"/>
      <c r="J8" s="69"/>
    </row>
    <row r="9" spans="1:10" ht="15.75" customHeight="1">
      <c r="A9" s="64" t="s">
        <v>306</v>
      </c>
      <c r="B9" s="65" t="s">
        <v>110</v>
      </c>
      <c r="C9" s="66">
        <v>46122</v>
      </c>
      <c r="D9" s="67">
        <v>2026</v>
      </c>
      <c r="E9" s="67">
        <v>4</v>
      </c>
      <c r="F9" s="68"/>
      <c r="G9" s="68"/>
      <c r="H9" s="68"/>
      <c r="I9" s="69"/>
      <c r="J9" s="69"/>
    </row>
    <row r="10" spans="1:10" ht="15.75" customHeight="1">
      <c r="A10" s="64" t="s">
        <v>290</v>
      </c>
      <c r="B10" s="64"/>
      <c r="C10" s="66">
        <v>46128</v>
      </c>
      <c r="D10" s="67">
        <v>2026</v>
      </c>
      <c r="E10" s="67">
        <v>4</v>
      </c>
      <c r="F10" s="68"/>
      <c r="G10" s="68"/>
      <c r="H10" s="68"/>
      <c r="I10" s="69"/>
      <c r="J10" s="69"/>
    </row>
    <row r="11" spans="1:10" ht="15.75" customHeight="1">
      <c r="A11" s="64" t="s">
        <v>279</v>
      </c>
      <c r="B11" s="65" t="s">
        <v>281</v>
      </c>
      <c r="C11" s="66">
        <v>46131</v>
      </c>
      <c r="D11" s="67">
        <v>2026</v>
      </c>
      <c r="E11" s="67">
        <v>4</v>
      </c>
      <c r="F11" s="68"/>
      <c r="G11" s="68"/>
      <c r="H11" s="68"/>
      <c r="I11" s="69"/>
      <c r="J11" s="69"/>
    </row>
    <row r="12" spans="1:10" ht="15.75" customHeight="1">
      <c r="A12" s="64" t="s">
        <v>277</v>
      </c>
      <c r="B12" s="64"/>
      <c r="C12" s="66">
        <v>46131</v>
      </c>
      <c r="D12" s="67">
        <v>2026</v>
      </c>
      <c r="E12" s="67">
        <v>4</v>
      </c>
      <c r="F12" s="68"/>
      <c r="G12" s="68"/>
      <c r="H12" s="68"/>
      <c r="I12" s="69"/>
      <c r="J12" s="69"/>
    </row>
    <row r="13" spans="1:10" ht="15.75" customHeight="1">
      <c r="A13" s="64" t="s">
        <v>232</v>
      </c>
      <c r="B13" s="64"/>
      <c r="C13" s="66">
        <v>46134</v>
      </c>
      <c r="D13" s="67">
        <v>2026</v>
      </c>
      <c r="E13" s="67">
        <v>4</v>
      </c>
      <c r="F13" s="68"/>
      <c r="G13" s="68"/>
      <c r="H13" s="68"/>
      <c r="I13" s="69"/>
      <c r="J13" s="69"/>
    </row>
    <row r="14" spans="1:10" ht="15.75" customHeight="1">
      <c r="A14" s="64" t="s">
        <v>230</v>
      </c>
      <c r="B14" s="64"/>
      <c r="C14" s="66">
        <v>46134</v>
      </c>
      <c r="D14" s="67">
        <v>2026</v>
      </c>
      <c r="E14" s="67">
        <v>4</v>
      </c>
      <c r="F14" s="68"/>
      <c r="G14" s="68"/>
      <c r="H14" s="68"/>
      <c r="I14" s="69"/>
      <c r="J14" s="69"/>
    </row>
    <row r="15" spans="1:10" ht="15.75" customHeight="1">
      <c r="A15" s="64" t="s">
        <v>196</v>
      </c>
      <c r="B15" s="65" t="s">
        <v>110</v>
      </c>
      <c r="C15" s="66">
        <v>46135</v>
      </c>
      <c r="D15" s="67">
        <v>2026</v>
      </c>
      <c r="E15" s="67">
        <v>4</v>
      </c>
      <c r="F15" s="68"/>
      <c r="G15" s="68"/>
      <c r="H15" s="68"/>
      <c r="I15" s="69"/>
      <c r="J15" s="69"/>
    </row>
    <row r="16" spans="1:10" ht="15.75" customHeight="1">
      <c r="A16" s="64" t="s">
        <v>180</v>
      </c>
      <c r="B16" s="65" t="s">
        <v>110</v>
      </c>
      <c r="C16" s="66">
        <v>46139</v>
      </c>
      <c r="D16" s="67">
        <v>2026</v>
      </c>
      <c r="E16" s="67">
        <v>4</v>
      </c>
      <c r="F16" s="68"/>
      <c r="G16" s="68">
        <v>2026</v>
      </c>
      <c r="H16" s="68"/>
      <c r="I16" s="69"/>
      <c r="J16" s="79" t="s">
        <v>428</v>
      </c>
    </row>
    <row r="17" spans="1:10" ht="15.75" customHeight="1">
      <c r="A17" s="64" t="s">
        <v>119</v>
      </c>
      <c r="B17" s="65" t="s">
        <v>110</v>
      </c>
      <c r="C17" s="66">
        <v>46141</v>
      </c>
      <c r="D17" s="67">
        <v>2026</v>
      </c>
      <c r="E17" s="67">
        <v>4</v>
      </c>
      <c r="F17" s="68"/>
      <c r="G17" s="68"/>
      <c r="H17" s="68"/>
      <c r="I17" s="69"/>
      <c r="J17" s="69"/>
    </row>
    <row r="18" spans="1:10" ht="15.75" customHeight="1">
      <c r="A18" s="64" t="s">
        <v>112</v>
      </c>
      <c r="B18" s="64"/>
      <c r="C18" s="66">
        <v>46142</v>
      </c>
      <c r="D18" s="67">
        <v>2026</v>
      </c>
      <c r="E18" s="67">
        <v>4</v>
      </c>
      <c r="F18" s="68"/>
      <c r="G18" s="68"/>
      <c r="H18" s="68"/>
      <c r="I18" s="69"/>
      <c r="J18" s="69"/>
    </row>
    <row r="19" spans="1:10" ht="15.75" customHeight="1">
      <c r="A19" s="64" t="s">
        <v>108</v>
      </c>
      <c r="B19" s="65" t="s">
        <v>110</v>
      </c>
      <c r="C19" s="66">
        <v>46142</v>
      </c>
      <c r="D19" s="67">
        <v>2026</v>
      </c>
      <c r="E19" s="67">
        <v>4</v>
      </c>
      <c r="F19" s="68"/>
      <c r="G19" s="68"/>
      <c r="H19" s="68"/>
      <c r="I19" s="69"/>
      <c r="J19" s="69"/>
    </row>
  </sheetData>
  <mergeCells count="1">
    <mergeCell ref="A1:J1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zoomScaleNormal="100" workbookViewId="0">
      <pane ySplit="3" topLeftCell="A4" activePane="bottomLeft" state="frozen"/>
      <selection pane="bottomLeft"/>
    </sheetView>
  </sheetViews>
  <sheetFormatPr defaultColWidth="8.5" defaultRowHeight="15"/>
  <cols>
    <col min="1" max="1" width="16" style="47" customWidth="1"/>
    <col min="2" max="2" width="10" style="47" customWidth="1"/>
    <col min="3" max="4" width="13" style="47" customWidth="1"/>
    <col min="5" max="5" width="6" style="47" customWidth="1"/>
    <col min="6" max="8" width="10" style="47" customWidth="1"/>
    <col min="9" max="9" width="16" style="47" customWidth="1"/>
    <col min="10" max="10" width="10" style="47" customWidth="1"/>
    <col min="11" max="11" width="24" style="47" customWidth="1"/>
  </cols>
  <sheetData>
    <row r="1" spans="1:11" ht="19.5" customHeight="1">
      <c r="A1" s="90" t="s">
        <v>429</v>
      </c>
      <c r="B1" s="90"/>
      <c r="C1" s="90"/>
      <c r="D1" s="90"/>
      <c r="E1" s="90"/>
      <c r="F1" s="90"/>
      <c r="G1" s="90"/>
      <c r="H1" s="90"/>
      <c r="I1" s="90"/>
      <c r="J1" s="90"/>
    </row>
    <row r="2" spans="1:11" ht="19.5" customHeight="1">
      <c r="A2" s="89" t="s">
        <v>430</v>
      </c>
      <c r="B2" s="89"/>
      <c r="C2" s="89"/>
      <c r="D2" s="89"/>
      <c r="E2" s="89"/>
      <c r="F2" s="89"/>
      <c r="G2" s="89"/>
      <c r="H2" s="89"/>
      <c r="I2" s="89"/>
      <c r="J2" s="89"/>
    </row>
    <row r="3" spans="1:11">
      <c r="A3" s="49" t="s">
        <v>0</v>
      </c>
      <c r="B3" s="49" t="s">
        <v>2</v>
      </c>
      <c r="C3" s="49" t="s">
        <v>6</v>
      </c>
      <c r="D3" s="49" t="s">
        <v>8</v>
      </c>
      <c r="E3" s="48" t="s">
        <v>417</v>
      </c>
      <c r="F3" s="49" t="s">
        <v>13</v>
      </c>
      <c r="G3" s="49" t="s">
        <v>14</v>
      </c>
      <c r="H3" s="49" t="s">
        <v>18</v>
      </c>
      <c r="I3" s="49" t="s">
        <v>17</v>
      </c>
      <c r="J3" s="49" t="s">
        <v>431</v>
      </c>
      <c r="K3" s="49" t="s">
        <v>354</v>
      </c>
    </row>
    <row r="4" spans="1:11" ht="15.75" customHeight="1">
      <c r="A4" s="50" t="s">
        <v>333</v>
      </c>
      <c r="B4" s="70" t="s">
        <v>72</v>
      </c>
      <c r="C4" s="71">
        <v>46114</v>
      </c>
      <c r="D4" s="71">
        <v>46136</v>
      </c>
      <c r="E4" s="73">
        <v>4</v>
      </c>
      <c r="F4" s="52">
        <v>31300</v>
      </c>
      <c r="G4" s="52"/>
      <c r="H4" s="52"/>
      <c r="I4" s="53"/>
      <c r="J4" s="50" t="s">
        <v>375</v>
      </c>
      <c r="K4" s="53"/>
    </row>
    <row r="5" spans="1:11" ht="15.75" customHeight="1">
      <c r="A5" s="50" t="s">
        <v>327</v>
      </c>
      <c r="B5" s="70" t="s">
        <v>72</v>
      </c>
      <c r="C5" s="71">
        <v>46117</v>
      </c>
      <c r="D5" s="71">
        <v>46129</v>
      </c>
      <c r="E5" s="73">
        <v>4</v>
      </c>
      <c r="F5" s="52"/>
      <c r="G5" s="52">
        <v>137</v>
      </c>
      <c r="H5" s="52"/>
      <c r="I5" s="53"/>
      <c r="J5" s="50" t="s">
        <v>375</v>
      </c>
      <c r="K5" s="53"/>
    </row>
    <row r="6" spans="1:11" ht="15.75" customHeight="1">
      <c r="A6" s="50" t="s">
        <v>323</v>
      </c>
      <c r="B6" s="70" t="s">
        <v>72</v>
      </c>
      <c r="C6" s="71">
        <v>46119</v>
      </c>
      <c r="D6" s="71">
        <v>46139</v>
      </c>
      <c r="E6" s="73">
        <v>4</v>
      </c>
      <c r="F6" s="52"/>
      <c r="G6" s="52">
        <v>499</v>
      </c>
      <c r="H6" s="52"/>
      <c r="I6" s="53"/>
      <c r="J6" s="50" t="s">
        <v>375</v>
      </c>
      <c r="K6" s="53"/>
    </row>
    <row r="7" spans="1:11" ht="15.75" customHeight="1">
      <c r="A7" s="50" t="s">
        <v>321</v>
      </c>
      <c r="B7" s="70" t="s">
        <v>72</v>
      </c>
      <c r="C7" s="71">
        <v>46122</v>
      </c>
      <c r="D7" s="71">
        <v>46125</v>
      </c>
      <c r="E7" s="73">
        <v>4</v>
      </c>
      <c r="F7" s="52"/>
      <c r="G7" s="52">
        <v>137</v>
      </c>
      <c r="H7" s="52"/>
      <c r="I7" s="53"/>
      <c r="J7" s="50" t="s">
        <v>375</v>
      </c>
      <c r="K7" s="53"/>
    </row>
    <row r="8" spans="1:11" ht="15.75" customHeight="1">
      <c r="A8" s="50" t="s">
        <v>288</v>
      </c>
      <c r="B8" s="70" t="s">
        <v>72</v>
      </c>
      <c r="C8" s="71">
        <v>46129</v>
      </c>
      <c r="D8" s="71">
        <v>46136</v>
      </c>
      <c r="E8" s="73">
        <v>4</v>
      </c>
      <c r="F8" s="52"/>
      <c r="G8" s="52">
        <v>142</v>
      </c>
      <c r="H8" s="52"/>
      <c r="I8" s="53"/>
      <c r="J8" s="50" t="s">
        <v>375</v>
      </c>
      <c r="K8" s="53"/>
    </row>
    <row r="9" spans="1:11" ht="15.75" customHeight="1">
      <c r="A9" s="50" t="s">
        <v>282</v>
      </c>
      <c r="B9" s="70" t="s">
        <v>72</v>
      </c>
      <c r="C9" s="71">
        <v>46131</v>
      </c>
      <c r="D9" s="71">
        <v>46136</v>
      </c>
      <c r="E9" s="73">
        <v>4</v>
      </c>
      <c r="F9" s="52"/>
      <c r="G9" s="52">
        <v>38</v>
      </c>
      <c r="H9" s="52"/>
      <c r="I9" s="53"/>
      <c r="J9" s="50" t="s">
        <v>375</v>
      </c>
      <c r="K9" s="53"/>
    </row>
    <row r="10" spans="1:11" ht="15.75" customHeight="1">
      <c r="A10" s="50" t="s">
        <v>193</v>
      </c>
      <c r="B10" s="70" t="s">
        <v>72</v>
      </c>
      <c r="C10" s="71">
        <v>46135</v>
      </c>
      <c r="D10" s="71">
        <v>46141</v>
      </c>
      <c r="E10" s="73">
        <v>4</v>
      </c>
      <c r="F10" s="52"/>
      <c r="G10" s="52"/>
      <c r="H10" s="52">
        <v>800</v>
      </c>
      <c r="I10" s="54" t="s">
        <v>195</v>
      </c>
      <c r="J10" s="50" t="s">
        <v>356</v>
      </c>
      <c r="K10" s="54" t="s">
        <v>432</v>
      </c>
    </row>
    <row r="11" spans="1:11" ht="15.75" customHeight="1">
      <c r="A11" s="50" t="s">
        <v>191</v>
      </c>
      <c r="B11" s="70" t="s">
        <v>72</v>
      </c>
      <c r="C11" s="71">
        <v>46137</v>
      </c>
      <c r="D11" s="71">
        <v>46140</v>
      </c>
      <c r="E11" s="73">
        <v>4</v>
      </c>
      <c r="F11" s="52"/>
      <c r="G11" s="52">
        <v>137</v>
      </c>
      <c r="H11" s="52">
        <v>137</v>
      </c>
      <c r="I11" s="53"/>
      <c r="J11" s="50" t="s">
        <v>433</v>
      </c>
      <c r="K11" s="54" t="s">
        <v>434</v>
      </c>
    </row>
    <row r="12" spans="1:11" ht="15.75" customHeight="1">
      <c r="A12" s="80" t="s">
        <v>180</v>
      </c>
      <c r="B12" s="81" t="s">
        <v>110</v>
      </c>
      <c r="C12" s="82">
        <v>46139</v>
      </c>
      <c r="D12" s="82">
        <v>46140</v>
      </c>
      <c r="E12" s="83">
        <v>4</v>
      </c>
      <c r="F12" s="84"/>
      <c r="G12" s="84">
        <v>2026</v>
      </c>
      <c r="H12" s="84"/>
      <c r="I12" s="85"/>
      <c r="J12" s="80" t="s">
        <v>375</v>
      </c>
      <c r="K12" s="85"/>
    </row>
    <row r="13" spans="1:11" ht="15.75" customHeight="1">
      <c r="A13" s="50" t="s">
        <v>435</v>
      </c>
      <c r="B13" s="70" t="s">
        <v>72</v>
      </c>
      <c r="C13" s="71">
        <v>46040</v>
      </c>
      <c r="D13" s="71">
        <v>46122</v>
      </c>
      <c r="E13" s="73">
        <v>4</v>
      </c>
      <c r="F13" s="52">
        <v>13150</v>
      </c>
      <c r="G13" s="52"/>
      <c r="H13" s="52">
        <v>17955</v>
      </c>
      <c r="I13" s="54" t="s">
        <v>345</v>
      </c>
      <c r="J13" s="50" t="s">
        <v>356</v>
      </c>
      <c r="K13" s="54" t="s">
        <v>432</v>
      </c>
    </row>
    <row r="14" spans="1:11" ht="15.75" customHeight="1">
      <c r="A14" s="50" t="s">
        <v>436</v>
      </c>
      <c r="B14" s="70" t="s">
        <v>72</v>
      </c>
      <c r="C14" s="71">
        <v>46097</v>
      </c>
      <c r="D14" s="71">
        <v>46122</v>
      </c>
      <c r="E14" s="73">
        <v>4</v>
      </c>
      <c r="F14" s="52">
        <v>9975</v>
      </c>
      <c r="G14" s="52"/>
      <c r="H14" s="52"/>
      <c r="I14" s="53"/>
      <c r="J14" s="50" t="s">
        <v>375</v>
      </c>
      <c r="K14" s="53"/>
    </row>
    <row r="15" spans="1:11" ht="18" customHeight="1">
      <c r="A15" s="74" t="s">
        <v>437</v>
      </c>
      <c r="B15" s="77"/>
      <c r="C15" s="77"/>
      <c r="D15" s="77"/>
      <c r="E15" s="77"/>
      <c r="F15" s="78">
        <f>SUM(F4:F14)</f>
        <v>54425</v>
      </c>
      <c r="G15" s="78">
        <f>SUM(G4:G14)</f>
        <v>3116</v>
      </c>
      <c r="H15" s="78">
        <f>SUM(H4:H14)</f>
        <v>18892</v>
      </c>
      <c r="I15" s="77"/>
      <c r="J15" s="77"/>
      <c r="K15" s="77"/>
    </row>
    <row r="16" spans="1:11" ht="19.5" customHeight="1">
      <c r="A16" s="49" t="s">
        <v>388</v>
      </c>
      <c r="F16" s="86">
        <f>SUM(F15:H15)</f>
        <v>76433</v>
      </c>
      <c r="G16" s="87" t="s">
        <v>438</v>
      </c>
    </row>
  </sheetData>
  <mergeCells count="2">
    <mergeCell ref="A1:J1"/>
    <mergeCell ref="A2:J2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6"/>
  <sheetViews>
    <sheetView zoomScaleNormal="100" workbookViewId="0">
      <pane ySplit="3" topLeftCell="A4" activePane="bottomLeft" state="frozen"/>
      <selection pane="bottomLeft"/>
    </sheetView>
  </sheetViews>
  <sheetFormatPr defaultColWidth="8.5" defaultRowHeight="15"/>
  <cols>
    <col min="1" max="1" width="16" style="47" customWidth="1"/>
    <col min="2" max="2" width="10" style="47" customWidth="1"/>
    <col min="3" max="4" width="13" style="47" customWidth="1"/>
    <col min="5" max="5" width="6" style="47" customWidth="1"/>
    <col min="6" max="8" width="10" style="47" customWidth="1"/>
    <col min="9" max="9" width="16" style="47" customWidth="1"/>
    <col min="10" max="10" width="10" style="47" customWidth="1"/>
    <col min="11" max="11" width="42" style="47" customWidth="1"/>
  </cols>
  <sheetData>
    <row r="1" spans="1:11" ht="19.5" customHeight="1">
      <c r="A1" s="90" t="s">
        <v>439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1" ht="19.5" customHeight="1">
      <c r="A2" s="89" t="s">
        <v>440</v>
      </c>
      <c r="B2" s="89"/>
      <c r="C2" s="89"/>
      <c r="D2" s="89"/>
      <c r="E2" s="89"/>
      <c r="F2" s="89"/>
      <c r="G2" s="89"/>
      <c r="H2" s="89"/>
      <c r="I2" s="89"/>
      <c r="J2" s="89"/>
      <c r="K2" s="89"/>
    </row>
    <row r="3" spans="1:11">
      <c r="A3" s="49" t="s">
        <v>0</v>
      </c>
      <c r="B3" s="49" t="s">
        <v>2</v>
      </c>
      <c r="C3" s="49" t="s">
        <v>6</v>
      </c>
      <c r="D3" s="49" t="s">
        <v>8</v>
      </c>
      <c r="E3" s="48" t="s">
        <v>417</v>
      </c>
      <c r="F3" s="49" t="s">
        <v>13</v>
      </c>
      <c r="G3" s="49" t="s">
        <v>14</v>
      </c>
      <c r="H3" s="49" t="s">
        <v>18</v>
      </c>
      <c r="I3" s="49" t="s">
        <v>17</v>
      </c>
      <c r="J3" s="49" t="s">
        <v>431</v>
      </c>
      <c r="K3" s="49" t="s">
        <v>354</v>
      </c>
    </row>
    <row r="4" spans="1:11" ht="15.75" customHeight="1">
      <c r="A4" s="50" t="s">
        <v>441</v>
      </c>
      <c r="B4" s="70" t="s">
        <v>72</v>
      </c>
      <c r="C4" s="71">
        <v>45959</v>
      </c>
      <c r="D4" s="71">
        <v>46029</v>
      </c>
      <c r="E4" s="50" t="s">
        <v>442</v>
      </c>
      <c r="F4" s="52">
        <v>12600</v>
      </c>
      <c r="G4" s="52"/>
      <c r="H4" s="52"/>
      <c r="I4" s="53"/>
      <c r="J4" s="50" t="s">
        <v>375</v>
      </c>
      <c r="K4" s="53"/>
    </row>
    <row r="5" spans="1:11" ht="15.75" customHeight="1">
      <c r="A5" s="50" t="s">
        <v>443</v>
      </c>
      <c r="B5" s="70" t="s">
        <v>72</v>
      </c>
      <c r="C5" s="71">
        <v>46018</v>
      </c>
      <c r="D5" s="71">
        <v>46023</v>
      </c>
      <c r="E5" s="50" t="s">
        <v>442</v>
      </c>
      <c r="F5" s="52"/>
      <c r="G5" s="52"/>
      <c r="H5" s="52">
        <v>1433</v>
      </c>
      <c r="I5" s="54" t="s">
        <v>263</v>
      </c>
      <c r="J5" s="50" t="s">
        <v>356</v>
      </c>
      <c r="K5" s="54" t="s">
        <v>432</v>
      </c>
    </row>
    <row r="6" spans="1:11" ht="15.75" customHeight="1">
      <c r="A6" s="50" t="s">
        <v>444</v>
      </c>
      <c r="B6" s="70" t="s">
        <v>72</v>
      </c>
      <c r="C6" s="71">
        <v>46023</v>
      </c>
      <c r="D6" s="71">
        <v>46023</v>
      </c>
      <c r="E6" s="50" t="s">
        <v>442</v>
      </c>
      <c r="F6" s="52"/>
      <c r="G6" s="52">
        <v>550</v>
      </c>
      <c r="H6" s="52">
        <v>1591</v>
      </c>
      <c r="I6" s="54" t="s">
        <v>263</v>
      </c>
      <c r="J6" s="50" t="s">
        <v>356</v>
      </c>
      <c r="K6" s="54" t="s">
        <v>432</v>
      </c>
    </row>
    <row r="7" spans="1:11" ht="15.75" customHeight="1">
      <c r="A7" s="50" t="s">
        <v>445</v>
      </c>
      <c r="B7" s="70" t="s">
        <v>72</v>
      </c>
      <c r="C7" s="71">
        <v>46026</v>
      </c>
      <c r="D7" s="71">
        <v>46026</v>
      </c>
      <c r="E7" s="50" t="s">
        <v>442</v>
      </c>
      <c r="F7" s="52"/>
      <c r="G7" s="52">
        <v>620</v>
      </c>
      <c r="H7" s="52"/>
      <c r="I7" s="53"/>
      <c r="J7" s="50" t="s">
        <v>375</v>
      </c>
      <c r="K7" s="53"/>
    </row>
    <row r="8" spans="1:11" ht="15.75" customHeight="1">
      <c r="A8" s="50" t="s">
        <v>446</v>
      </c>
      <c r="B8" s="70" t="s">
        <v>72</v>
      </c>
      <c r="C8" s="71">
        <v>46027</v>
      </c>
      <c r="D8" s="71">
        <v>46029</v>
      </c>
      <c r="E8" s="50" t="s">
        <v>442</v>
      </c>
      <c r="F8" s="52">
        <v>2000</v>
      </c>
      <c r="G8" s="52"/>
      <c r="H8" s="52"/>
      <c r="I8" s="53"/>
      <c r="J8" s="50" t="s">
        <v>375</v>
      </c>
      <c r="K8" s="53"/>
    </row>
    <row r="9" spans="1:11" ht="15.75" customHeight="1">
      <c r="A9" s="50" t="s">
        <v>447</v>
      </c>
      <c r="B9" s="70" t="s">
        <v>72</v>
      </c>
      <c r="C9" s="71">
        <v>46029</v>
      </c>
      <c r="D9" s="71">
        <v>46029</v>
      </c>
      <c r="E9" s="50" t="s">
        <v>442</v>
      </c>
      <c r="F9" s="52"/>
      <c r="G9" s="52">
        <v>137</v>
      </c>
      <c r="H9" s="52"/>
      <c r="I9" s="53"/>
      <c r="J9" s="50" t="s">
        <v>375</v>
      </c>
      <c r="K9" s="53"/>
    </row>
    <row r="10" spans="1:11" ht="15.75" customHeight="1">
      <c r="A10" s="50" t="s">
        <v>448</v>
      </c>
      <c r="B10" s="70" t="s">
        <v>72</v>
      </c>
      <c r="C10" s="71">
        <v>46030</v>
      </c>
      <c r="D10" s="71">
        <v>46037</v>
      </c>
      <c r="E10" s="50" t="s">
        <v>442</v>
      </c>
      <c r="F10" s="52">
        <v>500</v>
      </c>
      <c r="G10" s="52"/>
      <c r="H10" s="52"/>
      <c r="I10" s="53"/>
      <c r="J10" s="50" t="s">
        <v>375</v>
      </c>
      <c r="K10" s="53"/>
    </row>
    <row r="11" spans="1:11" ht="15.75" customHeight="1">
      <c r="A11" s="50" t="s">
        <v>449</v>
      </c>
      <c r="B11" s="70" t="s">
        <v>72</v>
      </c>
      <c r="C11" s="71">
        <v>46030</v>
      </c>
      <c r="D11" s="71">
        <v>46031</v>
      </c>
      <c r="E11" s="50" t="s">
        <v>442</v>
      </c>
      <c r="F11" s="52"/>
      <c r="G11" s="52">
        <v>263</v>
      </c>
      <c r="H11" s="52"/>
      <c r="I11" s="53"/>
      <c r="J11" s="50" t="s">
        <v>375</v>
      </c>
      <c r="K11" s="53"/>
    </row>
    <row r="12" spans="1:11" ht="15.75" customHeight="1">
      <c r="A12" s="50" t="s">
        <v>450</v>
      </c>
      <c r="B12" s="70" t="s">
        <v>72</v>
      </c>
      <c r="C12" s="71">
        <v>46031</v>
      </c>
      <c r="D12" s="71">
        <v>46031</v>
      </c>
      <c r="E12" s="50" t="s">
        <v>442</v>
      </c>
      <c r="F12" s="52"/>
      <c r="G12" s="52">
        <v>74</v>
      </c>
      <c r="H12" s="52"/>
      <c r="I12" s="53"/>
      <c r="J12" s="50" t="s">
        <v>375</v>
      </c>
      <c r="K12" s="53"/>
    </row>
    <row r="13" spans="1:11" ht="15.75" customHeight="1">
      <c r="A13" s="50" t="s">
        <v>451</v>
      </c>
      <c r="B13" s="70" t="s">
        <v>72</v>
      </c>
      <c r="C13" s="71">
        <v>46033</v>
      </c>
      <c r="D13" s="71">
        <v>46044</v>
      </c>
      <c r="E13" s="50" t="s">
        <v>442</v>
      </c>
      <c r="F13" s="52"/>
      <c r="G13" s="52">
        <v>520</v>
      </c>
      <c r="H13" s="52"/>
      <c r="I13" s="53"/>
      <c r="J13" s="50" t="s">
        <v>375</v>
      </c>
      <c r="K13" s="53"/>
    </row>
    <row r="14" spans="1:11" ht="15.75" customHeight="1">
      <c r="A14" s="50" t="s">
        <v>452</v>
      </c>
      <c r="B14" s="70" t="s">
        <v>72</v>
      </c>
      <c r="C14" s="71">
        <v>46039</v>
      </c>
      <c r="D14" s="71">
        <v>46043</v>
      </c>
      <c r="E14" s="50" t="s">
        <v>442</v>
      </c>
      <c r="F14" s="52"/>
      <c r="G14" s="52">
        <v>294</v>
      </c>
      <c r="H14" s="52"/>
      <c r="I14" s="53"/>
      <c r="J14" s="50" t="s">
        <v>375</v>
      </c>
      <c r="K14" s="53"/>
    </row>
    <row r="15" spans="1:11" ht="15.75" customHeight="1">
      <c r="A15" s="50" t="s">
        <v>453</v>
      </c>
      <c r="B15" s="70" t="s">
        <v>72</v>
      </c>
      <c r="C15" s="71">
        <v>46051</v>
      </c>
      <c r="D15" s="71">
        <v>46052</v>
      </c>
      <c r="E15" s="50" t="s">
        <v>442</v>
      </c>
      <c r="F15" s="52"/>
      <c r="G15" s="52">
        <v>137</v>
      </c>
      <c r="H15" s="52"/>
      <c r="I15" s="53"/>
      <c r="J15" s="50" t="s">
        <v>375</v>
      </c>
      <c r="K15" s="53"/>
    </row>
    <row r="16" spans="1:11" ht="15.75" customHeight="1">
      <c r="A16" s="50" t="s">
        <v>454</v>
      </c>
      <c r="B16" s="70" t="s">
        <v>72</v>
      </c>
      <c r="C16" s="71">
        <v>46051</v>
      </c>
      <c r="D16" s="71">
        <v>46053</v>
      </c>
      <c r="E16" s="50" t="s">
        <v>442</v>
      </c>
      <c r="F16" s="52"/>
      <c r="G16" s="52">
        <v>620</v>
      </c>
      <c r="H16" s="52"/>
      <c r="I16" s="53"/>
      <c r="J16" s="50" t="s">
        <v>375</v>
      </c>
      <c r="K16" s="53"/>
    </row>
    <row r="17" spans="1:11" ht="15.75" customHeight="1">
      <c r="A17" s="50" t="s">
        <v>455</v>
      </c>
      <c r="B17" s="70" t="s">
        <v>72</v>
      </c>
      <c r="C17" s="71">
        <v>46027</v>
      </c>
      <c r="D17" s="71">
        <v>46064</v>
      </c>
      <c r="E17" s="50" t="s">
        <v>456</v>
      </c>
      <c r="F17" s="52">
        <v>9000</v>
      </c>
      <c r="G17" s="52"/>
      <c r="H17" s="52"/>
      <c r="I17" s="53"/>
      <c r="J17" s="50" t="s">
        <v>375</v>
      </c>
      <c r="K17" s="53"/>
    </row>
    <row r="18" spans="1:11" ht="15.75" customHeight="1">
      <c r="A18" s="50" t="s">
        <v>457</v>
      </c>
      <c r="B18" s="70" t="s">
        <v>72</v>
      </c>
      <c r="C18" s="71">
        <v>46044</v>
      </c>
      <c r="D18" s="71">
        <v>46057</v>
      </c>
      <c r="E18" s="50" t="s">
        <v>456</v>
      </c>
      <c r="F18" s="52"/>
      <c r="G18" s="52">
        <v>9450</v>
      </c>
      <c r="H18" s="52"/>
      <c r="I18" s="53"/>
      <c r="J18" s="50" t="s">
        <v>375</v>
      </c>
      <c r="K18" s="53"/>
    </row>
    <row r="19" spans="1:11" ht="15.75" customHeight="1">
      <c r="A19" s="50" t="s">
        <v>458</v>
      </c>
      <c r="B19" s="70" t="s">
        <v>72</v>
      </c>
      <c r="C19" s="71">
        <v>46060</v>
      </c>
      <c r="D19" s="71">
        <v>46062</v>
      </c>
      <c r="E19" s="50" t="s">
        <v>456</v>
      </c>
      <c r="F19" s="52"/>
      <c r="G19" s="52"/>
      <c r="H19" s="52">
        <v>1260</v>
      </c>
      <c r="I19" s="54" t="s">
        <v>237</v>
      </c>
      <c r="J19" s="50" t="s">
        <v>356</v>
      </c>
      <c r="K19" s="54" t="s">
        <v>432</v>
      </c>
    </row>
    <row r="20" spans="1:11" ht="15.75" customHeight="1">
      <c r="A20" s="50" t="s">
        <v>459</v>
      </c>
      <c r="B20" s="70" t="s">
        <v>72</v>
      </c>
      <c r="C20" s="71">
        <v>46064</v>
      </c>
      <c r="D20" s="71">
        <v>46066</v>
      </c>
      <c r="E20" s="50" t="s">
        <v>456</v>
      </c>
      <c r="F20" s="52">
        <v>15750</v>
      </c>
      <c r="G20" s="52"/>
      <c r="H20" s="52"/>
      <c r="I20" s="53"/>
      <c r="J20" s="50" t="s">
        <v>375</v>
      </c>
      <c r="K20" s="53"/>
    </row>
    <row r="21" spans="1:11" ht="15.75" customHeight="1">
      <c r="A21" s="50" t="s">
        <v>460</v>
      </c>
      <c r="B21" s="70" t="s">
        <v>72</v>
      </c>
      <c r="C21" s="71">
        <v>46044</v>
      </c>
      <c r="D21" s="71">
        <v>46086</v>
      </c>
      <c r="E21" s="50" t="s">
        <v>461</v>
      </c>
      <c r="F21" s="52">
        <v>140333</v>
      </c>
      <c r="G21" s="52"/>
      <c r="H21" s="52"/>
      <c r="I21" s="53"/>
      <c r="J21" s="50" t="s">
        <v>375</v>
      </c>
      <c r="K21" s="53"/>
    </row>
    <row r="22" spans="1:11" ht="15.75" customHeight="1">
      <c r="A22" s="50" t="s">
        <v>462</v>
      </c>
      <c r="B22" s="70" t="s">
        <v>72</v>
      </c>
      <c r="C22" s="71">
        <v>46058</v>
      </c>
      <c r="D22" s="71">
        <v>46104</v>
      </c>
      <c r="E22" s="50" t="s">
        <v>461</v>
      </c>
      <c r="F22" s="52"/>
      <c r="G22" s="52">
        <v>20790</v>
      </c>
      <c r="H22" s="52"/>
      <c r="I22" s="53"/>
      <c r="J22" s="50" t="s">
        <v>375</v>
      </c>
      <c r="K22" s="53"/>
    </row>
    <row r="23" spans="1:11" ht="15.75" customHeight="1">
      <c r="A23" s="50" t="s">
        <v>463</v>
      </c>
      <c r="B23" s="70" t="s">
        <v>72</v>
      </c>
      <c r="C23" s="71">
        <v>46059</v>
      </c>
      <c r="D23" s="71">
        <v>46084</v>
      </c>
      <c r="E23" s="50" t="s">
        <v>461</v>
      </c>
      <c r="F23" s="52"/>
      <c r="G23" s="52">
        <v>156</v>
      </c>
      <c r="H23" s="52"/>
      <c r="I23" s="53"/>
      <c r="J23" s="50" t="s">
        <v>375</v>
      </c>
      <c r="K23" s="53"/>
    </row>
    <row r="24" spans="1:11" ht="15.75" customHeight="1">
      <c r="A24" s="50" t="s">
        <v>464</v>
      </c>
      <c r="B24" s="70" t="s">
        <v>72</v>
      </c>
      <c r="C24" s="71">
        <v>46080</v>
      </c>
      <c r="D24" s="71">
        <v>46086</v>
      </c>
      <c r="E24" s="50" t="s">
        <v>461</v>
      </c>
      <c r="F24" s="52"/>
      <c r="G24" s="52">
        <v>279</v>
      </c>
      <c r="H24" s="52"/>
      <c r="I24" s="53"/>
      <c r="J24" s="50" t="s">
        <v>375</v>
      </c>
      <c r="K24" s="53"/>
    </row>
    <row r="25" spans="1:11" ht="15.75" customHeight="1">
      <c r="A25" s="50" t="s">
        <v>465</v>
      </c>
      <c r="B25" s="70" t="s">
        <v>72</v>
      </c>
      <c r="C25" s="71">
        <v>46084</v>
      </c>
      <c r="D25" s="71">
        <v>46087</v>
      </c>
      <c r="E25" s="50" t="s">
        <v>461</v>
      </c>
      <c r="F25" s="52"/>
      <c r="G25" s="52">
        <v>137</v>
      </c>
      <c r="H25" s="52"/>
      <c r="I25" s="53"/>
      <c r="J25" s="50" t="s">
        <v>375</v>
      </c>
      <c r="K25" s="53"/>
    </row>
    <row r="26" spans="1:11" ht="15.75" customHeight="1">
      <c r="A26" s="50" t="s">
        <v>466</v>
      </c>
      <c r="B26" s="70" t="s">
        <v>72</v>
      </c>
      <c r="C26" s="71">
        <v>46085</v>
      </c>
      <c r="D26" s="71">
        <v>46097</v>
      </c>
      <c r="E26" s="50" t="s">
        <v>461</v>
      </c>
      <c r="F26" s="52">
        <v>45675</v>
      </c>
      <c r="G26" s="52"/>
      <c r="H26" s="52"/>
      <c r="I26" s="53"/>
      <c r="J26" s="50" t="s">
        <v>375</v>
      </c>
      <c r="K26" s="53"/>
    </row>
    <row r="27" spans="1:11" ht="15.75" customHeight="1">
      <c r="A27" s="50" t="s">
        <v>467</v>
      </c>
      <c r="B27" s="70" t="s">
        <v>72</v>
      </c>
      <c r="C27" s="71">
        <v>46085</v>
      </c>
      <c r="D27" s="71">
        <v>46091</v>
      </c>
      <c r="E27" s="50" t="s">
        <v>461</v>
      </c>
      <c r="F27" s="52">
        <v>7497</v>
      </c>
      <c r="G27" s="52"/>
      <c r="H27" s="52"/>
      <c r="I27" s="53"/>
      <c r="J27" s="50" t="s">
        <v>375</v>
      </c>
      <c r="K27" s="53"/>
    </row>
    <row r="28" spans="1:11" ht="15.75" customHeight="1">
      <c r="A28" s="50" t="s">
        <v>468</v>
      </c>
      <c r="B28" s="70" t="s">
        <v>72</v>
      </c>
      <c r="C28" s="71">
        <v>46086</v>
      </c>
      <c r="D28" s="71">
        <v>46093</v>
      </c>
      <c r="E28" s="50" t="s">
        <v>461</v>
      </c>
      <c r="F28" s="52">
        <v>3308</v>
      </c>
      <c r="G28" s="52"/>
      <c r="H28" s="52"/>
      <c r="I28" s="53"/>
      <c r="J28" s="50" t="s">
        <v>375</v>
      </c>
      <c r="K28" s="53"/>
    </row>
    <row r="29" spans="1:11" ht="15.75" customHeight="1">
      <c r="A29" s="50" t="s">
        <v>469</v>
      </c>
      <c r="B29" s="70" t="s">
        <v>72</v>
      </c>
      <c r="C29" s="71">
        <v>46087</v>
      </c>
      <c r="D29" s="71">
        <v>46104</v>
      </c>
      <c r="E29" s="50" t="s">
        <v>461</v>
      </c>
      <c r="F29" s="52"/>
      <c r="G29" s="52">
        <v>3024</v>
      </c>
      <c r="H29" s="52"/>
      <c r="I29" s="53"/>
      <c r="J29" s="50" t="s">
        <v>375</v>
      </c>
      <c r="K29" s="53"/>
    </row>
    <row r="30" spans="1:11" ht="15.75" customHeight="1">
      <c r="A30" s="50" t="s">
        <v>470</v>
      </c>
      <c r="B30" s="70" t="s">
        <v>72</v>
      </c>
      <c r="C30" s="71">
        <v>46089</v>
      </c>
      <c r="D30" s="71">
        <v>46089</v>
      </c>
      <c r="E30" s="50" t="s">
        <v>461</v>
      </c>
      <c r="F30" s="52"/>
      <c r="G30" s="52">
        <v>142</v>
      </c>
      <c r="H30" s="52"/>
      <c r="I30" s="53"/>
      <c r="J30" s="50" t="s">
        <v>375</v>
      </c>
      <c r="K30" s="53"/>
    </row>
    <row r="31" spans="1:11" ht="15.75" customHeight="1">
      <c r="A31" s="50" t="s">
        <v>471</v>
      </c>
      <c r="B31" s="70" t="s">
        <v>72</v>
      </c>
      <c r="C31" s="71">
        <v>46110</v>
      </c>
      <c r="D31" s="71">
        <v>46111</v>
      </c>
      <c r="E31" s="50" t="s">
        <v>461</v>
      </c>
      <c r="F31" s="52"/>
      <c r="G31" s="52">
        <v>290</v>
      </c>
      <c r="H31" s="52"/>
      <c r="I31" s="53"/>
      <c r="J31" s="50" t="s">
        <v>375</v>
      </c>
      <c r="K31" s="53"/>
    </row>
    <row r="32" spans="1:11" ht="15.75" customHeight="1">
      <c r="A32" s="80" t="s">
        <v>410</v>
      </c>
      <c r="B32" s="81" t="s">
        <v>281</v>
      </c>
      <c r="C32" s="82">
        <v>46090</v>
      </c>
      <c r="D32" s="82">
        <v>46125</v>
      </c>
      <c r="E32" s="80" t="s">
        <v>461</v>
      </c>
      <c r="F32" s="84">
        <v>210000</v>
      </c>
      <c r="G32" s="84"/>
      <c r="H32" s="84"/>
      <c r="I32" s="85"/>
      <c r="J32" s="80" t="s">
        <v>375</v>
      </c>
      <c r="K32" s="88" t="s">
        <v>472</v>
      </c>
    </row>
    <row r="33" spans="1:11" ht="15.75" customHeight="1">
      <c r="A33" s="80" t="s">
        <v>411</v>
      </c>
      <c r="B33" s="81" t="s">
        <v>51</v>
      </c>
      <c r="C33" s="82">
        <v>46099</v>
      </c>
      <c r="D33" s="82">
        <v>46147</v>
      </c>
      <c r="E33" s="80" t="s">
        <v>461</v>
      </c>
      <c r="F33" s="84">
        <v>126084</v>
      </c>
      <c r="G33" s="84"/>
      <c r="H33" s="84"/>
      <c r="I33" s="85"/>
      <c r="J33" s="80" t="s">
        <v>375</v>
      </c>
      <c r="K33" s="88" t="s">
        <v>472</v>
      </c>
    </row>
    <row r="34" spans="1:11" ht="15.75" customHeight="1">
      <c r="A34" s="50" t="s">
        <v>333</v>
      </c>
      <c r="B34" s="70" t="s">
        <v>72</v>
      </c>
      <c r="C34" s="71">
        <v>46114</v>
      </c>
      <c r="D34" s="71">
        <v>46136</v>
      </c>
      <c r="E34" s="50" t="s">
        <v>473</v>
      </c>
      <c r="F34" s="52">
        <v>31300</v>
      </c>
      <c r="G34" s="52"/>
      <c r="H34" s="52"/>
      <c r="I34" s="53"/>
      <c r="J34" s="50" t="s">
        <v>375</v>
      </c>
      <c r="K34" s="53"/>
    </row>
    <row r="35" spans="1:11" ht="15.75" customHeight="1">
      <c r="A35" s="50" t="s">
        <v>327</v>
      </c>
      <c r="B35" s="70" t="s">
        <v>72</v>
      </c>
      <c r="C35" s="71">
        <v>46117</v>
      </c>
      <c r="D35" s="71">
        <v>46129</v>
      </c>
      <c r="E35" s="50" t="s">
        <v>473</v>
      </c>
      <c r="F35" s="52"/>
      <c r="G35" s="52">
        <v>137</v>
      </c>
      <c r="H35" s="52"/>
      <c r="I35" s="53"/>
      <c r="J35" s="50" t="s">
        <v>375</v>
      </c>
      <c r="K35" s="53"/>
    </row>
    <row r="36" spans="1:11" ht="15.75" customHeight="1">
      <c r="A36" s="50" t="s">
        <v>323</v>
      </c>
      <c r="B36" s="70" t="s">
        <v>72</v>
      </c>
      <c r="C36" s="71">
        <v>46119</v>
      </c>
      <c r="D36" s="71">
        <v>46139</v>
      </c>
      <c r="E36" s="50" t="s">
        <v>473</v>
      </c>
      <c r="F36" s="52"/>
      <c r="G36" s="52">
        <v>499</v>
      </c>
      <c r="H36" s="52"/>
      <c r="I36" s="53"/>
      <c r="J36" s="50" t="s">
        <v>375</v>
      </c>
      <c r="K36" s="53"/>
    </row>
    <row r="37" spans="1:11" ht="15.75" customHeight="1">
      <c r="A37" s="50" t="s">
        <v>321</v>
      </c>
      <c r="B37" s="70" t="s">
        <v>72</v>
      </c>
      <c r="C37" s="71">
        <v>46122</v>
      </c>
      <c r="D37" s="71">
        <v>46125</v>
      </c>
      <c r="E37" s="50" t="s">
        <v>473</v>
      </c>
      <c r="F37" s="52"/>
      <c r="G37" s="52">
        <v>137</v>
      </c>
      <c r="H37" s="52"/>
      <c r="I37" s="53"/>
      <c r="J37" s="50" t="s">
        <v>375</v>
      </c>
      <c r="K37" s="53"/>
    </row>
    <row r="38" spans="1:11" ht="15.75" customHeight="1">
      <c r="A38" s="50" t="s">
        <v>288</v>
      </c>
      <c r="B38" s="70" t="s">
        <v>72</v>
      </c>
      <c r="C38" s="71">
        <v>46129</v>
      </c>
      <c r="D38" s="71">
        <v>46136</v>
      </c>
      <c r="E38" s="50" t="s">
        <v>473</v>
      </c>
      <c r="F38" s="52"/>
      <c r="G38" s="52">
        <v>142</v>
      </c>
      <c r="H38" s="52"/>
      <c r="I38" s="53"/>
      <c r="J38" s="50" t="s">
        <v>375</v>
      </c>
      <c r="K38" s="53"/>
    </row>
    <row r="39" spans="1:11" ht="15.75" customHeight="1">
      <c r="A39" s="50" t="s">
        <v>282</v>
      </c>
      <c r="B39" s="70" t="s">
        <v>72</v>
      </c>
      <c r="C39" s="71">
        <v>46131</v>
      </c>
      <c r="D39" s="71">
        <v>46136</v>
      </c>
      <c r="E39" s="50" t="s">
        <v>473</v>
      </c>
      <c r="F39" s="52"/>
      <c r="G39" s="52">
        <v>38</v>
      </c>
      <c r="H39" s="52"/>
      <c r="I39" s="53"/>
      <c r="J39" s="50" t="s">
        <v>375</v>
      </c>
      <c r="K39" s="53"/>
    </row>
    <row r="40" spans="1:11" ht="15.75" customHeight="1">
      <c r="A40" s="50" t="s">
        <v>193</v>
      </c>
      <c r="B40" s="70" t="s">
        <v>72</v>
      </c>
      <c r="C40" s="71">
        <v>46135</v>
      </c>
      <c r="D40" s="71">
        <v>46141</v>
      </c>
      <c r="E40" s="50" t="s">
        <v>473</v>
      </c>
      <c r="F40" s="52"/>
      <c r="G40" s="52"/>
      <c r="H40" s="52">
        <v>800</v>
      </c>
      <c r="I40" s="54" t="s">
        <v>195</v>
      </c>
      <c r="J40" s="50" t="s">
        <v>356</v>
      </c>
      <c r="K40" s="54" t="s">
        <v>432</v>
      </c>
    </row>
    <row r="41" spans="1:11" ht="15.75" customHeight="1">
      <c r="A41" s="50" t="s">
        <v>191</v>
      </c>
      <c r="B41" s="70" t="s">
        <v>72</v>
      </c>
      <c r="C41" s="71">
        <v>46137</v>
      </c>
      <c r="D41" s="71">
        <v>46140</v>
      </c>
      <c r="E41" s="50" t="s">
        <v>473</v>
      </c>
      <c r="F41" s="52"/>
      <c r="G41" s="52">
        <v>137</v>
      </c>
      <c r="H41" s="52">
        <v>137</v>
      </c>
      <c r="I41" s="53"/>
      <c r="J41" s="50" t="s">
        <v>433</v>
      </c>
      <c r="K41" s="54" t="s">
        <v>434</v>
      </c>
    </row>
    <row r="42" spans="1:11" ht="15.75" customHeight="1">
      <c r="A42" s="80" t="s">
        <v>180</v>
      </c>
      <c r="B42" s="81" t="s">
        <v>110</v>
      </c>
      <c r="C42" s="82">
        <v>46139</v>
      </c>
      <c r="D42" s="82">
        <v>46140</v>
      </c>
      <c r="E42" s="80" t="s">
        <v>473</v>
      </c>
      <c r="F42" s="84"/>
      <c r="G42" s="84">
        <v>2026</v>
      </c>
      <c r="H42" s="84"/>
      <c r="I42" s="85"/>
      <c r="J42" s="80" t="s">
        <v>375</v>
      </c>
      <c r="K42" s="88" t="s">
        <v>474</v>
      </c>
    </row>
    <row r="43" spans="1:11" ht="15.75" customHeight="1">
      <c r="A43" s="50" t="s">
        <v>435</v>
      </c>
      <c r="B43" s="70" t="s">
        <v>72</v>
      </c>
      <c r="C43" s="71">
        <v>46040</v>
      </c>
      <c r="D43" s="71">
        <v>46122</v>
      </c>
      <c r="E43" s="50" t="s">
        <v>473</v>
      </c>
      <c r="F43" s="52">
        <v>13150</v>
      </c>
      <c r="G43" s="52"/>
      <c r="H43" s="52">
        <v>17955</v>
      </c>
      <c r="I43" s="54" t="s">
        <v>345</v>
      </c>
      <c r="J43" s="50" t="s">
        <v>356</v>
      </c>
      <c r="K43" s="54" t="s">
        <v>432</v>
      </c>
    </row>
    <row r="44" spans="1:11" ht="15.75" customHeight="1">
      <c r="A44" s="50" t="s">
        <v>436</v>
      </c>
      <c r="B44" s="70" t="s">
        <v>72</v>
      </c>
      <c r="C44" s="71">
        <v>46097</v>
      </c>
      <c r="D44" s="71">
        <v>46122</v>
      </c>
      <c r="E44" s="50" t="s">
        <v>473</v>
      </c>
      <c r="F44" s="52">
        <v>9975</v>
      </c>
      <c r="G44" s="52"/>
      <c r="H44" s="52"/>
      <c r="I44" s="53"/>
      <c r="J44" s="50" t="s">
        <v>375</v>
      </c>
      <c r="K44" s="53"/>
    </row>
    <row r="45" spans="1:11" ht="18" customHeight="1">
      <c r="A45" s="75" t="s">
        <v>475</v>
      </c>
      <c r="B45" s="77"/>
      <c r="C45" s="77"/>
      <c r="D45" s="77"/>
      <c r="E45" s="77"/>
      <c r="F45" s="78">
        <f>SUM(F4:F44)</f>
        <v>627172</v>
      </c>
      <c r="G45" s="78">
        <f>SUM(G4:G44)</f>
        <v>40599</v>
      </c>
      <c r="H45" s="78">
        <f>SUM(H4:H44)</f>
        <v>23176</v>
      </c>
      <c r="I45" s="77"/>
      <c r="J45" s="77"/>
      <c r="K45" s="77"/>
    </row>
    <row r="46" spans="1:11" ht="19.5" customHeight="1">
      <c r="A46" s="49" t="s">
        <v>476</v>
      </c>
      <c r="F46" s="86">
        <f>F45+G45</f>
        <v>667771</v>
      </c>
      <c r="G46" s="86">
        <f>H45</f>
        <v>23176</v>
      </c>
      <c r="H46" s="87" t="s">
        <v>477</v>
      </c>
    </row>
  </sheetData>
  <mergeCells count="2">
    <mergeCell ref="A1:K1"/>
    <mergeCell ref="A2:K2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工作表1</vt:lpstr>
      <vt:lpstr>KPI核對總表</vt:lpstr>
      <vt:lpstr>A.上期未結(5件)</vt:lpstr>
      <vt:lpstr>C.已完成(34件)</vt:lpstr>
      <vt:lpstr>D.待辦驗(5件)</vt:lpstr>
      <vt:lpstr>E.未完成(17件)</vt:lpstr>
      <vt:lpstr>F.當月金額明細</vt:lpstr>
      <vt:lpstr>F2.YTD金額明細(1~4月)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Samuel Huang</cp:lastModifiedBy>
  <cp:revision>0</cp:revision>
  <dcterms:created xsi:type="dcterms:W3CDTF">2026-05-10T02:15:32Z</dcterms:created>
  <dcterms:modified xsi:type="dcterms:W3CDTF">2026-05-10T05:53:25Z</dcterms:modified>
  <dc:language>en-US</dc:language>
</cp:coreProperties>
</file>